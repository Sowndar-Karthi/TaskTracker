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 Tracker" sheetId="1" r:id="rId5"/>
    <sheet state="hidden" name="Pending Changes" sheetId="2" r:id="rId6"/>
    <sheet state="visible" name="Completed Tracker" sheetId="3" r:id="rId7"/>
    <sheet state="visible" name="Dev Tracker Sub" sheetId="4" r:id="rId8"/>
    <sheet state="visible" name="Leave Tracker" sheetId="5" r:id="rId9"/>
    <sheet state="visible" name="Internal Tracker 2026" sheetId="6" r:id="rId10"/>
    <sheet state="visible" name="Team Capacity" sheetId="7" r:id="rId11"/>
    <sheet state="visible" name="Internal Tracker Sub 2026" sheetId="8" r:id="rId12"/>
    <sheet state="visible" name="DGDA GitHub" sheetId="9" r:id="rId13"/>
    <sheet state="visible" name="DGS GitHub" sheetId="10" r:id="rId14"/>
    <sheet state="visible" name="DGDA Environment" sheetId="11" r:id="rId15"/>
    <sheet state="visible" name="DGS Environment" sheetId="12" r:id="rId16"/>
    <sheet state="visible" name="Dropdown" sheetId="13" r:id="rId17"/>
    <sheet state="visible" name="Agreed Hours" sheetId="14" r:id="rId18"/>
    <sheet state="visible" name="Umbraco Update For all Website" sheetId="15" r:id="rId19"/>
    <sheet state="visible" name="Farnborough Server Path" sheetId="16" r:id="rId20"/>
  </sheets>
  <definedNames>
    <definedName hidden="1" localSheetId="0" name="_xlnm._FilterDatabase">'Dev Tracker'!$A$1:$R$56</definedName>
    <definedName hidden="1" localSheetId="2" name="_xlnm._FilterDatabase">'Completed Tracker'!$A$1:$AC$29</definedName>
    <definedName hidden="1" localSheetId="5" name="_xlnm._FilterDatabase">'Internal Tracker 2026'!$A$1:$R$997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tc={2fd963a2-bb18-4478-bbe9-b3e911f2ea70}</author>
    <author>tc={9a76ef6c-13df-4d58-bfc5-9997e5a04df7}</author>
    <author>tc={a00147f7-258f-4f44-ac0d-fad20cef632c}</author>
  </authors>
  <commentList>
    <comment authorId="0" xr:uid="{2fd963a2-bb18-4478-bbe9-b3e911f2ea70}" ref="D333">
      <text>
        <t xml:space="preserve">[Threaded comment]
 Your version of Excel allows you to read this threaded comment; however, any edits to it will get removed if the file is opened in a newer version of Excel. Learn more: https://go.microsoft.com/fwlink/?linkid=870924
Comment:
	@parthiban@vajraglobal.com
Assigned to parthiban@vajraglobal.com
</t>
      </text>
    </comment>
    <comment authorId="1" xr:uid="{9a76ef6c-13df-4d58-bfc5-9997e5a04df7}" ref="D217">
      <text>
        <t xml:space="preserve">[Threaded comment]
 Your version of Excel allows you to read this threaded comment; however, any edits to it will get removed if the file is opened in a newer version of Excel. Learn more: https://go.microsoft.com/fwlink/?linkid=870924
Comment:
	Why do you need 2 hours for testing the sso login? @parthiban@vajraglobal.com
Reply:
	10.15 i take the task and we have a meeting at 10 30 after that i face the code issue then fix it then i face the boot issue then i got 403 error which i shared in group 11 30AM.after that my backofice is slow i send a screenshot after that it fixed and i share the final output 12.03PM sso login is working conformation so that i totally loged 2 hours
</t>
      </text>
    </comment>
    <comment authorId="2" xr:uid="{a00147f7-258f-4f44-ac0d-fad20cef632c}" ref="D333">
      <text>
        <t xml:space="preserve">[Threaded comment]
 Your version of Excel allows you to read this threaded comment; however, any edits to it will get removed if the file is opened in a newer version of Excel. Learn more: https://go.microsoft.com/fwlink/?linkid=870924
Comment:
	@parthiban@vajraglobal.com  Status on this?
Assigned to parthiban@vajraglobal.com
Reply:
	we done this for post moderation and moved to staging but we dont have user id there because in staging we use all intrnet commsdesk and sso user we didnt see the real user with there Emp id .
Marked as done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tc={7dbbf445-a77e-4cf4-aa10-28a512f5b099}</author>
  </authors>
  <commentList>
    <comment authorId="0" xr:uid="{7dbbf445-a77e-4cf4-aa10-28a512f5b099}" ref="D42">
      <text>
        <t xml:space="preserve">[Threaded comment]
 Your version of Excel allows you to read this threaded comment; however, any edits to it will get removed if the file is opened in a newer version of Excel. Learn more: https://go.microsoft.com/fwlink/?linkid=870924
Comment:
	@moswin@vajraglobal.com
Based on your current progress, when do you think is a realistic finish date?
Did yesterday’s task take longer than expected, or are we on track with the hours?
What are the remaining milestones, and is there anything blocking you from finishing?
Assigned to moswin@vajraglobal.com
</t>
      </text>
    </comment>
  </commentList>
</comments>
</file>

<file path=xl/sharedStrings.xml><?xml version="1.0" encoding="utf-8"?>
<sst xmlns="http://schemas.openxmlformats.org/spreadsheetml/2006/main" count="8443" uniqueCount="2262">
  <si>
    <t>Project Name</t>
  </si>
  <si>
    <t>Website Url</t>
  </si>
  <si>
    <t>Task</t>
  </si>
  <si>
    <t>Priority</t>
  </si>
  <si>
    <t>Assign</t>
  </si>
  <si>
    <t>S Date</t>
  </si>
  <si>
    <t>E Date</t>
  </si>
  <si>
    <t>As Per WO</t>
  </si>
  <si>
    <t xml:space="preserve">Status </t>
  </si>
  <si>
    <t>Env</t>
  </si>
  <si>
    <t>Efforts</t>
  </si>
  <si>
    <t>Actual Effort</t>
  </si>
  <si>
    <t>Informed</t>
  </si>
  <si>
    <t>Support Needed / Blocker</t>
  </si>
  <si>
    <t>Dependency Detail</t>
  </si>
  <si>
    <t>Page Url</t>
  </si>
  <si>
    <t>Mail Subject</t>
  </si>
  <si>
    <t>Internal Mail Subject</t>
  </si>
  <si>
    <t>Functionality</t>
  </si>
  <si>
    <t xml:space="preserve"> Gmail Thread ID</t>
  </si>
  <si>
    <t>Google Task ID</t>
  </si>
  <si>
    <t>Adfactors PR Private Limited</t>
  </si>
  <si>
    <t>intranet.adfactorspr.com</t>
  </si>
  <si>
    <t>Demo Page</t>
  </si>
  <si>
    <t>Low</t>
  </si>
  <si>
    <t>Parthiban</t>
  </si>
  <si>
    <t>Under Review &amp; Testing</t>
  </si>
  <si>
    <t>Staging</t>
  </si>
  <si>
    <t>All the changes have been completed. We are waiting for approval to go live</t>
  </si>
  <si>
    <t>Awaiting for approval to go live</t>
  </si>
  <si>
    <t>[Dev Tracker] TASK UPDATE: Demo Page</t>
  </si>
  <si>
    <t>19ec0731129c8883</t>
  </si>
  <si>
    <t>Intranet Tech Queries</t>
  </si>
  <si>
    <t>Sowndar</t>
  </si>
  <si>
    <t>Production</t>
  </si>
  <si>
    <t>Vishal Said He will come back to us</t>
  </si>
  <si>
    <t>[Dev Tracker] TASK UPDATE: Intranet Tech Queries</t>
  </si>
  <si>
    <t>19ec52bb83377384</t>
  </si>
  <si>
    <t>Content Update June</t>
  </si>
  <si>
    <t>In Progress</t>
  </si>
  <si>
    <t>Update the content in awards page
Create a new Casestydy In live
sort and update the Leadership team members
Update content in Cross sell inivative winner list</t>
  </si>
  <si>
    <t>TASK UPDATE: Content Update June</t>
  </si>
  <si>
    <t>19ed29ab81158007</t>
  </si>
  <si>
    <t>Adfactor Admin Dashboard</t>
  </si>
  <si>
    <t>On Hold / Blocked</t>
  </si>
  <si>
    <t>Following the Adfactor dashboard submission, we have finalized the functional requirements and staging updates. Although changes were ready by March 24th, the site has been offline since March 26th due to server instability. We provided the database to the server team on April 9th. To resolve the remaining issues, we must create a new image directory with the correct write permissions; this is essential for posts to be saved and displayed correctly. We also require a WAF permission update</t>
  </si>
  <si>
    <t>[Dev Tracker] TASK UPDATE: Adfactor Admin Dashboard</t>
  </si>
  <si>
    <t>19ec6ac88dbc8391</t>
  </si>
  <si>
    <t>Dev Update June</t>
  </si>
  <si>
    <t>Update the content in awards page
Create a new Casestydy In live
sort and update the Leadership team members
Update content in Cross sell inivative winner list
Update and fix the issue in SQL for restore Database
List the Case study with published and Article  date
"change name Adfactors PR
1/3 carosel badge
Remove bold for value in current affairs
System generated post Text changes
Enable the Auto post generation
Fix the EmployeeID in Post moderation
Add AE AM decathlon in utilities page"
Left align the text in system generated post</t>
  </si>
  <si>
    <t>TASK UPDATE: Dev Update June</t>
  </si>
  <si>
    <t>19ed29ae59265021</t>
  </si>
  <si>
    <t>Case Study Page May 2026</t>
  </si>
  <si>
    <t>Medium</t>
  </si>
  <si>
    <t>Pipeline / To Do</t>
  </si>
  <si>
    <t>Local</t>
  </si>
  <si>
    <t>Need to develop new Case Study page template.
Client logos/design assets if required.</t>
  </si>
  <si>
    <t>TASK UPDATE: Case Study Page May 2026</t>
  </si>
  <si>
    <t>19ed1518e71e4cb5</t>
  </si>
  <si>
    <t>work.adfactorspr.com</t>
  </si>
  <si>
    <t>Restore Work.Adfactor</t>
  </si>
  <si>
    <t>[Dev Tracker] TASK UPDATE: Restore Work.Adfactor</t>
  </si>
  <si>
    <t>19e3488183ba4491</t>
  </si>
  <si>
    <t>Diriyah Gate Development Authority</t>
  </si>
  <si>
    <t>www.dgda.gov.sa</t>
  </si>
  <si>
    <t>Raise Concern</t>
  </si>
  <si>
    <t xml:space="preserve">Shared with Client Waiting for approval </t>
  </si>
  <si>
    <t>Need Approval From Saad</t>
  </si>
  <si>
    <t>https://release-dgda.d1pchk3m069rke.amplifyapp.com/en/contact-us/general-inquiries</t>
  </si>
  <si>
    <t>Open Data Form - DGDA</t>
  </si>
  <si>
    <t>TASK UPDATE: Open data form Phase - 2</t>
  </si>
  <si>
    <t>19ec976388afdc2e</t>
  </si>
  <si>
    <t>Events Application and Diriyah Horizon</t>
  </si>
  <si>
    <t>[Dev Tracker] TASK UPDATE: Events Application and Diriyah Horizon</t>
  </si>
  <si>
    <t>19ed0e33d52ddeef</t>
  </si>
  <si>
    <t>DGDA Maintenance June 2026</t>
  </si>
  <si>
    <t>[Dev Tracker] TASK UPDATE: DGDA Maintenance May 2026</t>
  </si>
  <si>
    <t>19ed0e4ad0604eff</t>
  </si>
  <si>
    <t>National Design System (DGA)</t>
  </si>
  <si>
    <t>Abhicheke</t>
  </si>
  <si>
    <t>UAT</t>
  </si>
  <si>
    <t>Main project development has been underway since February 25th. Although the National Design phase was on hold as of February 12th, we received confirmation to initiate work on April 7th. The team was requested to share a first draft by April 15th, and a preview link was sent to the DGDA team on April 16th. We reshared the homepage with them on April 17th and are currently awaiting feedback to proceed with the remaining pages. A review meeting was scheduled for April 28th, and we are now awaiting a post-meeting update from the DGDA.
We have received the approve the other page 07 May the team will start working on rest of the page
Based on Saad He Approved and proceed with everything. Regarding the quality assurance phase, a new joiner from Saad's team will be responsible for cross-checking the work once development is complete (11 May),</t>
  </si>
  <si>
    <t>Send the email to Saad and get the clarification for the icon</t>
  </si>
  <si>
    <t>https://feat-national-design-system-v16-main.d38541r9nlp4br.amplifyapp.com/</t>
  </si>
  <si>
    <t xml:space="preserve">DGA timeline
Development for DGA guidelines and Website Content </t>
  </si>
  <si>
    <t>[Dev Tracker] TASK UPDATE: National Design System (DGA)</t>
  </si>
  <si>
    <t>19ed187f836ec16f</t>
  </si>
  <si>
    <t>Quamatic Integration</t>
  </si>
  <si>
    <t>Following our March 16th call, we requested the UAT URL for testing. Although we suggested a single endpoint on April 2nd, the team confirmed this was not feasible. On April 8th, we followed up regarding current access restrictions and are awaiting Dayel’s guidance on Qmatic access. Per yesterday's meeting, Saad needs to provide confirmation; until then, API integration is on hold while we focus on other changes and the NDS. The API integration is currently blocked by IP restrictions. We are also awaiting the Qmatic API documents, as the previous files were inaccessible. Finally, we requested VPN access on March 31st and are waiting for the necessary APIs from the Qmatic team</t>
  </si>
  <si>
    <t xml:space="preserve">API integration paused due to access constraints. Saad to advise once sorted.
503 Service Unavailable
SMS API Working Good Waiting for Production URL
The production URL auth is failed
</t>
  </si>
  <si>
    <t>[Dev Tracker] TASK UPDATE: Quamatic Integration</t>
  </si>
  <si>
    <t>19e3488d3a8b0c0a</t>
  </si>
  <si>
    <t>Emergency services form</t>
  </si>
  <si>
    <t>Since completing the form and OTP integration on March 12th, we have been working through several integration blockers. The current SMS API is restricted to Arabic numbers, which prevents us from finalizing the global OTP functionality. Additionally, while GIS token generation is successful, we are encountering an 'Invalid URL' error when testing KMZ files. We held a technical call on April 28th to address why the third API remains non-functional. We are currently awaiting follow-up responses from Waleed and Kamran regarding the GIS fix and the SMS production credentials, respectively.</t>
  </si>
  <si>
    <t>3rd Api not working 1st and 2nd Api Working
For SMS API Production URL I tried both No Auth and Basic Auth
username - ffffa747-d38b-3971-83e5-facd68d4fd40
Password - SAPCPI_SMS__API_OAUTH_e650058
but it show unauthorized_client</t>
  </si>
  <si>
    <t>[Dev Tracker] TASK UPDATE: Emergency services form</t>
  </si>
  <si>
    <t>SMS Api Need to Implement</t>
  </si>
  <si>
    <t>19e3488fe21c9b07</t>
  </si>
  <si>
    <t>Eservices and Qmatic Webpages</t>
  </si>
  <si>
    <t>Team has reviewed the websites and shared the estimation with Saad on 19/04. AW backend access to review in detail, request raised with Saad. Need to schedule a call with Qmatic team 29/04</t>
  </si>
  <si>
    <t>[Dev Tracker] TASK UPDATE: Eservices and Qmatic Webpages</t>
  </si>
  <si>
    <t>19ddd4c15de487fd</t>
  </si>
  <si>
    <t>Research Inquiry Forms</t>
  </si>
  <si>
    <t>Waiting for Client Input</t>
  </si>
  <si>
    <t>Team has initiated the work on the form; preview link will be shared on 22/04. Preview link shared with Dayel on 23/04. CRM integration pending with DGDA.</t>
  </si>
  <si>
    <t xml:space="preserve">Need Arabic content and Description 
Form need to map on c4c </t>
  </si>
  <si>
    <t>https://main.d3jcmxm4xwijj.amplifyapp.com/en/contact-us/research-inquiry</t>
  </si>
  <si>
    <t>[Dev Tracker] TASK UPDATE: Research Inquiry Forms</t>
  </si>
  <si>
    <t>19dbe08a710e8032</t>
  </si>
  <si>
    <t>DGDA Application PT Finding</t>
  </si>
  <si>
    <t>Email received from Faisal on 21/04 to update the Next.js version of the DGDA website. AW confirmation from Saad to proceed further.</t>
  </si>
  <si>
    <t>[Dev Tracker] TASK UPDATE: DGDA Application PT Finding</t>
  </si>
  <si>
    <t>19ddd4bbfdf4fdb8</t>
  </si>
  <si>
    <t>EMS Project</t>
  </si>
  <si>
    <t>DGDA EMS Infra set up</t>
  </si>
  <si>
    <t>Moswin</t>
  </si>
  <si>
    <t>TASK UPDATE: DGDA EMS Infra set up</t>
  </si>
  <si>
    <t>19ec4f56005ae817</t>
  </si>
  <si>
    <t>FIA</t>
  </si>
  <si>
    <t>farnboroughairshow.com</t>
  </si>
  <si>
    <t>Expo Platform Changes</t>
  </si>
  <si>
    <t>The Expo platform team's questions have been clarified and shared. We are currently awaiting a response.</t>
  </si>
  <si>
    <t>1) Request for Timeline – FIA Application API Requirement
2) FIA Application - API Process &amp; Data Flow Documentation – Review and Feedback Requested</t>
  </si>
  <si>
    <t>[Dev Tracker] TASK UPDATE: Expo Platform Changes</t>
  </si>
  <si>
    <t>19ecc0b18b5671d1</t>
  </si>
  <si>
    <t>FIA Website – VAPT Assessment Timeline</t>
  </si>
  <si>
    <t>[Dev Tracker] TASK UPDATE: FIA Website – VAPT Assessment Timeline</t>
  </si>
  <si>
    <t>19e348987fbfe133</t>
  </si>
  <si>
    <t>events.farnboroughinternational.org</t>
  </si>
  <si>
    <t>Update 8.18.5 to Umbraco 13</t>
  </si>
  <si>
    <t>Sai</t>
  </si>
  <si>
    <t>Awating Client Input</t>
  </si>
  <si>
    <t>[Dev Tracker] TASK UPDATE: Update 8.18.5 to Umbraco 13</t>
  </si>
  <si>
    <t>19e3489b196ae0f1</t>
  </si>
  <si>
    <t>FIA Maintenance June 2026</t>
  </si>
  <si>
    <t>[Dev Tracker] TASK UPDATE: FIA Maintenance May 2026</t>
  </si>
  <si>
    <t>19e7db8b3ccc4784</t>
  </si>
  <si>
    <t>Umbraco Update 13 to 17</t>
  </si>
  <si>
    <t>TASK UPDATE: Umbraco Update 13 to 17</t>
  </si>
  <si>
    <t>Vajra Global</t>
  </si>
  <si>
    <t>vajraglobal.com</t>
  </si>
  <si>
    <t>Updated SEO Automation BRD</t>
  </si>
  <si>
    <t xml:space="preserve">Indexing, Keyword research, Competitor Analysis
API Credits,
Techinical Feasbility
Token
Common feature </t>
  </si>
  <si>
    <t>[Dev Tracker] TASK UPDATE: Updated SEO Automation BRD</t>
  </si>
  <si>
    <t>19df666b384b7115</t>
  </si>
  <si>
    <t>Seo Automation Tool</t>
  </si>
  <si>
    <t>Rackesh
Kumaran</t>
  </si>
  <si>
    <t>TASK UPDATE: Seo Automation Tool</t>
  </si>
  <si>
    <t>Server Monitoring Implementation Plan</t>
  </si>
  <si>
    <t>TASK UPDATE: Server Monitoring Implementation Plan</t>
  </si>
  <si>
    <t>Timestamp</t>
  </si>
  <si>
    <t>Subject</t>
  </si>
  <si>
    <t>MainRowIndex</t>
  </si>
  <si>
    <t>Project Update: Open data form Phase - 2</t>
  </si>
  <si>
    <t>Project Update: Image and Video Edit On Post</t>
  </si>
  <si>
    <t>Project Update: Demo Page</t>
  </si>
  <si>
    <t xml:space="preserve">Project Update: Events Application and Diriyah Horizon
</t>
  </si>
  <si>
    <t>Project Update: Adobe Experence Manger and workflow</t>
  </si>
  <si>
    <t>[Dev Tracker] TASK UPDATE: Open data form Phase - 2</t>
  </si>
  <si>
    <t>Comment</t>
  </si>
  <si>
    <t xml:space="preserve"> Holiday List Page</t>
  </si>
  <si>
    <t>Completed</t>
  </si>
  <si>
    <t>Page Develoment has completed asked the content for this</t>
  </si>
  <si>
    <t>www.dgs.sa</t>
  </si>
  <si>
    <t>DGS Registration form</t>
  </si>
  <si>
    <t>The C4C team is currently conducting the review and testing of the form within SAP. We sent a follow-up yesterday, as they had anticipated completing this process today (December 2, 2025). Upon the conclusion of testing and client sign-off, the next step is immediate deployment to the live environment. However, the team has decided they do not wish to proceed with the SAP integration; instead, they prefer to continue using the existing process of fetching email details and storing them in an Excel file.</t>
  </si>
  <si>
    <t>farnborough.com</t>
  </si>
  <si>
    <t xml:space="preserve">Update the form date format </t>
  </si>
  <si>
    <t>Done Moved To Production</t>
  </si>
  <si>
    <t>SEO Assets for DGS Site</t>
  </si>
  <si>
    <t>Regan</t>
  </si>
  <si>
    <t>We have shared the document with the client on December 1, 2025  and are now awaiting their reply and approval.  2nd follow-up sent on December 8, 2025. Awaiting client response Once they approve the changes and provide the Arabic content, we will update the DGS live environment. Since the the event has complete we consider this task has closed</t>
  </si>
  <si>
    <t>DGS Microsite</t>
  </si>
  <si>
    <t>SEO Assets for DGS Site (Discussed 11-11-2025)</t>
  </si>
  <si>
    <t>Missing Content on DGS Page</t>
  </si>
  <si>
    <t>We sent a follow-up on December 1, 2025,  second follow-up , December 8, 2025. Since the the event has complete we consider this task has closed</t>
  </si>
  <si>
    <t>Initial Wireframes</t>
  </si>
  <si>
    <t>Balaji</t>
  </si>
  <si>
    <t xml:space="preserve">Forms Character Limit for DGDA and DGS </t>
  </si>
  <si>
    <t>Dayel has agreed to proceed with the form limit, and the team has started working on it.</t>
  </si>
  <si>
    <t>Validations required DGDA forms</t>
  </si>
  <si>
    <t>DGDA Version Update</t>
  </si>
  <si>
    <t>Move the changes to live. 14.2.25 – 15.5.25</t>
  </si>
  <si>
    <t>Adfactor Home Page feature Phase 1</t>
  </si>
  <si>
    <t>DGS</t>
  </si>
  <si>
    <t>DGS Home</t>
  </si>
  <si>
    <t>High</t>
  </si>
  <si>
    <t>Client Approved on 05 Jan 2025 and updated the changes on live</t>
  </si>
  <si>
    <t>Hide Media From Search Console</t>
  </si>
  <si>
    <t>David needs to get back to us. As regan mentioned david was just asked like why this is showing</t>
  </si>
  <si>
    <t>Holiday List Page</t>
  </si>
  <si>
    <t>Changes has done by Adfactor Team</t>
  </si>
  <si>
    <t>Phase 2 Brand GuidLine Change POI</t>
  </si>
  <si>
    <t>Done all the changes and Moved to Production on 21 Dec 2025.</t>
  </si>
  <si>
    <t>Pioneers of Tomorrow - Brand Updates</t>
  </si>
  <si>
    <t>FIA Changes on Show Theme</t>
  </si>
  <si>
    <t>Done all the changes and Moved to Production on 19 Dec 2025.</t>
  </si>
  <si>
    <t>Farnborough Canceled Event</t>
  </si>
  <si>
    <t>FIA Version Update</t>
  </si>
  <si>
    <t xml:space="preserve">Version Update 13.9.1 to 13.13.0 in FarnboroughAirshow
Updated the Umbraco version 13.10.0 to 13.13.0 in Farnborough Vennue </t>
  </si>
  <si>
    <t>POT Feed Back changes</t>
  </si>
  <si>
    <t>farnboroughinternationalstudios.com</t>
  </si>
  <si>
    <t>Studio Site Version Update</t>
  </si>
  <si>
    <t xml:space="preserve">New Testimonial Page </t>
  </si>
  <si>
    <t>Done all the changes and Moved to Production on 02 Feb 2026</t>
  </si>
  <si>
    <t>Form Failed Feb-2026</t>
  </si>
  <si>
    <t>We recommend the to reduce the file size from 5mb to 2mb since the size of payload is very high after change this it start working without any issue</t>
  </si>
  <si>
    <t>Phase 1 Brand GuidLine Change</t>
  </si>
  <si>
    <t>Done all the changes and Moved to Production on 21 Dec 2025. However the recent sub task(Came after 21 Dec 2025) which we need to approve to move live. Waiting for Client Approval</t>
  </si>
  <si>
    <t>Adfactor Home Page feature Phase 2</t>
  </si>
  <si>
    <t>Summer Program Page</t>
  </si>
  <si>
    <t>Closed – Billable</t>
  </si>
  <si>
    <t>DGDA has updated the Arabic site content and finalized development. Staging and CRM integration were completed on Dec 23rd. Per Dayel’s instructions, the schedule is postponed to Nov 2026, and this task is now considered closed. As discussed with Saad 	
Event postponned to November 2026, will close the activity.</t>
  </si>
  <si>
    <t>Payload: 
Diriyah Horizons - Leadership Programme - Fields Name Payload</t>
  </si>
  <si>
    <t xml:space="preserve"> Arabic Content and Missing Form Fields for Summer Camp Page</t>
  </si>
  <si>
    <t xml:space="preserve">Leadership component </t>
  </si>
  <si>
    <t>We updated the Leadership Component design, including new content and imagery, and submitted it on 09 Feb. Per the client's request on 12 Feb, However, per client instructions on 12 Feb, the final launch is on hold pending direction from their top management. Work completed on 9 Feb, CEO message live 24 Feb</t>
  </si>
  <si>
    <t xml:space="preserve">Leadership component 
Development for DGA guidelines and Website Content </t>
  </si>
  <si>
    <t>Academy Page</t>
  </si>
  <si>
    <t>The page was completed and moved to staging. A follow-up was sent on 10/02. The team gave another set of V2 changes on 11/02, which were completed and shared with the client on 13/02. The asked to add few other section we added and share it with client on 19 Feb
Few other changes requested by Client AW
Completed and Moved To Production on 09 March</t>
  </si>
  <si>
    <t>New Intranet Page - Adfactors Academy</t>
  </si>
  <si>
    <t>Author Name on Articale Page</t>
  </si>
  <si>
    <t>Give two option to the Client waiting for Input from them
Completed and Moved To Production on 09 March</t>
  </si>
  <si>
    <t>AF Server Changes</t>
  </si>
  <si>
    <t>Team is start working this on 13 Feb. The team need cross testing the full website
FTP 
The changes has done eveything is working ask expected.
Completed Three website need to move one more site once it is done point to new server</t>
  </si>
  <si>
    <t xml:space="preserve">Request for Review – New Intranet Website Before Migration
</t>
  </si>
  <si>
    <t>Founding day 2026</t>
  </si>
  <si>
    <t>Compleleted and share it with client on 20 Feb. AW for Feedback. Since the event is finished we need to rised the billing only eventhout it is not moved to live</t>
  </si>
  <si>
    <t>Founding Day 2026</t>
  </si>
  <si>
    <t>Academy Page  - 2</t>
  </si>
  <si>
    <t>Updated the content from live to staging, removed tab spacing where empty, and completed the share with the client on 17 March</t>
  </si>
  <si>
    <t>Form Tracking GA</t>
  </si>
  <si>
    <t>Ranjith</t>
  </si>
  <si>
    <t xml:space="preserve">Ranjith confirmed the implementation is functional and has updated the client. Following the DGDA review AW response from David. Since i spoke to Regan he </t>
  </si>
  <si>
    <t>Regarding the DGDA Form changes</t>
  </si>
  <si>
    <t>Improve this</t>
  </si>
  <si>
    <t>FIA AGF Page changes</t>
  </si>
  <si>
    <t>Completed and share it with Clinet. The client mentioned the will update the content and do the changes</t>
  </si>
  <si>
    <t>Feb Maintenance changes - 2026</t>
  </si>
  <si>
    <t xml:space="preserve">Completed </t>
  </si>
  <si>
    <t>MPU Functionality</t>
  </si>
  <si>
    <t>FIECC - Landing page</t>
  </si>
  <si>
    <t>Shared with Client on  16 March However they haven't white list the IP from thir end for staging so they couldn't access the website so the will do the check once white list 
Moved To Production 24 March
1.Currently, we have Lorem Ipsum on the live site.
2.Currently, we have a dummy banner and gallery images on the live site.
3.Currently, we do not have the Checklist ID for the form; the submitted data will be sent to event-enquiries@farnborough.com.
4.Currently, we have a dummy sample PDF, which will be downloaded after someone submits the form.</t>
  </si>
  <si>
    <t>AlMedad Form</t>
  </si>
  <si>
    <t>AlMedad Form Submission error due to arabic content on input value</t>
  </si>
  <si>
    <t>[NEW TASK] [DGDA] SignUp Form Button Changes</t>
  </si>
  <si>
    <t>aerospaceglobalforum.com</t>
  </si>
  <si>
    <t>Update 10.8.7 to Umbraco 13</t>
  </si>
  <si>
    <t>Closed / Cancelled</t>
  </si>
  <si>
    <t>Website Update - Phase 1.</t>
  </si>
  <si>
    <t>FIA.com - Marketing Toolkit Page</t>
  </si>
  <si>
    <t>Done the changes and moved to staging AW for Customer feed back</t>
  </si>
  <si>
    <t>[NEW TASK] [FIA] - FIA.com - Marketing Toolkit Page</t>
  </si>
  <si>
    <t>Urban Living</t>
  </si>
  <si>
    <t>Map approach shared with DGDA on 25/11, AW feedback. Also we are waiting to hear from UMA team on the section mapping for Urban Living. Waiting for UMA section mapping
As discussed, we will proceed with the closure as there are no plans for now to launch this page.</t>
  </si>
  <si>
    <t>360 Degree Image new website</t>
  </si>
  <si>
    <t>Infra - 70Hrs
Developement and testing - 120Hrs
David said on December 1, 2025  he will come back to us</t>
  </si>
  <si>
    <t>Content Update – Feb 2026</t>
  </si>
  <si>
    <t>Completed and Initial preview links were distributed on 5 February. Following this, Saad requested a hold on 12 February pending executive direction.Preview shared, waiting sign-off from top management. To Be Billed in Feb - April 2026</t>
  </si>
  <si>
    <t>Development for DGA guidelines and Website Content</t>
  </si>
  <si>
    <t>Content Update Required for DGDA</t>
  </si>
  <si>
    <t>XMCC Migration</t>
  </si>
  <si>
    <t xml:space="preserve">Sitecore team to review the exisitng code for any impacts, AW update. Github access granted to them on 11/12. Last update is that migration planned for March 31st. Follow up sent on 11/2 
Awaiting update from migration team. Awaiting for update from DGDA to initiate as we have recived confirmation to work on DGA (NDS)
As Per 13 April Meeting Saad to confirm IT strategy on CH1. Migration cannot run in parallel with DGA.
XMCC Migration Dropped </t>
  </si>
  <si>
    <t>Sitecore Migration CH1 to XMCC</t>
  </si>
  <si>
    <t>Need to follow up</t>
  </si>
  <si>
    <t>Open data form</t>
  </si>
  <si>
    <t>DGDA</t>
  </si>
  <si>
    <t>DGDA Website updates - SDAIA Compliance
Development work is finished. The task has been handed over to Majd’s team (C4C) for testing and SAP form configuration. Deployment will proceed once their work and the C4C setup are finalized.
Follow up sent to CRM team on 1 Feb. Completed by CRM team – awaiting confirmation
As discussed 13 April, we will proceed with the closure as there are no plans from the team to proceed with live.
Billed on June - Aug 2025</t>
  </si>
  <si>
    <t>Payload: Data Request Open Data Form - Fields Name Payload</t>
  </si>
  <si>
    <t>Open Data Form</t>
  </si>
  <si>
    <t>19dd348c2296a417</t>
  </si>
  <si>
    <t>Uma Form</t>
  </si>
  <si>
    <t>Development on all ER forms was completed and delivered on 6/1. The team is currently working on the Arabic content for the approved forms, with an ETA of 18/1. The forms were shared with the CRM team on 7/1; we are awaiting a response to proceed with integration. David sent a follow-up to the team, and an additional follow-up was sent on 2 Feb (still awaiting response). We Suggest To Set the call and discuss this. Forms delivered, waiting CRM integration response
Saad asked us to hold and move to closed</t>
  </si>
  <si>
    <t>DGDA Forms meeting with Technology + UMA + CRM</t>
  </si>
  <si>
    <t>Completed Uma Forms | Questions Regarding Missing Content</t>
  </si>
  <si>
    <t>DevSecOps Onboarding (Intoducing security scripts in our GitHub pipelines)
DGDA DevSecOps pipelines set up</t>
  </si>
  <si>
    <t>Alwosta submitted the Phase 1 questionnaire to DevSecOps on 22/12. We are pending an update from the DGDA Infra team before starting Phase 2. Following the delivery of prerequisites on 13/01 and a follow-up on 25/01, we coordinated with Busma to initiate the server setup. Ticket RITM0037232 was successfully raised today, 02 Feb 
Phase-2 pending Infra team approval
Blocker: Saad to obtain IT update/clearance for Alwosta to run security scripts.</t>
  </si>
  <si>
    <t>Status Update on DGDA DevSecOps Pipelines Setup</t>
  </si>
  <si>
    <t>Cybersecurity Compliance Self-Assessment</t>
  </si>
  <si>
    <t>Alwosta team has reviewd the document and updated wherever details can be added. AW claification on few sections, ETA - 9/3
The document was shared by Basmah for review, we have shared our feedback with them. No further action required. We will close it from our end.</t>
  </si>
  <si>
    <t>Project Update: Cybersecurity Compliance Self-Assessment</t>
  </si>
  <si>
    <t>Whatsapp integration</t>
  </si>
  <si>
    <t>Closed – Not Proceeding</t>
  </si>
  <si>
    <t>No Subtasks</t>
  </si>
  <si>
    <t>We are identifying vendors and have calls scheduled for 9 March. Following our discussion, Regan will coordinate with the client to gather further details and Enquire with the vendor SMS API MobiShastra API.https://www.mobishastra.com/sms-api.php 
Blocker: Waiting for AW confirmation to proceed further (sent 9/4). *ETA post-approval.</t>
  </si>
  <si>
    <t>Client will find the vendor and come back to us</t>
  </si>
  <si>
    <t>Project Update: Whatsapp integration</t>
  </si>
  <si>
    <t>19dcd4a4dcd3b025</t>
  </si>
  <si>
    <t>SignUp Changes on FIA</t>
  </si>
  <si>
    <t>Once the client's content has been updated, we will proceed with the live deployment.</t>
  </si>
  <si>
    <t xml:space="preserve">[NEW TASK] [FIA] SignUp Form Button Changes
</t>
  </si>
  <si>
    <t>19dd34b868f7cea6</t>
  </si>
  <si>
    <t>FIA Sign-Up Form Integration with Engage</t>
  </si>
  <si>
    <t>Asked the Key For FIA</t>
  </si>
  <si>
    <t>FIA API Method Update – Revised Effort &amp; Cost Estimation</t>
  </si>
  <si>
    <t>Technical Details – FIA Sign-Up Form Integration with Engage</t>
  </si>
  <si>
    <t>19dcd55452c6a307</t>
  </si>
  <si>
    <t>Adfactor Post By Admin</t>
  </si>
  <si>
    <t>We completed the changes and shared them with the client on March 24th for approval to go live. However, the site has been down since March 26th due to server issues. We requested the team to move staging to live on April 28th. The database has been replaced, and we are currently working on the final changes. We are also facing a permission issue, which we raised with Pushphakhant from the server team. He will get back to us today, April 30th, to set up a call so we can check it together.</t>
  </si>
  <si>
    <t>Project Update: Adfactor Post By Admin</t>
  </si>
  <si>
    <t>19dcd2cf998e87cc</t>
  </si>
  <si>
    <t>Adfactor Restore</t>
  </si>
  <si>
    <t>⚠ Missing Effort</t>
  </si>
  <si>
    <t>Since providing the latest database and requirements on April 9th, the team has been progressing with the remaining pages. We are currently navigating some permission constraints and have coordinated with the server team to troubleshoot this during a call today (30 April). We are also tracking the issue regarding profile pictures in the live environment, which was reported via email on April 27th.</t>
  </si>
  <si>
    <t>Need to check Realuser profile picture in social feed
we need Real User SSO Login credential for testing</t>
  </si>
  <si>
    <t>Project Update: Adfactor Restore</t>
  </si>
  <si>
    <t>19dbe07c1c8a897c</t>
  </si>
  <si>
    <t>FIA2026: Aircraft &amp; Agenda Pages</t>
  </si>
  <si>
    <t>Need to move the code after enage api fix</t>
  </si>
  <si>
    <t>Project Update: FIA2026: Aircraft &amp; Agenda Pages</t>
  </si>
  <si>
    <t>19dbe2264c925c20</t>
  </si>
  <si>
    <t xml:space="preserve">Exhibitor Listing </t>
  </si>
  <si>
    <t xml:space="preserve">Project Update: Exhibitor Listing </t>
  </si>
  <si>
    <t>FIA Maintenance April 2026</t>
  </si>
  <si>
    <t>Project Update: FIA Maintenance April 2026</t>
  </si>
  <si>
    <t>19dbe28bbe45b817</t>
  </si>
  <si>
    <t>Venue Maintenance April 2026</t>
  </si>
  <si>
    <t>Version Update has by abhi and Parthiban. 
Cross test done the entier website by them everything work as expeted</t>
  </si>
  <si>
    <t>Project Update: Venue Maintenance April 2026</t>
  </si>
  <si>
    <t>19dbdeb6c1b09ce7</t>
  </si>
  <si>
    <t>Adobe Experence Manger and workflow</t>
  </si>
  <si>
    <t>Rackesh Kumaran</t>
  </si>
  <si>
    <t>Core Value Page</t>
  </si>
  <si>
    <t>[Dev Tracker] TASK UPDATE: Core Value Page</t>
  </si>
  <si>
    <t>19dfbc3f12c44744</t>
  </si>
  <si>
    <t>Adobe Experience Manager and WorkFront</t>
  </si>
  <si>
    <t>G Mentioned He will speak to deep try to get the access for backoffice from deep we will review the backend</t>
  </si>
  <si>
    <t>[Dev Tracker] TASK UPDATE: Adobe Experience Manager and WorkFront</t>
  </si>
  <si>
    <t>19e348a16c2c39e7</t>
  </si>
  <si>
    <t>Content Update May</t>
  </si>
  <si>
    <t>Remove the campaign Link in awards sheet and upload in Awards page
Update the sheet and uplod content in AE, AM, Team Decathlon,
Updated content in Live 
Update content in Awards page for 2022 2023,2024 staging
Update content in Awards page for 2022 2023,2024 in Live
Align the gold silver bronze in 2022 2023 2024 in award page in live</t>
  </si>
  <si>
    <t>[Dev Tracker] TASK UPDATE: Content Update May</t>
  </si>
  <si>
    <t>19e8805287b6cb49</t>
  </si>
  <si>
    <t>Adfactor Restore May</t>
  </si>
  <si>
    <t>Few Profile Pic is missing on the Server Database That Need to fix from their end</t>
  </si>
  <si>
    <t>[Dev Tracker] TASK UPDATE: Adfactor Restore May</t>
  </si>
  <si>
    <t>19eac110abd6a112</t>
  </si>
  <si>
    <t>Image and Video Edit On Post</t>
  </si>
  <si>
    <t>[Dev Tracker] TASK UPDATE: Image and Video Edit On Post</t>
  </si>
  <si>
    <t>Users should be able to edit existing posts.
Users should be able to:
Add new images/videos
Replace existing images/videos
Remove existing media attachments
The updated media should be saved successfully along with the post changes.
The system should validate supported file formats and file size limits.
Existing permissions and security validations should remain applicable during media updates.</t>
  </si>
  <si>
    <t>19eb0c94eff21d41</t>
  </si>
  <si>
    <t>FIA Maintenance May 2026</t>
  </si>
  <si>
    <t>19eadc814e627d62</t>
  </si>
  <si>
    <t>Home Page Changes May 2026</t>
  </si>
  <si>
    <t>TASK UPDATE: Home Page Changes May 2026</t>
  </si>
  <si>
    <t>19eae0083be71160</t>
  </si>
  <si>
    <t>Brand Kit Page May 2026</t>
  </si>
  <si>
    <t>Arrow design/reference for Brand Kit and site-wide updates.
Icon for logo section for each items</t>
  </si>
  <si>
    <t>Intranet Icons</t>
  </si>
  <si>
    <t>TASK UPDATE: Brand Kit Page May 2026</t>
  </si>
  <si>
    <t>19eac11e075ef2ab</t>
  </si>
  <si>
    <t>DGDA Maintenance May 2026</t>
  </si>
  <si>
    <t>19ebccfb12ea8eb7</t>
  </si>
  <si>
    <t>Open data form Phase - 2</t>
  </si>
  <si>
    <t>Urgent</t>
  </si>
  <si>
    <t>https://release-dgda.d1pchk3m069rke.amplifyapp.com/en/open-data</t>
  </si>
  <si>
    <t>19eca52291fae749</t>
  </si>
  <si>
    <t>UmNUMDNDTUQyaklRa3A5Zg</t>
  </si>
  <si>
    <t>Main Task Name</t>
  </si>
  <si>
    <t>Ticket Id</t>
  </si>
  <si>
    <t>Assigned to</t>
  </si>
  <si>
    <t>Actual Efforts</t>
  </si>
  <si>
    <t>Google Subtask ID</t>
  </si>
  <si>
    <t>Main Google Task ID</t>
  </si>
  <si>
    <t>Google Nest Status</t>
  </si>
  <si>
    <t>Brand GuidLine Change</t>
  </si>
  <si>
    <t>Usage of the wireframes is fully set out in main brand guidelines</t>
  </si>
  <si>
    <t>Where recommended, these should be used across backgrounds and headers</t>
  </si>
  <si>
    <t>Brown Bold to be used for other headlines, H tags etc.</t>
  </si>
  <si>
    <t>Headers – add in a colour picker for banner descriptions, the same as with titles</t>
  </si>
  <si>
    <t>Ensure consistent line spacing between title and description.</t>
  </si>
  <si>
    <t>Footer – change section headers (Quick Links, Our Brands, Contact Us) to Brown Bold and white</t>
  </si>
  <si>
    <t>Add title to stats section</t>
  </si>
  <si>
    <t>Hide side by side section (video and 2024 report), will need it again post-airshow</t>
  </si>
  <si>
    <t>Add sixth theme onto the same line, currently displaying below the others (on staging site)</t>
  </si>
  <si>
    <t>Remove the share this page actions on detail pages:</t>
  </si>
  <si>
    <t>For example, the Sign-Up to FIA Insights bar should always be in grey if directly next to footer</t>
  </si>
  <si>
    <t>Avoid having 2 sections next to each other that use the Interstellar gradient. Sections should alternate between white background and either the gradient or grey</t>
  </si>
  <si>
    <t>Only to be used for Page Titles and some other headlines where specified (for example, the section headlines on the homepage)</t>
  </si>
  <si>
    <t>3.Don't use ethnocentric for category headings or company names (use Brown)</t>
  </si>
  <si>
    <t>4.Review category layout as there is quite a lot to display, on mobile especially you have to scroll a long way. Could this be changed to a simple drop-down filter?</t>
  </si>
  <si>
    <t>Replace carousel hero banner with video, centralise text and allow 2 button option.</t>
  </si>
  <si>
    <t>Ability to choose the colour of these buttons that would be useful, we can provide options (just to give us flexibility depending on hat we’re talking about)</t>
  </si>
  <si>
    <t>Add wireframe to background of gradient section</t>
  </si>
  <si>
    <t>Add a hover state to themes (colours to be provided)</t>
  </si>
  <si>
    <t>Trade Registration Page Development</t>
  </si>
  <si>
    <t>Sponsors &amp; Partners, Official Suppliers, Pioneers of Tomorrow Partner pages
1.Smaller hero banner</t>
  </si>
  <si>
    <t>2.Remove second title, just keep the one in the hero banner</t>
  </si>
  <si>
    <t>Where the main background used is the Interstellar gradient, we are looking at a different hero image design in white (for example, the Summary pages: Exhibiting Options, Enhance your presence, themes)</t>
  </si>
  <si>
    <t>New branding being finalised, we will send across new brand guidelines and a more detailed brief for each page by the end of November)</t>
  </si>
  <si>
    <t>Second Phase (January-March 2026)
Redesign of pages (Exhibitor listing, What’s On/Agenda, Aircraft Listing)
Further Pioneers pages (to be decided)
Further design tweaks</t>
  </si>
  <si>
    <t>Agenda - Waiting for PDF</t>
  </si>
  <si>
    <t>Received the PDF Today Updated On The DGS</t>
  </si>
  <si>
    <t>Production Stream - Waiting for actual image, Content and video link</t>
  </si>
  <si>
    <t xml:space="preserve"> AW contents from DGS follow up sent on 01-12-2025</t>
  </si>
  <si>
    <t>Register Form - Need to Map by CRM Team</t>
  </si>
  <si>
    <t>We are working on this with C4C team and Update the Mapping and Fix the changes
The team need to get back to Us(30-11-2025 to 01-12-2025)</t>
  </si>
  <si>
    <t>FirstName And LastName Only allow 40 character</t>
  </si>
  <si>
    <t>We sent a follow-up yesterday (December 1, 2025), 2nd follow-up sent on December 8, 2025. Awaiting client response</t>
  </si>
  <si>
    <t>Recaptcha Configuration and Update</t>
  </si>
  <si>
    <t xml:space="preserve"> Moswin</t>
  </si>
  <si>
    <t>Immediate Assistance Needed – reCAPTCHA v3 Key Update for DGS</t>
  </si>
  <si>
    <t>We need to identify the default location, filter the data accordingly, and display the result.</t>
  </si>
  <si>
    <t>Adfactor Home Page feature</t>
  </si>
  <si>
    <t>The system needs to allow post creation and updating to be handled entirely within the popup, instead of within a separate section.</t>
  </si>
  <si>
    <t>Speaker - Waiting for actual image and content</t>
  </si>
  <si>
    <t>Accompanying Exhibition - Waiting for actual image and content</t>
  </si>
  <si>
    <t>The Calendar also needs to be updated based on the holiday list and the applied filters.</t>
  </si>
  <si>
    <t>Version update from 14.2.25 to 15.5.9</t>
  </si>
  <si>
    <t>Apply prefech and pre connect for the speed increase</t>
  </si>
  <si>
    <t>desktop
40 -80
Mobile
32 - 50</t>
  </si>
  <si>
    <t>DGDA Improvment</t>
  </si>
  <si>
    <t>Actions to address CVE-2025-55182 and CVE-2025-66478 (Next.js/React Vulnerabilities)</t>
  </si>
  <si>
    <t>Users must be allowed to download and add all holidays to their personal calendar via an .ics file.</t>
  </si>
  <si>
    <t xml:space="preserve">Fall Back Need to Get from Member </t>
  </si>
  <si>
    <t>Notification 30 sec refresh with Cache</t>
  </si>
  <si>
    <t>Update the form date format</t>
  </si>
  <si>
    <t>SEO Assets for DGS Site - English</t>
  </si>
  <si>
    <t>We have shared the document with the client on December 1, 2025  and are now awaiting their reply and approval. Once they approve the changes and provide the Arabic content, we will update the DGS live environment.  2nd follow-up sent on December 8, 2025. Awaiting client response</t>
  </si>
  <si>
    <t>SEO Assets for DGS Site -  Arabic</t>
  </si>
  <si>
    <t>Conduct CH1 → XMCC Migration Impact Analysis. Document open questions, scope clarifications, and decisions.</t>
  </si>
  <si>
    <t>Critical / Blocker</t>
  </si>
  <si>
    <t>1) Share the question with the client.
2) They need to decide whether to perform the migration this month or in April.
3) The DGDA team needs to give the Sitecore team GitHub access.</t>
  </si>
  <si>
    <t>Sandbox access approved + answers received so development and testing can proceed without risk.</t>
  </si>
  <si>
    <t>The Dev Team needs to review the form tracking and coordinate with Ranjith for validation.</t>
  </si>
  <si>
    <t>Holiday Content</t>
  </si>
  <si>
    <t>Need to  check with Vishal</t>
  </si>
  <si>
    <t>The Show Pages Cards Change and color updates and fetch the pillars from the pillars folder</t>
  </si>
  <si>
    <t>Presently on Staging Alwosta team completed the program activity and integration with CRM is completed on 23/12; Program postponed to November 2026 as advised by Dayel.</t>
  </si>
  <si>
    <t>Summer Program Page form</t>
  </si>
  <si>
    <r>
      <rPr>
        <color rgb="FF1155CC"/>
        <sz val="10.0"/>
        <u/>
      </rPr>
      <t>https://preview-preprod.dgda.gov.sa/en/contact-us/diriyah-horizons</t>
    </r>
  </si>
  <si>
    <t>24-DEC-2025-1</t>
  </si>
  <si>
    <t>UMA Content - Close-Out Report (New form) - Phase 1</t>
  </si>
  <si>
    <t>C4C Intergraion Progress</t>
  </si>
  <si>
    <t>24-DEC-2025-2</t>
  </si>
  <si>
    <t>UMA Content - General Inquiry (Minor Change) - Phase 1</t>
  </si>
  <si>
    <t>C4C Intergraion Progress ,Current Cateogry is differnt what they have shared on the doucment we need to check with cline and continueq</t>
  </si>
  <si>
    <t>24-DEC-2025-3</t>
  </si>
  <si>
    <t>UMA Content - Complaints (Minor Change) - Phase 1</t>
  </si>
  <si>
    <t>C4C Intergraion Progress
Current Cateogry is differnt what they have shared on the doucment we need to check with cline and continueq</t>
  </si>
  <si>
    <t>24-DEC-2025-4</t>
  </si>
  <si>
    <t>UMA Content - Service Request (New form) - Phase 1</t>
  </si>
  <si>
    <t xml:space="preserve">C4C Intergraion Progress
English has compeleted arabic will start today </t>
  </si>
  <si>
    <t>24-DEC-2025-5</t>
  </si>
  <si>
    <t>UMA Content - Book a Meeting (New form) - Phase 1</t>
  </si>
  <si>
    <t>24-DEC-2025-6</t>
  </si>
  <si>
    <t>UMA Content - Staging Report (New form) - Phase 1</t>
  </si>
  <si>
    <t>C4C Intergraion Progress
completed in local hoverever this form on phase 2 so we will share with clinet once done the above forms</t>
  </si>
  <si>
    <t>24-DEC-2025-7</t>
  </si>
  <si>
    <t>OTP Intergration on the Website</t>
  </si>
  <si>
    <t>24-DEC-2025-8</t>
  </si>
  <si>
    <t>Violation_DGDA Website_Integration API_V1.1 testing in local</t>
  </si>
  <si>
    <t>503 Application Shutting Down Error need to check with client</t>
  </si>
  <si>
    <t>31-DEC-2025-1</t>
  </si>
  <si>
    <t>DGS Video Page(Coming Soon) Instead of the home page, create a new page and update the video on that page.</t>
  </si>
  <si>
    <t>Once got the approval from client need to publish on Production</t>
  </si>
  <si>
    <t>31-DEC-2025-2</t>
  </si>
  <si>
    <t>DGS pages unpublished and add redirection</t>
  </si>
  <si>
    <t>Venue Site Form Data Weekly Export and send to Client</t>
  </si>
  <si>
    <t>Venue Version Update</t>
  </si>
  <si>
    <t xml:space="preserve">Updated the Umbraco version 13.10.0 to 13.13.0 in Farnborough Vennue </t>
  </si>
  <si>
    <t>5-Jan-2026-1</t>
  </si>
  <si>
    <t xml:space="preserve">Set up redirects for DGS to the home page since the seminar is over. </t>
  </si>
  <si>
    <t xml:space="preserve">/en/agenda
/en/speakers
/en/past-seminars/dgs-2023
/en/past-seminars/dgs-2024
/en/accompanying-exhibition
/en/salwa-stage-live-stream
/en/alawja-stage-live-stream
/en/dgs-registration-closed
/en/privacy-policy
en/terms-and-conditions
/en/cookie-policy
/ar/agenda
/ar/speakers
/ar/past-seminars/dgs-2023
/ar/past-seminars/dgs-2024
/ar/accompanying-exhibition
/ar/salwa-stage-live-stream
/ar/alawja-stage-live-stream
/ar/dgs-registration-closed
/ar/privacy-policy
/ar/terms-and-conditions
/ar/cookie-policy
arabic pages to arabic home page is pending. </t>
  </si>
  <si>
    <t>Version Update 13.9.1 to 13.13.0 in FarnboroughAirshow</t>
  </si>
  <si>
    <t>Internal Task</t>
  </si>
  <si>
    <t xml:space="preserve">Research on self hosted runners and their cost per usage for private and public repos in github
 </t>
  </si>
  <si>
    <t>GitHub Actions Billing – Runner Cost Overview
document done, need to check with Sowndar if he has something else that needs to cover and close this</t>
  </si>
  <si>
    <t>Define industry-standard DevOps-as-a-Service offerings, competitive benchmarking, internal capability mapping, pricing structure, and operational readiness including AWS service scope and scaling considerations.</t>
  </si>
  <si>
    <r>
      <rPr>
        <color rgb="FF1155CC"/>
        <sz val="10.0"/>
        <u/>
      </rPr>
      <t xml:space="preserve">DevOps as a Service
</t>
    </r>
    <r>
      <rPr>
        <color rgb="FF000000"/>
        <sz val="10.0"/>
      </rPr>
      <t xml:space="preserve">Need to get verification from Sowndar before taking it up with Sriram Sir </t>
    </r>
  </si>
  <si>
    <t>06-JAN-2025-1</t>
  </si>
  <si>
    <t>Complaints Form Concerned Area remove and change the category and sub-category position</t>
  </si>
  <si>
    <t>06-JAN-2025-2</t>
  </si>
  <si>
    <t>Staging Report,Book a Meeting content change</t>
  </si>
  <si>
    <t>Exhibitor Portal Plan</t>
  </si>
  <si>
    <t>The Process Has happen long before we will restart it later so we close it for now</t>
  </si>
  <si>
    <t>Umbraco Log Check and send auto notification via email</t>
  </si>
  <si>
    <t>5-Jan-2026-2</t>
  </si>
  <si>
    <t xml:space="preserve">Set up redirects for DGS to the home page in a way that all english pages go to english home page , and all arabic home pages go to arabic home pages since the seminar is over. </t>
  </si>
  <si>
    <t>www.astonbrooke.co.uk/</t>
  </si>
  <si>
    <t xml:space="preserve">AB project CICD failing </t>
  </si>
  <si>
    <t>Aston Brooke  CICD is failing because of No space is left because of too many artifacts, need to solve  it and provide permanent solution for future proofing.</t>
  </si>
  <si>
    <t xml:space="preserve">Issue has been resolved. 
Issue: too many build has been happening in past few days so artifact storage has filled up. 
Immediate solution: Deleted older artifacts and freed up space , now working fine.
Permanent solution: For build artifacts now have kept an expiry of 7 days, now the clean up activity of artifacts will happen by itself regularly. </t>
  </si>
  <si>
    <t>07-JAN-2025-1</t>
  </si>
  <si>
    <t>Service Request Form - This section will appear if  category = Design Compliance and add new 4 fields</t>
  </si>
  <si>
    <t>1. Missing fields
How do you describe yourself and area ? need to check if we need to include 
If the user slects Design compliance in Category we will introduce the new section 
Do we need to place it as first and last name in Owner information or as Owner Name</t>
  </si>
  <si>
    <t xml:space="preserve">DGDA DevSecOps pipelines set up </t>
  </si>
  <si>
    <t>08-JAN-2025-1</t>
  </si>
  <si>
    <t>Meeting to Work along with Saheel and set up Security pipelines in DGDA and generate reports</t>
  </si>
  <si>
    <t xml:space="preserve">Discussed and provided details for the DGDA to proceed further with their set up for scnaning. </t>
  </si>
  <si>
    <t>08-JAN-2025-2</t>
  </si>
  <si>
    <t xml:space="preserve">Document preparation with all the details required from the infra team from DGDA </t>
  </si>
  <si>
    <t>DGDA_DGS DevSecOps implementation .docx</t>
  </si>
  <si>
    <t>DGDA monitoring sheet update</t>
  </si>
  <si>
    <t>DGDA monitoring sheet updated for the last 5 days.</t>
  </si>
  <si>
    <t>DGDA Monitoring Activities</t>
  </si>
  <si>
    <t>POT Feed Back Changes</t>
  </si>
  <si>
    <t>09-JAN-2025-1</t>
  </si>
  <si>
    <t xml:space="preserve">Homepage
'Welcome to Pioneers of Tomorrow' font needs to be bolder, use Lexend Black for main page titles
Sub-headings, e.g. What's On, Ticket Types &amp; Get Involved should also be Lexend Black
You can check how the font weighting should display here: https://fonts.google.com/specimen/Lexend
</t>
  </si>
  <si>
    <t>FIA2026 Website Updates</t>
  </si>
  <si>
    <t>09-JAN-2025-2</t>
  </si>
  <si>
    <t xml:space="preserve">Menu
Could you change the PoT section in the mega menu to the light blue, but keep the drop down as purple once hovered over? The purple blends in too much to the teal colour at the moment
 </t>
  </si>
  <si>
    <t>09-JAN-2025-3</t>
  </si>
  <si>
    <t xml:space="preserve">Key Features (summary)
Title needs to be bolder  (Lexend black)
Sub-heading font is fine
 </t>
  </si>
  <si>
    <t>09-JAN-2025-4</t>
  </si>
  <si>
    <t>Key features (detail)
Change useful links box to one of the lighter purple colours
Title needs to be bolder (Lexend black)</t>
  </si>
  <si>
    <t>09-JAN-2025-5</t>
  </si>
  <si>
    <t>Get Involved (detail)
Not publishing, but should sit under PoT section</t>
  </si>
  <si>
    <t>09-JAN-2025-6</t>
  </si>
  <si>
    <t>Tickets
Reduce the size of the hero banner (same size as the trade FIA ticket page would be ideal)
Titles needs to be bolder (Lexend black)
When adding another ticket type the new box is FIA teal colour rather than purple</t>
  </si>
  <si>
    <t>09-JAN-2025-7</t>
  </si>
  <si>
    <t>FIA Homepage
Theme Section – could the hover colour match the colour of the theme (see brand guidelines for hexcodes)</t>
  </si>
  <si>
    <t>Remove the Land Management Services From e-service</t>
  </si>
  <si>
    <t>FIA Website Final Changes</t>
  </si>
  <si>
    <t>FIA 2026 and POT 2026 Changes moved to live and version update move to live</t>
  </si>
  <si>
    <t>Adfactors sso login issue fix and move the changes to staging and live and test the site</t>
  </si>
  <si>
    <t>DGDA Monitoring sheet update for the last 4 days</t>
  </si>
  <si>
    <t>Cloudflare resolver issue analysis with the 1.1.1.1 IP. Have identified nothing to worry about in our particular case.</t>
  </si>
  <si>
    <t>DGDA Diagram work for documentation</t>
  </si>
  <si>
    <t>22-JAN-2026-1</t>
  </si>
  <si>
    <t>National Design System design apply for home page and header and footer</t>
  </si>
  <si>
    <t>Develope Testimonials Page</t>
  </si>
  <si>
    <r>
      <rPr>
        <sz val="10.0"/>
      </rPr>
      <t xml:space="preserve">Design Link </t>
    </r>
    <r>
      <rPr>
        <color rgb="FF1155CC"/>
        <sz val="10.0"/>
        <u/>
      </rPr>
      <t>https://www.figma.com/design/rFsGHt32JQmdSu5yTx6Ni3/Farnborough-studios?node-id=128-2&amp;t=b4BY2SVqY9tQB9mE-0</t>
    </r>
  </si>
  <si>
    <t>Studios website - testimonials</t>
  </si>
  <si>
    <t>Daily Monitoring and Update in sheet for all Websites</t>
  </si>
  <si>
    <t>Daily mornitoring the websites (working status,log error,page speed)</t>
  </si>
  <si>
    <t>Forms payload duplicate fix - Golf Club Hiring Opportunity form</t>
  </si>
  <si>
    <r>
      <rPr>
        <rFont val="Arial"/>
        <color rgb="FF222222"/>
        <sz val="10.0"/>
      </rPr>
      <t xml:space="preserve">DGDA Content Update
</t>
    </r>
    <r>
      <rPr>
        <rFont val="Arial"/>
        <b/>
        <color rgb="FF222222"/>
        <sz val="10.0"/>
      </rPr>
      <t xml:space="preserve">Menu </t>
    </r>
    <r>
      <rPr>
        <rFont val="Arial"/>
        <color rgb="FF222222"/>
        <sz val="10.0"/>
      </rPr>
      <t xml:space="preserve">
1.Diriyah Community changed to Life in Diriyah
2.url Changed from https://preview-preprod.dgda.gov.sa/en/diriyah-community to https://preview-preprod.dgda.gov.sa/en/life-in-diriyah
3.Update the page banner text from Diriyah Community changed to Life in Diriyah
</t>
    </r>
    <r>
      <rPr>
        <rFont val="Arial"/>
        <b/>
        <color rgb="FF222222"/>
        <sz val="10.0"/>
      </rPr>
      <t xml:space="preserve">Learn at Diriyah
https://preview-preprod.dgda.gov.sa/en/program/dal
</t>
    </r>
    <r>
      <rPr>
        <rFont val="Arial"/>
        <color rgb="FF222222"/>
        <sz val="10.0"/>
      </rPr>
      <t xml:space="preserve">1.Title Updated
2.Content Updated
3.Program Card Image Updated
</t>
    </r>
    <r>
      <rPr>
        <rFont val="Arial"/>
        <b/>
        <color rgb="FF222222"/>
        <sz val="10.0"/>
      </rPr>
      <t xml:space="preserve">https://preview-preprod.dgda.gov.sa/en/program/dgs-students-poster-showcase
</t>
    </r>
    <r>
      <rPr>
        <rFont val="Arial"/>
        <color rgb="FF222222"/>
        <sz val="10.0"/>
      </rPr>
      <t xml:space="preserve">1.New Program Page Created
2.Title Updated
3.Content Updated
4.Banner Image Updated
5.Program Card Image Updated
</t>
    </r>
    <r>
      <rPr>
        <rFont val="Arial"/>
        <b/>
        <color rgb="FF222222"/>
        <sz val="10.0"/>
      </rPr>
      <t xml:space="preserve">https://preview-preprod.dgda.gov.sa/en/program/diriyah-horizons
</t>
    </r>
    <r>
      <rPr>
        <rFont val="Arial"/>
        <color rgb="FF222222"/>
        <sz val="10.0"/>
      </rPr>
      <t xml:space="preserve">1.Title Updated
2.Content Updated
3.Banner Image Updated
4.Program Card Image Updated
Heritage and Culture
</t>
    </r>
    <r>
      <rPr>
        <rFont val="Arial"/>
        <b/>
        <color rgb="FF222222"/>
        <sz val="10.0"/>
      </rPr>
      <t xml:space="preserve">https://preview-preprod.dgda.gov.sa/en/place/at-turaif
</t>
    </r>
    <r>
      <rPr>
        <rFont val="Arial"/>
        <color rgb="FF222222"/>
        <sz val="10.0"/>
      </rPr>
      <t>1.Content Updated</t>
    </r>
  </si>
  <si>
    <t>After got approval need to publish the page on live</t>
  </si>
  <si>
    <t>Film at Farnborough FAM Trip form fix</t>
  </si>
  <si>
    <t>https://farnboroughinternationalstudios.com/film-at-farnborough-fam-trip/</t>
  </si>
  <si>
    <t>SEO optimization for the FIL Studios website</t>
  </si>
  <si>
    <t>Leadership Component Change the Desgin for this Leadership Team and update the content and Images</t>
  </si>
  <si>
    <t>https://preview-preprod.dgda.gov.sa/en/about/leadership</t>
  </si>
  <si>
    <t>05-FEB-2026-1</t>
  </si>
  <si>
    <t>Create a Adfactors About adfactor academy,Internal Programmes,Cohort-based Programmes</t>
  </si>
  <si>
    <t>Waiting for client approval to move live</t>
  </si>
  <si>
    <t>https://intranetstaging.adfactorspr.com/knowledge-corner/adfactors-academy/</t>
  </si>
  <si>
    <t>05-FEB-2026-2</t>
  </si>
  <si>
    <t>Academy Detail page</t>
  </si>
  <si>
    <t>11-FEB-2026-1</t>
  </si>
  <si>
    <t>Create a Adfactors Academy Page version 2 with accordions</t>
  </si>
  <si>
    <t xml:space="preserve">Create a another Design based on the client need and shown as new page named as Academy page V2.Moved to staging for client review. </t>
  </si>
  <si>
    <t>https://intranetstaging.adfactorspr.com/knowledge-corner/adfactors-academy-version-2/</t>
  </si>
  <si>
    <t>11-FEB-2026-2</t>
  </si>
  <si>
    <t>Create new field for Ticket Price Image</t>
  </si>
  <si>
    <t>After Received Approval need to move the code and create field to live</t>
  </si>
  <si>
    <t>12-FEB-2026-1</t>
  </si>
  <si>
    <t>Leadership Components (HRH) Text Alignment fix in coding</t>
  </si>
  <si>
    <t>12-FEB-2026-6</t>
  </si>
  <si>
    <t>Change the website server</t>
  </si>
  <si>
    <t>12-FEB-2026-2</t>
  </si>
  <si>
    <t>Add a Featured Exhibitors in aerospace global forum</t>
  </si>
  <si>
    <t>12-FEB-2026-3</t>
  </si>
  <si>
    <t>DGDA CTA and Header Tracking Code Update</t>
  </si>
  <si>
    <t>12-FEB-2026-4</t>
  </si>
  <si>
    <t>Test Entire page and functionality in Adfactors new website</t>
  </si>
  <si>
    <t>12-FEB-2026-5</t>
  </si>
  <si>
    <t>Change the padding in Internal Programmes,Cohort-based Programmes cards</t>
  </si>
  <si>
    <t>Client sugested to padding and cards alaingment.changes are Done and moved to staging</t>
  </si>
  <si>
    <t>13-FEB-2026-1</t>
  </si>
  <si>
    <t>16-FEB-2026-1</t>
  </si>
  <si>
    <t>The hyperlinks on these pages aren't opening in a new tab script fix</t>
  </si>
  <si>
    <t>16-FEB-2026-2</t>
  </si>
  <si>
    <t>Add Author name field for artical page</t>
  </si>
  <si>
    <t>https://intranetstaging.adfactorspr.com/knowledge-corner/current-affairs/industry-reports/us-india-trade-agreement-framework-a-structural-analysis/</t>
  </si>
  <si>
    <t>16-FEB-2026-3</t>
  </si>
  <si>
    <t xml:space="preserve">Excel to table data not showing issue fix on adfactors </t>
  </si>
  <si>
    <t>16-FEB-2026-4</t>
  </si>
  <si>
    <t>Create a Posts &amp; Moderation for admin post detail page</t>
  </si>
  <si>
    <t>https://localhost:44380/admin-post-detail?postId=d302be2f-fb49-45e9-8d9f-5caea8ea5925</t>
  </si>
  <si>
    <t>16-FEB-2026-5</t>
  </si>
  <si>
    <t>Add Edit post ,Archive,Delete button and make it functional</t>
  </si>
  <si>
    <t>17-FEB-2026-1</t>
  </si>
  <si>
    <t>Design a Post and moderation Table in admin dashboard</t>
  </si>
  <si>
    <t>https://localhost:44380/admin-dashboard/admin-post-moderation/</t>
  </si>
  <si>
    <t>17-FEB-2026-2</t>
  </si>
  <si>
    <t xml:space="preserve">Fetch the Preview image from Db and show it as preview in Table </t>
  </si>
  <si>
    <t>17-FEB-2026-3</t>
  </si>
  <si>
    <t>Redesign the Admin Post detail page match with our existing design</t>
  </si>
  <si>
    <t>18-FEB-2026-1</t>
  </si>
  <si>
    <t>Add a Filter and search buttons into the Post and moderation and Activity Log</t>
  </si>
  <si>
    <t>18-FEB-2026-2</t>
  </si>
  <si>
    <t xml:space="preserve">Add Export Log in Admin Activity log Functionality </t>
  </si>
  <si>
    <t>https://localhost:44380/admin-dashboard/admin-activity-log/</t>
  </si>
  <si>
    <t>18-FEB-2026-3</t>
  </si>
  <si>
    <t>Add Entity Id as in Action Description and Redirect to post detail page</t>
  </si>
  <si>
    <t>19-FEB-2026-1</t>
  </si>
  <si>
    <t>Create a System Generated Post with Drag and drop Functionality</t>
  </si>
  <si>
    <t>Academy page</t>
  </si>
  <si>
    <t>19-FEB-2026-2</t>
  </si>
  <si>
    <t>Create a new pages Adfactors Academy Version 2.1 and V2.2
Create a new section Reach Out to Us for both page</t>
  </si>
  <si>
    <t>client suggested a additonal 2 pages named as Adfactors acadamy version 2.1 and 2.2 with additional sections.changes are done and moved to staging
Waiting For client approval to move live</t>
  </si>
  <si>
    <t>1. Clone the Founding day page and change the old page url to fd-25 
2. Remove some sections and change the bg color for a section
3. Change the icon for a section</t>
  </si>
  <si>
    <t>Hold for client feedback Since Founding Day Activations has finished. We consider this task as closed</t>
  </si>
  <si>
    <r>
      <rPr>
        <color rgb="FF1155CC"/>
        <sz val="10.0"/>
        <u/>
      </rPr>
      <t xml:space="preserve">https://preview-preprod.dgda.gov.sa/en/fd-25
</t>
    </r>
    <r>
      <rPr>
        <color rgb="FF000000"/>
        <sz val="10.0"/>
      </rPr>
      <t xml:space="preserve">https://feat-founding-day-2026.d38541r9nlp4br.amplifyapp.com/en/founding-day
</t>
    </r>
  </si>
  <si>
    <t xml:space="preserve">Author Name Get the data drom the database and pick the author name from the author folder </t>
  </si>
  <si>
    <t>FIA2026 | Exhibitor Listing Page
Filter Any Category to Any Priorities
Filter Any Theme to Any Priorities
Theme/s changed to Priorities
Apply new design for this page and change the accordion to popup</t>
  </si>
  <si>
    <t xml:space="preserve">Code updated and moved to git
</t>
  </si>
  <si>
    <r>
      <rPr>
        <color rgb="FF1155CC"/>
        <sz val="10.0"/>
        <u/>
      </rPr>
      <t>https://staging.farnboroughairshow.com/the-show/exhibitor-listing/</t>
    </r>
  </si>
  <si>
    <t>23-FEB-2026-1</t>
  </si>
  <si>
    <t>Add archive and Restore  for the admin activity</t>
  </si>
  <si>
    <t>23-FEB-2026-2</t>
  </si>
  <si>
    <t>Do the changes in post moderation and Activity log</t>
  </si>
  <si>
    <t>change the button style and remove the image preview,hide the archive post in post moderation table and show in activity log</t>
  </si>
  <si>
    <t>24-FEB-2026-2</t>
  </si>
  <si>
    <t>pilot testing for system generated post.
create auto generated post</t>
  </si>
  <si>
    <t>24-FEB-2026-1</t>
  </si>
  <si>
    <t>Leadership Components (HRH) Text Alignment fix in coding and CEO Message Design Moved to Production</t>
  </si>
  <si>
    <t>https://www.dgda.gov.sa/en/about</t>
  </si>
  <si>
    <t>24-FEB-2026-3</t>
  </si>
  <si>
    <t>create a admin and super admin to show the admin icon and delete functionality</t>
  </si>
  <si>
    <t>Based on the backofice access we do the admin access and super admin access</t>
  </si>
  <si>
    <t>25-FEB-2026-1</t>
  </si>
  <si>
    <t>Please update the sticky button colour from orange to purple (Pioneers, light purple)
Fix typo on public (PoT) enquiries (screenshot), should be Pioneers of Tomorrow
We now have over 27 featured exhibitor logos for the homepage and it takes several minutes to see them all. Please could we speed up the scroll slightly and add an additional row? (see mock-up) If the second row could start from exhibitor 15 AMDIE</t>
  </si>
  <si>
    <t>26-FEB-2026-1</t>
  </si>
  <si>
    <t>Exhibitor Logo in Same Direction
For the Sticky Button need to add the color picker</t>
  </si>
  <si>
    <t>Adfactors Production Test the site after point the new server</t>
  </si>
  <si>
    <t>Adfactors Staging Test the site after point the new server</t>
  </si>
  <si>
    <t>Work Adfactors Production Test the site after point the new server</t>
  </si>
  <si>
    <t>Work Adfactors Staging Test the site after point the new server</t>
  </si>
  <si>
    <t>Social Feed</t>
  </si>
  <si>
    <t>02-MAR-2026-1</t>
  </si>
  <si>
    <t xml:space="preserve">Create a Filter for Social Feed Posts </t>
  </si>
  <si>
    <t>09-MAR-2026-1</t>
  </si>
  <si>
    <t>Adfactors Academy Page remove the border botton and add the section title
Add the Enable Tab Button Logic</t>
  </si>
  <si>
    <t>09-MAR-2026-2</t>
  </si>
  <si>
    <t>Move the academy Page to live</t>
  </si>
  <si>
    <t>09-MAR-2026-3</t>
  </si>
  <si>
    <t>Theme Page MPU Implementation in FIA</t>
  </si>
  <si>
    <t>https://staging.farnboroughairshow.com/the-show/themes/global-security/</t>
  </si>
  <si>
    <t>FIA Website | Theme Page Leaderboard</t>
  </si>
  <si>
    <t>10-MAR-2026-1</t>
  </si>
  <si>
    <t>change the admin and super admin access for admin dashborad via Member group backofice</t>
  </si>
  <si>
    <t>Emergency Service Form</t>
  </si>
  <si>
    <t>12-MAR-2026-1</t>
  </si>
  <si>
    <t>Emergency Service Form With OTP and GIS API</t>
  </si>
  <si>
    <t>SMS API Working Good Waiting for Production URL
3rd Api not working 1st and 2nd Api Working</t>
  </si>
  <si>
    <t>12-MAR-2026-2</t>
  </si>
  <si>
    <t>Qmatic API for Booking School Visit Form</t>
  </si>
  <si>
    <t>Waiting for the client to share the UAT API links</t>
  </si>
  <si>
    <t>12-MAR-2026-3</t>
  </si>
  <si>
    <r>
      <rPr>
        <sz val="10.0"/>
      </rPr>
      <t xml:space="preserve">Packages fix </t>
    </r>
    <r>
      <rPr>
        <color rgb="FF1155CC"/>
        <sz val="10.0"/>
        <u/>
      </rPr>
      <t xml:space="preserve">https://github.com/dgcl-cloud/dgda/security/dependabot </t>
    </r>
  </si>
  <si>
    <t xml:space="preserve">Waiting for Moswin input - We need to done the task thats tagged with Development </t>
  </si>
  <si>
    <t>12-MAR-2026-4</t>
  </si>
  <si>
    <t>Check the system generated Post in staging</t>
  </si>
  <si>
    <t>share the staging link with sai and review it and if any change they need to fix that</t>
  </si>
  <si>
    <t>Form Test</t>
  </si>
  <si>
    <t>13-MAR-2026-1</t>
  </si>
  <si>
    <t>Test All the forms in DGDA and Farnborugh</t>
  </si>
  <si>
    <t>13-MAR-2026-2</t>
  </si>
  <si>
    <t>Change the allignment and add fonts size ,Start Center End allignment in System Genereted Post preview and after post.Add Line breaking</t>
  </si>
  <si>
    <t>Farnborough Weekly Report</t>
  </si>
  <si>
    <t>13-MAR-2026-3</t>
  </si>
  <si>
    <t>Weekly Export Forms in Farnborough</t>
  </si>
  <si>
    <t>msmehealthengine.fametn.com</t>
  </si>
  <si>
    <t>MSME Phase 2</t>
  </si>
  <si>
    <t xml:space="preserve">CI / CD for backend Staging + Production </t>
  </si>
  <si>
    <t>13-MAR-2026-4</t>
  </si>
  <si>
    <t>FIECC - Landing page Development and Move to Production</t>
  </si>
  <si>
    <r>
      <rPr>
        <color rgb="FF1155CC"/>
        <sz val="10.0"/>
        <u/>
      </rPr>
      <t xml:space="preserve">https://www.figma.com/proto/Oxi5zyx20OGwglaaWWAXhS/Farnborough-venue?page-id=115%3A2&amp;node-id=115-1814&amp;viewport=364%2C384%2C0.47&amp;t=pqOk7KSBeCne8OJa-1&amp;scaling=min-zoom&amp;content-scaling=fixed&amp;starting-point-node-id=115%3A4757
</t>
    </r>
    <r>
      <rPr>
        <sz val="10.0"/>
      </rPr>
      <t>1.Currently, we have Lorem Ipsum on the live site.
2.Currently, we have a dummy banner and gallery images on the live site.
3.Currently, we do not have the Checklist ID for the form; the submitted data will be sent to event-enquiries@farnborough.com.
4.Currently, we have a dummy sample PDF, which will be downloaded after someone submits the form.</t>
    </r>
  </si>
  <si>
    <t>farnborough.com/landing-page</t>
  </si>
  <si>
    <t xml:space="preserve">Fill the Cybersecurity Compliance Self-Assessment document and share back with the client </t>
  </si>
  <si>
    <t>Academy Page - 2</t>
  </si>
  <si>
    <t>17-MAR-2026-1</t>
  </si>
  <si>
    <t>Update the content from staging to live in backoffice</t>
  </si>
  <si>
    <t>17-MAR-2026-2</t>
  </si>
  <si>
    <t>Academy Page Title Border Logic</t>
  </si>
  <si>
    <t>17-MAR-2026-3</t>
  </si>
  <si>
    <t>Test the Behalf of comapy and behalf of user functionality in Home page</t>
  </si>
  <si>
    <t>Disaster recovery plan and prepare a document on it..</t>
  </si>
  <si>
    <t>https://docs.google.com/document/d/1sKpXIeZkRqO2P7UP6aU-Rp7B50l07Mr2/edit?usp=sharing&amp;ouid=108220845174973423951&amp;rtpof=true&amp;sd=true</t>
  </si>
  <si>
    <t>https://hellowizadmin.hellowiz.com/</t>
  </si>
  <si>
    <t>Hellowiz architecture</t>
  </si>
  <si>
    <t>Fill this document for Architecture questionnaire for HelloWiz</t>
  </si>
  <si>
    <t>18-MAR-2026-1</t>
  </si>
  <si>
    <t>Make the userename as Comms desk and post sublines with corresponding posts ifor system generated post</t>
  </si>
  <si>
    <t>19-MAR-2026-1</t>
  </si>
  <si>
    <t>Add Mention tag and get notfication for the Corresponding User after system generated post</t>
  </si>
  <si>
    <t>Need to check the Real User get Notification while auto post generation post the Birthday or Work Anniversary</t>
  </si>
  <si>
    <t>19-MAR-2026-2</t>
  </si>
  <si>
    <t>Need to check what column have in New Joiner table for Joining date</t>
  </si>
  <si>
    <t>FIA-DGDA Maintenance 04 2026</t>
  </si>
  <si>
    <t>20-MAR-2026-1</t>
  </si>
  <si>
    <t>Test All the Forms in DGDA and Farnborough</t>
  </si>
  <si>
    <t>20-MAR-2026-2</t>
  </si>
  <si>
    <t>Farnborough Weekly Form Export</t>
  </si>
  <si>
    <t>20-MAR-2026-3</t>
  </si>
  <si>
    <t>Academy Page Move to Production</t>
  </si>
  <si>
    <t>https://intranet.adfactorspr.com/adfactors-academy/</t>
  </si>
  <si>
    <t>20-MAR-2026-4</t>
  </si>
  <si>
    <t>Fix the alignment issue in the System Generated Post (Rich Text Editor)</t>
  </si>
  <si>
    <t>20-MAR-2026-5</t>
  </si>
  <si>
    <t>Provide the complete list of user variables available in the database</t>
  </si>
  <si>
    <t>server database Employee Detail colum</t>
  </si>
  <si>
    <t>20-MAR-2026-6</t>
  </si>
  <si>
    <t>Correct the line spacing for System Generated Posts</t>
  </si>
  <si>
    <t>20-MAR-2026-7</t>
  </si>
  <si>
    <t>Remove the “Edit” option for System Generated Posts on the Post Moderation page</t>
  </si>
  <si>
    <t>20-MAR-2026-8</t>
  </si>
  <si>
    <t>Remove the fields: Age in Years, Email ID, and Mobile Number</t>
  </si>
  <si>
    <t>20-MAR-2026-9</t>
  </si>
  <si>
    <t>Add a toggle option for “Post on behalf of Company”</t>
  </si>
  <si>
    <t>https://astonbrooke.co.uk/</t>
  </si>
  <si>
    <t>AstonBrooke Demo environment set up</t>
  </si>
  <si>
    <t>AstonBrooke Demo Environment set up and deployment of application in there and testing is done</t>
  </si>
  <si>
    <t>DNS set up for Hellowiz demo site with demo as subdomain and update the mappings.</t>
  </si>
  <si>
    <t>25-MAR-2026-1</t>
  </si>
  <si>
    <t>Analysis the Log for New joiner and fix the date time issue</t>
  </si>
  <si>
    <t>25-MAR-2026-2</t>
  </si>
  <si>
    <t>Fix the alignment issue in the System Generated Post (Rich Text Editor) and after post</t>
  </si>
  <si>
    <t>25-MAR-2026-3</t>
  </si>
  <si>
    <t>check  Date of joining update in Staging DB</t>
  </si>
  <si>
    <t>DGDA Adoc 04 2026</t>
  </si>
  <si>
    <t>26-MAR-2026-1</t>
  </si>
  <si>
    <t>Update the Almedad Mail Subject to  English from arabic</t>
  </si>
  <si>
    <t>Rackesh Training</t>
  </si>
  <si>
    <t>26-MAR-2026-2</t>
  </si>
  <si>
    <t>Train Reckesh to Monthly Maintance Report ,Form submision in DGDA and Farnborough</t>
  </si>
  <si>
    <t>26-MAR-2026-3</t>
  </si>
  <si>
    <t>Check the Log for new joiner will present with Date Time format</t>
  </si>
  <si>
    <t>26-MAR-2026-4</t>
  </si>
  <si>
    <t>check the code base and auto generation post cause server issue</t>
  </si>
  <si>
    <t>27-MAR-2026-1</t>
  </si>
  <si>
    <t>Weekly Form Export-Farborough</t>
  </si>
  <si>
    <t>Maintenance 04 2026</t>
  </si>
  <si>
    <t>27-MAR-2026-2</t>
  </si>
  <si>
    <t>Form Test Farnborough Production and DGDA Preview</t>
  </si>
  <si>
    <t>27-MAR-2026-3</t>
  </si>
  <si>
    <t>FIA Maintenance 04 2026</t>
  </si>
  <si>
    <t>27-MAR-2026-4</t>
  </si>
  <si>
    <t>Listing all the pages with preformance score in Vennue</t>
  </si>
  <si>
    <t>27-MAR-2026-5</t>
  </si>
  <si>
    <t>Listing all the pages with preformance score in FIA</t>
  </si>
  <si>
    <t>30-MAR-2026-1</t>
  </si>
  <si>
    <t>Fix the performance issue for Mobile and desktop in Farnborough Vennue</t>
  </si>
  <si>
    <t>30-MAR-2026-2</t>
  </si>
  <si>
    <t>After fix the performance List all the pages again for Performance score</t>
  </si>
  <si>
    <t>31-MAR-2026-1</t>
  </si>
  <si>
    <t>Fix the  Marked Low performance score pages to optimize speed in farnborough venue</t>
  </si>
  <si>
    <t>31-MAR-2026-2</t>
  </si>
  <si>
    <t>Test again all the marked pages Performance</t>
  </si>
  <si>
    <t>Farnborough Monthly Report</t>
  </si>
  <si>
    <t>31-MAR-2026-3</t>
  </si>
  <si>
    <t>check and add the task in Monthly maintance report for Farnborough and Intranet</t>
  </si>
  <si>
    <t xml:space="preserve">DGDA Sheet update for the past week </t>
  </si>
  <si>
    <t>1-APR-2026-1</t>
  </si>
  <si>
    <t>Test the all pages in staging compared with live for design layout functionality and forms  after speed Optimize in FIA</t>
  </si>
  <si>
    <t>Top Nav Popup section on the FIA</t>
  </si>
  <si>
    <t>OTP Integration on DGDA Form resend logic using  Mobi Shastra API</t>
  </si>
  <si>
    <t>Waiting For Client Input</t>
  </si>
  <si>
    <t>.</t>
  </si>
  <si>
    <t>1-APR-2026-3</t>
  </si>
  <si>
    <t>Clone all farnborough projects and check there is using Engage API in Project</t>
  </si>
  <si>
    <t>2-APR-2026-4</t>
  </si>
  <si>
    <t>Marketing Toolkit Page</t>
  </si>
  <si>
    <t xml:space="preserve">Whats on page Design Change </t>
  </si>
  <si>
    <t>Awaiting Client Feedback</t>
  </si>
  <si>
    <t>https://staging.farnboroughairshow.com/the-show/whats-on/</t>
  </si>
  <si>
    <t xml:space="preserve">Whats on page Design Change on POT </t>
  </si>
  <si>
    <t>https://staging.farnboroughairshow.com/pioneers-of-tomorrow/whats-on/</t>
  </si>
  <si>
    <t>Aircraft Listing Mobile Design</t>
  </si>
  <si>
    <t>https://docs.google.com/document/d/19v8lP-ynYEOs90V00npsW9_5QUlLek1xcG8O2t615JI/edit?tab=t.0</t>
  </si>
  <si>
    <t>https://staging.farnboroughairshow.com/the-show/aircraft-listing/</t>
  </si>
  <si>
    <t>06-APR-2026-1</t>
  </si>
  <si>
    <t>Marketing toolkit page Fix</t>
  </si>
  <si>
    <t>06-APR-2026-2</t>
  </si>
  <si>
    <t>Check the ADF DB in local and Drive</t>
  </si>
  <si>
    <t>06-APR-2026-3</t>
  </si>
  <si>
    <t>Restore all the Backup Production DB and check the latest blogs casestudy</t>
  </si>
  <si>
    <t>DGDA Monitoring</t>
  </si>
  <si>
    <t xml:space="preserve">DGDA monitoring sheet last week fill. </t>
  </si>
  <si>
    <t>07-APR-2026-1</t>
  </si>
  <si>
    <t>check the Current Engage APi and remove it and add Rest APIAdd common Service and link the rest API for FIA Forms</t>
  </si>
  <si>
    <t xml:space="preserve">Aircraft Listing Page Mobile Design Move to Production </t>
  </si>
  <si>
    <t>Whasts on page Client Feedback Changes</t>
  </si>
  <si>
    <t>Marketing toolkit page Fix Client Feedback Changes</t>
  </si>
  <si>
    <r>
      <rPr>
        <rFont val="&quot;Google Sans&quot;, Roboto, RobotoDraft, Helvetica, Arial, sans-serif"/>
        <color rgb="FF1F1F1F"/>
      </rPr>
      <t xml:space="preserve">Error Analysis Report – </t>
    </r>
    <r>
      <rPr>
        <rFont val="&quot;Google Sans&quot;, Roboto, RobotoDraft, Helvetica, Arial, sans-serif"/>
        <color rgb="FF1155CC"/>
        <u/>
      </rPr>
      <t>farnboroughairshow.com</t>
    </r>
    <r>
      <rPr>
        <rFont val="&quot;Google Sans&quot;, Roboto, RobotoDraft, Helvetica, Arial, sans-serif"/>
        <color rgb="FF1F1F1F"/>
      </rPr>
      <t xml:space="preserve"> fix </t>
    </r>
  </si>
  <si>
    <t>Airshow full site cross testing and ads functionality on local</t>
  </si>
  <si>
    <t>Error Analysis for Farnborough Venue</t>
  </si>
  <si>
    <t>08-APR-2026-1</t>
  </si>
  <si>
    <t>Test the Adfactors project and sso login</t>
  </si>
  <si>
    <t>08-APR-2026-2</t>
  </si>
  <si>
    <t>Analysis and Take the file path which is need for server restoreration and system requirement</t>
  </si>
  <si>
    <t>08-APR-2026-3</t>
  </si>
  <si>
    <t>Test the Engage API with Email notification 
Check the DB form is submited 
check the API respose with Breakpoint for All FIA Forms</t>
  </si>
  <si>
    <t>All Froms are tested with Engage API response DB present and  user Email check</t>
  </si>
  <si>
    <t>08-APR-2026-4</t>
  </si>
  <si>
    <t>08-APR-2026-5</t>
  </si>
  <si>
    <t xml:space="preserve">Rackesh Training for create a fields on live and update the content and coding move to staging </t>
  </si>
  <si>
    <t>08-APR-2026-6</t>
  </si>
  <si>
    <t>Marketing toolkit page Create on live and update the content on live</t>
  </si>
  <si>
    <t>08-APR-2026-7</t>
  </si>
  <si>
    <t>Rackesh</t>
  </si>
  <si>
    <t>08-APR-2026-8</t>
  </si>
  <si>
    <t>Top Nav Popup section on the FIA Button Color update logo and font size increase update</t>
  </si>
  <si>
    <t>08-APR-2026-9</t>
  </si>
  <si>
    <t xml:space="preserve">Marketing Page Code Change to Value Method </t>
  </si>
  <si>
    <t>09-APR-2026-1</t>
  </si>
  <si>
    <t>Marketing toolkit page Move to live</t>
  </si>
  <si>
    <t>https://farnboroughairshow.com/marketing-page/</t>
  </si>
  <si>
    <t>09-APR-2026-2</t>
  </si>
  <si>
    <t>Top Nav Popup section Move to Production</t>
  </si>
  <si>
    <t>09-APR-2026-4</t>
  </si>
  <si>
    <t>CSP Error Fix on Venue</t>
  </si>
  <si>
    <t>CSP Error Fix on FIA</t>
  </si>
  <si>
    <t>09-APR-2026-6</t>
  </si>
  <si>
    <t>Expo Platform Aircraft Content Update</t>
  </si>
  <si>
    <t>09-APR-2026-7</t>
  </si>
  <si>
    <t>Expo Platform WhatsOn Content Update</t>
  </si>
  <si>
    <t>Rackesh Training Aircraft and WhatsOn Content Update</t>
  </si>
  <si>
    <t>09-APR-2026-8</t>
  </si>
  <si>
    <t>09-APR-2026-9</t>
  </si>
  <si>
    <t>09-APR-2026-10</t>
  </si>
  <si>
    <t>Expo Platform Functionality Exhibitor</t>
  </si>
  <si>
    <t>Expo Platform Functionality Aircraft</t>
  </si>
  <si>
    <t>Expo Platform Functionality WhatsOn</t>
  </si>
  <si>
    <t>09-APR-2026-11</t>
  </si>
  <si>
    <t>Check All the pages in Adfactors and Mark in sheet</t>
  </si>
  <si>
    <t>09-APR-2026-12</t>
  </si>
  <si>
    <t>Toggle Button for enable Book now and Sign up form</t>
  </si>
  <si>
    <t>Will complete the task of 10.4.26 First Half</t>
  </si>
  <si>
    <t>10-APR-2026-1</t>
  </si>
  <si>
    <t>Completed and shared to sai</t>
  </si>
  <si>
    <t>10-APR-2026-2</t>
  </si>
  <si>
    <t>Need to make the newsletter form sticky on the right hand side</t>
  </si>
  <si>
    <t>10-APR-2026-3</t>
  </si>
  <si>
    <t>Done and Updated in Sheet</t>
  </si>
  <si>
    <t>09-APR-2026-3</t>
  </si>
  <si>
    <r>
      <rPr>
        <rFont val="Arial"/>
        <b/>
        <color theme="1"/>
        <sz val="10.0"/>
      </rPr>
      <t>Client Feedback 1</t>
    </r>
    <r>
      <rPr>
        <rFont val="Arial"/>
        <color theme="1"/>
        <sz val="10.0"/>
      </rPr>
      <t xml:space="preserve">
Location Filter Location Sub Title
Title Design Change
Detail Page </t>
    </r>
  </si>
  <si>
    <t>Completed 75% of work Done 
Need to work on the Switch to Section Development
Will complete the task of 10.4.26 First Half</t>
  </si>
  <si>
    <r>
      <rPr>
        <rFont val="Arial"/>
        <b/>
        <color theme="1"/>
        <sz val="10.0"/>
      </rPr>
      <t>Client Feedback 1</t>
    </r>
    <r>
      <rPr>
        <rFont val="Arial"/>
        <color theme="1"/>
        <sz val="10.0"/>
      </rPr>
      <t xml:space="preserve">
Switch to Section Development</t>
    </r>
  </si>
  <si>
    <t>Done Moved to staging and shared to sai</t>
  </si>
  <si>
    <t>Test the Home page</t>
  </si>
  <si>
    <t>Compleded testing with Fonts forn size and resposive for Desktop,Mobile and Ipads</t>
  </si>
  <si>
    <t>10-APR-2026-4</t>
  </si>
  <si>
    <t>Submit all Forms in farnborough Production and DGDA preview</t>
  </si>
  <si>
    <t>10-APR-2026-5</t>
  </si>
  <si>
    <t>Change the API key and test the forms in FIA</t>
  </si>
  <si>
    <t>Done in staging need to move live</t>
  </si>
  <si>
    <t>Venue Version Update 13.13.0 to 13.13.1 and cross test the entire site forms and functionality</t>
  </si>
  <si>
    <t>10-APR-2026-8</t>
  </si>
  <si>
    <t>check the Entire site with Forms ,menus,redirection,responsivenes after Version Update 13.13.0 to 13.13.1</t>
  </si>
  <si>
    <t>Done all working fine</t>
  </si>
  <si>
    <t>13-APR-2026-1</t>
  </si>
  <si>
    <t>FIA Version Update 13.13.0 to 13.13.1 and cross test the entire site forms and functionality</t>
  </si>
  <si>
    <t>Done and moved to staging</t>
  </si>
  <si>
    <t>13-APR-2026-2</t>
  </si>
  <si>
    <t>Train Reckesh How to Update the version in umbraco and Move to staging in FIA</t>
  </si>
  <si>
    <t>Venue Staging Site Log check after version udpate and check the forms</t>
  </si>
  <si>
    <t>13-APR-2026-5</t>
  </si>
  <si>
    <t>Restore the Old and new DB and share it in group
List the table and make sheet what tables are need to add in server</t>
  </si>
  <si>
    <t>Done and share it in group</t>
  </si>
  <si>
    <t>13-APR-2026-6</t>
  </si>
  <si>
    <t>Version Update 13.9.2 to 13.13.1 in Adfactors</t>
  </si>
  <si>
    <t>Done in local need to move</t>
  </si>
  <si>
    <t>13-APR-2026-7</t>
  </si>
  <si>
    <t>Restore the DB scripts for update Table from dec to March in ADF share it in Drive</t>
  </si>
  <si>
    <t>Umbraco Feature</t>
  </si>
  <si>
    <t>13-APR-2026-8</t>
  </si>
  <si>
    <t>Create a New Table in DB and count the page counts with page name URL and view counts</t>
  </si>
  <si>
    <t>Create a Table and do a functionaly for View count with recomented rule page count and page view count is working.
But i face issue  not all pages get the page name correctly some page name are getting null.
Now its done</t>
  </si>
  <si>
    <t>13-APR-2026-9</t>
  </si>
  <si>
    <t>FIA Version update 13.13.0 to 13.13.1 guide Parthiban and Rakesh</t>
  </si>
  <si>
    <t xml:space="preserve">FIA testing </t>
  </si>
  <si>
    <t>13-APR-2026-10</t>
  </si>
  <si>
    <t>Cross test the entire FIA site and make note the error in console for the each page to fix that errors</t>
  </si>
  <si>
    <t>14-APR-2026-1</t>
  </si>
  <si>
    <t>"Add a new tables Page table and View log table  
adding futures  Popular Content Ranking “Most Viewed” Page view counts,Most viewed (week),Trending (last 24h),Recently viewed (this browser) in backofice"</t>
  </si>
  <si>
    <t>14-APR-2026-2</t>
  </si>
  <si>
    <t xml:space="preserve">How to take Db Backup and move to local via Ultrviewer and overview about iss server </t>
  </si>
  <si>
    <t>Venue Version Update 13.13.0 to 13.13.1 move to live and cross test the entire site</t>
  </si>
  <si>
    <t>FIA Site Version update from 13.13.0 to 13.13.1 move to live and cross test the entire site</t>
  </si>
  <si>
    <t>Rackesh Laptop SQL Fix</t>
  </si>
  <si>
    <t>15-APR-2026-1</t>
  </si>
  <si>
    <t>Make the view count into models to call in  anywhere in UI pages</t>
  </si>
  <si>
    <t xml:space="preserve">Vajra - Innovation </t>
  </si>
  <si>
    <t>15-APR-2026-2</t>
  </si>
  <si>
    <t>Vajra - Innovation -extern to Implementation steps umbraco support make it in sheet</t>
  </si>
  <si>
    <t>Vajra - Innovation get 5 ideas and analysis how to do that</t>
  </si>
  <si>
    <t>15-APR-2026-4</t>
  </si>
  <si>
    <t>Adfactors PR - Intranet Restoration-meeting</t>
  </si>
  <si>
    <t>15-APR-2026-5</t>
  </si>
  <si>
    <r>
      <rPr>
        <sz val="10.0"/>
      </rPr>
      <t xml:space="preserve">Venue site redirection form </t>
    </r>
    <r>
      <rPr>
        <color rgb="FF1155CC"/>
        <sz val="10.0"/>
        <u/>
      </rPr>
      <t>https://farnborough.com/</t>
    </r>
    <r>
      <rPr>
        <sz val="10.0"/>
      </rPr>
      <t xml:space="preserve"> to https://www.farnborough.com/ on web.config</t>
    </r>
  </si>
  <si>
    <t>15-APR-2026-7</t>
  </si>
  <si>
    <t>Add the tracking code on the 2 tickets page</t>
  </si>
  <si>
    <t>Studio Maintenance 04 2026</t>
  </si>
  <si>
    <t>16-APR-2026-2</t>
  </si>
  <si>
    <t>Fix the console error 500 (Internal Server Error)
check the recaptcha 401 (Unauthorized) compare the API keys with live vs stagigng
Submit all the forms and check in backofice
Entire site crosstest in with responsive in farnboroughinternationalstudios in staging</t>
  </si>
  <si>
    <t>16-APR-2026-3</t>
  </si>
  <si>
    <t>Adfactors PR Intranet – Restoration Approach &amp; Next Steps</t>
  </si>
  <si>
    <t>Restore the current Academy Pages in local
VPN connection and desktop connection  
Try to upload the files in adfactors server</t>
  </si>
  <si>
    <t>16-APR-2026-4</t>
  </si>
  <si>
    <t>How to submit the forms and How to check the Entries for both Umbraco forms in backoffice and custom forms in ssms</t>
  </si>
  <si>
    <t>Qmatic Integration</t>
  </si>
  <si>
    <t xml:space="preserve">SMS API Testing </t>
  </si>
  <si>
    <t>17-APR-2026-1</t>
  </si>
  <si>
    <t>17-APR-2026-2</t>
  </si>
  <si>
    <t>School Visit form didn't have Calendar Date so that form we cant test</t>
  </si>
  <si>
    <t>Need to add dates in calender to resolve this issue</t>
  </si>
  <si>
    <t>17-APR-2026-3</t>
  </si>
  <si>
    <t>Fix the FIA Accommodation issue</t>
  </si>
  <si>
    <t>Moved to Live</t>
  </si>
  <si>
    <t>17-APR-2026-4</t>
  </si>
  <si>
    <t>Move the files to intranet staging and fix the server to Host the staing site</t>
  </si>
  <si>
    <t>17-APR-2026-5</t>
  </si>
  <si>
    <t>Analyis and upted the Current Market Competitor        Our Advantage        Feasibility        Integration Approach        API Cost / Pricing for Vajra-inovation</t>
  </si>
  <si>
    <t>DGDA - Qmatic &amp; E-services webpage</t>
  </si>
  <si>
    <t>17-FEB-2026-7</t>
  </si>
  <si>
    <t>DGDA - Qmatic &amp; E-services webpage analysis</t>
  </si>
  <si>
    <t>20-APR-2026-1</t>
  </si>
  <si>
    <t>Meeting With client to add the Database script in staging Database</t>
  </si>
  <si>
    <t>20-APR-2026-3</t>
  </si>
  <si>
    <t>Change the user name adfactorspr to Comms Desk in backofice and DB script</t>
  </si>
  <si>
    <t>Need to Update script in staging and live</t>
  </si>
  <si>
    <t>Update the script in staging DB to check</t>
  </si>
  <si>
    <t>20-APR-2026-4</t>
  </si>
  <si>
    <t>Add Admin Dashboad in backofice and restore it in staging</t>
  </si>
  <si>
    <t>20-APR-2026-5</t>
  </si>
  <si>
    <t>Fix the issue in NBD Lead Registration Form</t>
  </si>
  <si>
    <t>Need Testing ID to move further</t>
  </si>
  <si>
    <t>Need a Tesing ID Or client need to submit the for how its work</t>
  </si>
  <si>
    <t>20-APR-2026-6</t>
  </si>
  <si>
    <t>Train to how restore the Db and use it connectionstring and instal the packages and run the project in ADF</t>
  </si>
  <si>
    <t>20-APR-2026-7</t>
  </si>
  <si>
    <t xml:space="preserve">Check all the functionality and backoffice page and upload images </t>
  </si>
  <si>
    <t>21-APR-2026-1</t>
  </si>
  <si>
    <t>Restore the Academy page</t>
  </si>
  <si>
    <t>21-APR-2026-2</t>
  </si>
  <si>
    <t>Fix the Excel formating issue</t>
  </si>
  <si>
    <t>21-APR-2026-3</t>
  </si>
  <si>
    <t>Check and add the locations in Locations page</t>
  </si>
  <si>
    <t>21-APR-2026-4</t>
  </si>
  <si>
    <t>Restore the rainmaker-s-leaderboard page</t>
  </si>
  <si>
    <t>21-APR-2026-5</t>
  </si>
  <si>
    <t>Restore the cross-sell-initiative Page</t>
  </si>
  <si>
    <t>21-APR-2026-6</t>
  </si>
  <si>
    <t>Restore the holiday-list-2026 pages</t>
  </si>
  <si>
    <t>21-APR-2026-7</t>
  </si>
  <si>
    <t>Get and Test the DB query for delete all values in social DB</t>
  </si>
  <si>
    <t>21-APR-2026-8</t>
  </si>
  <si>
    <t>Move to Live and test the entire functionality and Pages in ADF Live</t>
  </si>
  <si>
    <t>21-APR-2026-9</t>
  </si>
  <si>
    <t xml:space="preserve">Add logo and Icons for missing pages </t>
  </si>
  <si>
    <t>20-Apr-2026-1</t>
  </si>
  <si>
    <t>DB Script update with Ashish</t>
  </si>
  <si>
    <t>Adfactor - Media Folder Changes</t>
  </si>
  <si>
    <t>20-Apr-2026-2</t>
  </si>
  <si>
    <t>Adfactor - Permission</t>
  </si>
  <si>
    <t>Adfactor - Live</t>
  </si>
  <si>
    <t>19-Apr-2026-1</t>
  </si>
  <si>
    <t>NDB Form Testing</t>
  </si>
  <si>
    <t>Since we don't have user id vishal will check and come back to us</t>
  </si>
  <si>
    <t>21-Apr-2026-2</t>
  </si>
  <si>
    <t>Update the content for 8 pages in Adf Staging Site and Decathlon excel file data format fix</t>
  </si>
  <si>
    <t>21-Apr-2026-3</t>
  </si>
  <si>
    <t>Update the icon for 4 pages around 30+ icons on the live</t>
  </si>
  <si>
    <t>21-Apr-2026-4</t>
  </si>
  <si>
    <t>Cross test the entire site after move to live</t>
  </si>
  <si>
    <t>22-Apr-2026-1</t>
  </si>
  <si>
    <t>test the entire functionality and Pages in ADF Live
Chsnge the database name and moved to staging</t>
  </si>
  <si>
    <t>22-Apr-2026-2</t>
  </si>
  <si>
    <t>Remove the recomented pages in Live</t>
  </si>
  <si>
    <t>22-Apr-2026-3</t>
  </si>
  <si>
    <t xml:space="preserve">Add and remove some links on footer </t>
  </si>
  <si>
    <t>22-Apr-2026-4</t>
  </si>
  <si>
    <t>Research Inquiry forms development and add the form on 3 sections</t>
  </si>
  <si>
    <t>Card 2 (Currently, we have updated the description content with lorem ipsum.)
Card 3 (Currently, we have updated the description content with lorem ipsum. The triangle design is used for all promotion sections, so I have used the same for this section as well. If you would like to change the icon, please let me know.)</t>
  </si>
  <si>
    <r>
      <rPr>
        <color rgb="FF1155CC"/>
        <u/>
      </rPr>
      <t xml:space="preserve">Payload Link </t>
    </r>
    <r>
      <rPr/>
      <t xml:space="preserve">
</t>
    </r>
    <r>
      <rPr>
        <color rgb="FF1155CC"/>
        <u/>
      </rPr>
      <t>Page Url 
Card 1</t>
    </r>
    <r>
      <rPr/>
      <t xml:space="preserve"> 
</t>
    </r>
    <r>
      <rPr>
        <color rgb="FF1155CC"/>
        <u/>
      </rPr>
      <t>Card 2</t>
    </r>
    <r>
      <rPr/>
      <t xml:space="preserve"> (Currently, we have updated the description content with lorem ipsum.)
</t>
    </r>
    <r>
      <rPr>
        <color rgb="FF1155CC"/>
        <u/>
      </rPr>
      <t>Card 3</t>
    </r>
  </si>
  <si>
    <t>https://docs.google.com/presentation/d/1bVxbVlIFbB2UTiBRq-zjlK58qrXlAQva0RuVYrTzLtY/edit?slide=id.p6#slide=id.p6</t>
  </si>
  <si>
    <t>22-Apr-2026-5</t>
  </si>
  <si>
    <t>Remove the dates of the next month
Post in behalf of Adfactors
Copyright 2025 to be removed
change different font size for different post
Align the User profile pic to the fields
Need admin and super admin access for vishal</t>
  </si>
  <si>
    <t>22-Apr-2026-7</t>
  </si>
  <si>
    <t>22-Apr-2026-8</t>
  </si>
  <si>
    <t>Vajra Innovation Initiative – Idea Research &amp; Feasibility Analysis</t>
  </si>
  <si>
    <t>21-Apr-2026-9</t>
  </si>
  <si>
    <t>24-Apr-2026-2</t>
  </si>
  <si>
    <t>Download and Move the Profile pic images to staging and Test it</t>
  </si>
  <si>
    <t>24-Apr-2026-1</t>
  </si>
  <si>
    <t>Restore the Profile picture in social feed and other pages</t>
  </si>
  <si>
    <t xml:space="preserve">Need to check Realuser profile picture in social feed
Update the the lateast Live DB to staging to check the user profile pic.
or else we need Real User SSO Login credential for testing
</t>
  </si>
  <si>
    <t>24-Apr-2026-3</t>
  </si>
  <si>
    <t>Restore the Profile picture in Birthday Workanniversary</t>
  </si>
  <si>
    <t>There is No images for New Joiner.</t>
  </si>
  <si>
    <t>Teach the Rackesh about the version update on the Stuidio site</t>
  </si>
  <si>
    <t>Studio Site Version update from 13.13.0 to 13.13.1 move to Live and cross test the entire site</t>
  </si>
  <si>
    <t xml:space="preserve">DGDA Sheet update for the past 1.5 weeks </t>
  </si>
  <si>
    <t>27-Apr-2026-1</t>
  </si>
  <si>
    <t>27-Apr-2026-2</t>
  </si>
  <si>
    <t>Create a Admindashboard in staging and add logger to check the  tagged notifications for that user</t>
  </si>
  <si>
    <t>Need permission in WAF service</t>
  </si>
  <si>
    <t>Need to create a new image folder and give permisson to that folder then only system generated post saved in db and show it in social feed</t>
  </si>
  <si>
    <t>27-Apr-2026-3</t>
  </si>
  <si>
    <t>10 elements for AE, AM, and Team Decathlon Content update</t>
  </si>
  <si>
    <t>https://intranet.adfactorspr.com/ae-decathlon-30/
Decathlon FAQs, Timelines, Rules, and Explanations (old page)
https://intranet.adfactorspr.com/am-decathlon-20/
Decathlon FAQs, Timelines, Rules, and Explanations (old page)
https://intranet.adfactorspr.com/team-decathlon-30/
Other Information (old page)</t>
  </si>
  <si>
    <t>27-Apr-2026-4</t>
  </si>
  <si>
    <t>Create a post in System generetaed post and check the Permissons in server</t>
  </si>
  <si>
    <t>27-Apr-2026-5</t>
  </si>
  <si>
    <t>Article detail page article info featch from Db and backoffice logic fix</t>
  </si>
  <si>
    <t>28-Apr-2026-1</t>
  </si>
  <si>
    <t>Please place the 3rd card between the programs and digital library on the Learn At Diriyah Page</t>
  </si>
  <si>
    <r>
      <rPr>
        <color rgb="FF1155CC"/>
        <u/>
      </rPr>
      <t>https://feat-research-inquiry.d38541r9nlp4br.amplifyapp.com/en/learn-at-diriyah</t>
    </r>
  </si>
  <si>
    <t>28-Apr-2026-2</t>
  </si>
  <si>
    <t>Take the Farnborough site DB Backup</t>
  </si>
  <si>
    <t>28-Apr-2026-3</t>
  </si>
  <si>
    <t>Check all the 403 forbiden API url in network tab and Note it for whitelist</t>
  </si>
  <si>
    <t>28-Apr-2026-4</t>
  </si>
  <si>
    <t>Clone a new project and fix the engage API</t>
  </si>
  <si>
    <t>28-Apr-2026-5</t>
  </si>
  <si>
    <t>fix the changes.The icon size should increase
Copy URL, it is not showing the posted person name
Privacy Policy - Remove
SGP, creative dimensions</t>
  </si>
  <si>
    <t xml:space="preserve">Edit Delete options for Company post </t>
  </si>
  <si>
    <t>28-Apr-2026-6</t>
  </si>
  <si>
    <t>Enable/Disable Toggle for System Generated Posts</t>
  </si>
  <si>
    <t>28-Apr-2026-8</t>
  </si>
  <si>
    <t xml:space="preserve">GIS Api Testing on the postman and call with client and test the SMS API </t>
  </si>
  <si>
    <t>29-Apr-2026-1</t>
  </si>
  <si>
    <t>Coding Done Check Employe Id fetch from Db in Staging</t>
  </si>
  <si>
    <t>Code fixed in local need to move staging and check Emp ID is receive</t>
  </si>
  <si>
    <t xml:space="preserve">Sever show Please Wait message </t>
  </si>
  <si>
    <t>29-Apr-2026-2</t>
  </si>
  <si>
    <t>Alert message-Remove all the browser allert and add a popup alert for every functions</t>
  </si>
  <si>
    <t>Browser alert message Remove and add Altert popup 
Once Fix the server Moved to Staging and check</t>
  </si>
  <si>
    <t>29-Apr-2026-3</t>
  </si>
  <si>
    <t>For some users the AlMedad not submit because of the many characters the payload size is high fix that issue on the form</t>
  </si>
  <si>
    <t>https://main.d3jcmxm4xwijj.amplifyapp.com/en/contact-us/AlMedad</t>
  </si>
  <si>
    <t>29-Apr-2026-4</t>
  </si>
  <si>
    <t>FIA-Moved to staging
FIA Form Submit and check it in DB and Mail
List all the checklist ID for all Forms</t>
  </si>
  <si>
    <t>29-Apr-2026-5</t>
  </si>
  <si>
    <t>Test all functionality after Live DB restore</t>
  </si>
  <si>
    <t>User Profile pic is missing need to check kajol profile is updated in server
Stil facing 403 forbiden Error in system generated post</t>
  </si>
  <si>
    <t>Need t check in sever for kajol profile is updated and check the  permissons is give for system generated post URL</t>
  </si>
  <si>
    <t>29-Apr-2026-6</t>
  </si>
  <si>
    <t>Update Holiday list In staging and Live 
Updated the Company post username as Display name</t>
  </si>
  <si>
    <t>Clone a Class of 2038 page in Aboutus and add content in staging and live</t>
  </si>
  <si>
    <t>Pages are cloned and unpublished
Need content to update
Folow up with sai 30/04/2026</t>
  </si>
  <si>
    <t>Content is needed from client</t>
  </si>
  <si>
    <t>29-Apr-2026-7</t>
  </si>
  <si>
    <t>SMS API Production URL Document Testing</t>
  </si>
  <si>
    <t>I tried both No Auth and Basic Auth
username - ffffa747-d38b-3971-83e5-facd68d4fd40
Password - SAPCPI_SMS__API_OAUTH_e650058
but it show unauthorized_client</t>
  </si>
  <si>
    <t>29-Apr-2026-8</t>
  </si>
  <si>
    <t>Check the DGDA logs to see if there have been any issues on the site over the last 30 days.</t>
  </si>
  <si>
    <t xml:space="preserve">Send 1 month logs to Abhicheke for preview preprod environment </t>
  </si>
  <si>
    <t>29-Apr-2026-10</t>
  </si>
  <si>
    <t>Leadership Team enhancement:implemented Umbraco-driven designation grouping (via LeadershipDesignation dropdown), preserved person-specific titles, and fixed blank-selection behavior by enforcing mandatory designation validation.</t>
  </si>
  <si>
    <t>30-Apr-2026-1</t>
  </si>
  <si>
    <t>upload content on the Power of One Guidelines page.staging and live</t>
  </si>
  <si>
    <t>30-Apr-2026-2</t>
  </si>
  <si>
    <t>we need to remove the newsletter email ID from the post detail page &amp; place a sign-up form which will have the same pop-up form utilised on the Navigation bar.</t>
  </si>
  <si>
    <t>Exhibitor Listing Count, mismatch</t>
  </si>
  <si>
    <t>30-Apr-2026-3</t>
  </si>
  <si>
    <t>Monitor rackesh for Leadership-Team page</t>
  </si>
  <si>
    <t>30-Apr-2026-4</t>
  </si>
  <si>
    <t>Test the Adfactors staging Functionality</t>
  </si>
  <si>
    <t>30-Apr-2026-5</t>
  </si>
  <si>
    <t xml:space="preserve">FIA-Moved to staging
Delete the Exbhitor values in staging DB
</t>
  </si>
  <si>
    <t>30-Apr-2026-6</t>
  </si>
  <si>
    <t>check the List of task in DGDA Feb to aprl
Updated the project tracker sheet Feb to aprl</t>
  </si>
  <si>
    <t>01-May-2026-1</t>
  </si>
  <si>
    <t>FIA-Moved to Live
Submit the Forms
Test all the pages in live</t>
  </si>
  <si>
    <t>04-May-2026-1</t>
  </si>
  <si>
    <t>ADF-April Task list</t>
  </si>
  <si>
    <t>04-May-2026-2</t>
  </si>
  <si>
    <t xml:space="preserve">Test the Entire pages in FIA Live </t>
  </si>
  <si>
    <t>04-May-2026-3</t>
  </si>
  <si>
    <t>Add Content in Demon Farm page in staging</t>
  </si>
  <si>
    <t>Add Content in Demon Farm page and move to live</t>
  </si>
  <si>
    <t>Change the server settings for pool Always running in staging
Test system generated post in staging</t>
  </si>
  <si>
    <t>1. The names need to be in alphabetical order.
2. Confirm only the people who are part of the Demon Farm cohort have access to the Knowledge Hub.
3. Change the text in the knowledge hub to say "The Knowledge Hub is designed to be an exclusive and collaborative space for you as members of the Class of 2038. Whether it’s industry developments, leadership lessons, or simply resources you’ve found useful, this is where we can learn from each other and grow together."
4. Add the same banner we have used in Class of 2038 for the Knowledge Hub in this as well.</t>
  </si>
  <si>
    <t>04-May-2026-5</t>
  </si>
  <si>
    <t>Add Acess for Kajol and hemant.gaule for knowledge hub button</t>
  </si>
  <si>
    <t>Access is handeled in coding by manish not in backofice</t>
  </si>
  <si>
    <t>04-May-2026-6</t>
  </si>
  <si>
    <t>Fix the profile Pic Falback to default while 30min idile site</t>
  </si>
  <si>
    <t>04-May-2026-7</t>
  </si>
  <si>
    <t>farnboroughairshow full site cross testing</t>
  </si>
  <si>
    <t>04-May-2026-8</t>
  </si>
  <si>
    <t xml:space="preserve">In Adfactors creating the field and updating the pics for the each individual in the leadership team </t>
  </si>
  <si>
    <t>04-May-2026-9</t>
  </si>
  <si>
    <t xml:space="preserve">Testing the adfactors demon-farm employee list </t>
  </si>
  <si>
    <t>N8N automation</t>
  </si>
  <si>
    <t>learning</t>
  </si>
  <si>
    <t>04-May-2026-10</t>
  </si>
  <si>
    <t>Learning the n8n automation tool for the automation&amp; intial setup</t>
  </si>
  <si>
    <t xml:space="preserve">Automation SEO/AEO Tool </t>
  </si>
  <si>
    <t xml:space="preserve">Vajra - Intranet </t>
  </si>
  <si>
    <t>04-May-2026-11</t>
  </si>
  <si>
    <t>Automation SEO/AEO Tool : learning to understand the automated process for this tool and code structure from the n8n automation</t>
  </si>
  <si>
    <t xml:space="preserve"> Frontend Setup for the Automation SEO/AEO Tool</t>
  </si>
  <si>
    <t>04-May-2026-12</t>
  </si>
  <si>
    <t xml:space="preserve"> learning react for the frontend setup for this project is started </t>
  </si>
  <si>
    <t>Daily Monitoring site cross test and Update in sheet</t>
  </si>
  <si>
    <t xml:space="preserve">Site Cross testing </t>
  </si>
  <si>
    <t>04-May-2026-13</t>
  </si>
  <si>
    <t>Site cross testing for the entire projects Farnborough &amp; Dgda</t>
  </si>
  <si>
    <t>04-May-2026-14</t>
  </si>
  <si>
    <r>
      <rPr>
        <sz val="10.0"/>
      </rPr>
      <t xml:space="preserve">Take the unused fields name list on the intranet </t>
    </r>
    <r>
      <rPr>
        <color rgb="FF1155CC"/>
        <sz val="10.0"/>
        <u/>
      </rPr>
      <t>Sheet Link</t>
    </r>
    <r>
      <rPr>
        <sz val="10.0"/>
      </rPr>
      <t xml:space="preserve"> take the fields name and check with the coding</t>
    </r>
  </si>
  <si>
    <t>04-May-2026-15</t>
  </si>
  <si>
    <t>Core Value Image Update</t>
  </si>
  <si>
    <t>05-May-2026-1</t>
  </si>
  <si>
    <t>Remove the campaign Link in awards sheet and upload in Awards page</t>
  </si>
  <si>
    <t>05-May-2026-2</t>
  </si>
  <si>
    <t>Fix the Awards show null issue</t>
  </si>
  <si>
    <t>05-May-2026-3</t>
  </si>
  <si>
    <t>Farnborough International Airshow 2026 - API sheet</t>
  </si>
  <si>
    <t>Changes on Farnborough International Airshow 2026 - API sheet</t>
  </si>
  <si>
    <t>05-May-2026-4</t>
  </si>
  <si>
    <t>Update the sheet and uplod content in AE, AM, Team Decathlon,</t>
  </si>
  <si>
    <t>Booking Appointment DGDA</t>
  </si>
  <si>
    <t>05-May-2026-6</t>
  </si>
  <si>
    <t xml:space="preserve">Updated content in Live </t>
  </si>
  <si>
    <t>05-May-2026-7</t>
  </si>
  <si>
    <t>05-May-2026-8</t>
  </si>
  <si>
    <t xml:space="preserve"> start to understanding n8n automation and learning the project setup </t>
  </si>
  <si>
    <t>05-May-2026-9</t>
  </si>
  <si>
    <t>Fix and move the Awards and decathlon page to live</t>
  </si>
  <si>
    <t>05-May-2026-10</t>
  </si>
  <si>
    <t>Fix and move the Awards and decathlon pages to live and test</t>
  </si>
  <si>
    <t>New Adoptation CMS</t>
  </si>
  <si>
    <t>05-May-2026-11</t>
  </si>
  <si>
    <t xml:space="preserve">Research and Analysis the New adaptation of the Adobe Experience Manager , 
Adobe WorkFlow Front to create the website </t>
  </si>
  <si>
    <t>05-May-2026-12</t>
  </si>
  <si>
    <t>06-May-2026-1</t>
  </si>
  <si>
    <t>Identify the Meeting and Conference Rooms Form and test the form data export and convert that from json format</t>
  </si>
  <si>
    <r>
      <rPr>
        <color rgb="FF1155CC"/>
        <u/>
      </rPr>
      <t>https://docs.google.com/spreadsheets/d/1ChWS3hmJFcLYzmbwYPVmVEDXxkqJ8Ry1xaTtTv7zu3c/edit?gid=0#gid=0</t>
    </r>
  </si>
  <si>
    <t>06-May-2026-2</t>
  </si>
  <si>
    <t>Server cross test follow up</t>
  </si>
  <si>
    <t>06-May-2026-3</t>
  </si>
  <si>
    <t>Replace the live media folder to staging</t>
  </si>
  <si>
    <t>06-May-2026-4</t>
  </si>
  <si>
    <t>Move the leadership page to staging and move dll to site</t>
  </si>
  <si>
    <t>06-May-2026-5</t>
  </si>
  <si>
    <t xml:space="preserve">Update the profile pic in comments and reply
Add Logo profile pic for Company posts
Add toggle in backofice </t>
  </si>
  <si>
    <t>Facing issue in server 500 error after moved dll for everysingle time</t>
  </si>
  <si>
    <t>07-May-2026-1</t>
  </si>
  <si>
    <t>only the “Directors” heading to be hidden. Not the whole section logic on the leadership page
if there is no description content need no need to show the hover effect and no need to go to single page</t>
  </si>
  <si>
    <t>https://intranetstaging.adfactorspr.com/about-us/leadership-team-new/</t>
  </si>
  <si>
    <t>07-May-2026-2</t>
  </si>
  <si>
    <t>FAQ Page H1,H2,H3 Formating ul and li fix</t>
  </si>
  <si>
    <t>07-May-2026-3</t>
  </si>
  <si>
    <t>Fix the Name conversion and Emplyoyee ID in post moderation</t>
  </si>
  <si>
    <t>07-May-2026-4</t>
  </si>
  <si>
    <t xml:space="preserve">Adobe Experience Manger learning, research &amp; explore how this similar with existing CMS (sitecore) and make the initial starter documentation </t>
  </si>
  <si>
    <t>07-May-2026-5</t>
  </si>
  <si>
    <t>Leadership Team page content added on live and sort by alphabet order</t>
  </si>
  <si>
    <t>Testing the Leadership Team page in the live</t>
  </si>
  <si>
    <t>07-May-2026-6</t>
  </si>
  <si>
    <t>National Design System design apply for all pages</t>
  </si>
  <si>
    <t>07-May-2026-7</t>
  </si>
  <si>
    <t>Fix 403 Forbiden Error in autogenerated posts and Profile Pic</t>
  </si>
  <si>
    <t>07-May-2026-8</t>
  </si>
  <si>
    <t>Update content in Awards page for 2022 2023,2024 staging</t>
  </si>
  <si>
    <t>07-May-2026-10</t>
  </si>
  <si>
    <t>Changes on Farnborough International Airshow 2026 - API sheet , in this sheet i worked in the 'Any category section' by remove the tags and make updates the values in the sheet</t>
  </si>
  <si>
    <t>08-May-2026-1</t>
  </si>
  <si>
    <t>Update content in Awards page for 2022 2023,2024 in Live</t>
  </si>
  <si>
    <t>08-May-2026-2</t>
  </si>
  <si>
    <t>Remove Any Priority Drop-down &amp; Priorities list on the pop-up on the Exhibitor Listing page
Change this logo to the FIA2026</t>
  </si>
  <si>
    <t>Need to move from git history</t>
  </si>
  <si>
    <t>08-May-2026-3</t>
  </si>
  <si>
    <t>Need to add a new image field on the What's On detail page for mobile App API which donot need to showcase on the website</t>
  </si>
  <si>
    <t>08-May-2026-4</t>
  </si>
  <si>
    <t>Align the gold silver bronze in 2022 2023 2024 in award page in live</t>
  </si>
  <si>
    <t>Align the Order Gold silver bronze in all sheets and update again</t>
  </si>
  <si>
    <t>08-May-2026-5</t>
  </si>
  <si>
    <t>Enable the profile pic in auto generated post</t>
  </si>
  <si>
    <t>08-May-2026-6</t>
  </si>
  <si>
    <t>Remove the Exposed logs in code which is show in backofice</t>
  </si>
  <si>
    <t>Analysis and Documnet</t>
  </si>
  <si>
    <t>08-May-2026-7</t>
  </si>
  <si>
    <t>Anaysis the Intranet Integration - Technical Questions Mail and make document</t>
  </si>
  <si>
    <t>Intranet_Pipedrive_API_Integration_Response</t>
  </si>
  <si>
    <t>08-May-2026-8</t>
  </si>
  <si>
    <t xml:space="preserve">Update content in Awards page for 2022 2023,2024 in Live </t>
  </si>
  <si>
    <t>11-May-2026-3</t>
  </si>
  <si>
    <t>Analysis the Pipedrive in coding</t>
  </si>
  <si>
    <t>11-May-2026-4</t>
  </si>
  <si>
    <t>Remove the Session cookie for Profile pic and change it to Authenticated cookie to show profile pic</t>
  </si>
  <si>
    <t>Remove the session cookie because profile pic unauthorize after 30 Minutes of inactivity</t>
  </si>
  <si>
    <t>11-May-2026-5</t>
  </si>
  <si>
    <t>changed the seession cookie to Authenticated cookie for CommentsController (GetComments and other comment endpoints)
PostsController (feed + actions)
UsersController (/api/Users/current)
MediaController (uploads)
RealUserService (author info) becuase of 30min inactivity
Test the Entire staging site</t>
  </si>
  <si>
    <t>11-May-2026-6</t>
  </si>
  <si>
    <t>Test the idex and no idex in Venue and Airshow Live &amp; staging</t>
  </si>
  <si>
    <t>11-May-2026-7</t>
  </si>
  <si>
    <t>check and learn how to fix the issue of the webcrawl of the staging site files like media are showing in the browser while searching for the live site in the browser</t>
  </si>
  <si>
    <t>11-May-2026-8</t>
  </si>
  <si>
    <t xml:space="preserve">make fix the spacing issue in between the section of the leadershipteam new page </t>
  </si>
  <si>
    <t>11-May-2026-9</t>
  </si>
  <si>
    <t>11-May-2026-10</t>
  </si>
  <si>
    <t xml:space="preserve">started to make the frontend project setup for the Seo Internal tool </t>
  </si>
  <si>
    <t>12-May-2026-1</t>
  </si>
  <si>
    <t>Set DGDA Codebase with Abhicheke ID</t>
  </si>
  <si>
    <t>12-May-2026-2</t>
  </si>
  <si>
    <t>Change the server settings Always running in staging
Test system generated post in staging</t>
  </si>
  <si>
    <t>Need to do same for Live</t>
  </si>
  <si>
    <t>12-May-2026-3</t>
  </si>
  <si>
    <t>Fix the already been declared console error in Home page</t>
  </si>
  <si>
    <t>12-May-2026-4</t>
  </si>
  <si>
    <t>Analyis the Expoplatform in FIA coding</t>
  </si>
  <si>
    <t>12-May-2026-5</t>
  </si>
  <si>
    <t>Remove the Rakesh Aulaya from leadership page in Live and staging</t>
  </si>
  <si>
    <t>12-May-2026-6</t>
  </si>
  <si>
    <t>Fix the Academy page rendering issue while scroll</t>
  </si>
  <si>
    <t>12-May-2026-7</t>
  </si>
  <si>
    <t>check the National Design System compared to design</t>
  </si>
  <si>
    <t>Page Not found</t>
  </si>
  <si>
    <t>12-May-2026-8</t>
  </si>
  <si>
    <t>National Design System Error fix</t>
  </si>
  <si>
    <t>12-May-2026-9</t>
  </si>
  <si>
    <t>Update the outdated packages on the National Design System branch</t>
  </si>
  <si>
    <t>12-May-2026-10</t>
  </si>
  <si>
    <t xml:space="preserve">Research and Analysis of the Seo Automation Process , and the documentation workflow , understanding and dicsuss with the TL for the project setup </t>
  </si>
  <si>
    <t>13-May-2026-1</t>
  </si>
  <si>
    <t>NDA Checklist changes</t>
  </si>
  <si>
    <t>https://docs.google.com/spreadsheets/d/1n5q-U3l5wBUjmIFQpP8Qksejprd7liSbL9h2pA9R1ek/edit?gid=0#gid=0</t>
  </si>
  <si>
    <t>13-May-2026-2</t>
  </si>
  <si>
    <t>Update content in AE,AM,Team Decathlon in Live</t>
  </si>
  <si>
    <t>13-May-2026-3</t>
  </si>
  <si>
    <t>13-May-2026-4</t>
  </si>
  <si>
    <t>Fix the multinode tree picker path on Whats on POT and the Whats on page Events on Live</t>
  </si>
  <si>
    <t>13-May-2026-5</t>
  </si>
  <si>
    <t>Update multinode tree picker path on Whats on page Events on Staging</t>
  </si>
  <si>
    <t>13-May-2026-6</t>
  </si>
  <si>
    <t>make Templete duplicate and add it under Production Type in staging and live</t>
  </si>
  <si>
    <t>13-May-2026-7</t>
  </si>
  <si>
    <t>11-May-2026-11</t>
  </si>
  <si>
    <t>Eservices and Qmatic Webpages Discussed Point</t>
  </si>
  <si>
    <t>The Qmatic email has been shared with Dayel’s team to request access; Saad confirmed that development will begin as soon as access are provided</t>
  </si>
  <si>
    <t>11-May-2026-12</t>
  </si>
  <si>
    <t>GIS Api issue need to sort with Ashma</t>
  </si>
  <si>
    <t>Regan Coordinate with Ashma, He is followup with her.</t>
  </si>
  <si>
    <t>11-May-2026-13</t>
  </si>
  <si>
    <t>SMS API</t>
  </si>
  <si>
    <t>We need to speak with Kamran. To ensure we hear back by the end of the week, Regan will follow up on Monday (May 11) and again on Wednesday (May 13).</t>
  </si>
  <si>
    <t>11-May-2026-14</t>
  </si>
  <si>
    <t>CRM Need to Configured</t>
  </si>
  <si>
    <t>11-May-2026-15</t>
  </si>
  <si>
    <t xml:space="preserve">Need to coordinate with raza. Just send the follow up she will send quickly </t>
  </si>
  <si>
    <t>Need to coordinate with raza</t>
  </si>
  <si>
    <t>11-May-2026-16</t>
  </si>
  <si>
    <t>Saad needs to understand why we are performing this task, though he mentioned he will handle the changes. Regan explained to Saad that G specifically wants to address this because it is a critical issue that points back to us. , G advised Regan to explain the situation to Saad. Ultimately, Saad acknowledged that this is our accountability</t>
  </si>
  <si>
    <t>Waiting for saad Approval</t>
  </si>
  <si>
    <t>Requerement Gathering and Other Works</t>
  </si>
  <si>
    <t>14-May-2026-1</t>
  </si>
  <si>
    <t>ADF-Move to live</t>
  </si>
  <si>
    <t>14-May-2026-2</t>
  </si>
  <si>
    <t>Fix Drag and drop issue in Social Post live</t>
  </si>
  <si>
    <t>14-May-2026-3</t>
  </si>
  <si>
    <t>Test National design Fixes and share the issue</t>
  </si>
  <si>
    <t>14-May-2026-4</t>
  </si>
  <si>
    <t>Fixes issue in National Design System
Test again all the pages</t>
  </si>
  <si>
    <t>14-May-2026-5</t>
  </si>
  <si>
    <t>Fix the Posted by Email issue in company post</t>
  </si>
  <si>
    <t>14-May-2026-6</t>
  </si>
  <si>
    <t>Test The forms and take payload for Failed Forms</t>
  </si>
  <si>
    <t>Check the Form error on national ID</t>
  </si>
  <si>
    <t>Meeting with team</t>
  </si>
  <si>
    <t>Update the version on the National Design System branch 15.5.8 to 15.5.8</t>
  </si>
  <si>
    <t>14-May-2026-11</t>
  </si>
  <si>
    <t xml:space="preserve">Make the Frontend project setup for the SEO automation Tool and created the github repo and push the initial setup to the main branch </t>
  </si>
  <si>
    <t>Remove the Other Stages Section</t>
  </si>
  <si>
    <t>14-May-2026-12</t>
  </si>
  <si>
    <t>Removed the other stages section from the farnboroughinternationalstudios live and staging</t>
  </si>
  <si>
    <t>15-May-2026-1</t>
  </si>
  <si>
    <t>Move the open data request to live</t>
  </si>
  <si>
    <t>15-May-2026-3</t>
  </si>
  <si>
    <t>clone again DGDA Project and fix the reading 'push'</t>
  </si>
  <si>
    <t>15-May-2026-4</t>
  </si>
  <si>
    <t>Update content in AE and AM Decathlon in Live</t>
  </si>
  <si>
    <t>15-May-2026-5</t>
  </si>
  <si>
    <t>Check the missing Arabic content in NDS</t>
  </si>
  <si>
    <t>15-May-2026-6</t>
  </si>
  <si>
    <t>15-May-2026-7</t>
  </si>
  <si>
    <t>Connect with Moswin and Fix the issue in dgda</t>
  </si>
  <si>
    <t>15-May-2026-8</t>
  </si>
  <si>
    <t>Form testing for FIA</t>
  </si>
  <si>
    <t>15-May-2026-9</t>
  </si>
  <si>
    <t xml:space="preserve">Form testing for  DGDA </t>
  </si>
  <si>
    <t>Now i started to make the backend setup for this SEO automation Tool  and push the initial setup please</t>
  </si>
  <si>
    <t xml:space="preserve">Events Application and Diriyah Horizon
</t>
  </si>
  <si>
    <t>15-May-2026-10</t>
  </si>
  <si>
    <t>Internal Discussion DGDA | Events Booking System</t>
  </si>
  <si>
    <t>16-May-2026-1</t>
  </si>
  <si>
    <t>Connect with Moswin and Fix the issue in dgda github</t>
  </si>
  <si>
    <t>17-May-2026-1</t>
  </si>
  <si>
    <t>Root Causes Analysis For Persmission issue</t>
  </si>
  <si>
    <t>18-May-2026-1</t>
  </si>
  <si>
    <t>Cross Test Full Website</t>
  </si>
  <si>
    <t>18-May-2026-2</t>
  </si>
  <si>
    <t>Check the Form Submission</t>
  </si>
  <si>
    <t>18-May-2026-3</t>
  </si>
  <si>
    <t>Test the Entire site in DGDA Live</t>
  </si>
  <si>
    <t>18-May-2026-4</t>
  </si>
  <si>
    <t>Publish the content for Freedom of information and open data,data resques page in English and arabic</t>
  </si>
  <si>
    <t>18-May-2026-5</t>
  </si>
  <si>
    <t>Create a new category and sub category fileds in Raise and Concern form English</t>
  </si>
  <si>
    <t>18-May-2026-6</t>
  </si>
  <si>
    <t>FIA Moved to staging</t>
  </si>
  <si>
    <t>19-May-2026-1</t>
  </si>
  <si>
    <t>Explain how to create a form in site core with Manager</t>
  </si>
  <si>
    <t>19-May-2026-2</t>
  </si>
  <si>
    <t>Create a new category and sub category fileds in Raise and Concern form Arabic and test it</t>
  </si>
  <si>
    <t>19-May-2026-5</t>
  </si>
  <si>
    <t xml:space="preserve">Update the missing arabic content </t>
  </si>
  <si>
    <t>Add Image and Video option while Edit the post in social and post detail page</t>
  </si>
  <si>
    <t>20-May-2026-1</t>
  </si>
  <si>
    <t>Add Image and Video option while Edit the post in Admin post Moderation detail page
Move to staging and Test the functionality</t>
  </si>
  <si>
    <t>20-May-2026-2</t>
  </si>
  <si>
    <t>Fix the Space issue in Social feed posts</t>
  </si>
  <si>
    <t>20-May-2026-3</t>
  </si>
  <si>
    <t>Apply Post by adim in Postmoderation Admin Detail page</t>
  </si>
  <si>
    <t>20-May-2026-4</t>
  </si>
  <si>
    <t>Align and Update content in Leadership Team and Holiday list</t>
  </si>
  <si>
    <t>farnboroughinternational.org</t>
  </si>
  <si>
    <t>20-May-2026-5</t>
  </si>
  <si>
    <t>Upload the missing images in drive</t>
  </si>
  <si>
    <t>20-May-2026-6</t>
  </si>
  <si>
    <t>Fw: Diriyah Horizons X Solutions - Call with team</t>
  </si>
  <si>
    <t>20-May-2026-7</t>
  </si>
  <si>
    <t xml:space="preserve">RCA for DGDA live and staging cicd issue. </t>
  </si>
  <si>
    <t xml:space="preserve">Moswin </t>
  </si>
  <si>
    <t>https://msmehealthengine.fametn.com/</t>
  </si>
  <si>
    <t>MSME</t>
  </si>
  <si>
    <t xml:space="preserve">MSME live moving and testing </t>
  </si>
  <si>
    <t xml:space="preserve">DGDA Additional tasks </t>
  </si>
  <si>
    <t xml:space="preserve">rotate PAT Tokens for 1 year </t>
  </si>
  <si>
    <t xml:space="preserve">check functionality of all workflows and identify if anything failing </t>
  </si>
  <si>
    <t xml:space="preserve">identify all the secrets/variables expiring and proactively update the values </t>
  </si>
  <si>
    <t xml:space="preserve">Light house workflow check </t>
  </si>
  <si>
    <t xml:space="preserve">GitHub Breach analysis and follow up news and take necessary precaution  </t>
  </si>
  <si>
    <t>https://www.indiatoday.in/amp/technology/news/story/github-suffers-breach-in-internal-code-hackers-claim-they-have-source-code-for-sale-2914354-2026-05-20</t>
  </si>
  <si>
    <t>New joiner Auto post generation Date time issue</t>
  </si>
  <si>
    <t xml:space="preserve">Now New joiner Auto post are not posted because they use 1week of datas in DB we use Today date Time </t>
  </si>
  <si>
    <t>21-May-2026-1</t>
  </si>
  <si>
    <t>Create field and test the Opening Times in Airshow
Add Min height for exbhitor cards
Move to staging and and check the exbhitor listing</t>
  </si>
  <si>
    <t>21-May-2026-2</t>
  </si>
  <si>
    <t>Update content in Leadership Team</t>
  </si>
  <si>
    <t>21-May-2026-3</t>
  </si>
  <si>
    <t>List the NDS Templete and add date</t>
  </si>
  <si>
    <t>21-May-2026-4</t>
  </si>
  <si>
    <t>change the font size for footer description</t>
  </si>
  <si>
    <t>21-May-2026-5</t>
  </si>
  <si>
    <t>Fix the issue in NDS Home page and media Room</t>
  </si>
  <si>
    <t>21-May-2026-6</t>
  </si>
  <si>
    <t>Publish content and test in live for Raise cencern Form</t>
  </si>
  <si>
    <t>21-May-2026-7</t>
  </si>
  <si>
    <t>Exhibitor new fields add on website</t>
  </si>
  <si>
    <t>22-May-2026-1</t>
  </si>
  <si>
    <t>Move Exbhitor and Footer change and create filed in Live</t>
  </si>
  <si>
    <t>22-May-2026-2</t>
  </si>
  <si>
    <t>Fix the issue in Complaint type and sub category in DGDA Live</t>
  </si>
  <si>
    <t>22-May-2026-3</t>
  </si>
  <si>
    <t>Fix the NDS issue in careers page and FAQ page</t>
  </si>
  <si>
    <t>22-May-2026-4</t>
  </si>
  <si>
    <t>Fix the Alignment issue in all Detail pages in NDS</t>
  </si>
  <si>
    <t>22-May-2026-5</t>
  </si>
  <si>
    <t>Fix the Alignment issue in all pages in NDS</t>
  </si>
  <si>
    <t>Color change and some unknown alignment is balance to fix</t>
  </si>
  <si>
    <t>S3 url generation - EN</t>
  </si>
  <si>
    <t xml:space="preserve">Upload english pdfs in s3 bucket and share asset urls with the team . </t>
  </si>
  <si>
    <t>S3 url generation - AR</t>
  </si>
  <si>
    <t xml:space="preserve">Upload Arabic pdfs in s3 bucket and share asset urls with the team . </t>
  </si>
  <si>
    <t>25-May-2026-1</t>
  </si>
  <si>
    <t>25-May-2026-2</t>
  </si>
  <si>
    <t>Submit forms For Farnborough in Live</t>
  </si>
  <si>
    <t>25-May-2026-3</t>
  </si>
  <si>
    <t>Submit forms For DGDA in Staging</t>
  </si>
  <si>
    <t>25-May-2026-4</t>
  </si>
  <si>
    <t>Fix the banner text alaingment issue</t>
  </si>
  <si>
    <t>25-May-2026-5</t>
  </si>
  <si>
    <t>Fix the allignment issue in Water dispense page</t>
  </si>
  <si>
    <t>25-May-2026-6</t>
  </si>
  <si>
    <t>Fix the info@dgda.gov.sa issue in general inquery</t>
  </si>
  <si>
    <t>25-May-2026-7</t>
  </si>
  <si>
    <t>Test All the Pages In NDS</t>
  </si>
  <si>
    <t>25-May-2026-8</t>
  </si>
  <si>
    <t>NDS DGDA QC fix</t>
  </si>
  <si>
    <t>26-May-2026-1</t>
  </si>
  <si>
    <t>Regan,Sowndar</t>
  </si>
  <si>
    <t xml:space="preserve">Understand the requirement and call with the team </t>
  </si>
  <si>
    <t xml:space="preserve">DGDA Arch dia + requirement sheet </t>
  </si>
  <si>
    <t xml:space="preserve">Refactor Arch dia to dgdas format </t>
  </si>
  <si>
    <t xml:space="preserve">Prepare Architecture flow with the same flow as dgda has given </t>
  </si>
  <si>
    <t xml:space="preserve">PAT Token and related queries analyse and mail response. </t>
  </si>
  <si>
    <t>26-May-2026-2</t>
  </si>
  <si>
    <t>Test All the Pages In NDS After Fix and update in sheet in both English and Arabic</t>
  </si>
  <si>
    <t>https://docs.google.com/spreadsheets/d/1wDN-TQsaPOOxhlgWcuQqhUNPhx87mAUBfKShyoFqqeM/edit?gid=0#gid=0</t>
  </si>
  <si>
    <t xml:space="preserve">Search New joiner query and clarify the Image and Vedio edit </t>
  </si>
  <si>
    <t>27-May-2026-1</t>
  </si>
  <si>
    <t>27-May-2026-2</t>
  </si>
  <si>
    <t>ADF-Task List</t>
  </si>
  <si>
    <t>27-May-2026-3</t>
  </si>
  <si>
    <t>Farnborugh Db backup to local</t>
  </si>
  <si>
    <t>27-May-2026-4</t>
  </si>
  <si>
    <t>Explore Adobe Experience Manager and WorkFront</t>
  </si>
  <si>
    <t>27-May-2026-5</t>
  </si>
  <si>
    <t>DGDA project setup</t>
  </si>
  <si>
    <t>27-May-2026-6</t>
  </si>
  <si>
    <t>27-May-2026-7</t>
  </si>
  <si>
    <t>update the table content and fix the table style</t>
  </si>
  <si>
    <t>https://www.farnboroughairshow.com/the-show/aerospace-global-forum/defence-summit/
https://www.farnboroughairshow.com/the-show/aerospace-global-forum/technology-summit/
https://www.farnboroughairshow.com/the-show/aerospace-global-forum/finance-summit/</t>
  </si>
  <si>
    <t>28-May-2026-1</t>
  </si>
  <si>
    <t>28-May-2026-2</t>
  </si>
  <si>
    <t>Update the media file live to staging
Test the profile picture</t>
  </si>
  <si>
    <t>28-May-2026-3</t>
  </si>
  <si>
    <t>Explore the Intranet-Dgda</t>
  </si>
  <si>
    <t>28-May-2026-4</t>
  </si>
  <si>
    <t>Fix arabic alignment issue in NDS</t>
  </si>
  <si>
    <t>29-May-2026-1</t>
  </si>
  <si>
    <t>29-May-2026-2</t>
  </si>
  <si>
    <t>Fix Moblie and Ipads layout issue in NDS</t>
  </si>
  <si>
    <t>29-May-2026-3</t>
  </si>
  <si>
    <t>Fix font size for mobile responsive</t>
  </si>
  <si>
    <t>29-May-2026-4</t>
  </si>
  <si>
    <t>ADF-Meeting</t>
  </si>
  <si>
    <t>Home Page – Carousel Updates
Remove the bottom navigation dots from the home page post carousel.
Remove the black overlay displayed at the bottom of the carousel.
Add left and right navigation arrows with a black overlay, similar to the Bootstrap carousel design.</t>
  </si>
  <si>
    <t>29-May-2026-5</t>
  </si>
  <si>
    <t>Home Page – Video Display Fix 
Fix the issue where videos with a very small width display with an excessively large height.
Ensure videos maintain the correct aspect ratio and responsive behavior across all screen sizes on home page posts.</t>
  </si>
  <si>
    <t>29-May-2026-6</t>
  </si>
  <si>
    <t>Change the arrow direction on the Brand Kit page.
Apply the same arrow direction changes across the entire website.</t>
  </si>
  <si>
    <t>29-May-2026-7</t>
  </si>
  <si>
    <t>Add a logo icon for each item in the Logo section.</t>
  </si>
  <si>
    <t>29-May-2026-8</t>
  </si>
  <si>
    <t>Add the client logo to each case study so users can easily identify the client.
Vishal will provide the complete template/design for this page.</t>
  </si>
  <si>
    <t xml:space="preserve">need templete from client </t>
  </si>
  <si>
    <t>01-June-2026-1</t>
  </si>
  <si>
    <t>Frontend:
Implemented Super Admin Console enhancements, authentication UX improvements, and organization-aware dashboard updates.</t>
  </si>
  <si>
    <t>01-June-2026-2</t>
  </si>
  <si>
    <t>Backend :
Enhanced organization management APIs, improved invite and seat management logic, and integrated organization context into authentication flows.</t>
  </si>
  <si>
    <t>01-June-2026-3</t>
  </si>
  <si>
    <t>Adfactor Admin Dahboard Cross test</t>
  </si>
  <si>
    <t>01-June-2026-4</t>
  </si>
  <si>
    <t>NDS Responsive Fix and color code update and icon fix</t>
  </si>
  <si>
    <t xml:space="preserve">DGDA AWS Amplify build error dependency fix </t>
  </si>
  <si>
    <t>DGDA amplify build fail logs grep and send as mail without requesting access from dgda</t>
  </si>
  <si>
    <t xml:space="preserve">DGDA EMS Infra set up </t>
  </si>
  <si>
    <t xml:space="preserve"> DGDA EMS alibaba free tier set up to specifically test mail logic</t>
  </si>
  <si>
    <t xml:space="preserve">Company credit card required. </t>
  </si>
  <si>
    <t xml:space="preserve">Alibaba cloud infra set up dev </t>
  </si>
  <si>
    <t xml:space="preserve">Access required for both alibaba and github </t>
  </si>
  <si>
    <t>Alibaba cloud infra set up staging</t>
  </si>
  <si>
    <t>Alibaba cloud infra set up live</t>
  </si>
  <si>
    <t xml:space="preserve">Github repo and CICD dev </t>
  </si>
  <si>
    <t xml:space="preserve">Github repo and CICD staging </t>
  </si>
  <si>
    <t xml:space="preserve">Github repo and CICD Live </t>
  </si>
  <si>
    <t>02-June-2026-1</t>
  </si>
  <si>
    <t>Frontend: Implemented responsive UI improvements across Dashboard, Console, Authentication, Members, and Organization pages, including mobile navigation, sidebar enhancements, responsive layouts, and UI/UX fixes.
Backend: Developed organization management and account owner management features, including organization details, seat usage tracking, invite workflows, account owner APIs, authentication enhancements, database migration updates, and related documentation.</t>
  </si>
  <si>
    <t>03-June-2026-1</t>
  </si>
  <si>
    <t>FIA The Enterprise Gatweway Programme Table update</t>
  </si>
  <si>
    <t>03-June-2026-2</t>
  </si>
  <si>
    <t>FIA-Exhibitor Listing spacing issue and cards show fix
Test all the pages in Exhibitor Listing</t>
  </si>
  <si>
    <t>03-June-2026-3</t>
  </si>
  <si>
    <t>Test mobile responsive in FIA pages</t>
  </si>
  <si>
    <t>03-June-2026-4</t>
  </si>
  <si>
    <t>Test the NDS all pages in Desktop Big screen for English and arabic</t>
  </si>
  <si>
    <t>03-June-2026-5</t>
  </si>
  <si>
    <t>create a fields in backofice &amp; Move the changes to live and check the changes in live</t>
  </si>
  <si>
    <t>03-June-2026-6</t>
  </si>
  <si>
    <t>Update the content in awards page</t>
  </si>
  <si>
    <t>03-June-2026-7</t>
  </si>
  <si>
    <t>FIA The Enterprise Gatweway Programme Table fix</t>
  </si>
  <si>
    <t>Frontend :
Implemented dashboard navigation enhancements, branding updates, user management improvements, and responsive layout fixes across organization and member modules.</t>
  </si>
  <si>
    <t>Backend :
Developed Super Admin account management APIs, enhanced user profile and authentication tracking capabilities, and introduced supporting database migrations for user activity management.</t>
  </si>
  <si>
    <t>03-June-2026-8</t>
  </si>
  <si>
    <t>03-June-2026-9</t>
  </si>
  <si>
    <t>NDS tag colors icon size update and large screen responsive fix</t>
  </si>
  <si>
    <t>04-June-2026-1</t>
  </si>
  <si>
    <t>Fix The Enterprise Gatweway Programme Table responsive</t>
  </si>
  <si>
    <t>04-June-2026-2</t>
  </si>
  <si>
    <t>Test the latest changes in Live</t>
  </si>
  <si>
    <t>Adfactor Restore June</t>
  </si>
  <si>
    <t>04-June-2026-3</t>
  </si>
  <si>
    <t>Fix the Leadership Team sorting issue</t>
  </si>
  <si>
    <t>04-June-2026-4</t>
  </si>
  <si>
    <t>Analysis the Changes on Farnborough International Airshow 2026 - API sheet</t>
  </si>
  <si>
    <t>04-June-2026-5</t>
  </si>
  <si>
    <t>Analysis the DGDA EMS Project</t>
  </si>
  <si>
    <t>04-June-2026-6</t>
  </si>
  <si>
    <t>Update the Leadership Team memebers short</t>
  </si>
  <si>
    <t>04-June-2026-7</t>
  </si>
  <si>
    <t>04-June-2026-8</t>
  </si>
  <si>
    <t>04-June-2026-9</t>
  </si>
  <si>
    <t xml:space="preserve">Monthly report making for the all the Farnborough sites </t>
  </si>
  <si>
    <t>04-June-2026-10</t>
  </si>
  <si>
    <t xml:space="preserve">Monthly report making for the Adfactors </t>
  </si>
  <si>
    <t>04-June-2026-11</t>
  </si>
  <si>
    <t xml:space="preserve">Frontend:
1)Super Admin user management UI enhancements and responsive layout improvements
2)Dark-mode refinements and authentication page usability updates
3)Engineering standards and frontend documentation updates
</t>
  </si>
  <si>
    <t>04-June-2026-12</t>
  </si>
  <si>
    <t>Backend : 
1)Security Phase A implementation and authentication hardening
2)Production safeguards and secure error-handling enhancements
3)JWT security improvements and sensitive data protection measures
4)Production readiness and technical documentation updates</t>
  </si>
  <si>
    <t>05-June-2026-1</t>
  </si>
  <si>
    <t>FIA-Moved the fix code to live</t>
  </si>
  <si>
    <t>05-June-2026-2</t>
  </si>
  <si>
    <t>Cross tes the entire pages in NDS English and Arabic
Test in mobile and Desktop</t>
  </si>
  <si>
    <t>05-June-2026-3</t>
  </si>
  <si>
    <t>Create a new Casestydy In live</t>
  </si>
  <si>
    <t>05-June-2026-4</t>
  </si>
  <si>
    <t>sort and update the Leadership team members</t>
  </si>
  <si>
    <t>05-June-2026-5</t>
  </si>
  <si>
    <t>Update content in Cross sell inivative winner list</t>
  </si>
  <si>
    <t>05-June-2026-6</t>
  </si>
  <si>
    <t xml:space="preserve">Daily Monitoring and Update in sheet for all Websites
</t>
  </si>
  <si>
    <t>05-June-2026-7</t>
  </si>
  <si>
    <t>05-June-2026-8</t>
  </si>
  <si>
    <t>Form Testing &amp; submission for the Farnborough websites</t>
  </si>
  <si>
    <t>05-June-2026-9</t>
  </si>
  <si>
    <t>Form Testing &amp; submission for the DGDA websites</t>
  </si>
  <si>
    <t>05-June-2026-10</t>
  </si>
  <si>
    <t xml:space="preserve">Testing the leadership team page for all the members are present in the correct designation, Team members are present correctly in the given sorted order </t>
  </si>
  <si>
    <t>05-June-2026-11</t>
  </si>
  <si>
    <t>Frontend :
1) Phase 2 frontend integration with backend API enhancements and workflow quota handling
2)  Account settings and change password functionality implementation
3) User profile, identity, and session experience improvements
4) User management responsiveness and usability enhancements</t>
  </si>
  <si>
    <t>05-June-2026-12</t>
  </si>
  <si>
    <t>Backend :
1)Change password API and email validation enhancements
2)Credential validation and workflow module refactoring
3)Audit logging and workflow results export implementation
4)Workflow quota management and backend documentation updates.</t>
  </si>
  <si>
    <t xml:space="preserve">Alibaba account creation 
payment 
application deependency set up in new server 
Application migration to the server 
k6 testing plan </t>
  </si>
  <si>
    <t>Update the nextjs from version 15.5.18 to 16.2.7</t>
  </si>
  <si>
    <t>08-June-2026-1</t>
  </si>
  <si>
    <t>08-June-2026-2</t>
  </si>
  <si>
    <t>08-June-2026-3</t>
  </si>
  <si>
    <t xml:space="preserve">Frontend : 
1) Workflow management enhancements with quota handling and improved error management
2) Account settings and change password functionality integration
3) User profile, identity, and session experience improvements
4) User management and organization administration UI refinements
</t>
  </si>
  <si>
    <t>08-June-2026-4</t>
  </si>
  <si>
    <t>Backend :
1) Change password API and comprehensive email validation enhancements
2) Credential validation and service-repository architecture refactoring
3) Audit logging and workflow results export implementation
4) Workflow quota management and trigger enforcement across automation processes
5) API enhancements, documentation updates, and frontend integration support</t>
  </si>
  <si>
    <t>08-June-2026-5</t>
  </si>
  <si>
    <t>Testing the what's on (event page) , aircraft listing page</t>
  </si>
  <si>
    <t>09-June-2026-1</t>
  </si>
  <si>
    <t>Cross test the entire NDS site with responsive in FireFox browser</t>
  </si>
  <si>
    <t>09-June-2026-2</t>
  </si>
  <si>
    <t>Cross test the entire NDS site with responsive in Edge browser</t>
  </si>
  <si>
    <t>09-June-2026-3</t>
  </si>
  <si>
    <t>09-June-2026-4</t>
  </si>
  <si>
    <t>09-June-2026-5</t>
  </si>
  <si>
    <t>Frontend :
1) Workflow execution experience enhancements with live status tracking and real-time run updates
2) Google Sheets results integration with sync, download, and direct sheet access capabilities
3) Results management improvements for sheet-based workflows and snapshot handling
4) Workflow status and notification UX refinements</t>
  </si>
  <si>
    <t>09-June-2026-6</t>
  </si>
  <si>
    <t>Backend:
1) Google Sheets synchronization and workflow run tracking enhancements
2) Workflow APIs for results retrieval, synchronization, and CSV export implementation
3) Results processing infrastructure improvements with run-based status management
4) Development utilities and automated scripts for Google Sheets integration testing
5) End-to-end validation of Google Sheets sync functionality using service account authentication</t>
  </si>
  <si>
    <t>https://www.nfs-hospitality.com/</t>
  </si>
  <si>
    <t>09-June-2026-7</t>
  </si>
  <si>
    <t>Update the images on the NFS Website</t>
  </si>
  <si>
    <t>09-June-2026-8</t>
  </si>
  <si>
    <t>Update and fix the issue in SQL for restore Database</t>
  </si>
  <si>
    <t>10-June-2026-1</t>
  </si>
  <si>
    <t>List the Case study with published and Article  date</t>
  </si>
  <si>
    <t>10-June-2026-2</t>
  </si>
  <si>
    <t>change name Adfactors PR
1/3 carosel badge
Remove bold for value in current affairs
System generated post Text changes
Enable the Auto post generation
Fix the EmployeeID in Post moderation
Add AE AM decathlon in utilities page</t>
  </si>
  <si>
    <t>Left align the text in system generated post</t>
  </si>
  <si>
    <t>10-June-2026-3</t>
  </si>
  <si>
    <t>Cross test the entire NDS site with responsive in FireFox Edge and chrome browser</t>
  </si>
  <si>
    <t>10-June-2026-4</t>
  </si>
  <si>
    <t>10-June-2026-5</t>
  </si>
  <si>
    <t>10-June-2026-6</t>
  </si>
  <si>
    <t>Frontend :
1) Workflow history enhancements with advanced filtering and navigation improvements
2) Results page usability refinements, including data visibility and table interaction improvements
3) Excel export functionality aligned with Google Sheets/n8n workbook structure</t>
  </si>
  <si>
    <t>10-June-2026-7</t>
  </si>
  <si>
    <t>Backend :
1) Google Sheets integration enhancements with improved error handling and sheet classification
2) Workflow run isolation and team activity tracking enhancements for organization-level visibility
3) Results synchronization and caching improvements for run-based and organization-level processing
4) Workflow quota controls and organization usage reporting enhancements
5) Database performance optimizations, developer utilities, and configuration documentation updates</t>
  </si>
  <si>
    <t>10-June-2026-8</t>
  </si>
  <si>
    <t xml:space="preserve">update the directors heading in the leader ship new page in the adfactors </t>
  </si>
  <si>
    <t>10-June-2026-9</t>
  </si>
  <si>
    <t>Need profile pic update</t>
  </si>
  <si>
    <t>10-June-2026-10</t>
  </si>
  <si>
    <t>Quick links view count</t>
  </si>
  <si>
    <t>10-June-2026-11</t>
  </si>
  <si>
    <t>Remove footer when post count is large</t>
  </si>
  <si>
    <t>10-June-2026-12</t>
  </si>
  <si>
    <t>logo in case study</t>
  </si>
  <si>
    <t>Develope the single page for the latest finding</t>
  </si>
  <si>
    <t>Code moved to live but on the unpublished</t>
  </si>
  <si>
    <r>
      <rPr>
        <b/>
      </rPr>
      <t xml:space="preserve">Summary Page
</t>
    </r>
    <r>
      <rPr>
        <color rgb="FF1155CC"/>
        <u/>
      </rPr>
      <t>https://feat-finding-details.d38541r9nlp4br.amplifyapp.com/en/latest-findings/</t>
    </r>
    <r>
      <rPr/>
      <t xml:space="preserve">
</t>
    </r>
    <r>
      <rPr>
        <b/>
      </rPr>
      <t>Detail Page</t>
    </r>
    <r>
      <rPr/>
      <t xml:space="preserve">
</t>
    </r>
    <r>
      <rPr>
        <color rgb="FF1155CC"/>
        <u/>
      </rPr>
      <t>https://feat-finding-details.d38541r9nlp4br.amplifyapp.com/en/latest-findings/wadi-safar</t>
    </r>
  </si>
  <si>
    <t>11-June-2026-1</t>
  </si>
  <si>
    <t>Cross test the functionality and Responsiveness in DGDA EMS</t>
  </si>
  <si>
    <t>11-June-2026-2</t>
  </si>
  <si>
    <t>Cross test the functionality and Responsiveness in DGDA in responsively app</t>
  </si>
  <si>
    <t>11-June-2026-3</t>
  </si>
  <si>
    <t>Fix the issue in NDS responsiveness</t>
  </si>
  <si>
    <t>11-June-2026-4</t>
  </si>
  <si>
    <t>Move the FIA to staging</t>
  </si>
  <si>
    <t>11-June-2026-5</t>
  </si>
  <si>
    <t>11-June-2026-6</t>
  </si>
  <si>
    <t>11-June-2026-7</t>
  </si>
  <si>
    <t>Frontend :
1) Workflow history enhancements with period-based viewing and advanced filtering capabilities
2) Results page improvements with state persistence and in-sheet date filtering across main and subsheets</t>
  </si>
  <si>
    <t>11-June-2026-8</t>
  </si>
  <si>
    <t>Backend :
1) Security Phase B implementation with production hardening and infrastructure safeguards
2) Security testing enhancements, including automated tests and validation coverage improvements
3) Results synchronization and cache management fixes for Google Sheets integration
4) Database optimization and DevOps utility enhancements to improve system performance and maintainability
5) Production configuration and technical documentation updates</t>
  </si>
  <si>
    <t>05-June-2026-13</t>
  </si>
  <si>
    <t>“Submitted”</t>
  </si>
  <si>
    <t>12-June-2026-3</t>
  </si>
  <si>
    <t>“&amp;” is doing the “amp;”</t>
  </si>
  <si>
    <t>12-June-2026-4</t>
  </si>
  <si>
    <t xml:space="preserve">The ID changed from 1094 to 4691.
</t>
  </si>
  <si>
    <t>12-June-2026-5</t>
  </si>
  <si>
    <t xml:space="preserve">The parameter ID is a matching mechanism, used only for updates and only after the session (what's on) and product (aircraft) have been created.
</t>
  </si>
  <si>
    <t>12-June-2026-6</t>
  </si>
  <si>
    <t>--form 'custom_fields[wingspan][]="test wingspan"' \
--form 'custom_fields[length][]="test length"' \</t>
  </si>
  <si>
    <t>12-June-2026-7</t>
  </si>
  <si>
    <t>We received a product category of "270", which does not exist. 
We have a "207"</t>
  </si>
  <si>
    <t>12-June-2026-8</t>
  </si>
  <si>
    <t>Additionally, a couple of exhibitors had an issue regarding the hall/stand parameter:</t>
  </si>
  <si>
    <t>12-June-2026-1</t>
  </si>
  <si>
    <t>FIA-Moved files to staging</t>
  </si>
  <si>
    <t>12-June-2026-2</t>
  </si>
  <si>
    <t>crosstest  the latest finding page with responsive</t>
  </si>
  <si>
    <t>FIA-Fix the log error in live</t>
  </si>
  <si>
    <t>12-June-2026-9</t>
  </si>
  <si>
    <t>Frontend:
1) Super Admin log viewer implementation with filtering, analytics, and detailed log inspection capabilities
2) Client-side logging and error reporting enhancements for improved application monitoring
3) Shared UI pattern adoption and frontend styling standardization across dashboard and console modules
4) Workflow history and results management usability improvements, including session persistence and advanced filtering</t>
  </si>
  <si>
    <t>12-June-2026-10</t>
  </si>
  <si>
    <t>Backend:
1) Platform logging framework implementation with centralized log storage and retrieval APIs
2) Frontend error capture and backend log ingestion capabilities with access control and rate limiting
3) Enhanced application observability through automated error tracking and contextual logging improvements
4) Database, logging infrastructure, and API enhancements to support Super Admin monitoring and troubleshooting</t>
  </si>
  <si>
    <t>15-June-2026-1</t>
  </si>
  <si>
    <t>Test and fix the Font size in NDS arabic</t>
  </si>
  <si>
    <t>15-June-2026-2</t>
  </si>
  <si>
    <t>FIA-Move to live and Test the pages</t>
  </si>
  <si>
    <t>15-June-2026-3</t>
  </si>
  <si>
    <t>Submit all the forms in DGDA and take payload</t>
  </si>
  <si>
    <t>15-June-2026-4</t>
  </si>
  <si>
    <t>Fix the Log error in Venue</t>
  </si>
  <si>
    <t>15-June-2026-5</t>
  </si>
  <si>
    <t>Fix the notification post detail pages issue</t>
  </si>
  <si>
    <t>15-June-2026-6</t>
  </si>
  <si>
    <t>Analysis the Testing tools for web application</t>
  </si>
  <si>
    <t>15-June-2026-7</t>
  </si>
  <si>
    <t>15-June-2026-8</t>
  </si>
  <si>
    <t>15-June-2026-9</t>
  </si>
  <si>
    <t>Frontend :
1) Workflow history and results management enhancements with improved filtering, navigation, and sheet synchronization capabilities
2) Dashboard usability improvements through workflow result shortcuts and theme-based UI refinements
3) Composite workflow experience implementation for alt-text and internal-links automation processes
4) Shared workflow interaction improvements through reusable project selection and workflow patterns</t>
  </si>
  <si>
    <t>15-June-2026-10</t>
  </si>
  <si>
    <t>Backend : 
1) Composite workflow architecture implementation for multi-phase automation processes
2) Workflow API enhancements to support grouped workflows and review-driven execution flows
3) Alt-text workflow service implementation with phase-based triggering capabilities
4) Validation and business rule enforcement for approved alt-text injection processes
5) Workflow execution infrastructure improvements using BullMQ job queue integration</t>
  </si>
  <si>
    <t>15-June-2026-11</t>
  </si>
  <si>
    <t>On the Latest Finding Single page change the description text box to  RTE and update the content for that page
Some items goes to 404 error fix the path issue</t>
  </si>
  <si>
    <r>
      <rPr>
        <b/>
      </rPr>
      <t xml:space="preserve">Summary Page
</t>
    </r>
    <r>
      <rPr>
        <color rgb="FF1155CC"/>
        <u/>
      </rPr>
      <t>https://feat-finding-details.d38541r9nlp4br.amplifyapp.com/en/latest-findings/</t>
    </r>
    <r>
      <rPr/>
      <t xml:space="preserve">
</t>
    </r>
    <r>
      <rPr>
        <b/>
      </rPr>
      <t>Detail Page</t>
    </r>
    <r>
      <rPr/>
      <t xml:space="preserve">
</t>
    </r>
    <r>
      <rPr>
        <color rgb="FF1155CC"/>
        <u/>
      </rPr>
      <t>https://feat-finding-details.d38541r9nlp4br.amplifyapp.com/en/latest-findings/wadi-safar</t>
    </r>
  </si>
  <si>
    <t>Venue Maintenance June 2026</t>
  </si>
  <si>
    <t>16-June-2026-1</t>
  </si>
  <si>
    <t>Venue Site Umbraco version from 13.13.1 to 13.14.0 and site cross test</t>
  </si>
  <si>
    <t>16-June-2026-2</t>
  </si>
  <si>
    <t>FIA Site Umbraco version from 13.13.1 to 13.14.0 and site cross test</t>
  </si>
  <si>
    <t>16-June-2026-3</t>
  </si>
  <si>
    <t>Remove the green overlay in baneers in NDS</t>
  </si>
  <si>
    <t>16-June-2026-4</t>
  </si>
  <si>
    <t>Test the added overlay compare with live in English and Arabic</t>
  </si>
  <si>
    <t>16-June-2026-5</t>
  </si>
  <si>
    <t xml:space="preserve">FIA-Moved to staging </t>
  </si>
  <si>
    <t>16-June-2026-6</t>
  </si>
  <si>
    <t>Analysis the Testing methods</t>
  </si>
  <si>
    <t>16-June-2026-7</t>
  </si>
  <si>
    <t>create a Company post name-Employee Name and Employe ID in Post moderation
Moved to staging</t>
  </si>
  <si>
    <t>16-June-2026-8</t>
  </si>
  <si>
    <t>16-June-2026-9</t>
  </si>
  <si>
    <t>16-June-2026-10</t>
  </si>
  <si>
    <t>Frontend:
1)Alt-text review workflow enhancements with sheet-based editing, approval management, and Google Sheets synchronization capabilities
2)User experience improvements for Alt Text processing through redesigned layouts and reusable sheet viewing components
3)Platform log viewer refinements with enhanced error insights and improved log navigation
4)Client-side monitoring and authentication experience improvements through global error capture and login error handling enhancements</t>
  </si>
  <si>
    <t>16-June-2026-11</t>
  </si>
  <si>
    <t>Backend:
1) Alt-text workflow enhancements with Google Sheets write-back, production sheet filtering, and automated synchronization processes
2) Platform logging improvements with enriched error context and database-level diagnostic information
3) Authentication security enhancements through account lockout mechanisms and detailed lockout response handling
4) Error handling and configuration updates to support improved system reliability and operational visibility</t>
  </si>
  <si>
    <t>17-June-2026-1</t>
  </si>
  <si>
    <t>Move to Live and Cross test vennue site Live after version update</t>
  </si>
  <si>
    <t>17-June-2026-2</t>
  </si>
  <si>
    <t>Cross test FIA site Live after version update</t>
  </si>
  <si>
    <t>17-June-2026-3</t>
  </si>
  <si>
    <t>Fix the NULL issue in Landing page</t>
  </si>
  <si>
    <t>17-June-2026-4</t>
  </si>
  <si>
    <t>Fix the Log error in Venue
Moved to staging</t>
  </si>
  <si>
    <t>17-June-2026-5</t>
  </si>
  <si>
    <t>FIA-Move to staging</t>
  </si>
  <si>
    <t>17-June-2026-6</t>
  </si>
  <si>
    <t>Cross test the FIA in staging after version update</t>
  </si>
  <si>
    <t>studio Maintenance 04 2026</t>
  </si>
  <si>
    <t>17-June-2026-7</t>
  </si>
  <si>
    <t>Studio Site Umbraco version from 13.13.1 to 13.14.0 and site cross test</t>
  </si>
  <si>
    <t>17-June-2026-8</t>
  </si>
  <si>
    <t>17-June-2026-9</t>
  </si>
  <si>
    <t>Testing the full sites and learn how to version update</t>
  </si>
  <si>
    <t>17-June-2026-10</t>
  </si>
  <si>
    <t>Frontend : 
1) Alt-text review workflow enhancements with pagination, bulk approval functionality, and optimized approval processing
2) Review status tracking improvements with approval metrics, status validation, and workflow progress visibility
3) Platform logs and member management enhancements through improved filtering, account status visibility, and UI consistency
4) Dashboard and page layout refinements to improve usability and navigation experience</t>
  </si>
  <si>
    <t>17-June-2026-11</t>
  </si>
  <si>
    <t>Backend : 
1) Alt-text workflow enhancements with bulk update APIs, Google Sheets synchronization, and approval validation controls
2) Authentication security improvements through account lockout management and detailed lockout response handling
3) Platform logging enhancements with retention management, automated cleanup, and enriched diagnostic information
4) Member and organization management improvements through account status tracking and API enhancements</t>
  </si>
  <si>
    <t>Build Vajra Global overview dashboard</t>
  </si>
  <si>
    <t>Prometheus, Grafana, Blackbox, Alertmanager running on Server 2</t>
  </si>
  <si>
    <t>Config files created</t>
  </si>
  <si>
    <t>prometheus.yml, alert.rules.yml, alertmanager.yml, docker-compose.yml</t>
  </si>
  <si>
    <t>Fix Alertmanager crash</t>
  </si>
  <si>
    <t>Debug alertmanager container restart loop — check logs with: docker logs alertmanager</t>
  </si>
  <si>
    <t>Log into Grafana</t>
  </si>
  <si>
    <t>Open http://157.245.111.29:3002 — login: admin / vajraGlobal@2024</t>
  </si>
  <si>
    <t>Add Prometheus data source</t>
  </si>
  <si>
    <t>Connections → Data Sources → Add → Prometheus → URL: http://prometheus:9090 → Save &amp; Test</t>
  </si>
  <si>
    <t>Import Node Exporter dashboard</t>
  </si>
  <si>
    <t>Dashboards → Import → ID: 1860 → Load → Select Prometheus source → Import</t>
  </si>
  <si>
    <t>Import Blackbox dashboard</t>
  </si>
  <si>
    <t>Dashboards → Import → ID: 7587 → Load → Select Prometheus source → Import</t>
  </si>
  <si>
    <t>Install Node Exporter — Server 1 (Staging)</t>
  </si>
  <si>
    <t>SSH 139.59.71.225 → download node_exporter v1.8.1 → install as systemd service</t>
  </si>
  <si>
    <t>Install Node Exporter — Server 3 (CM)</t>
  </si>
  <si>
    <t>SSH 159.65.158.118 → download node_exporter v1.8.1 → install as systemd service</t>
  </si>
  <si>
    <t>Install Node Exporter — Server 4 (Intranet)</t>
  </si>
  <si>
    <t>SSH 64.227.179.180 → download node_exporter v1.8.1 → install as systemd service</t>
  </si>
  <si>
    <t>Verify all 4 servers in Prometheus</t>
  </si>
  <si>
    <t>Open http://157.245.111.29:9090/targets — all 4 should show State=UP</t>
  </si>
  <si>
    <t>Verify metrics on Grafana dashboard</t>
  </si>
  <si>
    <t>Check Node Exporter Full dashboard shows CPU, RAM, disk, network for all 4 servers</t>
  </si>
  <si>
    <t>Verify URL uptime panels</t>
  </si>
  <si>
    <t>Check Blackbox dashboard shows all 8 URLs — green/red status per endpoint</t>
  </si>
  <si>
    <t>New dashboard → add stat panels for each server's CPU, RAM, disk + URL status row</t>
  </si>
  <si>
    <t>Fix Alertmanager &amp; verify email config</t>
  </si>
  <si>
    <t>Resolve alertmanager crash → send test alert → confirm email arrives at moswin@vajraglobal.com</t>
  </si>
  <si>
    <t>Test disk alert (Server 2)</t>
  </si>
  <si>
    <t>Server 2 disk at 60% — lower threshold temporarily to 55% to trigger test alert</t>
  </si>
  <si>
    <t>Test endpoint down alert</t>
  </si>
  <si>
    <t>Temporarily block a URL in blackbox config → confirm alert email fires within 2 min</t>
  </si>
  <si>
    <t>Restore thresholds &amp; document</t>
  </si>
  <si>
    <t>Reset alert thresholds to production values. Document: what each alert means + who to call</t>
  </si>
  <si>
    <t>Restrict port 9090 &amp; 3002</t>
  </si>
  <si>
    <t>DigitalOcean firewall → limit port 3002 and 9090 to your office IP only (not all IPv4)</t>
  </si>
  <si>
    <t>Wed 24 Jun</t>
  </si>
  <si>
    <t>Change Grafana default password</t>
  </si>
  <si>
    <t>Grafana → Profile → Change password from vajraGlobal@2024 to a stronger password</t>
  </si>
  <si>
    <t>Final check &amp; sign-off</t>
  </si>
  <si>
    <t>All 4 servers showing metrics. All 8 URLs monitored. At least 1 test alert received.</t>
  </si>
  <si>
    <t>18-June-2026-1</t>
  </si>
  <si>
    <t>18-June-2026-2</t>
  </si>
  <si>
    <t>18-June-2026-3</t>
  </si>
  <si>
    <t>Frontend : 
1) Authentication and security workflow enhancements with forced password change, password policy validation, and improved user onboarding experience
2) Member management and presence tracking improvements with activity visibility and account status enhancements
3) Pagination usability improvements through direct page navigation and optimized page handling
4) UI and table layout refinements for better responsiveness, accessibility, and dark-mode compatibility</t>
  </si>
  <si>
    <t>18-June-2026-4</t>
  </si>
  <si>
    <t>Backend :
Security Phase C implementation with advanced authentication hardening, password policy enforcement, and refresh token security controls
Session management enhancements including token revocation, reuse detection, and forced password change workflows
Authentication API improvements with validation controls, rate limiting, and comprehensive security testing
Member oversight and organization management enhancements through presence tracking, activity monitoring, and administrative controls</t>
  </si>
  <si>
    <t>18-June-2026-5</t>
  </si>
  <si>
    <t>FIA-Move and Cross Test the entire site
Fix and check the CSP errors
Test all the forms</t>
  </si>
  <si>
    <t>18-June-2026-6</t>
  </si>
  <si>
    <t>Studio Site Umbraco version from 13.13.1 to 13.14.0 and site cross test
Test all the forms</t>
  </si>
  <si>
    <t>18-June-2026-7</t>
  </si>
  <si>
    <t>FIA-Update query in table and Move the files</t>
  </si>
  <si>
    <t>18-June-2026-8</t>
  </si>
  <si>
    <t>Cross Test the DGDA EMS</t>
  </si>
  <si>
    <t>Employee Name</t>
  </si>
  <si>
    <t>Leave Type</t>
  </si>
  <si>
    <t>From Date</t>
  </si>
  <si>
    <t>To Date</t>
  </si>
  <si>
    <t>Actual Leave</t>
  </si>
  <si>
    <t>Which Actual Days</t>
  </si>
  <si>
    <t>Which Total Days</t>
  </si>
  <si>
    <t>Total Days</t>
  </si>
  <si>
    <t>Half Day / Full Day</t>
  </si>
  <si>
    <t>Status</t>
  </si>
  <si>
    <t>Comp Off Date</t>
  </si>
  <si>
    <t>Reason for Leave</t>
  </si>
  <si>
    <t>Any Deliver On This Week</t>
  </si>
  <si>
    <t>Emergency Leave</t>
  </si>
  <si>
    <t>Applied Date</t>
  </si>
  <si>
    <t>Leave Status</t>
  </si>
  <si>
    <t>Approved By</t>
  </si>
  <si>
    <t>Approval Date</t>
  </si>
  <si>
    <t>Rejection Reason</t>
  </si>
  <si>
    <t>Casual Leave</t>
  </si>
  <si>
    <t>Full Day</t>
  </si>
  <si>
    <t>No</t>
  </si>
  <si>
    <t>Approved</t>
  </si>
  <si>
    <t>Sunder</t>
  </si>
  <si>
    <t>Sick Leave</t>
  </si>
  <si>
    <t>Second Half</t>
  </si>
  <si>
    <t>Food Poison</t>
  </si>
  <si>
    <t>Going to Temple</t>
  </si>
  <si>
    <t>-</t>
  </si>
  <si>
    <t>Going to Native</t>
  </si>
  <si>
    <t>Medical apointment for mother</t>
  </si>
  <si>
    <t>Actual Effors</t>
  </si>
  <si>
    <t>My Understanding</t>
  </si>
  <si>
    <t>Meeting with Sundar on Next Week</t>
  </si>
  <si>
    <t>I have set the meeting with Sundar on 24 March</t>
  </si>
  <si>
    <t>Rakesh Traing</t>
  </si>
  <si>
    <t>Training has done. We start giving the basic task. We gradually increase the work on upcoming days</t>
  </si>
  <si>
    <t xml:space="preserve">Request for Additional Static IP for Chennai Office
</t>
  </si>
  <si>
    <t xml:space="preserve"> Upcoming Leave Notification For Sai</t>
  </si>
  <si>
    <t>Sai will be unavailable from May 22 to June 07, 2026, due to his wedding. We will require an alternative resource to manage the project during his absence
As we disscussed over the meeting Regan will take care of Fanborought and I will coordinate with Adfactor team</t>
  </si>
  <si>
    <t>[NEW TASK] [Vajra] Sai Vacation Holiday</t>
  </si>
  <si>
    <t>Upcoming Leave Notification For abhicheke</t>
  </si>
  <si>
    <t>Abhishek Wedding Leave (Staggered Schedule): Based on project requirements, the leave has been restructured into a staggered format to maintain momentum:
11 May &amp; 12 May: Leave
18 May – 24 May: Leave
25 May – 27 May: Working / Check-in Window (To address urgent blockers)
28 May &amp; 29 May: Leave</t>
  </si>
  <si>
    <t>[NEW TASK] [Vajra] Abi Vacation Holiday</t>
  </si>
  <si>
    <t xml:space="preserve">Umbraco sites Pitch </t>
  </si>
  <si>
    <t>New Outreach Project: Targeting Legacy Umbraco 7,8,9 &amp; 10 Sites</t>
  </si>
  <si>
    <t>CI/CD Automation For all Website</t>
  </si>
  <si>
    <t>Important mainly because it was sent directly to you</t>
  </si>
  <si>
    <t>Updated Updated SEO Automation BRD BRD</t>
  </si>
  <si>
    <t>Click to teach Vajra Global Consulting Services LLP Mail this conversation is not important</t>
  </si>
  <si>
    <t xml:space="preserve">Server Inventory </t>
  </si>
  <si>
    <t>Internal links</t>
  </si>
  <si>
    <t>DevOps as a Service (DaaS)</t>
  </si>
  <si>
    <t>Vajra_DevOps_as_a_Service.xlsx</t>
  </si>
  <si>
    <t>Member</t>
  </si>
  <si>
    <t>Project</t>
  </si>
  <si>
    <t>Type</t>
  </si>
  <si>
    <t>Activity</t>
  </si>
  <si>
    <t xml:space="preserve">Week 1 </t>
  </si>
  <si>
    <t>Week 2</t>
  </si>
  <si>
    <t>Week 3</t>
  </si>
  <si>
    <t>Week 4</t>
  </si>
  <si>
    <t>Week 5</t>
  </si>
  <si>
    <t>Monthly Overall Utilization</t>
  </si>
  <si>
    <t>Monthly Available</t>
  </si>
  <si>
    <t>Internal Communcation</t>
  </si>
  <si>
    <t>Non - Billable</t>
  </si>
  <si>
    <t>PM</t>
  </si>
  <si>
    <t>Communication</t>
  </si>
  <si>
    <t>Client Communication</t>
  </si>
  <si>
    <t>Dev</t>
  </si>
  <si>
    <t>EM</t>
  </si>
  <si>
    <t>Billable</t>
  </si>
  <si>
    <t>PM/Dev</t>
  </si>
  <si>
    <t>Dev/Communication</t>
  </si>
  <si>
    <t>Exhibitor API</t>
  </si>
  <si>
    <t>Weekly Utilization</t>
  </si>
  <si>
    <t>Weekly Available</t>
  </si>
  <si>
    <t>National Design System design apply for all Pages feedback changes</t>
  </si>
  <si>
    <t>Work Adfactors</t>
  </si>
  <si>
    <t>Live</t>
  </si>
  <si>
    <t>Work Adfactors Staging and Live Restore cross test</t>
  </si>
  <si>
    <t>Not Started</t>
  </si>
  <si>
    <t>Farnborough Airshow</t>
  </si>
  <si>
    <t>Event Task and Landing Page and forms</t>
  </si>
  <si>
    <t>Internal Communication</t>
  </si>
  <si>
    <t>Task Discussion,Team Call</t>
  </si>
  <si>
    <t>Adfactors</t>
  </si>
  <si>
    <t>Home page and brand kit changes</t>
  </si>
  <si>
    <t>Enchance Admin dashboard</t>
  </si>
  <si>
    <t>Case Study-New Templete</t>
  </si>
  <si>
    <t>Live,staging</t>
  </si>
  <si>
    <t>Adfactors Chnages June</t>
  </si>
  <si>
    <t>Work Adfactors Staging and Live Restore and test all pages</t>
  </si>
  <si>
    <t xml:space="preserve">Rackesh </t>
  </si>
  <si>
    <t>live</t>
  </si>
  <si>
    <t xml:space="preserve">Site cross testing &amp; Form Testing </t>
  </si>
  <si>
    <t>SEO Automation Tool</t>
  </si>
  <si>
    <t>Make the frontend and backend setup and working in the login and signin/up functionality</t>
  </si>
  <si>
    <t>n8n automation</t>
  </si>
  <si>
    <t>local</t>
  </si>
  <si>
    <t>Learning and implementation to automate the process</t>
  </si>
  <si>
    <t>AEM</t>
  </si>
  <si>
    <t xml:space="preserve">Learning and implementation </t>
  </si>
  <si>
    <t>adfactors</t>
  </si>
  <si>
    <t>phase 2 changes</t>
  </si>
  <si>
    <t>SEO Automation</t>
  </si>
  <si>
    <t xml:space="preserve">Roadmap planning + N8n UI Build </t>
  </si>
  <si>
    <t xml:space="preserve">SEO Automation
</t>
  </si>
  <si>
    <t xml:space="preserve">Live </t>
  </si>
  <si>
    <t>Competitor analysis</t>
  </si>
  <si>
    <t>Backllink Monitoring</t>
  </si>
  <si>
    <t>Vajra Product Applications Monitoring.</t>
  </si>
  <si>
    <t xml:space="preserve">Monitoring set up with external tools for all our Internal projects. </t>
  </si>
  <si>
    <t xml:space="preserve">DGDA Monitoing </t>
  </si>
  <si>
    <t xml:space="preserve">Maintain and backup Client cloud cluster data base. </t>
  </si>
  <si>
    <t xml:space="preserve">https://clients.cloudclusters.io/ understanding and set up backup. </t>
  </si>
  <si>
    <t>Indexing Status</t>
  </si>
  <si>
    <t>Keyword Research</t>
  </si>
  <si>
    <t>www.vajraglobal.com/</t>
  </si>
  <si>
    <t>Targeting Legacy Umbraco 7,8,9 &amp; 10 Sites</t>
  </si>
  <si>
    <t>Review High CPU Usage</t>
  </si>
  <si>
    <t>Migration of MarketingOps frontent and backend, DB to the new server is done. Frontend and backend health is working. There are some application connection issues in there. Will work with Boopesh to chck on that today.</t>
  </si>
  <si>
    <t xml:space="preserve">Competitor analysis started working as discussed. but the project api which we are using wasnt able to fetch the output that we required. So need to find an alternate method. </t>
  </si>
  <si>
    <t>19-Mar-2026-1</t>
  </si>
  <si>
    <t>Alt text workflow phase 1 completed and shared with valli and team for validation.</t>
  </si>
  <si>
    <t>19-Mar-2026-2</t>
  </si>
  <si>
    <t xml:space="preserve">2 improvements on 19-Mar-2026-1 completed </t>
  </si>
  <si>
    <t>Following our review, we've made two improvements:
Alt Text Quality — The generated alt texts were too generic.  We've refined the prompt by providing context from the article title, page context, and the image itself and after reviewing the latest outputs, the quality now meets our expectations.
Image Filtering — A number of images being pulled were standalone assets not attached to any articles. We've updated the workflow to skip these entirely, so only relevant article images are processed.</t>
  </si>
  <si>
    <t>Snapshot of the server taken, and decommisioned the server. 
Server and projects were monitored for the last 5 days.</t>
  </si>
  <si>
    <t>Everything looks stable and normal. We have taken a backup snapshot of the server and decommissioned it. The snapshot will be retained for the next 5 days as a safety net before deletion.
Additionally, I believe we have an opportunity to reduce one more server by consolidating and redistributing some projects. I will discuss this with Sunder Sir and come back with a plan tomorrow.</t>
  </si>
  <si>
    <t xml:space="preserve">AstonBrooke local environment set up. </t>
  </si>
  <si>
    <t>For Aston Brooke set up the private key files in Kushall's laptop and have provided the updated commands to move the backend project into the server.</t>
  </si>
  <si>
    <t>FTP set up done for AB in Kushall's laptop for Filezilla</t>
  </si>
  <si>
    <t>Kreab billing invoice</t>
  </si>
  <si>
    <t xml:space="preserve">Kreab billing cycle invoice fetch from AWS and sent to accounts team. MFA was with Ram so had to get it from him and further have changed it my device for future purposes </t>
  </si>
  <si>
    <t>Backup plan and cost sheet has been prepared (</t>
  </si>
  <si>
    <t>https://automation.vajraglobal.com/</t>
  </si>
  <si>
    <t xml:space="preserve">Alt text Phase 2 - Pause mechanism planned and how we can get validation and update only the ones that are approved have been finalized with Valli. Initiall set up has also been started </t>
  </si>
  <si>
    <t xml:space="preserve">Have completed Alt text end to end. ( 7 hours)
Phase 1 : from collecting missing alt texts information with the details.
Phase 2 : generating alt texts and confirming approval from the SEO team.
Phase 3 : Inject only the approved alt texts in the site. 
Pending : Need to plan with valli for creating a button to initiate the workflow externally. </t>
  </si>
  <si>
    <t>Working with Bboopesh on MSME for creation of super admin user, docker issues, setting up in a way that another repo can also move the backend to the same server</t>
  </si>
  <si>
    <t xml:space="preserve">MSME super admin user issues resolved and moved the code to staging. </t>
  </si>
  <si>
    <t>ALT text - Need to plan with valli for creating a button to initiate the workflow externally. Button trigger for both the workflows through webhooks created new issues. All resolved and now everything is ready.</t>
  </si>
  <si>
    <t>1C2GB-N8n.monitoringTools.ContentPubWDS-LIVE server clean up activity done brining down the space from 42 GB to 29 GB saving cost for backing up and potentially move project too in there.</t>
  </si>
  <si>
    <t xml:space="preserve"> 2C4GB-Intranet.Kreab.thoughtleadership-STAGING storage brought down from 43 to 26 GB by doing some housekeeping activities and clearing old images, and logs.</t>
  </si>
  <si>
    <t xml:space="preserve">backups set up for all servers. Plan and cost estimation sheet is also done
Server Inventory - Vajra </t>
  </si>
  <si>
    <t>Alerts and monitoring for all servers is also set up in Digital ocean</t>
  </si>
  <si>
    <t xml:space="preserve">Aston Brooke </t>
  </si>
  <si>
    <t>Aston Brooke nginix set up call with Kushall</t>
  </si>
  <si>
    <t>Tracking code and robots.txt failed due to too many requests in Excel. Have set up service accounts for them and it's working now.</t>
  </si>
  <si>
    <t>msme backend changes moved to staging - worked with Bboopesh</t>
  </si>
  <si>
    <t>Alt text have set up so that credentials are taken in dynamically and used in the workflows as per the project</t>
  </si>
  <si>
    <t>Alt text demo and follow up email</t>
  </si>
  <si>
    <t xml:space="preserve">Prepare plan sheet for Alt text tool </t>
  </si>
  <si>
    <t xml:space="preserve">1C2GB-ContentOps.MarketingOps.InterlarcBakcend-LIVE disk space reduced from 24 to 11 GB by doing some house keeping activities. </t>
  </si>
  <si>
    <t>Enable a pop up notification when alt text generation is complete.</t>
  </si>
  <si>
    <t>Discuss with Bboopesh and Sunder and provide a plan with sir for the migration and risks involved with ETA</t>
  </si>
  <si>
    <t xml:space="preserve">Learning </t>
  </si>
  <si>
    <t>Claude Code - learn to utilize it for keyword research , competitior analysis or anyother upcoming automations.</t>
  </si>
  <si>
    <t>move marketingOPS-backend project to Intranet staging server</t>
  </si>
  <si>
    <t xml:space="preserve">set up mail node and get review from valli </t>
  </si>
  <si>
    <t>Migrate contentops-backend application to 1C2GB-N8n.monitoringTools.ContentPubWDS-LIVE</t>
  </si>
  <si>
    <t>Set up Pritunl and server VPN access for staging backend, live backend and data base server machines with commands</t>
  </si>
  <si>
    <t xml:space="preserve">Respond to sir mail with 4 week plan for SEO
Prepare plan sheet for competitor analysis with claude code 
Prepare plan sheet for keyword research analysis with claude code. </t>
  </si>
  <si>
    <t>Migrate intelarc-api backend application to 2C4GB-Intranet.Kreab.thoughtleadership-STAGING</t>
  </si>
  <si>
    <r>
      <rPr>
        <rFont val="Arial"/>
        <color rgb="FF000000"/>
      </rPr>
      <t>Prepare sales pitch required details to Sriram sir for DevOps as a Service(DaaS)</t>
    </r>
    <r>
      <rPr>
        <rFont val="Arial"/>
        <color rgb="FF1155CC"/>
        <u/>
      </rPr>
      <t xml:space="preserve">
https://docs.google.com/spreadsheets/d/1VcZ3dgg0Ass8GliDR3zhezHmsi_LzdkC/edit?usp=sharing&amp;ouid=108220845174973423951&amp;rtpof=true&amp;sd=true</t>
    </r>
  </si>
  <si>
    <t>Internal Links - Have set up credentials and fetching all pages with pagination steps are done.</t>
  </si>
  <si>
    <t xml:space="preserve">50 % completed. 
</t>
  </si>
  <si>
    <t>Workflow architecture plan</t>
  </si>
  <si>
    <t>Google Sheet approval schema</t>
  </si>
  <si>
    <t>N8N WP credentials setup</t>
  </si>
  <si>
    <t>Phase 1 — Crawl workflow</t>
  </si>
  <si>
    <t>Phase 1 — OpenAI suggestion engine</t>
  </si>
  <si>
    <t>Phase 1 — dry run on 5 posts</t>
  </si>
  <si>
    <t xml:space="preserve">Phase 1 - Improvements. 
Generate source, target, anchor text, paragraph context, insertion text  for the eligible high confidence interlinks. </t>
  </si>
  <si>
    <t xml:space="preserve">Route traffic of 3 applications to their respective updated server machines. </t>
  </si>
  <si>
    <t>Phase 1 - Fixes pending. 
Remove duplicates, EMPTY / INVALID ITEMS with low confidence, improve ANCHOR TEXT QUALITY, handle SYMMETRICAL LINKS</t>
  </si>
  <si>
    <t xml:space="preserve">Outputs for all pages received as expected, 
</t>
  </si>
  <si>
    <t xml:space="preserve">Generated values of 
keywords        topic        id        title        url        slug        excerpt        content_short        content_full        source_url        target_url        anchor_text        insertion_text        row_type        reason        confidence        decision        edited_anchor        edited_insertion        status
fetched and updated in sheet properly with the multiple suggestion logic. </t>
  </si>
  <si>
    <t xml:space="preserve">Completed. added new coloumn for the suggestions so the seo team can singularly select only those to approve. </t>
  </si>
  <si>
    <t>Read final sheet, prepare inject content, extract post content , prepare and inject only if approved , update in sheet the status.</t>
  </si>
  <si>
    <t xml:space="preserve">Completed with this too. 
some inputs mismatatched which led to some issues. that took some time to troubleshoot.. 
Pending: Get approval from Naresh and do a test run in staging wordpress sites. </t>
  </si>
  <si>
    <t xml:space="preserve">Research Upwork and LinkedIn, find similar profiles and share with Sriram Sir with details of what all we can do like that. </t>
  </si>
  <si>
    <t xml:space="preserve">Comment: Upwork_DevOps_research.xlsx
Created a profile in upwork and research the kind of jobs we can do. and found some other freelancers by loggin in hiring mode. and fetched some people who do something like this full time and have good rating. 
LinkedIn will do tomorrow. </t>
  </si>
  <si>
    <t xml:space="preserve">N8n workflow to fetch and provide invalid(non-deliverable) emails out of the list. </t>
  </si>
  <si>
    <t xml:space="preserve">1. Plan how we can set up filters on top of AWS SES to find bounce back mails. 
2. Send client with steps needed to be done. </t>
  </si>
  <si>
    <t xml:space="preserve">Nginx set up, SSL cert set up, IP pointing done. 
One application has issues, have shared it with the dev team. </t>
  </si>
  <si>
    <t xml:space="preserve">With the dev team for troubleshooting issues in backend.  </t>
  </si>
  <si>
    <t>1. Prepare new data and keep it ready for Demo with Valli
2.  Collect data on time saved information. 
3. Complete demo call</t>
  </si>
  <si>
    <t>DevOps Vajra Voyage</t>
  </si>
  <si>
    <t>"System Stability post Go-Live ≥ 98%" this means all servers should be up and running. if something goes wrong we need a plan to recover and be back up and running without any data lose. I need to detail plan for this. Also for all applications should be running and that also needs to be tracked regularly. if it goes down,   how to bring them up and running.  We need document for all applications</t>
  </si>
  <si>
    <t>https://docs.google.com/document/d/1KHg8muxaUMm2emsl9NOzYrZwD9Nzd7dR/edit?usp=sharing&amp;ouid=108220845174973423951&amp;rtpof=true&amp;sd=true</t>
  </si>
  <si>
    <t xml:space="preserve">Discussion call with Kiruba, Thamil and Bboopesh on the bounce back mail alternatives. 
Corrections has been done and moved to live for testing. 
Pritunl issue in Bboopesh laptop, cant find the rootcause. Running it temporarily in my laptop </t>
  </si>
  <si>
    <t xml:space="preserve">Mail otp  expiry is 2 mins in code. But is 10 mins by default. Figure out a way to reduce to 2 mins using aws. </t>
  </si>
  <si>
    <t>Delete Droplet</t>
  </si>
  <si>
    <t xml:space="preserve">Ui buttons for generation and Inject procedure. </t>
  </si>
  <si>
    <t>For all our applications set up uptime monitoring for health endpoint api.</t>
  </si>
  <si>
    <t>need health enpoints from the dev team. or ask them to set up end points then.</t>
  </si>
  <si>
    <t xml:space="preserve">Analyse best monitoring tool we can set up for the error logs define thresholds and set up proper mailing system for increased error from specific applications and provide details to Sunder Sir </t>
  </si>
  <si>
    <t>Grafana + Loki + Promtail</t>
  </si>
  <si>
    <t xml:space="preserve">need dev team to set up logs.
send mail to the team. </t>
  </si>
  <si>
    <t>Prepare FRD for SEO Automation</t>
  </si>
  <si>
    <t>Discussion with Kiruba for UI set for SEO Automation.</t>
  </si>
  <si>
    <t>Preparation and Discussion with Valli and Balaji for UI set up for SEO Automation.</t>
  </si>
  <si>
    <t xml:space="preserve">Client CloudClusters understanding and backup set up. </t>
  </si>
  <si>
    <t xml:space="preserve">Have responded to G sir and Sunder Sir queries. Need approval from sir for the cost, post that will enable db backups. </t>
  </si>
  <si>
    <t xml:space="preserve">demo video send for alt text for context for balaji </t>
  </si>
  <si>
    <t>Goal towards 99.99% availability</t>
  </si>
  <si>
    <t xml:space="preserve">tech team applications uptime monitoring set up for their end points </t>
  </si>
  <si>
    <t xml:space="preserve">Mail send for error logs set up and mail to Sriram sir with all the documents and data required. </t>
  </si>
  <si>
    <t>??</t>
  </si>
  <si>
    <r>
      <rPr>
        <rFont val="Arial"/>
      </rPr>
      <t xml:space="preserve">Hi Moswin, can you read on this topic and explain to me. no time pressure. take you own time. but we need to understand this in detail. </t>
    </r>
    <r>
      <rPr>
        <rFont val="Arial"/>
        <color rgb="FF1155CC"/>
        <u/>
      </rPr>
      <t>https://www.linkedin.com/posts/leadgenmanthan_claude-code-can-now-run-any-cli-for-you-activity-7453738322599763968--WZH</t>
    </r>
  </si>
  <si>
    <t>Completed on my end, Sir told he will get back when he is available.</t>
  </si>
  <si>
    <t xml:space="preserve">Prepare Road map / demo / discussion with Valli on the same. </t>
  </si>
  <si>
    <t xml:space="preserve">Devops as a service sales team discussion this week with Sriram Sir </t>
  </si>
  <si>
    <t>CI/CD</t>
  </si>
  <si>
    <t>Testing for all CICD workflows in Hellowiz and corrections for the same</t>
  </si>
  <si>
    <t>Alt text generation for Vachi HR - Staging</t>
  </si>
  <si>
    <t>Alt text generation for Vachi HR - Live</t>
  </si>
  <si>
    <t xml:space="preserve">LinkedIn Optimization for devops visibility </t>
  </si>
  <si>
    <t>https://www.linkedin.com/posts/moswin_aws-eks-kubernetes-activity-7462126509927927808--uMs?utm_source=share&amp;utm_medium=member_desktop&amp;rcm=ACoAACoz00YBMtL992VJP8rD2-2VhlT-0tzwdTs</t>
  </si>
  <si>
    <t xml:space="preserve">Thought leadership developement </t>
  </si>
  <si>
    <t xml:space="preserve">Thought leadership project set up and run </t>
  </si>
  <si>
    <t xml:space="preserve">1. Gradle version
2. Missing packages install 
3. Missing dependencies install </t>
  </si>
  <si>
    <t xml:space="preserve">Identify firebase and include Device SHA code </t>
  </si>
  <si>
    <t>Internal monitoring and alert set up with error logs planning and tool identification</t>
  </si>
  <si>
    <t>neo4j implementation + deployment</t>
  </si>
  <si>
    <t xml:space="preserve">Learn + understand neo4j </t>
  </si>
  <si>
    <t>Backlink call with Padma</t>
  </si>
  <si>
    <t>Vachi live Alt text insertion</t>
  </si>
  <si>
    <t>Hello Wiz - WIzard Staging + Production CICD Pipeline</t>
  </si>
  <si>
    <t xml:space="preserve">Have built and set up pipelines for each project. 
Will push into the repository as a maintainance activity on third week of June. </t>
  </si>
  <si>
    <t>Dev team to test the workflow and client approval to go ahead with this implementation</t>
  </si>
  <si>
    <t>Hello Wiz - Admin Staging + Production CICD Pipeline</t>
  </si>
  <si>
    <t>Hello Wiz - Client Staging + Production CICD Pipeline</t>
  </si>
  <si>
    <t>Hello Wiz - Backend Staging + Production CICD Pipeline</t>
  </si>
  <si>
    <t>automation.vajraglobal.com</t>
  </si>
  <si>
    <t>Backlink Monitoring</t>
  </si>
  <si>
    <t xml:space="preserve">Done with the requirement build and corrections. </t>
  </si>
  <si>
    <t xml:space="preserve">Need full list of backlinks targets urls and project urls so we can set this up for those and follow that </t>
  </si>
  <si>
    <t xml:space="preserve">Plan and document neo4j hosting options and cost and set up for clients documentation </t>
  </si>
  <si>
    <t>neo4j infra set up for clients plan with cloud self managed or server on prem hosting plan and cost split No due date</t>
  </si>
  <si>
    <t xml:space="preserve">Monitoring and alert set up in all servers as proposed </t>
  </si>
  <si>
    <t xml:space="preserve">Review + decision call and mail convo close with Padma and Valli </t>
  </si>
  <si>
    <t xml:space="preserve">Make the changes in backlink. </t>
  </si>
  <si>
    <t xml:space="preserve">Kreab developement </t>
  </si>
  <si>
    <t>Set up frontend ,backend and understand code</t>
  </si>
  <si>
    <t xml:space="preserve">Share 30/60 days plan with G sir. </t>
  </si>
  <si>
    <t xml:space="preserve">Backlink Monitoring-  changes from Padma </t>
  </si>
  <si>
    <t>Competitor Analysis</t>
  </si>
  <si>
    <t>S.No</t>
  </si>
  <si>
    <t>From</t>
  </si>
  <si>
    <t>To</t>
  </si>
  <si>
    <t>Date</t>
  </si>
  <si>
    <t xml:space="preserve">Available </t>
  </si>
  <si>
    <t>Description</t>
  </si>
  <si>
    <t>Feat/Seo</t>
  </si>
  <si>
    <t>Main</t>
  </si>
  <si>
    <t>20-08-2025</t>
  </si>
  <si>
    <t>Deleted</t>
  </si>
  <si>
    <t>Move The Changes</t>
  </si>
  <si>
    <t>feat/water-dispenser-latest</t>
  </si>
  <si>
    <t>28-08-2025</t>
  </si>
  <si>
    <t>Take a Backup</t>
  </si>
  <si>
    <t xml:space="preserve">feat/water-dispenser-latest </t>
  </si>
  <si>
    <t>sapc4cintegration</t>
  </si>
  <si>
    <r>
      <rPr>
        <color rgb="FF1155CC"/>
        <u/>
      </rPr>
      <t>feat/datareq</t>
    </r>
  </si>
  <si>
    <t>Due to conflict</t>
  </si>
  <si>
    <r>
      <rPr>
        <color rgb="FF1155CC"/>
        <u/>
      </rPr>
      <t>feat/datareq</t>
    </r>
  </si>
  <si>
    <t>feat/dalstudent</t>
  </si>
  <si>
    <t>Remove   'dgdaGeneralEnquiry','dgdaFeedback', 'dgdaComplaints', On C4C</t>
  </si>
  <si>
    <t>Move the water dispenser sponsors logo fix</t>
  </si>
  <si>
    <t xml:space="preserve">Main </t>
  </si>
  <si>
    <t>Release</t>
  </si>
  <si>
    <t>C4C Water Pen Testing Changes</t>
  </si>
  <si>
    <t>Terraform Code Update</t>
  </si>
  <si>
    <t>feat/saudi-national-day</t>
  </si>
  <si>
    <t xml:space="preserve">Test if it is working or not </t>
  </si>
  <si>
    <t>main</t>
  </si>
  <si>
    <r>
      <rPr>
        <color rgb="FF1155CC"/>
        <u/>
      </rPr>
      <t>release/dgda</t>
    </r>
  </si>
  <si>
    <r>
      <rPr>
        <color rgb="FF1155CC"/>
        <u/>
      </rPr>
      <t>release/dgda</t>
    </r>
  </si>
  <si>
    <t xml:space="preserve"> National Day Page move to Production</t>
  </si>
  <si>
    <t xml:space="preserve"> National Day Page Fonts update</t>
  </si>
  <si>
    <r>
      <rPr>
        <color rgb="FF1155CC"/>
        <u/>
      </rPr>
      <t>release/dgda</t>
    </r>
  </si>
  <si>
    <t>feat/al-masar-program</t>
  </si>
  <si>
    <t>Al Masar Program Page Development and lint error fix</t>
  </si>
  <si>
    <t>feat/feat-school-fixed</t>
  </si>
  <si>
    <t>School Visit form student condtion fix</t>
  </si>
  <si>
    <r>
      <rPr>
        <color rgb="FF1155CC"/>
        <u/>
      </rPr>
      <t>release/dgda</t>
    </r>
  </si>
  <si>
    <t>feat/CTProgram</t>
  </si>
  <si>
    <t>Curatorial Training Program Page</t>
  </si>
  <si>
    <t>Form Language Fix</t>
  </si>
  <si>
    <r>
      <rPr>
        <color rgb="FF1155CC"/>
        <u/>
      </rPr>
      <t>release/dgda</t>
    </r>
  </si>
  <si>
    <t>video library Page code uncomment and move it to main</t>
  </si>
  <si>
    <r>
      <rPr>
        <color rgb="FF1155CC"/>
        <u/>
      </rPr>
      <t>release/dgda</t>
    </r>
  </si>
  <si>
    <t>video library Page code uncomment and move it to live</t>
  </si>
  <si>
    <t xml:space="preserve">Royal Golf Club Hiring Opportunity form add to C4C 
Bab Samhan Hiring Opportunity Survey form add to C4C </t>
  </si>
  <si>
    <t>School Visit Form Grade Validation Fix</t>
  </si>
  <si>
    <r>
      <rPr>
        <color rgb="FF1155CC"/>
        <u/>
      </rPr>
      <t>release/dgda</t>
    </r>
  </si>
  <si>
    <t>Move the Water Dispenser Form Intrest Type code to Staging</t>
  </si>
  <si>
    <r>
      <rPr>
        <color rgb="FF1155CC"/>
        <u/>
      </rPr>
      <t>release/dgda</t>
    </r>
  </si>
  <si>
    <t>Water Dispenser Move to Production</t>
  </si>
  <si>
    <t>Water Dispenser CTA Target Fix move to staging</t>
  </si>
  <si>
    <r>
      <rPr>
        <color rgb="FF1155CC"/>
        <u/>
      </rPr>
      <t>release/dgda</t>
    </r>
  </si>
  <si>
    <t>Water Dispenser CTA Target Fix move to live</t>
  </si>
  <si>
    <t>17-11-2025</t>
  </si>
  <si>
    <t>CT Program</t>
  </si>
  <si>
    <r>
      <rPr>
        <color rgb="FF1155CC"/>
        <u/>
      </rPr>
      <t>release/dgda</t>
    </r>
  </si>
  <si>
    <t>18-11-2025</t>
  </si>
  <si>
    <t>Fix the Category</t>
  </si>
  <si>
    <r>
      <rPr>
        <color rgb="FF1155CC"/>
        <u/>
      </rPr>
      <t>release/dgda</t>
    </r>
  </si>
  <si>
    <t>24-11-2025</t>
  </si>
  <si>
    <t>banner video responsive fix</t>
  </si>
  <si>
    <r>
      <rPr>
        <color rgb="FF1155CC"/>
        <u/>
      </rPr>
      <t>release/dgda</t>
    </r>
  </si>
  <si>
    <t>28-11-2025</t>
  </si>
  <si>
    <t>Phone Number Validation after user remove the data 
Fix the validaion in coding</t>
  </si>
  <si>
    <t>Date picker not working on single click fix on DGDA and remove the special chacter on the some of the form input id</t>
  </si>
  <si>
    <r>
      <rPr>
        <color rgb="FF1155CC"/>
        <u/>
      </rPr>
      <t>release/dgda</t>
    </r>
  </si>
  <si>
    <t>Form Empty Value fix for mail template</t>
  </si>
  <si>
    <r>
      <rPr>
        <color rgb="FF1155CC"/>
        <u/>
      </rPr>
      <t>release/dgda</t>
    </r>
  </si>
  <si>
    <t>Dummy Push for variable update - Moswin</t>
  </si>
  <si>
    <r>
      <rPr>
        <color rgb="FF1155CC"/>
        <u/>
      </rPr>
      <t>release/dgda</t>
    </r>
  </si>
  <si>
    <t>Googe Tag Manager Tracking - Sowndar</t>
  </si>
  <si>
    <r>
      <rPr>
        <color rgb="FF1155CC"/>
        <u/>
      </rPr>
      <t>release/dgda</t>
    </r>
  </si>
  <si>
    <t>feat/version-update</t>
  </si>
  <si>
    <t>18-12-2025</t>
  </si>
  <si>
    <t>Version Upudate from 14.2.25 to 15.5.9</t>
  </si>
  <si>
    <r>
      <rPr>
        <color rgb="FF1155CC"/>
        <u/>
      </rPr>
      <t>release/dgda</t>
    </r>
  </si>
  <si>
    <t>23-12-2025</t>
  </si>
  <si>
    <t>26-12-2025</t>
  </si>
  <si>
    <t>UMA Forms Type Add</t>
  </si>
  <si>
    <t>29-12-2025</t>
  </si>
  <si>
    <t xml:space="preserve">Register Number Logic </t>
  </si>
  <si>
    <r>
      <rPr>
        <color rgb="FF1155CC"/>
        <u/>
      </rPr>
      <t>release/dgda</t>
    </r>
  </si>
  <si>
    <t>Forms payload duplicate fix</t>
  </si>
  <si>
    <r>
      <rPr>
        <color rgb="FF1155CC"/>
        <u/>
      </rPr>
      <t>release/dgda</t>
    </r>
  </si>
  <si>
    <t>Leadership Components</t>
  </si>
  <si>
    <t>Leadership Components Text Alignment</t>
  </si>
  <si>
    <t>Leadership Components Text Alignment in Arabic</t>
  </si>
  <si>
    <t>CTA and Header Tracking Code Update</t>
  </si>
  <si>
    <r>
      <rPr>
        <color rgb="FF1155CC"/>
        <u/>
      </rPr>
      <t>release/dgda</t>
    </r>
  </si>
  <si>
    <t>feat/finding-details</t>
  </si>
  <si>
    <r>
      <rPr/>
      <t xml:space="preserve">Move the Founding Details Single </t>
    </r>
    <r>
      <rPr>
        <color rgb="FF1155CC"/>
        <u/>
      </rPr>
      <t>Page</t>
    </r>
  </si>
  <si>
    <r>
      <rPr>
        <color rgb="FF1155CC"/>
        <u/>
      </rPr>
      <t>release/dgda</t>
    </r>
  </si>
  <si>
    <r>
      <rPr/>
      <t xml:space="preserve">Move the Founding Details Single </t>
    </r>
    <r>
      <rPr>
        <color rgb="FF1155CC"/>
        <u/>
      </rPr>
      <t>Page</t>
    </r>
  </si>
  <si>
    <t>dev/DGS</t>
  </si>
  <si>
    <t>19-11-2025</t>
  </si>
  <si>
    <t>Add the Target on the hedaer button</t>
  </si>
  <si>
    <t>release/dgs</t>
  </si>
  <si>
    <t>Header Item Align right</t>
  </si>
  <si>
    <t>27-11-2025</t>
  </si>
  <si>
    <t>OG Image - Moswin</t>
  </si>
  <si>
    <t>Date picker not working on single click fix on DGS and remove the special chacter on the some of the form input id</t>
  </si>
  <si>
    <t>Recaptcha fix - Moswin</t>
  </si>
  <si>
    <t>Speaker Page categories issue Fix</t>
  </si>
  <si>
    <t>Dummy Push for Variable Update - Moswin</t>
  </si>
  <si>
    <t>Dummy Push for variables update - Moswin</t>
  </si>
  <si>
    <t>Move the PDF Title Field</t>
  </si>
  <si>
    <t>First Name and last name max character</t>
  </si>
  <si>
    <t xml:space="preserve">AWS Name </t>
  </si>
  <si>
    <t>Link</t>
  </si>
  <si>
    <t>Coding</t>
  </si>
  <si>
    <t>Content</t>
  </si>
  <si>
    <t>GitHub</t>
  </si>
  <si>
    <t>dgda-prod</t>
  </si>
  <si>
    <r>
      <rPr>
        <rFont val="&quot;Amazon Ember&quot;"/>
        <color rgb="FF1155CC"/>
        <u/>
      </rPr>
      <t>https://www.dgda.gov.sa</t>
    </r>
  </si>
  <si>
    <t>release/dgda</t>
  </si>
  <si>
    <r>
      <rPr>
        <color rgb="FF1155CC"/>
        <u/>
      </rPr>
      <t>prod</t>
    </r>
  </si>
  <si>
    <t>Delivery</t>
  </si>
  <si>
    <t>PROD GitHub to AWS-SSM Sync env vars &amp; secrets</t>
  </si>
  <si>
    <t>dgda-prod-preview</t>
  </si>
  <si>
    <t>https://preview.dgda.gov.sa/en</t>
  </si>
  <si>
    <t>prod</t>
  </si>
  <si>
    <t>Preview</t>
  </si>
  <si>
    <t>dgda-preprod-preview</t>
  </si>
  <si>
    <t>https://preview-preprod.dgda.gov.sa/en</t>
  </si>
  <si>
    <r>
      <rPr>
        <color rgb="FF1155CC"/>
        <u/>
      </rPr>
      <t>preprod</t>
    </r>
  </si>
  <si>
    <t>PREPROD GitHub to AWS-SSM Sync env vars &amp; secrets</t>
  </si>
  <si>
    <t>dgda-preprod</t>
  </si>
  <si>
    <t>https://preprod.dgda.gov.sa/</t>
  </si>
  <si>
    <r>
      <rPr>
        <color rgb="FF1155CC"/>
        <u/>
      </rPr>
      <t>preprod</t>
    </r>
  </si>
  <si>
    <t>dgda-dev</t>
  </si>
  <si>
    <t>link as branch name</t>
  </si>
  <si>
    <r>
      <rPr>
        <color rgb="FF1155CC"/>
        <u/>
      </rPr>
      <t>preprod</t>
    </r>
  </si>
  <si>
    <t>#</t>
  </si>
  <si>
    <t>Temp Url</t>
  </si>
  <si>
    <t>dgs-prod</t>
  </si>
  <si>
    <t>https://release-dgs.d1ae5b5egxa43d.amplifyapp.com/</t>
  </si>
  <si>
    <t>https://www.dgs.sa/</t>
  </si>
  <si>
    <t>dgs-prod-preview</t>
  </si>
  <si>
    <t>https://release-dgs.dl1b7xhxrjhbe.amplifyapp.com/</t>
  </si>
  <si>
    <t>https://preview.dgs.sa/</t>
  </si>
  <si>
    <t>dgs-preprod-preview</t>
  </si>
  <si>
    <t>https://main.d3kmmfy327jwr7.amplifyapp.com/</t>
  </si>
  <si>
    <t>https://preview-preprod.dgs.sa/</t>
  </si>
  <si>
    <t>Error 1016</t>
  </si>
  <si>
    <t>dgs-preprod</t>
  </si>
  <si>
    <r>
      <rPr>
        <rFont val="Arial"/>
        <color rgb="FF1155CC"/>
        <sz val="10.0"/>
        <u/>
      </rPr>
      <t>https://main.d1lnkvi8pnbqc9.amplifyapp.com/en</t>
    </r>
  </si>
  <si>
    <t>https://preprod.dgs.sa/</t>
  </si>
  <si>
    <t>dgs-dev</t>
  </si>
  <si>
    <t>https://dev-dgs.ddz0gzz9umix8.amplifyapp.com/</t>
  </si>
  <si>
    <t>WebsiteName</t>
  </si>
  <si>
    <t>Status Definistion</t>
  </si>
  <si>
    <t>Env Definition</t>
  </si>
  <si>
    <t>Priority Definition</t>
  </si>
  <si>
    <t>Employee Details</t>
  </si>
  <si>
    <t>Approved tasks that are queued for work but have not yet been started by a resource.</t>
  </si>
  <si>
    <t>Individual developer’s sandbox. Work here is isolated and does not affect any other team members.</t>
  </si>
  <si>
    <t>Minor enhancements, cosmetic tweaks, or "nice-to-have" items with no impact on current functionality.</t>
  </si>
  <si>
    <t>Pending</t>
  </si>
  <si>
    <t>First Half</t>
  </si>
  <si>
    <t>Requirements Not Clear</t>
  </si>
  <si>
    <t>Task is paused because the scope, logic, or design instructions are insufficient to proceed.</t>
  </si>
  <si>
    <t>The integration environment where all code is combined to test for bugs and system stability.</t>
  </si>
  <si>
    <t>Standard tasks that provide value but are not time-sensitive. To be completed in the normal work cycle.</t>
  </si>
  <si>
    <t>Active development or configuration is currently underway by the assigned resource.</t>
  </si>
  <si>
    <t>User Acceptance Testing. A stable environment where the client validates that the solution meets their needs.</t>
  </si>
  <si>
    <t>Important features or significant bugs that affect user experience. Requires prioritization in the next 24-48 hours.</t>
  </si>
  <si>
    <t>Rejected</t>
  </si>
  <si>
    <t>Earned Leave</t>
  </si>
  <si>
    <t>Work has stopped due to a technical dependency, internal bottleneck, or resource unavailability.</t>
  </si>
  <si>
    <t>The "Live" environment used by end-users. Any changes here are final and affect the actual business.</t>
  </si>
  <si>
    <t>Time-critical tasks or major functional defects that impede a deadline. Requires immediate team focus.</t>
  </si>
  <si>
    <t>Cancelled</t>
  </si>
  <si>
    <t>Maternity Leave</t>
  </si>
  <si>
    <t>Work cannot proceed until the client provides required data, access, or clarification.</t>
  </si>
  <si>
    <t>System-wide failure or total work stoppage. Critical security risks or production outages requiring "all hands on deck."</t>
  </si>
  <si>
    <t>Paternity Leave</t>
  </si>
  <si>
    <t>Development is completed and the task is undergoing internal QA, validation, or peer review.</t>
  </si>
  <si>
    <t>Comp Off</t>
  </si>
  <si>
    <t>Changes Requested / Rework</t>
  </si>
  <si>
    <t>Client or QA has requested modifications; task is sent back for further development or correction</t>
  </si>
  <si>
    <t>Ready for Execution</t>
  </si>
  <si>
    <t>All approvals are completed; task is finalized and ready for production release.</t>
  </si>
  <si>
    <t>The task is successfully deployed, verified in Production, and officially signed off.</t>
  </si>
  <si>
    <t>The task was created in error or decided against before significant work began.</t>
  </si>
  <si>
    <t>Development was completed, but the client chose not to go live. Hours worked are subject to final invoicing.</t>
  </si>
  <si>
    <t>The project or task has been terminated mid-way; no further work or deployment will occur.</t>
  </si>
  <si>
    <t>Website List</t>
  </si>
  <si>
    <t>Website URL</t>
  </si>
  <si>
    <t>CMS</t>
  </si>
  <si>
    <t>Overall Allocated Hours/Month</t>
  </si>
  <si>
    <t>Allocated Hours for Website Maintenance/Month</t>
  </si>
  <si>
    <t>Allocated Hours for Development Support/Month</t>
  </si>
  <si>
    <t>Farnborough International Corporate</t>
  </si>
  <si>
    <t>https://www.farnboroughinternational.org/</t>
  </si>
  <si>
    <t>Umbraco</t>
  </si>
  <si>
    <t>Farnborough International Exhibition &amp; Conference Centre</t>
  </si>
  <si>
    <t>https://www.farnborough.com/</t>
  </si>
  <si>
    <t>Farnborough International Airshow</t>
  </si>
  <si>
    <t>https://www.farnboroughairshow.com/</t>
  </si>
  <si>
    <t>Farnborough International Studios</t>
  </si>
  <si>
    <t>https://farnboroughinternationalstudios.com/</t>
  </si>
  <si>
    <t>Farnborough International Aerospace Events</t>
  </si>
  <si>
    <t>https://events.farnboroughinternational.org/</t>
  </si>
  <si>
    <t>Aerospace Global Forum</t>
  </si>
  <si>
    <t>https://www.aerospaceglobalforum.com/</t>
  </si>
  <si>
    <t>Farnborough International Space Show</t>
  </si>
  <si>
    <t>WordPress</t>
  </si>
  <si>
    <t>Sustainable Skies World Summit</t>
  </si>
  <si>
    <t>International Symposium on Remote Sensing of Environment</t>
  </si>
  <si>
    <t>Adfactor Intranet</t>
  </si>
  <si>
    <t>https://intranet.adfactorspr.com/</t>
  </si>
  <si>
    <t>Adfactor Hubspot</t>
  </si>
  <si>
    <t>Hubspot</t>
  </si>
  <si>
    <t>WebSite Vesrion</t>
  </si>
  <si>
    <t>Current Version</t>
  </si>
  <si>
    <t>New Version</t>
  </si>
  <si>
    <t>End-of-Life</t>
  </si>
  <si>
    <t>Balance Day</t>
  </si>
  <si>
    <t>8.18.15</t>
  </si>
  <si>
    <t>13.12.0</t>
  </si>
  <si>
    <t>New Site in Staging need to move it to live</t>
  </si>
  <si>
    <t>13.9.1</t>
  </si>
  <si>
    <t>10.8.7</t>
  </si>
  <si>
    <t xml:space="preserve">Nail is ooo we need to waiting for billing </t>
  </si>
  <si>
    <t>7.15.11</t>
  </si>
  <si>
    <t>10.8.9</t>
  </si>
  <si>
    <t>Site</t>
  </si>
  <si>
    <t>Path</t>
  </si>
  <si>
    <t>File Size</t>
  </si>
  <si>
    <t>DB Name</t>
  </si>
  <si>
    <t>Production / Staging</t>
  </si>
  <si>
    <t>PDF Key</t>
  </si>
  <si>
    <t>D:\inetpub\wwwroot\live\NewSite\2025\FIA2025</t>
  </si>
  <si>
    <t>3.72 GB</t>
  </si>
  <si>
    <t>Farnborough_Airshow_Production</t>
  </si>
  <si>
    <t>D:\inetpub\wwwroot\live\NewSite\2025\Venue2025</t>
  </si>
  <si>
    <t>6.22 GB</t>
  </si>
  <si>
    <t>Farnborough_Venue_Production</t>
  </si>
  <si>
    <t>D:\inetpub\wwwroot\live\NewSite\2023\FarnboroughInt</t>
  </si>
  <si>
    <t>2.69 GB</t>
  </si>
  <si>
    <t>FarnboroughInt_Production</t>
  </si>
  <si>
    <t>FarnboroughInternational.org</t>
  </si>
  <si>
    <t>D:\inetpub\wwwroot\live\farnboroughinternational.org\http</t>
  </si>
  <si>
    <t>2.84 GB</t>
  </si>
  <si>
    <t>www.farnboroughinternationalstudios.com</t>
  </si>
  <si>
    <r>
      <rPr>
        <sz val="10.0"/>
      </rPr>
      <t>D:\inetpub\wwwroot\live\NewSite\2024\</t>
    </r>
    <r>
      <rPr>
        <color rgb="FF1155CC"/>
        <sz val="10.0"/>
        <u/>
      </rPr>
      <t>farnborughfilmstudios.com</t>
    </r>
  </si>
  <si>
    <t>1.12 GB</t>
  </si>
  <si>
    <t>farnboroughstudios_live</t>
  </si>
  <si>
    <t>www.aerospaceglobalforum.com</t>
  </si>
  <si>
    <t>D:\inetpub\wwwroot\live\NewSite\2024\AGF</t>
  </si>
  <si>
    <t>998 MB</t>
  </si>
  <si>
    <t>AGF_Airshow_Production</t>
  </si>
  <si>
    <t>http://intranet.adfactorspr.com/</t>
  </si>
  <si>
    <t>/VAJRA/Newintranet.adfactorspr.com</t>
  </si>
  <si>
    <t>AdfIntranet03052024</t>
  </si>
  <si>
    <t>221cc1a570764cd09f244f8625b03e32</t>
  </si>
  <si>
    <t>https://work.adfactorspr.com/</t>
  </si>
  <si>
    <t>/VAJRA/work.adfactorspr.com/work.file</t>
  </si>
  <si>
    <t>workadfactorspr</t>
  </si>
  <si>
    <t>7789c40d42bb49aea84d2faa8b317300</t>
  </si>
  <si>
    <t>https://eventsstaging.farnboroughinternational.org/</t>
  </si>
  <si>
    <t>D:\inetpub\wwwroot\Staging\UAT\2023\FarnboroughInt</t>
  </si>
  <si>
    <t>2.14 GB</t>
  </si>
  <si>
    <t>FarnboroughInt_Staging</t>
  </si>
  <si>
    <t>https://staging.farnborough.com/</t>
  </si>
  <si>
    <t>D:\inetpub\wwwroot\Staging\UAT\2025\Venue2025Update\Staging</t>
  </si>
  <si>
    <t>6.8 GB</t>
  </si>
  <si>
    <t>Farnborough_Venue_Staging_2025</t>
  </si>
  <si>
    <t>staging.farnboroughairshow.com</t>
  </si>
  <si>
    <t>D:\inetpub\wwwroot\Staging\UAT\2024\FIA2025</t>
  </si>
  <si>
    <t>3.45 GB</t>
  </si>
  <si>
    <t>Farnborough_Airshow_Staging24</t>
  </si>
  <si>
    <t>staging.farnboroughinternational.org</t>
  </si>
  <si>
    <t>D:\inetpub\wwwroot\Staging\Farnborough_International\Farnborough_International</t>
  </si>
  <si>
    <t>2.21 GB</t>
  </si>
  <si>
    <t>staging.farnborughfilmstudios.com</t>
  </si>
  <si>
    <r>
      <rPr>
        <sz val="10.0"/>
      </rPr>
      <t>D:\inetpub\wwwroot\Staging\UAT\2025\</t>
    </r>
    <r>
      <rPr>
        <color rgb="FF1155CC"/>
        <sz val="10.0"/>
        <u/>
      </rPr>
      <t>staging.farnborughfilmstudios.com</t>
    </r>
  </si>
  <si>
    <t>1.15 GB</t>
  </si>
  <si>
    <t>farnboroughstudios_staging_2024</t>
  </si>
  <si>
    <t>staging.aerospaceglobalforum.com</t>
  </si>
  <si>
    <t>D:\inetpub\wwwroot\Staging\UAT\2024\AGF</t>
  </si>
  <si>
    <t>939 GB</t>
  </si>
  <si>
    <t>AGF_Airshow_Staging</t>
  </si>
  <si>
    <t>https://intranetstaging.adfactorspr.com/</t>
  </si>
  <si>
    <t>/VAJRA/VAJRA/intranetstaging.adfactorspr.com</t>
  </si>
  <si>
    <t>AdfactorStaging</t>
  </si>
  <si>
    <t>8db1e45b79c247679a2113931cf7536c</t>
  </si>
  <si>
    <t>https://workstaging.adfactorspr.com/</t>
  </si>
  <si>
    <t>/VAJRA/workstaging.adfactorspr.com</t>
  </si>
  <si>
    <t>WorkAdfactorsprStaging</t>
  </si>
  <si>
    <t>No Key for workstaging</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</si>
</sst>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mm-yyyy"/>
    <numFmt numFmtId="165" formatCode="dd&quot;/&quot;mm&quot;/&quot;yyyy"/>
    <numFmt numFmtId="166" formatCode="m/d/yyyy h:mm:ss"/>
    <numFmt numFmtId="167" formatCode="dd-mmm-yyyy"/>
    <numFmt numFmtId="168" formatCode="d mmm yyyy"/>
    <numFmt numFmtId="169" formatCode="d-mmmm-yyyy"/>
    <numFmt numFmtId="170" formatCode="mm-dd-yyyy"/>
    <numFmt numFmtId="171" formatCode="mmmm d, yyyy"/>
  </numFmts>
  <fonts count="141">
    <font>
      <sz val="10.0"/>
      <color rgb="FF000000"/>
      <name val="Arial"/>
      <scheme val="minor"/>
    </font>
    <font>
      <b/>
      <color rgb="FFFFFFFF"/>
      <name val="Arial"/>
    </font>
    <font>
      <b/>
      <sz val="10.0"/>
      <color rgb="FFFFFFFF"/>
      <name val="Arial"/>
    </font>
    <font>
      <color theme="1"/>
      <name val="Arial"/>
      <scheme val="minor"/>
    </font>
    <font>
      <b/>
      <sz val="9.0"/>
      <color theme="1"/>
      <name val="Arial"/>
    </font>
    <font>
      <u/>
      <color rgb="FF0000FF"/>
    </font>
    <font>
      <b/>
      <sz val="10.0"/>
      <color theme="1"/>
      <name val="Arial"/>
    </font>
    <font>
      <sz val="10.0"/>
      <color theme="1"/>
      <name val="Arial"/>
      <scheme val="minor"/>
    </font>
    <font>
      <color theme="1"/>
      <name val="Arial"/>
    </font>
    <font>
      <b/>
      <sz val="10.0"/>
      <color theme="1"/>
      <name val="Arial"/>
      <scheme val="minor"/>
    </font>
    <font>
      <b/>
      <color theme="1"/>
      <name val="Arial"/>
    </font>
    <font>
      <color rgb="FF000000"/>
      <name val="Arial"/>
      <scheme val="minor"/>
    </font>
    <font>
      <b/>
      <u/>
      <sz val="9.0"/>
      <color rgb="FF1155CC"/>
      <name val="Arial"/>
    </font>
    <font>
      <b/>
      <u/>
      <sz val="9.0"/>
      <color rgb="FF1155CC"/>
      <name val="Arial"/>
    </font>
    <font>
      <sz val="11.0"/>
      <color theme="1"/>
      <name val="Arial"/>
    </font>
    <font>
      <b/>
      <u/>
      <sz val="9.0"/>
      <color rgb="FF0000FF"/>
      <name val="Arial"/>
    </font>
    <font>
      <b/>
      <u/>
      <sz val="9.0"/>
      <color rgb="FF0000FF"/>
      <name val="Arial"/>
    </font>
    <font>
      <b/>
      <sz val="8.0"/>
      <color theme="1"/>
      <name val="Arial"/>
    </font>
    <font>
      <u/>
      <color rgb="FF0000FF"/>
      <name val="Arial"/>
    </font>
    <font>
      <b/>
      <u/>
      <sz val="9.0"/>
      <color rgb="FF1155CC"/>
      <name val="Arial"/>
    </font>
    <font>
      <b/>
      <u/>
      <sz val="9.0"/>
      <color rgb="FF1155CC"/>
      <name val="Arial"/>
    </font>
    <font>
      <u/>
      <color rgb="FF0000FF"/>
      <name val="Arial"/>
    </font>
    <font>
      <color rgb="FF1F1F1F"/>
      <name val="&quot;Google Sans&quot;"/>
    </font>
    <font>
      <color rgb="FF000000"/>
      <name val="Arial"/>
    </font>
    <font>
      <color rgb="FFFF0000"/>
      <name val="Arial"/>
    </font>
    <font>
      <b/>
      <u/>
      <sz val="9.0"/>
      <color rgb="FF1155CC"/>
      <name val="Arial"/>
    </font>
    <font>
      <b/>
      <u/>
      <sz val="9.0"/>
      <color rgb="FF1155CC"/>
      <name val="Arial"/>
    </font>
    <font>
      <u/>
      <color theme="1"/>
      <name val="Arial"/>
    </font>
    <font>
      <b/>
      <u/>
      <sz val="9.0"/>
      <color rgb="FF1155CC"/>
      <name val="Arial"/>
    </font>
    <font>
      <b/>
      <u/>
      <sz val="9.0"/>
      <color rgb="FF1155CC"/>
      <name val="Arial"/>
    </font>
    <font>
      <b/>
      <u/>
      <sz val="9.0"/>
      <color rgb="FF1155CC"/>
      <name val="Arial"/>
    </font>
    <font>
      <b/>
      <u/>
      <sz val="9.0"/>
      <color rgb="FF1155CC"/>
      <name val="Arial"/>
    </font>
    <font>
      <sz val="10.0"/>
      <color rgb="FF1F1F1F"/>
      <name val="Arial"/>
      <scheme val="minor"/>
    </font>
    <font>
      <b/>
      <u/>
      <sz val="9.0"/>
      <color rgb="FF1155CC"/>
      <name val="Arial"/>
    </font>
    <font>
      <b/>
      <u/>
      <sz val="9.0"/>
      <color rgb="FF0000FF"/>
      <name val="Arial"/>
    </font>
    <font>
      <u/>
      <color theme="1"/>
      <name val="Arial"/>
    </font>
    <font>
      <color rgb="FF1F1F1F"/>
      <name val="Google Sans"/>
    </font>
    <font>
      <b/>
      <color theme="1"/>
      <name val="Arial"/>
      <scheme val="minor"/>
    </font>
    <font>
      <u/>
      <color rgb="FF0000FF"/>
    </font>
    <font>
      <u/>
      <color rgb="FF0000FF"/>
    </font>
    <font>
      <b/>
      <sz val="10.0"/>
      <color rgb="FFFFFFFF"/>
      <name val="Arial"/>
      <scheme val="minor"/>
    </font>
    <font>
      <b/>
      <u/>
      <sz val="10.0"/>
      <color rgb="FF0000FF"/>
    </font>
    <font>
      <b/>
      <u/>
      <sz val="10.0"/>
      <color rgb="FF1155CC"/>
    </font>
    <font>
      <b/>
      <u/>
      <sz val="10.0"/>
      <color rgb="FF1155CC"/>
    </font>
    <font>
      <u/>
      <sz val="10.0"/>
      <color rgb="FF1155CC"/>
    </font>
    <font>
      <u/>
      <sz val="10.0"/>
      <color theme="1"/>
      <name val="Arial"/>
      <scheme val="minor"/>
    </font>
    <font>
      <u/>
      <sz val="10.0"/>
      <color rgb="FF0000FF"/>
    </font>
    <font>
      <u/>
      <sz val="10.0"/>
      <color theme="1"/>
      <name val="Arial"/>
      <scheme val="minor"/>
    </font>
    <font>
      <sz val="10.0"/>
      <color rgb="FF242424"/>
      <name val="Arial"/>
      <scheme val="minor"/>
    </font>
    <font>
      <sz val="10.0"/>
      <color rgb="FF222222"/>
      <name val="Arial"/>
      <scheme val="minor"/>
    </font>
    <font>
      <b/>
      <u/>
      <sz val="10.0"/>
      <color rgb="FF1155CC"/>
      <name val="Arial"/>
      <scheme val="minor"/>
    </font>
    <font>
      <u/>
      <sz val="10.0"/>
      <color rgb="FF0000FF"/>
    </font>
    <font>
      <u/>
      <sz val="10.0"/>
      <color rgb="FF0000FF"/>
    </font>
    <font>
      <u/>
      <sz val="10.0"/>
      <color rgb="FF0000FF"/>
    </font>
    <font>
      <u/>
      <sz val="10.0"/>
      <color rgb="FF0000FF"/>
    </font>
    <font>
      <u/>
      <sz val="10.0"/>
      <color rgb="FF0000FF"/>
    </font>
    <font>
      <u/>
      <sz val="10.0"/>
      <color rgb="FF0000FF"/>
    </font>
    <font>
      <u/>
      <color theme="1"/>
      <name val="Arial"/>
      <scheme val="minor"/>
    </font>
    <font>
      <color rgb="FF000000"/>
      <name val="&quot;Google Sans&quot;"/>
    </font>
    <font>
      <u/>
      <color rgb="FF1F1F1F"/>
      <name val="&quot;Google Sans&quot;"/>
    </font>
    <font>
      <u/>
      <color rgb="FF0000FF"/>
    </font>
    <font>
      <b/>
      <u/>
      <sz val="10.0"/>
      <color rgb="FF0000FF"/>
    </font>
    <font>
      <u/>
      <sz val="10.0"/>
      <color rgb="FF0000FF"/>
    </font>
    <font>
      <sz val="10.0"/>
      <color rgb="FF000000"/>
      <name val="&quot;Aptos Narrow&quot;"/>
    </font>
    <font>
      <u/>
      <color rgb="FF0000FF"/>
    </font>
    <font>
      <b/>
      <u/>
      <color rgb="FF1155CC"/>
      <name val="Arial"/>
    </font>
    <font>
      <u/>
      <color rgb="FF0000FF"/>
      <name val="Arial"/>
    </font>
    <font>
      <sz val="10.0"/>
      <color theme="1"/>
      <name val="Arial"/>
    </font>
    <font>
      <b/>
      <u/>
      <color rgb="FF1155CC"/>
      <name val="Arial"/>
    </font>
    <font>
      <color rgb="FF1F1F1F"/>
      <name val="Arial"/>
    </font>
    <font>
      <u/>
      <color rgb="FF0000FF"/>
    </font>
    <font>
      <color rgb="FF1A1A1A"/>
      <name val="Arial"/>
    </font>
    <font>
      <b/>
      <sz val="10.0"/>
      <color rgb="FF444444"/>
      <name val="Arial"/>
      <scheme val="minor"/>
    </font>
    <font>
      <sz val="9.0"/>
      <color rgb="FF444444"/>
      <name val="Arial"/>
    </font>
    <font>
      <sz val="9.0"/>
      <color rgb="FF333333"/>
      <name val="Arial"/>
    </font>
    <font>
      <b/>
      <sz val="10.0"/>
      <color rgb="FF000000"/>
      <name val="Arial"/>
      <scheme val="minor"/>
    </font>
    <font>
      <color rgb="FFF8F9FA"/>
      <name val="&quot;Google Sans&quot;"/>
    </font>
    <font>
      <color rgb="FFFBBC04"/>
      <name val="&quot;Google Sans&quot;"/>
    </font>
    <font>
      <u/>
      <color theme="1"/>
      <name val="Arial"/>
    </font>
    <font>
      <b/>
      <color rgb="FFFF0000"/>
      <name val="Arial"/>
    </font>
    <font/>
    <font>
      <b/>
      <u/>
      <sz val="9.0"/>
      <color rgb="FF0000FF"/>
      <name val="Arial"/>
    </font>
    <font>
      <b/>
      <u/>
      <sz val="9.0"/>
      <color rgb="FF1155CC"/>
      <name val="Arial"/>
    </font>
    <font>
      <b/>
      <u/>
      <sz val="9.0"/>
      <color rgb="FF0000FF"/>
      <name val="Arial"/>
    </font>
    <font>
      <sz val="11.0"/>
      <color rgb="FF1F1F1F"/>
      <name val="Arial"/>
      <scheme val="minor"/>
    </font>
    <font>
      <color rgb="FF222222"/>
      <name val="Arial"/>
    </font>
    <font>
      <b/>
      <u/>
      <sz val="9.0"/>
      <color rgb="FF1155CC"/>
      <name val="Arial"/>
    </font>
    <font>
      <u/>
      <color rgb="FF0000FF"/>
      <name val="Arial"/>
    </font>
    <font>
      <u/>
      <color theme="1"/>
      <name val="Arial"/>
    </font>
    <font>
      <u/>
      <color rgb="FF0000FF"/>
      <name val="Arial"/>
    </font>
    <font>
      <u/>
      <color theme="1"/>
      <name val="Arial"/>
    </font>
    <font>
      <b/>
      <u/>
      <sz val="9.0"/>
      <color rgb="FF1155CC"/>
      <name val="Arial"/>
    </font>
    <font>
      <u/>
      <color rgb="FF0000FF"/>
    </font>
    <font>
      <u/>
      <color rgb="FF0000FF"/>
      <name val="Arial"/>
    </font>
    <font>
      <u/>
      <color rgb="FF0000FF"/>
      <name val="Arial"/>
    </font>
    <font>
      <sz val="12.0"/>
      <color rgb="FF242424"/>
      <name val="&quot;Segoe UI&quot;"/>
    </font>
    <font>
      <sz val="12.0"/>
      <color rgb="FF242424"/>
      <name val="Segoe UI"/>
    </font>
    <font>
      <b/>
      <u/>
      <sz val="9.0"/>
      <color rgb="FF1155CC"/>
      <name val="Arial"/>
    </font>
    <font>
      <sz val="9.0"/>
      <color theme="1"/>
      <name val="Arial"/>
    </font>
    <font>
      <b/>
      <u/>
      <color rgb="FFFFFFFF"/>
      <name val="Arial"/>
    </font>
    <font>
      <u/>
      <color rgb="FF0000FF"/>
    </font>
    <font>
      <u/>
      <color rgb="FF0000FF"/>
    </font>
    <font>
      <color rgb="FF000000"/>
      <name val="'Segoe WPC'"/>
    </font>
    <font>
      <b/>
      <color rgb="FFFFFFFF"/>
      <name val="Arial"/>
      <scheme val="minor"/>
    </font>
    <font>
      <color rgb="FF000614"/>
      <name val="Arial"/>
    </font>
    <font>
      <color rgb="FF000614"/>
      <name val="&quot;Amazon Ember&quot;"/>
    </font>
    <font>
      <u/>
      <color rgb="FF000614"/>
      <name val="&quot;Amazon Ember&quot;"/>
    </font>
    <font>
      <u/>
      <color rgb="FF0000FF"/>
    </font>
    <font>
      <color rgb="FF1F2328"/>
      <name val="Arial"/>
      <scheme val="minor"/>
    </font>
    <font>
      <u/>
      <color rgb="FF0000FF"/>
    </font>
    <font>
      <u/>
      <color rgb="FF0000FF"/>
    </font>
    <font>
      <sz val="11.0"/>
      <color rgb="FF1F2328"/>
      <name val="-apple-system"/>
    </font>
    <font>
      <sz val="10.0"/>
      <color rgb="FF000614"/>
      <name val="Arial"/>
    </font>
    <font>
      <u/>
      <sz val="10.0"/>
      <color theme="4"/>
      <name val="Arial"/>
    </font>
    <font>
      <u/>
      <sz val="10.0"/>
      <color rgb="FF0000FF"/>
      <name val="Arial"/>
    </font>
    <font>
      <sz val="10.0"/>
      <color rgb="FF404040"/>
      <name val="Arial"/>
    </font>
    <font>
      <u/>
      <sz val="10.0"/>
      <color rgb="FF0000FF"/>
      <name val="Arial"/>
    </font>
    <font>
      <u/>
      <sz val="10.0"/>
      <color rgb="FF4285F4"/>
      <name val="Arial"/>
    </font>
    <font>
      <u/>
      <color rgb="FF0000FF"/>
      <name val="Arial"/>
    </font>
    <font>
      <color rgb="FF1F1F1F"/>
      <name val="&quot;Google Sans Text&quot;"/>
    </font>
    <font>
      <color theme="1"/>
      <name val="&quot;Google Sans Text&quot;"/>
    </font>
    <font>
      <u/>
      <color rgb="FF0000FF"/>
      <name val="Arial"/>
    </font>
    <font>
      <u/>
      <color rgb="FF1155CC"/>
      <name val="Arial"/>
    </font>
    <font>
      <b/>
      <u/>
      <sz val="10.0"/>
      <color rgb="FF1155CC"/>
    </font>
    <font>
      <b/>
      <u/>
      <sz val="10.0"/>
      <color rgb="FF1155CC"/>
    </font>
    <font>
      <u/>
      <color rgb="FF0000FF"/>
      <name val="Arial"/>
    </font>
    <font>
      <u/>
      <color rgb="FF1155CC"/>
      <name val="Arial"/>
    </font>
    <font>
      <u/>
      <color rgb="FF1155CC"/>
      <name val="Arial"/>
    </font>
    <font>
      <b/>
      <color theme="1"/>
      <name val="&quot;Google Sans Text&quot;"/>
    </font>
    <font>
      <b/>
      <color rgb="FF1F1F1F"/>
      <name val="&quot;Google Sans Text&quot;"/>
    </font>
    <font>
      <b/>
      <color rgb="FFFFFFFF"/>
      <name val="Barlow"/>
    </font>
    <font>
      <u/>
      <sz val="12.0"/>
      <color rgb="FF000000"/>
      <name val="Barlow"/>
    </font>
    <font>
      <sz val="12.0"/>
      <color rgb="FF000000"/>
      <name val="Barlow"/>
    </font>
    <font>
      <b/>
      <u/>
      <color rgb="FF1155CC"/>
      <name val="Arial"/>
    </font>
    <font>
      <b/>
      <u/>
      <color rgb="FF1155CC"/>
      <name val="Arial"/>
    </font>
    <font>
      <b/>
      <u/>
      <color rgb="FF1155CC"/>
      <name val="Arial"/>
    </font>
    <font>
      <b/>
      <u/>
      <color rgb="FF1155CC"/>
      <name val="Arial"/>
    </font>
    <font>
      <u/>
      <sz val="12.0"/>
      <color rgb="FF000000"/>
      <name val="Barlow"/>
    </font>
    <font>
      <b/>
      <u/>
      <color rgb="FF0000FF"/>
      <name val="Arial"/>
    </font>
    <font>
      <color rgb="FF000000"/>
      <name val="Lato"/>
    </font>
    <font>
      <u/>
      <sz val="10.0"/>
      <color rgb="FF0000FF"/>
    </font>
  </fonts>
  <fills count="17">
    <fill>
      <patternFill patternType="none"/>
    </fill>
    <fill>
      <patternFill patternType="lightGray"/>
    </fill>
    <fill>
      <patternFill patternType="solid">
        <fgColor rgb="FF3C78D8"/>
        <bgColor rgb="FF3C78D8"/>
      </patternFill>
    </fill>
    <fill>
      <patternFill patternType="solid">
        <fgColor rgb="FFFFFFFF"/>
        <bgColor rgb="FFFFFFFF"/>
      </patternFill>
    </fill>
    <fill>
      <patternFill patternType="solid">
        <fgColor rgb="FFF3F3F3"/>
        <bgColor rgb="FFF3F3F3"/>
      </patternFill>
    </fill>
    <fill>
      <patternFill patternType="solid">
        <fgColor rgb="FF1155CC"/>
        <bgColor rgb="FF1155CC"/>
      </patternFill>
    </fill>
    <fill>
      <patternFill patternType="solid">
        <fgColor rgb="FFF0F4F9"/>
        <bgColor rgb="FFF0F4F9"/>
      </patternFill>
    </fill>
    <fill>
      <patternFill patternType="solid">
        <fgColor rgb="FFF8F9FA"/>
        <bgColor rgb="FFF8F9FA"/>
      </patternFill>
    </fill>
    <fill>
      <patternFill patternType="solid">
        <fgColor rgb="FFD9D9D9"/>
        <bgColor rgb="FFD9D9D9"/>
      </patternFill>
    </fill>
    <fill>
      <patternFill patternType="solid">
        <fgColor rgb="FFFFF2CC"/>
        <bgColor rgb="FFFFF2CC"/>
      </patternFill>
    </fill>
    <fill>
      <patternFill patternType="solid">
        <fgColor rgb="FFB6D7A8"/>
        <bgColor rgb="FFB6D7A8"/>
      </patternFill>
    </fill>
    <fill>
      <patternFill patternType="solid">
        <fgColor rgb="FFFCE5CD"/>
        <bgColor rgb="FFFCE5CD"/>
      </patternFill>
    </fill>
    <fill>
      <patternFill patternType="solid">
        <fgColor rgb="FF073763"/>
        <bgColor rgb="FF073763"/>
      </patternFill>
    </fill>
    <fill>
      <patternFill patternType="solid">
        <fgColor theme="7"/>
        <bgColor theme="7"/>
      </patternFill>
    </fill>
    <fill>
      <patternFill patternType="solid">
        <fgColor rgb="FF34A853"/>
        <bgColor rgb="FF34A853"/>
      </patternFill>
    </fill>
    <fill>
      <patternFill patternType="solid">
        <fgColor rgb="FF6AA84F"/>
        <bgColor rgb="FF6AA84F"/>
      </patternFill>
    </fill>
    <fill>
      <patternFill patternType="solid">
        <fgColor rgb="FF38761D"/>
        <bgColor rgb="FF38761D"/>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EA93F"/>
      </left>
      <right style="thin">
        <color rgb="FFFEA93F"/>
      </right>
      <top style="thin">
        <color rgb="FFFEA93F"/>
      </top>
      <bottom style="thin">
        <color rgb="FFFEA93F"/>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0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left" shrinkToFit="0" vertical="center" wrapText="1"/>
    </xf>
    <xf borderId="1" fillId="2" fontId="2"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2" fontId="3" numFmtId="0" xfId="0" applyAlignment="1" applyFont="1">
      <alignment shrinkToFit="0" vertical="center" wrapText="1"/>
    </xf>
    <xf borderId="1" fillId="3" fontId="4" numFmtId="0" xfId="0" applyAlignment="1" applyBorder="1" applyFill="1" applyFont="1">
      <alignment horizontal="center" shrinkToFit="0" vertical="center" wrapText="1"/>
    </xf>
    <xf borderId="1" fillId="3" fontId="5" numFmtId="0" xfId="0" applyAlignment="1" applyBorder="1" applyFont="1">
      <alignment horizontal="center" readingOrder="0" shrinkToFit="0" vertical="center" wrapText="1"/>
    </xf>
    <xf borderId="1" fillId="3" fontId="3" numFmtId="0" xfId="0" applyAlignment="1" applyBorder="1" applyFont="1">
      <alignment horizontal="left" readingOrder="0" shrinkToFit="0" vertical="center" wrapText="1"/>
    </xf>
    <xf borderId="1" fillId="3" fontId="6" numFmtId="0" xfId="0" applyAlignment="1" applyBorder="1" applyFont="1">
      <alignment horizontal="center" shrinkToFit="0" vertical="center" wrapText="1"/>
    </xf>
    <xf borderId="1" fillId="3" fontId="7" numFmtId="0" xfId="0" applyAlignment="1" applyBorder="1" applyFont="1">
      <alignment horizontal="center" readingOrder="0" shrinkToFit="0" vertical="center" wrapText="1"/>
    </xf>
    <xf borderId="1" fillId="3" fontId="8" numFmtId="164" xfId="0" applyAlignment="1" applyBorder="1" applyFont="1" applyNumberFormat="1">
      <alignment horizontal="center" readingOrder="0" shrinkToFit="0" vertical="center" wrapText="1"/>
    </xf>
    <xf borderId="1" fillId="3" fontId="9" numFmtId="0" xfId="0" applyAlignment="1" applyBorder="1" applyFont="1">
      <alignment horizontal="center" readingOrder="0" shrinkToFit="0" vertical="center" wrapText="1"/>
    </xf>
    <xf borderId="1" fillId="3" fontId="10"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3" numFmtId="0" xfId="0" applyAlignment="1" applyBorder="1" applyFont="1">
      <alignment shrinkToFit="0" vertical="center" wrapText="1"/>
    </xf>
    <xf borderId="1" fillId="3" fontId="3" numFmtId="0" xfId="0" applyAlignment="1" applyBorder="1" applyFont="1">
      <alignment readingOrder="0" shrinkToFit="0" vertical="center" wrapText="1"/>
    </xf>
    <xf borderId="0" fillId="0" fontId="3" numFmtId="0" xfId="0" applyAlignment="1" applyFont="1">
      <alignment shrinkToFit="0" vertical="center" wrapText="1"/>
    </xf>
    <xf borderId="0" fillId="0" fontId="11" numFmtId="0" xfId="0" applyAlignment="1" applyFont="1">
      <alignment readingOrder="0" shrinkToFit="0" vertical="center" wrapText="1"/>
    </xf>
    <xf borderId="0" fillId="0" fontId="3" numFmtId="0" xfId="0" applyAlignment="1" applyFont="1">
      <alignment readingOrder="0" shrinkToFit="0" vertical="center" wrapText="1"/>
    </xf>
    <xf borderId="1" fillId="4" fontId="4" numFmtId="0" xfId="0" applyAlignment="1" applyBorder="1" applyFill="1" applyFont="1">
      <alignment horizontal="center" shrinkToFit="0" vertical="center" wrapText="1"/>
    </xf>
    <xf borderId="1" fillId="4" fontId="12" numFmtId="0" xfId="0" applyAlignment="1" applyBorder="1" applyFont="1">
      <alignment horizontal="center" readingOrder="0" shrinkToFit="0" vertical="center" wrapText="1"/>
    </xf>
    <xf borderId="1" fillId="4" fontId="8" numFmtId="0" xfId="0" applyAlignment="1" applyBorder="1" applyFont="1">
      <alignment horizontal="left" readingOrder="0" shrinkToFit="0" vertical="center" wrapText="1"/>
    </xf>
    <xf borderId="1" fillId="4" fontId="6" numFmtId="0" xfId="0" applyAlignment="1" applyBorder="1" applyFont="1">
      <alignment horizontal="center" shrinkToFit="0" vertical="center" wrapText="1"/>
    </xf>
    <xf borderId="1" fillId="4" fontId="7" numFmtId="0" xfId="0" applyAlignment="1" applyBorder="1" applyFont="1">
      <alignment horizontal="center" readingOrder="0" shrinkToFit="0" vertical="center" wrapText="1"/>
    </xf>
    <xf borderId="1" fillId="4" fontId="8" numFmtId="164" xfId="0" applyAlignment="1" applyBorder="1" applyFont="1" applyNumberFormat="1">
      <alignment horizontal="center" readingOrder="0" shrinkToFit="0" vertical="center" wrapText="1"/>
    </xf>
    <xf borderId="1" fillId="4" fontId="9" numFmtId="0" xfId="0" applyAlignment="1" applyBorder="1" applyFont="1">
      <alignment horizontal="center" readingOrder="0" shrinkToFit="0" vertical="center" wrapText="1"/>
    </xf>
    <xf borderId="1" fillId="4" fontId="10" numFmtId="0" xfId="0" applyAlignment="1" applyBorder="1" applyFont="1">
      <alignment horizontal="center" readingOrder="0" shrinkToFit="0" vertical="center" wrapText="1"/>
    </xf>
    <xf borderId="1" fillId="4" fontId="3"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1" fillId="4" fontId="8" numFmtId="0" xfId="0" applyAlignment="1" applyBorder="1" applyFont="1">
      <alignment shrinkToFit="0" vertical="center" wrapText="1"/>
    </xf>
    <xf borderId="1" fillId="4" fontId="8" numFmtId="0" xfId="0" applyAlignment="1" applyBorder="1" applyFont="1">
      <alignment readingOrder="0" shrinkToFit="0" vertical="center" wrapText="1"/>
    </xf>
    <xf borderId="1" fillId="3" fontId="13" numFmtId="0" xfId="0" applyAlignment="1" applyBorder="1" applyFont="1">
      <alignment horizontal="center" readingOrder="0" shrinkToFit="0" vertical="center" wrapText="1"/>
    </xf>
    <xf borderId="1" fillId="3" fontId="8" numFmtId="0" xfId="0" applyAlignment="1" applyBorder="1" applyFont="1">
      <alignment horizontal="left" readingOrder="0" shrinkToFit="0" vertical="center" wrapText="1"/>
    </xf>
    <xf borderId="1" fillId="3" fontId="8" numFmtId="0" xfId="0" applyAlignment="1" applyBorder="1" applyFont="1">
      <alignment shrinkToFit="0" vertical="center" wrapText="1"/>
    </xf>
    <xf borderId="1" fillId="3" fontId="8" numFmtId="0" xfId="0" applyAlignment="1" applyBorder="1" applyFont="1">
      <alignment readingOrder="0" shrinkToFit="0" vertical="center" wrapText="1"/>
    </xf>
    <xf borderId="1" fillId="4" fontId="3" numFmtId="0" xfId="0" applyAlignment="1" applyBorder="1" applyFont="1">
      <alignment shrinkToFit="0" vertical="center" wrapText="1"/>
    </xf>
    <xf borderId="1" fillId="3" fontId="14" numFmtId="0" xfId="0" applyAlignment="1" applyBorder="1" applyFont="1">
      <alignment readingOrder="0" shrinkToFit="0" vertical="center" wrapText="1"/>
    </xf>
    <xf borderId="1" fillId="4" fontId="6" numFmtId="0" xfId="0" applyAlignment="1" applyBorder="1" applyFont="1">
      <alignment horizontal="center" readingOrder="0" shrinkToFit="0" vertical="center" wrapText="1"/>
    </xf>
    <xf borderId="1" fillId="4" fontId="8" numFmtId="0" xfId="0" applyAlignment="1" applyBorder="1" applyFont="1">
      <alignment horizontal="center" readingOrder="0" shrinkToFit="0" vertical="center" wrapText="1"/>
    </xf>
    <xf borderId="1" fillId="4" fontId="3" numFmtId="0" xfId="0" applyAlignment="1" applyBorder="1" applyFont="1">
      <alignment readingOrder="0" shrinkToFit="0" vertical="center" wrapText="1"/>
    </xf>
    <xf borderId="1" fillId="4" fontId="14" numFmtId="0" xfId="0" applyAlignment="1" applyBorder="1" applyFont="1">
      <alignment readingOrder="0" shrinkToFit="0" vertical="center" wrapText="1"/>
    </xf>
    <xf borderId="1" fillId="3" fontId="15" numFmtId="0" xfId="0" applyAlignment="1" applyBorder="1" applyFont="1">
      <alignment horizontal="center" readingOrder="0" shrinkToFit="0" vertical="center" wrapText="1"/>
    </xf>
    <xf borderId="1" fillId="3" fontId="6"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16" numFmtId="0" xfId="0" applyAlignment="1" applyBorder="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4" fontId="17" numFmtId="0" xfId="0" applyAlignment="1" applyBorder="1" applyFont="1">
      <alignment horizontal="center" readingOrder="0" shrinkToFit="0" vertical="center" wrapText="1"/>
    </xf>
    <xf borderId="1" fillId="4" fontId="18" numFmtId="0" xfId="0" applyAlignment="1" applyBorder="1" applyFont="1">
      <alignment readingOrder="0" shrinkToFit="0" vertical="center" wrapText="1"/>
    </xf>
    <xf borderId="1" fillId="3" fontId="4" numFmtId="0" xfId="0" applyAlignment="1" applyBorder="1" applyFont="1">
      <alignment horizontal="center" shrinkToFit="0" vertical="center" wrapText="1"/>
    </xf>
    <xf borderId="1" fillId="3" fontId="19" numFmtId="0" xfId="0" applyAlignment="1" applyBorder="1" applyFont="1">
      <alignment horizontal="center" shrinkToFit="0" vertical="center" wrapText="1"/>
    </xf>
    <xf borderId="1" fillId="3" fontId="3" numFmtId="0" xfId="0" applyAlignment="1" applyBorder="1" applyFont="1">
      <alignment horizontal="center" readingOrder="0" shrinkToFit="0" vertical="center" wrapText="1"/>
    </xf>
    <xf borderId="1" fillId="3" fontId="17" numFmtId="0" xfId="0" applyAlignment="1" applyBorder="1" applyFont="1">
      <alignment horizontal="center" readingOrder="0" shrinkToFit="0" vertical="center" wrapText="1"/>
    </xf>
    <xf borderId="1" fillId="3" fontId="8" numFmtId="0" xfId="0" applyAlignment="1" applyBorder="1" applyFont="1">
      <alignment readingOrder="0" shrinkToFit="0" vertical="center" wrapText="1"/>
    </xf>
    <xf borderId="1" fillId="4" fontId="4" numFmtId="0" xfId="0" applyAlignment="1" applyBorder="1" applyFont="1">
      <alignment horizontal="center" shrinkToFit="0" vertical="center" wrapText="1"/>
    </xf>
    <xf borderId="1" fillId="4" fontId="20" numFmtId="0" xfId="0" applyAlignment="1" applyBorder="1" applyFont="1">
      <alignment horizontal="center" shrinkToFit="0" vertical="center" wrapText="1"/>
    </xf>
    <xf borderId="1" fillId="4" fontId="8" numFmtId="0" xfId="0" applyAlignment="1" applyBorder="1" applyFont="1">
      <alignment horizontal="center" readingOrder="0" shrinkToFit="0" vertical="center" wrapText="1"/>
    </xf>
    <xf borderId="1" fillId="4" fontId="17" numFmtId="0" xfId="0" applyAlignment="1" applyBorder="1" applyFont="1">
      <alignment horizontal="center" readingOrder="0" shrinkToFit="0" vertical="center" wrapText="1"/>
    </xf>
    <xf borderId="1" fillId="4" fontId="8" numFmtId="0" xfId="0" applyAlignment="1" applyBorder="1" applyFont="1">
      <alignment readingOrder="0" shrinkToFit="0" vertical="center" wrapText="1"/>
    </xf>
    <xf borderId="1" fillId="3" fontId="4" numFmtId="0" xfId="0" applyAlignment="1" applyBorder="1" applyFont="1">
      <alignment horizontal="center" readingOrder="0" shrinkToFit="0" vertical="center" wrapText="1"/>
    </xf>
    <xf borderId="1" fillId="3" fontId="21" numFmtId="0" xfId="0" applyAlignment="1" applyBorder="1" applyFont="1">
      <alignment readingOrder="0" shrinkToFit="0" vertical="center" wrapText="1"/>
    </xf>
    <xf borderId="1" fillId="4" fontId="22" numFmtId="0" xfId="0" applyAlignment="1" applyBorder="1" applyFont="1">
      <alignment readingOrder="0" shrinkToFit="0" vertical="center" wrapText="1"/>
    </xf>
    <xf borderId="1" fillId="4" fontId="8" numFmtId="0" xfId="0" applyAlignment="1" applyBorder="1" applyFont="1">
      <alignment horizontal="center" shrinkToFit="0" vertical="center" wrapText="1"/>
    </xf>
    <xf borderId="1" fillId="4" fontId="8" numFmtId="164" xfId="0" applyAlignment="1" applyBorder="1" applyFont="1" applyNumberFormat="1">
      <alignment horizontal="center" shrinkToFit="0" vertical="center" wrapText="1"/>
    </xf>
    <xf borderId="1" fillId="4" fontId="8" numFmtId="0" xfId="0" applyAlignment="1" applyBorder="1" applyFont="1">
      <alignment shrinkToFit="0" vertical="center" wrapText="1"/>
    </xf>
    <xf borderId="0" fillId="0" fontId="8" numFmtId="0" xfId="0" applyAlignment="1" applyFont="1">
      <alignment shrinkToFit="0" vertical="center" wrapText="1"/>
    </xf>
    <xf borderId="0" fillId="0" fontId="23" numFmtId="0" xfId="0" applyAlignment="1" applyFont="1">
      <alignment readingOrder="0" shrinkToFit="0" vertical="center" wrapText="1"/>
    </xf>
    <xf borderId="0" fillId="0" fontId="8" numFmtId="0" xfId="0" applyAlignment="1" applyFont="1">
      <alignment readingOrder="0" shrinkToFit="0" vertical="center" wrapText="1"/>
    </xf>
    <xf borderId="1" fillId="3" fontId="8" numFmtId="0" xfId="0" applyAlignment="1" applyBorder="1" applyFont="1">
      <alignment horizontal="left" shrinkToFit="0" vertical="center" wrapText="1"/>
    </xf>
    <xf borderId="1" fillId="3" fontId="8" numFmtId="0" xfId="0" applyAlignment="1" applyBorder="1" applyFont="1">
      <alignment horizontal="center" shrinkToFit="0" vertical="center" wrapText="1"/>
    </xf>
    <xf borderId="1" fillId="3" fontId="8" numFmtId="164" xfId="0" applyAlignment="1" applyBorder="1" applyFont="1" applyNumberFormat="1">
      <alignment horizontal="center" shrinkToFit="0" vertical="center" wrapText="1"/>
    </xf>
    <xf borderId="1" fillId="3" fontId="10" numFmtId="0" xfId="0" applyAlignment="1" applyBorder="1" applyFont="1">
      <alignment horizontal="center" shrinkToFit="0" vertical="center" wrapText="1"/>
    </xf>
    <xf borderId="1" fillId="3" fontId="8" numFmtId="0" xfId="0" applyAlignment="1" applyBorder="1" applyFont="1">
      <alignment shrinkToFit="0" vertical="center" wrapText="1"/>
    </xf>
    <xf borderId="1" fillId="4" fontId="3" numFmtId="0" xfId="0" applyAlignment="1" applyBorder="1" applyFont="1">
      <alignment horizontal="left" readingOrder="0" shrinkToFit="0" vertical="center" wrapText="1"/>
    </xf>
    <xf borderId="1" fillId="3" fontId="3" numFmtId="0" xfId="0" applyAlignment="1" applyBorder="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3" fontId="24" numFmtId="0" xfId="0" applyAlignment="1" applyBorder="1" applyFont="1">
      <alignment horizontal="left" shrinkToFit="0" vertical="center" wrapText="1"/>
    </xf>
    <xf borderId="1" fillId="3" fontId="8" numFmtId="165" xfId="0" applyAlignment="1" applyBorder="1" applyFont="1" applyNumberFormat="1">
      <alignment shrinkToFit="0" vertical="center" wrapText="1"/>
    </xf>
    <xf borderId="1" fillId="4" fontId="10" numFmtId="0" xfId="0" applyAlignment="1" applyBorder="1" applyFont="1">
      <alignment horizontal="center" shrinkToFit="0" vertical="center" wrapText="1"/>
    </xf>
    <xf borderId="1" fillId="4" fontId="8" numFmtId="164" xfId="0" applyAlignment="1" applyBorder="1" applyFont="1" applyNumberFormat="1">
      <alignment shrinkToFit="0" vertical="center" wrapText="1"/>
    </xf>
    <xf borderId="1" fillId="4" fontId="10" numFmtId="0" xfId="0" applyAlignment="1" applyBorder="1" applyFont="1">
      <alignment horizontal="center" shrinkToFit="0" vertical="center" wrapText="1"/>
    </xf>
    <xf borderId="0" fillId="0" fontId="8" numFmtId="0" xfId="0" applyAlignment="1" applyFont="1">
      <alignment shrinkToFit="0" wrapText="1"/>
    </xf>
    <xf borderId="0" fillId="0" fontId="8" numFmtId="0" xfId="0" applyAlignment="1" applyFont="1">
      <alignment shrinkToFit="0" wrapText="1"/>
    </xf>
    <xf borderId="0" fillId="0" fontId="8" numFmtId="0" xfId="0" applyAlignment="1" applyFont="1">
      <alignment readingOrder="0" shrinkToFit="0" wrapText="1"/>
    </xf>
    <xf borderId="1" fillId="3" fontId="10" numFmtId="0" xfId="0" applyAlignment="1" applyBorder="1" applyFont="1">
      <alignment horizontal="center" shrinkToFit="0" vertical="center" wrapText="1"/>
    </xf>
    <xf borderId="1" fillId="3" fontId="8" numFmtId="0" xfId="0" applyAlignment="1" applyBorder="1" applyFont="1">
      <alignment horizontal="center" readingOrder="0" shrinkToFit="0" vertical="center" wrapText="1"/>
    </xf>
    <xf borderId="0" fillId="0" fontId="11" numFmtId="0" xfId="0" applyAlignment="1" applyFont="1">
      <alignment shrinkToFit="0" vertical="center" wrapText="1"/>
    </xf>
    <xf borderId="1" fillId="4" fontId="10" numFmtId="0" xfId="0" applyAlignment="1" applyBorder="1" applyFont="1">
      <alignment horizontal="center" readingOrder="0" shrinkToFit="0" vertical="center" wrapText="1"/>
    </xf>
    <xf borderId="0" fillId="3" fontId="4"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3" fontId="8" numFmtId="0" xfId="0" applyAlignment="1" applyFont="1">
      <alignment horizontal="left" readingOrder="0" shrinkToFit="0" vertical="center" wrapText="1"/>
    </xf>
    <xf borderId="0" fillId="3" fontId="6"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3" fontId="10"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1" fillId="3" fontId="10" numFmtId="0" xfId="0" applyAlignment="1" applyBorder="1" applyFont="1">
      <alignment horizontal="center" readingOrder="0" shrinkToFit="0" vertical="center" wrapText="1"/>
    </xf>
    <xf borderId="0" fillId="3" fontId="8" numFmtId="0" xfId="0" applyAlignment="1" applyFont="1">
      <alignment shrinkToFit="0" vertical="center" wrapText="1"/>
    </xf>
    <xf borderId="0" fillId="3" fontId="8" numFmtId="0" xfId="0" applyAlignment="1" applyFont="1">
      <alignment readingOrder="0" shrinkToFit="0" vertical="center" wrapText="1"/>
    </xf>
    <xf borderId="0" fillId="4" fontId="4"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0" fillId="4" fontId="8" numFmtId="0" xfId="0" applyAlignment="1" applyFont="1">
      <alignment horizontal="left" readingOrder="0" shrinkToFit="0" vertical="center" wrapText="1"/>
    </xf>
    <xf borderId="0" fillId="4" fontId="6"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4" fontId="8" numFmtId="0" xfId="0" applyAlignment="1" applyFont="1">
      <alignment horizontal="center" readingOrder="0" shrinkToFit="0" vertical="center" wrapText="1"/>
    </xf>
    <xf borderId="0" fillId="4" fontId="10"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4" fontId="8" numFmtId="0" xfId="0" applyAlignment="1" applyFont="1">
      <alignment shrinkToFit="0" vertical="center" wrapText="1"/>
    </xf>
    <xf borderId="0" fillId="4" fontId="8" numFmtId="0" xfId="0" applyAlignment="1" applyFont="1">
      <alignment readingOrder="0" shrinkToFit="0" vertical="center" wrapText="1"/>
    </xf>
    <xf borderId="0" fillId="0" fontId="3" numFmtId="0" xfId="0" applyAlignment="1" applyFont="1">
      <alignment readingOrder="0"/>
    </xf>
    <xf borderId="0" fillId="0" fontId="3" numFmtId="166" xfId="0" applyAlignment="1" applyFont="1" applyNumberFormat="1">
      <alignment readingOrder="0"/>
    </xf>
    <xf borderId="0" fillId="0" fontId="3" numFmtId="0" xfId="0" applyAlignment="1" applyFont="1">
      <alignment readingOrder="0"/>
    </xf>
    <xf borderId="1" fillId="5" fontId="1" numFmtId="0" xfId="0" applyAlignment="1" applyBorder="1" applyFill="1" applyFont="1">
      <alignment horizontal="center" shrinkToFit="0" vertical="center" wrapText="1"/>
    </xf>
    <xf borderId="1" fillId="5" fontId="1" numFmtId="0" xfId="0" applyAlignment="1" applyBorder="1" applyFont="1">
      <alignment shrinkToFit="0" vertical="center" wrapText="1"/>
    </xf>
    <xf borderId="1" fillId="5" fontId="1" numFmtId="0" xfId="0" applyAlignment="1" applyBorder="1" applyFont="1">
      <alignment horizontal="center" readingOrder="0" shrinkToFit="0" vertical="center" wrapText="1"/>
    </xf>
    <xf borderId="0" fillId="5" fontId="3" numFmtId="0" xfId="0" applyAlignment="1" applyFont="1">
      <alignment shrinkToFit="0" vertical="center" wrapText="1"/>
    </xf>
    <xf borderId="2" fillId="3" fontId="10" numFmtId="0" xfId="0" applyAlignment="1" applyBorder="1" applyFont="1">
      <alignment horizontal="center" shrinkToFit="0" vertical="center" wrapText="1"/>
    </xf>
    <xf borderId="1" fillId="4" fontId="25" numFmtId="0" xfId="0" applyAlignment="1" applyBorder="1" applyFont="1">
      <alignment horizontal="center" shrinkToFit="0" vertical="center" wrapText="1"/>
    </xf>
    <xf borderId="2" fillId="4" fontId="10" numFmtId="0" xfId="0" applyAlignment="1" applyBorder="1" applyFont="1">
      <alignment horizontal="center" shrinkToFit="0" vertical="center" wrapText="1"/>
    </xf>
    <xf borderId="1" fillId="3" fontId="26" numFmtId="0" xfId="0" applyAlignment="1" applyBorder="1" applyFont="1">
      <alignment horizontal="center" shrinkToFit="0" vertical="center" wrapText="1"/>
    </xf>
    <xf borderId="1" fillId="4" fontId="8" numFmtId="165" xfId="0" applyAlignment="1" applyBorder="1" applyFont="1" applyNumberFormat="1">
      <alignment shrinkToFit="0" vertical="center" wrapText="1"/>
    </xf>
    <xf borderId="0" fillId="4" fontId="3" numFmtId="0" xfId="0" applyAlignment="1" applyFont="1">
      <alignment shrinkToFit="0" vertical="center" wrapText="1"/>
    </xf>
    <xf borderId="0" fillId="3" fontId="3" numFmtId="0" xfId="0" applyAlignment="1" applyFont="1">
      <alignment shrinkToFit="0" vertical="center" wrapText="1"/>
    </xf>
    <xf borderId="0" fillId="4" fontId="8" numFmtId="0" xfId="0" applyAlignment="1" applyFont="1">
      <alignment shrinkToFit="0" vertical="center" wrapText="1"/>
    </xf>
    <xf borderId="0" fillId="4" fontId="8" numFmtId="0" xfId="0" applyAlignment="1" applyFont="1">
      <alignment readingOrder="0" shrinkToFit="0" vertical="center" wrapText="1"/>
    </xf>
    <xf borderId="1" fillId="3" fontId="27" numFmtId="0" xfId="0" applyAlignment="1" applyBorder="1" applyFont="1">
      <alignment readingOrder="0" shrinkToFit="0" vertical="center" wrapText="1"/>
    </xf>
    <xf borderId="0" fillId="3" fontId="3" numFmtId="0" xfId="0" applyAlignment="1" applyFont="1">
      <alignment shrinkToFit="0" wrapText="1"/>
    </xf>
    <xf borderId="1" fillId="0" fontId="4" numFmtId="0" xfId="0" applyAlignment="1" applyBorder="1" applyFont="1">
      <alignment horizontal="center" readingOrder="0" shrinkToFit="0" vertical="center" wrapText="1"/>
    </xf>
    <xf borderId="1" fillId="3" fontId="28" numFmtId="0" xfId="0" applyAlignment="1" applyBorder="1" applyFont="1">
      <alignment horizontal="center" readingOrder="0" shrinkToFit="0" vertical="center" wrapText="1"/>
    </xf>
    <xf borderId="1" fillId="3" fontId="8" numFmtId="0" xfId="0" applyAlignment="1" applyBorder="1" applyFont="1">
      <alignment readingOrder="0" shrinkToFit="0" vertical="center" wrapText="1"/>
    </xf>
    <xf borderId="1" fillId="0" fontId="10"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4" fontId="8" numFmtId="164" xfId="0" applyAlignment="1" applyBorder="1" applyFont="1" applyNumberForma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3" fontId="10" numFmtId="0" xfId="0" applyAlignment="1" applyBorder="1" applyFont="1">
      <alignment horizontal="center" shrinkToFit="0" vertical="center" wrapText="1"/>
    </xf>
    <xf borderId="1" fillId="3" fontId="8" numFmtId="0" xfId="0" applyAlignment="1" applyBorder="1" applyFont="1">
      <alignment shrinkToFit="0" vertical="center" wrapText="1"/>
    </xf>
    <xf borderId="1" fillId="4" fontId="29"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1" fillId="4" fontId="8" numFmtId="164" xfId="0" applyAlignment="1" applyBorder="1" applyFont="1" applyNumberFormat="1">
      <alignment horizontal="center" shrinkToFit="0" vertical="center" wrapText="1"/>
    </xf>
    <xf borderId="1" fillId="4" fontId="8" numFmtId="0" xfId="0" applyAlignment="1" applyBorder="1" applyFont="1">
      <alignment shrinkToFit="0" vertical="center" wrapText="1"/>
    </xf>
    <xf borderId="1" fillId="4" fontId="10" numFmtId="0" xfId="0" applyAlignment="1" applyBorder="1" applyFont="1">
      <alignment horizontal="center" shrinkToFit="0" vertical="center" wrapText="1"/>
    </xf>
    <xf borderId="1" fillId="4" fontId="8" numFmtId="0" xfId="0" applyAlignment="1" applyBorder="1" applyFont="1">
      <alignment readingOrder="0" shrinkToFit="0" vertical="center" wrapText="1"/>
    </xf>
    <xf borderId="1" fillId="4" fontId="8" numFmtId="0" xfId="0" applyAlignment="1" applyBorder="1" applyFont="1">
      <alignment horizontal="center" readingOrder="0" shrinkToFit="0" vertical="center" wrapText="1"/>
    </xf>
    <xf borderId="1" fillId="3" fontId="30" numFmtId="0" xfId="0" applyAlignment="1" applyBorder="1" applyFont="1">
      <alignment horizontal="center" shrinkToFit="0" wrapText="1"/>
    </xf>
    <xf borderId="1" fillId="3" fontId="8" numFmtId="0" xfId="0" applyAlignment="1" applyBorder="1" applyFont="1">
      <alignment shrinkToFit="0" wrapText="1"/>
    </xf>
    <xf borderId="1" fillId="0" fontId="10" numFmtId="0" xfId="0" applyAlignment="1" applyBorder="1" applyFont="1">
      <alignment horizontal="center" shrinkToFit="0" wrapText="1"/>
    </xf>
    <xf borderId="1" fillId="3" fontId="8" numFmtId="0" xfId="0" applyAlignment="1" applyBorder="1" applyFont="1">
      <alignment horizontal="center" shrinkToFit="0" wrapText="1"/>
    </xf>
    <xf borderId="1" fillId="3" fontId="8" numFmtId="164" xfId="0" applyAlignment="1" applyBorder="1" applyFont="1" applyNumberFormat="1">
      <alignment horizontal="center" shrinkToFit="0" wrapText="1"/>
    </xf>
    <xf borderId="1" fillId="3" fontId="10" numFmtId="0" xfId="0" applyAlignment="1" applyBorder="1" applyFont="1">
      <alignment horizontal="center" shrinkToFit="0" wrapText="1"/>
    </xf>
    <xf borderId="1" fillId="4" fontId="31" numFmtId="0" xfId="0" applyAlignment="1" applyBorder="1" applyFont="1">
      <alignment horizontal="center" shrinkToFit="0" wrapText="1"/>
    </xf>
    <xf borderId="1" fillId="4" fontId="8" numFmtId="0" xfId="0" applyAlignment="1" applyBorder="1" applyFont="1">
      <alignment shrinkToFit="0" wrapText="1"/>
    </xf>
    <xf borderId="1" fillId="4" fontId="8" numFmtId="164" xfId="0" applyAlignment="1" applyBorder="1" applyFont="1" applyNumberFormat="1">
      <alignment horizontal="center" shrinkToFit="0" wrapText="1"/>
    </xf>
    <xf borderId="0" fillId="0" fontId="8" numFmtId="0" xfId="0" applyAlignment="1" applyFont="1">
      <alignment shrinkToFit="0" vertical="bottom" wrapText="1"/>
    </xf>
    <xf borderId="1" fillId="0" fontId="3" numFmtId="0" xfId="0" applyAlignment="1" applyBorder="1" applyFont="1">
      <alignment readingOrder="0" shrinkToFit="0" vertical="center" wrapText="1"/>
    </xf>
    <xf borderId="1" fillId="3" fontId="8" numFmtId="0" xfId="0" applyAlignment="1" applyBorder="1" applyFont="1">
      <alignment horizontal="center" readingOrder="0" shrinkToFit="0" vertical="center" wrapText="1"/>
    </xf>
    <xf borderId="1" fillId="3" fontId="32" numFmtId="167" xfId="0" applyAlignment="1" applyBorder="1" applyFont="1" applyNumberFormat="1">
      <alignment readingOrder="0" shrinkToFit="0" vertical="center" wrapText="1"/>
    </xf>
    <xf borderId="1" fillId="3" fontId="32" numFmtId="167" xfId="0" applyAlignment="1" applyBorder="1" applyFont="1" applyNumberFormat="1">
      <alignment horizontal="center" readingOrder="0" shrinkToFit="0" vertical="center" wrapText="1"/>
    </xf>
    <xf borderId="1" fillId="0" fontId="3" numFmtId="0" xfId="0" applyAlignment="1" applyBorder="1" applyFont="1">
      <alignment shrinkToFit="0" vertical="center" wrapText="1"/>
    </xf>
    <xf borderId="0" fillId="0" fontId="3" numFmtId="0" xfId="0" applyAlignment="1" applyFont="1">
      <alignment shrinkToFit="0" wrapText="1"/>
    </xf>
    <xf borderId="1" fillId="4" fontId="8" numFmtId="165" xfId="0" applyAlignment="1" applyBorder="1" applyFont="1" applyNumberFormat="1">
      <alignment shrinkToFit="0" vertical="center" wrapText="1"/>
    </xf>
    <xf borderId="1" fillId="3" fontId="33" numFmtId="0" xfId="0" applyAlignment="1" applyBorder="1" applyFont="1">
      <alignment horizontal="center" shrinkToFit="0" vertical="center" wrapText="1"/>
    </xf>
    <xf borderId="1" fillId="3" fontId="24" numFmtId="0" xfId="0" applyAlignment="1" applyBorder="1" applyFont="1">
      <alignment shrinkToFit="0" vertical="center" wrapText="1"/>
    </xf>
    <xf borderId="1" fillId="3" fontId="8" numFmtId="165" xfId="0" applyAlignment="1" applyBorder="1" applyFont="1" applyNumberFormat="1">
      <alignment shrinkToFit="0" vertical="center" wrapText="1"/>
    </xf>
    <xf borderId="1" fillId="0" fontId="8"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3" fontId="8" numFmtId="0" xfId="0" applyAlignment="1" applyFont="1">
      <alignment horizontal="center" shrinkToFit="0" vertical="center" wrapText="1"/>
    </xf>
    <xf borderId="1" fillId="3" fontId="34"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0" fillId="3" fontId="22" numFmtId="0" xfId="0" applyAlignment="1" applyFont="1">
      <alignment readingOrder="0" shrinkToFit="0" wrapText="1"/>
    </xf>
    <xf borderId="1" fillId="3" fontId="10" numFmtId="0" xfId="0" applyAlignment="1" applyBorder="1" applyFont="1">
      <alignment shrinkToFit="0" vertical="center" wrapText="1"/>
    </xf>
    <xf borderId="1" fillId="4" fontId="10" numFmtId="0" xfId="0" applyAlignment="1" applyBorder="1" applyFont="1">
      <alignment shrinkToFit="0" vertical="center" wrapText="1"/>
    </xf>
    <xf borderId="1" fillId="4" fontId="10"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3" fontId="8" numFmtId="164" xfId="0" applyAlignment="1" applyBorder="1" applyFont="1" applyNumberFormat="1">
      <alignment horizontal="center" shrinkToFit="0" vertical="center" wrapText="1"/>
    </xf>
    <xf borderId="1" fillId="3" fontId="35" numFmtId="0" xfId="0" applyAlignment="1" applyBorder="1" applyFont="1">
      <alignment shrinkToFit="0" vertical="center" wrapText="1"/>
    </xf>
    <xf borderId="1" fillId="3" fontId="36" numFmtId="0" xfId="0" applyAlignment="1" applyBorder="1" applyFont="1">
      <alignment horizontal="center" shrinkToFit="0" vertical="center" wrapText="1"/>
    </xf>
    <xf borderId="1" fillId="4" fontId="8" numFmtId="0" xfId="0" applyAlignment="1" applyBorder="1" applyFont="1">
      <alignment horizontal="center" readingOrder="0" shrinkToFit="0" vertical="center" wrapText="1"/>
    </xf>
    <xf borderId="1" fillId="4" fontId="8" numFmtId="0" xfId="0" applyAlignment="1" applyBorder="1" applyFont="1">
      <alignment horizontal="right" shrinkToFit="0" vertical="center"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0" fontId="3" numFmtId="166" xfId="0" applyAlignment="1" applyFont="1" applyNumberFormat="1">
      <alignment readingOrder="0" shrinkToFit="0" vertical="center" wrapText="1"/>
    </xf>
    <xf borderId="0" fillId="0" fontId="3" numFmtId="0" xfId="0" applyAlignment="1" applyFont="1">
      <alignment horizontal="center" readingOrder="0" shrinkToFit="0" vertical="center" wrapText="1"/>
    </xf>
    <xf borderId="0" fillId="0" fontId="3" numFmtId="1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39" numFmtId="0" xfId="0" applyAlignment="1" applyFont="1">
      <alignment readingOrder="0" shrinkToFit="0" vertical="center" wrapText="1"/>
    </xf>
    <xf borderId="1" fillId="2" fontId="40" numFmtId="0" xfId="0" applyAlignment="1" applyBorder="1" applyFont="1">
      <alignment horizontal="center" shrinkToFit="0" vertical="center" wrapText="1"/>
    </xf>
    <xf borderId="1" fillId="2" fontId="40" numFmtId="0" xfId="0" applyAlignment="1" applyBorder="1" applyFont="1">
      <alignment horizontal="left" shrinkToFit="0" vertical="center" wrapText="1"/>
    </xf>
    <xf borderId="1" fillId="2" fontId="40" numFmtId="0" xfId="0" applyAlignment="1" applyBorder="1" applyFont="1">
      <alignment shrinkToFit="0" vertical="center" wrapText="1"/>
    </xf>
    <xf borderId="1" fillId="2" fontId="40" numFmtId="0" xfId="0" applyAlignment="1" applyBorder="1" applyFont="1">
      <alignment horizontal="center" readingOrder="0" shrinkToFit="0" vertical="center" wrapText="1"/>
    </xf>
    <xf borderId="1" fillId="3" fontId="41" numFmtId="0" xfId="0" applyAlignment="1" applyBorder="1" applyFont="1">
      <alignment horizontal="center" readingOrder="0" shrinkToFit="0" vertical="center" wrapText="1"/>
    </xf>
    <xf borderId="1" fillId="3" fontId="7" numFmtId="0" xfId="0" applyAlignment="1" applyBorder="1" applyFont="1">
      <alignment horizontal="left" shrinkToFit="0" vertical="center" wrapText="1"/>
    </xf>
    <xf borderId="1" fillId="3" fontId="7" numFmtId="0" xfId="0" applyAlignment="1" applyBorder="1" applyFont="1">
      <alignment shrinkToFit="0" vertical="center" wrapText="1"/>
    </xf>
    <xf borderId="1" fillId="4" fontId="7" numFmtId="164" xfId="0" applyAlignment="1" applyBorder="1" applyFont="1" applyNumberFormat="1">
      <alignment horizontal="center" shrinkToFit="0" vertical="center" wrapText="1"/>
    </xf>
    <xf borderId="1" fillId="3" fontId="7" numFmtId="164" xfId="0" applyAlignment="1" applyBorder="1" applyFont="1" applyNumberFormat="1">
      <alignment horizontal="center" readingOrder="0" shrinkToFit="0" vertical="center" wrapText="1"/>
    </xf>
    <xf borderId="1" fillId="3" fontId="7"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3" fontId="7" numFmtId="164" xfId="0" applyAlignment="1" applyBorder="1" applyFont="1" applyNumberFormat="1">
      <alignment horizontal="center" shrinkToFit="0" vertical="center" wrapText="1"/>
    </xf>
    <xf borderId="1" fillId="3" fontId="7" numFmtId="0" xfId="0" applyAlignment="1" applyBorder="1" applyFont="1">
      <alignment horizontal="center" readingOrder="0" shrinkToFit="0" vertical="center" wrapText="1"/>
    </xf>
    <xf borderId="0" fillId="3" fontId="8" numFmtId="0" xfId="0" applyAlignment="1" applyFont="1">
      <alignment shrinkToFit="0" vertical="center" wrapText="1"/>
    </xf>
    <xf borderId="1" fillId="4" fontId="7" numFmtId="0" xfId="0" applyAlignment="1" applyBorder="1" applyFont="1">
      <alignment horizontal="left" shrinkToFit="0" vertical="center" wrapText="1"/>
    </xf>
    <xf borderId="1" fillId="4" fontId="7" numFmtId="0" xfId="0" applyAlignment="1" applyBorder="1" applyFont="1">
      <alignment shrinkToFit="0" vertical="center" wrapText="1"/>
    </xf>
    <xf borderId="1" fillId="0" fontId="9"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0" fillId="4" fontId="8" numFmtId="0" xfId="0" applyAlignment="1" applyFont="1">
      <alignment shrinkToFit="0" vertical="center" wrapText="1"/>
    </xf>
    <xf borderId="1" fillId="4" fontId="42" numFmtId="0" xfId="0" applyAlignment="1" applyBorder="1" applyFont="1">
      <alignment horizontal="center" shrinkToFit="0" vertical="center" wrapText="1"/>
    </xf>
    <xf borderId="1" fillId="3" fontId="43" numFmtId="0" xfId="0" applyAlignment="1" applyBorder="1" applyFont="1">
      <alignment horizontal="center" shrinkToFit="0" vertical="center" wrapText="1"/>
    </xf>
    <xf borderId="1" fillId="3" fontId="7" numFmtId="0" xfId="0" applyAlignment="1" applyBorder="1" applyFont="1">
      <alignment readingOrder="0" shrinkToFit="0" vertical="center" wrapText="1"/>
    </xf>
    <xf borderId="1" fillId="3" fontId="7" numFmtId="165" xfId="0" applyAlignment="1" applyBorder="1" applyFont="1" applyNumberFormat="1">
      <alignment shrinkToFit="0" vertical="center" wrapText="1"/>
    </xf>
    <xf borderId="1" fillId="4" fontId="7" numFmtId="165" xfId="0" applyAlignment="1" applyBorder="1" applyFont="1" applyNumberFormat="1">
      <alignment shrinkToFit="0" vertical="center" wrapText="1"/>
    </xf>
    <xf borderId="1" fillId="0" fontId="7" numFmtId="0" xfId="0" applyAlignment="1" applyBorder="1" applyFont="1">
      <alignment horizontal="center" readingOrder="0" shrinkToFit="0" vertical="center" wrapText="1"/>
    </xf>
    <xf borderId="1" fillId="4" fontId="9"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4" fontId="7" numFmtId="0" xfId="0" applyAlignment="1" applyBorder="1" applyFont="1">
      <alignment readingOrder="0" shrinkToFit="0" vertical="center" wrapText="1"/>
    </xf>
    <xf borderId="1" fillId="3" fontId="44" numFmtId="0" xfId="0" applyAlignment="1" applyBorder="1" applyFont="1">
      <alignment shrinkToFit="0" vertical="center" wrapText="1"/>
    </xf>
    <xf borderId="1" fillId="3" fontId="32" numFmtId="0" xfId="0" applyAlignment="1" applyBorder="1" applyFont="1">
      <alignment readingOrder="0" shrinkToFit="0" vertical="center" wrapText="1"/>
    </xf>
    <xf borderId="1" fillId="3" fontId="7" numFmtId="164" xfId="0" applyAlignment="1" applyBorder="1" applyFont="1" applyNumberFormat="1">
      <alignment shrinkToFit="0" vertical="center" wrapText="1"/>
    </xf>
    <xf borderId="1" fillId="4" fontId="7" numFmtId="0" xfId="0" applyAlignment="1" applyBorder="1" applyFont="1">
      <alignment horizontal="center" readingOrder="0" shrinkToFit="0" vertical="center" wrapText="1"/>
    </xf>
    <xf borderId="1" fillId="3" fontId="7" numFmtId="0" xfId="0" applyAlignment="1" applyBorder="1" applyFont="1">
      <alignment horizontal="left" readingOrder="0" shrinkToFit="0" vertical="center" wrapText="1"/>
    </xf>
    <xf borderId="2" fillId="0" fontId="9" numFmtId="0" xfId="0" applyAlignment="1" applyBorder="1" applyFont="1">
      <alignment horizontal="center" shrinkToFit="0" vertical="center" wrapText="1"/>
    </xf>
    <xf borderId="0" fillId="3" fontId="7" numFmtId="0" xfId="0" applyAlignment="1" applyFont="1">
      <alignment shrinkToFit="0" vertical="center" wrapText="1"/>
    </xf>
    <xf borderId="0" fillId="0" fontId="7" numFmtId="0" xfId="0" applyAlignment="1" applyFont="1">
      <alignment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0" fillId="0" fontId="3" numFmtId="0" xfId="0" applyAlignment="1" applyFont="1">
      <alignment shrinkToFit="0" vertical="center" wrapText="1"/>
    </xf>
    <xf borderId="1" fillId="4" fontId="7" numFmtId="164" xfId="0" applyAlignment="1" applyBorder="1" applyFont="1" applyNumberFormat="1">
      <alignment horizontal="center" readingOrder="0" shrinkToFit="0" vertical="center" wrapText="1"/>
    </xf>
    <xf borderId="2" fillId="0" fontId="7" numFmtId="0" xfId="0" applyAlignment="1" applyBorder="1" applyFont="1">
      <alignment horizontal="center" readingOrder="0" shrinkToFit="0" vertical="center" wrapText="1"/>
    </xf>
    <xf borderId="1" fillId="0" fontId="7" numFmtId="0" xfId="0" applyAlignment="1" applyBorder="1" applyFont="1">
      <alignment horizontal="left" shrinkToFit="0" vertical="center" wrapText="1"/>
    </xf>
    <xf borderId="1" fillId="4" fontId="7"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shrinkToFit="0" vertical="center" wrapText="1"/>
    </xf>
    <xf borderId="1" fillId="0" fontId="7" numFmtId="0" xfId="0" applyAlignment="1" applyBorder="1" applyFont="1">
      <alignment readingOrder="0" shrinkToFit="0" vertical="center" wrapText="1"/>
    </xf>
    <xf borderId="1" fillId="0" fontId="45" numFmtId="0" xfId="0" applyAlignment="1" applyBorder="1" applyFont="1">
      <alignment readingOrder="0" shrinkToFit="0" vertical="center" wrapText="1"/>
    </xf>
    <xf borderId="1" fillId="0" fontId="46" numFmtId="0" xfId="0" applyAlignment="1" applyBorder="1" applyFont="1">
      <alignment readingOrder="0" shrinkToFit="0" vertical="center" wrapText="1"/>
    </xf>
    <xf borderId="2" fillId="0" fontId="9" numFmtId="0" xfId="0" applyAlignment="1" applyBorder="1" applyFont="1">
      <alignment horizontal="center" readingOrder="0" shrinkToFit="0" vertical="center" wrapText="1"/>
    </xf>
    <xf borderId="1" fillId="3" fontId="32" numFmtId="0" xfId="0" applyAlignment="1" applyBorder="1" applyFont="1">
      <alignment readingOrder="0" shrinkToFit="0" vertical="center" wrapText="1"/>
    </xf>
    <xf borderId="0" fillId="0" fontId="8" numFmtId="0" xfId="0" applyAlignment="1" applyFont="1">
      <alignment shrinkToFit="0" vertical="center" wrapText="1"/>
    </xf>
    <xf borderId="1" fillId="0" fontId="7" numFmtId="0" xfId="0" applyAlignment="1" applyBorder="1" applyFont="1">
      <alignment horizontal="left" readingOrder="0" shrinkToFit="0" vertical="center" wrapText="1"/>
    </xf>
    <xf borderId="1" fillId="4" fontId="7" numFmtId="0" xfId="0" applyAlignment="1" applyBorder="1" applyFont="1">
      <alignment horizontal="center" readingOrder="0" shrinkToFit="0" vertical="center" wrapText="1"/>
    </xf>
    <xf borderId="1" fillId="3" fontId="47" numFmtId="0" xfId="0" applyAlignment="1" applyBorder="1" applyFont="1">
      <alignment readingOrder="0" shrinkToFit="0" vertical="center" wrapText="1"/>
    </xf>
    <xf borderId="1" fillId="3" fontId="7" numFmtId="0" xfId="0" applyAlignment="1" applyBorder="1" applyFont="1">
      <alignment readingOrder="0" shrinkToFit="0" vertical="center" wrapText="1"/>
    </xf>
    <xf borderId="0" fillId="3" fontId="48" numFmtId="0" xfId="0" applyAlignment="1" applyFont="1">
      <alignment readingOrder="0" shrinkToFit="0" vertical="center" wrapText="1"/>
    </xf>
    <xf borderId="0" fillId="3" fontId="48" numFmtId="0" xfId="0" applyAlignment="1" applyFont="1">
      <alignment shrinkToFit="0" vertical="center" wrapText="1"/>
    </xf>
    <xf borderId="1" fillId="3" fontId="48" numFmtId="0" xfId="0" applyAlignment="1" applyBorder="1" applyFont="1">
      <alignment shrinkToFit="0" vertical="center" wrapText="1"/>
    </xf>
    <xf borderId="1" fillId="3" fontId="32" numFmtId="164" xfId="0" applyAlignment="1" applyBorder="1" applyFont="1" applyNumberFormat="1">
      <alignment readingOrder="0" shrinkToFit="0" vertical="center" wrapText="1"/>
    </xf>
    <xf borderId="1" fillId="6" fontId="32" numFmtId="0" xfId="0" applyAlignment="1" applyBorder="1" applyFill="1" applyFont="1">
      <alignment readingOrder="0" shrinkToFit="0" vertical="center" wrapText="1"/>
    </xf>
    <xf borderId="1" fillId="0" fontId="0" numFmtId="0" xfId="0" applyAlignment="1" applyBorder="1" applyFont="1">
      <alignment horizontal="left" readingOrder="0" shrinkToFit="0" vertical="center" wrapText="1"/>
    </xf>
    <xf borderId="1" fillId="3" fontId="49" numFmtId="0" xfId="0" applyAlignment="1" applyBorder="1" applyFont="1">
      <alignment readingOrder="0" shrinkToFit="0" vertical="center" wrapText="1"/>
    </xf>
    <xf borderId="1" fillId="3" fontId="7" numFmtId="0" xfId="0" applyAlignment="1" applyBorder="1" applyFont="1">
      <alignment horizontal="center" readingOrder="0" shrinkToFit="0" vertical="center" wrapText="1"/>
    </xf>
    <xf borderId="1" fillId="3" fontId="49" numFmtId="0" xfId="0" applyAlignment="1" applyBorder="1" applyFont="1">
      <alignment readingOrder="0" shrinkToFit="0" vertical="center" wrapText="1"/>
    </xf>
    <xf borderId="0" fillId="0" fontId="3" numFmtId="0" xfId="0" applyAlignment="1" applyFont="1">
      <alignment readingOrder="0" shrinkToFit="0" vertical="center" wrapText="1"/>
    </xf>
    <xf borderId="0" fillId="3" fontId="48" numFmtId="0" xfId="0" applyAlignment="1" applyFont="1">
      <alignment horizontal="left" readingOrder="0" shrinkToFit="0" vertical="center" wrapText="1"/>
    </xf>
    <xf borderId="1" fillId="3" fontId="50" numFmtId="0" xfId="0" applyAlignment="1" applyBorder="1" applyFont="1">
      <alignment horizontal="center" shrinkToFit="0" vertical="center" wrapText="1"/>
    </xf>
    <xf borderId="1" fillId="3" fontId="7" numFmtId="0" xfId="0" applyAlignment="1" applyBorder="1" applyFont="1">
      <alignment horizontal="left" shrinkToFit="0" vertical="center" wrapText="1"/>
    </xf>
    <xf borderId="1" fillId="3" fontId="32"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0" fillId="3" fontId="48" numFmtId="0" xfId="0" applyAlignment="1" applyFont="1">
      <alignment horizontal="left" readingOrder="0" shrinkToFit="0" vertical="center" wrapText="1"/>
    </xf>
    <xf borderId="1" fillId="3" fontId="7" numFmtId="0" xfId="0" applyAlignment="1" applyBorder="1" applyFont="1">
      <alignment shrinkToFit="0" vertical="center" wrapText="1"/>
    </xf>
    <xf borderId="1" fillId="0" fontId="9" numFmtId="0" xfId="0" applyAlignment="1" applyBorder="1" applyFont="1">
      <alignment horizontal="center" shrinkToFit="0" vertical="center" wrapText="1"/>
    </xf>
    <xf borderId="1" fillId="3" fontId="7" numFmtId="0" xfId="0" applyAlignment="1" applyBorder="1" applyFont="1">
      <alignment horizontal="center" shrinkToFit="0" vertical="center" wrapText="1"/>
    </xf>
    <xf borderId="1" fillId="0" fontId="7" numFmtId="0" xfId="0" applyAlignment="1" applyBorder="1" applyFont="1">
      <alignment readingOrder="0" shrinkToFit="0" vertical="center" wrapText="1"/>
    </xf>
    <xf borderId="1" fillId="3" fontId="48" numFmtId="0" xfId="0" applyAlignment="1" applyBorder="1" applyFont="1">
      <alignment horizontal="left" readingOrder="0" shrinkToFit="0" vertical="center" wrapText="1"/>
    </xf>
    <xf borderId="1" fillId="0" fontId="51" numFmtId="0" xfId="0" applyAlignment="1" applyBorder="1" applyFont="1">
      <alignment readingOrder="0" shrinkToFit="0" vertical="center" wrapText="1"/>
    </xf>
    <xf borderId="1" fillId="0" fontId="7" numFmtId="0" xfId="0" applyAlignment="1" applyBorder="1" applyFont="1">
      <alignment horizontal="left" shrinkToFit="0" vertical="center" wrapText="1"/>
    </xf>
    <xf borderId="1" fillId="0" fontId="9"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4" fontId="7" numFmtId="168" xfId="0" applyAlignment="1" applyBorder="1" applyFont="1" applyNumberFormat="1">
      <alignment horizontal="center" readingOrder="0" shrinkToFit="0" vertical="center" wrapText="1"/>
    </xf>
    <xf borderId="1" fillId="3" fontId="52" numFmtId="0" xfId="0" applyAlignment="1" applyBorder="1" applyFont="1">
      <alignment horizontal="center" readingOrder="0" shrinkToFit="0" vertical="center" wrapText="1"/>
    </xf>
    <xf borderId="1" fillId="0" fontId="0"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4" fontId="7" numFmtId="0" xfId="0" applyAlignment="1" applyBorder="1" applyFont="1">
      <alignment horizontal="left" readingOrder="0" shrinkToFit="0" vertical="center" wrapText="1"/>
    </xf>
    <xf borderId="1" fillId="4" fontId="7" numFmtId="0" xfId="0" applyAlignment="1" applyBorder="1" applyFont="1">
      <alignment shrinkToFit="0" vertical="center" wrapText="1"/>
    </xf>
    <xf borderId="0" fillId="0" fontId="53" numFmtId="0" xfId="0" applyAlignment="1" applyFont="1">
      <alignment readingOrder="0" shrinkToFit="0" vertical="center" wrapText="1"/>
    </xf>
    <xf borderId="1" fillId="0" fontId="7" numFmtId="0" xfId="0" applyAlignment="1" applyBorder="1" applyFont="1">
      <alignment horizontal="center" readingOrder="0" shrinkToFit="0" vertical="center" wrapText="1"/>
    </xf>
    <xf borderId="1" fillId="3" fontId="7" numFmtId="0" xfId="0" applyAlignment="1" applyBorder="1" applyFont="1">
      <alignment horizontal="left" readingOrder="0" shrinkToFit="0" vertical="center" wrapText="1"/>
    </xf>
    <xf borderId="1" fillId="0" fontId="54" numFmtId="0" xfId="0" applyAlignment="1" applyBorder="1" applyFont="1">
      <alignment horizontal="left" readingOrder="0" shrinkToFit="0" vertical="center" wrapText="1"/>
    </xf>
    <xf borderId="0" fillId="0" fontId="55" numFmtId="0" xfId="0" applyAlignment="1" applyFont="1">
      <alignment readingOrder="0" shrinkToFit="0" vertical="center" wrapText="1"/>
    </xf>
    <xf borderId="1" fillId="4" fontId="49" numFmtId="0" xfId="0" applyAlignment="1" applyBorder="1" applyFont="1">
      <alignment shrinkToFit="0" vertical="center" wrapText="1"/>
    </xf>
    <xf borderId="1" fillId="4" fontId="7" numFmtId="0" xfId="0" applyAlignment="1" applyBorder="1" applyFont="1">
      <alignment shrinkToFit="0" vertical="center" wrapText="1"/>
    </xf>
    <xf borderId="1" fillId="0" fontId="7" numFmtId="0" xfId="0" applyAlignment="1" applyBorder="1" applyFont="1">
      <alignment shrinkToFit="0" vertical="center" wrapText="1"/>
    </xf>
    <xf borderId="0" fillId="0" fontId="7" numFmtId="0" xfId="0" applyAlignment="1" applyFont="1">
      <alignment shrinkToFit="0" vertical="center" wrapText="1"/>
    </xf>
    <xf borderId="1" fillId="4" fontId="7" numFmtId="0" xfId="0" applyAlignment="1" applyBorder="1" applyFont="1">
      <alignment readingOrder="0" shrinkToFit="0" vertical="center" wrapText="1"/>
    </xf>
    <xf borderId="1" fillId="4" fontId="7" numFmtId="0" xfId="0" applyAlignment="1" applyBorder="1" applyFont="1">
      <alignment readingOrder="0" shrinkToFit="0" vertical="center" wrapText="1"/>
    </xf>
    <xf borderId="0" fillId="4" fontId="8" numFmtId="0" xfId="0" applyAlignment="1" applyFont="1">
      <alignment readingOrder="0" shrinkToFit="0" vertical="center" wrapText="1"/>
    </xf>
    <xf borderId="1" fillId="3" fontId="0" numFmtId="0" xfId="0" applyAlignment="1" applyBorder="1" applyFont="1">
      <alignment horizontal="left" readingOrder="0" shrinkToFit="0" vertical="center" wrapText="1"/>
    </xf>
    <xf borderId="1" fillId="4" fontId="8" numFmtId="0" xfId="0" applyAlignment="1" applyBorder="1" applyFont="1">
      <alignment horizontal="left" readingOrder="0" shrinkToFit="0" vertical="center" wrapText="1"/>
    </xf>
    <xf borderId="1" fillId="0" fontId="5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17" numFmtId="0" xfId="0" applyAlignment="1" applyBorder="1" applyFont="1">
      <alignment horizontal="center" readingOrder="0" shrinkToFit="0" vertical="center" wrapText="1"/>
    </xf>
    <xf borderId="1" fillId="0" fontId="57"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58" numFmtId="0" xfId="0" applyAlignment="1" applyBorder="1" applyFont="1">
      <alignment readingOrder="0" shrinkToFit="0" vertical="center" wrapText="1"/>
    </xf>
    <xf borderId="1" fillId="3" fontId="59"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8" numFmtId="0" xfId="0" applyAlignment="1" applyBorder="1" applyFont="1">
      <alignment readingOrder="0" shrinkToFit="0" vertical="center" wrapText="1"/>
    </xf>
    <xf borderId="1" fillId="3" fontId="8" numFmtId="0" xfId="0" applyAlignment="1" applyBorder="1" applyFont="1">
      <alignment horizontal="left" readingOrder="0" shrinkToFit="0" vertical="center" wrapText="1"/>
    </xf>
    <xf borderId="1" fillId="0" fontId="60" numFmtId="0" xfId="0" applyAlignment="1" applyBorder="1" applyFont="1">
      <alignment readingOrder="0" shrinkToFit="0" vertical="center" wrapText="1"/>
    </xf>
    <xf borderId="1" fillId="4" fontId="9" numFmtId="0" xfId="0" applyAlignment="1" applyBorder="1" applyFont="1">
      <alignment horizontal="center" readingOrder="0" shrinkToFit="0" vertical="center" wrapText="1"/>
    </xf>
    <xf borderId="1" fillId="4" fontId="61" numFmtId="0" xfId="0" applyAlignment="1" applyBorder="1" applyFont="1">
      <alignment horizontal="center" readingOrder="0" shrinkToFit="0" vertical="center" wrapText="1"/>
    </xf>
    <xf borderId="1" fillId="0" fontId="37" numFmtId="0" xfId="0" applyAlignment="1" applyBorder="1" applyFont="1">
      <alignment horizontal="center" readingOrder="0" shrinkToFit="0" vertical="center" wrapText="1"/>
    </xf>
    <xf borderId="1" fillId="6" fontId="32" numFmtId="0" xfId="0" applyAlignment="1" applyBorder="1" applyFont="1">
      <alignment readingOrder="0" shrinkToFit="0" vertical="center" wrapText="1"/>
    </xf>
    <xf borderId="1" fillId="0" fontId="62" numFmtId="0" xfId="0" applyAlignment="1" applyBorder="1" applyFont="1">
      <alignment readingOrder="0" shrinkToFit="0" vertical="center" wrapText="1"/>
    </xf>
    <xf borderId="1" fillId="3" fontId="63" numFmtId="0" xfId="0" applyAlignment="1" applyBorder="1" applyFont="1">
      <alignment horizontal="left" readingOrder="0" shrinkToFit="0" vertical="center" wrapText="1"/>
    </xf>
    <xf borderId="1" fillId="0" fontId="8" numFmtId="0" xfId="0" applyAlignment="1" applyBorder="1" applyFont="1">
      <alignment shrinkToFit="0" vertical="center" wrapText="1"/>
    </xf>
    <xf borderId="1" fillId="0" fontId="8" numFmtId="0" xfId="0" applyAlignment="1" applyBorder="1" applyFont="1">
      <alignment horizontal="center" readingOrder="0" shrinkToFit="0" vertical="center" wrapText="1"/>
    </xf>
    <xf borderId="1" fillId="0" fontId="64" numFmtId="0" xfId="0" applyAlignment="1" applyBorder="1" applyFont="1">
      <alignment readingOrder="0" shrinkToFit="0" vertical="center" wrapText="1"/>
    </xf>
    <xf borderId="1" fillId="4" fontId="65"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0" fontId="10"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0" fillId="4" fontId="8" numFmtId="0" xfId="0" applyAlignment="1" applyFont="1">
      <alignment horizontal="left" readingOrder="0" shrinkToFit="0" vertical="center" wrapText="1"/>
    </xf>
    <xf borderId="0" fillId="3" fontId="49" numFmtId="0" xfId="0" applyAlignment="1" applyFont="1">
      <alignment readingOrder="0" shrinkToFit="0" vertical="center" wrapText="1"/>
    </xf>
    <xf borderId="0" fillId="3" fontId="8" numFmtId="0" xfId="0" applyAlignment="1" applyFont="1">
      <alignment horizontal="left" readingOrder="0" shrinkToFit="0" vertical="center" wrapText="1"/>
    </xf>
    <xf borderId="1" fillId="4" fontId="66"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3" fontId="67" numFmtId="0" xfId="0" applyAlignment="1" applyBorder="1" applyFont="1">
      <alignment horizontal="left" readingOrder="0" shrinkToFit="0" vertical="center" wrapText="1"/>
    </xf>
    <xf borderId="1" fillId="4" fontId="68" numFmtId="0" xfId="0" applyAlignment="1" applyBorder="1" applyFont="1">
      <alignment horizontal="center" shrinkToFit="0" vertical="center" wrapText="1"/>
    </xf>
    <xf borderId="1" fillId="4" fontId="8" numFmtId="0" xfId="0" applyAlignment="1" applyBorder="1" applyFont="1">
      <alignment shrinkToFit="0" vertical="center" wrapText="1"/>
    </xf>
    <xf borderId="1" fillId="3" fontId="69" numFmtId="0" xfId="0" applyAlignment="1" applyBorder="1" applyFont="1">
      <alignment readingOrder="0" shrinkToFit="0" vertical="center" wrapText="1"/>
    </xf>
    <xf borderId="1" fillId="0" fontId="10"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3" fontId="8" numFmtId="164" xfId="0" applyAlignment="1" applyBorder="1" applyFont="1" applyNumberFormat="1">
      <alignment horizontal="center" readingOrder="0" shrinkToFit="0" vertical="center" wrapText="1"/>
    </xf>
    <xf borderId="1" fillId="0" fontId="8" numFmtId="0" xfId="0" applyAlignment="1" applyBorder="1" applyFont="1">
      <alignment readingOrder="0" shrinkToFit="0" vertical="center" wrapText="1"/>
    </xf>
    <xf borderId="0" fillId="0" fontId="3" numFmtId="0" xfId="0" applyAlignment="1" applyFont="1">
      <alignment readingOrder="0" shrinkToFit="0"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wrapText="1"/>
    </xf>
    <xf borderId="0" fillId="3" fontId="48" numFmtId="0" xfId="0" applyAlignment="1" applyFont="1">
      <alignment horizontal="left" readingOrder="0" shrinkToFit="0" wrapText="1"/>
    </xf>
    <xf borderId="1" fillId="0" fontId="3" numFmtId="0" xfId="0" applyAlignment="1" applyBorder="1" applyFont="1">
      <alignment horizontal="center" readingOrder="0" vertical="center"/>
    </xf>
    <xf borderId="1" fillId="0" fontId="70" numFmtId="0" xfId="0" applyAlignment="1" applyBorder="1" applyFont="1">
      <alignment horizontal="center" readingOrder="0" shrinkToFit="0" vertical="center" wrapText="1"/>
    </xf>
    <xf borderId="0" fillId="3" fontId="8" numFmtId="0" xfId="0" applyAlignment="1" applyFont="1">
      <alignment readingOrder="0" shrinkToFit="0" vertical="center" wrapText="1"/>
    </xf>
    <xf borderId="1" fillId="7" fontId="71" numFmtId="0" xfId="0" applyAlignment="1" applyBorder="1" applyFill="1" applyFont="1">
      <alignment readingOrder="0" shrinkToFit="0" wrapText="1"/>
    </xf>
    <xf borderId="1" fillId="7" fontId="72" numFmtId="0" xfId="0" applyAlignment="1" applyBorder="1" applyFont="1">
      <alignment readingOrder="0" shrinkToFit="0" wrapText="1"/>
    </xf>
    <xf borderId="0" fillId="7" fontId="72" numFmtId="0" xfId="0" applyAlignment="1" applyFont="1">
      <alignment readingOrder="0" shrinkToFit="0" wrapText="1"/>
    </xf>
    <xf borderId="0" fillId="7" fontId="71" numFmtId="0" xfId="0" applyAlignment="1" applyFont="1">
      <alignment readingOrder="0" shrinkToFit="0" wrapText="1"/>
    </xf>
    <xf borderId="0" fillId="0" fontId="7" numFmtId="0" xfId="0" applyAlignment="1" applyFont="1">
      <alignment readingOrder="0" shrinkToFit="0" vertical="center" wrapText="1"/>
    </xf>
    <xf borderId="3" fillId="7" fontId="71" numFmtId="0" xfId="0" applyAlignment="1" applyBorder="1" applyFont="1">
      <alignment readingOrder="0" shrinkToFit="0" wrapText="1"/>
    </xf>
    <xf borderId="3" fillId="7" fontId="73" numFmtId="0" xfId="0" applyAlignment="1" applyBorder="1" applyFont="1">
      <alignment shrinkToFit="0" wrapText="1"/>
    </xf>
    <xf borderId="4" fillId="3" fontId="71" numFmtId="0" xfId="0" applyAlignment="1" applyBorder="1" applyFont="1">
      <alignment shrinkToFit="0" wrapText="1"/>
    </xf>
    <xf borderId="4" fillId="3" fontId="73" numFmtId="0" xfId="0" applyAlignment="1" applyBorder="1" applyFont="1">
      <alignment shrinkToFit="0" wrapText="1"/>
    </xf>
    <xf borderId="4" fillId="7" fontId="71" numFmtId="0" xfId="0" applyAlignment="1" applyBorder="1" applyFont="1">
      <alignment shrinkToFit="0" wrapText="1"/>
    </xf>
    <xf borderId="4" fillId="7" fontId="73" numFmtId="0" xfId="0" applyAlignment="1" applyBorder="1" applyFont="1">
      <alignment shrinkToFit="0" wrapText="1"/>
    </xf>
    <xf borderId="4" fillId="3" fontId="74" numFmtId="0" xfId="0" applyAlignment="1" applyBorder="1" applyFont="1">
      <alignment horizontal="center" shrinkToFit="0" wrapText="1"/>
    </xf>
    <xf borderId="1" fillId="0" fontId="37" numFmtId="0" xfId="0" applyAlignment="1" applyBorder="1" applyFont="1">
      <alignment horizontal="center" shrinkToFit="0" vertical="center" wrapText="1"/>
    </xf>
    <xf borderId="0" fillId="2" fontId="40" numFmtId="0" xfId="0" applyAlignment="1" applyFont="1">
      <alignment horizontal="center" readingOrder="0" shrinkToFit="0" vertical="center" wrapText="1"/>
    </xf>
    <xf borderId="0" fillId="2" fontId="75" numFmtId="0" xfId="0" applyAlignment="1" applyFont="1">
      <alignment horizontal="center" readingOrder="0" shrinkToFit="0" vertical="center" wrapText="1"/>
    </xf>
    <xf borderId="0" fillId="2" fontId="75" numFmtId="169" xfId="0" applyAlignment="1" applyFont="1" applyNumberFormat="1">
      <alignment horizontal="center" readingOrder="0" shrinkToFit="0" vertical="center" wrapText="1"/>
    </xf>
    <xf borderId="0" fillId="3" fontId="11" numFmtId="0" xfId="0" applyAlignment="1" applyFont="1">
      <alignment horizontal="center" vertical="center"/>
    </xf>
    <xf borderId="0" fillId="3" fontId="75" numFmtId="0" xfId="0" applyAlignment="1" applyFont="1">
      <alignment horizontal="center" shrinkToFit="0" vertical="center" wrapText="1"/>
    </xf>
    <xf borderId="0" fillId="2" fontId="75" numFmtId="0" xfId="0" applyAlignment="1" applyFont="1">
      <alignment horizontal="center" shrinkToFit="0" vertical="center" wrapText="1"/>
    </xf>
    <xf borderId="0" fillId="0" fontId="3" numFmtId="0" xfId="0" applyAlignment="1" applyFont="1">
      <alignment horizontal="center" vertical="center"/>
    </xf>
    <xf borderId="0" fillId="3" fontId="75" numFmtId="0" xfId="0" applyAlignment="1" applyFont="1">
      <alignment horizontal="center" readingOrder="0" shrinkToFit="0" vertical="center" wrapText="1"/>
    </xf>
    <xf borderId="0" fillId="0" fontId="37" numFmtId="0" xfId="0" applyAlignment="1" applyFont="1">
      <alignment horizontal="center" readingOrder="0" vertical="center"/>
    </xf>
    <xf borderId="0" fillId="0" fontId="11" numFmtId="0" xfId="0" applyFont="1"/>
    <xf borderId="0" fillId="3" fontId="75" numFmtId="169" xfId="0" applyAlignment="1" applyFont="1" applyNumberFormat="1">
      <alignment horizontal="center" readingOrder="0" shrinkToFit="0" vertical="center" wrapText="1"/>
    </xf>
    <xf borderId="0" fillId="3" fontId="37" numFmtId="0" xfId="0" applyAlignment="1" applyFont="1">
      <alignment horizontal="center" readingOrder="0" vertical="center"/>
    </xf>
    <xf borderId="0" fillId="3" fontId="11" numFmtId="0" xfId="0" applyFont="1"/>
    <xf borderId="0" fillId="0" fontId="3" numFmtId="0" xfId="0" applyAlignment="1" applyFont="1">
      <alignment horizontal="center" readingOrder="0" vertical="center"/>
    </xf>
    <xf borderId="0" fillId="3" fontId="10" numFmtId="0" xfId="0" applyAlignment="1" applyFont="1">
      <alignment horizontal="center" shrinkToFit="0" vertical="center" wrapText="1"/>
    </xf>
    <xf borderId="0" fillId="3" fontId="10" numFmtId="169" xfId="0" applyAlignment="1" applyFont="1" applyNumberFormat="1">
      <alignment horizontal="center" readingOrder="0" shrinkToFit="0" vertical="center" wrapText="1"/>
    </xf>
    <xf borderId="0" fillId="3" fontId="8" numFmtId="0" xfId="0" applyAlignment="1" applyFont="1">
      <alignment horizontal="center" vertical="center"/>
    </xf>
    <xf borderId="0" fillId="3" fontId="10" numFmtId="0" xfId="0" applyAlignment="1" applyFont="1">
      <alignment horizontal="center" shrinkToFit="0" vertical="center" wrapText="1"/>
    </xf>
    <xf borderId="0" fillId="3" fontId="8" numFmtId="0" xfId="0" applyAlignment="1" applyFont="1">
      <alignment vertical="center"/>
    </xf>
    <xf borderId="0" fillId="3" fontId="10" numFmtId="169" xfId="0" applyAlignment="1" applyFont="1" applyNumberFormat="1">
      <alignment horizontal="center" shrinkToFit="0" vertical="center" wrapText="1"/>
    </xf>
    <xf borderId="0" fillId="3" fontId="10" numFmtId="0" xfId="0" applyAlignment="1" applyFont="1">
      <alignment horizontal="center" vertical="center"/>
    </xf>
    <xf borderId="0" fillId="0" fontId="8" numFmtId="0" xfId="0" applyAlignment="1" applyFont="1">
      <alignment vertical="bottom"/>
    </xf>
    <xf borderId="0" fillId="3" fontId="3" numFmtId="0" xfId="0" applyFont="1"/>
    <xf borderId="0" fillId="0" fontId="3" numFmtId="0" xfId="0" applyAlignment="1" applyFont="1">
      <alignment horizontal="center"/>
    </xf>
    <xf borderId="0" fillId="3" fontId="3" numFmtId="0" xfId="0" applyAlignment="1" applyFont="1">
      <alignment vertical="center"/>
    </xf>
    <xf borderId="0" fillId="3" fontId="3" numFmtId="0" xfId="0" applyAlignment="1" applyFont="1">
      <alignment horizontal="center" vertical="center"/>
    </xf>
    <xf borderId="1" fillId="2" fontId="1" numFmtId="0" xfId="0" applyAlignment="1" applyBorder="1" applyFont="1">
      <alignment shrinkToFit="0" vertical="center" wrapText="1"/>
    </xf>
    <xf borderId="1" fillId="3" fontId="14" numFmtId="0" xfId="0" applyAlignment="1" applyBorder="1" applyFont="1">
      <alignment shrinkToFit="0" vertical="center" wrapText="1"/>
    </xf>
    <xf borderId="0" fillId="0" fontId="3" numFmtId="0" xfId="0" applyAlignment="1" applyFont="1">
      <alignment vertical="center"/>
    </xf>
    <xf borderId="1" fillId="3" fontId="17" numFmtId="0" xfId="0" applyAlignment="1" applyBorder="1" applyFont="1">
      <alignment horizontal="center" shrinkToFit="0" vertical="center" wrapText="1"/>
    </xf>
    <xf borderId="0" fillId="3" fontId="22" numFmtId="0" xfId="0" applyAlignment="1" applyFont="1">
      <alignment readingOrder="0" shrinkToFit="0" vertical="center" wrapText="1"/>
    </xf>
    <xf borderId="1" fillId="4" fontId="36" numFmtId="0" xfId="0" applyAlignment="1" applyBorder="1" applyFont="1">
      <alignment horizontal="center" shrinkToFit="0" vertical="center" wrapText="1"/>
    </xf>
    <xf borderId="0" fillId="4" fontId="3" numFmtId="0" xfId="0" applyAlignment="1" applyFont="1">
      <alignment vertical="center"/>
    </xf>
    <xf borderId="1" fillId="3" fontId="8" numFmtId="0" xfId="0" applyAlignment="1" applyBorder="1" applyFont="1">
      <alignment readingOrder="0" shrinkToFit="0" vertical="center" wrapText="1"/>
    </xf>
    <xf borderId="0" fillId="3" fontId="76" numFmtId="0" xfId="0" applyAlignment="1" applyFont="1">
      <alignment readingOrder="0" shrinkToFit="0" vertical="bottom" wrapText="1"/>
    </xf>
    <xf borderId="0" fillId="4" fontId="76" numFmtId="0" xfId="0" applyAlignment="1" applyFont="1">
      <alignment readingOrder="0" shrinkToFit="0" vertical="bottom" wrapText="1"/>
    </xf>
    <xf borderId="0" fillId="3" fontId="77" numFmtId="0" xfId="0" applyAlignment="1" applyFont="1">
      <alignment shrinkToFit="0" vertical="center" wrapText="1"/>
    </xf>
    <xf borderId="1" fillId="3" fontId="78" numFmtId="0" xfId="0" applyAlignment="1" applyBorder="1" applyFont="1">
      <alignment readingOrder="0" shrinkToFit="0" vertical="center" wrapText="1"/>
    </xf>
    <xf borderId="1" fillId="3" fontId="79" numFmtId="0" xfId="0" applyAlignment="1" applyBorder="1" applyFont="1">
      <alignment shrinkToFit="0" vertical="center" wrapText="1"/>
    </xf>
    <xf borderId="1" fillId="3" fontId="17"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0" fillId="4" fontId="4" numFmtId="0" xfId="0" applyAlignment="1" applyFont="1">
      <alignment horizontal="center" shrinkToFit="0" vertical="center" wrapText="1"/>
    </xf>
    <xf borderId="0" fillId="4" fontId="10" numFmtId="0" xfId="0" applyAlignment="1" applyFont="1">
      <alignment horizontal="center" shrinkToFit="0" vertical="center" wrapText="1"/>
    </xf>
    <xf borderId="0" fillId="4" fontId="8" numFmtId="0" xfId="0" applyAlignment="1" applyFont="1">
      <alignment horizontal="center" shrinkToFit="0" vertical="center" wrapText="1"/>
    </xf>
    <xf borderId="0" fillId="3" fontId="4" numFmtId="0" xfId="0" applyAlignment="1" applyFont="1">
      <alignment horizontal="center" shrinkToFit="0" vertical="center" wrapText="1"/>
    </xf>
    <xf borderId="0" fillId="3" fontId="10" numFmtId="0" xfId="0" applyAlignment="1" applyFont="1">
      <alignment horizontal="center" shrinkToFit="0" vertical="center" wrapText="1"/>
    </xf>
    <xf borderId="0" fillId="3" fontId="8" numFmtId="0" xfId="0" applyAlignment="1" applyFont="1">
      <alignment horizontal="center" shrinkToFit="0" vertical="center" wrapText="1"/>
    </xf>
    <xf borderId="1" fillId="8" fontId="10" numFmtId="0" xfId="0" applyAlignment="1" applyBorder="1" applyFill="1" applyFont="1">
      <alignment horizontal="center" shrinkToFit="0" vertical="center" wrapText="1"/>
    </xf>
    <xf borderId="1" fillId="9" fontId="10" numFmtId="0" xfId="0" applyAlignment="1" applyBorder="1" applyFill="1" applyFont="1">
      <alignment horizontal="center" shrinkToFit="0" vertical="center" wrapText="1"/>
    </xf>
    <xf borderId="1" fillId="10" fontId="10" numFmtId="0" xfId="0" applyAlignment="1" applyBorder="1" applyFill="1" applyFont="1">
      <alignment horizontal="center" shrinkToFit="0" vertical="center" wrapText="1"/>
    </xf>
    <xf borderId="5" fillId="0" fontId="8" numFmtId="0" xfId="0" applyAlignment="1" applyBorder="1" applyFont="1">
      <alignment horizontal="center" shrinkToFit="0" vertical="center" wrapText="1"/>
    </xf>
    <xf borderId="6" fillId="0" fontId="80" numFmtId="0" xfId="0" applyBorder="1" applyFont="1"/>
    <xf borderId="7" fillId="0" fontId="80" numFmtId="0" xfId="0" applyBorder="1" applyFont="1"/>
    <xf borderId="0" fillId="0" fontId="8" numFmtId="0" xfId="0" applyAlignment="1" applyFont="1">
      <alignment horizontal="center" shrinkToFit="0" vertical="center" wrapText="1"/>
    </xf>
    <xf borderId="1" fillId="8" fontId="10" numFmtId="0" xfId="0" applyAlignment="1" applyBorder="1" applyFont="1">
      <alignment horizontal="center" readingOrder="0" shrinkToFit="0" vertical="center" wrapText="1"/>
    </xf>
    <xf borderId="5" fillId="0" fontId="8" numFmtId="0" xfId="0" applyAlignment="1" applyBorder="1" applyFont="1">
      <alignment horizontal="center" readingOrder="0" shrinkToFit="0" vertical="center" wrapText="1"/>
    </xf>
    <xf borderId="1" fillId="0" fontId="3" numFmtId="0" xfId="0" applyAlignment="1" applyBorder="1" applyFont="1">
      <alignment horizontal="center" vertical="center"/>
    </xf>
    <xf borderId="0" fillId="2" fontId="1" numFmtId="0" xfId="0" applyAlignment="1" applyFont="1">
      <alignment horizontal="center" shrinkToFit="0" vertical="center" wrapText="1"/>
    </xf>
    <xf borderId="1" fillId="3" fontId="81" numFmtId="0" xfId="0" applyAlignment="1" applyBorder="1" applyFont="1">
      <alignment horizontal="left" readingOrder="0" shrinkToFit="0" vertical="center" wrapText="1"/>
    </xf>
    <xf borderId="1" fillId="4" fontId="82" numFmtId="0" xfId="0" applyAlignment="1" applyBorder="1" applyFont="1">
      <alignment horizontal="left" shrinkToFit="0" vertical="center" wrapText="1"/>
    </xf>
    <xf borderId="1" fillId="4" fontId="83" numFmtId="0" xfId="0" applyAlignment="1" applyBorder="1" applyFont="1">
      <alignment horizontal="left" readingOrder="0" shrinkToFit="0" vertical="center" wrapText="1"/>
    </xf>
    <xf borderId="1" fillId="3" fontId="84" numFmtId="0" xfId="0" applyAlignment="1" applyBorder="1" applyFont="1">
      <alignment readingOrder="0" shrinkToFit="0" vertical="center" wrapText="1"/>
    </xf>
    <xf borderId="1" fillId="4" fontId="8" numFmtId="0" xfId="0" applyAlignment="1" applyBorder="1" applyFont="1">
      <alignment horizontal="left" shrinkToFit="0" vertical="center" wrapText="1"/>
    </xf>
    <xf borderId="1" fillId="3" fontId="85" numFmtId="0" xfId="0" applyAlignment="1" applyBorder="1" applyFont="1">
      <alignment horizontal="center" readingOrder="0" vertical="center"/>
    </xf>
    <xf borderId="1" fillId="3" fontId="86" numFmtId="0" xfId="0" applyAlignment="1" applyBorder="1" applyFont="1">
      <alignment horizontal="left" shrinkToFit="0" vertical="center" wrapText="1"/>
    </xf>
    <xf borderId="0" fillId="3" fontId="85" numFmtId="0" xfId="0" applyAlignment="1" applyFont="1">
      <alignment readingOrder="0" shrinkToFit="0" vertical="center" wrapText="1"/>
    </xf>
    <xf borderId="0" fillId="3" fontId="85" numFmtId="0" xfId="0" applyAlignment="1" applyFont="1">
      <alignment readingOrder="0" vertical="center"/>
    </xf>
    <xf borderId="0" fillId="3" fontId="85" numFmtId="0" xfId="0" applyAlignment="1" applyFont="1">
      <alignment readingOrder="0" vertical="center"/>
    </xf>
    <xf borderId="0" fillId="3" fontId="69" numFmtId="0" xfId="0" applyAlignment="1" applyFont="1">
      <alignment readingOrder="0" vertical="center"/>
    </xf>
    <xf borderId="1" fillId="4" fontId="87" numFmtId="0" xfId="0" applyAlignment="1" applyBorder="1" applyFont="1">
      <alignment horizontal="left" readingOrder="0" shrinkToFit="0" vertical="center" wrapText="1"/>
    </xf>
    <xf borderId="1" fillId="3" fontId="88" numFmtId="0" xfId="0" applyAlignment="1" applyBorder="1" applyFont="1">
      <alignment readingOrder="0" shrinkToFit="0" vertical="center" wrapText="1"/>
    </xf>
    <xf borderId="1" fillId="0" fontId="3" numFmtId="0" xfId="0" applyBorder="1" applyFont="1"/>
    <xf borderId="1" fillId="4" fontId="10" numFmtId="0" xfId="0" applyAlignment="1" applyBorder="1" applyFont="1">
      <alignment horizontal="center" readingOrder="0" shrinkToFit="0" vertical="center" wrapText="1"/>
    </xf>
    <xf borderId="1" fillId="4" fontId="89" numFmtId="0" xfId="0" applyAlignment="1" applyBorder="1" applyFont="1">
      <alignment readingOrder="0" shrinkToFit="0" vertical="center" wrapText="1"/>
    </xf>
    <xf borderId="1" fillId="11" fontId="8" numFmtId="0" xfId="0" applyAlignment="1" applyBorder="1" applyFill="1" applyFont="1">
      <alignment horizontal="left" shrinkToFit="0" vertical="center" wrapText="1"/>
    </xf>
    <xf borderId="1" fillId="0" fontId="8" numFmtId="0" xfId="0" applyAlignment="1" applyBorder="1" applyFont="1">
      <alignment shrinkToFit="0" vertical="center" wrapText="1"/>
    </xf>
    <xf borderId="1" fillId="0" fontId="8" numFmtId="0" xfId="0" applyAlignment="1" applyBorder="1" applyFont="1">
      <alignment horizontal="left" readingOrder="0" shrinkToFit="0" vertical="center" wrapText="1"/>
    </xf>
    <xf borderId="0" fillId="0" fontId="8" numFmtId="0" xfId="0" applyAlignment="1" applyFont="1">
      <alignment horizontal="center" shrinkToFit="0" vertical="center" wrapText="1"/>
    </xf>
    <xf borderId="1" fillId="4" fontId="90" numFmtId="0" xfId="0" applyAlignment="1" applyBorder="1" applyFont="1">
      <alignment readingOrder="0" shrinkToFit="0" vertical="center" wrapText="1"/>
    </xf>
    <xf borderId="1" fillId="3" fontId="91" numFmtId="0" xfId="0" applyAlignment="1" applyBorder="1" applyFont="1">
      <alignment shrinkToFit="0" wrapText="1"/>
    </xf>
    <xf borderId="1" fillId="3" fontId="8" numFmtId="0" xfId="0" applyAlignment="1" applyBorder="1" applyFont="1">
      <alignment horizontal="center" shrinkToFit="0" wrapText="1"/>
    </xf>
    <xf borderId="1" fillId="3" fontId="8" numFmtId="0" xfId="0" applyBorder="1" applyFont="1"/>
    <xf borderId="1" fillId="3" fontId="8" numFmtId="0" xfId="0" applyAlignment="1" applyBorder="1" applyFont="1">
      <alignment readingOrder="0" shrinkToFit="0" wrapText="1"/>
    </xf>
    <xf borderId="1" fillId="0" fontId="8" numFmtId="0" xfId="0" applyBorder="1" applyFont="1"/>
    <xf borderId="1" fillId="3" fontId="8" numFmtId="164" xfId="0" applyAlignment="1" applyBorder="1" applyFont="1" applyNumberFormat="1">
      <alignment horizontal="center" readingOrder="0" shrinkToFit="0" wrapText="1"/>
    </xf>
    <xf borderId="1" fillId="0" fontId="10" numFmtId="0" xfId="0" applyAlignment="1" applyBorder="1" applyFont="1">
      <alignment horizontal="center" shrinkToFit="0" wrapText="1"/>
    </xf>
    <xf borderId="0" fillId="3" fontId="8" numFmtId="0" xfId="0" applyFont="1"/>
    <xf borderId="1" fillId="3" fontId="8" numFmtId="0" xfId="0" applyAlignment="1" applyBorder="1" applyFont="1">
      <alignment horizontal="center" readingOrder="0" shrinkToFit="0" wrapText="1"/>
    </xf>
    <xf borderId="1" fillId="3" fontId="8" numFmtId="0" xfId="0" applyBorder="1" applyFont="1"/>
    <xf borderId="0" fillId="0" fontId="8" numFmtId="0" xfId="0" applyFont="1"/>
    <xf borderId="0" fillId="0" fontId="92" numFmtId="0" xfId="0" applyAlignment="1" applyFont="1">
      <alignment readingOrder="0"/>
    </xf>
    <xf borderId="0" fillId="3" fontId="93" numFmtId="0" xfId="0" applyAlignment="1" applyFont="1">
      <alignment horizontal="left" readingOrder="0" shrinkToFit="0" vertical="center" wrapText="1"/>
    </xf>
    <xf borderId="1" fillId="0" fontId="10" numFmtId="0" xfId="0" applyAlignment="1" applyBorder="1" applyFont="1">
      <alignment horizontal="center" readingOrder="0" shrinkToFit="0" wrapText="1"/>
    </xf>
    <xf borderId="1" fillId="4" fontId="94" numFmtId="0" xfId="0" applyAlignment="1" applyBorder="1" applyFont="1">
      <alignment readingOrder="0" shrinkToFit="0" vertical="center" wrapText="1"/>
    </xf>
    <xf borderId="1" fillId="4" fontId="4" numFmtId="0" xfId="0" applyAlignment="1" applyBorder="1" applyFont="1">
      <alignment horizontal="left" readingOrder="0" shrinkToFit="0" vertical="center" wrapText="1"/>
    </xf>
    <xf borderId="1" fillId="0" fontId="10" numFmtId="0" xfId="0" applyAlignment="1" applyBorder="1" applyFont="1">
      <alignment horizontal="center" shrinkToFit="0" wrapText="1"/>
    </xf>
    <xf borderId="1" fillId="0" fontId="17"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2" fillId="0" fontId="17" numFmtId="0" xfId="0" applyAlignment="1" applyBorder="1" applyFont="1">
      <alignment horizontal="center" shrinkToFit="0" vertical="center" wrapText="1"/>
    </xf>
    <xf borderId="1" fillId="3" fontId="4" numFmtId="0" xfId="0" applyAlignment="1" applyBorder="1" applyFont="1">
      <alignment horizontal="left" readingOrder="0" shrinkToFit="0" vertical="center" wrapText="1"/>
    </xf>
    <xf borderId="2" fillId="0" fontId="8"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2" fillId="0" fontId="17" numFmtId="0" xfId="0" applyAlignment="1" applyBorder="1" applyFont="1">
      <alignment horizontal="center" readingOrder="0" shrinkToFit="0" vertical="center" wrapText="1"/>
    </xf>
    <xf borderId="1" fillId="3" fontId="84"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3" fontId="8" numFmtId="0" xfId="0" applyAlignment="1" applyBorder="1" applyFont="1">
      <alignment readingOrder="0" shrinkToFit="0" vertical="center" wrapText="1"/>
    </xf>
    <xf borderId="0" fillId="3" fontId="95" numFmtId="0" xfId="0" applyAlignment="1" applyFont="1">
      <alignment readingOrder="0" shrinkToFit="0" vertical="center" wrapText="1"/>
    </xf>
    <xf borderId="0" fillId="3" fontId="96" numFmtId="0" xfId="0" applyAlignment="1" applyFont="1">
      <alignment shrinkToFit="0" vertical="center" wrapText="1"/>
    </xf>
    <xf borderId="0" fillId="4" fontId="8" numFmtId="0" xfId="0" applyAlignment="1" applyFont="1">
      <alignment vertical="center"/>
    </xf>
    <xf borderId="0" fillId="0" fontId="8" numFmtId="0" xfId="0" applyAlignment="1" applyFont="1">
      <alignment vertical="center"/>
    </xf>
    <xf borderId="1" fillId="3" fontId="84" numFmtId="167" xfId="0" applyAlignment="1" applyBorder="1" applyFont="1" applyNumberFormat="1">
      <alignment readingOrder="0" shrinkToFit="0" vertical="center" wrapText="1"/>
    </xf>
    <xf borderId="1" fillId="3" fontId="96" numFmtId="0" xfId="0" applyAlignment="1" applyBorder="1" applyFont="1">
      <alignment shrinkToFit="0" vertical="center" wrapText="1"/>
    </xf>
    <xf borderId="1" fillId="3" fontId="84" numFmtId="164" xfId="0" applyAlignment="1" applyBorder="1" applyFont="1" applyNumberFormat="1">
      <alignment readingOrder="0" shrinkToFit="0" vertical="center" wrapText="1"/>
    </xf>
    <xf borderId="1" fillId="3" fontId="85" numFmtId="0" xfId="0" applyAlignment="1" applyBorder="1" applyFont="1">
      <alignment readingOrder="0" shrinkToFit="0" vertical="center" wrapText="1"/>
    </xf>
    <xf borderId="1" fillId="3" fontId="8" numFmtId="0" xfId="0" applyAlignment="1" applyBorder="1" applyFont="1">
      <alignment horizontal="center" readingOrder="0" shrinkToFit="0" vertical="center" wrapText="1"/>
    </xf>
    <xf borderId="1" fillId="3" fontId="85" numFmtId="0" xfId="0" applyAlignment="1" applyBorder="1" applyFont="1">
      <alignment readingOrder="0" shrinkToFit="0" vertical="center" wrapText="1"/>
    </xf>
    <xf borderId="0" fillId="4" fontId="8" numFmtId="0" xfId="0" applyAlignment="1" applyFont="1">
      <alignment horizontal="center" readingOrder="0" shrinkToFit="0" vertical="center" wrapText="1"/>
    </xf>
    <xf borderId="0" fillId="3" fontId="95" numFmtId="0" xfId="0" applyAlignment="1" applyFont="1">
      <alignment horizontal="left" readingOrder="0" shrinkToFit="0" vertical="center" wrapText="1"/>
    </xf>
    <xf borderId="1" fillId="3" fontId="97" numFmtId="0" xfId="0" applyAlignment="1" applyBorder="1" applyFont="1">
      <alignment horizontal="left" shrinkToFit="0" vertical="center" wrapText="1"/>
    </xf>
    <xf borderId="0" fillId="3" fontId="8" numFmtId="0" xfId="0" applyAlignment="1" applyFont="1">
      <alignment horizontal="center" shrinkToFit="0" vertical="center" wrapText="1"/>
    </xf>
    <xf borderId="1" fillId="3" fontId="8" numFmtId="0" xfId="0" applyAlignment="1" applyBorder="1" applyFont="1">
      <alignment vertical="center"/>
    </xf>
    <xf borderId="0" fillId="3" fontId="95" numFmtId="0" xfId="0" applyAlignment="1" applyFont="1">
      <alignment horizontal="left" readingOrder="0" shrinkToFit="0" vertical="center" wrapText="1"/>
    </xf>
    <xf borderId="1" fillId="3" fontId="8" numFmtId="0" xfId="0" applyAlignment="1" applyBorder="1" applyFont="1">
      <alignment shrinkToFit="0" vertical="center" wrapText="1"/>
    </xf>
    <xf borderId="1" fillId="0" fontId="8" numFmtId="0" xfId="0" applyAlignment="1" applyBorder="1" applyFont="1">
      <alignment horizontal="center" shrinkToFit="0" vertical="center" wrapText="1"/>
    </xf>
    <xf borderId="1" fillId="0" fontId="3" numFmtId="0" xfId="0" applyAlignment="1" applyBorder="1" applyFont="1">
      <alignment readingOrder="0" shrinkToFit="0" vertical="center" wrapText="1"/>
    </xf>
    <xf borderId="1" fillId="3" fontId="95" numFmtId="0" xfId="0" applyAlignment="1" applyBorder="1" applyFont="1">
      <alignment horizontal="left" readingOrder="0" shrinkToFit="0" vertical="center" wrapText="1"/>
    </xf>
    <xf borderId="0" fillId="0" fontId="3" numFmtId="0" xfId="0" applyAlignment="1" applyFont="1">
      <alignment readingOrder="0" vertical="center"/>
    </xf>
    <xf borderId="1" fillId="0" fontId="10"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4" fontId="8" numFmtId="168" xfId="0" applyAlignment="1" applyBorder="1" applyFont="1" applyNumberFormat="1">
      <alignment horizontal="center" readingOrder="0" shrinkToFit="0" vertical="center" wrapText="1"/>
    </xf>
    <xf borderId="1" fillId="3" fontId="98"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1" fillId="12" fontId="99" numFmtId="0" xfId="0" applyAlignment="1" applyBorder="1" applyFill="1" applyFont="1">
      <alignment horizontal="center" shrinkToFit="0" vertical="center" wrapText="1"/>
    </xf>
    <xf borderId="1" fillId="12" fontId="1"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8" numFmtId="170" xfId="0" applyAlignment="1" applyBorder="1" applyFont="1" applyNumberFormat="1">
      <alignment horizontal="center" shrinkToFit="0" vertical="center" wrapText="1"/>
    </xf>
    <xf borderId="1" fillId="0" fontId="3" numFmtId="170" xfId="0" applyAlignment="1" applyBorder="1" applyFont="1" applyNumberFormat="1">
      <alignment horizontal="center" readingOrder="0" shrinkToFit="0" vertical="center" wrapText="1"/>
    </xf>
    <xf borderId="1" fillId="0" fontId="3" numFmtId="0" xfId="0" applyAlignment="1" applyBorder="1" applyFont="1">
      <alignment shrinkToFit="0" wrapText="1"/>
    </xf>
    <xf borderId="1" fillId="0" fontId="3" numFmtId="0" xfId="0" applyAlignment="1" applyBorder="1" applyFont="1">
      <alignment horizontal="center" readingOrder="0" shrinkToFit="0" wrapText="1"/>
    </xf>
    <xf borderId="1" fillId="0" fontId="8" numFmtId="0" xfId="0" applyAlignment="1" applyBorder="1" applyFont="1">
      <alignment horizontal="center" readingOrder="0" shrinkToFit="0" vertical="bottom" wrapText="1"/>
    </xf>
    <xf borderId="1" fillId="0" fontId="3" numFmtId="0" xfId="0" applyAlignment="1" applyBorder="1" applyFont="1">
      <alignment horizontal="center" shrinkToFit="0" wrapText="1"/>
    </xf>
    <xf borderId="1" fillId="0" fontId="100" numFmtId="0" xfId="0" applyAlignment="1" applyBorder="1" applyFont="1">
      <alignment horizontal="center" readingOrder="0" vertical="center"/>
    </xf>
    <xf borderId="1" fillId="0" fontId="8" numFmtId="0" xfId="0" applyAlignment="1" applyBorder="1" applyFont="1">
      <alignment horizontal="center" readingOrder="0" shrinkToFit="0" wrapText="1"/>
    </xf>
    <xf borderId="1" fillId="0" fontId="8" numFmtId="0" xfId="0" applyAlignment="1" applyBorder="1" applyFont="1">
      <alignment horizontal="center"/>
    </xf>
    <xf borderId="1" fillId="0" fontId="8" numFmtId="0" xfId="0" applyAlignment="1" applyBorder="1" applyFont="1">
      <alignment vertical="bottom"/>
    </xf>
    <xf borderId="1" fillId="0" fontId="8" numFmtId="0" xfId="0" applyAlignment="1" applyBorder="1" applyFont="1">
      <alignment horizontal="center" vertical="center"/>
    </xf>
    <xf borderId="1" fillId="0" fontId="8" numFmtId="0" xfId="0" applyAlignment="1" applyBorder="1" applyFont="1">
      <alignment vertical="center"/>
    </xf>
    <xf borderId="1" fillId="0" fontId="8" numFmtId="170" xfId="0" applyAlignment="1" applyBorder="1" applyFont="1" applyNumberFormat="1">
      <alignment horizontal="center" readingOrder="0" shrinkToFit="0" vertical="center" wrapText="1"/>
    </xf>
    <xf borderId="1" fillId="0" fontId="8" numFmtId="170" xfId="0" applyAlignment="1" applyBorder="1" applyFont="1" applyNumberFormat="1">
      <alignment horizontal="center" readingOrder="0" shrinkToFit="0" vertical="center" wrapText="1"/>
    </xf>
    <xf borderId="1" fillId="0" fontId="8" numFmtId="0" xfId="0" applyAlignment="1" applyBorder="1" applyFont="1">
      <alignment horizontal="center" readingOrder="0" vertical="center"/>
    </xf>
    <xf borderId="1" fillId="0" fontId="101" numFmtId="0" xfId="0" applyAlignment="1" applyBorder="1" applyFont="1">
      <alignment horizontal="center" readingOrder="0" shrinkToFit="0" wrapText="1"/>
    </xf>
    <xf borderId="0" fillId="0" fontId="3" numFmtId="0" xfId="0" applyAlignment="1" applyFont="1">
      <alignment horizontal="center" shrinkToFit="0" wrapText="1"/>
    </xf>
    <xf borderId="1" fillId="0" fontId="8" numFmtId="0" xfId="0" applyAlignment="1" applyBorder="1" applyFont="1">
      <alignment horizontal="center" shrinkToFit="0" vertical="center" wrapText="1"/>
    </xf>
    <xf borderId="1" fillId="3" fontId="102" numFmtId="0" xfId="0" applyAlignment="1" applyBorder="1" applyFont="1">
      <alignment horizontal="center" readingOrder="0" shrinkToFit="0" wrapText="1"/>
    </xf>
    <xf borderId="1" fillId="3" fontId="23" numFmtId="0" xfId="0" applyAlignment="1" applyBorder="1" applyFont="1">
      <alignment horizontal="center" readingOrder="0" shrinkToFit="0" wrapText="1"/>
    </xf>
    <xf borderId="1" fillId="13" fontId="103" numFmtId="0" xfId="0" applyAlignment="1" applyBorder="1" applyFill="1" applyFont="1">
      <alignment horizontal="center" readingOrder="0"/>
    </xf>
    <xf borderId="1" fillId="3" fontId="104" numFmtId="0" xfId="0" applyAlignment="1" applyBorder="1" applyFont="1">
      <alignment horizontal="center" readingOrder="0" vertical="bottom"/>
    </xf>
    <xf borderId="1" fillId="3" fontId="105" numFmtId="0" xfId="0" applyAlignment="1" applyBorder="1" applyFont="1">
      <alignment horizontal="left" readingOrder="0" vertical="bottom"/>
    </xf>
    <xf borderId="1" fillId="0" fontId="106" numFmtId="0" xfId="0" applyAlignment="1" applyBorder="1" applyFont="1">
      <alignment horizontal="left" readingOrder="0" vertical="bottom"/>
    </xf>
    <xf borderId="1" fillId="0" fontId="3" numFmtId="0" xfId="0" applyAlignment="1" applyBorder="1" applyFont="1">
      <alignment horizontal="center" readingOrder="0"/>
    </xf>
    <xf borderId="1" fillId="0" fontId="107" numFmtId="0" xfId="0" applyAlignment="1" applyBorder="1" applyFont="1">
      <alignment readingOrder="0"/>
    </xf>
    <xf borderId="1" fillId="0" fontId="3" numFmtId="0" xfId="0" applyAlignment="1" applyBorder="1" applyFont="1">
      <alignment readingOrder="0"/>
    </xf>
    <xf borderId="1" fillId="3" fontId="108" numFmtId="0" xfId="0" applyAlignment="1" applyBorder="1" applyFont="1">
      <alignment readingOrder="0" vertical="bottom"/>
    </xf>
    <xf borderId="1" fillId="0" fontId="3" numFmtId="0" xfId="0" applyAlignment="1" applyBorder="1" applyFont="1">
      <alignment horizontal="left" readingOrder="0"/>
    </xf>
    <xf borderId="1" fillId="0" fontId="109" numFmtId="0" xfId="0" applyAlignment="1" applyBorder="1" applyFont="1">
      <alignment horizontal="left" readingOrder="0"/>
    </xf>
    <xf borderId="1" fillId="0" fontId="110" numFmtId="0" xfId="0" applyAlignment="1" applyBorder="1" applyFont="1">
      <alignment readingOrder="0"/>
    </xf>
    <xf borderId="1" fillId="3" fontId="104" numFmtId="0" xfId="0" applyAlignment="1" applyBorder="1" applyFont="1">
      <alignment horizontal="left" readingOrder="0" vertical="bottom"/>
    </xf>
    <xf borderId="1" fillId="0" fontId="3" numFmtId="0" xfId="0" applyAlignment="1" applyBorder="1" applyFont="1">
      <alignment horizontal="center"/>
    </xf>
    <xf borderId="1" fillId="3" fontId="111" numFmtId="0" xfId="0" applyAlignment="1" applyBorder="1" applyFont="1">
      <alignment vertical="bottom"/>
    </xf>
    <xf borderId="0" fillId="3" fontId="105" numFmtId="0" xfId="0" applyAlignment="1" applyFont="1">
      <alignment horizontal="center" vertical="bottom"/>
    </xf>
    <xf borderId="0" fillId="3" fontId="105" numFmtId="0" xfId="0" applyAlignment="1" applyFont="1">
      <alignment vertical="bottom"/>
    </xf>
    <xf borderId="1" fillId="14" fontId="2" numFmtId="0" xfId="0" applyAlignment="1" applyBorder="1" applyFill="1" applyFont="1">
      <alignment readingOrder="0" vertical="bottom"/>
    </xf>
    <xf borderId="1" fillId="14" fontId="2" numFmtId="0" xfId="0" applyAlignment="1" applyBorder="1" applyFont="1">
      <alignment horizontal="center" vertical="bottom"/>
    </xf>
    <xf borderId="1" fillId="14" fontId="2" numFmtId="0" xfId="0" applyAlignment="1" applyBorder="1" applyFont="1">
      <alignment horizontal="center" readingOrder="0" vertical="bottom"/>
    </xf>
    <xf borderId="0" fillId="0" fontId="67" numFmtId="0" xfId="0" applyFont="1"/>
    <xf borderId="1" fillId="3" fontId="112" numFmtId="0" xfId="0" applyAlignment="1" applyBorder="1" applyFont="1">
      <alignment horizontal="center" vertical="bottom"/>
    </xf>
    <xf borderId="1" fillId="3" fontId="112" numFmtId="0" xfId="0" applyAlignment="1" applyBorder="1" applyFont="1">
      <alignment readingOrder="0" vertical="bottom"/>
    </xf>
    <xf borderId="1" fillId="0" fontId="113" numFmtId="0" xfId="0" applyAlignment="1" applyBorder="1" applyFont="1">
      <alignment readingOrder="0"/>
    </xf>
    <xf borderId="1" fillId="0" fontId="114" numFmtId="0" xfId="0" applyAlignment="1" applyBorder="1" applyFont="1">
      <alignment readingOrder="0" vertical="bottom"/>
    </xf>
    <xf borderId="1" fillId="0" fontId="67" numFmtId="0" xfId="0" applyAlignment="1" applyBorder="1" applyFont="1">
      <alignment horizontal="center" readingOrder="0" vertical="bottom"/>
    </xf>
    <xf borderId="1" fillId="0" fontId="67" numFmtId="0" xfId="0" applyAlignment="1" applyBorder="1" applyFont="1">
      <alignment horizontal="center" vertical="bottom"/>
    </xf>
    <xf borderId="1" fillId="0" fontId="67" numFmtId="0" xfId="0" applyAlignment="1" applyBorder="1" applyFont="1">
      <alignment readingOrder="0" vertical="bottom"/>
    </xf>
    <xf borderId="0" fillId="0" fontId="115" numFmtId="0" xfId="0" applyAlignment="1" applyFont="1">
      <alignment readingOrder="0"/>
    </xf>
    <xf borderId="1" fillId="0" fontId="116" numFmtId="0" xfId="0" applyAlignment="1" applyBorder="1" applyFont="1">
      <alignment readingOrder="0"/>
    </xf>
    <xf borderId="1" fillId="0" fontId="117" numFmtId="0" xfId="0" applyAlignment="1" applyBorder="1" applyFont="1">
      <alignment readingOrder="0"/>
    </xf>
    <xf borderId="1" fillId="3" fontId="112" numFmtId="0" xfId="0" applyAlignment="1" applyBorder="1" applyFont="1">
      <alignment vertical="bottom"/>
    </xf>
    <xf borderId="1" fillId="0" fontId="67" numFmtId="0" xfId="0" applyAlignment="1" applyBorder="1" applyFont="1">
      <alignment vertical="bottom"/>
    </xf>
    <xf borderId="1" fillId="2" fontId="1" numFmtId="0" xfId="0" applyAlignment="1" applyBorder="1" applyFont="1">
      <alignment horizontal="left" readingOrder="0" shrinkToFit="0" vertical="center" wrapText="1"/>
    </xf>
    <xf borderId="1" fillId="0" fontId="4" numFmtId="0" xfId="0" applyAlignment="1" applyBorder="1" applyFont="1">
      <alignment horizontal="center" shrinkToFit="0" vertical="center" wrapText="1"/>
    </xf>
    <xf borderId="1" fillId="0" fontId="118" numFmtId="0" xfId="0" applyAlignment="1" applyBorder="1" applyFont="1">
      <alignment readingOrder="0" shrinkToFit="0" vertical="center" wrapText="1"/>
    </xf>
    <xf borderId="0" fillId="0" fontId="119" numFmtId="0" xfId="0" applyAlignment="1" applyFont="1">
      <alignment readingOrder="0" shrinkToFit="0" vertical="center" wrapText="1"/>
    </xf>
    <xf borderId="0" fillId="0" fontId="120" numFmtId="0" xfId="0" applyAlignment="1" applyFont="1">
      <alignment readingOrder="0" shrinkToFit="0" vertical="center" wrapText="1"/>
    </xf>
    <xf borderId="1" fillId="0" fontId="121"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122" numFmtId="0" xfId="0" applyAlignment="1" applyBorder="1" applyFont="1">
      <alignment shrinkToFit="0" vertical="center" wrapText="1"/>
    </xf>
    <xf borderId="1" fillId="4" fontId="123" numFmtId="0" xfId="0" applyAlignment="1" applyBorder="1" applyFont="1">
      <alignment horizontal="left" shrinkToFit="0" vertical="center" wrapText="1"/>
    </xf>
    <xf borderId="1" fillId="0" fontId="3" numFmtId="0" xfId="0" applyAlignment="1" applyBorder="1" applyFont="1">
      <alignment readingOrder="0" shrinkToFit="0" vertical="center" wrapText="1"/>
    </xf>
    <xf borderId="1" fillId="3" fontId="124" numFmtId="0" xfId="0" applyAlignment="1" applyBorder="1" applyFont="1">
      <alignment horizontal="left" shrinkToFit="0" vertical="center" wrapText="1"/>
    </xf>
    <xf borderId="1" fillId="0" fontId="125" numFmtId="0" xfId="0" applyAlignment="1" applyBorder="1" applyFont="1">
      <alignment horizontal="left" readingOrder="0" shrinkToFit="0" vertical="center" wrapText="1"/>
    </xf>
    <xf borderId="1" fillId="0" fontId="8" numFmtId="0" xfId="0" applyAlignment="1" applyBorder="1" applyFont="1">
      <alignment shrinkToFit="0" vertical="center" wrapText="1"/>
    </xf>
    <xf borderId="1" fillId="0" fontId="8" numFmtId="0" xfId="0" applyAlignment="1" applyBorder="1" applyFont="1">
      <alignment shrinkToFit="0" vertical="bottom" wrapText="1"/>
    </xf>
    <xf borderId="1" fillId="0" fontId="126" numFmtId="0" xfId="0" applyAlignment="1" applyBorder="1" applyFont="1">
      <alignment shrinkToFit="0" vertical="bottom" wrapText="1"/>
    </xf>
    <xf borderId="0" fillId="0" fontId="127" numFmtId="0" xfId="0" applyAlignment="1" applyFont="1">
      <alignment shrinkToFit="0" vertical="bottom" wrapText="1"/>
    </xf>
    <xf borderId="0" fillId="0" fontId="128" numFmtId="0" xfId="0" applyAlignment="1" applyFont="1">
      <alignment horizontal="center" readingOrder="0" shrinkToFit="0" wrapText="1"/>
    </xf>
    <xf borderId="0" fillId="0" fontId="120" numFmtId="0" xfId="0" applyAlignment="1" applyFont="1">
      <alignment readingOrder="0" shrinkToFit="0" wrapText="1"/>
    </xf>
    <xf borderId="0" fillId="0" fontId="119" numFmtId="0" xfId="0" applyAlignment="1" applyFont="1">
      <alignment readingOrder="0" shrinkToFit="0" wrapText="1"/>
    </xf>
    <xf borderId="0" fillId="0" fontId="129" numFmtId="0" xfId="0" applyAlignment="1" applyFont="1">
      <alignment readingOrder="0" shrinkToFit="0" wrapText="1"/>
    </xf>
    <xf borderId="8" fillId="15" fontId="130" numFmtId="0" xfId="0" applyAlignment="1" applyBorder="1" applyFill="1" applyFont="1">
      <alignment horizontal="center" shrinkToFit="0" vertical="center" wrapText="1"/>
    </xf>
    <xf borderId="8" fillId="15" fontId="130" numFmtId="0" xfId="0" applyAlignment="1" applyBorder="1" applyFont="1">
      <alignment horizontal="center" shrinkToFit="0" vertical="center" wrapText="1"/>
    </xf>
    <xf borderId="8" fillId="0" fontId="131" numFmtId="0" xfId="0" applyAlignment="1" applyBorder="1" applyFont="1">
      <alignment horizontal="center" vertical="center"/>
    </xf>
    <xf borderId="8" fillId="0" fontId="132" numFmtId="0" xfId="0" applyAlignment="1" applyBorder="1" applyFont="1">
      <alignment shrinkToFit="0" vertical="center" wrapText="1"/>
    </xf>
    <xf borderId="1" fillId="0" fontId="133" numFmtId="0" xfId="0" applyAlignment="1" applyBorder="1" applyFont="1">
      <alignment shrinkToFit="0" vertical="center" wrapText="1"/>
    </xf>
    <xf borderId="8" fillId="0" fontId="132" numFmtId="0" xfId="0" applyAlignment="1" applyBorder="1" applyFont="1">
      <alignment horizontal="center" vertical="center"/>
    </xf>
    <xf borderId="8" fillId="0" fontId="132" numFmtId="0" xfId="0" applyAlignment="1" applyBorder="1" applyFont="1">
      <alignment horizontal="center" vertical="center"/>
    </xf>
    <xf borderId="8" fillId="0" fontId="132" numFmtId="0" xfId="0" applyAlignment="1" applyBorder="1" applyFont="1">
      <alignment shrinkToFit="0" vertical="center" wrapText="1"/>
    </xf>
    <xf borderId="1" fillId="0" fontId="134" numFmtId="0" xfId="0" applyAlignment="1" applyBorder="1" applyFont="1">
      <alignment shrinkToFit="0" vertical="center" wrapText="1"/>
    </xf>
    <xf borderId="1" fillId="0" fontId="135" numFmtId="0" xfId="0" applyAlignment="1" applyBorder="1" applyFont="1">
      <alignment shrinkToFit="0" vertical="center" wrapText="1"/>
    </xf>
    <xf borderId="1" fillId="0" fontId="136" numFmtId="0" xfId="0" applyAlignment="1" applyBorder="1" applyFont="1">
      <alignment vertical="center"/>
    </xf>
    <xf borderId="8" fillId="0" fontId="8" numFmtId="0" xfId="0" applyAlignment="1" applyBorder="1" applyFont="1">
      <alignment vertical="center"/>
    </xf>
    <xf borderId="8" fillId="0" fontId="137" numFmtId="0" xfId="0" applyAlignment="1" applyBorder="1" applyFont="1">
      <alignment horizontal="center" readingOrder="0" shrinkToFit="0" vertical="center" wrapText="1"/>
    </xf>
    <xf borderId="1" fillId="16" fontId="1" numFmtId="0" xfId="0" applyAlignment="1" applyBorder="1" applyFill="1" applyFont="1">
      <alignment horizontal="center" readingOrder="0" vertical="bottom"/>
    </xf>
    <xf borderId="1" fillId="16" fontId="103" numFmtId="0" xfId="0" applyAlignment="1" applyBorder="1" applyFont="1">
      <alignment horizontal="center" readingOrder="0"/>
    </xf>
    <xf borderId="1" fillId="3" fontId="138" numFmtId="0" xfId="0" applyAlignment="1" applyBorder="1" applyFont="1">
      <alignment readingOrder="0" shrinkToFit="0" vertical="bottom" wrapText="1"/>
    </xf>
    <xf borderId="1" fillId="3" fontId="11" numFmtId="0" xfId="0" applyAlignment="1" applyBorder="1" applyFont="1">
      <alignment horizontal="center" readingOrder="0"/>
    </xf>
    <xf borderId="1" fillId="0" fontId="3" numFmtId="171" xfId="0" applyAlignment="1" applyBorder="1" applyFont="1" applyNumberFormat="1">
      <alignment horizontal="center" readingOrder="0"/>
    </xf>
    <xf borderId="1" fillId="3" fontId="11" numFmtId="0" xfId="0" applyAlignment="1" applyBorder="1" applyFont="1">
      <alignment horizontal="center" readingOrder="0"/>
    </xf>
    <xf borderId="1" fillId="3" fontId="11" numFmtId="0" xfId="0" applyAlignment="1" applyBorder="1" applyFont="1">
      <alignment horizontal="center" vertical="bottom"/>
    </xf>
    <xf borderId="1" fillId="0" fontId="11" numFmtId="0" xfId="0" applyBorder="1" applyFont="1"/>
    <xf borderId="1" fillId="3" fontId="10" numFmtId="0" xfId="0" applyAlignment="1" applyBorder="1" applyFont="1">
      <alignment readingOrder="0" shrinkToFit="0" vertical="bottom" wrapText="1"/>
    </xf>
    <xf borderId="1" fillId="3" fontId="139" numFmtId="0" xfId="0" applyAlignment="1" applyBorder="1" applyFont="1">
      <alignment horizontal="center" readingOrder="0"/>
    </xf>
    <xf borderId="1" fillId="16" fontId="40" numFmtId="0" xfId="0" applyAlignment="1" applyBorder="1" applyFont="1">
      <alignment horizontal="center" readingOrder="0" shrinkToFit="0" vertical="center" wrapText="1"/>
    </xf>
    <xf borderId="1" fillId="16" fontId="40" numFmtId="0" xfId="0" applyAlignment="1" applyBorder="1" applyFont="1">
      <alignment readingOrder="0" shrinkToFit="0" vertical="center" wrapText="1"/>
    </xf>
    <xf borderId="1" fillId="16" fontId="40" numFmtId="0" xfId="0" applyAlignment="1" applyBorder="1" applyFont="1">
      <alignment horizontal="left" readingOrder="0" shrinkToFit="0" vertical="center" wrapText="1"/>
    </xf>
    <xf borderId="1" fillId="0" fontId="3" numFmtId="0" xfId="0" applyAlignment="1" applyBorder="1" applyFont="1">
      <alignment vertical="center"/>
    </xf>
    <xf borderId="9" fillId="0" fontId="7" numFmtId="0" xfId="0" applyAlignment="1" applyBorder="1" applyFont="1">
      <alignment horizontal="center" readingOrder="0" shrinkToFit="0" vertical="center" wrapText="1"/>
    </xf>
    <xf borderId="10" fillId="0" fontId="80" numFmtId="0" xfId="0" applyBorder="1" applyFont="1"/>
    <xf borderId="2" fillId="0" fontId="80" numFmtId="0" xfId="0" applyBorder="1" applyFont="1"/>
    <xf borderId="1" fillId="0" fontId="3" numFmtId="0" xfId="0" applyAlignment="1" applyBorder="1" applyFont="1">
      <alignment readingOrder="0" vertical="center"/>
    </xf>
    <xf borderId="1" fillId="0" fontId="7" numFmtId="0" xfId="0" applyAlignment="1" applyBorder="1" applyFont="1">
      <alignment horizontal="center" readingOrder="0" vertical="center"/>
    </xf>
    <xf borderId="1" fillId="0" fontId="140" numFmtId="0" xfId="0" applyAlignment="1" applyBorder="1" applyFont="1">
      <alignment readingOrder="0" vertical="center"/>
    </xf>
    <xf borderId="1" fillId="0" fontId="7" numFmtId="0" xfId="0" applyAlignment="1" applyBorder="1" applyFont="1">
      <alignment vertical="center"/>
    </xf>
    <xf borderId="1" fillId="0" fontId="7" numFmtId="0" xfId="0" applyAlignment="1" applyBorder="1" applyFont="1">
      <alignment horizontal="left" readingOrder="0" vertical="center"/>
    </xf>
    <xf borderId="11" fillId="0" fontId="7" numFmtId="0" xfId="0" applyBorder="1" applyFont="1"/>
    <xf borderId="12" fillId="0" fontId="80" numFmtId="0" xfId="0" applyBorder="1" applyFont="1"/>
    <xf borderId="13" fillId="0" fontId="80" numFmtId="0" xfId="0" applyBorder="1" applyFont="1"/>
    <xf borderId="1" fillId="0" fontId="7" numFmtId="0" xfId="0" applyAlignment="1" applyBorder="1" applyFont="1">
      <alignment readingOrder="0"/>
    </xf>
    <xf borderId="1" fillId="0" fontId="7" numFmtId="0" xfId="0" applyAlignment="1" applyBorder="1" applyFont="1">
      <alignment horizontal="center" vertical="center"/>
    </xf>
    <xf borderId="0" fillId="0" fontId="3" numFmtId="0" xfId="0" applyAlignment="1" applyFont="1">
      <alignment horizontal="left" vertical="center"/>
    </xf>
    <xf borderId="0" fillId="0" fontId="3"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B7E1CD"/>
          <bgColor rgb="FFB7E1CD"/>
        </patternFill>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DBDBD"/>
          <bgColor rgb="FFBDBDBD"/>
        </patternFill>
      </fill>
      <border/>
    </dxf>
  </dxfs>
  <tableStyles count="42">
    <tableStyle count="2" pivot="0" name="Completed Tracker-style">
      <tableStyleElement dxfId="2" type="firstRowStripe"/>
      <tableStyleElement dxfId="3" type="secondRowStripe"/>
    </tableStyle>
    <tableStyle count="3" pivot="0" name="Dev Tracker Sub-style">
      <tableStyleElement dxfId="4" type="headerRow"/>
      <tableStyleElement dxfId="3" type="firstRowStripe"/>
      <tableStyleElement dxfId="2" type="secondRowStripe"/>
    </tableStyle>
    <tableStyle count="2" pivot="0" name="Dev Tracker Sub-style 2">
      <tableStyleElement dxfId="2" type="firstRowStripe"/>
      <tableStyleElement dxfId="3" type="secondRowStripe"/>
    </tableStyle>
    <tableStyle count="2" pivot="0" name="Dev Tracker Sub-style 3">
      <tableStyleElement dxfId="2" type="firstRowStripe"/>
      <tableStyleElement dxfId="3" type="secondRowStripe"/>
    </tableStyle>
    <tableStyle count="2" pivot="0" name="Dev Tracker Sub-style 4">
      <tableStyleElement dxfId="2" type="firstRowStripe"/>
      <tableStyleElement dxfId="3" type="secondRowStripe"/>
    </tableStyle>
    <tableStyle count="2" pivot="0" name="Dev Tracker Sub-style 5">
      <tableStyleElement dxfId="2" type="firstRowStripe"/>
      <tableStyleElement dxfId="3" type="secondRowStripe"/>
    </tableStyle>
    <tableStyle count="2" pivot="0" name="Dev Tracker Sub-style 6">
      <tableStyleElement dxfId="2" type="firstRowStripe"/>
      <tableStyleElement dxfId="3" type="secondRowStripe"/>
    </tableStyle>
    <tableStyle count="2" pivot="0" name="Dev Tracker Sub-style 7">
      <tableStyleElement dxfId="2" type="firstRowStripe"/>
      <tableStyleElement dxfId="3" type="secondRowStripe"/>
    </tableStyle>
    <tableStyle count="2" pivot="0" name="Dev Tracker Sub-style 8">
      <tableStyleElement dxfId="2" type="firstRowStripe"/>
      <tableStyleElement dxfId="3" type="secondRowStripe"/>
    </tableStyle>
    <tableStyle count="2" pivot="0" name="Dev Tracker Sub-style 9">
      <tableStyleElement dxfId="2" type="firstRowStripe"/>
      <tableStyleElement dxfId="3" type="secondRowStripe"/>
    </tableStyle>
    <tableStyle count="2" pivot="0" name="Dev Tracker Sub-style 10">
      <tableStyleElement dxfId="2" type="firstRowStripe"/>
      <tableStyleElement dxfId="3" type="secondRowStripe"/>
    </tableStyle>
    <tableStyle count="2" pivot="0" name="Dev Tracker Sub-style 11">
      <tableStyleElement dxfId="2" type="firstRowStripe"/>
      <tableStyleElement dxfId="3" type="secondRowStripe"/>
    </tableStyle>
    <tableStyle count="2" pivot="0" name="Dev Tracker Sub-style 12">
      <tableStyleElement dxfId="2" type="firstRowStripe"/>
      <tableStyleElement dxfId="3" type="secondRowStripe"/>
    </tableStyle>
    <tableStyle count="2" pivot="0" name="Dev Tracker Sub-style 13">
      <tableStyleElement dxfId="3" type="firstRowStripe"/>
      <tableStyleElement dxfId="2" type="secondRowStripe"/>
    </tableStyle>
    <tableStyle count="2" pivot="0" name="Dev Tracker Sub-style 14">
      <tableStyleElement dxfId="3" type="firstRowStripe"/>
      <tableStyleElement dxfId="2" type="secondRowStripe"/>
    </tableStyle>
    <tableStyle count="2" pivot="0" name="Dev Tracker Sub-style 15">
      <tableStyleElement dxfId="2" type="firstRowStripe"/>
      <tableStyleElement dxfId="3" type="secondRowStripe"/>
    </tableStyle>
    <tableStyle count="2" pivot="0" name="Dev Tracker Sub-style 16">
      <tableStyleElement dxfId="3" type="firstRowStripe"/>
      <tableStyleElement dxfId="2" type="secondRowStripe"/>
    </tableStyle>
    <tableStyle count="2" pivot="0" name="Dev Tracker Sub-style 17">
      <tableStyleElement dxfId="3" type="firstRowStripe"/>
      <tableStyleElement dxfId="2" type="secondRowStripe"/>
    </tableStyle>
    <tableStyle count="2" pivot="0" name="Dev Tracker Sub-style 18">
      <tableStyleElement dxfId="2" type="firstRowStripe"/>
      <tableStyleElement dxfId="3" type="secondRowStripe"/>
    </tableStyle>
    <tableStyle count="2" pivot="0" name="Dev Tracker Sub-style 19">
      <tableStyleElement dxfId="2" type="firstRowStripe"/>
      <tableStyleElement dxfId="3" type="secondRowStripe"/>
    </tableStyle>
    <tableStyle count="2" pivot="0" name="Dev Tracker Sub-style 20">
      <tableStyleElement dxfId="2" type="firstRowStripe"/>
      <tableStyleElement dxfId="3" type="secondRowStripe"/>
    </tableStyle>
    <tableStyle count="2" pivot="0" name="Dev Tracker Sub-style 21">
      <tableStyleElement dxfId="2" type="firstRowStripe"/>
      <tableStyleElement dxfId="3" type="secondRowStripe"/>
    </tableStyle>
    <tableStyle count="2" pivot="0" name="Dev Tracker Sub-style 22">
      <tableStyleElement dxfId="2" type="firstRowStripe"/>
      <tableStyleElement dxfId="3" type="secondRowStripe"/>
    </tableStyle>
    <tableStyle count="2" pivot="0" name="Dev Tracker Sub-style 23">
      <tableStyleElement dxfId="2" type="firstRowStripe"/>
      <tableStyleElement dxfId="3" type="secondRowStripe"/>
    </tableStyle>
    <tableStyle count="3" pivot="0" name="Leave Tracker-style">
      <tableStyleElement dxfId="4" type="headerRow"/>
      <tableStyleElement dxfId="3" type="firstRowStripe"/>
      <tableStyleElement dxfId="2" type="secondRowStripe"/>
    </tableStyle>
    <tableStyle count="2" pivot="0" name="Leave Tracker-style 2">
      <tableStyleElement dxfId="2" type="firstRowStripe"/>
      <tableStyleElement dxfId="3" type="secondRowStripe"/>
    </tableStyle>
    <tableStyle count="2" pivot="0" name="Leave Tracker-style 3">
      <tableStyleElement dxfId="2" type="firstRowStripe"/>
      <tableStyleElement dxfId="3" type="secondRowStripe"/>
    </tableStyle>
    <tableStyle count="2" pivot="0" name="Leave Tracker-style 4">
      <tableStyleElement dxfId="3" type="firstRowStripe"/>
      <tableStyleElement dxfId="2" type="secondRowStripe"/>
    </tableStyle>
    <tableStyle count="2" pivot="0" name="Leave Tracker-style 5">
      <tableStyleElement dxfId="3" type="firstRowStripe"/>
      <tableStyleElement dxfId="2" type="secondRowStripe"/>
    </tableStyle>
    <tableStyle count="2" pivot="0" name="Leave Tracker-style 6">
      <tableStyleElement dxfId="3" type="firstRowStripe"/>
      <tableStyleElement dxfId="2" type="secondRowStripe"/>
    </tableStyle>
    <tableStyle count="2" pivot="0" name="Leave Tracker-style 7">
      <tableStyleElement dxfId="3" type="firstRowStripe"/>
      <tableStyleElement dxfId="2" type="secondRowStripe"/>
    </tableStyle>
    <tableStyle count="3" pivot="0" name="Internal Tracker Sub 2026-style">
      <tableStyleElement dxfId="4" type="headerRow"/>
      <tableStyleElement dxfId="3" type="firstRowStripe"/>
      <tableStyleElement dxfId="2" type="secondRowStripe"/>
    </tableStyle>
    <tableStyle count="2" pivot="0" name="Internal Tracker Sub 2026-style 2">
      <tableStyleElement dxfId="2" type="firstRowStripe"/>
      <tableStyleElement dxfId="3" type="secondRowStripe"/>
    </tableStyle>
    <tableStyle count="2" pivot="0" name="Internal Tracker Sub 2026-style 3">
      <tableStyleElement dxfId="2" type="firstRowStripe"/>
      <tableStyleElement dxfId="3" type="secondRowStripe"/>
    </tableStyle>
    <tableStyle count="2" pivot="0" name="Internal Tracker Sub 2026-style 4">
      <tableStyleElement dxfId="2" type="firstRowStripe"/>
      <tableStyleElement dxfId="3" type="secondRowStripe"/>
    </tableStyle>
    <tableStyle count="2" pivot="0" name="Internal Tracker Sub 2026-style 5">
      <tableStyleElement dxfId="2" type="firstRowStripe"/>
      <tableStyleElement dxfId="3" type="secondRowStripe"/>
    </tableStyle>
    <tableStyle count="2" pivot="0" name="Internal Tracker Sub 2026-style 6">
      <tableStyleElement dxfId="2" type="firstRowStripe"/>
      <tableStyleElement dxfId="3" type="secondRowStripe"/>
    </tableStyle>
    <tableStyle count="2" pivot="0" name="Internal Tracker Sub 2026-style 7">
      <tableStyleElement dxfId="2" type="firstRowStripe"/>
      <tableStyleElement dxfId="3" type="secondRowStripe"/>
    </tableStyle>
    <tableStyle count="2" pivot="0" name="Internal Tracker Sub 2026-style 8">
      <tableStyleElement dxfId="2" type="firstRowStripe"/>
      <tableStyleElement dxfId="3" type="secondRowStripe"/>
    </tableStyle>
    <tableStyle count="2" pivot="0" name="Internal Tracker Sub 2026-style 9">
      <tableStyleElement dxfId="2" type="firstRowStripe"/>
      <tableStyleElement dxfId="3" type="secondRowStripe"/>
    </tableStyle>
    <tableStyle count="2" pivot="0" name="Internal Tracker Sub 2026-style 10">
      <tableStyleElement dxfId="2" type="firstRowStripe"/>
      <tableStyleElement dxfId="3" type="secondRowStripe"/>
    </tableStyle>
    <tableStyle count="2" pivot="0" name="Internal Tracker Sub 2026-style 11">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8215c24b-a319-4ecf-98ae-e68346921e28}">
    <Anchor>
      <Comment id="{2fd963a2-bb18-4478-bbe9-b3e911f2ea70}"/>
    </Anchor>
    <History>
      <Event time="2026-04-29T03:53:44.00" id="{039b0a53-6126-4ea3-9920-7a3c032c9f69}">
        <Attribution userId="placeholder@email.com" userName="Sowndar M" userProvider="google-sheets"/>
        <Anchor>
          <Comment id="{2fd963a2-bb18-4478-bbe9-b3e911f2ea70}"/>
        </Anchor>
        <Create/>
      </Event>
      <Event time="2026-04-29T03:53:44.00" id="{1113013f-6377-4329-808c-532024901e7c}">
        <Attribution userId="placeholder@email.com" userName="Sowndar M" userProvider="google-sheets"/>
        <Anchor>
          <Comment id="{2fd963a2-bb18-4478-bbe9-b3e911f2ea70}"/>
        </Anchor>
        <Assign userId="parthiban@vajraglobal.com" userName="parthiban@vajraglobal.com" userProvider="google-sheets"/>
      </Event>
    </History>
  </Task>
  <Task id="{4bf91e68-1c4f-4563-8b8e-0335e8f5217e}">
    <Anchor>
      <Comment id="{a00147f7-258f-4f44-ac0d-fad20cef632c}"/>
    </Anchor>
    <History>
      <Event time="2026-04-14T04:33:39.00" id="{2b7d70c0-5552-4bb6-8c16-556aeb40faf5}">
        <Attribution userId="placeholder@email.com" userName="Sowndar M" userProvider="google-sheets"/>
        <Anchor>
          <Comment id="{a00147f7-258f-4f44-ac0d-fad20cef632c}"/>
        </Anchor>
        <Create/>
      </Event>
      <Event time="2026-04-14T04:33:39.00" id="{e2bf58fd-ab2b-4b5f-ac53-73819bf06a1b}">
        <Attribution userId="placeholder@email.com" userName="Sowndar M" userProvider="google-sheets"/>
        <Anchor>
          <Comment id="{a00147f7-258f-4f44-ac0d-fad20cef632c}"/>
        </Anchor>
        <Assign userId="parthiban@vajraglobal.com" userName="parthiban@vajraglobal.com" userProvider="google-sheets"/>
      </Event>
    </History>
  </Task>
</Tasks>
</file>

<file path=xl/documenttasks/documenttask2.xml><?xml version="1.0" encoding="utf-8"?>
<Tasks xmlns="http://schemas.microsoft.com/office/tasks/2019/documenttasks">
  <Task id="{3a33cf3c-b4c7-4c50-b60e-e0352785c54c}">
    <Anchor>
      <Comment id="{7dbbf445-a77e-4cf4-aa10-28a512f5b099}"/>
    </Anchor>
    <History>
      <Event time="2026-04-10T05:32:32.00" id="{6f02e636-97f1-4675-b713-f45ea8da4e42}">
        <Attribution userId="placeholder@email.com" userName="Sowndar M" userProvider="google-sheets"/>
        <Anchor>
          <Comment id="{7dbbf445-a77e-4cf4-aa10-28a512f5b099}"/>
        </Anchor>
        <Create/>
      </Event>
      <Event time="2026-04-10T05:32:32.00" id="{027bb0bf-3056-4374-b696-2ffe326a4ea0}">
        <Attribution userId="placeholder@email.com" userName="Sowndar M" userProvider="google-sheets"/>
        <Anchor>
          <Comment id="{7dbbf445-a77e-4cf4-aa10-28a512f5b099}"/>
        </Anchor>
        <Assign userId="moswin@vajraglobal.com" userName="moswin@vajragloba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owndar M" id="{8e8c671d-f56e-4c3d-8a42-c232007b3229}" providerId="google-sheets"/>
  <x18tc:person displayName="Parthiban S" id="{ba2094c9-5541-416e-8491-79f3e36af309}" providerId="google-sheets"/>
  <x18tc:person displayName="parthiban@vajraglobal.com" id="{e95f0287-7828-41d8-82fa-18074b607a48}" userId="parthiban@vajraglobal.com" providerId="google-sheets"/>
  <x18tc:person displayName="moswin@vajraglobal.com" id="{9d8a59a0-fe36-449a-bc67-02839616af14}" userId="moswin@vajraglobal.com" providerId="google-sheets"/>
</x18tc:personList>
</file>

<file path=xl/tables/table1.xml><?xml version="1.0" encoding="utf-8"?>
<table xmlns="http://schemas.openxmlformats.org/spreadsheetml/2006/main" headerRowCount="0" ref="A37:S37"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ompleted Tracker-style" showColumnStripes="0" showFirstColumn="1" showLastColumn="1" showRowStripes="1"/>
</table>
</file>

<file path=xl/tables/table2.xml><?xml version="1.0" encoding="utf-8"?>
<table xmlns="http://schemas.openxmlformats.org/spreadsheetml/2006/main" headerRowCount="0" ref="A1:X71" displayName="Table_2" name="Table_2" id="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72:X72" displayName="Table_3" name="Table_3" id="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2" showColumnStripes="0" showFirstColumn="1" showLastColumn="1" showRowStripes="1"/>
</table>
</file>

<file path=xl/tables/table4.xml><?xml version="1.0" encoding="utf-8"?>
<table xmlns="http://schemas.openxmlformats.org/spreadsheetml/2006/main" headerRowCount="0" ref="A73:X82" displayName="Table_4" name="Table_4" id="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3" showColumnStripes="0" showFirstColumn="1" showLastColumn="1" showRowStripes="1"/>
</table>
</file>

<file path=xl/tables/table5.xml><?xml version="1.0" encoding="utf-8"?>
<table xmlns="http://schemas.openxmlformats.org/spreadsheetml/2006/main" headerRowCount="0" ref="A83:X83" displayName="Table_5" name="Table_5" id="5">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4" showColumnStripes="0" showFirstColumn="1" showLastColumn="1" showRowStripes="1"/>
</table>
</file>

<file path=xl/tables/table6.xml><?xml version="1.0" encoding="utf-8"?>
<table xmlns="http://schemas.openxmlformats.org/spreadsheetml/2006/main" headerRowCount="0" ref="A84:X84" displayName="Table_6" name="Table_6" id="6">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5" showColumnStripes="0" showFirstColumn="1" showLastColumn="1" showRowStripes="1"/>
</table>
</file>

<file path=xl/tables/table7.xml><?xml version="1.0" encoding="utf-8"?>
<table xmlns="http://schemas.openxmlformats.org/spreadsheetml/2006/main" headerRowCount="0" ref="A85:X85" displayName="Table_7" name="Table_7" id="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6" showColumnStripes="0" showFirstColumn="1" showLastColumn="1" showRowStripes="1"/>
</table>
</file>

<file path=xl/tables/table8.xml><?xml version="1.0" encoding="utf-8"?>
<table xmlns="http://schemas.openxmlformats.org/spreadsheetml/2006/main" headerRowCount="0" ref="A86:X86" displayName="Table_8" name="Table_8" id="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7" showColumnStripes="0" showFirstColumn="1" showLastColumn="1" showRowStripes="1"/>
</table>
</file>

<file path=xl/tables/table9.xml><?xml version="1.0" encoding="utf-8"?>
<table xmlns="http://schemas.openxmlformats.org/spreadsheetml/2006/main" headerRowCount="0" ref="A87:X87" displayName="Table_9" name="Table_9" id="9">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8" showColumnStripes="0" showFirstColumn="1" showLastColumn="1" showRowStripes="1"/>
</table>
</file>

<file path=xl/tables/table10.xml><?xml version="1.0" encoding="utf-8"?>
<table xmlns="http://schemas.openxmlformats.org/spreadsheetml/2006/main" headerRowCount="0" ref="A88:X90" displayName="Table_10" name="Table_10" id="10">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9" showColumnStripes="0" showFirstColumn="1" showLastColumn="1" showRowStripes="1"/>
</table>
</file>

<file path=xl/tables/table11.xml><?xml version="1.0" encoding="utf-8"?>
<table xmlns="http://schemas.openxmlformats.org/spreadsheetml/2006/main" headerRowCount="0" ref="A91:X102" displayName="Table_11" name="Table_11" id="1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10" showColumnStripes="0" showFirstColumn="1" showLastColumn="1" showRowStripes="1"/>
</table>
</file>

<file path=xl/tables/table12.xml><?xml version="1.0" encoding="utf-8"?>
<table xmlns="http://schemas.openxmlformats.org/spreadsheetml/2006/main" headerRowCount="0" ref="A103:X137" displayName="Table_12" name="Table_12" id="1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11" showColumnStripes="0" showFirstColumn="1" showLastColumn="1" showRowStripes="1"/>
</table>
</file>

<file path=xl/tables/table13.xml><?xml version="1.0" encoding="utf-8"?>
<table xmlns="http://schemas.openxmlformats.org/spreadsheetml/2006/main" headerRowCount="0" ref="A138:X146" displayName="Table_13" name="Table_13" id="1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12" showColumnStripes="0" showFirstColumn="1" showLastColumn="1" showRowStripes="1"/>
</table>
</file>

<file path=xl/tables/table14.xml><?xml version="1.0" encoding="utf-8"?>
<table xmlns="http://schemas.openxmlformats.org/spreadsheetml/2006/main" headerRowCount="0" ref="A147:X196" displayName="Table_14" name="Table_14" id="1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13" showColumnStripes="0" showFirstColumn="1" showLastColumn="1" showRowStripes="1"/>
</table>
</file>

<file path=xl/tables/table15.xml><?xml version="1.0" encoding="utf-8"?>
<table xmlns="http://schemas.openxmlformats.org/spreadsheetml/2006/main" headerRowCount="0" ref="A240:M240" displayName="Table_15" name="Table_15" id="1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Dev Tracker Sub-style 14" showColumnStripes="0" showFirstColumn="1" showLastColumn="1" showRowStripes="1"/>
</table>
</file>

<file path=xl/tables/table16.xml><?xml version="1.0" encoding="utf-8"?>
<table xmlns="http://schemas.openxmlformats.org/spreadsheetml/2006/main" headerRowCount="0" ref="A276:X276" displayName="Table_16" name="Table_16" id="16">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15" showColumnStripes="0" showFirstColumn="1" showLastColumn="1" showRowStripes="1"/>
</table>
</file>

<file path=xl/tables/table17.xml><?xml version="1.0" encoding="utf-8"?>
<table xmlns="http://schemas.openxmlformats.org/spreadsheetml/2006/main" headerRowCount="0" ref="A277:M277" displayName="Table_17" name="Table_17" id="1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Dev Tracker Sub-style 16" showColumnStripes="0" showFirstColumn="1" showLastColumn="1" showRowStripes="1"/>
</table>
</file>

<file path=xl/tables/table18.xml><?xml version="1.0" encoding="utf-8"?>
<table xmlns="http://schemas.openxmlformats.org/spreadsheetml/2006/main" headerRowCount="0" ref="A392:X392" displayName="Table_18" name="Table_18" id="1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v Tracker Sub-style 17" showColumnStripes="0" showFirstColumn="1" showLastColumn="1" showRowStripes="1"/>
</table>
</file>

<file path=xl/tables/table19.xml><?xml version="1.0" encoding="utf-8"?>
<table xmlns="http://schemas.openxmlformats.org/spreadsheetml/2006/main" headerRowCount="0" ref="D477:J477" displayName="Table_19" name="Table_19" id="19">
  <tableColumns count="7">
    <tableColumn name="Column1" id="1"/>
    <tableColumn name="Column2" id="2"/>
    <tableColumn name="Column3" id="3"/>
    <tableColumn name="Column4" id="4"/>
    <tableColumn name="Column5" id="5"/>
    <tableColumn name="Column6" id="6"/>
    <tableColumn name="Column7" id="7"/>
  </tableColumns>
  <tableStyleInfo name="Dev Tracker Sub-style 18" showColumnStripes="0" showFirstColumn="1" showLastColumn="1" showRowStripes="1"/>
</table>
</file>

<file path=xl/tables/table20.xml><?xml version="1.0" encoding="utf-8"?>
<table xmlns="http://schemas.openxmlformats.org/spreadsheetml/2006/main" headerRowCount="0" ref="A478:J490" displayName="Table_20" name="Table_20" id="2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v Tracker Sub-style 19" showColumnStripes="0" showFirstColumn="1" showLastColumn="1" showRowStripes="1"/>
</table>
</file>

<file path=xl/tables/table21.xml><?xml version="1.0" encoding="utf-8"?>
<table xmlns="http://schemas.openxmlformats.org/spreadsheetml/2006/main" headerRowCount="0" ref="E492:J512" displayName="Table_21" name="Table_21" id="21">
  <tableColumns count="6">
    <tableColumn name="Column1" id="1"/>
    <tableColumn name="Column2" id="2"/>
    <tableColumn name="Column3" id="3"/>
    <tableColumn name="Column4" id="4"/>
    <tableColumn name="Column5" id="5"/>
    <tableColumn name="Column6" id="6"/>
  </tableColumns>
  <tableStyleInfo name="Dev Tracker Sub-style 20" showColumnStripes="0" showFirstColumn="1" showLastColumn="1" showRowStripes="1"/>
</table>
</file>

<file path=xl/tables/table22.xml><?xml version="1.0" encoding="utf-8"?>
<table xmlns="http://schemas.openxmlformats.org/spreadsheetml/2006/main" headerRowCount="0" ref="A493:C512" displayName="Table_22" name="Table_22" id="22">
  <tableColumns count="3">
    <tableColumn name="Column1" id="1"/>
    <tableColumn name="Column2" id="2"/>
    <tableColumn name="Column3" id="3"/>
  </tableColumns>
  <tableStyleInfo name="Dev Tracker Sub-style 21" showColumnStripes="0" showFirstColumn="1" showLastColumn="1" showRowStripes="1"/>
</table>
</file>

<file path=xl/tables/table23.xml><?xml version="1.0" encoding="utf-8"?>
<table xmlns="http://schemas.openxmlformats.org/spreadsheetml/2006/main" headerRowCount="0" ref="A524:C524" displayName="Table_23" name="Table_23" id="23">
  <tableColumns count="3">
    <tableColumn name="Column1" id="1"/>
    <tableColumn name="Column2" id="2"/>
    <tableColumn name="Column3" id="3"/>
  </tableColumns>
  <tableStyleInfo name="Dev Tracker Sub-style 22" showColumnStripes="0" showFirstColumn="1" showLastColumn="1" showRowStripes="1"/>
</table>
</file>

<file path=xl/tables/table24.xml><?xml version="1.0" encoding="utf-8"?>
<table xmlns="http://schemas.openxmlformats.org/spreadsheetml/2006/main" headerRowCount="0" ref="I532:J532" displayName="Table_24" name="Table_24" id="24">
  <tableColumns count="2">
    <tableColumn name="Column1" id="1"/>
    <tableColumn name="Column2" id="2"/>
  </tableColumns>
  <tableStyleInfo name="Dev Tracker Sub-style 23" showColumnStripes="0" showFirstColumn="1" showLastColumn="1" showRowStripes="1"/>
</table>
</file>

<file path=xl/tables/table25.xml><?xml version="1.0" encoding="utf-8"?>
<table xmlns="http://schemas.openxmlformats.org/spreadsheetml/2006/main" ref="A1:S3" displayName="Table_25" name="Table_25" id="25">
  <tableColumns count="19">
    <tableColumn name="Employee Name" id="1"/>
    <tableColumn name="Leave Type" id="2"/>
    <tableColumn name="From Date" id="3"/>
    <tableColumn name="To Date" id="4"/>
    <tableColumn name="Actual Leave" id="5"/>
    <tableColumn name="Which Actual Days" id="6"/>
    <tableColumn name="Which Total Days" id="7"/>
    <tableColumn name="Total Days" id="8"/>
    <tableColumn name="Half Day / Full Day" id="9"/>
    <tableColumn name="Status" id="10"/>
    <tableColumn name="Comp Off Date" id="11"/>
    <tableColumn name="Reason for Leave" id="12"/>
    <tableColumn name="Any Deliver On This Week" id="13"/>
    <tableColumn name="Emergency Leave" id="14"/>
    <tableColumn name="Applied Date" id="15"/>
    <tableColumn name="Leave Status" id="16"/>
    <tableColumn name="Approved By" id="17"/>
    <tableColumn name="Approval Date" id="18"/>
    <tableColumn name="Rejection Reason" id="19"/>
  </tableColumns>
  <tableStyleInfo name="Leave Tracker-style" showColumnStripes="0" showFirstColumn="1" showLastColumn="1" showRowStripes="1"/>
</table>
</file>

<file path=xl/tables/table26.xml><?xml version="1.0" encoding="utf-8"?>
<table xmlns="http://schemas.openxmlformats.org/spreadsheetml/2006/main" headerRowCount="0" ref="A4:B4" displayName="Table_26" name="Table_26" id="26">
  <tableColumns count="2">
    <tableColumn name="Column1" id="1"/>
    <tableColumn name="Column2" id="2"/>
  </tableColumns>
  <tableStyleInfo name="Leave Tracker-style 2" showColumnStripes="0" showFirstColumn="1" showLastColumn="1" showRowStripes="1"/>
</table>
</file>

<file path=xl/tables/table27.xml><?xml version="1.0" encoding="utf-8"?>
<table xmlns="http://schemas.openxmlformats.org/spreadsheetml/2006/main" headerRowCount="0" ref="P4:Q4" displayName="Table_27" name="Table_27" id="27">
  <tableColumns count="2">
    <tableColumn name="Column1" id="1"/>
    <tableColumn name="Column2" id="2"/>
  </tableColumns>
  <tableStyleInfo name="Leave Tracker-style 3" showColumnStripes="0" showFirstColumn="1" showLastColumn="1" showRowStripes="1"/>
</table>
</file>

<file path=xl/tables/table28.xml><?xml version="1.0" encoding="utf-8"?>
<table xmlns="http://schemas.openxmlformats.org/spreadsheetml/2006/main" headerRowCount="0" ref="A5:S9" displayName="Table_28" name="Table_28" id="28">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Leave Tracker-style 4" showColumnStripes="0" showFirstColumn="1" showLastColumn="1" showRowStripes="1"/>
</table>
</file>

<file path=xl/tables/table29.xml><?xml version="1.0" encoding="utf-8"?>
<table xmlns="http://schemas.openxmlformats.org/spreadsheetml/2006/main" headerRowCount="0" ref="A10:S10" displayName="Table_29" name="Table_29" id="29">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Leave Tracker-style 5" showColumnStripes="0" showFirstColumn="1" showLastColumn="1" showRowStripes="1"/>
</table>
</file>

<file path=xl/tables/table30.xml><?xml version="1.0" encoding="utf-8"?>
<table xmlns="http://schemas.openxmlformats.org/spreadsheetml/2006/main" headerRowCount="0" ref="A11:S11" displayName="Table_30" name="Table_30" id="30">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Leave Tracker-style 6" showColumnStripes="0" showFirstColumn="1" showLastColumn="1" showRowStripes="1"/>
</table>
</file>

<file path=xl/tables/table31.xml><?xml version="1.0" encoding="utf-8"?>
<table xmlns="http://schemas.openxmlformats.org/spreadsheetml/2006/main" headerRowCount="0" ref="A12:S14" displayName="Table_31" name="Table_31" id="3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Leave Tracker-style 7" showColumnStripes="0" showFirstColumn="1" showLastColumn="1" showRowStripes="1"/>
</table>
</file>

<file path=xl/tables/table32.xml><?xml version="1.0" encoding="utf-8"?>
<table xmlns="http://schemas.openxmlformats.org/spreadsheetml/2006/main" headerRowCount="0" ref="A1:X118" displayName="Table_32" name="Table_32" id="3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A119:X119" displayName="Table_33" name="Table_33" id="3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2" showColumnStripes="0" showFirstColumn="1" showLastColumn="1" showRowStripes="1"/>
</table>
</file>

<file path=xl/tables/table34.xml><?xml version="1.0" encoding="utf-8"?>
<table xmlns="http://schemas.openxmlformats.org/spreadsheetml/2006/main" headerRowCount="0" ref="A120:X129" displayName="Table_34" name="Table_34" id="3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3" showColumnStripes="0" showFirstColumn="1" showLastColumn="1" showRowStripes="1"/>
</table>
</file>

<file path=xl/tables/table35.xml><?xml version="1.0" encoding="utf-8"?>
<table xmlns="http://schemas.openxmlformats.org/spreadsheetml/2006/main" headerRowCount="0" ref="A130:X130" displayName="Table_35" name="Table_35" id="35">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4" showColumnStripes="0" showFirstColumn="1" showLastColumn="1" showRowStripes="1"/>
</table>
</file>

<file path=xl/tables/table36.xml><?xml version="1.0" encoding="utf-8"?>
<table xmlns="http://schemas.openxmlformats.org/spreadsheetml/2006/main" headerRowCount="0" ref="A131:X131" displayName="Table_36" name="Table_36" id="36">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5" showColumnStripes="0" showFirstColumn="1" showLastColumn="1" showRowStripes="1"/>
</table>
</file>

<file path=xl/tables/table37.xml><?xml version="1.0" encoding="utf-8"?>
<table xmlns="http://schemas.openxmlformats.org/spreadsheetml/2006/main" headerRowCount="0" ref="A132:X132" displayName="Table_37" name="Table_37" id="3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6" showColumnStripes="0" showFirstColumn="1" showLastColumn="1" showRowStripes="1"/>
</table>
</file>

<file path=xl/tables/table38.xml><?xml version="1.0" encoding="utf-8"?>
<table xmlns="http://schemas.openxmlformats.org/spreadsheetml/2006/main" headerRowCount="0" ref="A133:X133" displayName="Table_38" name="Table_38" id="3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7" showColumnStripes="0" showFirstColumn="1" showLastColumn="1" showRowStripes="1"/>
</table>
</file>

<file path=xl/tables/table39.xml><?xml version="1.0" encoding="utf-8"?>
<table xmlns="http://schemas.openxmlformats.org/spreadsheetml/2006/main" headerRowCount="0" ref="A134:X134" displayName="Table_39" name="Table_39" id="39">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8" showColumnStripes="0" showFirstColumn="1" showLastColumn="1" showRowStripes="1"/>
</table>
</file>

<file path=xl/tables/table40.xml><?xml version="1.0" encoding="utf-8"?>
<table xmlns="http://schemas.openxmlformats.org/spreadsheetml/2006/main" headerRowCount="0" ref="A135:X137" displayName="Table_40" name="Table_40" id="40">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9" showColumnStripes="0" showFirstColumn="1" showLastColumn="1" showRowStripes="1"/>
</table>
</file>

<file path=xl/tables/table41.xml><?xml version="1.0" encoding="utf-8"?>
<table xmlns="http://schemas.openxmlformats.org/spreadsheetml/2006/main" headerRowCount="0" ref="A138:X149" displayName="Table_41" name="Table_41" id="4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10" showColumnStripes="0" showFirstColumn="1" showLastColumn="1" showRowStripes="1"/>
</table>
</file>

<file path=xl/tables/table42.xml><?xml version="1.0" encoding="utf-8"?>
<table xmlns="http://schemas.openxmlformats.org/spreadsheetml/2006/main" headerRowCount="0" ref="A150:X167" displayName="Table_42" name="Table_42" id="4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Internal Tracker Sub 2026-style 11"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33" dT="2026-04-29T03:53:44.00" personId="{8e8c671d-f56e-4c3d-8a42-c232007b3229}" id="{2fd963a2-bb18-4478-bbe9-b3e911f2ea70}" done="0">
    <x18tc:text xml:space="preserve">@parthiban@vajraglobal.com
Assigned to parthiban@vajraglobal.com</x18tc:text>
    <x18tc:mentions>
      <x18tc:mention mentionpersonId="{e95f0287-7828-41d8-82fa-18074b607a48}" mentionId="{a6b2a3c8-322d-4d27-9023-9f8a02fd2493}" startIndex="0" length="26"/>
    </x18tc:mentions>
  </x18tc:threadedComment>
  <x18tc:threadedComment ref="D333" dT="2026-04-14T04:33:39.00" personId="{8e8c671d-f56e-4c3d-8a42-c232007b3229}" id="{a00147f7-258f-4f44-ac0d-fad20cef632c}" done="1">
    <x18tc:text xml:space="preserve">@parthiban@vajraglobal.com  Status on this?
Assigned to parthiban@vajraglobal.com</x18tc:text>
    <x18tc:mentions>
      <x18tc:mention mentionpersonId="{e95f0287-7828-41d8-82fa-18074b607a48}" mentionId="{8381b460-8ab1-4dec-ba17-f76d4c5bb4e3}" startIndex="0" length="26"/>
    </x18tc:mentions>
  </x18tc:threadedComment>
  <x18tc:threadedComment ref="D333" dT="2026-04-14T04:52:16.00" personId="{ba2094c9-5541-416e-8491-79f3e36af309}" id="{b4253eb1-fabf-4470-bf07-9650ce12bc66}" parentId="{a00147f7-258f-4f44-ac0d-fad20cef632c}">
    <x18tc:text xml:space="preserve">we done this for post moderation and moved to staging but we dont have user id there because in staging we use all intrnet commsdesk and sso user we didnt see the real user with there Emp id .
Marked as done</x18tc:text>
  </x18tc:threadedComment>
  <x18tc:threadedComment ref="D217" dT="2026-04-09T04:00:23.00" personId="{8e8c671d-f56e-4c3d-8a42-c232007b3229}" id="{9a76ef6c-13df-4d58-bfc5-9997e5a04df7}" done="0">
    <x18tc:text xml:space="preserve">Why do you need 2 hours for testing the sso login? @parthiban@vajraglobal.com</x18tc:text>
    <x18tc:mentions>
      <x18tc:mention mentionpersonId="{e95f0287-7828-41d8-82fa-18074b607a48}" mentionId="{8aa64dea-59b1-4ce9-9a1d-b7dac5bce1cd}" startIndex="51" length="26"/>
    </x18tc:mentions>
  </x18tc:threadedComment>
  <x18tc:threadedComment ref="D217" dT="2026-04-09T04:07:51.00" personId="{ba2094c9-5541-416e-8491-79f3e36af309}" id="{592b9199-0018-4463-a637-cc3b2d89cb5e}" parentId="{9a76ef6c-13df-4d58-bfc5-9997e5a04df7}">
    <x18tc:text xml:space="preserve">10.15 i take the task and we have a meeting at 10 30 after that i face the code issue then fix it then i face the boot issue then i got 403 error which i shared in group 11 30AM.after that my backofice is slow i send a screenshot after that it fixed and i share the final output 12.03PM sso login is working conformation so that i totally loged 2 hours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2" dT="2026-04-10T05:32:32.00" personId="{8e8c671d-f56e-4c3d-8a42-c232007b3229}" id="{7dbbf445-a77e-4cf4-aa10-28a512f5b099}" done="0">
    <x18tc:text xml:space="preserve">@moswin@vajraglobal.com
Based on your current progress, when do you think is a realistic finish date?
Did yesterday’s task take longer than expected, or are we on track with the hours?
What are the remaining milestones, and is there anything blocking you from finishing?
Assigned to moswin@vajraglobal.com</x18tc:text>
    <x18tc:mentions>
      <x18tc:mention mentionpersonId="{9d8a59a0-fe36-449a-bc67-02839616af14}" mentionId="{3040c49d-9ff9-49f6-8635-7bc51bc4b122}" startIndex="0" length="23"/>
    </x18tc:mentions>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www.dgda.gov.sa/" TargetMode="External"/><Relationship Id="rId22" Type="http://schemas.openxmlformats.org/officeDocument/2006/relationships/hyperlink" Target="http://farnboroughairshow.com/" TargetMode="External"/><Relationship Id="rId21" Type="http://schemas.openxmlformats.org/officeDocument/2006/relationships/hyperlink" Target="http://www.dgda.gov.sa/" TargetMode="External"/><Relationship Id="rId24" Type="http://schemas.openxmlformats.org/officeDocument/2006/relationships/hyperlink" Target="http://events.farnboroughinternational.org/" TargetMode="External"/><Relationship Id="rId23" Type="http://schemas.openxmlformats.org/officeDocument/2006/relationships/hyperlink" Target="http://farnboroughairshow.com/" TargetMode="External"/><Relationship Id="rId1" Type="http://schemas.openxmlformats.org/officeDocument/2006/relationships/hyperlink" Target="http://intranet.adfactorspr.com" TargetMode="External"/><Relationship Id="rId2" Type="http://schemas.openxmlformats.org/officeDocument/2006/relationships/hyperlink" Target="http://intranet.adfactorspr.com/" TargetMode="External"/><Relationship Id="rId3" Type="http://schemas.openxmlformats.org/officeDocument/2006/relationships/hyperlink" Target="http://intranet.adfactorspr.com/" TargetMode="External"/><Relationship Id="rId4" Type="http://schemas.openxmlformats.org/officeDocument/2006/relationships/hyperlink" Target="http://intranet.adfactorspr.com/" TargetMode="External"/><Relationship Id="rId9" Type="http://schemas.openxmlformats.org/officeDocument/2006/relationships/hyperlink" Target="https://release-dgda.d1pchk3m069rke.amplifyapp.com/en/contact-us/general-inquiries" TargetMode="External"/><Relationship Id="rId26" Type="http://schemas.openxmlformats.org/officeDocument/2006/relationships/hyperlink" Target="http://farnboroughairshow.com/" TargetMode="External"/><Relationship Id="rId25" Type="http://schemas.openxmlformats.org/officeDocument/2006/relationships/hyperlink" Target="http://farnboroughairshow.com/" TargetMode="External"/><Relationship Id="rId28" Type="http://schemas.openxmlformats.org/officeDocument/2006/relationships/hyperlink" Target="http://vajraglobal.com/" TargetMode="External"/><Relationship Id="rId27" Type="http://schemas.openxmlformats.org/officeDocument/2006/relationships/hyperlink" Target="http://vajraglobal.com/" TargetMode="External"/><Relationship Id="rId5" Type="http://schemas.openxmlformats.org/officeDocument/2006/relationships/hyperlink" Target="http://intranet.adfactorspr.com/" TargetMode="External"/><Relationship Id="rId6" Type="http://schemas.openxmlformats.org/officeDocument/2006/relationships/hyperlink" Target="http://intranet.adfactorspr.com/" TargetMode="External"/><Relationship Id="rId29" Type="http://schemas.openxmlformats.org/officeDocument/2006/relationships/hyperlink" Target="http://vajraglobal.com/" TargetMode="External"/><Relationship Id="rId7" Type="http://schemas.openxmlformats.org/officeDocument/2006/relationships/hyperlink" Target="http://work.adfactorspr.com/" TargetMode="External"/><Relationship Id="rId8" Type="http://schemas.openxmlformats.org/officeDocument/2006/relationships/hyperlink" Target="http://www.dgda.gov.sa/" TargetMode="External"/><Relationship Id="rId30" Type="http://schemas.openxmlformats.org/officeDocument/2006/relationships/drawing" Target="../drawings/drawing1.xml"/><Relationship Id="rId11" Type="http://schemas.openxmlformats.org/officeDocument/2006/relationships/hyperlink" Target="http://www.dgda.gov.sa/" TargetMode="External"/><Relationship Id="rId10" Type="http://schemas.openxmlformats.org/officeDocument/2006/relationships/hyperlink" Target="http://www.dgda.gov.sa/" TargetMode="External"/><Relationship Id="rId13" Type="http://schemas.openxmlformats.org/officeDocument/2006/relationships/hyperlink" Target="https://feat-national-design-system-v16-main.d38541r9nlp4br.amplifyapp.com/" TargetMode="External"/><Relationship Id="rId12" Type="http://schemas.openxmlformats.org/officeDocument/2006/relationships/hyperlink" Target="http://www.dgda.gov.sa/" TargetMode="External"/><Relationship Id="rId15" Type="http://schemas.openxmlformats.org/officeDocument/2006/relationships/hyperlink" Target="http://www.dgda.gov.sa/" TargetMode="External"/><Relationship Id="rId14" Type="http://schemas.openxmlformats.org/officeDocument/2006/relationships/hyperlink" Target="http://www.dgda.gov.sa/" TargetMode="External"/><Relationship Id="rId17" Type="http://schemas.openxmlformats.org/officeDocument/2006/relationships/hyperlink" Target="http://www.dgda.gov.sa/" TargetMode="External"/><Relationship Id="rId16" Type="http://schemas.openxmlformats.org/officeDocument/2006/relationships/hyperlink" Target="http://www.dgda.gov.sa/" TargetMode="External"/><Relationship Id="rId19" Type="http://schemas.openxmlformats.org/officeDocument/2006/relationships/hyperlink" Target="http://www.dgda.gov.sa/" TargetMode="External"/><Relationship Id="rId18" Type="http://schemas.openxmlformats.org/officeDocument/2006/relationships/hyperlink" Target="https://main.d3jcmxm4xwijj.amplifyapp.com/en/contact-us/research-inquir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www.dgda.gov.sa/" TargetMode="External"/><Relationship Id="rId42" Type="http://schemas.openxmlformats.org/officeDocument/2006/relationships/hyperlink" Target="http://www.dgda.gov.sa/" TargetMode="External"/><Relationship Id="rId41" Type="http://schemas.openxmlformats.org/officeDocument/2006/relationships/hyperlink" Target="http://www.dgda.gov.sa/" TargetMode="External"/><Relationship Id="rId44" Type="http://schemas.openxmlformats.org/officeDocument/2006/relationships/hyperlink" Target="https://docs.google.com/spreadsheets/d/1RXldrdIzBFXaOf_c7ydQRTXb9SZwW-d5i8kOSuwZ0a4/edit?gid=0" TargetMode="External"/><Relationship Id="rId43" Type="http://schemas.openxmlformats.org/officeDocument/2006/relationships/hyperlink" Target="http://www.dgda.gov.sa/" TargetMode="External"/><Relationship Id="rId46" Type="http://schemas.openxmlformats.org/officeDocument/2006/relationships/hyperlink" Target="http://www.dgda.gov.sa/" TargetMode="External"/><Relationship Id="rId45" Type="http://schemas.openxmlformats.org/officeDocument/2006/relationships/hyperlink" Target="http://www.dgda.gov.sa/" TargetMode="External"/><Relationship Id="rId1" Type="http://schemas.openxmlformats.org/officeDocument/2006/relationships/hyperlink" Target="http://intranet.adfactorspr.com/" TargetMode="External"/><Relationship Id="rId2" Type="http://schemas.openxmlformats.org/officeDocument/2006/relationships/hyperlink" Target="http://www.dgs.sa/" TargetMode="External"/><Relationship Id="rId3" Type="http://schemas.openxmlformats.org/officeDocument/2006/relationships/hyperlink" Target="http://farnborough.com/" TargetMode="External"/><Relationship Id="rId4" Type="http://schemas.openxmlformats.org/officeDocument/2006/relationships/hyperlink" Target="http://www.dgs.sa/" TargetMode="External"/><Relationship Id="rId9" Type="http://schemas.openxmlformats.org/officeDocument/2006/relationships/hyperlink" Target="http://intranet.adfactorspr.com/" TargetMode="External"/><Relationship Id="rId48" Type="http://schemas.openxmlformats.org/officeDocument/2006/relationships/hyperlink" Target="http://www.dgda.gov.sa" TargetMode="External"/><Relationship Id="rId47" Type="http://schemas.openxmlformats.org/officeDocument/2006/relationships/hyperlink" Target="http://www.dgda.gov.sa/" TargetMode="External"/><Relationship Id="rId49" Type="http://schemas.openxmlformats.org/officeDocument/2006/relationships/hyperlink" Target="http://farnboroughairshow.com" TargetMode="External"/><Relationship Id="rId5" Type="http://schemas.openxmlformats.org/officeDocument/2006/relationships/hyperlink" Target="http://www.dgs.sa/" TargetMode="External"/><Relationship Id="rId6" Type="http://schemas.openxmlformats.org/officeDocument/2006/relationships/hyperlink" Target="http://www.dgda.gov.sa/" TargetMode="External"/><Relationship Id="rId7" Type="http://schemas.openxmlformats.org/officeDocument/2006/relationships/hyperlink" Target="http://www.dgda.gov.sa/" TargetMode="External"/><Relationship Id="rId8" Type="http://schemas.openxmlformats.org/officeDocument/2006/relationships/hyperlink" Target="http://www.dgda.gov.sa/" TargetMode="External"/><Relationship Id="rId31" Type="http://schemas.openxmlformats.org/officeDocument/2006/relationships/hyperlink" Target="http://www.dgda.gov.sa/" TargetMode="External"/><Relationship Id="rId30" Type="http://schemas.openxmlformats.org/officeDocument/2006/relationships/hyperlink" Target="http://intranet.adfactorspr.com/" TargetMode="External"/><Relationship Id="rId33" Type="http://schemas.openxmlformats.org/officeDocument/2006/relationships/hyperlink" Target="http://farnboroughairshow.com/" TargetMode="External"/><Relationship Id="rId32" Type="http://schemas.openxmlformats.org/officeDocument/2006/relationships/hyperlink" Target="http://farnboroughairshow.com/" TargetMode="External"/><Relationship Id="rId35" Type="http://schemas.openxmlformats.org/officeDocument/2006/relationships/hyperlink" Target="http://farnboroughairshow.com/" TargetMode="External"/><Relationship Id="rId34" Type="http://schemas.openxmlformats.org/officeDocument/2006/relationships/hyperlink" Target="http://farnboroughairshow.com/" TargetMode="External"/><Relationship Id="rId71" Type="http://schemas.openxmlformats.org/officeDocument/2006/relationships/table" Target="../tables/table1.xml"/><Relationship Id="rId37" Type="http://schemas.openxmlformats.org/officeDocument/2006/relationships/hyperlink" Target="http://aerospaceglobalforum.com/" TargetMode="External"/><Relationship Id="rId36" Type="http://schemas.openxmlformats.org/officeDocument/2006/relationships/hyperlink" Target="http://www.dgda.gov.sa/" TargetMode="External"/><Relationship Id="rId39" Type="http://schemas.openxmlformats.org/officeDocument/2006/relationships/hyperlink" Target="http://www.dgda.gov.sa/" TargetMode="External"/><Relationship Id="rId38" Type="http://schemas.openxmlformats.org/officeDocument/2006/relationships/hyperlink" Target="http://farnboroughairshow.com/" TargetMode="External"/><Relationship Id="rId62" Type="http://schemas.openxmlformats.org/officeDocument/2006/relationships/hyperlink" Target="http://intranet.adfactorspr.com" TargetMode="External"/><Relationship Id="rId61" Type="http://schemas.openxmlformats.org/officeDocument/2006/relationships/hyperlink" Target="http://intranet.adfactorspr.com" TargetMode="External"/><Relationship Id="rId20" Type="http://schemas.openxmlformats.org/officeDocument/2006/relationships/hyperlink" Target="http://www.dgda.gov.sa/" TargetMode="External"/><Relationship Id="rId64" Type="http://schemas.openxmlformats.org/officeDocument/2006/relationships/hyperlink" Target="http://intranet.adfactorspr.com" TargetMode="External"/><Relationship Id="rId63" Type="http://schemas.openxmlformats.org/officeDocument/2006/relationships/hyperlink" Target="http://farnboroughairshow.com" TargetMode="External"/><Relationship Id="rId22" Type="http://schemas.openxmlformats.org/officeDocument/2006/relationships/hyperlink" Target="http://intranet.adfactorspr.com/" TargetMode="External"/><Relationship Id="rId66" Type="http://schemas.openxmlformats.org/officeDocument/2006/relationships/hyperlink" Target="http://www.dgda.gov.sa" TargetMode="External"/><Relationship Id="rId21" Type="http://schemas.openxmlformats.org/officeDocument/2006/relationships/hyperlink" Target="http://farnboroughairshow.com/" TargetMode="External"/><Relationship Id="rId65" Type="http://schemas.openxmlformats.org/officeDocument/2006/relationships/hyperlink" Target="http://intranet.adfactorspr.com" TargetMode="External"/><Relationship Id="rId24" Type="http://schemas.openxmlformats.org/officeDocument/2006/relationships/hyperlink" Target="https://docs.google.com/spreadsheets/d/1eeZpYdCIaOU7OMyLMKaCOWX8ZId3ywDf8fgjV86nhE0/edit?gid=0" TargetMode="External"/><Relationship Id="rId68" Type="http://schemas.openxmlformats.org/officeDocument/2006/relationships/hyperlink" Target="https://release-dgda.d1pchk3m069rke.amplifyapp.com/en/open-data" TargetMode="External"/><Relationship Id="rId23" Type="http://schemas.openxmlformats.org/officeDocument/2006/relationships/hyperlink" Target="http://www.dgda.gov.sa/" TargetMode="External"/><Relationship Id="rId67" Type="http://schemas.openxmlformats.org/officeDocument/2006/relationships/hyperlink" Target="http://www.dgda.gov.sa" TargetMode="External"/><Relationship Id="rId60" Type="http://schemas.openxmlformats.org/officeDocument/2006/relationships/hyperlink" Target="http://intranet.adfactorspr.com" TargetMode="External"/><Relationship Id="rId26" Type="http://schemas.openxmlformats.org/officeDocument/2006/relationships/hyperlink" Target="http://intranet.adfactorspr.com/" TargetMode="External"/><Relationship Id="rId25" Type="http://schemas.openxmlformats.org/officeDocument/2006/relationships/hyperlink" Target="http://www.dgda.gov.sa/" TargetMode="External"/><Relationship Id="rId69" Type="http://schemas.openxmlformats.org/officeDocument/2006/relationships/drawing" Target="../drawings/drawing3.xml"/><Relationship Id="rId28" Type="http://schemas.openxmlformats.org/officeDocument/2006/relationships/hyperlink" Target="http://intranet.adfactorspr.com/" TargetMode="External"/><Relationship Id="rId27" Type="http://schemas.openxmlformats.org/officeDocument/2006/relationships/hyperlink" Target="http://intranet.adfactorspr.com/" TargetMode="External"/><Relationship Id="rId29" Type="http://schemas.openxmlformats.org/officeDocument/2006/relationships/hyperlink" Target="http://www.dgda.gov.sa/" TargetMode="External"/><Relationship Id="rId51" Type="http://schemas.openxmlformats.org/officeDocument/2006/relationships/hyperlink" Target="http://intranet.adfactorspr.com" TargetMode="External"/><Relationship Id="rId50" Type="http://schemas.openxmlformats.org/officeDocument/2006/relationships/hyperlink" Target="http://farnboroughairshow.com" TargetMode="External"/><Relationship Id="rId53" Type="http://schemas.openxmlformats.org/officeDocument/2006/relationships/hyperlink" Target="http://farnboroughairshow.com" TargetMode="External"/><Relationship Id="rId52" Type="http://schemas.openxmlformats.org/officeDocument/2006/relationships/hyperlink" Target="http://intranet.adfactorspr.com" TargetMode="External"/><Relationship Id="rId11" Type="http://schemas.openxmlformats.org/officeDocument/2006/relationships/hyperlink" Target="http://www.dgda.gov.sa/" TargetMode="External"/><Relationship Id="rId55" Type="http://schemas.openxmlformats.org/officeDocument/2006/relationships/hyperlink" Target="http://farnboroughairshow.com" TargetMode="External"/><Relationship Id="rId10" Type="http://schemas.openxmlformats.org/officeDocument/2006/relationships/hyperlink" Target="http://www.dgs.sa/" TargetMode="External"/><Relationship Id="rId54" Type="http://schemas.openxmlformats.org/officeDocument/2006/relationships/hyperlink" Target="http://farnboroughairshow.com" TargetMode="External"/><Relationship Id="rId13" Type="http://schemas.openxmlformats.org/officeDocument/2006/relationships/hyperlink" Target="http://farnboroughairshow.com/" TargetMode="External"/><Relationship Id="rId57" Type="http://schemas.openxmlformats.org/officeDocument/2006/relationships/hyperlink" Target="http://vajraglobal.com" TargetMode="External"/><Relationship Id="rId12" Type="http://schemas.openxmlformats.org/officeDocument/2006/relationships/hyperlink" Target="http://intranet.adfactorspr.com/" TargetMode="External"/><Relationship Id="rId56" Type="http://schemas.openxmlformats.org/officeDocument/2006/relationships/hyperlink" Target="http://farnborough.com" TargetMode="External"/><Relationship Id="rId15" Type="http://schemas.openxmlformats.org/officeDocument/2006/relationships/hyperlink" Target="http://farnborough.com/" TargetMode="External"/><Relationship Id="rId59" Type="http://schemas.openxmlformats.org/officeDocument/2006/relationships/hyperlink" Target="http://vajraglobal.com" TargetMode="External"/><Relationship Id="rId14" Type="http://schemas.openxmlformats.org/officeDocument/2006/relationships/hyperlink" Target="http://farnboroughairshow.com/" TargetMode="External"/><Relationship Id="rId58" Type="http://schemas.openxmlformats.org/officeDocument/2006/relationships/hyperlink" Target="http://intranet.adfactorspr.com" TargetMode="External"/><Relationship Id="rId17" Type="http://schemas.openxmlformats.org/officeDocument/2006/relationships/hyperlink" Target="http://farnboroughairshow.com/" TargetMode="External"/><Relationship Id="rId16" Type="http://schemas.openxmlformats.org/officeDocument/2006/relationships/hyperlink" Target="http://farnboroughairshow.com/" TargetMode="External"/><Relationship Id="rId19" Type="http://schemas.openxmlformats.org/officeDocument/2006/relationships/hyperlink" Target="http://farnboroughinternationalstudios.com/" TargetMode="External"/><Relationship Id="rId18" Type="http://schemas.openxmlformats.org/officeDocument/2006/relationships/hyperlink" Target="http://farnboroughinternationalstudios.com/"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farnborough.com/landing-page" TargetMode="External"/><Relationship Id="rId194" Type="http://schemas.openxmlformats.org/officeDocument/2006/relationships/hyperlink" Target="http://intranet.adfactorspr.com/" TargetMode="External"/><Relationship Id="rId193" Type="http://schemas.openxmlformats.org/officeDocument/2006/relationships/hyperlink" Target="http://intranet.adfactorspr.com/" TargetMode="External"/><Relationship Id="rId192" Type="http://schemas.openxmlformats.org/officeDocument/2006/relationships/hyperlink" Target="http://intranet.adfactorspr.com/" TargetMode="External"/><Relationship Id="rId191" Type="http://schemas.openxmlformats.org/officeDocument/2006/relationships/hyperlink" Target="http://www.dgda.gov.sa/" TargetMode="External"/><Relationship Id="rId187" Type="http://schemas.openxmlformats.org/officeDocument/2006/relationships/hyperlink" Target="http://msmehealthengine.fametn.com/" TargetMode="External"/><Relationship Id="rId186" Type="http://schemas.openxmlformats.org/officeDocument/2006/relationships/hyperlink" Target="http://farnborough.com/" TargetMode="External"/><Relationship Id="rId185" Type="http://schemas.openxmlformats.org/officeDocument/2006/relationships/hyperlink" Target="http://intranet.adfactorspr.com/" TargetMode="External"/><Relationship Id="rId184" Type="http://schemas.openxmlformats.org/officeDocument/2006/relationships/hyperlink" Target="http://farnborough.com/" TargetMode="External"/><Relationship Id="rId189" Type="http://schemas.openxmlformats.org/officeDocument/2006/relationships/hyperlink" Target="https://www.figma.com/proto/Oxi5zyx20OGwglaaWWAXhS/Farnborough-venue?page-id=115%3A2&amp;node-id=115-1814&amp;viewport=364%2C384%2C0.47&amp;t=pqOk7KSBeCne8OJa-1&amp;scaling=min-zoom&amp;content-scaling=fixed&amp;starting-point-node-id=115%3A4757" TargetMode="External"/><Relationship Id="rId188" Type="http://schemas.openxmlformats.org/officeDocument/2006/relationships/hyperlink" Target="http://farnborough.com/" TargetMode="External"/><Relationship Id="rId183" Type="http://schemas.openxmlformats.org/officeDocument/2006/relationships/hyperlink" Target="http://intranet.adfactorspr.com/" TargetMode="External"/><Relationship Id="rId182" Type="http://schemas.openxmlformats.org/officeDocument/2006/relationships/hyperlink" Target="https://github.com/dgcl-cloud/dgda/security/dependabot" TargetMode="External"/><Relationship Id="rId181" Type="http://schemas.openxmlformats.org/officeDocument/2006/relationships/hyperlink" Target="http://www.dgda.gov.sa/" TargetMode="External"/><Relationship Id="rId180" Type="http://schemas.openxmlformats.org/officeDocument/2006/relationships/hyperlink" Target="http://www.dgda.gov.sa/" TargetMode="External"/><Relationship Id="rId176" Type="http://schemas.openxmlformats.org/officeDocument/2006/relationships/hyperlink" Target="http://farnboroughairshow.com/" TargetMode="External"/><Relationship Id="rId175" Type="http://schemas.openxmlformats.org/officeDocument/2006/relationships/hyperlink" Target="http://intranet.adfactorspr.com/" TargetMode="External"/><Relationship Id="rId174" Type="http://schemas.openxmlformats.org/officeDocument/2006/relationships/hyperlink" Target="https://intranetstaging.adfactorspr.com/knowledge-corner/adfactors-academy-version-2/" TargetMode="External"/><Relationship Id="rId173" Type="http://schemas.openxmlformats.org/officeDocument/2006/relationships/hyperlink" Target="http://intranet.adfactorspr.com/" TargetMode="External"/><Relationship Id="rId179" Type="http://schemas.openxmlformats.org/officeDocument/2006/relationships/hyperlink" Target="http://www.dgda.gov.sa/" TargetMode="External"/><Relationship Id="rId178" Type="http://schemas.openxmlformats.org/officeDocument/2006/relationships/hyperlink" Target="http://intranet.adfactorspr.com/" TargetMode="External"/><Relationship Id="rId177" Type="http://schemas.openxmlformats.org/officeDocument/2006/relationships/hyperlink" Target="https://staging.farnboroughairshow.com/the-show/themes/global-security/" TargetMode="External"/><Relationship Id="rId198" Type="http://schemas.openxmlformats.org/officeDocument/2006/relationships/hyperlink" Target="http://intranet.adfactorspr.com/" TargetMode="External"/><Relationship Id="rId197" Type="http://schemas.openxmlformats.org/officeDocument/2006/relationships/hyperlink" Target="https://hellowizadmin.hellowiz.com/" TargetMode="External"/><Relationship Id="rId196" Type="http://schemas.openxmlformats.org/officeDocument/2006/relationships/hyperlink" Target="https://docs.google.com/document/d/1sKpXIeZkRqO2P7UP6aU-Rp7B50l07Mr2/edit?usp=sharing&amp;ouid=108220845174973423951&amp;rtpof=true&amp;sd=true" TargetMode="External"/><Relationship Id="rId195" Type="http://schemas.openxmlformats.org/officeDocument/2006/relationships/hyperlink" Target="http://msmehealthengine.fametn.com/" TargetMode="External"/><Relationship Id="rId199" Type="http://schemas.openxmlformats.org/officeDocument/2006/relationships/hyperlink" Target="http://intranet.adfactorspr.com/" TargetMode="External"/><Relationship Id="rId150" Type="http://schemas.openxmlformats.org/officeDocument/2006/relationships/hyperlink" Target="http://intranet.adfactorspr.com/" TargetMode="External"/><Relationship Id="rId392" Type="http://schemas.openxmlformats.org/officeDocument/2006/relationships/hyperlink" Target="http://intranet.adfactorspr.com/" TargetMode="External"/><Relationship Id="rId391" Type="http://schemas.openxmlformats.org/officeDocument/2006/relationships/hyperlink" Target="http://intranet.adfactorspr.com/" TargetMode="External"/><Relationship Id="rId390" Type="http://schemas.openxmlformats.org/officeDocument/2006/relationships/hyperlink" Target="http://intranet.adfactorspr.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localhost:44380/admin-dashboard/admin-activity-log/" TargetMode="External"/><Relationship Id="rId4" Type="http://schemas.openxmlformats.org/officeDocument/2006/relationships/hyperlink" Target="http://farnboroughairshow.com/" TargetMode="External"/><Relationship Id="rId148" Type="http://schemas.openxmlformats.org/officeDocument/2006/relationships/hyperlink" Target="http://intranet.adfactorspr.com/" TargetMode="External"/><Relationship Id="rId9" Type="http://schemas.openxmlformats.org/officeDocument/2006/relationships/hyperlink" Target="http://farnboroughairshow.com/" TargetMode="External"/><Relationship Id="rId143" Type="http://schemas.openxmlformats.org/officeDocument/2006/relationships/hyperlink" Target="https://localhost:44380/admin-dashboard/admin-post-moderation/" TargetMode="External"/><Relationship Id="rId385" Type="http://schemas.openxmlformats.org/officeDocument/2006/relationships/hyperlink" Target="http://intranet.adfactorspr.com/" TargetMode="External"/><Relationship Id="rId142" Type="http://schemas.openxmlformats.org/officeDocument/2006/relationships/hyperlink" Target="http://intranet.adfactorspr.com/" TargetMode="External"/><Relationship Id="rId384" Type="http://schemas.openxmlformats.org/officeDocument/2006/relationships/hyperlink" Target="http://www.dgda.gov.sa/" TargetMode="External"/><Relationship Id="rId141" Type="http://schemas.openxmlformats.org/officeDocument/2006/relationships/hyperlink" Target="https://localhost:44380/admin-dashboard/admin-post-moderation/" TargetMode="External"/><Relationship Id="rId383" Type="http://schemas.openxmlformats.org/officeDocument/2006/relationships/hyperlink" Target="http://www.dgda.gov.sa/" TargetMode="External"/><Relationship Id="rId140" Type="http://schemas.openxmlformats.org/officeDocument/2006/relationships/hyperlink" Target="http://intranet.adfactorspr.com/" TargetMode="External"/><Relationship Id="rId382" Type="http://schemas.openxmlformats.org/officeDocument/2006/relationships/hyperlink" Target="http://www.dgda.gov.sa/" TargetMode="External"/><Relationship Id="rId5" Type="http://schemas.openxmlformats.org/officeDocument/2006/relationships/hyperlink" Target="http://farnboroughairshow.com/" TargetMode="External"/><Relationship Id="rId147" Type="http://schemas.openxmlformats.org/officeDocument/2006/relationships/hyperlink" Target="https://localhost:44380/admin-dashboard/admin-post-moderation/" TargetMode="External"/><Relationship Id="rId389" Type="http://schemas.openxmlformats.org/officeDocument/2006/relationships/hyperlink" Target="http://farnboroughairshow.com/" TargetMode="External"/><Relationship Id="rId6" Type="http://schemas.openxmlformats.org/officeDocument/2006/relationships/hyperlink" Target="http://farnboroughairshow.com/" TargetMode="External"/><Relationship Id="rId146" Type="http://schemas.openxmlformats.org/officeDocument/2006/relationships/hyperlink" Target="http://intranet.adfactorspr.com/" TargetMode="External"/><Relationship Id="rId388" Type="http://schemas.openxmlformats.org/officeDocument/2006/relationships/hyperlink" Target="http://farnboroughairshow.com/" TargetMode="External"/><Relationship Id="rId7" Type="http://schemas.openxmlformats.org/officeDocument/2006/relationships/hyperlink" Target="http://farnboroughairshow.com/" TargetMode="External"/><Relationship Id="rId145" Type="http://schemas.openxmlformats.org/officeDocument/2006/relationships/hyperlink" Target="https://localhost:44380/admin-post-detail?postId=d302be2f-fb49-45e9-8d9f-5caea8ea5925" TargetMode="External"/><Relationship Id="rId387" Type="http://schemas.openxmlformats.org/officeDocument/2006/relationships/hyperlink" Target="http://intranet.adfactorspr.com/" TargetMode="External"/><Relationship Id="rId8" Type="http://schemas.openxmlformats.org/officeDocument/2006/relationships/hyperlink" Target="http://farnboroughairshow.com/" TargetMode="External"/><Relationship Id="rId144" Type="http://schemas.openxmlformats.org/officeDocument/2006/relationships/hyperlink" Target="http://intranet.adfactorspr.com/" TargetMode="External"/><Relationship Id="rId386" Type="http://schemas.openxmlformats.org/officeDocument/2006/relationships/hyperlink" Target="http://www.dgda.gov.sa/" TargetMode="External"/><Relationship Id="rId381" Type="http://schemas.openxmlformats.org/officeDocument/2006/relationships/hyperlink" Target="http://intranet.adfactorspr.com/" TargetMode="External"/><Relationship Id="rId380" Type="http://schemas.openxmlformats.org/officeDocument/2006/relationships/hyperlink" Target="http://intranet.adfactorspr.com/" TargetMode="External"/><Relationship Id="rId139" Type="http://schemas.openxmlformats.org/officeDocument/2006/relationships/hyperlink" Target="https://localhost:44380/admin-post-detail?postId=d302be2f-fb49-45e9-8d9f-5caea8ea5925" TargetMode="External"/><Relationship Id="rId138" Type="http://schemas.openxmlformats.org/officeDocument/2006/relationships/hyperlink" Target="http://intranet.adfactorspr.com/" TargetMode="External"/><Relationship Id="rId137" Type="http://schemas.openxmlformats.org/officeDocument/2006/relationships/hyperlink" Target="https://localhost:44380/admin-post-detail?postId=d302be2f-fb49-45e9-8d9f-5caea8ea5925" TargetMode="External"/><Relationship Id="rId379" Type="http://schemas.openxmlformats.org/officeDocument/2006/relationships/hyperlink" Target="http://intranet.adfactorspr.com/" TargetMode="External"/><Relationship Id="rId132" Type="http://schemas.openxmlformats.org/officeDocument/2006/relationships/hyperlink" Target="http://intranet.adfactorspr.com/" TargetMode="External"/><Relationship Id="rId374" Type="http://schemas.openxmlformats.org/officeDocument/2006/relationships/hyperlink" Target="http://intranet.adfactorspr.com/" TargetMode="External"/><Relationship Id="rId131" Type="http://schemas.openxmlformats.org/officeDocument/2006/relationships/hyperlink" Target="http://farnborough.com/" TargetMode="External"/><Relationship Id="rId373" Type="http://schemas.openxmlformats.org/officeDocument/2006/relationships/hyperlink" Target="http://www.dgda.gov.sa/" TargetMode="External"/><Relationship Id="rId130" Type="http://schemas.openxmlformats.org/officeDocument/2006/relationships/hyperlink" Target="https://intranetstaging.adfactorspr.com/knowledge-corner/adfactors-academy-version-2/" TargetMode="External"/><Relationship Id="rId372" Type="http://schemas.openxmlformats.org/officeDocument/2006/relationships/hyperlink" Target="http://intranet.adfactorspr.com/" TargetMode="External"/><Relationship Id="rId371" Type="http://schemas.openxmlformats.org/officeDocument/2006/relationships/hyperlink" Target="http://intranet.adfactorspr.com/" TargetMode="External"/><Relationship Id="rId136" Type="http://schemas.openxmlformats.org/officeDocument/2006/relationships/hyperlink" Target="http://intranet.adfactorspr.com/" TargetMode="External"/><Relationship Id="rId378" Type="http://schemas.openxmlformats.org/officeDocument/2006/relationships/hyperlink" Target="http://intranet.adfactorspr.com/" TargetMode="External"/><Relationship Id="rId135" Type="http://schemas.openxmlformats.org/officeDocument/2006/relationships/hyperlink" Target="http://intranet.adfactorspr.com/" TargetMode="External"/><Relationship Id="rId377" Type="http://schemas.openxmlformats.org/officeDocument/2006/relationships/hyperlink" Target="https://main.d3jcmxm4xwijj.amplifyapp.com/en/contact-us/AlMedad" TargetMode="External"/><Relationship Id="rId134" Type="http://schemas.openxmlformats.org/officeDocument/2006/relationships/hyperlink" Target="https://intranetstaging.adfactorspr.com/knowledge-corner/current-affairs/industry-reports/us-india-trade-agreement-framework-a-structural-analysis/" TargetMode="External"/><Relationship Id="rId376" Type="http://schemas.openxmlformats.org/officeDocument/2006/relationships/hyperlink" Target="http://www.dgda.gov.sa/" TargetMode="External"/><Relationship Id="rId133" Type="http://schemas.openxmlformats.org/officeDocument/2006/relationships/hyperlink" Target="http://intranet.adfactorspr.com/" TargetMode="External"/><Relationship Id="rId375" Type="http://schemas.openxmlformats.org/officeDocument/2006/relationships/hyperlink" Target="http://intranet.adfactorspr.com/" TargetMode="External"/><Relationship Id="rId172" Type="http://schemas.openxmlformats.org/officeDocument/2006/relationships/hyperlink" Target="http://intranet.adfactorspr.com/" TargetMode="External"/><Relationship Id="rId171" Type="http://schemas.openxmlformats.org/officeDocument/2006/relationships/hyperlink" Target="http://work.adfactorspr.com/" TargetMode="External"/><Relationship Id="rId170" Type="http://schemas.openxmlformats.org/officeDocument/2006/relationships/hyperlink" Target="http://work.adfactorspr.com/" TargetMode="External"/><Relationship Id="rId165" Type="http://schemas.openxmlformats.org/officeDocument/2006/relationships/hyperlink" Target="http://intranet.adfactorspr.com/" TargetMode="External"/><Relationship Id="rId164" Type="http://schemas.openxmlformats.org/officeDocument/2006/relationships/hyperlink" Target="https://www.dgda.gov.sa/en/about" TargetMode="External"/><Relationship Id="rId163" Type="http://schemas.openxmlformats.org/officeDocument/2006/relationships/hyperlink" Target="http://www.dgda.gov.sa/" TargetMode="External"/><Relationship Id="rId162" Type="http://schemas.openxmlformats.org/officeDocument/2006/relationships/hyperlink" Target="http://intranet.adfactorspr.com/" TargetMode="External"/><Relationship Id="rId169" Type="http://schemas.openxmlformats.org/officeDocument/2006/relationships/hyperlink" Target="http://intranet.adfactorspr.com/" TargetMode="External"/><Relationship Id="rId168" Type="http://schemas.openxmlformats.org/officeDocument/2006/relationships/hyperlink" Target="http://intranet.adfactorspr.com/" TargetMode="External"/><Relationship Id="rId167" Type="http://schemas.openxmlformats.org/officeDocument/2006/relationships/hyperlink" Target="http://farnboroughairshow.com/" TargetMode="External"/><Relationship Id="rId166" Type="http://schemas.openxmlformats.org/officeDocument/2006/relationships/hyperlink" Target="http://farnboroughairshow.com/" TargetMode="External"/><Relationship Id="rId161" Type="http://schemas.openxmlformats.org/officeDocument/2006/relationships/hyperlink" Target="https://localhost:44380/admin-post-detail?postId=d302be2f-fb49-45e9-8d9f-5caea8ea5925" TargetMode="External"/><Relationship Id="rId160" Type="http://schemas.openxmlformats.org/officeDocument/2006/relationships/hyperlink" Target="http://intranet.adfactorspr.com/" TargetMode="External"/><Relationship Id="rId159" Type="http://schemas.openxmlformats.org/officeDocument/2006/relationships/hyperlink" Target="http://intranet.adfactorspr.com/" TargetMode="External"/><Relationship Id="rId154" Type="http://schemas.openxmlformats.org/officeDocument/2006/relationships/hyperlink" Target="http://www.dgda.gov.sa/" TargetMode="External"/><Relationship Id="rId396" Type="http://schemas.openxmlformats.org/officeDocument/2006/relationships/hyperlink" Target="http://farnboroughairshow.com/" TargetMode="External"/><Relationship Id="rId153" Type="http://schemas.openxmlformats.org/officeDocument/2006/relationships/hyperlink" Target="http://intranet.adfactorspr.com/" TargetMode="External"/><Relationship Id="rId395" Type="http://schemas.openxmlformats.org/officeDocument/2006/relationships/hyperlink" Target="http://intranet.adfactorspr.com/" TargetMode="External"/><Relationship Id="rId152" Type="http://schemas.openxmlformats.org/officeDocument/2006/relationships/hyperlink" Target="http://intranet.adfactorspr.com/" TargetMode="External"/><Relationship Id="rId394" Type="http://schemas.openxmlformats.org/officeDocument/2006/relationships/hyperlink" Target="http://farnboroughairshow.com/" TargetMode="External"/><Relationship Id="rId151" Type="http://schemas.openxmlformats.org/officeDocument/2006/relationships/hyperlink" Target="https://localhost:44380/admin-dashboard/admin-activity-log/" TargetMode="External"/><Relationship Id="rId393" Type="http://schemas.openxmlformats.org/officeDocument/2006/relationships/hyperlink" Target="http://www.dgda.gov.sa/" TargetMode="External"/><Relationship Id="rId158" Type="http://schemas.openxmlformats.org/officeDocument/2006/relationships/hyperlink" Target="https://staging.farnboroughairshow.com/the-show/exhibitor-listing/" TargetMode="External"/><Relationship Id="rId157" Type="http://schemas.openxmlformats.org/officeDocument/2006/relationships/hyperlink" Target="http://farnboroughairshow.com/" TargetMode="External"/><Relationship Id="rId399" Type="http://schemas.openxmlformats.org/officeDocument/2006/relationships/hyperlink" Target="http://intranet.adfactorspr.com/" TargetMode="External"/><Relationship Id="rId156" Type="http://schemas.openxmlformats.org/officeDocument/2006/relationships/hyperlink" Target="http://intranet.adfactorspr.com/" TargetMode="External"/><Relationship Id="rId398" Type="http://schemas.openxmlformats.org/officeDocument/2006/relationships/hyperlink" Target="http://intranet.adfactorspr.com/" TargetMode="External"/><Relationship Id="rId155" Type="http://schemas.openxmlformats.org/officeDocument/2006/relationships/hyperlink" Target="https://preview-preprod.dgda.gov.sa/en/fd-25" TargetMode="External"/><Relationship Id="rId397" Type="http://schemas.openxmlformats.org/officeDocument/2006/relationships/hyperlink" Target="http://intranet.adfactorspr.com/" TargetMode="External"/><Relationship Id="rId40" Type="http://schemas.openxmlformats.org/officeDocument/2006/relationships/hyperlink" Target="http://www.dgda.gov.sa/" TargetMode="External"/><Relationship Id="rId42" Type="http://schemas.openxmlformats.org/officeDocument/2006/relationships/hyperlink" Target="http://farnborough.com/" TargetMode="External"/><Relationship Id="rId41" Type="http://schemas.openxmlformats.org/officeDocument/2006/relationships/hyperlink" Target="http://www.dgda.gov.sa/" TargetMode="External"/><Relationship Id="rId44" Type="http://schemas.openxmlformats.org/officeDocument/2006/relationships/hyperlink" Target="http://intranet.adfactorspr.com/" TargetMode="External"/><Relationship Id="rId43" Type="http://schemas.openxmlformats.org/officeDocument/2006/relationships/hyperlink" Target="http://www.dgda.gov.sa/" TargetMode="External"/><Relationship Id="rId46" Type="http://schemas.openxmlformats.org/officeDocument/2006/relationships/hyperlink" Target="http://intranet.adfactorspr.com/" TargetMode="External"/><Relationship Id="rId45" Type="http://schemas.openxmlformats.org/officeDocument/2006/relationships/hyperlink" Target="http://intranet.adfactorspr.com/" TargetMode="External"/><Relationship Id="rId509" Type="http://schemas.openxmlformats.org/officeDocument/2006/relationships/hyperlink" Target="http://www.dgda.gov.sa/" TargetMode="External"/><Relationship Id="rId508" Type="http://schemas.openxmlformats.org/officeDocument/2006/relationships/hyperlink" Target="http://www.dgda.gov.sa/" TargetMode="External"/><Relationship Id="rId503" Type="http://schemas.openxmlformats.org/officeDocument/2006/relationships/hyperlink" Target="http://www.dgda.gov.sa/" TargetMode="External"/><Relationship Id="rId745" Type="http://schemas.openxmlformats.org/officeDocument/2006/relationships/hyperlink" Target="http://vajraglobal.com/" TargetMode="External"/><Relationship Id="rId502" Type="http://schemas.openxmlformats.org/officeDocument/2006/relationships/hyperlink" Target="http://www.dgda.gov.sa/" TargetMode="External"/><Relationship Id="rId744" Type="http://schemas.openxmlformats.org/officeDocument/2006/relationships/hyperlink" Target="http://vajraglobal.com/" TargetMode="External"/><Relationship Id="rId501" Type="http://schemas.openxmlformats.org/officeDocument/2006/relationships/hyperlink" Target="http://www.dgda.gov.sa/" TargetMode="External"/><Relationship Id="rId743" Type="http://schemas.openxmlformats.org/officeDocument/2006/relationships/hyperlink" Target="http://www.dgda.gov.sa/" TargetMode="External"/><Relationship Id="rId500" Type="http://schemas.openxmlformats.org/officeDocument/2006/relationships/hyperlink" Target="http://www.dgda.gov.sa/" TargetMode="External"/><Relationship Id="rId742" Type="http://schemas.openxmlformats.org/officeDocument/2006/relationships/hyperlink" Target="http://farnborough.com/" TargetMode="External"/><Relationship Id="rId507" Type="http://schemas.openxmlformats.org/officeDocument/2006/relationships/hyperlink" Target="http://www.dgda.gov.sa/" TargetMode="External"/><Relationship Id="rId749" Type="http://schemas.openxmlformats.org/officeDocument/2006/relationships/hyperlink" Target="http://www.dgda.gov.sa/" TargetMode="External"/><Relationship Id="rId506" Type="http://schemas.openxmlformats.org/officeDocument/2006/relationships/hyperlink" Target="http://farnboroughairshow.com/" TargetMode="External"/><Relationship Id="rId748" Type="http://schemas.openxmlformats.org/officeDocument/2006/relationships/hyperlink" Target="http://farnboroughairshow.com/" TargetMode="External"/><Relationship Id="rId505" Type="http://schemas.openxmlformats.org/officeDocument/2006/relationships/hyperlink" Target="http://www.dgda.gov.sa/" TargetMode="External"/><Relationship Id="rId747" Type="http://schemas.openxmlformats.org/officeDocument/2006/relationships/hyperlink" Target="http://farnboroughinternationalstudios.com/" TargetMode="External"/><Relationship Id="rId504" Type="http://schemas.openxmlformats.org/officeDocument/2006/relationships/hyperlink" Target="http://www.dgda.gov.sa/" TargetMode="External"/><Relationship Id="rId746" Type="http://schemas.openxmlformats.org/officeDocument/2006/relationships/hyperlink" Target="http://farnboroughairshow.com/" TargetMode="External"/><Relationship Id="rId48" Type="http://schemas.openxmlformats.org/officeDocument/2006/relationships/hyperlink" Target="http://www.dgs.sa/" TargetMode="External"/><Relationship Id="rId47" Type="http://schemas.openxmlformats.org/officeDocument/2006/relationships/hyperlink" Target="http://farnborough.com/" TargetMode="External"/><Relationship Id="rId49" Type="http://schemas.openxmlformats.org/officeDocument/2006/relationships/hyperlink" Target="http://www.dgs.sa/" TargetMode="External"/><Relationship Id="rId741" Type="http://schemas.openxmlformats.org/officeDocument/2006/relationships/hyperlink" Target="http://vajraglobal.com/" TargetMode="External"/><Relationship Id="rId740" Type="http://schemas.openxmlformats.org/officeDocument/2006/relationships/hyperlink" Target="http://vajraglobal.com/" TargetMode="External"/><Relationship Id="rId31" Type="http://schemas.openxmlformats.org/officeDocument/2006/relationships/hyperlink" Target="http://www.dgs.sa/" TargetMode="External"/><Relationship Id="rId30" Type="http://schemas.openxmlformats.org/officeDocument/2006/relationships/hyperlink" Target="http://www.dgs.sa/" TargetMode="External"/><Relationship Id="rId33" Type="http://schemas.openxmlformats.org/officeDocument/2006/relationships/hyperlink" Target="http://www.dgs.sa/" TargetMode="External"/><Relationship Id="rId32" Type="http://schemas.openxmlformats.org/officeDocument/2006/relationships/hyperlink" Target="http://www.dgs.sa/" TargetMode="External"/><Relationship Id="rId35" Type="http://schemas.openxmlformats.org/officeDocument/2006/relationships/hyperlink" Target="http://intranet.adfactorspr.com/" TargetMode="External"/><Relationship Id="rId34" Type="http://schemas.openxmlformats.org/officeDocument/2006/relationships/hyperlink" Target="http://intranet.adfactorspr.com/" TargetMode="External"/><Relationship Id="rId739" Type="http://schemas.openxmlformats.org/officeDocument/2006/relationships/hyperlink" Target="http://vajraglobal.com/" TargetMode="External"/><Relationship Id="rId734" Type="http://schemas.openxmlformats.org/officeDocument/2006/relationships/hyperlink" Target="http://vajraglobal.com/" TargetMode="External"/><Relationship Id="rId733" Type="http://schemas.openxmlformats.org/officeDocument/2006/relationships/hyperlink" Target="http://vajraglobal.com/" TargetMode="External"/><Relationship Id="rId732" Type="http://schemas.openxmlformats.org/officeDocument/2006/relationships/hyperlink" Target="http://vajraglobal.com/" TargetMode="External"/><Relationship Id="rId731" Type="http://schemas.openxmlformats.org/officeDocument/2006/relationships/hyperlink" Target="http://vajraglobal.com/" TargetMode="External"/><Relationship Id="rId738" Type="http://schemas.openxmlformats.org/officeDocument/2006/relationships/hyperlink" Target="http://vajraglobal.com/" TargetMode="External"/><Relationship Id="rId737" Type="http://schemas.openxmlformats.org/officeDocument/2006/relationships/hyperlink" Target="http://vajraglobal.com/" TargetMode="External"/><Relationship Id="rId736" Type="http://schemas.openxmlformats.org/officeDocument/2006/relationships/hyperlink" Target="http://vajraglobal.com/" TargetMode="External"/><Relationship Id="rId735" Type="http://schemas.openxmlformats.org/officeDocument/2006/relationships/hyperlink" Target="http://vajraglobal.com/" TargetMode="External"/><Relationship Id="rId37" Type="http://schemas.openxmlformats.org/officeDocument/2006/relationships/hyperlink" Target="http://www.dgs.sa/" TargetMode="External"/><Relationship Id="rId36" Type="http://schemas.openxmlformats.org/officeDocument/2006/relationships/hyperlink" Target="http://www.dgs.sa/" TargetMode="External"/><Relationship Id="rId39" Type="http://schemas.openxmlformats.org/officeDocument/2006/relationships/hyperlink" Target="http://www.dgda.gov.sa/" TargetMode="External"/><Relationship Id="rId38" Type="http://schemas.openxmlformats.org/officeDocument/2006/relationships/hyperlink" Target="http://intranet.adfactorspr.com/" TargetMode="External"/><Relationship Id="rId730" Type="http://schemas.openxmlformats.org/officeDocument/2006/relationships/hyperlink" Target="http://vajraglobal.com/" TargetMode="External"/><Relationship Id="rId20" Type="http://schemas.openxmlformats.org/officeDocument/2006/relationships/hyperlink" Target="http://farnboroughairshow.com/" TargetMode="External"/><Relationship Id="rId22" Type="http://schemas.openxmlformats.org/officeDocument/2006/relationships/hyperlink" Target="http://farnboroughairshow.com/" TargetMode="External"/><Relationship Id="rId21" Type="http://schemas.openxmlformats.org/officeDocument/2006/relationships/hyperlink" Target="http://farnboroughairshow.com/" TargetMode="External"/><Relationship Id="rId24" Type="http://schemas.openxmlformats.org/officeDocument/2006/relationships/hyperlink" Target="http://farnboroughairshow.com/" TargetMode="External"/><Relationship Id="rId23" Type="http://schemas.openxmlformats.org/officeDocument/2006/relationships/hyperlink" Target="http://farnboroughairshow.com/" TargetMode="External"/><Relationship Id="rId525" Type="http://schemas.openxmlformats.org/officeDocument/2006/relationships/hyperlink" Target="https://www.indiatoday.in/amp/technology/news/story/github-suffers-breach-in-internal-code-hackers-claim-they-have-source-code-for-sale-2914354-2026-05-20" TargetMode="External"/><Relationship Id="rId524" Type="http://schemas.openxmlformats.org/officeDocument/2006/relationships/hyperlink" Target="http://www.dgda.gov.sa/" TargetMode="External"/><Relationship Id="rId523" Type="http://schemas.openxmlformats.org/officeDocument/2006/relationships/hyperlink" Target="http://www.dgda.gov.sa/" TargetMode="External"/><Relationship Id="rId522" Type="http://schemas.openxmlformats.org/officeDocument/2006/relationships/hyperlink" Target="http://www.dgda.gov.sa/" TargetMode="External"/><Relationship Id="rId529" Type="http://schemas.openxmlformats.org/officeDocument/2006/relationships/hyperlink" Target="http://www.dgda.gov.sa/" TargetMode="External"/><Relationship Id="rId528" Type="http://schemas.openxmlformats.org/officeDocument/2006/relationships/hyperlink" Target="http://intranet.adfactorspr.com/" TargetMode="External"/><Relationship Id="rId527" Type="http://schemas.openxmlformats.org/officeDocument/2006/relationships/hyperlink" Target="http://farnboroughairshow.com/" TargetMode="External"/><Relationship Id="rId526" Type="http://schemas.openxmlformats.org/officeDocument/2006/relationships/hyperlink" Target="http://intranet.adfactorspr.com/" TargetMode="External"/><Relationship Id="rId26" Type="http://schemas.openxmlformats.org/officeDocument/2006/relationships/hyperlink" Target="http://farnboroughairshow.com/" TargetMode="External"/><Relationship Id="rId25" Type="http://schemas.openxmlformats.org/officeDocument/2006/relationships/hyperlink" Target="http://farnboroughairshow.com/" TargetMode="External"/><Relationship Id="rId28" Type="http://schemas.openxmlformats.org/officeDocument/2006/relationships/hyperlink" Target="http://farnboroughairshow.com/" TargetMode="External"/><Relationship Id="rId27" Type="http://schemas.openxmlformats.org/officeDocument/2006/relationships/hyperlink" Target="http://farnboroughairshow.com/" TargetMode="External"/><Relationship Id="rId521" Type="http://schemas.openxmlformats.org/officeDocument/2006/relationships/hyperlink" Target="http://www.dgda.gov.sa/" TargetMode="External"/><Relationship Id="rId29" Type="http://schemas.openxmlformats.org/officeDocument/2006/relationships/hyperlink" Target="http://www.dgs.sa/" TargetMode="External"/><Relationship Id="rId520" Type="http://schemas.openxmlformats.org/officeDocument/2006/relationships/hyperlink" Target="http://www.dgda.gov.sa/" TargetMode="External"/><Relationship Id="rId11" Type="http://schemas.openxmlformats.org/officeDocument/2006/relationships/hyperlink" Target="http://farnboroughairshow.com/" TargetMode="External"/><Relationship Id="rId10" Type="http://schemas.openxmlformats.org/officeDocument/2006/relationships/hyperlink" Target="http://farnboroughairshow.com/" TargetMode="External"/><Relationship Id="rId13" Type="http://schemas.openxmlformats.org/officeDocument/2006/relationships/hyperlink" Target="http://farnboroughairshow.com/" TargetMode="External"/><Relationship Id="rId12" Type="http://schemas.openxmlformats.org/officeDocument/2006/relationships/hyperlink" Target="http://farnboroughairshow.com/" TargetMode="External"/><Relationship Id="rId519" Type="http://schemas.openxmlformats.org/officeDocument/2006/relationships/hyperlink" Target="https://msmehealthengine.fametn.com/" TargetMode="External"/><Relationship Id="rId514" Type="http://schemas.openxmlformats.org/officeDocument/2006/relationships/hyperlink" Target="http://intranet.adfactorspr.com/" TargetMode="External"/><Relationship Id="rId513" Type="http://schemas.openxmlformats.org/officeDocument/2006/relationships/hyperlink" Target="http://intranet.adfactorspr.com/" TargetMode="External"/><Relationship Id="rId512" Type="http://schemas.openxmlformats.org/officeDocument/2006/relationships/hyperlink" Target="http://intranet.adfactorspr.com/" TargetMode="External"/><Relationship Id="rId511" Type="http://schemas.openxmlformats.org/officeDocument/2006/relationships/hyperlink" Target="http://intranet.adfactorspr.com/" TargetMode="External"/><Relationship Id="rId518" Type="http://schemas.openxmlformats.org/officeDocument/2006/relationships/hyperlink" Target="http://www.dgda.gov.sa/" TargetMode="External"/><Relationship Id="rId517" Type="http://schemas.openxmlformats.org/officeDocument/2006/relationships/hyperlink" Target="http://www.dgda.gov.sa/" TargetMode="External"/><Relationship Id="rId516" Type="http://schemas.openxmlformats.org/officeDocument/2006/relationships/hyperlink" Target="http://www.dgda.gov.sa/" TargetMode="External"/><Relationship Id="rId515" Type="http://schemas.openxmlformats.org/officeDocument/2006/relationships/hyperlink" Target="http://farnboroughinternational.org/" TargetMode="External"/><Relationship Id="rId15" Type="http://schemas.openxmlformats.org/officeDocument/2006/relationships/hyperlink" Target="http://farnboroughairshow.com/" TargetMode="External"/><Relationship Id="rId14" Type="http://schemas.openxmlformats.org/officeDocument/2006/relationships/hyperlink" Target="http://farnboroughairshow.com/" TargetMode="External"/><Relationship Id="rId17" Type="http://schemas.openxmlformats.org/officeDocument/2006/relationships/hyperlink" Target="http://farnboroughairshow.com/" TargetMode="External"/><Relationship Id="rId16" Type="http://schemas.openxmlformats.org/officeDocument/2006/relationships/hyperlink" Target="http://farnboroughairshow.com/" TargetMode="External"/><Relationship Id="rId19" Type="http://schemas.openxmlformats.org/officeDocument/2006/relationships/hyperlink" Target="http://farnboroughairshow.com/" TargetMode="External"/><Relationship Id="rId510" Type="http://schemas.openxmlformats.org/officeDocument/2006/relationships/hyperlink" Target="http://intranet.adfactorspr.com/" TargetMode="External"/><Relationship Id="rId18" Type="http://schemas.openxmlformats.org/officeDocument/2006/relationships/hyperlink" Target="http://farnboroughairshow.com/" TargetMode="External"/><Relationship Id="rId751" Type="http://schemas.openxmlformats.org/officeDocument/2006/relationships/vmlDrawing" Target="../drawings/vmlDrawing1.vml"/><Relationship Id="rId750" Type="http://schemas.openxmlformats.org/officeDocument/2006/relationships/drawing" Target="../drawings/drawing4.xml"/><Relationship Id="rId84" Type="http://schemas.openxmlformats.org/officeDocument/2006/relationships/hyperlink" Target="http://www.dgda.gov.sa/" TargetMode="External"/><Relationship Id="rId83" Type="http://schemas.openxmlformats.org/officeDocument/2006/relationships/hyperlink" Target="http://www.dgda.gov.sa/" TargetMode="External"/><Relationship Id="rId86" Type="http://schemas.openxmlformats.org/officeDocument/2006/relationships/hyperlink" Target="https://docs.google.com/document/d/14JrTxCPMuHlRzr6OHay6h2U0EtBbFR8z/edit?usp=sharing&amp;ouid=108220845174973423951&amp;rtpof=true&amp;sd=true" TargetMode="External"/><Relationship Id="rId85" Type="http://schemas.openxmlformats.org/officeDocument/2006/relationships/hyperlink" Target="http://www.dgda.gov.sa/" TargetMode="External"/><Relationship Id="rId88" Type="http://schemas.openxmlformats.org/officeDocument/2006/relationships/hyperlink" Target="https://docs.google.com/spreadsheets/d/1cmCfjMsWx0OlnTJMkif11vGhd3RAaWEj1KgHDRQE2aw/edit?usp=sharing" TargetMode="External"/><Relationship Id="rId87" Type="http://schemas.openxmlformats.org/officeDocument/2006/relationships/hyperlink" Target="http://www.dgda.gov.sa/" TargetMode="External"/><Relationship Id="rId89" Type="http://schemas.openxmlformats.org/officeDocument/2006/relationships/hyperlink" Target="http://farnboroughairshow.com/" TargetMode="External"/><Relationship Id="rId709" Type="http://schemas.openxmlformats.org/officeDocument/2006/relationships/hyperlink" Target="http://farnborough.com/" TargetMode="External"/><Relationship Id="rId708" Type="http://schemas.openxmlformats.org/officeDocument/2006/relationships/hyperlink" Target="http://vajraglobal.com/" TargetMode="External"/><Relationship Id="rId707" Type="http://schemas.openxmlformats.org/officeDocument/2006/relationships/hyperlink" Target="http://vajraglobal.com/" TargetMode="External"/><Relationship Id="rId706" Type="http://schemas.openxmlformats.org/officeDocument/2006/relationships/hyperlink" Target="http://www.dgda.gov.sa/" TargetMode="External"/><Relationship Id="rId80" Type="http://schemas.openxmlformats.org/officeDocument/2006/relationships/hyperlink" Target="http://vajraglobal.com/" TargetMode="External"/><Relationship Id="rId82" Type="http://schemas.openxmlformats.org/officeDocument/2006/relationships/hyperlink" Target="http://www.astonbrooke.co.uk/" TargetMode="External"/><Relationship Id="rId81" Type="http://schemas.openxmlformats.org/officeDocument/2006/relationships/hyperlink" Target="http://www.dgs.sa/" TargetMode="External"/><Relationship Id="rId701" Type="http://schemas.openxmlformats.org/officeDocument/2006/relationships/hyperlink" Target="http://www.dgda.gov.sa/" TargetMode="External"/><Relationship Id="rId700" Type="http://schemas.openxmlformats.org/officeDocument/2006/relationships/hyperlink" Target="http://www.dgda.gov.sa/" TargetMode="External"/><Relationship Id="rId705" Type="http://schemas.openxmlformats.org/officeDocument/2006/relationships/hyperlink" Target="http://farnborough.com/" TargetMode="External"/><Relationship Id="rId704" Type="http://schemas.openxmlformats.org/officeDocument/2006/relationships/hyperlink" Target="http://intranet.adfactorspr.com/" TargetMode="External"/><Relationship Id="rId703" Type="http://schemas.openxmlformats.org/officeDocument/2006/relationships/hyperlink" Target="http://vajraglobal.com/" TargetMode="External"/><Relationship Id="rId702" Type="http://schemas.openxmlformats.org/officeDocument/2006/relationships/hyperlink" Target="http://farnborough.com/" TargetMode="External"/><Relationship Id="rId73" Type="http://schemas.openxmlformats.org/officeDocument/2006/relationships/hyperlink" Target="http://vajraglobal.com/" TargetMode="External"/><Relationship Id="rId72" Type="http://schemas.openxmlformats.org/officeDocument/2006/relationships/hyperlink" Target="http://farnboroughairshow.com/" TargetMode="External"/><Relationship Id="rId75" Type="http://schemas.openxmlformats.org/officeDocument/2006/relationships/hyperlink" Target="http://vajraglobal.com/" TargetMode="External"/><Relationship Id="rId74" Type="http://schemas.openxmlformats.org/officeDocument/2006/relationships/hyperlink" Target="https://docs.google.com/document/d/1c39I-9IXY4wiIkO-Tbb23nT8744QtriKpyZKnycb7Is/edit?usp=sharing" TargetMode="External"/><Relationship Id="rId77" Type="http://schemas.openxmlformats.org/officeDocument/2006/relationships/hyperlink" Target="http://www.dgda.gov.sa/" TargetMode="External"/><Relationship Id="rId76" Type="http://schemas.openxmlformats.org/officeDocument/2006/relationships/hyperlink" Target="https://docs.google.com/document/d/15_puo_73h4MYjs_mONaUVgo3RA2B61JQ9qWLevPCmcs/edit?usp=sharing" TargetMode="External"/><Relationship Id="rId79" Type="http://schemas.openxmlformats.org/officeDocument/2006/relationships/hyperlink" Target="http://vajraglobal.com/" TargetMode="External"/><Relationship Id="rId78" Type="http://schemas.openxmlformats.org/officeDocument/2006/relationships/hyperlink" Target="http://www.dgda.gov.sa/" TargetMode="External"/><Relationship Id="rId71" Type="http://schemas.openxmlformats.org/officeDocument/2006/relationships/hyperlink" Target="http://www.dgs.sa/" TargetMode="External"/><Relationship Id="rId70" Type="http://schemas.openxmlformats.org/officeDocument/2006/relationships/hyperlink" Target="http://farnborough.com/" TargetMode="External"/><Relationship Id="rId62" Type="http://schemas.openxmlformats.org/officeDocument/2006/relationships/hyperlink" Target="http://www.dgda.gov.sa/" TargetMode="External"/><Relationship Id="rId61" Type="http://schemas.openxmlformats.org/officeDocument/2006/relationships/hyperlink" Target="http://www.dgda.gov.sa/" TargetMode="External"/><Relationship Id="rId64" Type="http://schemas.openxmlformats.org/officeDocument/2006/relationships/hyperlink" Target="http://www.dgda.gov.sa/" TargetMode="External"/><Relationship Id="rId63" Type="http://schemas.openxmlformats.org/officeDocument/2006/relationships/hyperlink" Target="http://www.dgda.gov.sa/" TargetMode="External"/><Relationship Id="rId66" Type="http://schemas.openxmlformats.org/officeDocument/2006/relationships/hyperlink" Target="http://www.dgda.gov.sa/" TargetMode="External"/><Relationship Id="rId65" Type="http://schemas.openxmlformats.org/officeDocument/2006/relationships/hyperlink" Target="http://www.dgda.gov.sa/" TargetMode="External"/><Relationship Id="rId68" Type="http://schemas.openxmlformats.org/officeDocument/2006/relationships/hyperlink" Target="http://www.dgs.sa/" TargetMode="External"/><Relationship Id="rId67" Type="http://schemas.openxmlformats.org/officeDocument/2006/relationships/hyperlink" Target="http://www.dgs.sa/" TargetMode="External"/><Relationship Id="rId729" Type="http://schemas.openxmlformats.org/officeDocument/2006/relationships/hyperlink" Target="http://vajraglobal.com/" TargetMode="External"/><Relationship Id="rId728" Type="http://schemas.openxmlformats.org/officeDocument/2006/relationships/hyperlink" Target="http://vajraglobal.com/" TargetMode="External"/><Relationship Id="rId60" Type="http://schemas.openxmlformats.org/officeDocument/2006/relationships/hyperlink" Target="http://www.dgda.gov.sa/" TargetMode="External"/><Relationship Id="rId723" Type="http://schemas.openxmlformats.org/officeDocument/2006/relationships/hyperlink" Target="http://vajraglobal.com/" TargetMode="External"/><Relationship Id="rId722" Type="http://schemas.openxmlformats.org/officeDocument/2006/relationships/hyperlink" Target="http://vajraglobal.com/" TargetMode="External"/><Relationship Id="rId721" Type="http://schemas.openxmlformats.org/officeDocument/2006/relationships/hyperlink" Target="http://vajraglobal.com/" TargetMode="External"/><Relationship Id="rId720" Type="http://schemas.openxmlformats.org/officeDocument/2006/relationships/hyperlink" Target="http://vajraglobal.com/" TargetMode="External"/><Relationship Id="rId727" Type="http://schemas.openxmlformats.org/officeDocument/2006/relationships/hyperlink" Target="http://vajraglobal.com/" TargetMode="External"/><Relationship Id="rId726" Type="http://schemas.openxmlformats.org/officeDocument/2006/relationships/hyperlink" Target="http://vajraglobal.com/" TargetMode="External"/><Relationship Id="rId725" Type="http://schemas.openxmlformats.org/officeDocument/2006/relationships/hyperlink" Target="http://vajraglobal.com/" TargetMode="External"/><Relationship Id="rId724" Type="http://schemas.openxmlformats.org/officeDocument/2006/relationships/hyperlink" Target="http://vajraglobal.com/" TargetMode="External"/><Relationship Id="rId69" Type="http://schemas.openxmlformats.org/officeDocument/2006/relationships/hyperlink" Target="http://farnborough.com/" TargetMode="External"/><Relationship Id="rId51" Type="http://schemas.openxmlformats.org/officeDocument/2006/relationships/hyperlink" Target="http://www.dgda.gov.sa/" TargetMode="External"/><Relationship Id="rId50" Type="http://schemas.openxmlformats.org/officeDocument/2006/relationships/hyperlink" Target="http://www.dgda.gov.sa/" TargetMode="External"/><Relationship Id="rId53" Type="http://schemas.openxmlformats.org/officeDocument/2006/relationships/hyperlink" Target="http://www.dgda.gov.sa/" TargetMode="External"/><Relationship Id="rId52" Type="http://schemas.openxmlformats.org/officeDocument/2006/relationships/hyperlink" Target="http://www.dgda.gov.sa/" TargetMode="External"/><Relationship Id="rId55" Type="http://schemas.openxmlformats.org/officeDocument/2006/relationships/hyperlink" Target="http://farnboroughairshow.com/" TargetMode="External"/><Relationship Id="rId54" Type="http://schemas.openxmlformats.org/officeDocument/2006/relationships/hyperlink" Target="http://intranet.adfactorspr.com/" TargetMode="External"/><Relationship Id="rId57" Type="http://schemas.openxmlformats.org/officeDocument/2006/relationships/hyperlink" Target="http://www.dgda.gov.sa/" TargetMode="External"/><Relationship Id="rId56" Type="http://schemas.openxmlformats.org/officeDocument/2006/relationships/hyperlink" Target="http://www.dgda.gov.sa/" TargetMode="External"/><Relationship Id="rId719" Type="http://schemas.openxmlformats.org/officeDocument/2006/relationships/hyperlink" Target="http://vajraglobal.com/" TargetMode="External"/><Relationship Id="rId718" Type="http://schemas.openxmlformats.org/officeDocument/2006/relationships/hyperlink" Target="http://farnboroughinternationalstudios.com/" TargetMode="External"/><Relationship Id="rId717" Type="http://schemas.openxmlformats.org/officeDocument/2006/relationships/hyperlink" Target="http://www.dgda.gov.sa/" TargetMode="External"/><Relationship Id="rId712" Type="http://schemas.openxmlformats.org/officeDocument/2006/relationships/hyperlink" Target="http://farnborough.com/" TargetMode="External"/><Relationship Id="rId711" Type="http://schemas.openxmlformats.org/officeDocument/2006/relationships/hyperlink" Target="http://farnborough.com/" TargetMode="External"/><Relationship Id="rId710" Type="http://schemas.openxmlformats.org/officeDocument/2006/relationships/hyperlink" Target="http://farnboroughairshow.com/" TargetMode="External"/><Relationship Id="rId716" Type="http://schemas.openxmlformats.org/officeDocument/2006/relationships/hyperlink" Target="http://farnborough.com/" TargetMode="External"/><Relationship Id="rId715" Type="http://schemas.openxmlformats.org/officeDocument/2006/relationships/hyperlink" Target="http://farnboroughinternationalstudios.com/" TargetMode="External"/><Relationship Id="rId714" Type="http://schemas.openxmlformats.org/officeDocument/2006/relationships/hyperlink" Target="http://farnboroughairshow.com/" TargetMode="External"/><Relationship Id="rId713" Type="http://schemas.openxmlformats.org/officeDocument/2006/relationships/hyperlink" Target="http://farnboroughairshow.com/" TargetMode="External"/><Relationship Id="rId59" Type="http://schemas.openxmlformats.org/officeDocument/2006/relationships/hyperlink" Target="http://www.dgda.gov.sa/" TargetMode="External"/><Relationship Id="rId58" Type="http://schemas.openxmlformats.org/officeDocument/2006/relationships/hyperlink" Target="https://preview-preprod.dgda.gov.sa/en/contact-us/diriyah-horizons" TargetMode="External"/><Relationship Id="rId590" Type="http://schemas.openxmlformats.org/officeDocument/2006/relationships/hyperlink" Target="http://www.dgda.gov.sa/" TargetMode="External"/><Relationship Id="rId107" Type="http://schemas.openxmlformats.org/officeDocument/2006/relationships/hyperlink" Target="https://www.figma.com/design/rFsGHt32JQmdSu5yTx6Ni3/Farnborough-studios?node-id=128-2&amp;t=b4BY2SVqY9tQB9mE-0" TargetMode="External"/><Relationship Id="rId349" Type="http://schemas.openxmlformats.org/officeDocument/2006/relationships/hyperlink" Target="https://docs.google.com/presentation/d/1bVxbVlIFbB2UTiBRq-zjlK58qrXlAQva0RuVYrTzLtY/edit?slide=id.p6" TargetMode="External"/><Relationship Id="rId106" Type="http://schemas.openxmlformats.org/officeDocument/2006/relationships/hyperlink" Target="http://farnboroughinternationalstudios.com/" TargetMode="External"/><Relationship Id="rId348" Type="http://schemas.openxmlformats.org/officeDocument/2006/relationships/hyperlink" Target="https://docs.google.com/spreadsheets/d/1okaf9ZGPrrHVn_POuk1bnaQcE095mNSyz59ki8MfdEs/edit?gid=0" TargetMode="External"/><Relationship Id="rId105" Type="http://schemas.openxmlformats.org/officeDocument/2006/relationships/hyperlink" Target="http://www.dgda.gov.sa/" TargetMode="External"/><Relationship Id="rId347" Type="http://schemas.openxmlformats.org/officeDocument/2006/relationships/hyperlink" Target="http://www.dgda.gov.sa/" TargetMode="External"/><Relationship Id="rId589" Type="http://schemas.openxmlformats.org/officeDocument/2006/relationships/hyperlink" Target="http://www.dgda.gov.sa/" TargetMode="External"/><Relationship Id="rId104" Type="http://schemas.openxmlformats.org/officeDocument/2006/relationships/hyperlink" Target="http://www.dgda.gov.sa/" TargetMode="External"/><Relationship Id="rId346" Type="http://schemas.openxmlformats.org/officeDocument/2006/relationships/hyperlink" Target="http://intranet.adfactorspr.com/" TargetMode="External"/><Relationship Id="rId588" Type="http://schemas.openxmlformats.org/officeDocument/2006/relationships/hyperlink" Target="http://www.dgda.gov.sa/" TargetMode="External"/><Relationship Id="rId109" Type="http://schemas.openxmlformats.org/officeDocument/2006/relationships/hyperlink" Target="http://www.dgda.gov.sa/" TargetMode="External"/><Relationship Id="rId108" Type="http://schemas.openxmlformats.org/officeDocument/2006/relationships/hyperlink" Target="http://farnborough.com/" TargetMode="External"/><Relationship Id="rId341" Type="http://schemas.openxmlformats.org/officeDocument/2006/relationships/hyperlink" Target="http://intranet.adfactorspr.com/" TargetMode="External"/><Relationship Id="rId583" Type="http://schemas.openxmlformats.org/officeDocument/2006/relationships/hyperlink" Target="http://www.dgda.gov.sa/" TargetMode="External"/><Relationship Id="rId340" Type="http://schemas.openxmlformats.org/officeDocument/2006/relationships/hyperlink" Target="http://intranet.adfactorspr.com/" TargetMode="External"/><Relationship Id="rId582" Type="http://schemas.openxmlformats.org/officeDocument/2006/relationships/hyperlink" Target="http://www.dgda.gov.sa/" TargetMode="External"/><Relationship Id="rId581" Type="http://schemas.openxmlformats.org/officeDocument/2006/relationships/hyperlink" Target="http://intranet.adfactorspr.com/" TargetMode="External"/><Relationship Id="rId580" Type="http://schemas.openxmlformats.org/officeDocument/2006/relationships/hyperlink" Target="http://vajraglobal.com/" TargetMode="External"/><Relationship Id="rId103" Type="http://schemas.openxmlformats.org/officeDocument/2006/relationships/hyperlink" Target="http://www.dgda.gov.sa/" TargetMode="External"/><Relationship Id="rId345" Type="http://schemas.openxmlformats.org/officeDocument/2006/relationships/hyperlink" Target="http://intranet.adfactorspr.com/" TargetMode="External"/><Relationship Id="rId587" Type="http://schemas.openxmlformats.org/officeDocument/2006/relationships/hyperlink" Target="http://www.dgda.gov.sa/" TargetMode="External"/><Relationship Id="rId102" Type="http://schemas.openxmlformats.org/officeDocument/2006/relationships/hyperlink" Target="http://www.dgda.gov.sa/" TargetMode="External"/><Relationship Id="rId344" Type="http://schemas.openxmlformats.org/officeDocument/2006/relationships/hyperlink" Target="http://intranet.adfactorspr.com/" TargetMode="External"/><Relationship Id="rId586" Type="http://schemas.openxmlformats.org/officeDocument/2006/relationships/hyperlink" Target="http://www.dgda.gov.sa/" TargetMode="External"/><Relationship Id="rId101" Type="http://schemas.openxmlformats.org/officeDocument/2006/relationships/hyperlink" Target="http://intranet.adfactorspr.com/" TargetMode="External"/><Relationship Id="rId343" Type="http://schemas.openxmlformats.org/officeDocument/2006/relationships/hyperlink" Target="http://intranet.adfactorspr.com/" TargetMode="External"/><Relationship Id="rId585" Type="http://schemas.openxmlformats.org/officeDocument/2006/relationships/hyperlink" Target="http://www.dgda.gov.sa/" TargetMode="External"/><Relationship Id="rId100" Type="http://schemas.openxmlformats.org/officeDocument/2006/relationships/hyperlink" Target="http://farnboroughairshow.com/" TargetMode="External"/><Relationship Id="rId342" Type="http://schemas.openxmlformats.org/officeDocument/2006/relationships/hyperlink" Target="http://intranet.adfactorspr.com/" TargetMode="External"/><Relationship Id="rId584" Type="http://schemas.openxmlformats.org/officeDocument/2006/relationships/hyperlink" Target="http://www.dgda.gov.sa/" TargetMode="External"/><Relationship Id="rId338" Type="http://schemas.openxmlformats.org/officeDocument/2006/relationships/hyperlink" Target="http://intranet.adfactorspr.com/" TargetMode="External"/><Relationship Id="rId337" Type="http://schemas.openxmlformats.org/officeDocument/2006/relationships/hyperlink" Target="http://intranet.adfactorspr.com/" TargetMode="External"/><Relationship Id="rId579" Type="http://schemas.openxmlformats.org/officeDocument/2006/relationships/hyperlink" Target="http://vajraglobal.com/" TargetMode="External"/><Relationship Id="rId336" Type="http://schemas.openxmlformats.org/officeDocument/2006/relationships/hyperlink" Target="http://intranet.adfactorspr.com/" TargetMode="External"/><Relationship Id="rId578" Type="http://schemas.openxmlformats.org/officeDocument/2006/relationships/hyperlink" Target="http://intranet.adfactorspr.com/" TargetMode="External"/><Relationship Id="rId335" Type="http://schemas.openxmlformats.org/officeDocument/2006/relationships/hyperlink" Target="http://intranet.adfactorspr.com/" TargetMode="External"/><Relationship Id="rId577" Type="http://schemas.openxmlformats.org/officeDocument/2006/relationships/hyperlink" Target="http://intranet.adfactorspr.com/" TargetMode="External"/><Relationship Id="rId339" Type="http://schemas.openxmlformats.org/officeDocument/2006/relationships/hyperlink" Target="http://intranet.adfactorspr.com/" TargetMode="External"/><Relationship Id="rId330" Type="http://schemas.openxmlformats.org/officeDocument/2006/relationships/hyperlink" Target="http://intranet.adfactorspr.com/" TargetMode="External"/><Relationship Id="rId572" Type="http://schemas.openxmlformats.org/officeDocument/2006/relationships/hyperlink" Target="http://intranet.adfactorspr.com/" TargetMode="External"/><Relationship Id="rId571" Type="http://schemas.openxmlformats.org/officeDocument/2006/relationships/hyperlink" Target="http://www.dgda.gov.sa/" TargetMode="External"/><Relationship Id="rId570" Type="http://schemas.openxmlformats.org/officeDocument/2006/relationships/hyperlink" Target="http://www.dgda.gov.sa/" TargetMode="External"/><Relationship Id="rId334" Type="http://schemas.openxmlformats.org/officeDocument/2006/relationships/hyperlink" Target="http://intranet.adfactorspr.com/" TargetMode="External"/><Relationship Id="rId576" Type="http://schemas.openxmlformats.org/officeDocument/2006/relationships/hyperlink" Target="http://intranet.adfactorspr.com/" TargetMode="External"/><Relationship Id="rId333" Type="http://schemas.openxmlformats.org/officeDocument/2006/relationships/hyperlink" Target="http://intranet.adfactorspr.com/" TargetMode="External"/><Relationship Id="rId575" Type="http://schemas.openxmlformats.org/officeDocument/2006/relationships/hyperlink" Target="http://intranet.adfactorspr.com/" TargetMode="External"/><Relationship Id="rId332" Type="http://schemas.openxmlformats.org/officeDocument/2006/relationships/hyperlink" Target="http://intranet.adfactorspr.com/" TargetMode="External"/><Relationship Id="rId574" Type="http://schemas.openxmlformats.org/officeDocument/2006/relationships/hyperlink" Target="http://intranet.adfactorspr.com/" TargetMode="External"/><Relationship Id="rId331" Type="http://schemas.openxmlformats.org/officeDocument/2006/relationships/hyperlink" Target="http://intranet.adfactorspr.com/" TargetMode="External"/><Relationship Id="rId573" Type="http://schemas.openxmlformats.org/officeDocument/2006/relationships/hyperlink" Target="http://www.dgda.gov.sa/" TargetMode="External"/><Relationship Id="rId370" Type="http://schemas.openxmlformats.org/officeDocument/2006/relationships/hyperlink" Target="http://intranet.adfactorspr.com/" TargetMode="External"/><Relationship Id="rId129" Type="http://schemas.openxmlformats.org/officeDocument/2006/relationships/hyperlink" Target="http://intranet.adfactorspr.com/" TargetMode="External"/><Relationship Id="rId128" Type="http://schemas.openxmlformats.org/officeDocument/2006/relationships/hyperlink" Target="http://intranet.adfactorspr.com/" TargetMode="External"/><Relationship Id="rId127" Type="http://schemas.openxmlformats.org/officeDocument/2006/relationships/hyperlink" Target="http://www.dgda.gov.sa/" TargetMode="External"/><Relationship Id="rId369" Type="http://schemas.openxmlformats.org/officeDocument/2006/relationships/hyperlink" Target="http://farnboroughairshow.com/" TargetMode="External"/><Relationship Id="rId126" Type="http://schemas.openxmlformats.org/officeDocument/2006/relationships/hyperlink" Target="http://farnboroughairshow.com/" TargetMode="External"/><Relationship Id="rId368" Type="http://schemas.openxmlformats.org/officeDocument/2006/relationships/hyperlink" Target="http://intranet.adfactorspr.com/" TargetMode="External"/><Relationship Id="rId121" Type="http://schemas.openxmlformats.org/officeDocument/2006/relationships/hyperlink" Target="https://intranetstaging.adfactorspr.com/knowledge-corner/adfactors-academy-version-2/" TargetMode="External"/><Relationship Id="rId363" Type="http://schemas.openxmlformats.org/officeDocument/2006/relationships/hyperlink" Target="http://intranet.adfactorspr.com/" TargetMode="External"/><Relationship Id="rId120" Type="http://schemas.openxmlformats.org/officeDocument/2006/relationships/hyperlink" Target="http://intranet.adfactorspr.com/" TargetMode="External"/><Relationship Id="rId362" Type="http://schemas.openxmlformats.org/officeDocument/2006/relationships/hyperlink" Target="http://intranet.adfactorspr.com/" TargetMode="External"/><Relationship Id="rId361" Type="http://schemas.openxmlformats.org/officeDocument/2006/relationships/hyperlink" Target="http://intranet.adfactorspr.com/" TargetMode="External"/><Relationship Id="rId360" Type="http://schemas.openxmlformats.org/officeDocument/2006/relationships/hyperlink" Target="http://intranet.adfactorspr.com/" TargetMode="External"/><Relationship Id="rId125" Type="http://schemas.openxmlformats.org/officeDocument/2006/relationships/hyperlink" Target="http://intranet.adfactorspr.com/" TargetMode="External"/><Relationship Id="rId367" Type="http://schemas.openxmlformats.org/officeDocument/2006/relationships/hyperlink" Target="http://farnboroughairshow.com/" TargetMode="External"/><Relationship Id="rId124" Type="http://schemas.openxmlformats.org/officeDocument/2006/relationships/hyperlink" Target="http://www.dgda.gov.sa/" TargetMode="External"/><Relationship Id="rId366" Type="http://schemas.openxmlformats.org/officeDocument/2006/relationships/hyperlink" Target="https://feat-research-inquiry.d38541r9nlp4br.amplifyapp.com/en/learn-at-diriyah" TargetMode="External"/><Relationship Id="rId123" Type="http://schemas.openxmlformats.org/officeDocument/2006/relationships/hyperlink" Target="http://farnborough.com/" TargetMode="External"/><Relationship Id="rId365" Type="http://schemas.openxmlformats.org/officeDocument/2006/relationships/hyperlink" Target="http://www.dgda.gov.sa/" TargetMode="External"/><Relationship Id="rId122" Type="http://schemas.openxmlformats.org/officeDocument/2006/relationships/hyperlink" Target="http://farnboroughairshow.com/" TargetMode="External"/><Relationship Id="rId364" Type="http://schemas.openxmlformats.org/officeDocument/2006/relationships/hyperlink" Target="http://intranet.adfactorspr.com/" TargetMode="External"/><Relationship Id="rId95" Type="http://schemas.openxmlformats.org/officeDocument/2006/relationships/hyperlink" Target="http://farnboroughairshow.com/" TargetMode="External"/><Relationship Id="rId94" Type="http://schemas.openxmlformats.org/officeDocument/2006/relationships/hyperlink" Target="http://farnboroughairshow.com/" TargetMode="External"/><Relationship Id="rId97" Type="http://schemas.openxmlformats.org/officeDocument/2006/relationships/hyperlink" Target="http://www.dgda.gov.sa/" TargetMode="External"/><Relationship Id="rId96" Type="http://schemas.openxmlformats.org/officeDocument/2006/relationships/hyperlink" Target="http://farnborough.com/" TargetMode="External"/><Relationship Id="rId99" Type="http://schemas.openxmlformats.org/officeDocument/2006/relationships/hyperlink" Target="http://farnboroughairshow.com/" TargetMode="External"/><Relationship Id="rId98" Type="http://schemas.openxmlformats.org/officeDocument/2006/relationships/hyperlink" Target="http://farnboroughinternationalstudios.com/" TargetMode="External"/><Relationship Id="rId91" Type="http://schemas.openxmlformats.org/officeDocument/2006/relationships/hyperlink" Target="http://farnboroughairshow.com/" TargetMode="External"/><Relationship Id="rId90" Type="http://schemas.openxmlformats.org/officeDocument/2006/relationships/hyperlink" Target="http://farnboroughairshow.com/" TargetMode="External"/><Relationship Id="rId93" Type="http://schemas.openxmlformats.org/officeDocument/2006/relationships/hyperlink" Target="http://farnboroughairshow.com/" TargetMode="External"/><Relationship Id="rId92" Type="http://schemas.openxmlformats.org/officeDocument/2006/relationships/hyperlink" Target="http://farnboroughairshow.com/" TargetMode="External"/><Relationship Id="rId118" Type="http://schemas.openxmlformats.org/officeDocument/2006/relationships/hyperlink" Target="http://intranet.adfactorspr.com/" TargetMode="External"/><Relationship Id="rId117" Type="http://schemas.openxmlformats.org/officeDocument/2006/relationships/hyperlink" Target="https://intranetstaging.adfactorspr.com/knowledge-corner/adfactors-academy/" TargetMode="External"/><Relationship Id="rId359" Type="http://schemas.openxmlformats.org/officeDocument/2006/relationships/hyperlink" Target="http://www.dgda.gov.sa/" TargetMode="External"/><Relationship Id="rId116" Type="http://schemas.openxmlformats.org/officeDocument/2006/relationships/hyperlink" Target="http://intranet.adfactorspr.com/" TargetMode="External"/><Relationship Id="rId358" Type="http://schemas.openxmlformats.org/officeDocument/2006/relationships/hyperlink" Target="http://farnboroughinternationalstudios.com/" TargetMode="External"/><Relationship Id="rId115" Type="http://schemas.openxmlformats.org/officeDocument/2006/relationships/hyperlink" Target="https://preview-preprod.dgda.gov.sa/en/about/leadership" TargetMode="External"/><Relationship Id="rId357" Type="http://schemas.openxmlformats.org/officeDocument/2006/relationships/hyperlink" Target="http://farnboroughinternationalstudios.com/" TargetMode="External"/><Relationship Id="rId599" Type="http://schemas.openxmlformats.org/officeDocument/2006/relationships/hyperlink" Target="http://intranet.adfactorspr.com/" TargetMode="External"/><Relationship Id="rId119" Type="http://schemas.openxmlformats.org/officeDocument/2006/relationships/hyperlink" Target="https://intranetstaging.adfactorspr.com/knowledge-corner/adfactors-academy/" TargetMode="External"/><Relationship Id="rId110" Type="http://schemas.openxmlformats.org/officeDocument/2006/relationships/hyperlink" Target="http://www.dgda.gov.sa/" TargetMode="External"/><Relationship Id="rId352" Type="http://schemas.openxmlformats.org/officeDocument/2006/relationships/hyperlink" Target="http://vajraglobal.com/" TargetMode="External"/><Relationship Id="rId594" Type="http://schemas.openxmlformats.org/officeDocument/2006/relationships/hyperlink" Target="http://vajraglobal.com/" TargetMode="External"/><Relationship Id="rId351" Type="http://schemas.openxmlformats.org/officeDocument/2006/relationships/hyperlink" Target="http://intranet.adfactorspr.com/" TargetMode="External"/><Relationship Id="rId593" Type="http://schemas.openxmlformats.org/officeDocument/2006/relationships/hyperlink" Target="http://www.dgda.gov.sa/" TargetMode="External"/><Relationship Id="rId350" Type="http://schemas.openxmlformats.org/officeDocument/2006/relationships/hyperlink" Target="http://intranet.adfactorspr.com/" TargetMode="External"/><Relationship Id="rId592" Type="http://schemas.openxmlformats.org/officeDocument/2006/relationships/hyperlink" Target="http://www.dgda.gov.sa/" TargetMode="External"/><Relationship Id="rId591" Type="http://schemas.openxmlformats.org/officeDocument/2006/relationships/hyperlink" Target="http://www.dgda.gov.sa/" TargetMode="External"/><Relationship Id="rId114" Type="http://schemas.openxmlformats.org/officeDocument/2006/relationships/hyperlink" Target="http://www.dgda.gov.sa/" TargetMode="External"/><Relationship Id="rId356" Type="http://schemas.openxmlformats.org/officeDocument/2006/relationships/hyperlink" Target="http://intranet.adfactorspr.com/" TargetMode="External"/><Relationship Id="rId598" Type="http://schemas.openxmlformats.org/officeDocument/2006/relationships/hyperlink" Target="http://www.dgda.gov.sa/" TargetMode="External"/><Relationship Id="rId113" Type="http://schemas.openxmlformats.org/officeDocument/2006/relationships/hyperlink" Target="http://farnboroughinternationalstudios.com/" TargetMode="External"/><Relationship Id="rId355" Type="http://schemas.openxmlformats.org/officeDocument/2006/relationships/hyperlink" Target="http://intranet.adfactorspr.com/" TargetMode="External"/><Relationship Id="rId597" Type="http://schemas.openxmlformats.org/officeDocument/2006/relationships/hyperlink" Target="http://farnboroughairshow.com/" TargetMode="External"/><Relationship Id="rId112" Type="http://schemas.openxmlformats.org/officeDocument/2006/relationships/hyperlink" Target="https://farnboroughinternationalstudios.com/film-at-farnborough-fam-trip/" TargetMode="External"/><Relationship Id="rId354" Type="http://schemas.openxmlformats.org/officeDocument/2006/relationships/hyperlink" Target="http://intranet.adfactorspr.com/" TargetMode="External"/><Relationship Id="rId596" Type="http://schemas.openxmlformats.org/officeDocument/2006/relationships/hyperlink" Target="http://farnboroughairshow.com/" TargetMode="External"/><Relationship Id="rId111" Type="http://schemas.openxmlformats.org/officeDocument/2006/relationships/hyperlink" Target="http://farnboroughinternationalstudios.com/" TargetMode="External"/><Relationship Id="rId353" Type="http://schemas.openxmlformats.org/officeDocument/2006/relationships/hyperlink" Target="http://intranet.adfactorspr.com/" TargetMode="External"/><Relationship Id="rId595" Type="http://schemas.openxmlformats.org/officeDocument/2006/relationships/hyperlink" Target="http://farnboroughairshow.com/" TargetMode="External"/><Relationship Id="rId305" Type="http://schemas.openxmlformats.org/officeDocument/2006/relationships/hyperlink" Target="https://vajraglobal.com/" TargetMode="External"/><Relationship Id="rId547" Type="http://schemas.openxmlformats.org/officeDocument/2006/relationships/hyperlink" Target="http://www.dgda.gov.sa/" TargetMode="External"/><Relationship Id="rId789" Type="http://schemas.openxmlformats.org/officeDocument/2006/relationships/table" Target="../tables/table16.xml"/><Relationship Id="rId304" Type="http://schemas.openxmlformats.org/officeDocument/2006/relationships/hyperlink" Target="http://farnboroughairshow.com/" TargetMode="External"/><Relationship Id="rId546" Type="http://schemas.openxmlformats.org/officeDocument/2006/relationships/hyperlink" Target="http://www.dgda.gov.sa/" TargetMode="External"/><Relationship Id="rId788" Type="http://schemas.openxmlformats.org/officeDocument/2006/relationships/table" Target="../tables/table15.xml"/><Relationship Id="rId303" Type="http://schemas.openxmlformats.org/officeDocument/2006/relationships/hyperlink" Target="http://farnborough.com/" TargetMode="External"/><Relationship Id="rId545" Type="http://schemas.openxmlformats.org/officeDocument/2006/relationships/hyperlink" Target="http://www.dgda.gov.sa/" TargetMode="External"/><Relationship Id="rId787" Type="http://schemas.openxmlformats.org/officeDocument/2006/relationships/table" Target="../tables/table14.xml"/><Relationship Id="rId302" Type="http://schemas.openxmlformats.org/officeDocument/2006/relationships/hyperlink" Target="http://www.dgda.gov.sa/" TargetMode="External"/><Relationship Id="rId544" Type="http://schemas.openxmlformats.org/officeDocument/2006/relationships/hyperlink" Target="http://www.dgda.gov.sa/" TargetMode="External"/><Relationship Id="rId786" Type="http://schemas.openxmlformats.org/officeDocument/2006/relationships/table" Target="../tables/table13.xml"/><Relationship Id="rId309" Type="http://schemas.openxmlformats.org/officeDocument/2006/relationships/hyperlink" Target="https://farnborough.com/" TargetMode="External"/><Relationship Id="rId308" Type="http://schemas.openxmlformats.org/officeDocument/2006/relationships/hyperlink" Target="http://farnborough.com/" TargetMode="External"/><Relationship Id="rId307" Type="http://schemas.openxmlformats.org/officeDocument/2006/relationships/hyperlink" Target="http://intranet.adfactorspr.com/" TargetMode="External"/><Relationship Id="rId549" Type="http://schemas.openxmlformats.org/officeDocument/2006/relationships/hyperlink" Target="http://www.dgda.gov.sa/" TargetMode="External"/><Relationship Id="rId306" Type="http://schemas.openxmlformats.org/officeDocument/2006/relationships/hyperlink" Target="http://farnboroughairshow.com/" TargetMode="External"/><Relationship Id="rId548" Type="http://schemas.openxmlformats.org/officeDocument/2006/relationships/hyperlink" Target="http://www.dgda.gov.sa/" TargetMode="External"/><Relationship Id="rId781" Type="http://schemas.openxmlformats.org/officeDocument/2006/relationships/table" Target="../tables/table8.xml"/><Relationship Id="rId780" Type="http://schemas.openxmlformats.org/officeDocument/2006/relationships/table" Target="../tables/table7.xml"/><Relationship Id="rId301" Type="http://schemas.openxmlformats.org/officeDocument/2006/relationships/hyperlink" Target="http://aerospaceglobalforum.com/" TargetMode="External"/><Relationship Id="rId543" Type="http://schemas.openxmlformats.org/officeDocument/2006/relationships/hyperlink" Target="http://www.dgda.gov.sa/" TargetMode="External"/><Relationship Id="rId785" Type="http://schemas.openxmlformats.org/officeDocument/2006/relationships/table" Target="../tables/table12.xml"/><Relationship Id="rId300" Type="http://schemas.openxmlformats.org/officeDocument/2006/relationships/hyperlink" Target="http://farnboroughairshow.com/" TargetMode="External"/><Relationship Id="rId542" Type="http://schemas.openxmlformats.org/officeDocument/2006/relationships/hyperlink" Target="http://farnborough.com/" TargetMode="External"/><Relationship Id="rId784" Type="http://schemas.openxmlformats.org/officeDocument/2006/relationships/table" Target="../tables/table11.xml"/><Relationship Id="rId541" Type="http://schemas.openxmlformats.org/officeDocument/2006/relationships/hyperlink" Target="http://farnborough.com/" TargetMode="External"/><Relationship Id="rId783" Type="http://schemas.openxmlformats.org/officeDocument/2006/relationships/table" Target="../tables/table10.xml"/><Relationship Id="rId540" Type="http://schemas.openxmlformats.org/officeDocument/2006/relationships/hyperlink" Target="http://www.dgda.gov.sa/" TargetMode="External"/><Relationship Id="rId782" Type="http://schemas.openxmlformats.org/officeDocument/2006/relationships/table" Target="../tables/table9.xml"/><Relationship Id="rId536" Type="http://schemas.openxmlformats.org/officeDocument/2006/relationships/hyperlink" Target="http://www.dgda.gov.sa/" TargetMode="External"/><Relationship Id="rId778" Type="http://schemas.openxmlformats.org/officeDocument/2006/relationships/table" Target="../tables/table5.xml"/><Relationship Id="rId535" Type="http://schemas.openxmlformats.org/officeDocument/2006/relationships/hyperlink" Target="http://www.dgda.gov.sa/" TargetMode="External"/><Relationship Id="rId777" Type="http://schemas.openxmlformats.org/officeDocument/2006/relationships/table" Target="../tables/table4.xml"/><Relationship Id="rId534" Type="http://schemas.openxmlformats.org/officeDocument/2006/relationships/hyperlink" Target="http://farnboroughairshow.com/" TargetMode="External"/><Relationship Id="rId776" Type="http://schemas.openxmlformats.org/officeDocument/2006/relationships/table" Target="../tables/table3.xml"/><Relationship Id="rId533" Type="http://schemas.openxmlformats.org/officeDocument/2006/relationships/hyperlink" Target="http://farnboroughairshow.com/" TargetMode="External"/><Relationship Id="rId775" Type="http://schemas.openxmlformats.org/officeDocument/2006/relationships/table" Target="../tables/table2.xml"/><Relationship Id="rId539" Type="http://schemas.openxmlformats.org/officeDocument/2006/relationships/hyperlink" Target="http://www.dgda.gov.sa/" TargetMode="External"/><Relationship Id="rId538" Type="http://schemas.openxmlformats.org/officeDocument/2006/relationships/hyperlink" Target="http://www.dgda.gov.sa/" TargetMode="External"/><Relationship Id="rId537" Type="http://schemas.openxmlformats.org/officeDocument/2006/relationships/hyperlink" Target="http://www.dgda.gov.sa/" TargetMode="External"/><Relationship Id="rId779" Type="http://schemas.openxmlformats.org/officeDocument/2006/relationships/table" Target="../tables/table6.xml"/><Relationship Id="rId532" Type="http://schemas.openxmlformats.org/officeDocument/2006/relationships/hyperlink" Target="http://www.dgda.gov.sa/" TargetMode="External"/><Relationship Id="rId531" Type="http://schemas.openxmlformats.org/officeDocument/2006/relationships/hyperlink" Target="http://www.dgda.gov.sa/" TargetMode="External"/><Relationship Id="rId530" Type="http://schemas.openxmlformats.org/officeDocument/2006/relationships/hyperlink" Target="http://farnboroughairshow.com/" TargetMode="External"/><Relationship Id="rId327" Type="http://schemas.openxmlformats.org/officeDocument/2006/relationships/hyperlink" Target="http://intranet.adfactorspr.com/" TargetMode="External"/><Relationship Id="rId569" Type="http://schemas.openxmlformats.org/officeDocument/2006/relationships/hyperlink" Target="http://farnborough.com/" TargetMode="External"/><Relationship Id="rId326" Type="http://schemas.openxmlformats.org/officeDocument/2006/relationships/hyperlink" Target="http://intranet.adfactorspr.com/" TargetMode="External"/><Relationship Id="rId568" Type="http://schemas.openxmlformats.org/officeDocument/2006/relationships/hyperlink" Target="http://www.dgda.gov.sa/" TargetMode="External"/><Relationship Id="rId325" Type="http://schemas.openxmlformats.org/officeDocument/2006/relationships/hyperlink" Target="http://intranet.adfactorspr.com/" TargetMode="External"/><Relationship Id="rId567" Type="http://schemas.openxmlformats.org/officeDocument/2006/relationships/hyperlink" Target="http://intranet.adfactorspr.com/" TargetMode="External"/><Relationship Id="rId324" Type="http://schemas.openxmlformats.org/officeDocument/2006/relationships/hyperlink" Target="http://intranet.adfactorspr.com/" TargetMode="External"/><Relationship Id="rId566" Type="http://schemas.openxmlformats.org/officeDocument/2006/relationships/hyperlink" Target="http://farnborough.com/" TargetMode="External"/><Relationship Id="rId329" Type="http://schemas.openxmlformats.org/officeDocument/2006/relationships/hyperlink" Target="http://intranet.adfactorspr.com/" TargetMode="External"/><Relationship Id="rId328" Type="http://schemas.openxmlformats.org/officeDocument/2006/relationships/hyperlink" Target="http://intranet.adfactorspr.com/" TargetMode="External"/><Relationship Id="rId561" Type="http://schemas.openxmlformats.org/officeDocument/2006/relationships/hyperlink" Target="http://farnborough.com/" TargetMode="External"/><Relationship Id="rId560" Type="http://schemas.openxmlformats.org/officeDocument/2006/relationships/hyperlink" Target="http://intranet.adfactorspr.com/" TargetMode="External"/><Relationship Id="rId323" Type="http://schemas.openxmlformats.org/officeDocument/2006/relationships/hyperlink" Target="http://intranet.adfactorspr.com/" TargetMode="External"/><Relationship Id="rId565" Type="http://schemas.openxmlformats.org/officeDocument/2006/relationships/hyperlink" Target="http://farnboroughairshow.com/" TargetMode="External"/><Relationship Id="rId322" Type="http://schemas.openxmlformats.org/officeDocument/2006/relationships/hyperlink" Target="http://intranet.adfactorspr.com/" TargetMode="External"/><Relationship Id="rId564" Type="http://schemas.openxmlformats.org/officeDocument/2006/relationships/hyperlink" Target="http://www.dgda.gov.sa/" TargetMode="External"/><Relationship Id="rId321" Type="http://schemas.openxmlformats.org/officeDocument/2006/relationships/hyperlink" Target="http://intranet.adfactorspr.com/" TargetMode="External"/><Relationship Id="rId563" Type="http://schemas.openxmlformats.org/officeDocument/2006/relationships/hyperlink" Target="http://www.dgda.gov.sa/" TargetMode="External"/><Relationship Id="rId320" Type="http://schemas.openxmlformats.org/officeDocument/2006/relationships/hyperlink" Target="http://www.dgda.gov.sa/" TargetMode="External"/><Relationship Id="rId562" Type="http://schemas.openxmlformats.org/officeDocument/2006/relationships/hyperlink" Target="http://vajraglobal.com/" TargetMode="External"/><Relationship Id="rId316" Type="http://schemas.openxmlformats.org/officeDocument/2006/relationships/hyperlink" Target="http://www.dgda.gov.sa/" TargetMode="External"/><Relationship Id="rId558" Type="http://schemas.openxmlformats.org/officeDocument/2006/relationships/hyperlink" Target="http://www.dgda.gov.sa/" TargetMode="External"/><Relationship Id="rId315" Type="http://schemas.openxmlformats.org/officeDocument/2006/relationships/hyperlink" Target="http://farnborough.com/" TargetMode="External"/><Relationship Id="rId557" Type="http://schemas.openxmlformats.org/officeDocument/2006/relationships/hyperlink" Target="https://docs.google.com/spreadsheets/d/1wDN-TQsaPOOxhlgWcuQqhUNPhx87mAUBfKShyoFqqeM/edit?gid=0" TargetMode="External"/><Relationship Id="rId314" Type="http://schemas.openxmlformats.org/officeDocument/2006/relationships/hyperlink" Target="http://www.dgda.gov.sa/" TargetMode="External"/><Relationship Id="rId556" Type="http://schemas.openxmlformats.org/officeDocument/2006/relationships/hyperlink" Target="http://www.dgda.gov.sa/" TargetMode="External"/><Relationship Id="rId313" Type="http://schemas.openxmlformats.org/officeDocument/2006/relationships/hyperlink" Target="http://farnboroughinternationalstudios.com/" TargetMode="External"/><Relationship Id="rId555" Type="http://schemas.openxmlformats.org/officeDocument/2006/relationships/hyperlink" Target="http://farnborough.com/" TargetMode="External"/><Relationship Id="rId797" Type="http://schemas.openxmlformats.org/officeDocument/2006/relationships/table" Target="../tables/table24.xml"/><Relationship Id="rId319" Type="http://schemas.openxmlformats.org/officeDocument/2006/relationships/hyperlink" Target="http://vajraglobal.com/" TargetMode="External"/><Relationship Id="rId318" Type="http://schemas.openxmlformats.org/officeDocument/2006/relationships/hyperlink" Target="http://intranet.adfactorspr.com/" TargetMode="External"/><Relationship Id="rId317" Type="http://schemas.openxmlformats.org/officeDocument/2006/relationships/hyperlink" Target="http://farnboroughairshow.com/" TargetMode="External"/><Relationship Id="rId559" Type="http://schemas.openxmlformats.org/officeDocument/2006/relationships/hyperlink" Target="http://farnborough.com/" TargetMode="External"/><Relationship Id="rId550" Type="http://schemas.openxmlformats.org/officeDocument/2006/relationships/hyperlink" Target="http://www.dgda.gov.sa/" TargetMode="External"/><Relationship Id="rId792" Type="http://schemas.openxmlformats.org/officeDocument/2006/relationships/table" Target="../tables/table19.xml"/><Relationship Id="rId791" Type="http://schemas.openxmlformats.org/officeDocument/2006/relationships/table" Target="../tables/table18.xml"/><Relationship Id="rId790" Type="http://schemas.openxmlformats.org/officeDocument/2006/relationships/table" Target="../tables/table17.xml"/><Relationship Id="rId312" Type="http://schemas.openxmlformats.org/officeDocument/2006/relationships/hyperlink" Target="http://intranet.adfactorspr.com/" TargetMode="External"/><Relationship Id="rId554" Type="http://schemas.openxmlformats.org/officeDocument/2006/relationships/hyperlink" Target="http://www.dgda.gov.sa/" TargetMode="External"/><Relationship Id="rId796" Type="http://schemas.openxmlformats.org/officeDocument/2006/relationships/table" Target="../tables/table23.xml"/><Relationship Id="rId311" Type="http://schemas.openxmlformats.org/officeDocument/2006/relationships/hyperlink" Target="http://intranet.adfactorspr.com/" TargetMode="External"/><Relationship Id="rId553" Type="http://schemas.openxmlformats.org/officeDocument/2006/relationships/hyperlink" Target="http://www.dgda.gov.sa/" TargetMode="External"/><Relationship Id="rId795" Type="http://schemas.openxmlformats.org/officeDocument/2006/relationships/table" Target="../tables/table22.xml"/><Relationship Id="rId310" Type="http://schemas.openxmlformats.org/officeDocument/2006/relationships/hyperlink" Target="http://farnboroughinternationalstudios.com/" TargetMode="External"/><Relationship Id="rId552" Type="http://schemas.openxmlformats.org/officeDocument/2006/relationships/hyperlink" Target="http://www.dgda.gov.sa/" TargetMode="External"/><Relationship Id="rId794" Type="http://schemas.openxmlformats.org/officeDocument/2006/relationships/table" Target="../tables/table21.xml"/><Relationship Id="rId551" Type="http://schemas.openxmlformats.org/officeDocument/2006/relationships/hyperlink" Target="http://www.dgda.gov.sa/" TargetMode="External"/><Relationship Id="rId793" Type="http://schemas.openxmlformats.org/officeDocument/2006/relationships/table" Target="../tables/table20.xml"/><Relationship Id="rId297" Type="http://schemas.openxmlformats.org/officeDocument/2006/relationships/hyperlink" Target="https://vajraglobal.com/" TargetMode="External"/><Relationship Id="rId296" Type="http://schemas.openxmlformats.org/officeDocument/2006/relationships/hyperlink" Target="http://farnboroughairshow.com/" TargetMode="External"/><Relationship Id="rId295" Type="http://schemas.openxmlformats.org/officeDocument/2006/relationships/hyperlink" Target="http://intranet.adfactorspr.com/" TargetMode="External"/><Relationship Id="rId294" Type="http://schemas.openxmlformats.org/officeDocument/2006/relationships/hyperlink" Target="http://farnboroughairshow.com/" TargetMode="External"/><Relationship Id="rId299" Type="http://schemas.openxmlformats.org/officeDocument/2006/relationships/hyperlink" Target="http://farnboroughairshow.com/" TargetMode="External"/><Relationship Id="rId298" Type="http://schemas.openxmlformats.org/officeDocument/2006/relationships/hyperlink" Target="http://farnboroughairshow.com/" TargetMode="External"/><Relationship Id="rId271" Type="http://schemas.openxmlformats.org/officeDocument/2006/relationships/hyperlink" Target="http://farnboroughairshow.com/" TargetMode="External"/><Relationship Id="rId270" Type="http://schemas.openxmlformats.org/officeDocument/2006/relationships/hyperlink" Target="http://farnboroughairshow.com/" TargetMode="External"/><Relationship Id="rId269" Type="http://schemas.openxmlformats.org/officeDocument/2006/relationships/hyperlink" Target="http://farnborough.com/" TargetMode="External"/><Relationship Id="rId264" Type="http://schemas.openxmlformats.org/officeDocument/2006/relationships/hyperlink" Target="http://farnboroughairshow.com/" TargetMode="External"/><Relationship Id="rId263" Type="http://schemas.openxmlformats.org/officeDocument/2006/relationships/hyperlink" Target="http://farnboroughairshow.com/" TargetMode="External"/><Relationship Id="rId262" Type="http://schemas.openxmlformats.org/officeDocument/2006/relationships/hyperlink" Target="http://farnboroughairshow.com/" TargetMode="External"/><Relationship Id="rId261" Type="http://schemas.openxmlformats.org/officeDocument/2006/relationships/hyperlink" Target="http://farnboroughairshow.com/" TargetMode="External"/><Relationship Id="rId268" Type="http://schemas.openxmlformats.org/officeDocument/2006/relationships/hyperlink" Target="http://farnboroughairshow.com/" TargetMode="External"/><Relationship Id="rId267" Type="http://schemas.openxmlformats.org/officeDocument/2006/relationships/hyperlink" Target="https://farnboroughairshow.com/marketing-page/" TargetMode="External"/><Relationship Id="rId266" Type="http://schemas.openxmlformats.org/officeDocument/2006/relationships/hyperlink" Target="http://farnboroughairshow.com/" TargetMode="External"/><Relationship Id="rId265" Type="http://schemas.openxmlformats.org/officeDocument/2006/relationships/hyperlink" Target="http://farnboroughairshow.com/" TargetMode="External"/><Relationship Id="rId260" Type="http://schemas.openxmlformats.org/officeDocument/2006/relationships/hyperlink" Target="http://intranet.adfactorspr.com/" TargetMode="External"/><Relationship Id="rId259" Type="http://schemas.openxmlformats.org/officeDocument/2006/relationships/hyperlink" Target="http://farnboroughairshow.com/" TargetMode="External"/><Relationship Id="rId258" Type="http://schemas.openxmlformats.org/officeDocument/2006/relationships/hyperlink" Target="http://intranet.adfactorspr.com/" TargetMode="External"/><Relationship Id="rId253" Type="http://schemas.openxmlformats.org/officeDocument/2006/relationships/hyperlink" Target="http://farnboroughairshow.com/" TargetMode="External"/><Relationship Id="rId495" Type="http://schemas.openxmlformats.org/officeDocument/2006/relationships/hyperlink" Target="http://farnborough.com/" TargetMode="External"/><Relationship Id="rId252" Type="http://schemas.openxmlformats.org/officeDocument/2006/relationships/hyperlink" Target="http://farnboroughairshow.com/" TargetMode="External"/><Relationship Id="rId494" Type="http://schemas.openxmlformats.org/officeDocument/2006/relationships/hyperlink" Target="http://www.dgda.gov.sa/" TargetMode="External"/><Relationship Id="rId251" Type="http://schemas.openxmlformats.org/officeDocument/2006/relationships/hyperlink" Target="https://staging.farnboroughairshow.com/pioneers-of-tomorrow/whats-on/" TargetMode="External"/><Relationship Id="rId493" Type="http://schemas.openxmlformats.org/officeDocument/2006/relationships/hyperlink" Target="http://www.dgda.gov.sa/" TargetMode="External"/><Relationship Id="rId250" Type="http://schemas.openxmlformats.org/officeDocument/2006/relationships/hyperlink" Target="http://farnboroughairshow.com/" TargetMode="External"/><Relationship Id="rId492" Type="http://schemas.openxmlformats.org/officeDocument/2006/relationships/hyperlink" Target="http://www.dgda.gov.sa/" TargetMode="External"/><Relationship Id="rId257" Type="http://schemas.openxmlformats.org/officeDocument/2006/relationships/hyperlink" Target="http://intranet.adfactorspr.com/" TargetMode="External"/><Relationship Id="rId499" Type="http://schemas.openxmlformats.org/officeDocument/2006/relationships/hyperlink" Target="http://www.dgda.gov.sa/" TargetMode="External"/><Relationship Id="rId256" Type="http://schemas.openxmlformats.org/officeDocument/2006/relationships/hyperlink" Target="http://farnborough.com/" TargetMode="External"/><Relationship Id="rId498" Type="http://schemas.openxmlformats.org/officeDocument/2006/relationships/hyperlink" Target="http://www.dgda.gov.sa/" TargetMode="External"/><Relationship Id="rId255" Type="http://schemas.openxmlformats.org/officeDocument/2006/relationships/hyperlink" Target="http://farnboroughairshow.com/" TargetMode="External"/><Relationship Id="rId497" Type="http://schemas.openxmlformats.org/officeDocument/2006/relationships/hyperlink" Target="http://vajraglobal.com/" TargetMode="External"/><Relationship Id="rId254" Type="http://schemas.openxmlformats.org/officeDocument/2006/relationships/hyperlink" Target="http://farnboroughairshow.com/" TargetMode="External"/><Relationship Id="rId496" Type="http://schemas.openxmlformats.org/officeDocument/2006/relationships/hyperlink" Target="http://www.dgda.gov.sa/" TargetMode="External"/><Relationship Id="rId293" Type="http://schemas.openxmlformats.org/officeDocument/2006/relationships/hyperlink" Target="http://farnborough.com/" TargetMode="External"/><Relationship Id="rId292" Type="http://schemas.openxmlformats.org/officeDocument/2006/relationships/hyperlink" Target="http://farnboroughairshow.com/" TargetMode="External"/><Relationship Id="rId291" Type="http://schemas.openxmlformats.org/officeDocument/2006/relationships/hyperlink" Target="http://farnboroughairshow.com/" TargetMode="External"/><Relationship Id="rId290" Type="http://schemas.openxmlformats.org/officeDocument/2006/relationships/hyperlink" Target="http://farnboroughairshow.com/" TargetMode="External"/><Relationship Id="rId286" Type="http://schemas.openxmlformats.org/officeDocument/2006/relationships/hyperlink" Target="http://www.dgda.gov.sa/" TargetMode="External"/><Relationship Id="rId285" Type="http://schemas.openxmlformats.org/officeDocument/2006/relationships/hyperlink" Target="http://farnboroughairshow.com/" TargetMode="External"/><Relationship Id="rId284" Type="http://schemas.openxmlformats.org/officeDocument/2006/relationships/hyperlink" Target="http://farnboroughairshow.com/" TargetMode="External"/><Relationship Id="rId283" Type="http://schemas.openxmlformats.org/officeDocument/2006/relationships/hyperlink" Target="http://farnborough.com/" TargetMode="External"/><Relationship Id="rId289" Type="http://schemas.openxmlformats.org/officeDocument/2006/relationships/hyperlink" Target="http://farnborough.com/" TargetMode="External"/><Relationship Id="rId288" Type="http://schemas.openxmlformats.org/officeDocument/2006/relationships/hyperlink" Target="http://farnboroughairshow.com/" TargetMode="External"/><Relationship Id="rId287" Type="http://schemas.openxmlformats.org/officeDocument/2006/relationships/hyperlink" Target="http://www.dgda.gov.sa/" TargetMode="External"/><Relationship Id="rId282" Type="http://schemas.openxmlformats.org/officeDocument/2006/relationships/hyperlink" Target="http://farnboroughairshow.com/" TargetMode="External"/><Relationship Id="rId281" Type="http://schemas.openxmlformats.org/officeDocument/2006/relationships/hyperlink" Target="http://farnboroughairshow.com/" TargetMode="External"/><Relationship Id="rId280" Type="http://schemas.openxmlformats.org/officeDocument/2006/relationships/hyperlink" Target="http://farnborough.com/" TargetMode="External"/><Relationship Id="rId275" Type="http://schemas.openxmlformats.org/officeDocument/2006/relationships/hyperlink" Target="http://farnboroughairshow.com/" TargetMode="External"/><Relationship Id="rId274" Type="http://schemas.openxmlformats.org/officeDocument/2006/relationships/hyperlink" Target="http://farnboroughairshow.com/" TargetMode="External"/><Relationship Id="rId273" Type="http://schemas.openxmlformats.org/officeDocument/2006/relationships/hyperlink" Target="http://farnboroughairshow.com/" TargetMode="External"/><Relationship Id="rId272" Type="http://schemas.openxmlformats.org/officeDocument/2006/relationships/hyperlink" Target="http://farnboroughairshow.com/" TargetMode="External"/><Relationship Id="rId279" Type="http://schemas.openxmlformats.org/officeDocument/2006/relationships/hyperlink" Target="http://farnboroughairshow.com/" TargetMode="External"/><Relationship Id="rId278" Type="http://schemas.openxmlformats.org/officeDocument/2006/relationships/hyperlink" Target="http://intranet.adfactorspr.com/" TargetMode="External"/><Relationship Id="rId277" Type="http://schemas.openxmlformats.org/officeDocument/2006/relationships/hyperlink" Target="http://farnboroughairshow.com/" TargetMode="External"/><Relationship Id="rId276" Type="http://schemas.openxmlformats.org/officeDocument/2006/relationships/hyperlink" Target="http://farnboroughairshow.com/" TargetMode="External"/><Relationship Id="rId629" Type="http://schemas.openxmlformats.org/officeDocument/2006/relationships/hyperlink" Target="http://vajraglobal.com/" TargetMode="External"/><Relationship Id="rId624" Type="http://schemas.openxmlformats.org/officeDocument/2006/relationships/hyperlink" Target="http://farnborough.com/" TargetMode="External"/><Relationship Id="rId623" Type="http://schemas.openxmlformats.org/officeDocument/2006/relationships/hyperlink" Target="http://intranet.adfactorspr.com/" TargetMode="External"/><Relationship Id="rId622" Type="http://schemas.openxmlformats.org/officeDocument/2006/relationships/hyperlink" Target="http://intranet.adfactorspr.com/" TargetMode="External"/><Relationship Id="rId621" Type="http://schemas.openxmlformats.org/officeDocument/2006/relationships/hyperlink" Target="http://intranet.adfactorspr.com/" TargetMode="External"/><Relationship Id="rId628" Type="http://schemas.openxmlformats.org/officeDocument/2006/relationships/hyperlink" Target="http://intranet.adfactorspr.com/" TargetMode="External"/><Relationship Id="rId627" Type="http://schemas.openxmlformats.org/officeDocument/2006/relationships/hyperlink" Target="http://www.dgda.gov.sa/" TargetMode="External"/><Relationship Id="rId626" Type="http://schemas.openxmlformats.org/officeDocument/2006/relationships/hyperlink" Target="http://farnborough.com/" TargetMode="External"/><Relationship Id="rId625" Type="http://schemas.openxmlformats.org/officeDocument/2006/relationships/hyperlink" Target="http://www.dgda.gov.sa/" TargetMode="External"/><Relationship Id="rId620" Type="http://schemas.openxmlformats.org/officeDocument/2006/relationships/hyperlink" Target="http://www.dgda.gov.sa/" TargetMode="External"/><Relationship Id="rId619" Type="http://schemas.openxmlformats.org/officeDocument/2006/relationships/hyperlink" Target="http://farnborough.com/" TargetMode="External"/><Relationship Id="rId618" Type="http://schemas.openxmlformats.org/officeDocument/2006/relationships/hyperlink" Target="http://vajraglobal.com/" TargetMode="External"/><Relationship Id="rId613" Type="http://schemas.openxmlformats.org/officeDocument/2006/relationships/hyperlink" Target="http://farnborough.com/" TargetMode="External"/><Relationship Id="rId612" Type="http://schemas.openxmlformats.org/officeDocument/2006/relationships/hyperlink" Target="http://intranet.adfactorspr.com/" TargetMode="External"/><Relationship Id="rId611" Type="http://schemas.openxmlformats.org/officeDocument/2006/relationships/hyperlink" Target="http://www.dgda.gov.sa/" TargetMode="External"/><Relationship Id="rId610" Type="http://schemas.openxmlformats.org/officeDocument/2006/relationships/hyperlink" Target="http://farnborough.com/" TargetMode="External"/><Relationship Id="rId617" Type="http://schemas.openxmlformats.org/officeDocument/2006/relationships/hyperlink" Target="http://vajraglobal.com/" TargetMode="External"/><Relationship Id="rId616" Type="http://schemas.openxmlformats.org/officeDocument/2006/relationships/hyperlink" Target="http://intranet.adfactorspr.com/" TargetMode="External"/><Relationship Id="rId615" Type="http://schemas.openxmlformats.org/officeDocument/2006/relationships/hyperlink" Target="http://farnborough.com/" TargetMode="External"/><Relationship Id="rId614" Type="http://schemas.openxmlformats.org/officeDocument/2006/relationships/hyperlink" Target="http://www.dgda.gov.sa/" TargetMode="External"/><Relationship Id="rId409" Type="http://schemas.openxmlformats.org/officeDocument/2006/relationships/hyperlink" Target="http://intranet.adfactorspr.com/" TargetMode="External"/><Relationship Id="rId404" Type="http://schemas.openxmlformats.org/officeDocument/2006/relationships/hyperlink" Target="http://intranet.adfactorspr.com/" TargetMode="External"/><Relationship Id="rId646" Type="http://schemas.openxmlformats.org/officeDocument/2006/relationships/hyperlink" Target="http://intranet.adfactorspr.com/" TargetMode="External"/><Relationship Id="rId403" Type="http://schemas.openxmlformats.org/officeDocument/2006/relationships/hyperlink" Target="http://intranet.adfactorspr.com/" TargetMode="External"/><Relationship Id="rId645" Type="http://schemas.openxmlformats.org/officeDocument/2006/relationships/hyperlink" Target="http://intranet.adfactorspr.com/" TargetMode="External"/><Relationship Id="rId402" Type="http://schemas.openxmlformats.org/officeDocument/2006/relationships/hyperlink" Target="http://farnboroughairshow.com/" TargetMode="External"/><Relationship Id="rId644" Type="http://schemas.openxmlformats.org/officeDocument/2006/relationships/hyperlink" Target="https://www.nfs-hospitality.com/" TargetMode="External"/><Relationship Id="rId401" Type="http://schemas.openxmlformats.org/officeDocument/2006/relationships/hyperlink" Target="http://intranet.adfactorspr.com/" TargetMode="External"/><Relationship Id="rId643" Type="http://schemas.openxmlformats.org/officeDocument/2006/relationships/hyperlink" Target="http://vajraglobal.com/" TargetMode="External"/><Relationship Id="rId408" Type="http://schemas.openxmlformats.org/officeDocument/2006/relationships/hyperlink" Target="http://intranet.adfactorspr.com/" TargetMode="External"/><Relationship Id="rId407" Type="http://schemas.openxmlformats.org/officeDocument/2006/relationships/hyperlink" Target="http://intranet.adfactorspr.com/" TargetMode="External"/><Relationship Id="rId649" Type="http://schemas.openxmlformats.org/officeDocument/2006/relationships/hyperlink" Target="http://www.dgda.gov.sa/" TargetMode="External"/><Relationship Id="rId406" Type="http://schemas.openxmlformats.org/officeDocument/2006/relationships/hyperlink" Target="https://docs.google.com/spreadsheets/d/1qISCzjKXTU0WlA8WGZhflNq_liZ0a9_2iwJ0VRnQ4IM/edit?gid=0" TargetMode="External"/><Relationship Id="rId648" Type="http://schemas.openxmlformats.org/officeDocument/2006/relationships/hyperlink" Target="http://intranet.adfactorspr.com/" TargetMode="External"/><Relationship Id="rId405" Type="http://schemas.openxmlformats.org/officeDocument/2006/relationships/hyperlink" Target="http://intranet.adfactorspr.com/" TargetMode="External"/><Relationship Id="rId647" Type="http://schemas.openxmlformats.org/officeDocument/2006/relationships/hyperlink" Target="http://intranet.adfactorspr.com/" TargetMode="External"/><Relationship Id="rId400" Type="http://schemas.openxmlformats.org/officeDocument/2006/relationships/hyperlink" Target="http://intranet.adfactorspr.com/" TargetMode="External"/><Relationship Id="rId642" Type="http://schemas.openxmlformats.org/officeDocument/2006/relationships/hyperlink" Target="http://vajraglobal.com/" TargetMode="External"/><Relationship Id="rId641" Type="http://schemas.openxmlformats.org/officeDocument/2006/relationships/hyperlink" Target="http://www.dgda.gov.sa/" TargetMode="External"/><Relationship Id="rId640" Type="http://schemas.openxmlformats.org/officeDocument/2006/relationships/hyperlink" Target="http://farnborough.com/" TargetMode="External"/><Relationship Id="rId635" Type="http://schemas.openxmlformats.org/officeDocument/2006/relationships/hyperlink" Target="http://vajraglobal.com/" TargetMode="External"/><Relationship Id="rId634" Type="http://schemas.openxmlformats.org/officeDocument/2006/relationships/hyperlink" Target="http://www.dgda.gov.sa/" TargetMode="External"/><Relationship Id="rId633" Type="http://schemas.openxmlformats.org/officeDocument/2006/relationships/hyperlink" Target="http://farnborough.com/" TargetMode="External"/><Relationship Id="rId632" Type="http://schemas.openxmlformats.org/officeDocument/2006/relationships/hyperlink" Target="http://www.dgda.gov.sa/" TargetMode="External"/><Relationship Id="rId639" Type="http://schemas.openxmlformats.org/officeDocument/2006/relationships/hyperlink" Target="http://www.dgda.gov.sa/" TargetMode="External"/><Relationship Id="rId638" Type="http://schemas.openxmlformats.org/officeDocument/2006/relationships/hyperlink" Target="http://www.dgda.gov.sa/" TargetMode="External"/><Relationship Id="rId637" Type="http://schemas.openxmlformats.org/officeDocument/2006/relationships/hyperlink" Target="http://farnboroughairshow.com/" TargetMode="External"/><Relationship Id="rId636" Type="http://schemas.openxmlformats.org/officeDocument/2006/relationships/hyperlink" Target="http://vajraglobal.com/" TargetMode="External"/><Relationship Id="rId631" Type="http://schemas.openxmlformats.org/officeDocument/2006/relationships/hyperlink" Target="http://www.dgda.gov.sa/" TargetMode="External"/><Relationship Id="rId630" Type="http://schemas.openxmlformats.org/officeDocument/2006/relationships/hyperlink" Target="http://vajraglobal.com/" TargetMode="External"/><Relationship Id="rId609" Type="http://schemas.openxmlformats.org/officeDocument/2006/relationships/hyperlink" Target="http://intranet.adfactorspr.com/" TargetMode="External"/><Relationship Id="rId608" Type="http://schemas.openxmlformats.org/officeDocument/2006/relationships/hyperlink" Target="http://intranet.adfactorspr.com/" TargetMode="External"/><Relationship Id="rId607" Type="http://schemas.openxmlformats.org/officeDocument/2006/relationships/hyperlink" Target="http://farnborough.com/" TargetMode="External"/><Relationship Id="rId602" Type="http://schemas.openxmlformats.org/officeDocument/2006/relationships/hyperlink" Target="http://vajraglobal.com/" TargetMode="External"/><Relationship Id="rId601" Type="http://schemas.openxmlformats.org/officeDocument/2006/relationships/hyperlink" Target="http://farnboroughairshow.com/" TargetMode="External"/><Relationship Id="rId600" Type="http://schemas.openxmlformats.org/officeDocument/2006/relationships/hyperlink" Target="http://intranet.adfactorspr.com/" TargetMode="External"/><Relationship Id="rId606" Type="http://schemas.openxmlformats.org/officeDocument/2006/relationships/hyperlink" Target="http://www.dgda.gov.sa/" TargetMode="External"/><Relationship Id="rId605" Type="http://schemas.openxmlformats.org/officeDocument/2006/relationships/hyperlink" Target="http://www.dgda.gov.sa/" TargetMode="External"/><Relationship Id="rId604" Type="http://schemas.openxmlformats.org/officeDocument/2006/relationships/hyperlink" Target="http://farnborough.com/" TargetMode="External"/><Relationship Id="rId603" Type="http://schemas.openxmlformats.org/officeDocument/2006/relationships/hyperlink" Target="http://vajraglobal.com/" TargetMode="External"/><Relationship Id="rId228" Type="http://schemas.openxmlformats.org/officeDocument/2006/relationships/hyperlink" Target="http://farnboroughairshow.com/" TargetMode="External"/><Relationship Id="rId227" Type="http://schemas.openxmlformats.org/officeDocument/2006/relationships/hyperlink" Target="http://farnboroughairshow.com/" TargetMode="External"/><Relationship Id="rId469" Type="http://schemas.openxmlformats.org/officeDocument/2006/relationships/hyperlink" Target="http://farnboroughinternationalstudios.com/" TargetMode="External"/><Relationship Id="rId226" Type="http://schemas.openxmlformats.org/officeDocument/2006/relationships/hyperlink" Target="http://farnboroughairshow.com/" TargetMode="External"/><Relationship Id="rId468" Type="http://schemas.openxmlformats.org/officeDocument/2006/relationships/hyperlink" Target="http://farnboroughairshow.com/" TargetMode="External"/><Relationship Id="rId225" Type="http://schemas.openxmlformats.org/officeDocument/2006/relationships/hyperlink" Target="http://farnboroughairshow.com/" TargetMode="External"/><Relationship Id="rId467" Type="http://schemas.openxmlformats.org/officeDocument/2006/relationships/hyperlink" Target="http://farnboroughairshow.com/" TargetMode="External"/><Relationship Id="rId229" Type="http://schemas.openxmlformats.org/officeDocument/2006/relationships/hyperlink" Target="http://www.dgda.gov.sa/" TargetMode="External"/><Relationship Id="rId220" Type="http://schemas.openxmlformats.org/officeDocument/2006/relationships/hyperlink" Target="http://farnboroughairshow.com/" TargetMode="External"/><Relationship Id="rId462" Type="http://schemas.openxmlformats.org/officeDocument/2006/relationships/hyperlink" Target="http://vajraglobal.com/" TargetMode="External"/><Relationship Id="rId461" Type="http://schemas.openxmlformats.org/officeDocument/2006/relationships/hyperlink" Target="http://www.dgda.gov.sa/" TargetMode="External"/><Relationship Id="rId460" Type="http://schemas.openxmlformats.org/officeDocument/2006/relationships/hyperlink" Target="http://www.dgda.gov.sa/" TargetMode="External"/><Relationship Id="rId224" Type="http://schemas.openxmlformats.org/officeDocument/2006/relationships/hyperlink" Target="http://farnboroughairshow.com/" TargetMode="External"/><Relationship Id="rId466" Type="http://schemas.openxmlformats.org/officeDocument/2006/relationships/hyperlink" Target="http://www.dgda.gov.sa/" TargetMode="External"/><Relationship Id="rId223" Type="http://schemas.openxmlformats.org/officeDocument/2006/relationships/hyperlink" Target="http://farnboroughairshow.com/" TargetMode="External"/><Relationship Id="rId465" Type="http://schemas.openxmlformats.org/officeDocument/2006/relationships/hyperlink" Target="http://intranet.adfactorspr.com/" TargetMode="External"/><Relationship Id="rId222" Type="http://schemas.openxmlformats.org/officeDocument/2006/relationships/hyperlink" Target="http://farnboroughairshow.com/" TargetMode="External"/><Relationship Id="rId464" Type="http://schemas.openxmlformats.org/officeDocument/2006/relationships/hyperlink" Target="https://docs.google.com/spreadsheets/d/1n5q-U3l5wBUjmIFQpP8Qksejprd7liSbL9h2pA9R1ek/edit?gid=0" TargetMode="External"/><Relationship Id="rId221" Type="http://schemas.openxmlformats.org/officeDocument/2006/relationships/hyperlink" Target="http://intranet.adfactorspr.com/" TargetMode="External"/><Relationship Id="rId463" Type="http://schemas.openxmlformats.org/officeDocument/2006/relationships/hyperlink" Target="http://www.dgda.gov.sa/" TargetMode="External"/><Relationship Id="rId217" Type="http://schemas.openxmlformats.org/officeDocument/2006/relationships/hyperlink" Target="http://intranet.adfactorspr.com/" TargetMode="External"/><Relationship Id="rId459" Type="http://schemas.openxmlformats.org/officeDocument/2006/relationships/hyperlink" Target="http://www.dgda.gov.sa/" TargetMode="External"/><Relationship Id="rId216" Type="http://schemas.openxmlformats.org/officeDocument/2006/relationships/hyperlink" Target="https://vajraglobal.com/" TargetMode="External"/><Relationship Id="rId458" Type="http://schemas.openxmlformats.org/officeDocument/2006/relationships/hyperlink" Target="http://intranet.adfactorspr.com/" TargetMode="External"/><Relationship Id="rId215" Type="http://schemas.openxmlformats.org/officeDocument/2006/relationships/hyperlink" Target="http://www.dgda.gov.sa/" TargetMode="External"/><Relationship Id="rId457" Type="http://schemas.openxmlformats.org/officeDocument/2006/relationships/hyperlink" Target="http://intranet.adfactorspr.com/" TargetMode="External"/><Relationship Id="rId699" Type="http://schemas.openxmlformats.org/officeDocument/2006/relationships/hyperlink" Target="http://farnboroughairshow.com/" TargetMode="External"/><Relationship Id="rId214" Type="http://schemas.openxmlformats.org/officeDocument/2006/relationships/hyperlink" Target="http://intranet.adfactorspr.com/" TargetMode="External"/><Relationship Id="rId456" Type="http://schemas.openxmlformats.org/officeDocument/2006/relationships/hyperlink" Target="http://farnboroughairshow.com/" TargetMode="External"/><Relationship Id="rId698" Type="http://schemas.openxmlformats.org/officeDocument/2006/relationships/hyperlink" Target="http://farnborough.com/" TargetMode="External"/><Relationship Id="rId219" Type="http://schemas.openxmlformats.org/officeDocument/2006/relationships/hyperlink" Target="http://farnboroughairshow.com/" TargetMode="External"/><Relationship Id="rId218" Type="http://schemas.openxmlformats.org/officeDocument/2006/relationships/hyperlink" Target="http://intranet.adfactorspr.com/" TargetMode="External"/><Relationship Id="rId451" Type="http://schemas.openxmlformats.org/officeDocument/2006/relationships/hyperlink" Target="http://vajraglobal.com/" TargetMode="External"/><Relationship Id="rId693" Type="http://schemas.openxmlformats.org/officeDocument/2006/relationships/hyperlink" Target="http://www.dgda.gov.sa/" TargetMode="External"/><Relationship Id="rId450" Type="http://schemas.openxmlformats.org/officeDocument/2006/relationships/hyperlink" Target="http://intranet.adfactorspr.com/" TargetMode="External"/><Relationship Id="rId692" Type="http://schemas.openxmlformats.org/officeDocument/2006/relationships/hyperlink" Target="http://farnborough.com/" TargetMode="External"/><Relationship Id="rId691" Type="http://schemas.openxmlformats.org/officeDocument/2006/relationships/hyperlink" Target="http://vajraglobal.com/" TargetMode="External"/><Relationship Id="rId690" Type="http://schemas.openxmlformats.org/officeDocument/2006/relationships/hyperlink" Target="http://intranet.adfactorspr.com/" TargetMode="External"/><Relationship Id="rId213" Type="http://schemas.openxmlformats.org/officeDocument/2006/relationships/hyperlink" Target="http://intranet.adfactorspr.com/" TargetMode="External"/><Relationship Id="rId455" Type="http://schemas.openxmlformats.org/officeDocument/2006/relationships/hyperlink" Target="http://intranet.adfactorspr.com/" TargetMode="External"/><Relationship Id="rId697" Type="http://schemas.openxmlformats.org/officeDocument/2006/relationships/hyperlink" Target="https://feat-finding-details.d38541r9nlp4br.amplifyapp.com/en/latest-findings/" TargetMode="External"/><Relationship Id="rId212" Type="http://schemas.openxmlformats.org/officeDocument/2006/relationships/hyperlink" Target="https://astonbrooke.co.uk/" TargetMode="External"/><Relationship Id="rId454" Type="http://schemas.openxmlformats.org/officeDocument/2006/relationships/hyperlink" Target="http://intranet.adfactorspr.com/" TargetMode="External"/><Relationship Id="rId696" Type="http://schemas.openxmlformats.org/officeDocument/2006/relationships/hyperlink" Target="http://www.dgda.gov.sa/" TargetMode="External"/><Relationship Id="rId211" Type="http://schemas.openxmlformats.org/officeDocument/2006/relationships/hyperlink" Target="https://astonbrooke.co.uk/" TargetMode="External"/><Relationship Id="rId453" Type="http://schemas.openxmlformats.org/officeDocument/2006/relationships/hyperlink" Target="http://www.dgda.gov.sa/" TargetMode="External"/><Relationship Id="rId695" Type="http://schemas.openxmlformats.org/officeDocument/2006/relationships/hyperlink" Target="http://vajraglobal.com/" TargetMode="External"/><Relationship Id="rId210" Type="http://schemas.openxmlformats.org/officeDocument/2006/relationships/hyperlink" Target="http://intranet.adfactorspr.com/" TargetMode="External"/><Relationship Id="rId452" Type="http://schemas.openxmlformats.org/officeDocument/2006/relationships/hyperlink" Target="http://vajraglobal.com/" TargetMode="External"/><Relationship Id="rId694" Type="http://schemas.openxmlformats.org/officeDocument/2006/relationships/hyperlink" Target="http://vajraglobal.com/" TargetMode="External"/><Relationship Id="rId491" Type="http://schemas.openxmlformats.org/officeDocument/2006/relationships/hyperlink" Target="http://intranet.adfactorspr.com/" TargetMode="External"/><Relationship Id="rId490" Type="http://schemas.openxmlformats.org/officeDocument/2006/relationships/hyperlink" Target="http://www.dgda.gov.sa/" TargetMode="External"/><Relationship Id="rId249" Type="http://schemas.openxmlformats.org/officeDocument/2006/relationships/hyperlink" Target="https://staging.farnboroughairshow.com/the-show/whats-on/" TargetMode="External"/><Relationship Id="rId248" Type="http://schemas.openxmlformats.org/officeDocument/2006/relationships/hyperlink" Target="http://farnboroughairshow.com/" TargetMode="External"/><Relationship Id="rId247" Type="http://schemas.openxmlformats.org/officeDocument/2006/relationships/hyperlink" Target="http://farnboroughairshow.com/" TargetMode="External"/><Relationship Id="rId489" Type="http://schemas.openxmlformats.org/officeDocument/2006/relationships/hyperlink" Target="http://www.dgda.gov.sa/" TargetMode="External"/><Relationship Id="rId242" Type="http://schemas.openxmlformats.org/officeDocument/2006/relationships/hyperlink" Target="http://farnboroughairshow.com/" TargetMode="External"/><Relationship Id="rId484" Type="http://schemas.openxmlformats.org/officeDocument/2006/relationships/hyperlink" Target="http://www.dgda.gov.sa/" TargetMode="External"/><Relationship Id="rId241" Type="http://schemas.openxmlformats.org/officeDocument/2006/relationships/hyperlink" Target="https://staging.farnboroughairshow.com/the-show/aircraft-listing/" TargetMode="External"/><Relationship Id="rId483" Type="http://schemas.openxmlformats.org/officeDocument/2006/relationships/hyperlink" Target="http://www.dgda.gov.sa/" TargetMode="External"/><Relationship Id="rId240" Type="http://schemas.openxmlformats.org/officeDocument/2006/relationships/hyperlink" Target="https://docs.google.com/document/d/19v8lP-ynYEOs90V00npsW9_5QUlLek1xcG8O2t615JI/edit?tab=t.0" TargetMode="External"/><Relationship Id="rId482" Type="http://schemas.openxmlformats.org/officeDocument/2006/relationships/hyperlink" Target="http://intranet.adfactorspr.com/" TargetMode="External"/><Relationship Id="rId481" Type="http://schemas.openxmlformats.org/officeDocument/2006/relationships/hyperlink" Target="http://www.dgda.gov.sa/" TargetMode="External"/><Relationship Id="rId246" Type="http://schemas.openxmlformats.org/officeDocument/2006/relationships/hyperlink" Target="https://docs.google.com/spreadsheets/d/1cmCfjMsWx0OlnTJMkif11vGhd3RAaWEj1KgHDRQE2aw/edit?usp=sharing" TargetMode="External"/><Relationship Id="rId488" Type="http://schemas.openxmlformats.org/officeDocument/2006/relationships/hyperlink" Target="http://farnboroughinternationalstudios.com/" TargetMode="External"/><Relationship Id="rId245" Type="http://schemas.openxmlformats.org/officeDocument/2006/relationships/hyperlink" Target="http://www.dgda.gov.sa/" TargetMode="External"/><Relationship Id="rId487" Type="http://schemas.openxmlformats.org/officeDocument/2006/relationships/hyperlink" Target="http://vajraglobal.com/" TargetMode="External"/><Relationship Id="rId244" Type="http://schemas.openxmlformats.org/officeDocument/2006/relationships/hyperlink" Target="http://intranet.adfactorspr.com/" TargetMode="External"/><Relationship Id="rId486" Type="http://schemas.openxmlformats.org/officeDocument/2006/relationships/hyperlink" Target="http://www.dgda.gov.sa/" TargetMode="External"/><Relationship Id="rId243" Type="http://schemas.openxmlformats.org/officeDocument/2006/relationships/hyperlink" Target="http://intranet.adfactorspr.com/" TargetMode="External"/><Relationship Id="rId485" Type="http://schemas.openxmlformats.org/officeDocument/2006/relationships/hyperlink" Target="http://www.dgda.gov.sa/" TargetMode="External"/><Relationship Id="rId480" Type="http://schemas.openxmlformats.org/officeDocument/2006/relationships/hyperlink" Target="http://www.dgda.gov.sa/" TargetMode="External"/><Relationship Id="rId239" Type="http://schemas.openxmlformats.org/officeDocument/2006/relationships/hyperlink" Target="http://farnboroughairshow.com/" TargetMode="External"/><Relationship Id="rId238" Type="http://schemas.openxmlformats.org/officeDocument/2006/relationships/hyperlink" Target="https://staging.farnboroughairshow.com/pioneers-of-tomorrow/whats-on/" TargetMode="External"/><Relationship Id="rId237" Type="http://schemas.openxmlformats.org/officeDocument/2006/relationships/hyperlink" Target="http://farnboroughairshow.com/" TargetMode="External"/><Relationship Id="rId479" Type="http://schemas.openxmlformats.org/officeDocument/2006/relationships/hyperlink" Target="http://intranet.adfactorspr.com/" TargetMode="External"/><Relationship Id="rId236" Type="http://schemas.openxmlformats.org/officeDocument/2006/relationships/hyperlink" Target="https://staging.farnboroughairshow.com/the-show/whats-on/" TargetMode="External"/><Relationship Id="rId478" Type="http://schemas.openxmlformats.org/officeDocument/2006/relationships/hyperlink" Target="http://intranet.adfactorspr.com/" TargetMode="External"/><Relationship Id="rId231" Type="http://schemas.openxmlformats.org/officeDocument/2006/relationships/hyperlink" Target="http://farnboroughairshow.com/" TargetMode="External"/><Relationship Id="rId473" Type="http://schemas.openxmlformats.org/officeDocument/2006/relationships/hyperlink" Target="http://www.dgda.gov.sa/" TargetMode="External"/><Relationship Id="rId230" Type="http://schemas.openxmlformats.org/officeDocument/2006/relationships/hyperlink" Target="http://farnboroughairshow.com/" TargetMode="External"/><Relationship Id="rId472" Type="http://schemas.openxmlformats.org/officeDocument/2006/relationships/hyperlink" Target="http://www.dgda.gov.sa/" TargetMode="External"/><Relationship Id="rId471" Type="http://schemas.openxmlformats.org/officeDocument/2006/relationships/hyperlink" Target="http://www.dgda.gov.sa/" TargetMode="External"/><Relationship Id="rId470" Type="http://schemas.openxmlformats.org/officeDocument/2006/relationships/hyperlink" Target="http://intranet.adfactorspr.com/" TargetMode="External"/><Relationship Id="rId235" Type="http://schemas.openxmlformats.org/officeDocument/2006/relationships/hyperlink" Target="http://farnboroughairshow.com/" TargetMode="External"/><Relationship Id="rId477" Type="http://schemas.openxmlformats.org/officeDocument/2006/relationships/hyperlink" Target="http://www.dgda.gov.sa/" TargetMode="External"/><Relationship Id="rId234" Type="http://schemas.openxmlformats.org/officeDocument/2006/relationships/hyperlink" Target="http://farnboroughairshow.com/" TargetMode="External"/><Relationship Id="rId476" Type="http://schemas.openxmlformats.org/officeDocument/2006/relationships/hyperlink" Target="http://www.dgda.gov.sa/" TargetMode="External"/><Relationship Id="rId233" Type="http://schemas.openxmlformats.org/officeDocument/2006/relationships/hyperlink" Target="http://farnboroughairshow.com/" TargetMode="External"/><Relationship Id="rId475" Type="http://schemas.openxmlformats.org/officeDocument/2006/relationships/hyperlink" Target="http://www.dgda.gov.sa/" TargetMode="External"/><Relationship Id="rId232" Type="http://schemas.openxmlformats.org/officeDocument/2006/relationships/hyperlink" Target="http://www.dgda.gov.sa/" TargetMode="External"/><Relationship Id="rId474" Type="http://schemas.openxmlformats.org/officeDocument/2006/relationships/hyperlink" Target="http://www.dgda.gov.sa/" TargetMode="External"/><Relationship Id="rId426" Type="http://schemas.openxmlformats.org/officeDocument/2006/relationships/hyperlink" Target="http://farnboroughairshow.com/" TargetMode="External"/><Relationship Id="rId668" Type="http://schemas.openxmlformats.org/officeDocument/2006/relationships/hyperlink" Target="http://vajraglobal.com/" TargetMode="External"/><Relationship Id="rId425" Type="http://schemas.openxmlformats.org/officeDocument/2006/relationships/hyperlink" Target="https://intranetstaging.adfactorspr.com/about-us/leadership-team-new/" TargetMode="External"/><Relationship Id="rId667" Type="http://schemas.openxmlformats.org/officeDocument/2006/relationships/hyperlink" Target="http://vajraglobal.com/" TargetMode="External"/><Relationship Id="rId424" Type="http://schemas.openxmlformats.org/officeDocument/2006/relationships/hyperlink" Target="http://intranet.adfactorspr.com/" TargetMode="External"/><Relationship Id="rId666" Type="http://schemas.openxmlformats.org/officeDocument/2006/relationships/hyperlink" Target="http://www.dgda.gov.sa/" TargetMode="External"/><Relationship Id="rId423" Type="http://schemas.openxmlformats.org/officeDocument/2006/relationships/hyperlink" Target="http://intranet.adfactorspr.com/" TargetMode="External"/><Relationship Id="rId665" Type="http://schemas.openxmlformats.org/officeDocument/2006/relationships/hyperlink" Target="http://farnborough.com/" TargetMode="External"/><Relationship Id="rId429" Type="http://schemas.openxmlformats.org/officeDocument/2006/relationships/hyperlink" Target="http://intranet.adfactorspr.com/" TargetMode="External"/><Relationship Id="rId428" Type="http://schemas.openxmlformats.org/officeDocument/2006/relationships/hyperlink" Target="http://vajraglobal.com/" TargetMode="External"/><Relationship Id="rId427" Type="http://schemas.openxmlformats.org/officeDocument/2006/relationships/hyperlink" Target="http://intranet.adfactorspr.com/" TargetMode="External"/><Relationship Id="rId669" Type="http://schemas.openxmlformats.org/officeDocument/2006/relationships/hyperlink" Target="http://farnboroughairshow.com/" TargetMode="External"/><Relationship Id="rId660" Type="http://schemas.openxmlformats.org/officeDocument/2006/relationships/hyperlink" Target="https://feat-finding-details.d38541r9nlp4br.amplifyapp.com/en/latest-findings/" TargetMode="External"/><Relationship Id="rId422" Type="http://schemas.openxmlformats.org/officeDocument/2006/relationships/hyperlink" Target="http://intranet.adfactorspr.com/" TargetMode="External"/><Relationship Id="rId664" Type="http://schemas.openxmlformats.org/officeDocument/2006/relationships/hyperlink" Target="http://farnboroughairshow.com/" TargetMode="External"/><Relationship Id="rId421" Type="http://schemas.openxmlformats.org/officeDocument/2006/relationships/hyperlink" Target="http://intranet.adfactorspr.com/" TargetMode="External"/><Relationship Id="rId663" Type="http://schemas.openxmlformats.org/officeDocument/2006/relationships/hyperlink" Target="http://www.dgda.gov.sa/" TargetMode="External"/><Relationship Id="rId420" Type="http://schemas.openxmlformats.org/officeDocument/2006/relationships/hyperlink" Target="http://intranet.adfactorspr.com/" TargetMode="External"/><Relationship Id="rId662" Type="http://schemas.openxmlformats.org/officeDocument/2006/relationships/hyperlink" Target="http://www.dgda.gov.sa/" TargetMode="External"/><Relationship Id="rId661" Type="http://schemas.openxmlformats.org/officeDocument/2006/relationships/hyperlink" Target="http://www.dgda.gov.sa/" TargetMode="External"/><Relationship Id="rId415" Type="http://schemas.openxmlformats.org/officeDocument/2006/relationships/hyperlink" Target="http://intranet.adfactorspr.com/" TargetMode="External"/><Relationship Id="rId657" Type="http://schemas.openxmlformats.org/officeDocument/2006/relationships/hyperlink" Target="http://intranet.adfactorspr.com/" TargetMode="External"/><Relationship Id="rId414" Type="http://schemas.openxmlformats.org/officeDocument/2006/relationships/hyperlink" Target="http://intranet.adfactorspr.com/" TargetMode="External"/><Relationship Id="rId656" Type="http://schemas.openxmlformats.org/officeDocument/2006/relationships/hyperlink" Target="http://intranet.adfactorspr.com/" TargetMode="External"/><Relationship Id="rId413" Type="http://schemas.openxmlformats.org/officeDocument/2006/relationships/hyperlink" Target="http://www.dgda.gov.sa/" TargetMode="External"/><Relationship Id="rId655" Type="http://schemas.openxmlformats.org/officeDocument/2006/relationships/hyperlink" Target="http://intranet.adfactorspr.com/" TargetMode="External"/><Relationship Id="rId412" Type="http://schemas.openxmlformats.org/officeDocument/2006/relationships/hyperlink" Target="http://intranet.adfactorspr.com/" TargetMode="External"/><Relationship Id="rId654" Type="http://schemas.openxmlformats.org/officeDocument/2006/relationships/hyperlink" Target="http://intranet.adfactorspr.com/" TargetMode="External"/><Relationship Id="rId419" Type="http://schemas.openxmlformats.org/officeDocument/2006/relationships/hyperlink" Target="https://docs.google.com/spreadsheets/d/1ChWS3hmJFcLYzmbwYPVmVEDXxkqJ8Ry1xaTtTv7zu3c/edit?gid=0" TargetMode="External"/><Relationship Id="rId418" Type="http://schemas.openxmlformats.org/officeDocument/2006/relationships/hyperlink" Target="http://farnboroughairshow.com/" TargetMode="External"/><Relationship Id="rId417" Type="http://schemas.openxmlformats.org/officeDocument/2006/relationships/hyperlink" Target="http://intranet.adfactorspr.com/" TargetMode="External"/><Relationship Id="rId659" Type="http://schemas.openxmlformats.org/officeDocument/2006/relationships/hyperlink" Target="http://www.dgda.gov.sa/" TargetMode="External"/><Relationship Id="rId416" Type="http://schemas.openxmlformats.org/officeDocument/2006/relationships/hyperlink" Target="http://intranet.adfactorspr.com/" TargetMode="External"/><Relationship Id="rId658" Type="http://schemas.openxmlformats.org/officeDocument/2006/relationships/hyperlink" Target="http://intranet.adfactorspr.com/" TargetMode="External"/><Relationship Id="rId411" Type="http://schemas.openxmlformats.org/officeDocument/2006/relationships/hyperlink" Target="https://docs.google.com/spreadsheets/d/1jpLaw2KQDdfIoYn1ZGayXcXXsvfbugm4yMA1RX5iKe8/edit?gid=80366721" TargetMode="External"/><Relationship Id="rId653" Type="http://schemas.openxmlformats.org/officeDocument/2006/relationships/hyperlink" Target="http://vajraglobal.com/" TargetMode="External"/><Relationship Id="rId410" Type="http://schemas.openxmlformats.org/officeDocument/2006/relationships/hyperlink" Target="http://farnboroughairshow.com/" TargetMode="External"/><Relationship Id="rId652" Type="http://schemas.openxmlformats.org/officeDocument/2006/relationships/hyperlink" Target="http://vajraglobal.com/" TargetMode="External"/><Relationship Id="rId651" Type="http://schemas.openxmlformats.org/officeDocument/2006/relationships/hyperlink" Target="http://www.dgda.gov.sa/" TargetMode="External"/><Relationship Id="rId650" Type="http://schemas.openxmlformats.org/officeDocument/2006/relationships/hyperlink" Target="http://farnborough.com/" TargetMode="External"/><Relationship Id="rId206" Type="http://schemas.openxmlformats.org/officeDocument/2006/relationships/hyperlink" Target="http://intranet.adfactorspr.com/" TargetMode="External"/><Relationship Id="rId448" Type="http://schemas.openxmlformats.org/officeDocument/2006/relationships/hyperlink" Target="http://farnboroughairshow.com/" TargetMode="External"/><Relationship Id="rId205" Type="http://schemas.openxmlformats.org/officeDocument/2006/relationships/hyperlink" Target="http://intranet.adfactorspr.com/" TargetMode="External"/><Relationship Id="rId447" Type="http://schemas.openxmlformats.org/officeDocument/2006/relationships/hyperlink" Target="http://intranet.adfactorspr.com/" TargetMode="External"/><Relationship Id="rId689" Type="http://schemas.openxmlformats.org/officeDocument/2006/relationships/hyperlink" Target="http://farnborough.com/" TargetMode="External"/><Relationship Id="rId204" Type="http://schemas.openxmlformats.org/officeDocument/2006/relationships/hyperlink" Target="https://intranet.adfactorspr.com/adfactors-academy/" TargetMode="External"/><Relationship Id="rId446" Type="http://schemas.openxmlformats.org/officeDocument/2006/relationships/hyperlink" Target="http://intranet.adfactorspr.com/" TargetMode="External"/><Relationship Id="rId688" Type="http://schemas.openxmlformats.org/officeDocument/2006/relationships/hyperlink" Target="http://www.dgda.gov.sa/" TargetMode="External"/><Relationship Id="rId203" Type="http://schemas.openxmlformats.org/officeDocument/2006/relationships/hyperlink" Target="http://intranet.adfactorspr.com/" TargetMode="External"/><Relationship Id="rId445" Type="http://schemas.openxmlformats.org/officeDocument/2006/relationships/hyperlink" Target="http://intranet.adfactorspr.com/" TargetMode="External"/><Relationship Id="rId687" Type="http://schemas.openxmlformats.org/officeDocument/2006/relationships/hyperlink" Target="http://farnborough.com/" TargetMode="External"/><Relationship Id="rId209" Type="http://schemas.openxmlformats.org/officeDocument/2006/relationships/hyperlink" Target="http://intranet.adfactorspr.com/" TargetMode="External"/><Relationship Id="rId208" Type="http://schemas.openxmlformats.org/officeDocument/2006/relationships/hyperlink" Target="http://intranet.adfactorspr.com/" TargetMode="External"/><Relationship Id="rId207" Type="http://schemas.openxmlformats.org/officeDocument/2006/relationships/hyperlink" Target="http://intranet.adfactorspr.com/" TargetMode="External"/><Relationship Id="rId449" Type="http://schemas.openxmlformats.org/officeDocument/2006/relationships/hyperlink" Target="http://farnboroughairshow.com/" TargetMode="External"/><Relationship Id="rId440" Type="http://schemas.openxmlformats.org/officeDocument/2006/relationships/hyperlink" Target="http://intranet.adfactorspr.com/" TargetMode="External"/><Relationship Id="rId682" Type="http://schemas.openxmlformats.org/officeDocument/2006/relationships/hyperlink" Target="http://farnborough.com/" TargetMode="External"/><Relationship Id="rId681" Type="http://schemas.openxmlformats.org/officeDocument/2006/relationships/hyperlink" Target="http://www.dgda.gov.sa/" TargetMode="External"/><Relationship Id="rId680" Type="http://schemas.openxmlformats.org/officeDocument/2006/relationships/hyperlink" Target="http://farnborough.com/" TargetMode="External"/><Relationship Id="rId202" Type="http://schemas.openxmlformats.org/officeDocument/2006/relationships/hyperlink" Target="http://farnborough.com/" TargetMode="External"/><Relationship Id="rId444" Type="http://schemas.openxmlformats.org/officeDocument/2006/relationships/hyperlink" Target="http://intranet.adfactorspr.com/" TargetMode="External"/><Relationship Id="rId686" Type="http://schemas.openxmlformats.org/officeDocument/2006/relationships/hyperlink" Target="http://www.dgda.gov.sa/" TargetMode="External"/><Relationship Id="rId201" Type="http://schemas.openxmlformats.org/officeDocument/2006/relationships/hyperlink" Target="http://farnborough.com/" TargetMode="External"/><Relationship Id="rId443" Type="http://schemas.openxmlformats.org/officeDocument/2006/relationships/hyperlink" Target="https://docs.google.com/document/d/1tSNH6Z-JMbkTNQLWxhXj6GjGDyI8udDwOMyQor_Wb18/edit?tab=t.0" TargetMode="External"/><Relationship Id="rId685" Type="http://schemas.openxmlformats.org/officeDocument/2006/relationships/hyperlink" Target="http://vajraglobal.com/" TargetMode="External"/><Relationship Id="rId200" Type="http://schemas.openxmlformats.org/officeDocument/2006/relationships/hyperlink" Target="http://intranet.adfactorspr.com/" TargetMode="External"/><Relationship Id="rId442" Type="http://schemas.openxmlformats.org/officeDocument/2006/relationships/hyperlink" Target="http://intranet.adfactorspr.com/" TargetMode="External"/><Relationship Id="rId684" Type="http://schemas.openxmlformats.org/officeDocument/2006/relationships/hyperlink" Target="http://vajraglobal.com/" TargetMode="External"/><Relationship Id="rId441" Type="http://schemas.openxmlformats.org/officeDocument/2006/relationships/hyperlink" Target="http://intranet.adfactorspr.com/" TargetMode="External"/><Relationship Id="rId683" Type="http://schemas.openxmlformats.org/officeDocument/2006/relationships/hyperlink" Target="http://www.dgda.gov.sa/" TargetMode="External"/><Relationship Id="rId437" Type="http://schemas.openxmlformats.org/officeDocument/2006/relationships/hyperlink" Target="http://farnboroughairshow.com/" TargetMode="External"/><Relationship Id="rId679" Type="http://schemas.openxmlformats.org/officeDocument/2006/relationships/hyperlink" Target="http://farnborough.com/" TargetMode="External"/><Relationship Id="rId436" Type="http://schemas.openxmlformats.org/officeDocument/2006/relationships/hyperlink" Target="http://intranet.adfactorspr.com/" TargetMode="External"/><Relationship Id="rId678" Type="http://schemas.openxmlformats.org/officeDocument/2006/relationships/hyperlink" Target="http://www.dgda.gov.sa/" TargetMode="External"/><Relationship Id="rId435" Type="http://schemas.openxmlformats.org/officeDocument/2006/relationships/hyperlink" Target="http://intranet.adfactorspr.com/" TargetMode="External"/><Relationship Id="rId677" Type="http://schemas.openxmlformats.org/officeDocument/2006/relationships/hyperlink" Target="http://www.dgda.gov.sa/" TargetMode="External"/><Relationship Id="rId434" Type="http://schemas.openxmlformats.org/officeDocument/2006/relationships/hyperlink" Target="http://farnboroughairshow.com/" TargetMode="External"/><Relationship Id="rId676" Type="http://schemas.openxmlformats.org/officeDocument/2006/relationships/hyperlink" Target="http://farnboroughairshow.com/" TargetMode="External"/><Relationship Id="rId439" Type="http://schemas.openxmlformats.org/officeDocument/2006/relationships/hyperlink" Target="http://intranet.adfactorspr.com/" TargetMode="External"/><Relationship Id="rId438" Type="http://schemas.openxmlformats.org/officeDocument/2006/relationships/hyperlink" Target="http://farnboroughairshow.com/" TargetMode="External"/><Relationship Id="rId671" Type="http://schemas.openxmlformats.org/officeDocument/2006/relationships/hyperlink" Target="http://farnboroughairshow.com/" TargetMode="External"/><Relationship Id="rId670" Type="http://schemas.openxmlformats.org/officeDocument/2006/relationships/hyperlink" Target="http://farnboroughairshow.com/" TargetMode="External"/><Relationship Id="rId433" Type="http://schemas.openxmlformats.org/officeDocument/2006/relationships/hyperlink" Target="http://intranet.adfactorspr.com/" TargetMode="External"/><Relationship Id="rId675" Type="http://schemas.openxmlformats.org/officeDocument/2006/relationships/hyperlink" Target="http://farnboroughairshow.com/" TargetMode="External"/><Relationship Id="rId432" Type="http://schemas.openxmlformats.org/officeDocument/2006/relationships/hyperlink" Target="http://intranet.adfactorspr.com/" TargetMode="External"/><Relationship Id="rId674" Type="http://schemas.openxmlformats.org/officeDocument/2006/relationships/hyperlink" Target="http://farnboroughairshow.com/" TargetMode="External"/><Relationship Id="rId431" Type="http://schemas.openxmlformats.org/officeDocument/2006/relationships/hyperlink" Target="http://www.dgda.gov.sa/" TargetMode="External"/><Relationship Id="rId673" Type="http://schemas.openxmlformats.org/officeDocument/2006/relationships/hyperlink" Target="http://farnboroughairshow.com/" TargetMode="External"/><Relationship Id="rId430" Type="http://schemas.openxmlformats.org/officeDocument/2006/relationships/hyperlink" Target="http://intranet.adfactorspr.com/" TargetMode="External"/><Relationship Id="rId672" Type="http://schemas.openxmlformats.org/officeDocument/2006/relationships/hyperlink" Target="http://farnboroughairshow.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25.xml"/><Relationship Id="rId11" Type="http://schemas.openxmlformats.org/officeDocument/2006/relationships/table" Target="../tables/table27.xml"/><Relationship Id="rId10" Type="http://schemas.openxmlformats.org/officeDocument/2006/relationships/table" Target="../tables/table26.xml"/><Relationship Id="rId13" Type="http://schemas.openxmlformats.org/officeDocument/2006/relationships/table" Target="../tables/table29.xml"/><Relationship Id="rId12" Type="http://schemas.openxmlformats.org/officeDocument/2006/relationships/table" Target="../tables/table28.xml"/><Relationship Id="rId15" Type="http://schemas.openxmlformats.org/officeDocument/2006/relationships/table" Target="../tables/table31.xml"/><Relationship Id="rId14" Type="http://schemas.openxmlformats.org/officeDocument/2006/relationships/table" Target="../tables/table30.xml"/></Relationships>
</file>

<file path=xl/worksheets/_rels/sheet6.xml.rels><?xml version="1.0" encoding="UTF-8" standalone="yes"?><Relationships xmlns="http://schemas.openxmlformats.org/package/2006/relationships"><Relationship Id="rId1" Type="http://schemas.openxmlformats.org/officeDocument/2006/relationships/hyperlink" Target="https://vajraglobal.com/" TargetMode="External"/><Relationship Id="rId2" Type="http://schemas.openxmlformats.org/officeDocument/2006/relationships/hyperlink" Target="https://vajraglobal.com/" TargetMode="External"/><Relationship Id="rId3" Type="http://schemas.openxmlformats.org/officeDocument/2006/relationships/hyperlink" Target="https://vajraglobal.com/" TargetMode="External"/><Relationship Id="rId4" Type="http://schemas.openxmlformats.org/officeDocument/2006/relationships/hyperlink" Target="https://vajraglobal.com/" TargetMode="External"/><Relationship Id="rId9" Type="http://schemas.openxmlformats.org/officeDocument/2006/relationships/hyperlink" Target="https://vajraglobal.com/" TargetMode="External"/><Relationship Id="rId5" Type="http://schemas.openxmlformats.org/officeDocument/2006/relationships/hyperlink" Target="https://vajraglobal.com/" TargetMode="External"/><Relationship Id="rId6" Type="http://schemas.openxmlformats.org/officeDocument/2006/relationships/hyperlink" Target="https://vajraglobal.com/" TargetMode="External"/><Relationship Id="rId7" Type="http://schemas.openxmlformats.org/officeDocument/2006/relationships/hyperlink" Target="https://vajraglobal.com/" TargetMode="External"/><Relationship Id="rId8" Type="http://schemas.openxmlformats.org/officeDocument/2006/relationships/hyperlink" Target="https://vajraglobal.com/" TargetMode="External"/><Relationship Id="rId11" Type="http://schemas.openxmlformats.org/officeDocument/2006/relationships/hyperlink" Target="https://docs.google.com/spreadsheets/d/1VcZ3dgg0Ass8GliDR3zhezHmsi_LzdkC/edit?gid=1602113626" TargetMode="External"/><Relationship Id="rId10" Type="http://schemas.openxmlformats.org/officeDocument/2006/relationships/hyperlink" Target="https://vajraglobal.com/" TargetMode="External"/><Relationship Id="rId1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www.vajraglobal.com/" TargetMode="External"/><Relationship Id="rId9" Type="http://schemas.openxmlformats.org/officeDocument/2006/relationships/hyperlink" Target="https://msmehealthengine.fametn.com/" TargetMode="External"/><Relationship Id="rId5" Type="http://schemas.openxmlformats.org/officeDocument/2006/relationships/hyperlink" Target="http://www.vajraglobal.com/" TargetMode="External"/><Relationship Id="rId6" Type="http://schemas.openxmlformats.org/officeDocument/2006/relationships/hyperlink" Target="https://vajraglobal.com/" TargetMode="External"/><Relationship Id="rId7" Type="http://schemas.openxmlformats.org/officeDocument/2006/relationships/hyperlink" Target="https://automation.vajraglobal.com/" TargetMode="External"/><Relationship Id="rId8" Type="http://schemas.openxmlformats.org/officeDocument/2006/relationships/hyperlink" Target="https://automation.vajraglobal.com/" TargetMode="External"/><Relationship Id="rId40" Type="http://schemas.openxmlformats.org/officeDocument/2006/relationships/hyperlink" Target="https://vajraglobal.com/" TargetMode="External"/><Relationship Id="rId42" Type="http://schemas.openxmlformats.org/officeDocument/2006/relationships/hyperlink" Target="https://vajraglobal.com/" TargetMode="External"/><Relationship Id="rId41" Type="http://schemas.openxmlformats.org/officeDocument/2006/relationships/hyperlink" Target="https://vajraglobal.com/" TargetMode="External"/><Relationship Id="rId44" Type="http://schemas.openxmlformats.org/officeDocument/2006/relationships/hyperlink" Target="http://www.vajraglobal.com/" TargetMode="External"/><Relationship Id="rId43" Type="http://schemas.openxmlformats.org/officeDocument/2006/relationships/hyperlink" Target="https://vajraglobal.com/" TargetMode="External"/><Relationship Id="rId46" Type="http://schemas.openxmlformats.org/officeDocument/2006/relationships/hyperlink" Target="https://vajraglobal.com/" TargetMode="External"/><Relationship Id="rId45" Type="http://schemas.openxmlformats.org/officeDocument/2006/relationships/hyperlink" Target="https://vajraglobal.com/" TargetMode="External"/><Relationship Id="rId48" Type="http://schemas.openxmlformats.org/officeDocument/2006/relationships/hyperlink" Target="https://vajraglobal.com/" TargetMode="External"/><Relationship Id="rId47" Type="http://schemas.openxmlformats.org/officeDocument/2006/relationships/hyperlink" Target="https://vajraglobal.com/" TargetMode="External"/><Relationship Id="rId49" Type="http://schemas.openxmlformats.org/officeDocument/2006/relationships/hyperlink" Target="https://docs.google.com/spreadsheets/d/1zphyfcJfWdKDzoy063Cq9r9M4G5OlgJd/edit?usp=sharing&amp;ouid=108220845174973423951&amp;rtpof=true&amp;sd=true" TargetMode="External"/><Relationship Id="rId31" Type="http://schemas.openxmlformats.org/officeDocument/2006/relationships/hyperlink" Target="https://vajraglobal.com/" TargetMode="External"/><Relationship Id="rId30" Type="http://schemas.openxmlformats.org/officeDocument/2006/relationships/hyperlink" Target="https://msmehealthengine.fametn.com/" TargetMode="External"/><Relationship Id="rId33" Type="http://schemas.openxmlformats.org/officeDocument/2006/relationships/hyperlink" Target="https://vajraglobal.com/" TargetMode="External"/><Relationship Id="rId32" Type="http://schemas.openxmlformats.org/officeDocument/2006/relationships/hyperlink" Target="https://vajraglobal.com/" TargetMode="External"/><Relationship Id="rId35" Type="http://schemas.openxmlformats.org/officeDocument/2006/relationships/hyperlink" Target="https://vajraglobal.com/" TargetMode="External"/><Relationship Id="rId34" Type="http://schemas.openxmlformats.org/officeDocument/2006/relationships/hyperlink" Target="https://docs.google.com/spreadsheets/d/1VcZ3dgg0Ass8GliDR3zhezHmsi_LzdkC/edit?usp=sharing&amp;ouid=108220845174973423951&amp;rtpof=true&amp;sd=true" TargetMode="External"/><Relationship Id="rId37" Type="http://schemas.openxmlformats.org/officeDocument/2006/relationships/hyperlink" Target="https://vajraglobal.com/" TargetMode="External"/><Relationship Id="rId36" Type="http://schemas.openxmlformats.org/officeDocument/2006/relationships/hyperlink" Target="https://vajraglobal.com/" TargetMode="External"/><Relationship Id="rId39" Type="http://schemas.openxmlformats.org/officeDocument/2006/relationships/hyperlink" Target="https://vajraglobal.com/" TargetMode="External"/><Relationship Id="rId38" Type="http://schemas.openxmlformats.org/officeDocument/2006/relationships/hyperlink" Target="https://vajraglobal.com/" TargetMode="External"/><Relationship Id="rId20" Type="http://schemas.openxmlformats.org/officeDocument/2006/relationships/hyperlink" Target="https://automation.vajraglobal.com/" TargetMode="External"/><Relationship Id="rId22" Type="http://schemas.openxmlformats.org/officeDocument/2006/relationships/hyperlink" Target="https://automation.vajraglobal.com/" TargetMode="External"/><Relationship Id="rId21" Type="http://schemas.openxmlformats.org/officeDocument/2006/relationships/hyperlink" Target="https://automation.vajraglobal.com/" TargetMode="External"/><Relationship Id="rId24" Type="http://schemas.openxmlformats.org/officeDocument/2006/relationships/hyperlink" Target="https://automation.vajraglobal.com/" TargetMode="External"/><Relationship Id="rId23" Type="http://schemas.openxmlformats.org/officeDocument/2006/relationships/hyperlink" Target="https://vajraglobal.com/" TargetMode="External"/><Relationship Id="rId26" Type="http://schemas.openxmlformats.org/officeDocument/2006/relationships/hyperlink" Target="https://vajraglobal.com/" TargetMode="External"/><Relationship Id="rId25" Type="http://schemas.openxmlformats.org/officeDocument/2006/relationships/hyperlink" Target="https://vajraglobal.com/" TargetMode="External"/><Relationship Id="rId28" Type="http://schemas.openxmlformats.org/officeDocument/2006/relationships/hyperlink" Target="https://vajraglobal.com/" TargetMode="External"/><Relationship Id="rId27" Type="http://schemas.openxmlformats.org/officeDocument/2006/relationships/hyperlink" Target="https://vajraglobal.com/" TargetMode="External"/><Relationship Id="rId29" Type="http://schemas.openxmlformats.org/officeDocument/2006/relationships/hyperlink" Target="https://vajraglobal.com/" TargetMode="External"/><Relationship Id="rId11" Type="http://schemas.openxmlformats.org/officeDocument/2006/relationships/hyperlink" Target="https://automation.vajraglobal.com/" TargetMode="External"/><Relationship Id="rId10" Type="http://schemas.openxmlformats.org/officeDocument/2006/relationships/hyperlink" Target="https://msmehealthengine.fametn.com/" TargetMode="External"/><Relationship Id="rId13" Type="http://schemas.openxmlformats.org/officeDocument/2006/relationships/hyperlink" Target="https://vajraglobal.com/" TargetMode="External"/><Relationship Id="rId12" Type="http://schemas.openxmlformats.org/officeDocument/2006/relationships/hyperlink" Target="https://vajraglobal.com/" TargetMode="External"/><Relationship Id="rId15" Type="http://schemas.openxmlformats.org/officeDocument/2006/relationships/hyperlink" Target="https://docs.google.com/spreadsheets/d/1dICvhYSRdlAa06Z5almKFnBUnX9cWFN1fhcEhDs9Lm4/edit?usp=sharing" TargetMode="External"/><Relationship Id="rId14" Type="http://schemas.openxmlformats.org/officeDocument/2006/relationships/hyperlink" Target="https://vajraglobal.com/" TargetMode="External"/><Relationship Id="rId17" Type="http://schemas.openxmlformats.org/officeDocument/2006/relationships/hyperlink" Target="https://astonbrooke.co.uk/" TargetMode="External"/><Relationship Id="rId16" Type="http://schemas.openxmlformats.org/officeDocument/2006/relationships/hyperlink" Target="https://vajraglobal.com/" TargetMode="External"/><Relationship Id="rId19" Type="http://schemas.openxmlformats.org/officeDocument/2006/relationships/hyperlink" Target="https://msmehealthengine.fametn.com/" TargetMode="External"/><Relationship Id="rId18" Type="http://schemas.openxmlformats.org/officeDocument/2006/relationships/hyperlink" Target="https://automation.vajraglobal.com/" TargetMode="External"/><Relationship Id="rId84" Type="http://schemas.openxmlformats.org/officeDocument/2006/relationships/hyperlink" Target="https://vajraglobal.com/" TargetMode="External"/><Relationship Id="rId83" Type="http://schemas.openxmlformats.org/officeDocument/2006/relationships/hyperlink" Target="https://vajraglobal.com/" TargetMode="External"/><Relationship Id="rId86" Type="http://schemas.openxmlformats.org/officeDocument/2006/relationships/hyperlink" Target="https://vajraglobal.com/" TargetMode="External"/><Relationship Id="rId85" Type="http://schemas.openxmlformats.org/officeDocument/2006/relationships/hyperlink" Target="https://vajraglobal.com/" TargetMode="External"/><Relationship Id="rId88" Type="http://schemas.openxmlformats.org/officeDocument/2006/relationships/hyperlink" Target="https://vajraglobal.com/" TargetMode="External"/><Relationship Id="rId87" Type="http://schemas.openxmlformats.org/officeDocument/2006/relationships/hyperlink" Target="http://automation.vajraglobal.com" TargetMode="External"/><Relationship Id="rId89" Type="http://schemas.openxmlformats.org/officeDocument/2006/relationships/hyperlink" Target="https://vajraglobal.com/" TargetMode="External"/><Relationship Id="rId80" Type="http://schemas.openxmlformats.org/officeDocument/2006/relationships/hyperlink" Target="https://vajraglobal.com/" TargetMode="External"/><Relationship Id="rId82" Type="http://schemas.openxmlformats.org/officeDocument/2006/relationships/hyperlink" Target="https://vajraglobal.com/" TargetMode="External"/><Relationship Id="rId81" Type="http://schemas.openxmlformats.org/officeDocument/2006/relationships/hyperlink" Target="https://vajraglobal.com/" TargetMode="External"/><Relationship Id="rId73" Type="http://schemas.openxmlformats.org/officeDocument/2006/relationships/hyperlink" Target="https://vajraglobal.com/" TargetMode="External"/><Relationship Id="rId72" Type="http://schemas.openxmlformats.org/officeDocument/2006/relationships/hyperlink" Target="https://vajraglobal.com/" TargetMode="External"/><Relationship Id="rId75" Type="http://schemas.openxmlformats.org/officeDocument/2006/relationships/hyperlink" Target="https://vajraglobal.com/" TargetMode="External"/><Relationship Id="rId74" Type="http://schemas.openxmlformats.org/officeDocument/2006/relationships/hyperlink" Target="https://vajraglobal.com/" TargetMode="External"/><Relationship Id="rId77" Type="http://schemas.openxmlformats.org/officeDocument/2006/relationships/hyperlink" Target="https://www.linkedin.com/posts/moswin_aws-eks-kubernetes-activity-7462126509927927808--uMs?utm_source=share&amp;utm_medium=member_desktop&amp;rcm=ACoAACoz00YBMtL992VJP8rD2-2VhlT-0tzwdTs" TargetMode="External"/><Relationship Id="rId76" Type="http://schemas.openxmlformats.org/officeDocument/2006/relationships/hyperlink" Target="https://vajraglobal.com/" TargetMode="External"/><Relationship Id="rId79" Type="http://schemas.openxmlformats.org/officeDocument/2006/relationships/hyperlink" Target="https://vajraglobal.com/" TargetMode="External"/><Relationship Id="rId78" Type="http://schemas.openxmlformats.org/officeDocument/2006/relationships/hyperlink" Target="https://msmehealthengine.fametn.com/" TargetMode="External"/><Relationship Id="rId71" Type="http://schemas.openxmlformats.org/officeDocument/2006/relationships/hyperlink" Target="https://vajraglobal.com/" TargetMode="External"/><Relationship Id="rId70" Type="http://schemas.openxmlformats.org/officeDocument/2006/relationships/hyperlink" Target="https://www.linkedin.com/posts/leadgenmanthan_claude-code-can-now-run-any-cli-for-you-activity-7453738322599763968--WZH" TargetMode="External"/><Relationship Id="rId62" Type="http://schemas.openxmlformats.org/officeDocument/2006/relationships/hyperlink" Target="https://vajraglobal.com/" TargetMode="External"/><Relationship Id="rId61" Type="http://schemas.openxmlformats.org/officeDocument/2006/relationships/hyperlink" Target="https://vajraglobal.com/" TargetMode="External"/><Relationship Id="rId64" Type="http://schemas.openxmlformats.org/officeDocument/2006/relationships/hyperlink" Target="https://vajraglobal.com/" TargetMode="External"/><Relationship Id="rId63" Type="http://schemas.openxmlformats.org/officeDocument/2006/relationships/hyperlink" Target="https://vajraglobal.com/" TargetMode="External"/><Relationship Id="rId66" Type="http://schemas.openxmlformats.org/officeDocument/2006/relationships/hyperlink" Target="https://vajraglobal.com/" TargetMode="External"/><Relationship Id="rId65" Type="http://schemas.openxmlformats.org/officeDocument/2006/relationships/hyperlink" Target="https://vajraglobal.com/" TargetMode="External"/><Relationship Id="rId68" Type="http://schemas.openxmlformats.org/officeDocument/2006/relationships/hyperlink" Target="https://vajraglobal.com/" TargetMode="External"/><Relationship Id="rId67" Type="http://schemas.openxmlformats.org/officeDocument/2006/relationships/hyperlink" Target="https://vajraglobal.com/" TargetMode="External"/><Relationship Id="rId60" Type="http://schemas.openxmlformats.org/officeDocument/2006/relationships/hyperlink" Target="https://vajraglobal.com/" TargetMode="External"/><Relationship Id="rId69" Type="http://schemas.openxmlformats.org/officeDocument/2006/relationships/hyperlink" Target="https://vajraglobal.com/" TargetMode="External"/><Relationship Id="rId51" Type="http://schemas.openxmlformats.org/officeDocument/2006/relationships/hyperlink" Target="https://msmehealthengine.fametn.com/" TargetMode="External"/><Relationship Id="rId50" Type="http://schemas.openxmlformats.org/officeDocument/2006/relationships/hyperlink" Target="https://msmehealthengine.fametn.com/" TargetMode="External"/><Relationship Id="rId53" Type="http://schemas.openxmlformats.org/officeDocument/2006/relationships/hyperlink" Target="https://vajraglobal.com/" TargetMode="External"/><Relationship Id="rId52" Type="http://schemas.openxmlformats.org/officeDocument/2006/relationships/hyperlink" Target="https://vajraglobal.com/" TargetMode="External"/><Relationship Id="rId55" Type="http://schemas.openxmlformats.org/officeDocument/2006/relationships/hyperlink" Target="https://docs.google.com/document/d/1KHg8muxaUMm2emsl9NOzYrZwD9Nzd7dR/edit?usp=sharing&amp;ouid=108220845174973423951&amp;rtpof=true&amp;sd=true" TargetMode="External"/><Relationship Id="rId54" Type="http://schemas.openxmlformats.org/officeDocument/2006/relationships/hyperlink" Target="https://vajraglobal.com/" TargetMode="External"/><Relationship Id="rId57" Type="http://schemas.openxmlformats.org/officeDocument/2006/relationships/hyperlink" Target="https://msmehealthengine.fametn.com/" TargetMode="External"/><Relationship Id="rId56" Type="http://schemas.openxmlformats.org/officeDocument/2006/relationships/hyperlink" Target="https://msmehealthengine.fametn.com/" TargetMode="External"/><Relationship Id="rId59" Type="http://schemas.openxmlformats.org/officeDocument/2006/relationships/hyperlink" Target="https://vajraglobal.com/" TargetMode="External"/><Relationship Id="rId58" Type="http://schemas.openxmlformats.org/officeDocument/2006/relationships/hyperlink" Target="https://vajraglobal.com/" TargetMode="External"/><Relationship Id="rId121" Type="http://schemas.openxmlformats.org/officeDocument/2006/relationships/table" Target="../tables/table42.xml"/><Relationship Id="rId120" Type="http://schemas.openxmlformats.org/officeDocument/2006/relationships/table" Target="../tables/table41.xml"/><Relationship Id="rId95" Type="http://schemas.openxmlformats.org/officeDocument/2006/relationships/hyperlink" Target="http://automation.vajraglobal.com" TargetMode="External"/><Relationship Id="rId94" Type="http://schemas.openxmlformats.org/officeDocument/2006/relationships/hyperlink" Target="http://vajraglobal.com/" TargetMode="External"/><Relationship Id="rId97" Type="http://schemas.openxmlformats.org/officeDocument/2006/relationships/hyperlink" Target="http://automation.vajraglobal.com" TargetMode="External"/><Relationship Id="rId96" Type="http://schemas.openxmlformats.org/officeDocument/2006/relationships/hyperlink" Target="http://automation.vajraglobal.com" TargetMode="External"/><Relationship Id="rId99" Type="http://schemas.openxmlformats.org/officeDocument/2006/relationships/vmlDrawing" Target="../drawings/vmlDrawing2.vml"/><Relationship Id="rId98" Type="http://schemas.openxmlformats.org/officeDocument/2006/relationships/drawing" Target="../drawings/drawing8.xml"/><Relationship Id="rId91" Type="http://schemas.openxmlformats.org/officeDocument/2006/relationships/hyperlink" Target="http://vajraglobal.com/" TargetMode="External"/><Relationship Id="rId90" Type="http://schemas.openxmlformats.org/officeDocument/2006/relationships/hyperlink" Target="https://vajraglobal.com/" TargetMode="External"/><Relationship Id="rId93" Type="http://schemas.openxmlformats.org/officeDocument/2006/relationships/hyperlink" Target="http://vajraglobal.com/" TargetMode="External"/><Relationship Id="rId92" Type="http://schemas.openxmlformats.org/officeDocument/2006/relationships/hyperlink" Target="http://vajraglobal.com/" TargetMode="External"/><Relationship Id="rId118" Type="http://schemas.openxmlformats.org/officeDocument/2006/relationships/table" Target="../tables/table39.xml"/><Relationship Id="rId117" Type="http://schemas.openxmlformats.org/officeDocument/2006/relationships/table" Target="../tables/table38.xml"/><Relationship Id="rId116" Type="http://schemas.openxmlformats.org/officeDocument/2006/relationships/table" Target="../tables/table37.xml"/><Relationship Id="rId115" Type="http://schemas.openxmlformats.org/officeDocument/2006/relationships/table" Target="../tables/table36.xml"/><Relationship Id="rId119" Type="http://schemas.openxmlformats.org/officeDocument/2006/relationships/table" Target="../tables/table40.xml"/><Relationship Id="rId114" Type="http://schemas.openxmlformats.org/officeDocument/2006/relationships/table" Target="../tables/table35.xml"/><Relationship Id="rId113" Type="http://schemas.openxmlformats.org/officeDocument/2006/relationships/table" Target="../tables/table34.xml"/><Relationship Id="rId112" Type="http://schemas.openxmlformats.org/officeDocument/2006/relationships/table" Target="../tables/table33.xml"/><Relationship Id="rId111" Type="http://schemas.openxmlformats.org/officeDocument/2006/relationships/table" Target="../tables/table32.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github.com/dgcl-cloud/dgda/tree/feat/datareq" TargetMode="External"/><Relationship Id="rId3" Type="http://schemas.openxmlformats.org/officeDocument/2006/relationships/hyperlink" Target="https://github.com/dgcl-cloud/dgda/tree/feat/datareq" TargetMode="External"/><Relationship Id="rId4" Type="http://schemas.openxmlformats.org/officeDocument/2006/relationships/hyperlink" Target="https://github.com/dgcl-cloud/dgda/tree/release/dgda" TargetMode="External"/><Relationship Id="rId9" Type="http://schemas.openxmlformats.org/officeDocument/2006/relationships/hyperlink" Target="https://github.com/dgcl-cloud/dgda/tree/release/dgda" TargetMode="External"/><Relationship Id="rId5" Type="http://schemas.openxmlformats.org/officeDocument/2006/relationships/hyperlink" Target="https://github.com/dgcl-cloud/dgda/tree/release/dgda" TargetMode="External"/><Relationship Id="rId6" Type="http://schemas.openxmlformats.org/officeDocument/2006/relationships/hyperlink" Target="https://github.com/dgcl-cloud/dgda/tree/release/dgda" TargetMode="External"/><Relationship Id="rId7" Type="http://schemas.openxmlformats.org/officeDocument/2006/relationships/hyperlink" Target="https://github.com/dgcl-cloud/dgda/tree/release/dgda" TargetMode="External"/><Relationship Id="rId8" Type="http://schemas.openxmlformats.org/officeDocument/2006/relationships/hyperlink" Target="https://github.com/dgcl-cloud/dgda/tree/release/dgda" TargetMode="External"/><Relationship Id="rId20" Type="http://schemas.openxmlformats.org/officeDocument/2006/relationships/hyperlink" Target="https://github.com/dgcl-cloud/dgda/tree/release/dgda" TargetMode="External"/><Relationship Id="rId22" Type="http://schemas.openxmlformats.org/officeDocument/2006/relationships/hyperlink" Target="https://github.com/dgcl-cloud/dgda/tree/release/dgda" TargetMode="External"/><Relationship Id="rId21" Type="http://schemas.openxmlformats.org/officeDocument/2006/relationships/hyperlink" Target="https://github.com/dgcl-cloud/dgda/tree/release/dgda" TargetMode="External"/><Relationship Id="rId24" Type="http://schemas.openxmlformats.org/officeDocument/2006/relationships/hyperlink" Target="https://feat-finding-details.d38541r9nlp4br.amplifyapp.com/en/latest-findings" TargetMode="External"/><Relationship Id="rId23" Type="http://schemas.openxmlformats.org/officeDocument/2006/relationships/hyperlink" Target="https://github.com/dgcl-cloud/dgda/tree/release/dgda" TargetMode="External"/><Relationship Id="rId26" Type="http://schemas.openxmlformats.org/officeDocument/2006/relationships/hyperlink" Target="https://feat-finding-details.d38541r9nlp4br.amplifyapp.com/en/latest-findings" TargetMode="External"/><Relationship Id="rId25" Type="http://schemas.openxmlformats.org/officeDocument/2006/relationships/hyperlink" Target="https://github.com/dgcl-cloud/dgda/tree/release/dgda" TargetMode="External"/><Relationship Id="rId27" Type="http://schemas.openxmlformats.org/officeDocument/2006/relationships/drawing" Target="../drawings/drawing9.xml"/><Relationship Id="rId11" Type="http://schemas.openxmlformats.org/officeDocument/2006/relationships/hyperlink" Target="https://github.com/dgcl-cloud/dgda/tree/release/dgda" TargetMode="External"/><Relationship Id="rId10" Type="http://schemas.openxmlformats.org/officeDocument/2006/relationships/hyperlink" Target="https://github.com/dgcl-cloud/dgda/tree/release/dgda" TargetMode="External"/><Relationship Id="rId13" Type="http://schemas.openxmlformats.org/officeDocument/2006/relationships/hyperlink" Target="https://github.com/dgcl-cloud/dgda/tree/release/dgda" TargetMode="External"/><Relationship Id="rId12" Type="http://schemas.openxmlformats.org/officeDocument/2006/relationships/hyperlink" Target="https://github.com/dgcl-cloud/dgda/tree/release/dgda" TargetMode="External"/><Relationship Id="rId15" Type="http://schemas.openxmlformats.org/officeDocument/2006/relationships/hyperlink" Target="https://github.com/dgcl-cloud/dgda/tree/release/dgda" TargetMode="External"/><Relationship Id="rId14" Type="http://schemas.openxmlformats.org/officeDocument/2006/relationships/hyperlink" Target="https://github.com/dgcl-cloud/dgda/tree/release/dgda" TargetMode="External"/><Relationship Id="rId17" Type="http://schemas.openxmlformats.org/officeDocument/2006/relationships/hyperlink" Target="https://github.com/dgcl-cloud/dgda/tree/release/dgda" TargetMode="External"/><Relationship Id="rId16" Type="http://schemas.openxmlformats.org/officeDocument/2006/relationships/hyperlink" Target="https://github.com/dgcl-cloud/dgda/tree/release/dgda" TargetMode="External"/><Relationship Id="rId19" Type="http://schemas.openxmlformats.org/officeDocument/2006/relationships/hyperlink" Target="https://github.com/dgcl-cloud/dgda/tree/release/dgda" TargetMode="External"/><Relationship Id="rId18" Type="http://schemas.openxmlformats.org/officeDocument/2006/relationships/hyperlink" Target="https://github.com/dgcl-cloud/dgda/tree/release/dgd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dgda.gov.sa/" TargetMode="External"/><Relationship Id="rId2" Type="http://schemas.openxmlformats.org/officeDocument/2006/relationships/hyperlink" Target="https://github.com/dgcl-cloud/dgda/settings/environments/6643701800/edit" TargetMode="External"/><Relationship Id="rId3" Type="http://schemas.openxmlformats.org/officeDocument/2006/relationships/hyperlink" Target="https://preview.dgda.gov.sa/en" TargetMode="External"/><Relationship Id="rId4" Type="http://schemas.openxmlformats.org/officeDocument/2006/relationships/hyperlink" Target="https://github.com/dgcl-cloud/dgda/settings/environments/6643701800/edit" TargetMode="External"/><Relationship Id="rId9" Type="http://schemas.openxmlformats.org/officeDocument/2006/relationships/hyperlink" Target="https://github.com/dgcl-cloud/dgda/settings/environments/6643699384/edit" TargetMode="External"/><Relationship Id="rId5" Type="http://schemas.openxmlformats.org/officeDocument/2006/relationships/hyperlink" Target="https://preview-preprod.dgda.gov.sa/en" TargetMode="External"/><Relationship Id="rId6" Type="http://schemas.openxmlformats.org/officeDocument/2006/relationships/hyperlink" Target="https://github.com/dgcl-cloud/dgda/settings/environments/6643699384/edit" TargetMode="External"/><Relationship Id="rId7" Type="http://schemas.openxmlformats.org/officeDocument/2006/relationships/hyperlink" Target="https://preprod.dgda.gov.sa/" TargetMode="External"/><Relationship Id="rId8" Type="http://schemas.openxmlformats.org/officeDocument/2006/relationships/hyperlink" Target="https://github.com/dgcl-cloud/dgda/settings/environments/6643699384/edit"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release-dgs.d1ae5b5egxa43d.amplifyapp.com/" TargetMode="External"/><Relationship Id="rId2" Type="http://schemas.openxmlformats.org/officeDocument/2006/relationships/hyperlink" Target="https://www.dgs.sa/" TargetMode="External"/><Relationship Id="rId3" Type="http://schemas.openxmlformats.org/officeDocument/2006/relationships/hyperlink" Target="https://release-dgs.dl1b7xhxrjhbe.amplifyapp.com/" TargetMode="External"/><Relationship Id="rId4" Type="http://schemas.openxmlformats.org/officeDocument/2006/relationships/hyperlink" Target="https://preview.dgs.sa/" TargetMode="External"/><Relationship Id="rId9" Type="http://schemas.openxmlformats.org/officeDocument/2006/relationships/hyperlink" Target="https://dev-dgs.ddz0gzz9umix8.amplifyapp.com/" TargetMode="External"/><Relationship Id="rId5" Type="http://schemas.openxmlformats.org/officeDocument/2006/relationships/hyperlink" Target="https://main.d3kmmfy327jwr7.amplifyapp.com/" TargetMode="External"/><Relationship Id="rId6" Type="http://schemas.openxmlformats.org/officeDocument/2006/relationships/hyperlink" Target="https://preview-preprod.dgs.sa/" TargetMode="External"/><Relationship Id="rId7" Type="http://schemas.openxmlformats.org/officeDocument/2006/relationships/hyperlink" Target="https://main.d1lnkvi8pnbqc9.amplifyapp.com/en" TargetMode="External"/><Relationship Id="rId8" Type="http://schemas.openxmlformats.org/officeDocument/2006/relationships/hyperlink" Target="https://preprod.dgs.sa/" TargetMode="External"/><Relationship Id="rId10"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arnborough.com/umbraco" TargetMode="External"/><Relationship Id="rId2" Type="http://schemas.openxmlformats.org/officeDocument/2006/relationships/hyperlink" Target="https://www.farnboroughairshow.com/" TargetMode="External"/><Relationship Id="rId3" Type="http://schemas.openxmlformats.org/officeDocument/2006/relationships/hyperlink" Target="https://www.farnboroughinternational.org/" TargetMode="External"/><Relationship Id="rId4" Type="http://schemas.openxmlformats.org/officeDocument/2006/relationships/hyperlink" Target="https://www.aerospaceglobalforum.com/" TargetMode="External"/><Relationship Id="rId9" Type="http://schemas.openxmlformats.org/officeDocument/2006/relationships/hyperlink" Target="http://www.dgda.gov.sa/" TargetMode="External"/><Relationship Id="rId5" Type="http://schemas.openxmlformats.org/officeDocument/2006/relationships/hyperlink" Target="https://events.farnboroughinternational.org/" TargetMode="External"/><Relationship Id="rId6" Type="http://schemas.openxmlformats.org/officeDocument/2006/relationships/hyperlink" Target="https://www.farnboroughinternationalstudios.com/" TargetMode="External"/><Relationship Id="rId7" Type="http://schemas.openxmlformats.org/officeDocument/2006/relationships/hyperlink" Target="https://intranet.adfactorspr.com/" TargetMode="External"/><Relationship Id="rId8" Type="http://schemas.openxmlformats.org/officeDocument/2006/relationships/hyperlink" Target="https://work.adfactorspr.com/" TargetMode="External"/><Relationship Id="rId11" Type="http://schemas.openxmlformats.org/officeDocument/2006/relationships/hyperlink" Target="https://vajraglobal.com/" TargetMode="External"/><Relationship Id="rId10" Type="http://schemas.openxmlformats.org/officeDocument/2006/relationships/hyperlink" Target="http://www.dgs.sa/" TargetMode="External"/><Relationship Id="rId13" Type="http://schemas.openxmlformats.org/officeDocument/2006/relationships/drawing" Target="../drawings/drawing13.xml"/><Relationship Id="rId12" Type="http://schemas.openxmlformats.org/officeDocument/2006/relationships/hyperlink" Target="https://msmehealthengine.fametn.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arnboroughinternational.org/" TargetMode="External"/><Relationship Id="rId2" Type="http://schemas.openxmlformats.org/officeDocument/2006/relationships/hyperlink" Target="https://www.farnboroughinternational.org/" TargetMode="External"/><Relationship Id="rId3" Type="http://schemas.openxmlformats.org/officeDocument/2006/relationships/hyperlink" Target="https://www.farnboroughinternational.org/" TargetMode="External"/><Relationship Id="rId4" Type="http://schemas.openxmlformats.org/officeDocument/2006/relationships/hyperlink" Target="https://www.farnboroughairshow.com/" TargetMode="External"/><Relationship Id="rId9" Type="http://schemas.openxmlformats.org/officeDocument/2006/relationships/drawing" Target="../drawings/drawing14.xml"/><Relationship Id="rId5" Type="http://schemas.openxmlformats.org/officeDocument/2006/relationships/hyperlink" Target="https://www.farnboroughinternationalstudios.com/" TargetMode="External"/><Relationship Id="rId6" Type="http://schemas.openxmlformats.org/officeDocument/2006/relationships/hyperlink" Target="https://events.farnboroughinternational.org/" TargetMode="External"/><Relationship Id="rId7" Type="http://schemas.openxmlformats.org/officeDocument/2006/relationships/hyperlink" Target="https://www.aerospaceglobalforum.com/" TargetMode="External"/><Relationship Id="rId8" Type="http://schemas.openxmlformats.org/officeDocument/2006/relationships/hyperlink" Target="https://intranet.adfactorspr.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farnborough.com/" TargetMode="External"/><Relationship Id="rId2" Type="http://schemas.openxmlformats.org/officeDocument/2006/relationships/hyperlink" Target="http://farnboroughairshow.com/" TargetMode="External"/><Relationship Id="rId3" Type="http://schemas.openxmlformats.org/officeDocument/2006/relationships/hyperlink" Target="http://aerospaceglobalforum.com/" TargetMode="External"/><Relationship Id="rId4" Type="http://schemas.openxmlformats.org/officeDocument/2006/relationships/hyperlink" Target="http://events.farnboroughinternational.org/" TargetMode="External"/><Relationship Id="rId9" Type="http://schemas.openxmlformats.org/officeDocument/2006/relationships/drawing" Target="../drawings/drawing15.xml"/><Relationship Id="rId5" Type="http://schemas.openxmlformats.org/officeDocument/2006/relationships/hyperlink" Target="http://farnboroughinternationalstudios.com/" TargetMode="External"/><Relationship Id="rId6" Type="http://schemas.openxmlformats.org/officeDocument/2006/relationships/hyperlink" Target="http://farnboroughinternational.org/" TargetMode="External"/><Relationship Id="rId7" Type="http://schemas.openxmlformats.org/officeDocument/2006/relationships/hyperlink" Target="http://intranet.adfactorspr.com/" TargetMode="External"/><Relationship Id="rId8" Type="http://schemas.openxmlformats.org/officeDocument/2006/relationships/hyperlink" Target="http://work.adfactorspr.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farnboroughairshow.com" TargetMode="External"/><Relationship Id="rId2" Type="http://schemas.openxmlformats.org/officeDocument/2006/relationships/hyperlink" Target="http://farnborough.com" TargetMode="External"/><Relationship Id="rId3" Type="http://schemas.openxmlformats.org/officeDocument/2006/relationships/hyperlink" Target="http://events.farnboroughinternational.org" TargetMode="External"/><Relationship Id="rId4" Type="http://schemas.openxmlformats.org/officeDocument/2006/relationships/hyperlink" Target="http://farnboroughinternational.org" TargetMode="External"/><Relationship Id="rId9" Type="http://schemas.openxmlformats.org/officeDocument/2006/relationships/hyperlink" Target="https://work.adfactorspr.com/" TargetMode="External"/><Relationship Id="rId5" Type="http://schemas.openxmlformats.org/officeDocument/2006/relationships/hyperlink" Target="http://www.farnboroughinternationalstudios.com" TargetMode="External"/><Relationship Id="rId6" Type="http://schemas.openxmlformats.org/officeDocument/2006/relationships/hyperlink" Target="http://farnborughfilmstudios.com/" TargetMode="External"/><Relationship Id="rId7" Type="http://schemas.openxmlformats.org/officeDocument/2006/relationships/hyperlink" Target="http://www.aerospaceglobalforum.com" TargetMode="External"/><Relationship Id="rId8" Type="http://schemas.openxmlformats.org/officeDocument/2006/relationships/hyperlink" Target="http://intranet.adfactorspr.com/" TargetMode="External"/><Relationship Id="rId11" Type="http://schemas.openxmlformats.org/officeDocument/2006/relationships/hyperlink" Target="https://staging.farnborough.com/" TargetMode="External"/><Relationship Id="rId10" Type="http://schemas.openxmlformats.org/officeDocument/2006/relationships/hyperlink" Target="https://eventsstaging.farnboroughinternational.org/" TargetMode="External"/><Relationship Id="rId13" Type="http://schemas.openxmlformats.org/officeDocument/2006/relationships/hyperlink" Target="http://staging.farnboroughinternational.org" TargetMode="External"/><Relationship Id="rId12" Type="http://schemas.openxmlformats.org/officeDocument/2006/relationships/hyperlink" Target="http://staging.farnboroughairshow.com" TargetMode="External"/><Relationship Id="rId15" Type="http://schemas.openxmlformats.org/officeDocument/2006/relationships/hyperlink" Target="http://staging.farnborughfilmstudios.com/" TargetMode="External"/><Relationship Id="rId14" Type="http://schemas.openxmlformats.org/officeDocument/2006/relationships/hyperlink" Target="http://staging.farnborughfilmstudios.com" TargetMode="External"/><Relationship Id="rId17" Type="http://schemas.openxmlformats.org/officeDocument/2006/relationships/hyperlink" Target="https://intranetstaging.adfactorspr.com/" TargetMode="External"/><Relationship Id="rId16" Type="http://schemas.openxmlformats.org/officeDocument/2006/relationships/hyperlink" Target="http://staging.aerospaceglobalforum.com" TargetMode="External"/><Relationship Id="rId19" Type="http://schemas.openxmlformats.org/officeDocument/2006/relationships/drawing" Target="../drawings/drawing16.xml"/><Relationship Id="rId18" Type="http://schemas.openxmlformats.org/officeDocument/2006/relationships/hyperlink" Target="https://workstaging.adfactorsp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5"/>
    <col customWidth="1" min="2" max="2" width="16.13"/>
    <col customWidth="1" min="3" max="3" width="32.13"/>
    <col customWidth="1" min="4" max="4" width="15.75"/>
    <col customWidth="1" min="5" max="5" width="9.88"/>
    <col customWidth="1" min="6" max="8" width="10.75"/>
    <col customWidth="1" min="9" max="9" width="13.88"/>
    <col customWidth="1" min="11" max="11" width="9.88"/>
    <col customWidth="1" min="12" max="12" width="10.13"/>
    <col customWidth="1" min="14" max="14" width="36.38"/>
    <col customWidth="1" min="15" max="15" width="31.75"/>
    <col customWidth="1" min="16" max="16" width="24.38"/>
    <col customWidth="1" min="17" max="17" width="25.25"/>
    <col customWidth="1" min="18" max="18" width="26.0"/>
    <col customWidth="1" min="19" max="19" width="32.25"/>
  </cols>
  <sheetData>
    <row r="1">
      <c r="A1" s="1" t="s">
        <v>0</v>
      </c>
      <c r="B1" s="1" t="s">
        <v>1</v>
      </c>
      <c r="C1" s="2" t="s">
        <v>2</v>
      </c>
      <c r="D1" s="3" t="s">
        <v>3</v>
      </c>
      <c r="E1" s="1" t="s">
        <v>4</v>
      </c>
      <c r="F1" s="1" t="s">
        <v>5</v>
      </c>
      <c r="G1" s="1" t="s">
        <v>6</v>
      </c>
      <c r="H1" s="1" t="s">
        <v>7</v>
      </c>
      <c r="I1" s="1" t="s">
        <v>8</v>
      </c>
      <c r="J1" s="1" t="s">
        <v>9</v>
      </c>
      <c r="K1" s="1" t="s">
        <v>10</v>
      </c>
      <c r="L1" s="4" t="s">
        <v>11</v>
      </c>
      <c r="M1" s="1" t="s">
        <v>12</v>
      </c>
      <c r="N1" s="4" t="s">
        <v>13</v>
      </c>
      <c r="O1" s="4" t="s">
        <v>14</v>
      </c>
      <c r="P1" s="1" t="s">
        <v>15</v>
      </c>
      <c r="Q1" s="1" t="s">
        <v>16</v>
      </c>
      <c r="R1" s="1" t="s">
        <v>17</v>
      </c>
      <c r="S1" s="4" t="s">
        <v>18</v>
      </c>
      <c r="T1" s="5"/>
      <c r="U1" s="4" t="s">
        <v>19</v>
      </c>
      <c r="V1" s="4" t="s">
        <v>20</v>
      </c>
      <c r="W1" s="5"/>
      <c r="X1" s="5"/>
      <c r="Y1" s="5"/>
      <c r="Z1" s="5"/>
      <c r="AA1" s="5"/>
      <c r="AB1" s="5"/>
    </row>
    <row r="2">
      <c r="A2" s="6" t="s">
        <v>21</v>
      </c>
      <c r="B2" s="7" t="s">
        <v>22</v>
      </c>
      <c r="C2" s="8" t="s">
        <v>23</v>
      </c>
      <c r="D2" s="9" t="s">
        <v>24</v>
      </c>
      <c r="E2" s="10" t="s">
        <v>25</v>
      </c>
      <c r="F2" s="11">
        <v>46141.0</v>
      </c>
      <c r="G2" s="11">
        <v>46146.0</v>
      </c>
      <c r="H2" s="11"/>
      <c r="I2" s="12" t="s">
        <v>26</v>
      </c>
      <c r="J2" s="13" t="s">
        <v>27</v>
      </c>
      <c r="K2" s="14">
        <f>IF(
  COUNTIFS('Dev Tracker Sub'!$A$2:$A$4685, TRIM($B2&amp;""), 'Dev Tracker Sub'!$B$2:$B$4685, TRIM($C2&amp;""))=0,
  "No Subtasks",
  IF(
    SUMPRODUCT(
      --(TRIM('Dev Tracker Sub'!$A$2:$A$4685&amp;"")=TRIM($B2&amp;"")),
      --(TRIM('Dev Tracker Sub'!$B$2:$B$4685&amp;"")=TRIM($C2&amp;"")),
      --(LEN(TRIM('Dev Tracker Sub'!$L$2:$L$4685&amp;""))=0)
    )&gt;0,
    "⚠ Missing Effort",
    SUMIFS(
      'Dev Tracker Sub'!$L$2:$L$4685,
      'Dev Tracker Sub'!$A$2:$A$4685, TRIM($B2&amp;""),
      'Dev Tracker Sub'!$B$2:$B$4685, TRIM($C2&amp;"")
    )
  )
)</f>
        <v>5</v>
      </c>
      <c r="L2" s="15">
        <f>IF(
  COUNTIFS('Dev Tracker Sub'!$A$2:$A$4683, TRIM($B2&amp;""), 'Dev Tracker Sub'!$B$2:$B$4683, TRIM($C2&amp;""))=0,
  "No Subtasks",
  IF(
    SUMPRODUCT(
      --(TRIM('Dev Tracker Sub'!$A$2:$A$4683&amp;"")=TRIM($B2&amp;"")),
      --(TRIM('Dev Tracker Sub'!$B$2:$B$4683&amp;"")=TRIM($C2&amp;"")),
      --(LEN(TRIM('Dev Tracker Sub'!$M$2:$M$4683&amp;""))=0)
    )&gt;0,
    "⚠ Missing Effort",
    SUMIFS(
      'Dev Tracker Sub'!$M$2:$M$4683,
      'Dev Tracker Sub'!$A$2:$A$4683, TRIM($B2&amp;""),
      'Dev Tracker Sub'!$B$2:$B$4683, TRIM($C2&amp;"")
    )
  )
)</f>
        <v>4.5</v>
      </c>
      <c r="M2" s="16"/>
      <c r="N2" s="17" t="s">
        <v>28</v>
      </c>
      <c r="O2" s="17" t="s">
        <v>29</v>
      </c>
      <c r="P2" s="16"/>
      <c r="Q2" s="16"/>
      <c r="R2" s="17" t="s">
        <v>30</v>
      </c>
      <c r="S2" s="16"/>
      <c r="T2" s="18"/>
      <c r="U2" s="19" t="s">
        <v>31</v>
      </c>
      <c r="V2" s="20"/>
      <c r="W2" s="18"/>
      <c r="X2" s="18"/>
      <c r="Y2" s="18"/>
      <c r="Z2" s="18"/>
      <c r="AA2" s="18"/>
      <c r="AB2" s="18"/>
    </row>
    <row r="3">
      <c r="A3" s="21" t="s">
        <v>21</v>
      </c>
      <c r="B3" s="22" t="s">
        <v>22</v>
      </c>
      <c r="C3" s="23" t="s">
        <v>32</v>
      </c>
      <c r="D3" s="24" t="s">
        <v>24</v>
      </c>
      <c r="E3" s="25" t="s">
        <v>33</v>
      </c>
      <c r="F3" s="26">
        <v>46142.0</v>
      </c>
      <c r="G3" s="26">
        <v>46149.0</v>
      </c>
      <c r="H3" s="26"/>
      <c r="I3" s="27" t="s">
        <v>26</v>
      </c>
      <c r="J3" s="28" t="s">
        <v>34</v>
      </c>
      <c r="K3" s="29">
        <f>IF(
  COUNTIFS('Dev Tracker Sub'!$A$2:$A$4685, TRIM($B3&amp;""), 'Dev Tracker Sub'!$B$2:$B$4685, TRIM($C3&amp;""))=0,
  "No Subtasks",
  IF(
    SUMPRODUCT(
      --(TRIM('Dev Tracker Sub'!$A$2:$A$4685&amp;"")=TRIM($B3&amp;"")),
      --(TRIM('Dev Tracker Sub'!$B$2:$B$4685&amp;"")=TRIM($C3&amp;"")),
      --(LEN(TRIM('Dev Tracker Sub'!$L$2:$L$4685&amp;""))=0)
    )&gt;0,
    "⚠ Missing Effort",
    SUMIFS(
      'Dev Tracker Sub'!$L$2:$L$4685,
      'Dev Tracker Sub'!$A$2:$A$4685, TRIM($B3&amp;""),
      'Dev Tracker Sub'!$B$2:$B$4685, TRIM($C3&amp;"")
    )
  )
)</f>
        <v>6.5</v>
      </c>
      <c r="L3" s="30">
        <f>IF(
  COUNTIFS('Dev Tracker Sub'!$A$2:$A$4683, TRIM($B3&amp;""), 'Dev Tracker Sub'!$B$2:$B$4683, TRIM($C3&amp;""))=0,
  "No Subtasks",
  IF(
    SUMPRODUCT(
      --(TRIM('Dev Tracker Sub'!$A$2:$A$4683&amp;"")=TRIM($B3&amp;"")),
      --(TRIM('Dev Tracker Sub'!$B$2:$B$4683&amp;"")=TRIM($C3&amp;"")),
      --(LEN(TRIM('Dev Tracker Sub'!$M$2:$M$4683&amp;""))=0)
    )&gt;0,
    "⚠ Missing Effort",
    SUMIFS(
      'Dev Tracker Sub'!$M$2:$M$4683,
      'Dev Tracker Sub'!$A$2:$A$4683, TRIM($B3&amp;""),
      'Dev Tracker Sub'!$B$2:$B$4683, TRIM($C3&amp;"")
    )
  )
)</f>
        <v>6.5</v>
      </c>
      <c r="M3" s="31"/>
      <c r="N3" s="32" t="s">
        <v>35</v>
      </c>
      <c r="O3" s="31"/>
      <c r="P3" s="31"/>
      <c r="Q3" s="31"/>
      <c r="R3" s="32" t="s">
        <v>36</v>
      </c>
      <c r="S3" s="31"/>
      <c r="T3" s="18"/>
      <c r="U3" s="19" t="s">
        <v>37</v>
      </c>
      <c r="V3" s="20"/>
      <c r="W3" s="18"/>
      <c r="X3" s="18"/>
      <c r="Y3" s="18"/>
      <c r="Z3" s="18"/>
      <c r="AA3" s="18"/>
      <c r="AB3" s="18"/>
    </row>
    <row r="4">
      <c r="A4" s="6" t="s">
        <v>21</v>
      </c>
      <c r="B4" s="33" t="s">
        <v>22</v>
      </c>
      <c r="C4" s="34" t="s">
        <v>38</v>
      </c>
      <c r="D4" s="9" t="s">
        <v>24</v>
      </c>
      <c r="E4" s="15"/>
      <c r="F4" s="11">
        <v>46174.0</v>
      </c>
      <c r="G4" s="11">
        <v>46186.0</v>
      </c>
      <c r="H4" s="11"/>
      <c r="I4" s="12" t="s">
        <v>39</v>
      </c>
      <c r="J4" s="13" t="s">
        <v>27</v>
      </c>
      <c r="K4" s="14">
        <f>IF(
  COUNTIFS('Dev Tracker Sub'!$A$2:$A$4685, TRIM($B4&amp;""), 'Dev Tracker Sub'!$B$2:$B$4685, TRIM($C4&amp;""))=0,
  "No Subtasks",
  IF(
    SUMPRODUCT(
      --(TRIM('Dev Tracker Sub'!$A$2:$A$4685&amp;"")=TRIM($B4&amp;"")),
      --(TRIM('Dev Tracker Sub'!$B$2:$B$4685&amp;"")=TRIM($C4&amp;"")),
      --(LEN(TRIM('Dev Tracker Sub'!$L$2:$L$4685&amp;""))=0)
    )&gt;0,
    "⚠ Missing Effort",
    SUMIFS(
      'Dev Tracker Sub'!$L$2:$L$4685,
      'Dev Tracker Sub'!$A$2:$A$4685, TRIM($B4&amp;""),
      'Dev Tracker Sub'!$B$2:$B$4685, TRIM($C4&amp;"")
    )
  )
)</f>
        <v>5</v>
      </c>
      <c r="L4" s="15">
        <f>IF(
  COUNTIFS('Dev Tracker Sub'!$A$2:$A$4683, TRIM($B4&amp;""), 'Dev Tracker Sub'!$B$2:$B$4683, TRIM($C4&amp;""))=0,
  "No Subtasks",
  IF(
    SUMPRODUCT(
      --(TRIM('Dev Tracker Sub'!$A$2:$A$4683&amp;"")=TRIM($B4&amp;"")),
      --(TRIM('Dev Tracker Sub'!$B$2:$B$4683&amp;"")=TRIM($C4&amp;"")),
      --(LEN(TRIM('Dev Tracker Sub'!$M$2:$M$4683&amp;""))=0)
    )&gt;0,
    "⚠ Missing Effort",
    SUMIFS(
      'Dev Tracker Sub'!$M$2:$M$4683,
      'Dev Tracker Sub'!$A$2:$A$4683, TRIM($B4&amp;""),
      'Dev Tracker Sub'!$B$2:$B$4683, TRIM($C4&amp;"")
    )
  )
)</f>
        <v>4.5</v>
      </c>
      <c r="M4" s="35"/>
      <c r="N4" s="36" t="s">
        <v>40</v>
      </c>
      <c r="O4" s="17"/>
      <c r="P4" s="35"/>
      <c r="Q4" s="36"/>
      <c r="R4" s="36" t="s">
        <v>41</v>
      </c>
      <c r="S4" s="35"/>
      <c r="T4" s="18"/>
      <c r="U4" s="19" t="s">
        <v>42</v>
      </c>
      <c r="V4" s="20"/>
      <c r="W4" s="18"/>
      <c r="X4" s="18"/>
      <c r="Y4" s="18"/>
      <c r="Z4" s="18"/>
      <c r="AA4" s="18"/>
      <c r="AB4" s="18"/>
    </row>
    <row r="5">
      <c r="A5" s="21" t="s">
        <v>21</v>
      </c>
      <c r="B5" s="22" t="s">
        <v>22</v>
      </c>
      <c r="C5" s="23" t="s">
        <v>43</v>
      </c>
      <c r="D5" s="24" t="s">
        <v>24</v>
      </c>
      <c r="E5" s="25" t="s">
        <v>25</v>
      </c>
      <c r="F5" s="26"/>
      <c r="G5" s="26"/>
      <c r="H5" s="26">
        <v>46077.0</v>
      </c>
      <c r="I5" s="27" t="s">
        <v>44</v>
      </c>
      <c r="J5" s="28" t="s">
        <v>27</v>
      </c>
      <c r="K5" s="29" t="str">
        <f>IF(
  COUNTIFS('Dev Tracker Sub'!$A$2:$A$4685, TRIM($B5&amp;""), 'Dev Tracker Sub'!$B$2:$B$4685, TRIM($C5&amp;""))=0,
  "No Subtasks",
  IF(
    SUMPRODUCT(
      --(TRIM('Dev Tracker Sub'!$A$2:$A$4685&amp;"")=TRIM($B5&amp;"")),
      --(TRIM('Dev Tracker Sub'!$B$2:$B$4685&amp;"")=TRIM($C5&amp;"")),
      --(LEN(TRIM('Dev Tracker Sub'!$L$2:$L$4685&amp;""))=0)
    )&gt;0,
    "⚠ Missing Effort",
    SUMIFS(
      'Dev Tracker Sub'!$L$2:$L$4685,
      'Dev Tracker Sub'!$A$2:$A$4685, TRIM($B5&amp;""),
      'Dev Tracker Sub'!$B$2:$B$4685, TRIM($C5&amp;"")
    )
  )
)</f>
        <v>⚠ Missing Effort</v>
      </c>
      <c r="L5" s="30">
        <f>IF(
  COUNTIFS('Dev Tracker Sub'!$A$2:$A$4683, TRIM($B5&amp;""), 'Dev Tracker Sub'!$B$2:$B$4683, TRIM($C5&amp;""))=0,
  "No Subtasks",
  IF(
    SUMPRODUCT(
      --(TRIM('Dev Tracker Sub'!$A$2:$A$4683&amp;"")=TRIM($B5&amp;"")),
      --(TRIM('Dev Tracker Sub'!$B$2:$B$4683&amp;"")=TRIM($C5&amp;"")),
      --(LEN(TRIM('Dev Tracker Sub'!$M$2:$M$4683&amp;""))=0)
    )&gt;0,
    "⚠ Missing Effort",
    SUMIFS(
      'Dev Tracker Sub'!$M$2:$M$4683,
      'Dev Tracker Sub'!$A$2:$A$4683, TRIM($B5&amp;""),
      'Dev Tracker Sub'!$B$2:$B$4683, TRIM($C5&amp;"")
    )
  )
)</f>
        <v>3.5</v>
      </c>
      <c r="M5" s="31"/>
      <c r="N5" s="32" t="s">
        <v>45</v>
      </c>
      <c r="O5" s="37"/>
      <c r="P5" s="31"/>
      <c r="Q5" s="32"/>
      <c r="R5" s="32" t="s">
        <v>46</v>
      </c>
      <c r="S5" s="31"/>
      <c r="T5" s="18"/>
      <c r="U5" s="19" t="s">
        <v>47</v>
      </c>
      <c r="V5" s="20"/>
      <c r="W5" s="18"/>
      <c r="X5" s="18"/>
      <c r="Y5" s="18"/>
      <c r="Z5" s="18"/>
      <c r="AA5" s="18"/>
      <c r="AB5" s="18"/>
    </row>
    <row r="6">
      <c r="A6" s="6" t="s">
        <v>21</v>
      </c>
      <c r="B6" s="33" t="s">
        <v>22</v>
      </c>
      <c r="C6" s="34" t="s">
        <v>48</v>
      </c>
      <c r="D6" s="9" t="s">
        <v>24</v>
      </c>
      <c r="E6" s="10" t="s">
        <v>25</v>
      </c>
      <c r="F6" s="11"/>
      <c r="G6" s="11"/>
      <c r="H6" s="11"/>
      <c r="I6" s="12" t="s">
        <v>39</v>
      </c>
      <c r="J6" s="13" t="s">
        <v>27</v>
      </c>
      <c r="K6" s="14">
        <f>IF(
  COUNTIFS('Dev Tracker Sub'!$A$2:$A$4685, TRIM($B6&amp;""), 'Dev Tracker Sub'!$B$2:$B$4685, TRIM($C6&amp;""))=0,
  "No Subtasks",
  IF(
    SUMPRODUCT(
      --(TRIM('Dev Tracker Sub'!$A$2:$A$4685&amp;"")=TRIM($B6&amp;"")),
      --(TRIM('Dev Tracker Sub'!$B$2:$B$4685&amp;"")=TRIM($C6&amp;"")),
      --(LEN(TRIM('Dev Tracker Sub'!$L$2:$L$4685&amp;""))=0)
    )&gt;0,
    "⚠ Missing Effort",
    SUMIFS(
      'Dev Tracker Sub'!$L$2:$L$4685,
      'Dev Tracker Sub'!$A$2:$A$4685, TRIM($B6&amp;""),
      'Dev Tracker Sub'!$B$2:$B$4685, TRIM($C6&amp;"")
    )
  )
)</f>
        <v>32.5</v>
      </c>
      <c r="L6" s="15">
        <f>IF(
  COUNTIFS('Dev Tracker Sub'!$A$2:$A$4683, TRIM($B6&amp;""), 'Dev Tracker Sub'!$B$2:$B$4683, TRIM($C6&amp;""))=0,
  "No Subtasks",
  IF(
    SUMPRODUCT(
      --(TRIM('Dev Tracker Sub'!$A$2:$A$4683&amp;"")=TRIM($B6&amp;"")),
      --(TRIM('Dev Tracker Sub'!$B$2:$B$4683&amp;"")=TRIM($C6&amp;"")),
      --(LEN(TRIM('Dev Tracker Sub'!$M$2:$M$4683&amp;""))=0)
    )&gt;0,
    "⚠ Missing Effort",
    SUMIFS(
      'Dev Tracker Sub'!$M$2:$M$4683,
      'Dev Tracker Sub'!$A$2:$A$4683, TRIM($B6&amp;""),
      'Dev Tracker Sub'!$B$2:$B$4683, TRIM($C6&amp;"")
    )
  )
)</f>
        <v>15.5</v>
      </c>
      <c r="M6" s="35"/>
      <c r="N6" s="36" t="s">
        <v>49</v>
      </c>
      <c r="O6" s="17"/>
      <c r="P6" s="35"/>
      <c r="Q6" s="38"/>
      <c r="R6" s="36" t="s">
        <v>50</v>
      </c>
      <c r="S6" s="35"/>
      <c r="T6" s="18"/>
      <c r="U6" s="19" t="s">
        <v>51</v>
      </c>
      <c r="V6" s="20"/>
      <c r="W6" s="18"/>
      <c r="X6" s="18"/>
      <c r="Y6" s="18"/>
      <c r="Z6" s="18"/>
      <c r="AA6" s="18"/>
      <c r="AB6" s="18"/>
    </row>
    <row r="7">
      <c r="A7" s="21" t="s">
        <v>21</v>
      </c>
      <c r="B7" s="22" t="s">
        <v>22</v>
      </c>
      <c r="C7" s="23" t="s">
        <v>52</v>
      </c>
      <c r="D7" s="39" t="s">
        <v>53</v>
      </c>
      <c r="E7" s="40"/>
      <c r="F7" s="26"/>
      <c r="G7" s="26"/>
      <c r="H7" s="26"/>
      <c r="I7" s="27" t="s">
        <v>54</v>
      </c>
      <c r="J7" s="40" t="s">
        <v>55</v>
      </c>
      <c r="K7" s="29">
        <f>IF(
  COUNTIFS('Dev Tracker Sub'!$A$2:$A$4685, TRIM($B7&amp;""), 'Dev Tracker Sub'!$B$2:$B$4685, TRIM($C7&amp;""))=0,
  "No Subtasks",
  IF(
    SUMPRODUCT(
      --(TRIM('Dev Tracker Sub'!$A$2:$A$4685&amp;"")=TRIM($B7&amp;"")),
      --(TRIM('Dev Tracker Sub'!$B$2:$B$4685&amp;"")=TRIM($C7&amp;"")),
      --(LEN(TRIM('Dev Tracker Sub'!$L$2:$L$4685&amp;""))=0)
    )&gt;0,
    "⚠ Missing Effort",
    SUMIFS(
      'Dev Tracker Sub'!$L$2:$L$4685,
      'Dev Tracker Sub'!$A$2:$A$4685, TRIM($B7&amp;""),
      'Dev Tracker Sub'!$B$2:$B$4685, TRIM($C7&amp;"")
    )
  )
)</f>
        <v>0</v>
      </c>
      <c r="L7" s="30">
        <f>IF(
  COUNTIFS('Dev Tracker Sub'!$A$2:$A$4683, TRIM($B7&amp;""), 'Dev Tracker Sub'!$B$2:$B$4683, TRIM($C7&amp;""))=0,
  "No Subtasks",
  IF(
    SUMPRODUCT(
      --(TRIM('Dev Tracker Sub'!$A$2:$A$4683&amp;"")=TRIM($B7&amp;"")),
      --(TRIM('Dev Tracker Sub'!$B$2:$B$4683&amp;"")=TRIM($C7&amp;"")),
      --(LEN(TRIM('Dev Tracker Sub'!$M$2:$M$4683&amp;""))=0)
    )&gt;0,
    "⚠ Missing Effort",
    SUMIFS(
      'Dev Tracker Sub'!$M$2:$M$4683,
      'Dev Tracker Sub'!$A$2:$A$4683, TRIM($B7&amp;""),
      'Dev Tracker Sub'!$B$2:$B$4683, TRIM($C7&amp;"")
    )
  )
)</f>
        <v>0</v>
      </c>
      <c r="M7" s="31"/>
      <c r="N7" s="32"/>
      <c r="O7" s="41" t="s">
        <v>56</v>
      </c>
      <c r="P7" s="31"/>
      <c r="Q7" s="42"/>
      <c r="R7" s="32" t="s">
        <v>57</v>
      </c>
      <c r="S7" s="31"/>
      <c r="T7" s="18"/>
      <c r="U7" s="19" t="s">
        <v>58</v>
      </c>
      <c r="V7" s="20"/>
      <c r="W7" s="18"/>
      <c r="X7" s="18"/>
      <c r="Y7" s="18"/>
      <c r="Z7" s="18"/>
      <c r="AA7" s="18"/>
      <c r="AB7" s="18"/>
    </row>
    <row r="8">
      <c r="A8" s="6" t="s">
        <v>21</v>
      </c>
      <c r="B8" s="43" t="s">
        <v>59</v>
      </c>
      <c r="C8" s="34" t="s">
        <v>60</v>
      </c>
      <c r="D8" s="44" t="s">
        <v>24</v>
      </c>
      <c r="E8" s="45"/>
      <c r="F8" s="11"/>
      <c r="G8" s="11"/>
      <c r="H8" s="11"/>
      <c r="I8" s="12" t="s">
        <v>54</v>
      </c>
      <c r="J8" s="45" t="s">
        <v>55</v>
      </c>
      <c r="K8" s="14" t="str">
        <f>IF(
  COUNTIFS('Dev Tracker Sub'!$A$2:$A$4685, TRIM($B8&amp;""), 'Dev Tracker Sub'!$B$2:$B$4685, TRIM($C8&amp;""))=0,
  "No Subtasks",
  IF(
    SUMPRODUCT(
      --(TRIM('Dev Tracker Sub'!$A$2:$A$4685&amp;"")=TRIM($B8&amp;"")),
      --(TRIM('Dev Tracker Sub'!$B$2:$B$4685&amp;"")=TRIM($C8&amp;"")),
      --(LEN(TRIM('Dev Tracker Sub'!$L$2:$L$4685&amp;""))=0)
    )&gt;0,
    "⚠ Missing Effort",
    SUMIFS(
      'Dev Tracker Sub'!$L$2:$L$4685,
      'Dev Tracker Sub'!$A$2:$A$4685, TRIM($B8&amp;""),
      'Dev Tracker Sub'!$B$2:$B$4685, TRIM($C8&amp;"")
    )
  )
)</f>
        <v>No Subtasks</v>
      </c>
      <c r="L8" s="15" t="str">
        <f>IF(
  COUNTIFS('Dev Tracker Sub'!$A$2:$A$4683, TRIM($B8&amp;""), 'Dev Tracker Sub'!$B$2:$B$4683, TRIM($C8&amp;""))=0,
  "No Subtasks",
  IF(
    SUMPRODUCT(
      --(TRIM('Dev Tracker Sub'!$A$2:$A$4683&amp;"")=TRIM($B8&amp;"")),
      --(TRIM('Dev Tracker Sub'!$B$2:$B$4683&amp;"")=TRIM($C8&amp;"")),
      --(LEN(TRIM('Dev Tracker Sub'!$M$2:$M$4683&amp;""))=0)
    )&gt;0,
    "⚠ Missing Effort",
    SUMIFS(
      'Dev Tracker Sub'!$M$2:$M$4683,
      'Dev Tracker Sub'!$A$2:$A$4683, TRIM($B8&amp;""),
      'Dev Tracker Sub'!$B$2:$B$4683, TRIM($C8&amp;"")
    )
  )
)</f>
        <v>No Subtasks</v>
      </c>
      <c r="M8" s="35"/>
      <c r="N8" s="36"/>
      <c r="O8" s="17"/>
      <c r="P8" s="35"/>
      <c r="Q8" s="38"/>
      <c r="R8" s="36" t="s">
        <v>61</v>
      </c>
      <c r="S8" s="35"/>
      <c r="T8" s="18"/>
      <c r="U8" s="19" t="s">
        <v>62</v>
      </c>
      <c r="V8" s="20"/>
      <c r="W8" s="18"/>
      <c r="X8" s="18"/>
      <c r="Y8" s="18"/>
      <c r="Z8" s="18"/>
      <c r="AA8" s="18"/>
      <c r="AB8" s="18"/>
    </row>
    <row r="9">
      <c r="A9" s="46" t="s">
        <v>63</v>
      </c>
      <c r="B9" s="47" t="s">
        <v>64</v>
      </c>
      <c r="C9" s="23" t="s">
        <v>65</v>
      </c>
      <c r="D9" s="39" t="s">
        <v>53</v>
      </c>
      <c r="E9" s="48"/>
      <c r="F9" s="26">
        <v>46155.0</v>
      </c>
      <c r="G9" s="26">
        <v>46160.0</v>
      </c>
      <c r="H9" s="26">
        <v>46160.0</v>
      </c>
      <c r="I9" s="27" t="s">
        <v>26</v>
      </c>
      <c r="J9" s="49" t="s">
        <v>34</v>
      </c>
      <c r="K9" s="29">
        <f>IF(
  COUNTIFS('Dev Tracker Sub'!$A$2:$A$4685, TRIM($B9&amp;""), 'Dev Tracker Sub'!$B$2:$B$4685, TRIM($C9&amp;""))=0,
  "No Subtasks",
  IF(
    SUMPRODUCT(
      --(TRIM('Dev Tracker Sub'!$A$2:$A$4685&amp;"")=TRIM($B9&amp;"")),
      --(TRIM('Dev Tracker Sub'!$B$2:$B$4685&amp;"")=TRIM($C9&amp;"")),
      --(LEN(TRIM('Dev Tracker Sub'!$L$2:$L$4685&amp;""))=0)
    )&gt;0,
    "⚠ Missing Effort",
    SUMIFS(
      'Dev Tracker Sub'!$L$2:$L$4685,
      'Dev Tracker Sub'!$A$2:$A$4685, TRIM($B9&amp;""),
      'Dev Tracker Sub'!$B$2:$B$4685, TRIM($C9&amp;"")
    )
  )
)</f>
        <v>9</v>
      </c>
      <c r="L9" s="30">
        <f>IF(
  COUNTIFS('Dev Tracker Sub'!$A$2:$A$4683, TRIM($B9&amp;""), 'Dev Tracker Sub'!$B$2:$B$4683, TRIM($C9&amp;""))=0,
  "No Subtasks",
  IF(
    SUMPRODUCT(
      --(TRIM('Dev Tracker Sub'!$A$2:$A$4683&amp;"")=TRIM($B9&amp;"")),
      --(TRIM('Dev Tracker Sub'!$B$2:$B$4683&amp;"")=TRIM($C9&amp;"")),
      --(LEN(TRIM('Dev Tracker Sub'!$M$2:$M$4683&amp;""))=0)
    )&gt;0,
    "⚠ Missing Effort",
    SUMIFS(
      'Dev Tracker Sub'!$M$2:$M$4683,
      'Dev Tracker Sub'!$A$2:$A$4683, TRIM($B9&amp;""),
      'Dev Tracker Sub'!$B$2:$B$4683, TRIM($C9&amp;"")
    )
  )
)</f>
        <v>9.5</v>
      </c>
      <c r="M9" s="31"/>
      <c r="N9" s="32" t="s">
        <v>66</v>
      </c>
      <c r="O9" s="32" t="s">
        <v>67</v>
      </c>
      <c r="P9" s="50" t="s">
        <v>68</v>
      </c>
      <c r="Q9" s="32" t="s">
        <v>69</v>
      </c>
      <c r="R9" s="32" t="s">
        <v>70</v>
      </c>
      <c r="S9" s="31"/>
      <c r="T9" s="18"/>
      <c r="U9" s="19" t="s">
        <v>71</v>
      </c>
      <c r="V9" s="20"/>
      <c r="W9" s="18"/>
      <c r="X9" s="18"/>
      <c r="Y9" s="18"/>
      <c r="Z9" s="18"/>
      <c r="AA9" s="18"/>
      <c r="AB9" s="18"/>
    </row>
    <row r="10">
      <c r="A10" s="51" t="s">
        <v>63</v>
      </c>
      <c r="B10" s="52" t="s">
        <v>64</v>
      </c>
      <c r="C10" s="34" t="s">
        <v>72</v>
      </c>
      <c r="D10" s="9" t="s">
        <v>24</v>
      </c>
      <c r="E10" s="53"/>
      <c r="F10" s="11">
        <v>46156.0</v>
      </c>
      <c r="G10" s="11"/>
      <c r="H10" s="11"/>
      <c r="I10" s="13" t="s">
        <v>39</v>
      </c>
      <c r="J10" s="54"/>
      <c r="K10" s="14">
        <f>IF(
  COUNTIFS('Dev Tracker Sub'!$A$2:$A$4685, TRIM($B10&amp;""), 'Dev Tracker Sub'!$B$2:$B$4685, TRIM($C10&amp;""))=0,
  "No Subtasks",
  IF(
    SUMPRODUCT(
      --(TRIM('Dev Tracker Sub'!$A$2:$A$4685&amp;"")=TRIM($B10&amp;"")),
      --(TRIM('Dev Tracker Sub'!$B$2:$B$4685&amp;"")=TRIM($C10&amp;"")),
      --(LEN(TRIM('Dev Tracker Sub'!$L$2:$L$4685&amp;""))=0)
    )&gt;0,
    "⚠ Missing Effort",
    SUMIFS(
      'Dev Tracker Sub'!$L$2:$L$4685,
      'Dev Tracker Sub'!$A$2:$A$4685, TRIM($B10&amp;""),
      'Dev Tracker Sub'!$B$2:$B$4685, TRIM($C10&amp;"")
    )
  )
)</f>
        <v>48.5</v>
      </c>
      <c r="L10" s="15">
        <f>IF(
  COUNTIFS('Dev Tracker Sub'!$A$2:$A$4683, TRIM($B10&amp;""), 'Dev Tracker Sub'!$B$2:$B$4683, TRIM($C10&amp;""))=0,
  "No Subtasks",
  IF(
    SUMPRODUCT(
      --(TRIM('Dev Tracker Sub'!$A$2:$A$4683&amp;"")=TRIM($B10&amp;"")),
      --(TRIM('Dev Tracker Sub'!$B$2:$B$4683&amp;"")=TRIM($C10&amp;"")),
      --(LEN(TRIM('Dev Tracker Sub'!$M$2:$M$4683&amp;""))=0)
    )&gt;0,
    "⚠ Missing Effort",
    SUMIFS(
      'Dev Tracker Sub'!$M$2:$M$4683,
      'Dev Tracker Sub'!$A$2:$A$4683, TRIM($B10&amp;""),
      'Dev Tracker Sub'!$B$2:$B$4683, TRIM($C10&amp;"")
    )
  )
)</f>
        <v>39.5</v>
      </c>
      <c r="M10" s="35"/>
      <c r="N10" s="55"/>
      <c r="O10" s="35"/>
      <c r="P10" s="35"/>
      <c r="Q10" s="35"/>
      <c r="R10" s="36" t="s">
        <v>73</v>
      </c>
      <c r="S10" s="35"/>
      <c r="T10" s="18"/>
      <c r="U10" s="19" t="s">
        <v>74</v>
      </c>
      <c r="V10" s="20"/>
      <c r="W10" s="18"/>
      <c r="X10" s="18"/>
      <c r="Y10" s="18"/>
      <c r="Z10" s="18"/>
      <c r="AA10" s="18"/>
      <c r="AB10" s="18"/>
    </row>
    <row r="11">
      <c r="A11" s="56" t="s">
        <v>63</v>
      </c>
      <c r="B11" s="57" t="s">
        <v>64</v>
      </c>
      <c r="C11" s="23" t="s">
        <v>75</v>
      </c>
      <c r="D11" s="24" t="s">
        <v>24</v>
      </c>
      <c r="E11" s="48"/>
      <c r="F11" s="26">
        <v>46143.0</v>
      </c>
      <c r="G11" s="58"/>
      <c r="H11" s="58"/>
      <c r="I11" s="28" t="s">
        <v>39</v>
      </c>
      <c r="J11" s="59"/>
      <c r="K11" s="29" t="str">
        <f>IF(
  COUNTIFS('Dev Tracker Sub'!$A$2:$A$4685, TRIM($B11&amp;""), 'Dev Tracker Sub'!$B$2:$B$4685, TRIM($C11&amp;""))=0,
  "No Subtasks",
  IF(
    SUMPRODUCT(
      --(TRIM('Dev Tracker Sub'!$A$2:$A$4685&amp;"")=TRIM($B11&amp;"")),
      --(TRIM('Dev Tracker Sub'!$B$2:$B$4685&amp;"")=TRIM($C11&amp;"")),
      --(LEN(TRIM('Dev Tracker Sub'!$L$2:$L$4685&amp;""))=0)
    )&gt;0,
    "⚠ Missing Effort",
    SUMIFS(
      'Dev Tracker Sub'!$L$2:$L$4685,
      'Dev Tracker Sub'!$A$2:$A$4685, TRIM($B11&amp;""),
      'Dev Tracker Sub'!$B$2:$B$4685, TRIM($C11&amp;"")
    )
  )
)</f>
        <v>⚠ Missing Effort</v>
      </c>
      <c r="L11" s="30">
        <f>IF(
  COUNTIFS('Dev Tracker Sub'!$A$2:$A$4683, TRIM($B11&amp;""), 'Dev Tracker Sub'!$B$2:$B$4683, TRIM($C11&amp;""))=0,
  "No Subtasks",
  IF(
    SUMPRODUCT(
      --(TRIM('Dev Tracker Sub'!$A$2:$A$4683&amp;"")=TRIM($B11&amp;"")),
      --(TRIM('Dev Tracker Sub'!$B$2:$B$4683&amp;"")=TRIM($C11&amp;"")),
      --(LEN(TRIM('Dev Tracker Sub'!$M$2:$M$4683&amp;""))=0)
    )&gt;0,
    "⚠ Missing Effort",
    SUMIFS(
      'Dev Tracker Sub'!$M$2:$M$4683,
      'Dev Tracker Sub'!$A$2:$A$4683, TRIM($B11&amp;""),
      'Dev Tracker Sub'!$B$2:$B$4683, TRIM($C11&amp;"")
    )
  )
)</f>
        <v>29.95</v>
      </c>
      <c r="M11" s="31"/>
      <c r="N11" s="60"/>
      <c r="O11" s="31"/>
      <c r="P11" s="31"/>
      <c r="Q11" s="31"/>
      <c r="R11" s="32" t="s">
        <v>76</v>
      </c>
      <c r="S11" s="31"/>
      <c r="T11" s="18"/>
      <c r="U11" s="19" t="s">
        <v>77</v>
      </c>
      <c r="V11" s="20"/>
      <c r="W11" s="18"/>
      <c r="X11" s="18"/>
      <c r="Y11" s="18"/>
      <c r="Z11" s="18"/>
      <c r="AA11" s="18"/>
      <c r="AB11" s="18"/>
    </row>
    <row r="12">
      <c r="A12" s="61" t="s">
        <v>63</v>
      </c>
      <c r="B12" s="43" t="s">
        <v>64</v>
      </c>
      <c r="C12" s="34" t="s">
        <v>78</v>
      </c>
      <c r="D12" s="44" t="s">
        <v>53</v>
      </c>
      <c r="E12" s="10" t="s">
        <v>79</v>
      </c>
      <c r="F12" s="11">
        <v>46025.0</v>
      </c>
      <c r="G12" s="11">
        <v>46078.0</v>
      </c>
      <c r="H12" s="11">
        <v>46078.0</v>
      </c>
      <c r="I12" s="12" t="s">
        <v>26</v>
      </c>
      <c r="J12" s="45" t="s">
        <v>80</v>
      </c>
      <c r="K12" s="14">
        <f>IF(
  COUNTIFS('Dev Tracker Sub'!$A$2:$A$4685, TRIM($B12&amp;""), 'Dev Tracker Sub'!$B$2:$B$4685, TRIM($C12&amp;""))=0,
  "No Subtasks",
  IF(
    SUMPRODUCT(
      --(TRIM('Dev Tracker Sub'!$A$2:$A$4685&amp;"")=TRIM($B12&amp;"")),
      --(TRIM('Dev Tracker Sub'!$B$2:$B$4685&amp;"")=TRIM($C12&amp;"")),
      --(LEN(TRIM('Dev Tracker Sub'!$L$2:$L$4685&amp;""))=0)
    )&gt;0,
    "⚠ Missing Effort",
    SUMIFS(
      'Dev Tracker Sub'!$L$2:$L$4685,
      'Dev Tracker Sub'!$A$2:$A$4685, TRIM($B12&amp;""),
      'Dev Tracker Sub'!$B$2:$B$4685, TRIM($C12&amp;"")
    )
  )
)</f>
        <v>202.5</v>
      </c>
      <c r="L12" s="15">
        <f>IF(
  COUNTIFS('Dev Tracker Sub'!$A$2:$A$4683, TRIM($B12&amp;""), 'Dev Tracker Sub'!$B$2:$B$4683, TRIM($C12&amp;""))=0,
  "No Subtasks",
  IF(
    SUMPRODUCT(
      --(TRIM('Dev Tracker Sub'!$A$2:$A$4683&amp;"")=TRIM($B12&amp;"")),
      --(TRIM('Dev Tracker Sub'!$B$2:$B$4683&amp;"")=TRIM($C12&amp;"")),
      --(LEN(TRIM('Dev Tracker Sub'!$M$2:$M$4683&amp;""))=0)
    )&gt;0,
    "⚠ Missing Effort",
    SUMIFS(
      'Dev Tracker Sub'!$M$2:$M$4683,
      'Dev Tracker Sub'!$A$2:$A$4683, TRIM($B12&amp;""),
      'Dev Tracker Sub'!$B$2:$B$4683, TRIM($C12&amp;"")
    )
  )
)</f>
        <v>184.5</v>
      </c>
      <c r="M12" s="35"/>
      <c r="N12" s="36" t="s">
        <v>81</v>
      </c>
      <c r="O12" s="17" t="s">
        <v>82</v>
      </c>
      <c r="P12" s="62" t="s">
        <v>83</v>
      </c>
      <c r="Q12" s="38" t="s">
        <v>84</v>
      </c>
      <c r="R12" s="36" t="s">
        <v>85</v>
      </c>
      <c r="S12" s="35"/>
      <c r="T12" s="18"/>
      <c r="U12" s="19" t="s">
        <v>86</v>
      </c>
      <c r="V12" s="20"/>
      <c r="W12" s="18"/>
      <c r="X12" s="18"/>
      <c r="Y12" s="18"/>
      <c r="Z12" s="18"/>
      <c r="AA12" s="18"/>
      <c r="AB12" s="18"/>
    </row>
    <row r="13">
      <c r="A13" s="46" t="s">
        <v>63</v>
      </c>
      <c r="B13" s="47" t="s">
        <v>64</v>
      </c>
      <c r="C13" s="23" t="s">
        <v>87</v>
      </c>
      <c r="D13" s="24" t="s">
        <v>24</v>
      </c>
      <c r="E13" s="30"/>
      <c r="F13" s="26">
        <v>46097.0</v>
      </c>
      <c r="G13" s="26"/>
      <c r="H13" s="26"/>
      <c r="I13" s="27" t="s">
        <v>44</v>
      </c>
      <c r="J13" s="30"/>
      <c r="K13" s="29">
        <f>IF(
  COUNTIFS('Dev Tracker Sub'!$A$2:$A$4685, TRIM($B13&amp;""), 'Dev Tracker Sub'!$B$2:$B$4685, TRIM($C13&amp;""))=0,
  "No Subtasks",
  IF(
    SUMPRODUCT(
      --(TRIM('Dev Tracker Sub'!$A$2:$A$4685&amp;"")=TRIM($B13&amp;"")),
      --(TRIM('Dev Tracker Sub'!$B$2:$B$4685&amp;"")=TRIM($C13&amp;"")),
      --(LEN(TRIM('Dev Tracker Sub'!$L$2:$L$4685&amp;""))=0)
    )&gt;0,
    "⚠ Missing Effort",
    SUMIFS(
      'Dev Tracker Sub'!$L$2:$L$4685,
      'Dev Tracker Sub'!$A$2:$A$4685, TRIM($B13&amp;""),
      'Dev Tracker Sub'!$B$2:$B$4685, TRIM($C13&amp;"")
    )
  )
)</f>
        <v>9</v>
      </c>
      <c r="L13" s="30">
        <f>IF(
  COUNTIFS('Dev Tracker Sub'!$A$2:$A$4683, TRIM($B13&amp;""), 'Dev Tracker Sub'!$B$2:$B$4683, TRIM($C13&amp;""))=0,
  "No Subtasks",
  IF(
    SUMPRODUCT(
      --(TRIM('Dev Tracker Sub'!$A$2:$A$4683&amp;"")=TRIM($B13&amp;"")),
      --(TRIM('Dev Tracker Sub'!$B$2:$B$4683&amp;"")=TRIM($C13&amp;"")),
      --(LEN(TRIM('Dev Tracker Sub'!$M$2:$M$4683&amp;""))=0)
    )&gt;0,
    "⚠ Missing Effort",
    SUMIFS(
      'Dev Tracker Sub'!$M$2:$M$4683,
      'Dev Tracker Sub'!$A$2:$A$4683, TRIM($B13&amp;""),
      'Dev Tracker Sub'!$B$2:$B$4683, TRIM($C13&amp;"")
    )
  )
)</f>
        <v>3</v>
      </c>
      <c r="M13" s="31"/>
      <c r="N13" s="41" t="s">
        <v>88</v>
      </c>
      <c r="O13" s="32" t="s">
        <v>89</v>
      </c>
      <c r="P13" s="31"/>
      <c r="Q13" s="31"/>
      <c r="R13" s="63" t="s">
        <v>90</v>
      </c>
      <c r="S13" s="31"/>
      <c r="T13" s="18"/>
      <c r="U13" s="19" t="s">
        <v>91</v>
      </c>
      <c r="V13" s="20"/>
      <c r="W13" s="18"/>
      <c r="X13" s="18"/>
      <c r="Y13" s="18"/>
      <c r="Z13" s="18"/>
      <c r="AA13" s="18"/>
      <c r="AB13" s="18"/>
    </row>
    <row r="14">
      <c r="A14" s="61" t="s">
        <v>63</v>
      </c>
      <c r="B14" s="43" t="s">
        <v>64</v>
      </c>
      <c r="C14" s="34" t="s">
        <v>92</v>
      </c>
      <c r="D14" s="9" t="s">
        <v>24</v>
      </c>
      <c r="E14" s="10" t="s">
        <v>79</v>
      </c>
      <c r="F14" s="11">
        <v>46093.0</v>
      </c>
      <c r="G14" s="11"/>
      <c r="H14" s="11"/>
      <c r="I14" s="12" t="s">
        <v>44</v>
      </c>
      <c r="J14" s="13"/>
      <c r="K14" s="14">
        <f>IF(
  COUNTIFS('Dev Tracker Sub'!$A$2:$A$4685, TRIM($B14&amp;""), 'Dev Tracker Sub'!$B$2:$B$4685, TRIM($C14&amp;""))=0,
  "No Subtasks",
  IF(
    SUMPRODUCT(
      --(TRIM('Dev Tracker Sub'!$A$2:$A$4685&amp;"")=TRIM($B14&amp;"")),
      --(TRIM('Dev Tracker Sub'!$B$2:$B$4685&amp;"")=TRIM($C14&amp;"")),
      --(LEN(TRIM('Dev Tracker Sub'!$L$2:$L$4685&amp;""))=0)
    )&gt;0,
    "⚠ Missing Effort",
    SUMIFS(
      'Dev Tracker Sub'!$L$2:$L$4685,
      'Dev Tracker Sub'!$A$2:$A$4685, TRIM($B14&amp;""),
      'Dev Tracker Sub'!$B$2:$B$4685, TRIM($C14&amp;"")
    )
  )
)</f>
        <v>8.75</v>
      </c>
      <c r="L14" s="15">
        <f>IF(
  COUNTIFS('Dev Tracker Sub'!$A$2:$A$4683, TRIM($B14&amp;""), 'Dev Tracker Sub'!$B$2:$B$4683, TRIM($C14&amp;""))=0,
  "No Subtasks",
  IF(
    SUMPRODUCT(
      --(TRIM('Dev Tracker Sub'!$A$2:$A$4683&amp;"")=TRIM($B14&amp;"")),
      --(TRIM('Dev Tracker Sub'!$B$2:$B$4683&amp;"")=TRIM($C14&amp;"")),
      --(LEN(TRIM('Dev Tracker Sub'!$M$2:$M$4683&amp;""))=0)
    )&gt;0,
    "⚠ Missing Effort",
    SUMIFS(
      'Dev Tracker Sub'!$M$2:$M$4683,
      'Dev Tracker Sub'!$A$2:$A$4683, TRIM($B14&amp;""),
      'Dev Tracker Sub'!$B$2:$B$4683, TRIM($C14&amp;"")
    )
  )
)</f>
        <v>8.75</v>
      </c>
      <c r="M14" s="35"/>
      <c r="N14" s="36" t="s">
        <v>93</v>
      </c>
      <c r="O14" s="36" t="s">
        <v>94</v>
      </c>
      <c r="P14" s="35"/>
      <c r="Q14" s="35"/>
      <c r="R14" s="36" t="s">
        <v>95</v>
      </c>
      <c r="S14" s="36" t="s">
        <v>96</v>
      </c>
      <c r="T14" s="18"/>
      <c r="U14" s="19" t="s">
        <v>97</v>
      </c>
      <c r="V14" s="20"/>
      <c r="W14" s="18"/>
      <c r="X14" s="18"/>
      <c r="Y14" s="18"/>
      <c r="Z14" s="18"/>
      <c r="AA14" s="18"/>
      <c r="AB14" s="18"/>
    </row>
    <row r="15">
      <c r="A15" s="56" t="s">
        <v>63</v>
      </c>
      <c r="B15" s="57" t="s">
        <v>64</v>
      </c>
      <c r="C15" s="23" t="s">
        <v>98</v>
      </c>
      <c r="D15" s="39" t="s">
        <v>24</v>
      </c>
      <c r="E15" s="64"/>
      <c r="F15" s="65"/>
      <c r="G15" s="65"/>
      <c r="H15" s="65"/>
      <c r="I15" s="28" t="s">
        <v>39</v>
      </c>
      <c r="J15" s="40" t="s">
        <v>55</v>
      </c>
      <c r="K15" s="29">
        <f>IF(
  COUNTIFS('Dev Tracker Sub'!$A$2:$A$4685, TRIM($B15&amp;""), 'Dev Tracker Sub'!$B$2:$B$4685, TRIM($C15&amp;""))=0,
  "No Subtasks",
  IF(
    SUMPRODUCT(
      --(TRIM('Dev Tracker Sub'!$A$2:$A$4685&amp;"")=TRIM($B15&amp;"")),
      --(TRIM('Dev Tracker Sub'!$B$2:$B$4685&amp;"")=TRIM($C15&amp;"")),
      --(LEN(TRIM('Dev Tracker Sub'!$L$2:$L$4685&amp;""))=0)
    )&gt;0,
    "⚠ Missing Effort",
    SUMIFS(
      'Dev Tracker Sub'!$L$2:$L$4685,
      'Dev Tracker Sub'!$A$2:$A$4685, TRIM($B15&amp;""),
      'Dev Tracker Sub'!$B$2:$B$4685, TRIM($C15&amp;"")
    )
  )
)</f>
        <v>0.25</v>
      </c>
      <c r="L15" s="30">
        <f>IF(
  COUNTIFS('Dev Tracker Sub'!$A$2:$A$4683, TRIM($B15&amp;""), 'Dev Tracker Sub'!$B$2:$B$4683, TRIM($C15&amp;""))=0,
  "No Subtasks",
  IF(
    SUMPRODUCT(
      --(TRIM('Dev Tracker Sub'!$A$2:$A$4683&amp;"")=TRIM($B15&amp;"")),
      --(TRIM('Dev Tracker Sub'!$B$2:$B$4683&amp;"")=TRIM($C15&amp;"")),
      --(LEN(TRIM('Dev Tracker Sub'!$M$2:$M$4683&amp;""))=0)
    )&gt;0,
    "⚠ Missing Effort",
    SUMIFS(
      'Dev Tracker Sub'!$M$2:$M$4683,
      'Dev Tracker Sub'!$A$2:$A$4683, TRIM($B15&amp;""),
      'Dev Tracker Sub'!$B$2:$B$4683, TRIM($C15&amp;"")
    )
  )
)</f>
        <v>0.25</v>
      </c>
      <c r="M15" s="31"/>
      <c r="N15" s="41" t="s">
        <v>99</v>
      </c>
      <c r="O15" s="66"/>
      <c r="P15" s="31"/>
      <c r="Q15" s="66"/>
      <c r="R15" s="32" t="s">
        <v>100</v>
      </c>
      <c r="S15" s="31"/>
      <c r="T15" s="67"/>
      <c r="U15" s="68" t="s">
        <v>101</v>
      </c>
      <c r="V15" s="69"/>
      <c r="W15" s="67"/>
      <c r="X15" s="67"/>
      <c r="Y15" s="67"/>
      <c r="Z15" s="67"/>
      <c r="AA15" s="67"/>
      <c r="AB15" s="67"/>
    </row>
    <row r="16">
      <c r="A16" s="51" t="s">
        <v>63</v>
      </c>
      <c r="B16" s="52" t="s">
        <v>64</v>
      </c>
      <c r="C16" s="70" t="s">
        <v>102</v>
      </c>
      <c r="D16" s="9" t="s">
        <v>24</v>
      </c>
      <c r="E16" s="71"/>
      <c r="F16" s="72">
        <v>46133.0</v>
      </c>
      <c r="G16" s="72">
        <v>46134.0</v>
      </c>
      <c r="H16" s="72"/>
      <c r="I16" s="73" t="s">
        <v>103</v>
      </c>
      <c r="J16" s="45" t="s">
        <v>27</v>
      </c>
      <c r="K16" s="14">
        <f>IF(
  COUNTIFS('Dev Tracker Sub'!$A$2:$A$4685, TRIM($B16&amp;""), 'Dev Tracker Sub'!$B$2:$B$4685, TRIM($C16&amp;""))=0,
  "No Subtasks",
  IF(
    SUMPRODUCT(
      --(TRIM('Dev Tracker Sub'!$A$2:$A$4685&amp;"")=TRIM($B16&amp;"")),
      --(TRIM('Dev Tracker Sub'!$B$2:$B$4685&amp;"")=TRIM($C16&amp;"")),
      --(LEN(TRIM('Dev Tracker Sub'!$L$2:$L$4685&amp;""))=0)
    )&gt;0,
    "⚠ Missing Effort",
    SUMIFS(
      'Dev Tracker Sub'!$L$2:$L$4685,
      'Dev Tracker Sub'!$A$2:$A$4685, TRIM($B16&amp;""),
      'Dev Tracker Sub'!$B$2:$B$4685, TRIM($C16&amp;"")
    )
  )
)</f>
        <v>9.25</v>
      </c>
      <c r="L16" s="15">
        <f>IF(
  COUNTIFS('Dev Tracker Sub'!$A$2:$A$4683, TRIM($B16&amp;""), 'Dev Tracker Sub'!$B$2:$B$4683, TRIM($C16&amp;""))=0,
  "No Subtasks",
  IF(
    SUMPRODUCT(
      --(TRIM('Dev Tracker Sub'!$A$2:$A$4683&amp;"")=TRIM($B16&amp;"")),
      --(TRIM('Dev Tracker Sub'!$B$2:$B$4683&amp;"")=TRIM($C16&amp;"")),
      --(LEN(TRIM('Dev Tracker Sub'!$M$2:$M$4683&amp;""))=0)
    )&gt;0,
    "⚠ Missing Effort",
    SUMIFS(
      'Dev Tracker Sub'!$M$2:$M$4683,
      'Dev Tracker Sub'!$A$2:$A$4683, TRIM($B16&amp;""),
      'Dev Tracker Sub'!$B$2:$B$4683, TRIM($C16&amp;"")
    )
  )
)</f>
        <v>8.75</v>
      </c>
      <c r="M16" s="35"/>
      <c r="N16" s="17" t="s">
        <v>104</v>
      </c>
      <c r="O16" s="74" t="s">
        <v>105</v>
      </c>
      <c r="P16" s="62" t="s">
        <v>106</v>
      </c>
      <c r="Q16" s="74"/>
      <c r="R16" s="36" t="s">
        <v>107</v>
      </c>
      <c r="S16" s="35"/>
      <c r="T16" s="67"/>
      <c r="U16" s="68" t="s">
        <v>108</v>
      </c>
      <c r="V16" s="69"/>
      <c r="W16" s="67"/>
      <c r="X16" s="67"/>
      <c r="Y16" s="67"/>
      <c r="Z16" s="67"/>
      <c r="AA16" s="67"/>
      <c r="AB16" s="67"/>
    </row>
    <row r="17">
      <c r="A17" s="56" t="s">
        <v>63</v>
      </c>
      <c r="B17" s="57" t="s">
        <v>64</v>
      </c>
      <c r="C17" s="75" t="s">
        <v>109</v>
      </c>
      <c r="D17" s="24" t="s">
        <v>24</v>
      </c>
      <c r="E17" s="40"/>
      <c r="F17" s="26"/>
      <c r="G17" s="26"/>
      <c r="H17" s="26"/>
      <c r="I17" s="28" t="s">
        <v>55</v>
      </c>
      <c r="J17" s="29"/>
      <c r="K17" s="29">
        <f>IF(
  COUNTIFS('Dev Tracker Sub'!$A$2:$A$4685, TRIM($B17&amp;""), 'Dev Tracker Sub'!$B$2:$B$4685, TRIM($C17&amp;""))=0,
  "No Subtasks",
  IF(
    SUMPRODUCT(
      --(TRIM('Dev Tracker Sub'!$A$2:$A$4685&amp;"")=TRIM($B17&amp;"")),
      --(TRIM('Dev Tracker Sub'!$B$2:$B$4685&amp;"")=TRIM($C17&amp;"")),
      --(LEN(TRIM('Dev Tracker Sub'!$L$2:$L$4685&amp;""))=0)
    )&gt;0,
    "⚠ Missing Effort",
    SUMIFS(
      'Dev Tracker Sub'!$L$2:$L$4685,
      'Dev Tracker Sub'!$A$2:$A$4685, TRIM($B17&amp;""),
      'Dev Tracker Sub'!$B$2:$B$4685, TRIM($C17&amp;"")
    )
  )
)</f>
        <v>0.25</v>
      </c>
      <c r="L17" s="30">
        <f>IF(
  COUNTIFS('Dev Tracker Sub'!$A$2:$A$4683, TRIM($B17&amp;""), 'Dev Tracker Sub'!$B$2:$B$4683, TRIM($C17&amp;""))=0,
  "No Subtasks",
  IF(
    SUMPRODUCT(
      --(TRIM('Dev Tracker Sub'!$A$2:$A$4683&amp;"")=TRIM($B17&amp;"")),
      --(TRIM('Dev Tracker Sub'!$B$2:$B$4683&amp;"")=TRIM($C17&amp;"")),
      --(LEN(TRIM('Dev Tracker Sub'!$M$2:$M$4683&amp;""))=0)
    )&gt;0,
    "⚠ Missing Effort",
    SUMIFS(
      'Dev Tracker Sub'!$M$2:$M$4683,
      'Dev Tracker Sub'!$A$2:$A$4683, TRIM($B17&amp;""),
      'Dev Tracker Sub'!$B$2:$B$4683, TRIM($C17&amp;"")
    )
  )
)</f>
        <v>0.25</v>
      </c>
      <c r="M17" s="37"/>
      <c r="N17" s="41" t="s">
        <v>110</v>
      </c>
      <c r="O17" s="37"/>
      <c r="P17" s="37"/>
      <c r="Q17" s="41"/>
      <c r="R17" s="41" t="s">
        <v>111</v>
      </c>
      <c r="S17" s="37"/>
      <c r="T17" s="18"/>
      <c r="U17" s="19" t="s">
        <v>112</v>
      </c>
      <c r="V17" s="18"/>
      <c r="W17" s="18"/>
      <c r="X17" s="18"/>
      <c r="Y17" s="18"/>
      <c r="Z17" s="18"/>
      <c r="AA17" s="18"/>
      <c r="AB17" s="18"/>
    </row>
    <row r="18">
      <c r="A18" s="51" t="s">
        <v>63</v>
      </c>
      <c r="B18" s="52" t="s">
        <v>64</v>
      </c>
      <c r="C18" s="8" t="s">
        <v>113</v>
      </c>
      <c r="D18" s="9" t="s">
        <v>24</v>
      </c>
      <c r="E18" s="10"/>
      <c r="F18" s="11"/>
      <c r="G18" s="11"/>
      <c r="H18" s="11"/>
      <c r="I18" s="13" t="s">
        <v>39</v>
      </c>
      <c r="J18" s="76"/>
      <c r="K18" s="14"/>
      <c r="L18" s="15"/>
      <c r="M18" s="16"/>
      <c r="N18" s="17"/>
      <c r="O18" s="16"/>
      <c r="P18" s="16"/>
      <c r="Q18" s="17"/>
      <c r="R18" s="17"/>
      <c r="S18" s="16"/>
      <c r="T18" s="18"/>
      <c r="U18" s="19"/>
      <c r="V18" s="20"/>
      <c r="W18" s="18"/>
      <c r="X18" s="18"/>
      <c r="Y18" s="18"/>
      <c r="Z18" s="18"/>
      <c r="AA18" s="18"/>
      <c r="AB18" s="18"/>
    </row>
    <row r="19">
      <c r="A19" s="56" t="s">
        <v>63</v>
      </c>
      <c r="B19" s="57" t="s">
        <v>64</v>
      </c>
      <c r="C19" s="75" t="s">
        <v>114</v>
      </c>
      <c r="D19" s="24" t="s">
        <v>24</v>
      </c>
      <c r="E19" s="25" t="s">
        <v>115</v>
      </c>
      <c r="F19" s="26"/>
      <c r="G19" s="26"/>
      <c r="H19" s="26"/>
      <c r="I19" s="28" t="s">
        <v>54</v>
      </c>
      <c r="J19" s="77" t="s">
        <v>55</v>
      </c>
      <c r="K19" s="29" t="str">
        <f>IF(
  COUNTIFS('Dev Tracker Sub'!$A$2:$A$4685, TRIM($B19&amp;""), 'Dev Tracker Sub'!$B$2:$B$4685, TRIM($C19&amp;""))=0,
  "No Subtasks",
  IF(
    SUMPRODUCT(
      --(TRIM('Dev Tracker Sub'!$A$2:$A$4685&amp;"")=TRIM($B19&amp;"")),
      --(TRIM('Dev Tracker Sub'!$B$2:$B$4685&amp;"")=TRIM($C19&amp;"")),
      --(LEN(TRIM('Dev Tracker Sub'!$L$2:$L$4685&amp;""))=0)
    )&gt;0,
    "⚠ Missing Effort",
    SUMIFS(
      'Dev Tracker Sub'!$L$2:$L$4685,
      'Dev Tracker Sub'!$A$2:$A$4685, TRIM($B19&amp;""),
      'Dev Tracker Sub'!$B$2:$B$4685, TRIM($C19&amp;"")
    )
  )
)</f>
        <v>No Subtasks</v>
      </c>
      <c r="L19" s="30" t="str">
        <f>IF(
  COUNTIFS('Dev Tracker Sub'!$A$2:$A$4683, TRIM($B19&amp;""), 'Dev Tracker Sub'!$B$2:$B$4683, TRIM($C19&amp;""))=0,
  "No Subtasks",
  IF(
    SUMPRODUCT(
      --(TRIM('Dev Tracker Sub'!$A$2:$A$4683&amp;"")=TRIM($B19&amp;"")),
      --(TRIM('Dev Tracker Sub'!$B$2:$B$4683&amp;"")=TRIM($C19&amp;"")),
      --(LEN(TRIM('Dev Tracker Sub'!$M$2:$M$4683&amp;""))=0)
    )&gt;0,
    "⚠ Missing Effort",
    SUMIFS(
      'Dev Tracker Sub'!$M$2:$M$4683,
      'Dev Tracker Sub'!$A$2:$A$4683, TRIM($B19&amp;""),
      'Dev Tracker Sub'!$B$2:$B$4683, TRIM($C19&amp;"")
    )
  )
)</f>
        <v>No Subtasks</v>
      </c>
      <c r="M19" s="37"/>
      <c r="N19" s="41"/>
      <c r="O19" s="37"/>
      <c r="P19" s="37"/>
      <c r="Q19" s="41"/>
      <c r="R19" s="41" t="s">
        <v>116</v>
      </c>
      <c r="S19" s="37"/>
      <c r="T19" s="18"/>
      <c r="U19" s="19" t="s">
        <v>117</v>
      </c>
      <c r="V19" s="20"/>
      <c r="W19" s="18"/>
      <c r="X19" s="18"/>
      <c r="Y19" s="18"/>
      <c r="Z19" s="18"/>
      <c r="AA19" s="18"/>
      <c r="AB19" s="18"/>
    </row>
    <row r="20">
      <c r="A20" s="61" t="s">
        <v>118</v>
      </c>
      <c r="B20" s="43" t="s">
        <v>119</v>
      </c>
      <c r="C20" s="8" t="s">
        <v>120</v>
      </c>
      <c r="D20" s="9" t="s">
        <v>24</v>
      </c>
      <c r="E20" s="10" t="s">
        <v>33</v>
      </c>
      <c r="F20" s="11">
        <v>46119.0</v>
      </c>
      <c r="G20" s="11">
        <v>46122.0</v>
      </c>
      <c r="H20" s="11"/>
      <c r="I20" s="13" t="s">
        <v>26</v>
      </c>
      <c r="J20" s="76" t="s">
        <v>27</v>
      </c>
      <c r="K20" s="14">
        <f>IF(
  COUNTIFS('Dev Tracker Sub'!$A$2:$A$4685, TRIM($B20&amp;""), 'Dev Tracker Sub'!$B$2:$B$4685, TRIM($C20&amp;""))=0,
  "No Subtasks",
  IF(
    SUMPRODUCT(
      --(TRIM('Dev Tracker Sub'!$A$2:$A$4685&amp;"")=TRIM($B20&amp;"")),
      --(TRIM('Dev Tracker Sub'!$B$2:$B$4685&amp;"")=TRIM($C20&amp;"")),
      --(LEN(TRIM('Dev Tracker Sub'!$L$2:$L$4685&amp;""))=0)
    )&gt;0,
    "⚠ Missing Effort",
    SUMIFS(
      'Dev Tracker Sub'!$L$2:$L$4685,
      'Dev Tracker Sub'!$A$2:$A$4685, TRIM($B20&amp;""),
      'Dev Tracker Sub'!$B$2:$B$4685, TRIM($C20&amp;"")
    )
  )
)</f>
        <v>50</v>
      </c>
      <c r="L20" s="15">
        <f>IF(
  COUNTIFS('Dev Tracker Sub'!$A$2:$A$4683, TRIM($B20&amp;""), 'Dev Tracker Sub'!$B$2:$B$4683, TRIM($C20&amp;""))=0,
  "No Subtasks",
  IF(
    SUMPRODUCT(
      --(TRIM('Dev Tracker Sub'!$A$2:$A$4683&amp;"")=TRIM($B20&amp;"")),
      --(TRIM('Dev Tracker Sub'!$B$2:$B$4683&amp;"")=TRIM($C20&amp;"")),
      --(LEN(TRIM('Dev Tracker Sub'!$M$2:$M$4683&amp;""))=0)
    )&gt;0,
    "⚠ Missing Effort",
    SUMIFS(
      'Dev Tracker Sub'!$M$2:$M$4683,
      'Dev Tracker Sub'!$A$2:$A$4683, TRIM($B20&amp;""),
      'Dev Tracker Sub'!$B$2:$B$4683, TRIM($C20&amp;"")
    )
  )
)</f>
        <v>23.95</v>
      </c>
      <c r="M20" s="16"/>
      <c r="N20" s="17" t="s">
        <v>121</v>
      </c>
      <c r="O20" s="16"/>
      <c r="P20" s="16"/>
      <c r="Q20" s="17" t="s">
        <v>122</v>
      </c>
      <c r="R20" s="17" t="s">
        <v>123</v>
      </c>
      <c r="S20" s="16"/>
      <c r="T20" s="18"/>
      <c r="U20" s="19" t="s">
        <v>124</v>
      </c>
      <c r="V20" s="20"/>
      <c r="W20" s="18"/>
      <c r="X20" s="18"/>
      <c r="Y20" s="18"/>
      <c r="Z20" s="18"/>
      <c r="AA20" s="18"/>
      <c r="AB20" s="18"/>
    </row>
    <row r="21">
      <c r="A21" s="46" t="s">
        <v>118</v>
      </c>
      <c r="B21" s="47" t="s">
        <v>119</v>
      </c>
      <c r="C21" s="75" t="s">
        <v>125</v>
      </c>
      <c r="D21" s="24" t="s">
        <v>24</v>
      </c>
      <c r="E21" s="40"/>
      <c r="F21" s="37"/>
      <c r="G21" s="37"/>
      <c r="H21" s="37"/>
      <c r="I21" s="28" t="s">
        <v>54</v>
      </c>
      <c r="J21" s="40" t="s">
        <v>55</v>
      </c>
      <c r="K21" s="29" t="str">
        <f>IF(
  COUNTIFS('Dev Tracker Sub'!$A$2:$A$4685, TRIM($B21&amp;""), 'Dev Tracker Sub'!$B$2:$B$4685, TRIM($C21&amp;""))=0,
  "No Subtasks",
  IF(
    SUMPRODUCT(
      --(TRIM('Dev Tracker Sub'!$A$2:$A$4685&amp;"")=TRIM($B21&amp;"")),
      --(TRIM('Dev Tracker Sub'!$B$2:$B$4685&amp;"")=TRIM($C21&amp;"")),
      --(LEN(TRIM('Dev Tracker Sub'!$L$2:$L$4685&amp;""))=0)
    )&gt;0,
    "⚠ Missing Effort",
    SUMIFS(
      'Dev Tracker Sub'!$L$2:$L$4685,
      'Dev Tracker Sub'!$A$2:$A$4685, TRIM($B21&amp;""),
      'Dev Tracker Sub'!$B$2:$B$4685, TRIM($C21&amp;"")
    )
  )
)</f>
        <v>No Subtasks</v>
      </c>
      <c r="L21" s="30" t="str">
        <f>IF(
  COUNTIFS('Dev Tracker Sub'!$A$2:$A$4683, TRIM($B21&amp;""), 'Dev Tracker Sub'!$B$2:$B$4683, TRIM($C21&amp;""))=0,
  "No Subtasks",
  IF(
    SUMPRODUCT(
      --(TRIM('Dev Tracker Sub'!$A$2:$A$4683&amp;"")=TRIM($B21&amp;"")),
      --(TRIM('Dev Tracker Sub'!$B$2:$B$4683&amp;"")=TRIM($C21&amp;"")),
      --(LEN(TRIM('Dev Tracker Sub'!$M$2:$M$4683&amp;""))=0)
    )&gt;0,
    "⚠ Missing Effort",
    SUMIFS(
      'Dev Tracker Sub'!$M$2:$M$4683,
      'Dev Tracker Sub'!$A$2:$A$4683, TRIM($B21&amp;""),
      'Dev Tracker Sub'!$B$2:$B$4683, TRIM($C21&amp;"")
    )
  )
)</f>
        <v>No Subtasks</v>
      </c>
      <c r="M21" s="37"/>
      <c r="N21" s="41"/>
      <c r="O21" s="37"/>
      <c r="P21" s="37"/>
      <c r="Q21" s="41" t="s">
        <v>125</v>
      </c>
      <c r="R21" s="41" t="s">
        <v>126</v>
      </c>
      <c r="S21" s="37"/>
      <c r="T21" s="18"/>
      <c r="U21" s="19" t="s">
        <v>127</v>
      </c>
      <c r="V21" s="20"/>
      <c r="W21" s="18"/>
      <c r="X21" s="18"/>
      <c r="Y21" s="18"/>
      <c r="Z21" s="18"/>
      <c r="AA21" s="18"/>
      <c r="AB21" s="18"/>
    </row>
    <row r="22">
      <c r="A22" s="61" t="s">
        <v>118</v>
      </c>
      <c r="B22" s="43" t="s">
        <v>128</v>
      </c>
      <c r="C22" s="78" t="s">
        <v>129</v>
      </c>
      <c r="D22" s="9" t="s">
        <v>24</v>
      </c>
      <c r="E22" s="15" t="s">
        <v>130</v>
      </c>
      <c r="F22" s="79"/>
      <c r="G22" s="79"/>
      <c r="H22" s="79"/>
      <c r="I22" s="13" t="s">
        <v>54</v>
      </c>
      <c r="J22" s="45" t="s">
        <v>55</v>
      </c>
      <c r="K22" s="14" t="str">
        <f>IF(
  COUNTIFS('Dev Tracker Sub'!$A$2:$A$4685, TRIM($B22&amp;""), 'Dev Tracker Sub'!$B$2:$B$4685, TRIM($C22&amp;""))=0,
  "No Subtasks",
  IF(
    SUMPRODUCT(
      --(TRIM('Dev Tracker Sub'!$A$2:$A$4685&amp;"")=TRIM($B22&amp;"")),
      --(TRIM('Dev Tracker Sub'!$B$2:$B$4685&amp;"")=TRIM($C22&amp;"")),
      --(LEN(TRIM('Dev Tracker Sub'!$L$2:$L$4685&amp;""))=0)
    )&gt;0,
    "⚠ Missing Effort",
    SUMIFS(
      'Dev Tracker Sub'!$L$2:$L$4685,
      'Dev Tracker Sub'!$A$2:$A$4685, TRIM($B22&amp;""),
      'Dev Tracker Sub'!$B$2:$B$4685, TRIM($C22&amp;"")
    )
  )
)</f>
        <v>No Subtasks</v>
      </c>
      <c r="L22" s="15" t="str">
        <f>IF(
  COUNTIFS('Dev Tracker Sub'!$A$2:$A$4683, TRIM($B22&amp;""), 'Dev Tracker Sub'!$B$2:$B$4683, TRIM($C22&amp;""))=0,
  "No Subtasks",
  IF(
    SUMPRODUCT(
      --(TRIM('Dev Tracker Sub'!$A$2:$A$4683&amp;"")=TRIM($B22&amp;"")),
      --(TRIM('Dev Tracker Sub'!$B$2:$B$4683&amp;"")=TRIM($C22&amp;"")),
      --(LEN(TRIM('Dev Tracker Sub'!$M$2:$M$4683&amp;""))=0)
    )&gt;0,
    "⚠ Missing Effort",
    SUMIFS(
      'Dev Tracker Sub'!$M$2:$M$4683,
      'Dev Tracker Sub'!$A$2:$A$4683, TRIM($B22&amp;""),
      'Dev Tracker Sub'!$B$2:$B$4683, TRIM($C22&amp;"")
    )
  )
)</f>
        <v>No Subtasks</v>
      </c>
      <c r="M22" s="35"/>
      <c r="N22" s="36" t="s">
        <v>131</v>
      </c>
      <c r="O22" s="35"/>
      <c r="P22" s="35"/>
      <c r="Q22" s="35"/>
      <c r="R22" s="36" t="s">
        <v>132</v>
      </c>
      <c r="S22" s="35"/>
      <c r="T22" s="18"/>
      <c r="U22" s="19" t="s">
        <v>133</v>
      </c>
      <c r="V22" s="20"/>
      <c r="W22" s="18"/>
      <c r="X22" s="18"/>
      <c r="Y22" s="18"/>
      <c r="Z22" s="18"/>
      <c r="AA22" s="18"/>
      <c r="AB22" s="18"/>
    </row>
    <row r="23">
      <c r="A23" s="56" t="s">
        <v>118</v>
      </c>
      <c r="B23" s="57" t="s">
        <v>119</v>
      </c>
      <c r="C23" s="32" t="s">
        <v>134</v>
      </c>
      <c r="D23" s="80" t="s">
        <v>24</v>
      </c>
      <c r="E23" s="66"/>
      <c r="F23" s="65">
        <v>46143.0</v>
      </c>
      <c r="G23" s="81"/>
      <c r="H23" s="81"/>
      <c r="I23" s="82" t="s">
        <v>39</v>
      </c>
      <c r="J23" s="40" t="s">
        <v>55</v>
      </c>
      <c r="K23" s="29">
        <f>IF(
  COUNTIFS('Dev Tracker Sub'!$A$2:$A$4685, TRIM($B23&amp;""), 'Dev Tracker Sub'!$B$2:$B$4685, TRIM($C23&amp;""))=0,
  "No Subtasks",
  IF(
    SUMPRODUCT(
      --(TRIM('Dev Tracker Sub'!$A$2:$A$4685&amp;"")=TRIM($B23&amp;"")),
      --(TRIM('Dev Tracker Sub'!$B$2:$B$4685&amp;"")=TRIM($C23&amp;"")),
      --(LEN(TRIM('Dev Tracker Sub'!$L$2:$L$4685&amp;""))=0)
    )&gt;0,
    "⚠ Missing Effort",
    SUMIFS(
      'Dev Tracker Sub'!$L$2:$L$4685,
      'Dev Tracker Sub'!$A$2:$A$4685, TRIM($B23&amp;""),
      'Dev Tracker Sub'!$B$2:$B$4685, TRIM($C23&amp;"")
    )
  )
)</f>
        <v>8</v>
      </c>
      <c r="L23" s="30">
        <f>IF(
  COUNTIFS('Dev Tracker Sub'!$A$2:$A$4683, TRIM($B23&amp;""), 'Dev Tracker Sub'!$B$2:$B$4683, TRIM($C23&amp;""))=0,
  "No Subtasks",
  IF(
    SUMPRODUCT(
      --(TRIM('Dev Tracker Sub'!$A$2:$A$4683&amp;"")=TRIM($B23&amp;"")),
      --(TRIM('Dev Tracker Sub'!$B$2:$B$4683&amp;"")=TRIM($C23&amp;"")),
      --(LEN(TRIM('Dev Tracker Sub'!$M$2:$M$4683&amp;""))=0)
    )&gt;0,
    "⚠ Missing Effort",
    SUMIFS(
      'Dev Tracker Sub'!$M$2:$M$4683,
      'Dev Tracker Sub'!$A$2:$A$4683, TRIM($B23&amp;""),
      'Dev Tracker Sub'!$B$2:$B$4683, TRIM($C23&amp;"")
    )
  )
)</f>
        <v>8</v>
      </c>
      <c r="M23" s="31"/>
      <c r="N23" s="66"/>
      <c r="O23" s="31"/>
      <c r="P23" s="31"/>
      <c r="Q23" s="31"/>
      <c r="R23" s="66" t="s">
        <v>135</v>
      </c>
      <c r="S23" s="31"/>
      <c r="T23" s="83"/>
      <c r="U23" s="84" t="s">
        <v>136</v>
      </c>
      <c r="V23" s="85"/>
      <c r="W23" s="83"/>
      <c r="X23" s="83"/>
      <c r="Y23" s="83"/>
      <c r="Z23" s="83"/>
      <c r="AA23" s="83"/>
      <c r="AB23" s="83"/>
    </row>
    <row r="24">
      <c r="A24" s="51" t="s">
        <v>118</v>
      </c>
      <c r="B24" s="52" t="s">
        <v>119</v>
      </c>
      <c r="C24" s="36" t="s">
        <v>137</v>
      </c>
      <c r="D24" s="86" t="s">
        <v>24</v>
      </c>
      <c r="E24" s="53"/>
      <c r="F24" s="87"/>
      <c r="G24" s="87"/>
      <c r="H24" s="11">
        <v>46266.0</v>
      </c>
      <c r="I24" s="13" t="s">
        <v>54</v>
      </c>
      <c r="J24" s="45" t="s">
        <v>55</v>
      </c>
      <c r="K24" s="14" t="str">
        <f>IF(
  COUNTIFS('Dev Tracker Sub'!$A$2:$A$4685, TRIM($B24&amp;""), 'Dev Tracker Sub'!$B$2:$B$4685, TRIM($C24&amp;""))=0,
  "No Subtasks",
  IF(
    SUMPRODUCT(
      --(TRIM('Dev Tracker Sub'!$A$2:$A$4685&amp;"")=TRIM($B24&amp;"")),
      --(TRIM('Dev Tracker Sub'!$B$2:$B$4685&amp;"")=TRIM($C24&amp;"")),
      --(LEN(TRIM('Dev Tracker Sub'!$L$2:$L$4685&amp;""))=0)
    )&gt;0,
    "⚠ Missing Effort",
    SUMIFS(
      'Dev Tracker Sub'!$L$2:$L$4685,
      'Dev Tracker Sub'!$A$2:$A$4685, TRIM($B24&amp;""),
      'Dev Tracker Sub'!$B$2:$B$4685, TRIM($C24&amp;"")
    )
  )
)</f>
        <v>No Subtasks</v>
      </c>
      <c r="L24" s="15" t="str">
        <f>IF(
  COUNTIFS('Dev Tracker Sub'!$A$2:$A$4683, TRIM($B24&amp;""), 'Dev Tracker Sub'!$B$2:$B$4683, TRIM($C24&amp;""))=0,
  "No Subtasks",
  IF(
    SUMPRODUCT(
      --(TRIM('Dev Tracker Sub'!$A$2:$A$4683&amp;"")=TRIM($B24&amp;"")),
      --(TRIM('Dev Tracker Sub'!$B$2:$B$4683&amp;"")=TRIM($C24&amp;"")),
      --(LEN(TRIM('Dev Tracker Sub'!$M$2:$M$4683&amp;""))=0)
    )&gt;0,
    "⚠ Missing Effort",
    SUMIFS(
      'Dev Tracker Sub'!$M$2:$M$4683,
      'Dev Tracker Sub'!$A$2:$A$4683, TRIM($B24&amp;""),
      'Dev Tracker Sub'!$B$2:$B$4683, TRIM($C24&amp;"")
    )
  )
)</f>
        <v>No Subtasks</v>
      </c>
      <c r="M24" s="35"/>
      <c r="N24" s="55"/>
      <c r="O24" s="35"/>
      <c r="P24" s="35"/>
      <c r="Q24" s="35"/>
      <c r="R24" s="36" t="s">
        <v>138</v>
      </c>
      <c r="S24" s="35"/>
      <c r="T24" s="18"/>
      <c r="U24" s="88"/>
      <c r="V24" s="20"/>
      <c r="W24" s="18"/>
      <c r="X24" s="18"/>
      <c r="Y24" s="18"/>
      <c r="Z24" s="18"/>
      <c r="AA24" s="18"/>
      <c r="AB24" s="18"/>
    </row>
    <row r="25">
      <c r="A25" s="46" t="s">
        <v>139</v>
      </c>
      <c r="B25" s="47" t="s">
        <v>140</v>
      </c>
      <c r="C25" s="23" t="s">
        <v>141</v>
      </c>
      <c r="D25" s="24" t="s">
        <v>24</v>
      </c>
      <c r="E25" s="25" t="s">
        <v>33</v>
      </c>
      <c r="F25" s="26"/>
      <c r="G25" s="26"/>
      <c r="H25" s="26"/>
      <c r="I25" s="28" t="s">
        <v>39</v>
      </c>
      <c r="J25" s="40" t="s">
        <v>55</v>
      </c>
      <c r="K25" s="29" t="str">
        <f>IF(
  COUNTIFS('Dev Tracker Sub'!$A$2:$A$4685, TRIM($B25&amp;""), 'Dev Tracker Sub'!$B$2:$B$4685, TRIM($C25&amp;""))=0,
  "No Subtasks",
  IF(
    SUMPRODUCT(
      --(TRIM('Dev Tracker Sub'!$A$2:$A$4685&amp;"")=TRIM($B25&amp;"")),
      --(TRIM('Dev Tracker Sub'!$B$2:$B$4685&amp;"")=TRIM($C25&amp;"")),
      --(LEN(TRIM('Dev Tracker Sub'!$L$2:$L$4685&amp;""))=0)
    )&gt;0,
    "⚠ Missing Effort",
    SUMIFS(
      'Dev Tracker Sub'!$L$2:$L$4685,
      'Dev Tracker Sub'!$A$2:$A$4685, TRIM($B25&amp;""),
      'Dev Tracker Sub'!$B$2:$B$4685, TRIM($C25&amp;"")
    )
  )
)</f>
        <v>No Subtasks</v>
      </c>
      <c r="L25" s="30" t="str">
        <f>IF(
  COUNTIFS('Dev Tracker Sub'!$A$2:$A$4683, TRIM($B25&amp;""), 'Dev Tracker Sub'!$B$2:$B$4683, TRIM($C25&amp;""))=0,
  "No Subtasks",
  IF(
    SUMPRODUCT(
      --(TRIM('Dev Tracker Sub'!$A$2:$A$4683&amp;"")=TRIM($B25&amp;"")),
      --(TRIM('Dev Tracker Sub'!$B$2:$B$4683&amp;"")=TRIM($C25&amp;"")),
      --(LEN(TRIM('Dev Tracker Sub'!$M$2:$M$4683&amp;""))=0)
    )&gt;0,
    "⚠ Missing Effort",
    SUMIFS(
      'Dev Tracker Sub'!$M$2:$M$4683,
      'Dev Tracker Sub'!$A$2:$A$4683, TRIM($B25&amp;""),
      'Dev Tracker Sub'!$B$2:$B$4683, TRIM($C25&amp;"")
    )
  )
)</f>
        <v>No Subtasks</v>
      </c>
      <c r="M25" s="31"/>
      <c r="N25" s="32" t="s">
        <v>142</v>
      </c>
      <c r="O25" s="31"/>
      <c r="P25" s="31"/>
      <c r="Q25" s="31"/>
      <c r="R25" s="32" t="s">
        <v>143</v>
      </c>
      <c r="S25" s="31"/>
      <c r="T25" s="18"/>
      <c r="U25" s="19" t="s">
        <v>144</v>
      </c>
      <c r="V25" s="20"/>
      <c r="W25" s="18"/>
      <c r="X25" s="18"/>
      <c r="Y25" s="18"/>
      <c r="Z25" s="18"/>
      <c r="AA25" s="18"/>
      <c r="AB25" s="18"/>
    </row>
    <row r="26">
      <c r="A26" s="61" t="s">
        <v>139</v>
      </c>
      <c r="B26" s="43" t="s">
        <v>140</v>
      </c>
      <c r="C26" s="34" t="s">
        <v>145</v>
      </c>
      <c r="D26" s="9" t="s">
        <v>24</v>
      </c>
      <c r="E26" s="10" t="s">
        <v>146</v>
      </c>
      <c r="F26" s="87"/>
      <c r="G26" s="87"/>
      <c r="H26" s="87"/>
      <c r="I26" s="13" t="s">
        <v>39</v>
      </c>
      <c r="J26" s="45" t="s">
        <v>55</v>
      </c>
      <c r="K26" s="14">
        <f>IF(
  COUNTIFS('Dev Tracker Sub'!$A$2:$A$4685, TRIM($B26&amp;""), 'Dev Tracker Sub'!$B$2:$B$4685, TRIM($C26&amp;""))=0,
  "No Subtasks",
  IF(
    SUMPRODUCT(
      --(TRIM('Dev Tracker Sub'!$A$2:$A$4685&amp;"")=TRIM($B26&amp;"")),
      --(TRIM('Dev Tracker Sub'!$B$2:$B$4685&amp;"")=TRIM($C26&amp;"")),
      --(LEN(TRIM('Dev Tracker Sub'!$L$2:$L$4685&amp;""))=0)
    )&gt;0,
    "⚠ Missing Effort",
    SUMIFS(
      'Dev Tracker Sub'!$L$2:$L$4685,
      'Dev Tracker Sub'!$A$2:$A$4685, TRIM($B26&amp;""),
      'Dev Tracker Sub'!$B$2:$B$4685, TRIM($C26&amp;"")
    )
  )
)</f>
        <v>148</v>
      </c>
      <c r="L26" s="15">
        <f>IF(
  COUNTIFS('Dev Tracker Sub'!$A$2:$A$4683, TRIM($B26&amp;""), 'Dev Tracker Sub'!$B$2:$B$4683, TRIM($C26&amp;""))=0,
  "No Subtasks",
  IF(
    SUMPRODUCT(
      --(TRIM('Dev Tracker Sub'!$A$2:$A$4683&amp;"")=TRIM($B26&amp;"")),
      --(TRIM('Dev Tracker Sub'!$B$2:$B$4683&amp;"")=TRIM($C26&amp;"")),
      --(LEN(TRIM('Dev Tracker Sub'!$M$2:$M$4683&amp;""))=0)
    )&gt;0,
    "⚠ Missing Effort",
    SUMIFS(
      'Dev Tracker Sub'!$M$2:$M$4683,
      'Dev Tracker Sub'!$A$2:$A$4683, TRIM($B26&amp;""),
      'Dev Tracker Sub'!$B$2:$B$4683, TRIM($C26&amp;"")
    )
  )
)</f>
        <v>150</v>
      </c>
      <c r="M26" s="35"/>
      <c r="N26" s="55"/>
      <c r="O26" s="35"/>
      <c r="P26" s="35"/>
      <c r="Q26" s="35"/>
      <c r="R26" s="36" t="s">
        <v>147</v>
      </c>
      <c r="S26" s="35"/>
      <c r="T26" s="18"/>
      <c r="U26" s="88"/>
      <c r="V26" s="20"/>
      <c r="W26" s="18"/>
      <c r="X26" s="18"/>
      <c r="Y26" s="18"/>
      <c r="Z26" s="18"/>
      <c r="AA26" s="18"/>
      <c r="AB26" s="18"/>
    </row>
    <row r="27">
      <c r="A27" s="46" t="s">
        <v>139</v>
      </c>
      <c r="B27" s="47" t="s">
        <v>140</v>
      </c>
      <c r="C27" s="23" t="s">
        <v>148</v>
      </c>
      <c r="D27" s="24" t="s">
        <v>24</v>
      </c>
      <c r="E27" s="25" t="s">
        <v>115</v>
      </c>
      <c r="F27" s="58"/>
      <c r="G27" s="58"/>
      <c r="H27" s="58"/>
      <c r="I27" s="28" t="s">
        <v>39</v>
      </c>
      <c r="J27" s="40" t="s">
        <v>55</v>
      </c>
      <c r="K27" s="89"/>
      <c r="L27" s="30"/>
      <c r="M27" s="31"/>
      <c r="N27" s="60"/>
      <c r="O27" s="31"/>
      <c r="P27" s="31"/>
      <c r="Q27" s="31"/>
      <c r="R27" s="32" t="s">
        <v>149</v>
      </c>
      <c r="S27" s="31"/>
      <c r="T27" s="18"/>
      <c r="U27" s="88"/>
      <c r="V27" s="20"/>
      <c r="W27" s="18"/>
      <c r="X27" s="18"/>
      <c r="Y27" s="18"/>
      <c r="Z27" s="18"/>
      <c r="AA27" s="18"/>
      <c r="AB27" s="18"/>
    </row>
    <row r="28">
      <c r="A28" s="90"/>
      <c r="B28" s="91"/>
      <c r="C28" s="92"/>
      <c r="D28" s="93"/>
      <c r="E28" s="94"/>
      <c r="F28" s="95"/>
      <c r="G28" s="95"/>
      <c r="H28" s="95"/>
      <c r="I28" s="96"/>
      <c r="J28" s="97"/>
      <c r="K28" s="98"/>
      <c r="L28" s="15"/>
      <c r="M28" s="99"/>
      <c r="N28" s="100"/>
      <c r="O28" s="99"/>
      <c r="P28" s="99"/>
      <c r="Q28" s="99"/>
      <c r="R28" s="100"/>
      <c r="S28" s="99"/>
      <c r="T28" s="18"/>
      <c r="U28" s="88"/>
      <c r="V28" s="18"/>
      <c r="W28" s="18"/>
      <c r="X28" s="18"/>
      <c r="Y28" s="18"/>
      <c r="Z28" s="18"/>
      <c r="AA28" s="18"/>
      <c r="AB28" s="18"/>
    </row>
    <row r="29">
      <c r="A29" s="101"/>
      <c r="B29" s="102"/>
      <c r="C29" s="103"/>
      <c r="D29" s="104"/>
      <c r="E29" s="105"/>
      <c r="F29" s="106"/>
      <c r="G29" s="106"/>
      <c r="H29" s="106"/>
      <c r="I29" s="107"/>
      <c r="J29" s="108"/>
      <c r="K29" s="89"/>
      <c r="L29" s="30"/>
      <c r="M29" s="109"/>
      <c r="N29" s="110"/>
      <c r="O29" s="109"/>
      <c r="P29" s="109"/>
      <c r="Q29" s="109"/>
      <c r="R29" s="110"/>
      <c r="S29" s="109"/>
      <c r="T29" s="18"/>
      <c r="U29" s="88"/>
      <c r="V29" s="18"/>
      <c r="W29" s="18"/>
      <c r="X29" s="18"/>
      <c r="Y29" s="18"/>
      <c r="Z29" s="18"/>
      <c r="AA29" s="18"/>
      <c r="AB29" s="18"/>
    </row>
    <row r="30">
      <c r="A30" s="90"/>
      <c r="B30" s="91"/>
      <c r="C30" s="92"/>
      <c r="D30" s="93"/>
      <c r="E30" s="94"/>
      <c r="F30" s="95"/>
      <c r="G30" s="95"/>
      <c r="H30" s="95"/>
      <c r="I30" s="96"/>
      <c r="J30" s="97"/>
      <c r="K30" s="98"/>
      <c r="L30" s="15"/>
      <c r="M30" s="99"/>
      <c r="N30" s="100"/>
      <c r="O30" s="99"/>
      <c r="P30" s="99"/>
      <c r="Q30" s="99"/>
      <c r="R30" s="100"/>
      <c r="S30" s="99"/>
      <c r="T30" s="18"/>
      <c r="U30" s="88"/>
      <c r="V30" s="18"/>
      <c r="W30" s="18"/>
      <c r="X30" s="18"/>
      <c r="Y30" s="18"/>
      <c r="Z30" s="18"/>
      <c r="AA30" s="18"/>
      <c r="AB30" s="18"/>
    </row>
    <row r="31">
      <c r="A31" s="101"/>
      <c r="B31" s="102"/>
      <c r="C31" s="103"/>
      <c r="D31" s="104"/>
      <c r="E31" s="105"/>
      <c r="F31" s="106"/>
      <c r="G31" s="106"/>
      <c r="H31" s="106"/>
      <c r="I31" s="107"/>
      <c r="J31" s="108"/>
      <c r="K31" s="89"/>
      <c r="L31" s="30"/>
      <c r="M31" s="109"/>
      <c r="N31" s="110"/>
      <c r="O31" s="109"/>
      <c r="P31" s="109"/>
      <c r="Q31" s="109"/>
      <c r="R31" s="110"/>
      <c r="S31" s="109"/>
      <c r="T31" s="18"/>
      <c r="U31" s="88"/>
      <c r="V31" s="18"/>
      <c r="W31" s="18"/>
      <c r="X31" s="18"/>
      <c r="Y31" s="18"/>
      <c r="Z31" s="18"/>
      <c r="AA31" s="18"/>
      <c r="AB31" s="18"/>
    </row>
    <row r="32">
      <c r="A32" s="90"/>
      <c r="B32" s="91"/>
      <c r="C32" s="92"/>
      <c r="D32" s="93"/>
      <c r="E32" s="94"/>
      <c r="F32" s="95"/>
      <c r="G32" s="95"/>
      <c r="H32" s="95"/>
      <c r="I32" s="96"/>
      <c r="J32" s="97"/>
      <c r="K32" s="98"/>
      <c r="L32" s="15"/>
      <c r="M32" s="99"/>
      <c r="N32" s="100"/>
      <c r="O32" s="99"/>
      <c r="P32" s="99"/>
      <c r="Q32" s="99"/>
      <c r="R32" s="100"/>
      <c r="S32" s="99"/>
      <c r="T32" s="18"/>
      <c r="U32" s="88"/>
      <c r="V32" s="18"/>
      <c r="W32" s="18"/>
      <c r="X32" s="18"/>
      <c r="Y32" s="18"/>
      <c r="Z32" s="18"/>
      <c r="AA32" s="18"/>
      <c r="AB32" s="18"/>
    </row>
    <row r="33">
      <c r="A33" s="101"/>
      <c r="B33" s="102"/>
      <c r="C33" s="103"/>
      <c r="D33" s="104"/>
      <c r="E33" s="105"/>
      <c r="F33" s="106"/>
      <c r="G33" s="106"/>
      <c r="H33" s="106"/>
      <c r="I33" s="107"/>
      <c r="J33" s="108"/>
      <c r="K33" s="89"/>
      <c r="L33" s="30"/>
      <c r="M33" s="109"/>
      <c r="N33" s="110"/>
      <c r="O33" s="109"/>
      <c r="P33" s="109"/>
      <c r="Q33" s="109"/>
      <c r="R33" s="110"/>
      <c r="S33" s="109"/>
      <c r="T33" s="18"/>
      <c r="U33" s="88"/>
      <c r="V33" s="18"/>
      <c r="W33" s="18"/>
      <c r="X33" s="18"/>
      <c r="Y33" s="18"/>
      <c r="Z33" s="18"/>
      <c r="AA33" s="18"/>
      <c r="AB33" s="18"/>
    </row>
    <row r="34">
      <c r="A34" s="90"/>
      <c r="B34" s="91"/>
      <c r="C34" s="92"/>
      <c r="D34" s="93"/>
      <c r="E34" s="94"/>
      <c r="F34" s="95"/>
      <c r="G34" s="95"/>
      <c r="H34" s="95"/>
      <c r="I34" s="96"/>
      <c r="J34" s="97"/>
      <c r="K34" s="98"/>
      <c r="L34" s="15"/>
      <c r="M34" s="99"/>
      <c r="N34" s="100"/>
      <c r="O34" s="99"/>
      <c r="P34" s="99"/>
      <c r="Q34" s="99"/>
      <c r="R34" s="100"/>
      <c r="S34" s="99"/>
      <c r="T34" s="18"/>
      <c r="U34" s="88"/>
      <c r="V34" s="18"/>
      <c r="W34" s="18"/>
      <c r="X34" s="18"/>
      <c r="Y34" s="18"/>
      <c r="Z34" s="18"/>
      <c r="AA34" s="18"/>
      <c r="AB34" s="18"/>
    </row>
    <row r="35">
      <c r="A35" s="101"/>
      <c r="B35" s="102"/>
      <c r="C35" s="103"/>
      <c r="D35" s="104"/>
      <c r="E35" s="105"/>
      <c r="F35" s="106"/>
      <c r="G35" s="106"/>
      <c r="H35" s="106"/>
      <c r="I35" s="107"/>
      <c r="J35" s="108"/>
      <c r="K35" s="89"/>
      <c r="L35" s="30"/>
      <c r="M35" s="109"/>
      <c r="N35" s="110"/>
      <c r="O35" s="109"/>
      <c r="P35" s="109"/>
      <c r="Q35" s="109"/>
      <c r="R35" s="110"/>
      <c r="S35" s="109"/>
      <c r="T35" s="18"/>
      <c r="U35" s="88"/>
      <c r="V35" s="18"/>
      <c r="W35" s="18"/>
      <c r="X35" s="18"/>
      <c r="Y35" s="18"/>
      <c r="Z35" s="18"/>
      <c r="AA35" s="18"/>
      <c r="AB35" s="18"/>
    </row>
    <row r="36">
      <c r="A36" s="90"/>
      <c r="B36" s="91"/>
      <c r="C36" s="92"/>
      <c r="D36" s="93"/>
      <c r="E36" s="94"/>
      <c r="F36" s="95"/>
      <c r="G36" s="95"/>
      <c r="H36" s="95"/>
      <c r="I36" s="96"/>
      <c r="J36" s="97"/>
      <c r="K36" s="98"/>
      <c r="L36" s="15"/>
      <c r="M36" s="99"/>
      <c r="N36" s="100"/>
      <c r="O36" s="99"/>
      <c r="P36" s="99"/>
      <c r="Q36" s="99"/>
      <c r="R36" s="100"/>
      <c r="S36" s="99"/>
      <c r="T36" s="18"/>
      <c r="U36" s="88"/>
      <c r="V36" s="18"/>
      <c r="W36" s="18"/>
      <c r="X36" s="18"/>
      <c r="Y36" s="18"/>
      <c r="Z36" s="18"/>
      <c r="AA36" s="18"/>
      <c r="AB36" s="18"/>
    </row>
    <row r="37">
      <c r="A37" s="101"/>
      <c r="B37" s="102"/>
      <c r="C37" s="103"/>
      <c r="D37" s="104"/>
      <c r="E37" s="105"/>
      <c r="F37" s="106"/>
      <c r="G37" s="106"/>
      <c r="H37" s="106"/>
      <c r="I37" s="107"/>
      <c r="J37" s="108"/>
      <c r="K37" s="89"/>
      <c r="L37" s="30"/>
      <c r="M37" s="109"/>
      <c r="N37" s="110"/>
      <c r="O37" s="109"/>
      <c r="P37" s="109"/>
      <c r="Q37" s="109"/>
      <c r="R37" s="110"/>
      <c r="S37" s="109"/>
      <c r="T37" s="18"/>
      <c r="U37" s="88"/>
      <c r="V37" s="18"/>
      <c r="W37" s="18"/>
      <c r="X37" s="18"/>
      <c r="Y37" s="18"/>
      <c r="Z37" s="18"/>
      <c r="AA37" s="18"/>
      <c r="AB37" s="18"/>
    </row>
    <row r="38">
      <c r="A38" s="90"/>
      <c r="B38" s="91"/>
      <c r="C38" s="92"/>
      <c r="D38" s="93"/>
      <c r="E38" s="94"/>
      <c r="F38" s="95"/>
      <c r="G38" s="95"/>
      <c r="H38" s="95"/>
      <c r="I38" s="96"/>
      <c r="J38" s="97"/>
      <c r="K38" s="98"/>
      <c r="L38" s="15"/>
      <c r="M38" s="99"/>
      <c r="N38" s="100"/>
      <c r="O38" s="99"/>
      <c r="P38" s="99"/>
      <c r="Q38" s="99"/>
      <c r="R38" s="100"/>
      <c r="S38" s="99"/>
      <c r="T38" s="18"/>
      <c r="U38" s="88"/>
      <c r="V38" s="18"/>
      <c r="W38" s="18"/>
      <c r="X38" s="18"/>
      <c r="Y38" s="18"/>
      <c r="Z38" s="18"/>
      <c r="AA38" s="18"/>
      <c r="AB38" s="18"/>
    </row>
    <row r="39">
      <c r="A39" s="101"/>
      <c r="B39" s="102"/>
      <c r="C39" s="103"/>
      <c r="D39" s="104"/>
      <c r="E39" s="105"/>
      <c r="F39" s="106"/>
      <c r="G39" s="106"/>
      <c r="H39" s="106"/>
      <c r="I39" s="107"/>
      <c r="J39" s="108"/>
      <c r="K39" s="89"/>
      <c r="L39" s="30"/>
      <c r="M39" s="109"/>
      <c r="N39" s="110"/>
      <c r="O39" s="109"/>
      <c r="P39" s="109"/>
      <c r="Q39" s="109"/>
      <c r="R39" s="110"/>
      <c r="S39" s="109"/>
      <c r="T39" s="18"/>
      <c r="U39" s="88"/>
      <c r="V39" s="18"/>
      <c r="W39" s="18"/>
      <c r="X39" s="18"/>
      <c r="Y39" s="18"/>
      <c r="Z39" s="18"/>
      <c r="AA39" s="18"/>
      <c r="AB39" s="18"/>
    </row>
    <row r="40">
      <c r="A40" s="90"/>
      <c r="B40" s="91"/>
      <c r="C40" s="92"/>
      <c r="D40" s="93"/>
      <c r="E40" s="94"/>
      <c r="F40" s="95"/>
      <c r="G40" s="95"/>
      <c r="H40" s="95"/>
      <c r="I40" s="96"/>
      <c r="J40" s="97"/>
      <c r="K40" s="98"/>
      <c r="L40" s="15"/>
      <c r="M40" s="99"/>
      <c r="N40" s="100"/>
      <c r="O40" s="99"/>
      <c r="P40" s="99"/>
      <c r="Q40" s="99"/>
      <c r="R40" s="100"/>
      <c r="S40" s="99"/>
      <c r="T40" s="18"/>
      <c r="U40" s="88"/>
      <c r="V40" s="18"/>
      <c r="W40" s="18"/>
      <c r="X40" s="18"/>
      <c r="Y40" s="18"/>
      <c r="Z40" s="18"/>
      <c r="AA40" s="18"/>
      <c r="AB40" s="18"/>
    </row>
    <row r="41">
      <c r="A41" s="101"/>
      <c r="B41" s="102"/>
      <c r="C41" s="103"/>
      <c r="D41" s="104"/>
      <c r="E41" s="105"/>
      <c r="F41" s="106"/>
      <c r="G41" s="106"/>
      <c r="H41" s="106"/>
      <c r="I41" s="107"/>
      <c r="J41" s="108"/>
      <c r="K41" s="89"/>
      <c r="L41" s="30"/>
      <c r="M41" s="109"/>
      <c r="N41" s="110"/>
      <c r="O41" s="109"/>
      <c r="P41" s="109"/>
      <c r="Q41" s="109"/>
      <c r="R41" s="110"/>
      <c r="S41" s="109"/>
      <c r="T41" s="18"/>
      <c r="U41" s="88"/>
      <c r="V41" s="18"/>
      <c r="W41" s="18"/>
      <c r="X41" s="18"/>
      <c r="Y41" s="18"/>
      <c r="Z41" s="18"/>
      <c r="AA41" s="18"/>
      <c r="AB41" s="18"/>
    </row>
    <row r="42">
      <c r="A42" s="90"/>
      <c r="B42" s="91"/>
      <c r="C42" s="92"/>
      <c r="D42" s="93"/>
      <c r="E42" s="94"/>
      <c r="F42" s="95"/>
      <c r="G42" s="95"/>
      <c r="H42" s="95"/>
      <c r="I42" s="96"/>
      <c r="J42" s="97"/>
      <c r="K42" s="98"/>
      <c r="L42" s="15"/>
      <c r="M42" s="99"/>
      <c r="N42" s="100"/>
      <c r="O42" s="99"/>
      <c r="P42" s="99"/>
      <c r="Q42" s="99"/>
      <c r="R42" s="100"/>
      <c r="S42" s="99"/>
      <c r="T42" s="18"/>
      <c r="U42" s="88"/>
      <c r="V42" s="18"/>
      <c r="W42" s="18"/>
      <c r="X42" s="18"/>
      <c r="Y42" s="18"/>
      <c r="Z42" s="18"/>
      <c r="AA42" s="18"/>
      <c r="AB42" s="18"/>
    </row>
    <row r="43">
      <c r="A43" s="101"/>
      <c r="B43" s="102"/>
      <c r="C43" s="103"/>
      <c r="D43" s="104"/>
      <c r="E43" s="105"/>
      <c r="F43" s="106"/>
      <c r="G43" s="106"/>
      <c r="H43" s="106"/>
      <c r="I43" s="107"/>
      <c r="J43" s="108"/>
      <c r="K43" s="89"/>
      <c r="L43" s="30"/>
      <c r="M43" s="109"/>
      <c r="N43" s="110"/>
      <c r="O43" s="109"/>
      <c r="P43" s="109"/>
      <c r="Q43" s="109"/>
      <c r="R43" s="110"/>
      <c r="S43" s="109"/>
      <c r="T43" s="18"/>
      <c r="U43" s="88"/>
      <c r="V43" s="18"/>
      <c r="W43" s="18"/>
      <c r="X43" s="18"/>
      <c r="Y43" s="18"/>
      <c r="Z43" s="18"/>
      <c r="AA43" s="18"/>
      <c r="AB43" s="18"/>
    </row>
    <row r="44">
      <c r="A44" s="90"/>
      <c r="B44" s="91"/>
      <c r="C44" s="92"/>
      <c r="D44" s="93"/>
      <c r="E44" s="94"/>
      <c r="F44" s="95"/>
      <c r="G44" s="95"/>
      <c r="H44" s="95"/>
      <c r="I44" s="96"/>
      <c r="J44" s="97"/>
      <c r="K44" s="98"/>
      <c r="L44" s="15"/>
      <c r="M44" s="99"/>
      <c r="N44" s="100"/>
      <c r="O44" s="99"/>
      <c r="P44" s="99"/>
      <c r="Q44" s="99"/>
      <c r="R44" s="100"/>
      <c r="S44" s="99"/>
      <c r="T44" s="18"/>
      <c r="U44" s="88"/>
      <c r="V44" s="18"/>
      <c r="W44" s="18"/>
      <c r="X44" s="18"/>
      <c r="Y44" s="18"/>
      <c r="Z44" s="18"/>
      <c r="AA44" s="18"/>
      <c r="AB44" s="18"/>
    </row>
    <row r="45">
      <c r="A45" s="101"/>
      <c r="B45" s="102"/>
      <c r="C45" s="103"/>
      <c r="D45" s="104"/>
      <c r="E45" s="105"/>
      <c r="F45" s="106"/>
      <c r="G45" s="106"/>
      <c r="H45" s="106"/>
      <c r="I45" s="107"/>
      <c r="J45" s="108"/>
      <c r="K45" s="89"/>
      <c r="L45" s="30"/>
      <c r="M45" s="109"/>
      <c r="N45" s="110"/>
      <c r="O45" s="109"/>
      <c r="P45" s="109"/>
      <c r="Q45" s="109"/>
      <c r="R45" s="110"/>
      <c r="S45" s="109"/>
      <c r="T45" s="18"/>
      <c r="U45" s="88"/>
      <c r="V45" s="18"/>
      <c r="W45" s="18"/>
      <c r="X45" s="18"/>
      <c r="Y45" s="18"/>
      <c r="Z45" s="18"/>
      <c r="AA45" s="18"/>
      <c r="AB45" s="18"/>
    </row>
    <row r="46">
      <c r="A46" s="90"/>
      <c r="B46" s="91"/>
      <c r="C46" s="92"/>
      <c r="D46" s="93"/>
      <c r="E46" s="94"/>
      <c r="F46" s="95"/>
      <c r="G46" s="95"/>
      <c r="H46" s="95"/>
      <c r="I46" s="96"/>
      <c r="J46" s="97"/>
      <c r="K46" s="98"/>
      <c r="L46" s="15"/>
      <c r="M46" s="99"/>
      <c r="N46" s="100"/>
      <c r="O46" s="99"/>
      <c r="P46" s="99"/>
      <c r="Q46" s="99"/>
      <c r="R46" s="100"/>
      <c r="S46" s="99"/>
      <c r="T46" s="18"/>
      <c r="U46" s="88"/>
      <c r="V46" s="18"/>
      <c r="W46" s="18"/>
      <c r="X46" s="18"/>
      <c r="Y46" s="18"/>
      <c r="Z46" s="18"/>
      <c r="AA46" s="18"/>
      <c r="AB46" s="18"/>
    </row>
    <row r="47">
      <c r="A47" s="101"/>
      <c r="B47" s="102"/>
      <c r="C47" s="103"/>
      <c r="D47" s="104"/>
      <c r="E47" s="105"/>
      <c r="F47" s="106"/>
      <c r="G47" s="106"/>
      <c r="H47" s="106"/>
      <c r="I47" s="107"/>
      <c r="J47" s="108"/>
      <c r="K47" s="89"/>
      <c r="L47" s="30"/>
      <c r="M47" s="109"/>
      <c r="N47" s="110"/>
      <c r="O47" s="109"/>
      <c r="P47" s="109"/>
      <c r="Q47" s="109"/>
      <c r="R47" s="110"/>
      <c r="S47" s="109"/>
      <c r="T47" s="18"/>
      <c r="U47" s="88"/>
      <c r="V47" s="18"/>
      <c r="W47" s="18"/>
      <c r="X47" s="18"/>
      <c r="Y47" s="18"/>
      <c r="Z47" s="18"/>
      <c r="AA47" s="18"/>
      <c r="AB47" s="18"/>
    </row>
    <row r="48">
      <c r="A48" s="90"/>
      <c r="B48" s="91"/>
      <c r="C48" s="92"/>
      <c r="D48" s="93"/>
      <c r="E48" s="94"/>
      <c r="F48" s="95"/>
      <c r="G48" s="95"/>
      <c r="H48" s="95"/>
      <c r="I48" s="96"/>
      <c r="J48" s="97"/>
      <c r="K48" s="98"/>
      <c r="L48" s="15"/>
      <c r="M48" s="99"/>
      <c r="N48" s="100"/>
      <c r="O48" s="99"/>
      <c r="P48" s="99"/>
      <c r="Q48" s="99"/>
      <c r="R48" s="100"/>
      <c r="S48" s="99"/>
      <c r="T48" s="18"/>
      <c r="U48" s="88"/>
      <c r="V48" s="18"/>
      <c r="W48" s="18"/>
      <c r="X48" s="18"/>
      <c r="Y48" s="18"/>
      <c r="Z48" s="18"/>
      <c r="AA48" s="18"/>
      <c r="AB48" s="18"/>
    </row>
    <row r="49">
      <c r="A49" s="101"/>
      <c r="B49" s="102"/>
      <c r="C49" s="103"/>
      <c r="D49" s="104"/>
      <c r="E49" s="105"/>
      <c r="F49" s="106"/>
      <c r="G49" s="106"/>
      <c r="H49" s="106"/>
      <c r="I49" s="107"/>
      <c r="J49" s="108"/>
      <c r="K49" s="89"/>
      <c r="L49" s="30"/>
      <c r="M49" s="109"/>
      <c r="N49" s="110"/>
      <c r="O49" s="109"/>
      <c r="P49" s="109"/>
      <c r="Q49" s="109"/>
      <c r="R49" s="110"/>
      <c r="S49" s="109"/>
      <c r="T49" s="18"/>
      <c r="U49" s="88"/>
      <c r="V49" s="18"/>
      <c r="W49" s="18"/>
      <c r="X49" s="18"/>
      <c r="Y49" s="18"/>
      <c r="Z49" s="18"/>
      <c r="AA49" s="18"/>
      <c r="AB49" s="18"/>
    </row>
    <row r="50">
      <c r="A50" s="90"/>
      <c r="B50" s="91"/>
      <c r="C50" s="92"/>
      <c r="D50" s="93"/>
      <c r="E50" s="94"/>
      <c r="F50" s="95"/>
      <c r="G50" s="95"/>
      <c r="H50" s="95"/>
      <c r="I50" s="96"/>
      <c r="J50" s="97"/>
      <c r="K50" s="98"/>
      <c r="L50" s="15"/>
      <c r="M50" s="99"/>
      <c r="N50" s="100"/>
      <c r="O50" s="99"/>
      <c r="P50" s="99"/>
      <c r="Q50" s="99"/>
      <c r="R50" s="100"/>
      <c r="S50" s="99"/>
      <c r="T50" s="18"/>
      <c r="U50" s="88"/>
      <c r="V50" s="18"/>
      <c r="W50" s="18"/>
      <c r="X50" s="18"/>
      <c r="Y50" s="18"/>
      <c r="Z50" s="18"/>
      <c r="AA50" s="18"/>
      <c r="AB50" s="18"/>
    </row>
    <row r="51">
      <c r="A51" s="101"/>
      <c r="B51" s="102"/>
      <c r="C51" s="103"/>
      <c r="D51" s="104"/>
      <c r="E51" s="105"/>
      <c r="F51" s="106"/>
      <c r="G51" s="106"/>
      <c r="H51" s="106"/>
      <c r="I51" s="107"/>
      <c r="J51" s="108"/>
      <c r="K51" s="89"/>
      <c r="L51" s="30"/>
      <c r="M51" s="109"/>
      <c r="N51" s="110"/>
      <c r="O51" s="109"/>
      <c r="P51" s="109"/>
      <c r="Q51" s="109"/>
      <c r="R51" s="110"/>
      <c r="S51" s="109"/>
      <c r="T51" s="18"/>
      <c r="U51" s="88"/>
      <c r="V51" s="18"/>
      <c r="W51" s="18"/>
      <c r="X51" s="18"/>
      <c r="Y51" s="18"/>
      <c r="Z51" s="18"/>
      <c r="AA51" s="18"/>
      <c r="AB51" s="18"/>
    </row>
    <row r="52">
      <c r="A52" s="90"/>
      <c r="B52" s="91"/>
      <c r="C52" s="92"/>
      <c r="D52" s="93"/>
      <c r="E52" s="94"/>
      <c r="F52" s="95"/>
      <c r="G52" s="95"/>
      <c r="H52" s="95"/>
      <c r="I52" s="96"/>
      <c r="J52" s="97"/>
      <c r="K52" s="98"/>
      <c r="L52" s="15"/>
      <c r="M52" s="99"/>
      <c r="N52" s="100"/>
      <c r="O52" s="99"/>
      <c r="P52" s="99"/>
      <c r="Q52" s="99"/>
      <c r="R52" s="100"/>
      <c r="S52" s="99"/>
      <c r="T52" s="18"/>
      <c r="U52" s="88"/>
      <c r="V52" s="18"/>
      <c r="W52" s="18"/>
      <c r="X52" s="18"/>
      <c r="Y52" s="18"/>
      <c r="Z52" s="18"/>
      <c r="AA52" s="18"/>
      <c r="AB52" s="18"/>
    </row>
    <row r="53">
      <c r="A53" s="101"/>
      <c r="B53" s="102"/>
      <c r="C53" s="103"/>
      <c r="D53" s="104"/>
      <c r="E53" s="105"/>
      <c r="F53" s="106"/>
      <c r="G53" s="106"/>
      <c r="H53" s="106"/>
      <c r="I53" s="107"/>
      <c r="J53" s="108"/>
      <c r="K53" s="89"/>
      <c r="L53" s="30"/>
      <c r="M53" s="109"/>
      <c r="N53" s="110"/>
      <c r="O53" s="109"/>
      <c r="P53" s="109"/>
      <c r="Q53" s="109"/>
      <c r="R53" s="110"/>
      <c r="S53" s="109"/>
      <c r="T53" s="18"/>
      <c r="U53" s="88"/>
      <c r="V53" s="18"/>
      <c r="W53" s="18"/>
      <c r="X53" s="18"/>
      <c r="Y53" s="18"/>
      <c r="Z53" s="18"/>
      <c r="AA53" s="18"/>
      <c r="AB53" s="18"/>
    </row>
    <row r="54">
      <c r="A54" s="90"/>
      <c r="B54" s="91"/>
      <c r="C54" s="92"/>
      <c r="D54" s="93"/>
      <c r="E54" s="94"/>
      <c r="F54" s="95"/>
      <c r="G54" s="95"/>
      <c r="H54" s="95"/>
      <c r="I54" s="96"/>
      <c r="J54" s="97"/>
      <c r="K54" s="98"/>
      <c r="L54" s="15"/>
      <c r="M54" s="99"/>
      <c r="N54" s="100"/>
      <c r="O54" s="99"/>
      <c r="P54" s="99"/>
      <c r="Q54" s="99"/>
      <c r="R54" s="100"/>
      <c r="S54" s="99"/>
      <c r="T54" s="18"/>
      <c r="U54" s="88"/>
      <c r="V54" s="18"/>
      <c r="W54" s="18"/>
      <c r="X54" s="18"/>
      <c r="Y54" s="18"/>
      <c r="Z54" s="18"/>
      <c r="AA54" s="18"/>
      <c r="AB54" s="18"/>
    </row>
    <row r="55">
      <c r="A55" s="101"/>
      <c r="B55" s="102"/>
      <c r="C55" s="103"/>
      <c r="D55" s="104"/>
      <c r="E55" s="105"/>
      <c r="F55" s="106"/>
      <c r="G55" s="106"/>
      <c r="H55" s="106"/>
      <c r="I55" s="107"/>
      <c r="J55" s="108"/>
      <c r="K55" s="89"/>
      <c r="L55" s="30"/>
      <c r="M55" s="109"/>
      <c r="N55" s="110"/>
      <c r="O55" s="109"/>
      <c r="P55" s="109"/>
      <c r="Q55" s="109"/>
      <c r="R55" s="110"/>
      <c r="S55" s="109"/>
      <c r="T55" s="18"/>
      <c r="U55" s="88"/>
      <c r="V55" s="18"/>
      <c r="W55" s="18"/>
      <c r="X55" s="18"/>
      <c r="Y55" s="18"/>
      <c r="Z55" s="18"/>
      <c r="AA55" s="18"/>
      <c r="AB55" s="18"/>
    </row>
    <row r="56">
      <c r="A56" s="90"/>
      <c r="B56" s="91"/>
      <c r="C56" s="92"/>
      <c r="D56" s="93"/>
      <c r="E56" s="94"/>
      <c r="F56" s="95"/>
      <c r="G56" s="95"/>
      <c r="H56" s="95"/>
      <c r="I56" s="96"/>
      <c r="J56" s="97"/>
      <c r="K56" s="98"/>
      <c r="L56" s="15"/>
      <c r="M56" s="99"/>
      <c r="N56" s="100"/>
      <c r="O56" s="99"/>
      <c r="P56" s="99"/>
      <c r="Q56" s="99"/>
      <c r="R56" s="100"/>
      <c r="S56" s="99"/>
      <c r="T56" s="18"/>
      <c r="U56" s="88"/>
      <c r="V56" s="18"/>
      <c r="W56" s="18"/>
      <c r="X56" s="18"/>
      <c r="Y56" s="18"/>
      <c r="Z56" s="18"/>
      <c r="AA56" s="18"/>
      <c r="AB56" s="18"/>
    </row>
  </sheetData>
  <autoFilter ref="$A$1:$R$56"/>
  <conditionalFormatting sqref="I10:I11 I15:I16 I18:I20 I23 I25:I27">
    <cfRule type="notContainsBlanks" dxfId="1" priority="1">
      <formula>LEN(TRIM(I10))&gt;0</formula>
    </cfRule>
  </conditionalFormatting>
  <dataValidations>
    <dataValidation type="list" allowBlank="1" showErrorMessage="1" sqref="D2:D56">
      <formula1>Dropdown!$G$2:$G56</formula1>
    </dataValidation>
    <dataValidation type="list" allowBlank="1" showErrorMessage="1" sqref="E2:E3 E5:E6 E12 E14 E18:E20 E25:E27">
      <formula1>Dropdown!$K$2:$K56</formula1>
    </dataValidation>
    <dataValidation type="list" allowBlank="1" showErrorMessage="1" sqref="A2:A27">
      <formula1>Dropdown!$A$2:$A56</formula1>
    </dataValidation>
    <dataValidation type="list" allowBlank="1" showErrorMessage="1" sqref="B3:B27">
      <formula1>Dropdown!$B$2:$B56</formula1>
    </dataValidation>
    <dataValidation type="list" allowBlank="1" showErrorMessage="1" sqref="I2:I16 I18:I56">
      <formula1>Dropdown!$C$2:$C56</formula1>
    </dataValidation>
    <dataValidation type="list" allowBlank="1" showErrorMessage="1" sqref="J2:J16 I17:J17 J18:J56">
      <formula1>Dropdown!$E$2:$E56</formula1>
    </dataValidation>
  </dataValidations>
  <hyperlinks>
    <hyperlink r:id="rId1" ref="B2"/>
    <hyperlink r:id="rId2" ref="B3"/>
    <hyperlink r:id="rId3" ref="B4"/>
    <hyperlink r:id="rId4" ref="B5"/>
    <hyperlink r:id="rId5" ref="B6"/>
    <hyperlink r:id="rId6" ref="B7"/>
    <hyperlink r:id="rId7" ref="B8"/>
    <hyperlink r:id="rId8" ref="B9"/>
    <hyperlink r:id="rId9" ref="P9"/>
    <hyperlink r:id="rId10" ref="B10"/>
    <hyperlink r:id="rId11" ref="B11"/>
    <hyperlink r:id="rId12" ref="B12"/>
    <hyperlink r:id="rId13" ref="P12"/>
    <hyperlink r:id="rId14" ref="B13"/>
    <hyperlink r:id="rId15" ref="B14"/>
    <hyperlink r:id="rId16" ref="B15"/>
    <hyperlink r:id="rId17" ref="B16"/>
    <hyperlink r:id="rId18" ref="P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s>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1" t="s">
        <v>150</v>
      </c>
      <c r="B1" s="111" t="s">
        <v>151</v>
      </c>
      <c r="C1" s="111" t="s">
        <v>152</v>
      </c>
    </row>
    <row r="2">
      <c r="A2" s="112">
        <v>46157.574873680554</v>
      </c>
      <c r="B2" s="111" t="s">
        <v>153</v>
      </c>
      <c r="C2" s="113">
        <v>22.0</v>
      </c>
    </row>
    <row r="3">
      <c r="A3" s="112">
        <v>46157.57488222222</v>
      </c>
      <c r="B3" s="111" t="s">
        <v>153</v>
      </c>
      <c r="C3" s="113">
        <v>22.0</v>
      </c>
    </row>
    <row r="4">
      <c r="A4" s="112">
        <v>46157.58896528935</v>
      </c>
      <c r="B4" s="111" t="s">
        <v>78</v>
      </c>
      <c r="C4" s="113">
        <v>10.0</v>
      </c>
    </row>
    <row r="5">
      <c r="A5" s="112">
        <v>46157.588972708334</v>
      </c>
      <c r="B5" s="111" t="s">
        <v>78</v>
      </c>
      <c r="C5" s="113">
        <v>10.0</v>
      </c>
    </row>
    <row r="6">
      <c r="A6" s="112">
        <v>46157.59821023148</v>
      </c>
      <c r="B6" s="111" t="s">
        <v>153</v>
      </c>
      <c r="C6" s="113">
        <v>10.0</v>
      </c>
    </row>
    <row r="7">
      <c r="A7" s="112">
        <v>46157.59821650463</v>
      </c>
      <c r="B7" s="111" t="s">
        <v>153</v>
      </c>
      <c r="C7" s="113">
        <v>10.0</v>
      </c>
    </row>
    <row r="8">
      <c r="A8" s="112">
        <v>46157.59825265047</v>
      </c>
      <c r="B8" s="111" t="s">
        <v>153</v>
      </c>
      <c r="C8" s="113">
        <v>10.0</v>
      </c>
    </row>
    <row r="9">
      <c r="A9" s="112">
        <v>46157.59825899306</v>
      </c>
      <c r="B9" s="111" t="s">
        <v>153</v>
      </c>
      <c r="C9" s="113">
        <v>10.0</v>
      </c>
    </row>
    <row r="10">
      <c r="A10" s="112">
        <v>46157.62721872685</v>
      </c>
      <c r="B10" s="111" t="s">
        <v>78</v>
      </c>
      <c r="C10" s="113">
        <v>11.0</v>
      </c>
    </row>
    <row r="11">
      <c r="A11" s="112">
        <v>46157.62722043981</v>
      </c>
      <c r="B11" s="111" t="s">
        <v>78</v>
      </c>
      <c r="C11" s="113">
        <v>11.0</v>
      </c>
    </row>
    <row r="12">
      <c r="A12" s="112">
        <v>46157.62727604166</v>
      </c>
      <c r="B12" s="111" t="s">
        <v>78</v>
      </c>
      <c r="C12" s="113">
        <v>11.0</v>
      </c>
    </row>
    <row r="13">
      <c r="A13" s="112">
        <v>46157.627284016206</v>
      </c>
      <c r="B13" s="111" t="s">
        <v>78</v>
      </c>
      <c r="C13" s="113">
        <v>11.0</v>
      </c>
    </row>
    <row r="14">
      <c r="A14" s="112">
        <v>46157.62845380787</v>
      </c>
      <c r="B14" s="111" t="s">
        <v>78</v>
      </c>
      <c r="C14" s="113">
        <v>11.0</v>
      </c>
    </row>
    <row r="15">
      <c r="A15" s="112">
        <v>46157.62845945602</v>
      </c>
      <c r="B15" s="111" t="s">
        <v>78</v>
      </c>
      <c r="C15" s="113">
        <v>11.0</v>
      </c>
    </row>
    <row r="16">
      <c r="A16" s="112">
        <v>46157.69418315972</v>
      </c>
      <c r="B16" s="111" t="s">
        <v>154</v>
      </c>
      <c r="C16" s="113">
        <v>7.0</v>
      </c>
    </row>
    <row r="17">
      <c r="A17" s="112">
        <v>46157.69419263889</v>
      </c>
      <c r="B17" s="111" t="s">
        <v>154</v>
      </c>
      <c r="C17" s="113">
        <v>7.0</v>
      </c>
    </row>
    <row r="18">
      <c r="A18" s="112">
        <v>46157.69430076389</v>
      </c>
      <c r="B18" s="111" t="s">
        <v>78</v>
      </c>
      <c r="C18" s="113">
        <v>11.0</v>
      </c>
    </row>
    <row r="19">
      <c r="A19" s="112">
        <v>46157.694312164356</v>
      </c>
      <c r="B19" s="111" t="s">
        <v>78</v>
      </c>
      <c r="C19" s="113">
        <v>11.0</v>
      </c>
    </row>
    <row r="20">
      <c r="A20" s="112">
        <v>46157.69455017361</v>
      </c>
      <c r="B20" s="111" t="s">
        <v>78</v>
      </c>
      <c r="C20" s="113">
        <v>11.0</v>
      </c>
    </row>
    <row r="21">
      <c r="A21" s="112">
        <v>46157.694566921295</v>
      </c>
      <c r="B21" s="111" t="s">
        <v>78</v>
      </c>
      <c r="C21" s="113">
        <v>11.0</v>
      </c>
    </row>
    <row r="22">
      <c r="A22" s="112">
        <v>46157.694671296296</v>
      </c>
      <c r="B22" s="111" t="s">
        <v>78</v>
      </c>
      <c r="C22" s="113">
        <v>11.0</v>
      </c>
    </row>
    <row r="23">
      <c r="A23" s="112">
        <v>46157.69470518519</v>
      </c>
      <c r="B23" s="111" t="s">
        <v>78</v>
      </c>
      <c r="C23" s="113">
        <v>11.0</v>
      </c>
    </row>
    <row r="24">
      <c r="A24" s="112">
        <v>46157.6953450463</v>
      </c>
      <c r="B24" s="111" t="s">
        <v>78</v>
      </c>
      <c r="C24" s="113">
        <v>11.0</v>
      </c>
    </row>
    <row r="25">
      <c r="A25" s="112">
        <v>46157.69535372686</v>
      </c>
      <c r="B25" s="111" t="s">
        <v>78</v>
      </c>
      <c r="C25" s="113">
        <v>11.0</v>
      </c>
    </row>
    <row r="26">
      <c r="A26" s="112">
        <v>46157.69541915509</v>
      </c>
      <c r="B26" s="111" t="s">
        <v>78</v>
      </c>
      <c r="C26" s="113">
        <v>11.0</v>
      </c>
    </row>
    <row r="27">
      <c r="A27" s="112">
        <v>46157.69542134259</v>
      </c>
      <c r="B27" s="111" t="s">
        <v>78</v>
      </c>
      <c r="C27" s="113">
        <v>11.0</v>
      </c>
    </row>
    <row r="28">
      <c r="A28" s="112">
        <v>46157.695423530095</v>
      </c>
      <c r="B28" s="111" t="s">
        <v>78</v>
      </c>
      <c r="C28" s="113">
        <v>11.0</v>
      </c>
    </row>
    <row r="29">
      <c r="A29" s="112">
        <v>46157.695433229164</v>
      </c>
      <c r="B29" s="111" t="s">
        <v>78</v>
      </c>
      <c r="C29" s="113">
        <v>11.0</v>
      </c>
    </row>
    <row r="30">
      <c r="A30" s="112">
        <v>46157.69551413195</v>
      </c>
      <c r="B30" s="111" t="s">
        <v>78</v>
      </c>
      <c r="C30" s="113">
        <v>11.0</v>
      </c>
    </row>
    <row r="31">
      <c r="A31" s="112">
        <v>46157.69552927083</v>
      </c>
      <c r="B31" s="111" t="s">
        <v>78</v>
      </c>
      <c r="C31" s="113">
        <v>11.0</v>
      </c>
    </row>
    <row r="32">
      <c r="A32" s="112">
        <v>46157.73195991898</v>
      </c>
      <c r="B32" s="111" t="s">
        <v>78</v>
      </c>
      <c r="C32" s="113">
        <v>11.0</v>
      </c>
    </row>
    <row r="33">
      <c r="A33" s="112">
        <v>46157.73196856481</v>
      </c>
      <c r="B33" s="111" t="s">
        <v>78</v>
      </c>
      <c r="C33" s="113">
        <v>11.0</v>
      </c>
    </row>
    <row r="34">
      <c r="A34" s="112">
        <v>46157.736690879625</v>
      </c>
      <c r="B34" s="111" t="s">
        <v>78</v>
      </c>
      <c r="C34" s="113">
        <v>11.0</v>
      </c>
    </row>
    <row r="35">
      <c r="A35" s="112">
        <v>46157.73669305556</v>
      </c>
      <c r="B35" s="111" t="s">
        <v>78</v>
      </c>
      <c r="C35" s="113">
        <v>11.0</v>
      </c>
    </row>
    <row r="36">
      <c r="A36" s="112">
        <v>46157.754273611106</v>
      </c>
      <c r="B36" s="111" t="s">
        <v>78</v>
      </c>
      <c r="C36" s="113">
        <v>11.0</v>
      </c>
    </row>
    <row r="37">
      <c r="A37" s="112">
        <v>46157.754276875</v>
      </c>
      <c r="B37" s="111" t="s">
        <v>78</v>
      </c>
      <c r="C37" s="113">
        <v>11.0</v>
      </c>
    </row>
    <row r="38">
      <c r="A38" s="112">
        <v>46158.30730674768</v>
      </c>
      <c r="B38" s="111" t="s">
        <v>155</v>
      </c>
      <c r="C38" s="113">
        <v>2.0</v>
      </c>
    </row>
    <row r="39">
      <c r="A39" s="112">
        <v>46158.30731363426</v>
      </c>
      <c r="B39" s="111" t="s">
        <v>155</v>
      </c>
      <c r="C39" s="113">
        <v>2.0</v>
      </c>
    </row>
    <row r="40">
      <c r="A40" s="112">
        <v>46158.31051540509</v>
      </c>
      <c r="B40" s="111" t="s">
        <v>156</v>
      </c>
      <c r="C40" s="113">
        <v>11.0</v>
      </c>
    </row>
    <row r="41">
      <c r="A41" s="112">
        <v>46158.31053069445</v>
      </c>
      <c r="B41" s="111" t="s">
        <v>156</v>
      </c>
      <c r="C41" s="113">
        <v>11.0</v>
      </c>
    </row>
    <row r="42">
      <c r="A42" s="112">
        <v>46158.3105478125</v>
      </c>
      <c r="B42" s="111" t="s">
        <v>156</v>
      </c>
      <c r="C42" s="113">
        <v>11.0</v>
      </c>
    </row>
    <row r="43">
      <c r="A43" s="112">
        <v>46158.310552361116</v>
      </c>
      <c r="B43" s="111" t="s">
        <v>156</v>
      </c>
      <c r="C43" s="113">
        <v>11.0</v>
      </c>
    </row>
    <row r="44">
      <c r="A44" s="112">
        <v>46158.31120393518</v>
      </c>
      <c r="B44" s="111" t="s">
        <v>156</v>
      </c>
      <c r="C44" s="113">
        <v>11.0</v>
      </c>
    </row>
    <row r="45">
      <c r="A45" s="112">
        <v>46158.31120686342</v>
      </c>
      <c r="B45" s="111" t="s">
        <v>156</v>
      </c>
      <c r="C45" s="113">
        <v>11.0</v>
      </c>
    </row>
    <row r="46">
      <c r="A46" s="112">
        <v>46158.3112390625</v>
      </c>
      <c r="B46" s="111" t="s">
        <v>156</v>
      </c>
      <c r="C46" s="113">
        <v>11.0</v>
      </c>
    </row>
    <row r="47">
      <c r="A47" s="112">
        <v>46158.31124390046</v>
      </c>
      <c r="B47" s="111" t="s">
        <v>156</v>
      </c>
      <c r="C47" s="113">
        <v>11.0</v>
      </c>
    </row>
    <row r="48">
      <c r="A48" s="112">
        <v>46158.31131950232</v>
      </c>
      <c r="B48" s="111" t="s">
        <v>156</v>
      </c>
      <c r="C48" s="113">
        <v>11.0</v>
      </c>
    </row>
    <row r="49">
      <c r="A49" s="112">
        <v>46158.3113237963</v>
      </c>
      <c r="B49" s="111" t="s">
        <v>156</v>
      </c>
      <c r="C49" s="113">
        <v>11.0</v>
      </c>
    </row>
    <row r="50">
      <c r="A50" s="112">
        <v>46158.311400335646</v>
      </c>
      <c r="B50" s="111" t="s">
        <v>156</v>
      </c>
      <c r="C50" s="113">
        <v>11.0</v>
      </c>
    </row>
    <row r="51">
      <c r="A51" s="112">
        <v>46158.3114068287</v>
      </c>
      <c r="B51" s="111" t="s">
        <v>156</v>
      </c>
      <c r="C51" s="113">
        <v>11.0</v>
      </c>
    </row>
    <row r="52">
      <c r="A52" s="112">
        <v>46158.451816747685</v>
      </c>
      <c r="B52" s="111" t="s">
        <v>157</v>
      </c>
      <c r="C52" s="113">
        <v>24.0</v>
      </c>
    </row>
    <row r="53">
      <c r="A53" s="112">
        <v>46158.45182025463</v>
      </c>
      <c r="B53" s="111" t="s">
        <v>157</v>
      </c>
      <c r="C53" s="113">
        <v>24.0</v>
      </c>
    </row>
    <row r="54">
      <c r="A54" s="112">
        <v>46158.97483398148</v>
      </c>
      <c r="B54" s="111" t="s">
        <v>78</v>
      </c>
      <c r="C54" s="113">
        <v>13.0</v>
      </c>
    </row>
    <row r="55">
      <c r="A55" s="112">
        <v>46158.974834340275</v>
      </c>
      <c r="B55" s="111" t="s">
        <v>78</v>
      </c>
      <c r="C55" s="113">
        <v>13.0</v>
      </c>
    </row>
    <row r="56">
      <c r="A56" s="112">
        <v>46158.97634511574</v>
      </c>
      <c r="B56" s="111" t="s">
        <v>78</v>
      </c>
      <c r="C56" s="113">
        <v>13.0</v>
      </c>
    </row>
    <row r="57">
      <c r="A57" s="112">
        <v>46158.97634601852</v>
      </c>
      <c r="B57" s="111" t="s">
        <v>78</v>
      </c>
      <c r="C57" s="113">
        <v>13.0</v>
      </c>
    </row>
    <row r="58">
      <c r="A58" s="112">
        <v>46158.97647101852</v>
      </c>
      <c r="B58" s="111" t="s">
        <v>78</v>
      </c>
      <c r="C58" s="113">
        <v>13.0</v>
      </c>
    </row>
    <row r="59">
      <c r="A59" s="112">
        <v>46158.97648646991</v>
      </c>
      <c r="B59" s="111" t="s">
        <v>78</v>
      </c>
      <c r="C59" s="113">
        <v>13.0</v>
      </c>
    </row>
    <row r="60">
      <c r="A60" s="112">
        <v>46159.40155011574</v>
      </c>
      <c r="B60" s="111" t="s">
        <v>155</v>
      </c>
      <c r="C60" s="113">
        <v>2.0</v>
      </c>
    </row>
    <row r="61">
      <c r="A61" s="112">
        <v>46159.40236071759</v>
      </c>
      <c r="B61" s="111" t="s">
        <v>155</v>
      </c>
      <c r="C61" s="113">
        <v>2.0</v>
      </c>
    </row>
    <row r="62">
      <c r="A62" s="112">
        <v>46159.40388081019</v>
      </c>
      <c r="B62" s="111"/>
      <c r="C62" s="113"/>
    </row>
    <row r="63">
      <c r="A63" s="112">
        <v>46159.45178854167</v>
      </c>
      <c r="B63" s="111" t="s">
        <v>30</v>
      </c>
      <c r="C63" s="113">
        <v>2.0</v>
      </c>
    </row>
    <row r="64">
      <c r="A64" s="112">
        <v>46159.46824011574</v>
      </c>
      <c r="B64" s="111" t="s">
        <v>158</v>
      </c>
      <c r="C64" s="113">
        <v>10.0</v>
      </c>
    </row>
    <row r="65">
      <c r="A65" s="112">
        <v>46159.468249259255</v>
      </c>
      <c r="B65" s="111" t="s">
        <v>158</v>
      </c>
      <c r="C65" s="113">
        <v>10.0</v>
      </c>
    </row>
    <row r="66">
      <c r="A66" s="112">
        <v>46159.48422881945</v>
      </c>
      <c r="B66" s="111" t="s">
        <v>30</v>
      </c>
      <c r="C66" s="113">
        <v>2.0</v>
      </c>
    </row>
    <row r="67">
      <c r="A67" s="112">
        <v>46159.48423619213</v>
      </c>
      <c r="B67" s="111" t="s">
        <v>30</v>
      </c>
      <c r="C67" s="113">
        <v>2.0</v>
      </c>
    </row>
    <row r="68">
      <c r="A68" s="112">
        <v>46160.399676875</v>
      </c>
      <c r="B68" s="111" t="s">
        <v>158</v>
      </c>
      <c r="C68" s="113">
        <v>10.0</v>
      </c>
    </row>
    <row r="69">
      <c r="A69" s="112">
        <v>46160.3997484375</v>
      </c>
      <c r="B69" s="111" t="s">
        <v>158</v>
      </c>
      <c r="C69" s="113">
        <v>10.0</v>
      </c>
    </row>
    <row r="70">
      <c r="A70" s="112">
        <v>46160.738508634255</v>
      </c>
      <c r="B70" s="111" t="s">
        <v>158</v>
      </c>
      <c r="C70" s="113">
        <v>10.0</v>
      </c>
    </row>
    <row r="71">
      <c r="A71" s="112">
        <v>46160.80752290509</v>
      </c>
      <c r="B71" s="111" t="s">
        <v>30</v>
      </c>
      <c r="C71" s="113">
        <v>2.0</v>
      </c>
    </row>
    <row r="72">
      <c r="A72" s="112">
        <v>46160.80753438658</v>
      </c>
      <c r="B72" s="111" t="s">
        <v>30</v>
      </c>
      <c r="C72" s="113">
        <v>2.0</v>
      </c>
    </row>
    <row r="73">
      <c r="A73" s="112">
        <v>46160.81217070602</v>
      </c>
      <c r="B73" s="111" t="s">
        <v>158</v>
      </c>
      <c r="C73" s="113">
        <v>10.0</v>
      </c>
    </row>
    <row r="74">
      <c r="A74" s="112">
        <v>46160.81221456018</v>
      </c>
      <c r="B74" s="111" t="s">
        <v>158</v>
      </c>
      <c r="C74" s="113">
        <v>10.0</v>
      </c>
    </row>
    <row r="75">
      <c r="A75" s="112">
        <v>46160.81295063657</v>
      </c>
      <c r="B75" s="111" t="s">
        <v>158</v>
      </c>
      <c r="C75" s="113">
        <v>10.0</v>
      </c>
    </row>
    <row r="76">
      <c r="A76" s="112">
        <v>46160.81301269676</v>
      </c>
      <c r="B76" s="111" t="s">
        <v>158</v>
      </c>
      <c r="C76" s="113">
        <v>10.0</v>
      </c>
    </row>
    <row r="77">
      <c r="A77" s="112">
        <v>46160.813145057866</v>
      </c>
      <c r="B77" s="111" t="s">
        <v>158</v>
      </c>
      <c r="C77" s="113">
        <v>10.0</v>
      </c>
    </row>
    <row r="78">
      <c r="A78" s="112">
        <v>46160.819488622685</v>
      </c>
      <c r="B78" s="111" t="s">
        <v>158</v>
      </c>
      <c r="C78" s="113">
        <v>10.0</v>
      </c>
    </row>
    <row r="79">
      <c r="A79" s="112">
        <v>46160.819660243054</v>
      </c>
      <c r="B79" s="111" t="s">
        <v>158</v>
      </c>
      <c r="C79" s="113">
        <v>10.0</v>
      </c>
    </row>
    <row r="80">
      <c r="A80" s="112">
        <v>46160.81993571759</v>
      </c>
      <c r="B80" s="111" t="s">
        <v>158</v>
      </c>
      <c r="C80" s="113">
        <v>10.0</v>
      </c>
    </row>
    <row r="81">
      <c r="A81" s="112">
        <v>46160.82011184028</v>
      </c>
      <c r="B81" s="111" t="s">
        <v>158</v>
      </c>
      <c r="C81" s="113">
        <v>10.0</v>
      </c>
    </row>
    <row r="82">
      <c r="A82" s="112">
        <v>46160.820157372684</v>
      </c>
      <c r="B82" s="111" t="s">
        <v>158</v>
      </c>
      <c r="C82" s="113">
        <v>10.0</v>
      </c>
    </row>
    <row r="83">
      <c r="A83" s="112">
        <v>46160.82026710648</v>
      </c>
      <c r="B83" s="111" t="s">
        <v>158</v>
      </c>
      <c r="C83" s="113">
        <v>10.0</v>
      </c>
    </row>
    <row r="84">
      <c r="A84" s="112">
        <v>46160.82037584491</v>
      </c>
      <c r="B84" s="111" t="s">
        <v>158</v>
      </c>
      <c r="C84" s="113">
        <v>10.0</v>
      </c>
    </row>
    <row r="85">
      <c r="A85" s="112">
        <v>46160.820580914355</v>
      </c>
      <c r="B85" s="111" t="s">
        <v>158</v>
      </c>
      <c r="C85" s="113">
        <v>10.0</v>
      </c>
    </row>
    <row r="86">
      <c r="A86" s="112">
        <v>46162.42248471065</v>
      </c>
      <c r="B86" s="111" t="s">
        <v>30</v>
      </c>
      <c r="C86" s="113">
        <v>2.0</v>
      </c>
    </row>
    <row r="87">
      <c r="A87" s="112">
        <v>46162.423463645835</v>
      </c>
      <c r="B87" s="111" t="s">
        <v>30</v>
      </c>
      <c r="C87" s="113">
        <v>2.0</v>
      </c>
    </row>
    <row r="88">
      <c r="A88" s="112">
        <v>46162.42348844907</v>
      </c>
      <c r="B88" s="111" t="s">
        <v>30</v>
      </c>
      <c r="C88" s="113">
        <v>2.0</v>
      </c>
    </row>
    <row r="89">
      <c r="A89" s="112">
        <v>46162.4235037037</v>
      </c>
      <c r="B89" s="111" t="s">
        <v>30</v>
      </c>
      <c r="C89" s="113">
        <v>2.0</v>
      </c>
    </row>
    <row r="90">
      <c r="A90" s="112">
        <v>46162.42489650463</v>
      </c>
      <c r="B90" s="111" t="s">
        <v>30</v>
      </c>
      <c r="C90" s="113">
        <v>2.0</v>
      </c>
    </row>
    <row r="91">
      <c r="A91" s="112">
        <v>46162.424984178244</v>
      </c>
      <c r="B91" s="111" t="s">
        <v>30</v>
      </c>
      <c r="C91" s="113">
        <v>2.0</v>
      </c>
    </row>
    <row r="92">
      <c r="A92" s="112">
        <v>46162.42517291667</v>
      </c>
      <c r="B92" s="111" t="s">
        <v>36</v>
      </c>
      <c r="C92" s="113">
        <v>3.0</v>
      </c>
    </row>
    <row r="93">
      <c r="A93" s="112">
        <v>46162.64505222222</v>
      </c>
      <c r="B93" s="111" t="s">
        <v>73</v>
      </c>
      <c r="C93" s="113">
        <v>10.0</v>
      </c>
    </row>
    <row r="94">
      <c r="A94" s="112">
        <v>46162.64530645833</v>
      </c>
      <c r="B94" s="111" t="s">
        <v>73</v>
      </c>
      <c r="C94" s="113">
        <v>10.0</v>
      </c>
    </row>
    <row r="95">
      <c r="A95" s="112">
        <v>46162.79841721065</v>
      </c>
      <c r="B95" s="111" t="s">
        <v>85</v>
      </c>
      <c r="C95" s="113">
        <v>12.0</v>
      </c>
    </row>
    <row r="96">
      <c r="A96" s="112">
        <v>46164.68386982639</v>
      </c>
      <c r="B96" s="111" t="s">
        <v>85</v>
      </c>
      <c r="C96" s="113">
        <v>12.0</v>
      </c>
    </row>
    <row r="97">
      <c r="A97" s="112">
        <v>46164.683911423606</v>
      </c>
      <c r="B97" s="111" t="s">
        <v>85</v>
      </c>
      <c r="C97" s="113">
        <v>12.0</v>
      </c>
    </row>
    <row r="98">
      <c r="A98" s="112">
        <v>46164.68392445602</v>
      </c>
      <c r="B98" s="111" t="s">
        <v>85</v>
      </c>
      <c r="C98" s="113">
        <v>12.0</v>
      </c>
    </row>
    <row r="99">
      <c r="A99" s="112">
        <v>46164.76458809028</v>
      </c>
      <c r="B99" s="111" t="s">
        <v>85</v>
      </c>
      <c r="C99" s="113">
        <v>12.0</v>
      </c>
    </row>
    <row r="100">
      <c r="A100" s="112">
        <v>46164.80697655093</v>
      </c>
      <c r="B100" s="111" t="s">
        <v>85</v>
      </c>
      <c r="C100" s="113">
        <v>12.0</v>
      </c>
    </row>
    <row r="101">
      <c r="A101" s="112">
        <v>46164.80701642361</v>
      </c>
      <c r="B101" s="111" t="s">
        <v>85</v>
      </c>
      <c r="C101" s="113">
        <v>12.0</v>
      </c>
    </row>
    <row r="102">
      <c r="A102" s="112">
        <v>46164.80745905093</v>
      </c>
      <c r="B102" s="111" t="s">
        <v>85</v>
      </c>
      <c r="C102" s="113">
        <v>12.0</v>
      </c>
    </row>
    <row r="103">
      <c r="A103" s="112">
        <v>46164.80756408565</v>
      </c>
      <c r="B103" s="111" t="s">
        <v>85</v>
      </c>
      <c r="C103" s="113">
        <v>12.0</v>
      </c>
    </row>
    <row r="104">
      <c r="A104" s="112">
        <v>46164.807636956015</v>
      </c>
      <c r="B104" s="111" t="s">
        <v>85</v>
      </c>
      <c r="C104" s="113">
        <v>12.0</v>
      </c>
    </row>
    <row r="105">
      <c r="A105" s="112">
        <v>46164.80765837963</v>
      </c>
      <c r="B105" s="111" t="s">
        <v>85</v>
      </c>
      <c r="C105" s="113">
        <v>12.0</v>
      </c>
    </row>
    <row r="106">
      <c r="A106" s="112">
        <v>46164.80776841435</v>
      </c>
      <c r="B106" s="111" t="s">
        <v>85</v>
      </c>
      <c r="C106" s="113">
        <v>12.0</v>
      </c>
    </row>
    <row r="107">
      <c r="A107" s="112">
        <v>46167.598459699075</v>
      </c>
      <c r="B107" s="111" t="s">
        <v>85</v>
      </c>
      <c r="C107" s="113">
        <v>12.0</v>
      </c>
    </row>
    <row r="108">
      <c r="A108" s="112">
        <v>46167.783887349535</v>
      </c>
      <c r="B108" s="111" t="s">
        <v>85</v>
      </c>
      <c r="C108" s="113">
        <v>12.0</v>
      </c>
    </row>
    <row r="109">
      <c r="A109" s="112">
        <v>46167.8171750926</v>
      </c>
      <c r="B109" s="111" t="s">
        <v>85</v>
      </c>
      <c r="C109" s="113">
        <v>12.0</v>
      </c>
    </row>
    <row r="110">
      <c r="A110" s="112">
        <v>46167.81719743056</v>
      </c>
      <c r="B110" s="111" t="s">
        <v>85</v>
      </c>
      <c r="C110" s="113">
        <v>12.0</v>
      </c>
    </row>
    <row r="111">
      <c r="A111" s="112">
        <v>46167.817243321755</v>
      </c>
      <c r="B111" s="111" t="s">
        <v>85</v>
      </c>
      <c r="C111" s="113">
        <v>12.0</v>
      </c>
    </row>
    <row r="112">
      <c r="A112" s="112">
        <v>46167.81732501157</v>
      </c>
      <c r="B112" s="111" t="s">
        <v>85</v>
      </c>
      <c r="C112" s="113">
        <v>12.0</v>
      </c>
    </row>
    <row r="113">
      <c r="A113" s="112">
        <v>46167.81750822917</v>
      </c>
      <c r="B113" s="111" t="s">
        <v>85</v>
      </c>
      <c r="C113" s="113">
        <v>12.0</v>
      </c>
    </row>
    <row r="114">
      <c r="A114" s="112">
        <v>46167.88023792824</v>
      </c>
      <c r="B114" s="111" t="s">
        <v>85</v>
      </c>
      <c r="C114" s="113">
        <v>12.0</v>
      </c>
    </row>
    <row r="115">
      <c r="A115" s="112">
        <v>46167.880319247684</v>
      </c>
      <c r="B115" s="111" t="s">
        <v>85</v>
      </c>
      <c r="C115" s="113">
        <v>12.0</v>
      </c>
    </row>
    <row r="116">
      <c r="A116" s="112">
        <v>46168.40775125</v>
      </c>
      <c r="B116" s="111" t="s">
        <v>85</v>
      </c>
      <c r="C116" s="113">
        <v>12.0</v>
      </c>
    </row>
    <row r="117">
      <c r="A117" s="112">
        <v>46168.40783539352</v>
      </c>
      <c r="B117" s="111" t="s">
        <v>85</v>
      </c>
      <c r="C117" s="113">
        <v>12.0</v>
      </c>
    </row>
    <row r="118">
      <c r="A118" s="112">
        <v>46168.43570430556</v>
      </c>
      <c r="B118" s="111" t="s">
        <v>46</v>
      </c>
      <c r="C118" s="113">
        <v>7.0</v>
      </c>
    </row>
    <row r="119">
      <c r="A119" s="112">
        <v>46168.47316502315</v>
      </c>
      <c r="B119" s="111" t="s">
        <v>73</v>
      </c>
      <c r="C119" s="113">
        <v>11.0</v>
      </c>
    </row>
    <row r="120">
      <c r="A120" s="112">
        <v>46168.47320390046</v>
      </c>
      <c r="B120" s="111" t="s">
        <v>73</v>
      </c>
      <c r="C120" s="113">
        <v>11.0</v>
      </c>
    </row>
    <row r="121">
      <c r="A121" s="112">
        <v>46168.47426158565</v>
      </c>
      <c r="B121" s="111" t="s">
        <v>73</v>
      </c>
      <c r="C121" s="113">
        <v>11.0</v>
      </c>
    </row>
    <row r="122">
      <c r="A122" s="112">
        <v>46168.510217511575</v>
      </c>
      <c r="B122" s="111" t="s">
        <v>73</v>
      </c>
      <c r="C122" s="113">
        <v>11.0</v>
      </c>
    </row>
    <row r="123">
      <c r="A123" s="112">
        <v>46168.510282048606</v>
      </c>
      <c r="B123" s="111" t="s">
        <v>73</v>
      </c>
      <c r="C123" s="113">
        <v>11.0</v>
      </c>
    </row>
    <row r="124">
      <c r="A124" s="112">
        <v>46168.53036696759</v>
      </c>
      <c r="B124" s="111" t="s">
        <v>73</v>
      </c>
      <c r="C124" s="113">
        <v>11.0</v>
      </c>
    </row>
    <row r="125">
      <c r="A125" s="112">
        <v>46168.76094125</v>
      </c>
      <c r="B125" s="111" t="s">
        <v>85</v>
      </c>
      <c r="C125" s="113">
        <v>13.0</v>
      </c>
    </row>
    <row r="126">
      <c r="A126" s="112">
        <v>46168.933941296295</v>
      </c>
      <c r="B126" s="111" t="s">
        <v>85</v>
      </c>
      <c r="C126" s="113">
        <v>13.0</v>
      </c>
    </row>
    <row r="127">
      <c r="A127" s="112">
        <v>46169.420165497686</v>
      </c>
      <c r="B127" s="111" t="s">
        <v>85</v>
      </c>
      <c r="C127" s="113">
        <v>13.0</v>
      </c>
    </row>
    <row r="128">
      <c r="A128" s="112">
        <v>46169.70954822916</v>
      </c>
      <c r="B128" s="111" t="s">
        <v>73</v>
      </c>
      <c r="C128" s="113">
        <v>11.0</v>
      </c>
    </row>
    <row r="129">
      <c r="A129" s="112">
        <v>46171.507875208335</v>
      </c>
      <c r="B129" s="111" t="s">
        <v>85</v>
      </c>
      <c r="C129" s="113">
        <v>13.0</v>
      </c>
    </row>
    <row r="130">
      <c r="A130" s="112">
        <v>46171.50896040509</v>
      </c>
      <c r="B130" s="111" t="s">
        <v>85</v>
      </c>
      <c r="C130" s="113">
        <v>13.0</v>
      </c>
    </row>
    <row r="131">
      <c r="A131" s="112">
        <v>46171.715871712964</v>
      </c>
      <c r="B131" s="111" t="s">
        <v>85</v>
      </c>
      <c r="C131" s="113">
        <v>13.0</v>
      </c>
    </row>
    <row r="132">
      <c r="A132" s="112">
        <v>46171.71640207176</v>
      </c>
      <c r="B132" s="111" t="s">
        <v>85</v>
      </c>
      <c r="C132" s="113">
        <v>13.0</v>
      </c>
    </row>
    <row r="133">
      <c r="A133" s="112">
        <v>46174.71736891204</v>
      </c>
      <c r="B133" s="111" t="s">
        <v>57</v>
      </c>
      <c r="C133" s="113">
        <v>10.0</v>
      </c>
    </row>
    <row r="134">
      <c r="A134" s="112">
        <v>46174.717491076386</v>
      </c>
      <c r="B134" s="111" t="s">
        <v>57</v>
      </c>
      <c r="C134" s="113">
        <v>10.0</v>
      </c>
    </row>
    <row r="135">
      <c r="A135" s="112">
        <v>46174.84560987269</v>
      </c>
      <c r="B135" s="111" t="s">
        <v>46</v>
      </c>
      <c r="C135" s="113">
        <v>7.0</v>
      </c>
    </row>
    <row r="136">
      <c r="A136" s="112">
        <v>46174.84563509259</v>
      </c>
      <c r="B136" s="111" t="s">
        <v>46</v>
      </c>
      <c r="C136" s="113">
        <v>7.0</v>
      </c>
    </row>
    <row r="137">
      <c r="A137" s="112">
        <v>46174.84567618056</v>
      </c>
      <c r="B137" s="111" t="s">
        <v>46</v>
      </c>
      <c r="C137" s="113">
        <v>7.0</v>
      </c>
    </row>
    <row r="138">
      <c r="A138" s="112">
        <v>46174.84579229167</v>
      </c>
      <c r="B138" s="111" t="s">
        <v>46</v>
      </c>
      <c r="C138" s="113">
        <v>7.0</v>
      </c>
    </row>
    <row r="139">
      <c r="A139" s="112">
        <v>46174.84725390046</v>
      </c>
      <c r="B139" s="111" t="s">
        <v>85</v>
      </c>
      <c r="C139" s="113">
        <v>16.0</v>
      </c>
    </row>
    <row r="140">
      <c r="A140" s="112">
        <v>46174.84746979167</v>
      </c>
      <c r="B140" s="111" t="s">
        <v>85</v>
      </c>
      <c r="C140" s="113">
        <v>16.0</v>
      </c>
    </row>
    <row r="141">
      <c r="A141" s="112">
        <v>46175.41969934027</v>
      </c>
      <c r="B141" s="111" t="s">
        <v>85</v>
      </c>
      <c r="C141" s="113">
        <v>16.0</v>
      </c>
    </row>
    <row r="142">
      <c r="A142" s="112">
        <v>46175.58973640046</v>
      </c>
      <c r="B142" s="111" t="s">
        <v>116</v>
      </c>
      <c r="C142" s="113">
        <v>23.0</v>
      </c>
    </row>
    <row r="143">
      <c r="A143" s="112">
        <v>46175.61885953703</v>
      </c>
      <c r="B143" s="111" t="s">
        <v>57</v>
      </c>
      <c r="C143" s="113">
        <v>10.0</v>
      </c>
    </row>
    <row r="144">
      <c r="A144" s="112">
        <v>46175.61904462963</v>
      </c>
      <c r="B144" s="111" t="s">
        <v>57</v>
      </c>
      <c r="C144" s="113">
        <v>10.0</v>
      </c>
    </row>
    <row r="145">
      <c r="A145" s="112">
        <v>46175.72381236111</v>
      </c>
      <c r="B145" s="111" t="s">
        <v>30</v>
      </c>
      <c r="C145" s="113">
        <v>2.0</v>
      </c>
    </row>
    <row r="146">
      <c r="A146" s="112">
        <v>46175.72393653935</v>
      </c>
      <c r="B146" s="111" t="s">
        <v>30</v>
      </c>
      <c r="C146" s="113">
        <v>2.0</v>
      </c>
    </row>
    <row r="147">
      <c r="A147" s="112">
        <v>46175.72398643519</v>
      </c>
      <c r="B147" s="111" t="s">
        <v>30</v>
      </c>
      <c r="C147" s="113">
        <v>2.0</v>
      </c>
    </row>
    <row r="148">
      <c r="A148" s="112">
        <v>46175.80282877314</v>
      </c>
      <c r="B148" s="111" t="s">
        <v>85</v>
      </c>
      <c r="C148" s="113">
        <v>17.0</v>
      </c>
    </row>
    <row r="149">
      <c r="A149" s="112">
        <v>46175.80298665509</v>
      </c>
      <c r="B149" s="111" t="s">
        <v>85</v>
      </c>
      <c r="C149" s="113">
        <v>17.0</v>
      </c>
    </row>
    <row r="150">
      <c r="A150" s="112">
        <v>46175.80313768519</v>
      </c>
      <c r="B150" s="111" t="s">
        <v>46</v>
      </c>
      <c r="C150" s="113">
        <v>7.0</v>
      </c>
    </row>
    <row r="151">
      <c r="A151" s="112">
        <v>46175.8050546875</v>
      </c>
      <c r="B151" s="111" t="s">
        <v>147</v>
      </c>
      <c r="C151" s="113">
        <v>30.0</v>
      </c>
    </row>
    <row r="152">
      <c r="A152" s="112">
        <v>46175.80511074074</v>
      </c>
      <c r="B152" s="111" t="s">
        <v>147</v>
      </c>
      <c r="C152" s="113">
        <v>30.0</v>
      </c>
    </row>
    <row r="153">
      <c r="A153" s="112">
        <v>46175.80538972223</v>
      </c>
      <c r="B153" s="111" t="s">
        <v>147</v>
      </c>
      <c r="C153" s="113">
        <v>30.0</v>
      </c>
    </row>
    <row r="154">
      <c r="A154" s="112">
        <v>46175.80563837963</v>
      </c>
      <c r="B154" s="111" t="s">
        <v>147</v>
      </c>
      <c r="C154" s="113">
        <v>30.0</v>
      </c>
    </row>
    <row r="155">
      <c r="A155" s="112">
        <v>46176.81108144676</v>
      </c>
      <c r="B155" s="111" t="s">
        <v>147</v>
      </c>
      <c r="C155" s="113">
        <v>30.0</v>
      </c>
    </row>
    <row r="156">
      <c r="A156" s="112">
        <v>46176.81113412037</v>
      </c>
      <c r="B156" s="111" t="s">
        <v>147</v>
      </c>
      <c r="C156" s="113">
        <v>30.0</v>
      </c>
    </row>
    <row r="157">
      <c r="A157" s="112">
        <v>46176.81332804398</v>
      </c>
      <c r="B157" s="111" t="s">
        <v>147</v>
      </c>
      <c r="C157" s="113">
        <v>30.0</v>
      </c>
    </row>
    <row r="158">
      <c r="A158" s="112">
        <v>46176.813345601855</v>
      </c>
      <c r="B158" s="111" t="s">
        <v>147</v>
      </c>
      <c r="C158" s="113">
        <v>30.0</v>
      </c>
    </row>
    <row r="159">
      <c r="A159" s="112">
        <v>46176.81492042824</v>
      </c>
      <c r="B159" s="111" t="s">
        <v>147</v>
      </c>
      <c r="C159" s="113">
        <v>30.0</v>
      </c>
    </row>
    <row r="160">
      <c r="A160" s="112">
        <v>46176.815027488425</v>
      </c>
      <c r="B160" s="111" t="s">
        <v>147</v>
      </c>
      <c r="C160" s="113">
        <v>30.0</v>
      </c>
    </row>
    <row r="161">
      <c r="A161" s="112">
        <v>46176.81517457176</v>
      </c>
      <c r="B161" s="111" t="s">
        <v>147</v>
      </c>
      <c r="C161" s="113">
        <v>30.0</v>
      </c>
    </row>
    <row r="162">
      <c r="A162" s="112">
        <v>46177.42537024306</v>
      </c>
      <c r="B162" s="111" t="s">
        <v>41</v>
      </c>
      <c r="C162" s="113">
        <v>5.0</v>
      </c>
    </row>
    <row r="163">
      <c r="A163" s="112">
        <v>46177.814626770836</v>
      </c>
      <c r="B163" s="111" t="s">
        <v>147</v>
      </c>
      <c r="C163" s="113">
        <v>30.0</v>
      </c>
    </row>
    <row r="164">
      <c r="A164" s="112">
        <v>46177.81467599537</v>
      </c>
      <c r="B164" s="111" t="s">
        <v>147</v>
      </c>
      <c r="C164" s="113">
        <v>30.0</v>
      </c>
    </row>
    <row r="165">
      <c r="A165" s="112">
        <v>46177.81471820602</v>
      </c>
      <c r="B165" s="111" t="s">
        <v>147</v>
      </c>
      <c r="C165" s="113">
        <v>30.0</v>
      </c>
    </row>
    <row r="166">
      <c r="A166" s="112">
        <v>46177.81472581018</v>
      </c>
      <c r="B166" s="111" t="s">
        <v>147</v>
      </c>
      <c r="C166" s="113">
        <v>30.0</v>
      </c>
    </row>
    <row r="167">
      <c r="A167" s="112">
        <v>46177.814993900465</v>
      </c>
      <c r="B167" s="111" t="s">
        <v>147</v>
      </c>
      <c r="C167" s="113">
        <v>30.0</v>
      </c>
    </row>
    <row r="168">
      <c r="A168" s="112">
        <v>46177.815131192125</v>
      </c>
      <c r="B168" s="111" t="s">
        <v>147</v>
      </c>
      <c r="C168" s="113">
        <v>30.0</v>
      </c>
    </row>
    <row r="169">
      <c r="A169" s="112">
        <v>46177.836805011575</v>
      </c>
      <c r="B169" s="111" t="s">
        <v>85</v>
      </c>
      <c r="C169" s="113">
        <v>17.0</v>
      </c>
    </row>
    <row r="170">
      <c r="A170" s="112">
        <v>46178.41660984953</v>
      </c>
      <c r="B170" s="111" t="s">
        <v>85</v>
      </c>
      <c r="C170" s="113">
        <v>17.0</v>
      </c>
    </row>
    <row r="171">
      <c r="A171" s="112">
        <v>46178.58587917824</v>
      </c>
      <c r="B171" s="111" t="s">
        <v>41</v>
      </c>
      <c r="C171" s="113">
        <v>5.0</v>
      </c>
    </row>
    <row r="172">
      <c r="A172" s="112">
        <v>46178.70231091435</v>
      </c>
      <c r="B172" s="111" t="s">
        <v>41</v>
      </c>
      <c r="C172" s="113">
        <v>5.0</v>
      </c>
    </row>
    <row r="173">
      <c r="A173" s="112">
        <v>46178.7024690625</v>
      </c>
      <c r="B173" s="111" t="s">
        <v>85</v>
      </c>
      <c r="C173" s="113">
        <v>17.0</v>
      </c>
    </row>
    <row r="174">
      <c r="A174" s="112">
        <v>46178.727325300926</v>
      </c>
      <c r="B174" s="111" t="s">
        <v>85</v>
      </c>
      <c r="C174" s="113">
        <v>17.0</v>
      </c>
    </row>
    <row r="175">
      <c r="A175" s="112">
        <v>46178.81118189815</v>
      </c>
      <c r="B175" s="111" t="s">
        <v>147</v>
      </c>
      <c r="C175" s="113">
        <v>30.0</v>
      </c>
    </row>
    <row r="176">
      <c r="A176" s="112">
        <v>46178.814403020835</v>
      </c>
      <c r="B176" s="111" t="s">
        <v>147</v>
      </c>
      <c r="C176" s="113">
        <v>30.0</v>
      </c>
    </row>
    <row r="177">
      <c r="A177" s="112">
        <v>46178.81470732639</v>
      </c>
      <c r="B177" s="111" t="s">
        <v>147</v>
      </c>
      <c r="C177" s="113">
        <v>30.0</v>
      </c>
    </row>
    <row r="178">
      <c r="A178" s="112">
        <v>46178.81503185185</v>
      </c>
      <c r="B178" s="111" t="s">
        <v>147</v>
      </c>
      <c r="C178" s="113">
        <v>30.0</v>
      </c>
    </row>
    <row r="179">
      <c r="A179" s="112">
        <v>46178.815581793984</v>
      </c>
      <c r="B179" s="111" t="s">
        <v>147</v>
      </c>
      <c r="C179" s="113">
        <v>30.0</v>
      </c>
    </row>
    <row r="180">
      <c r="A180" s="112">
        <v>46178.815605428244</v>
      </c>
      <c r="B180" s="111" t="s">
        <v>147</v>
      </c>
      <c r="C180" s="113">
        <v>30.0</v>
      </c>
    </row>
    <row r="181">
      <c r="A181" s="112">
        <v>46178.81564296296</v>
      </c>
      <c r="B181" s="111" t="s">
        <v>147</v>
      </c>
      <c r="C181" s="113">
        <v>30.0</v>
      </c>
    </row>
    <row r="182">
      <c r="A182" s="112">
        <v>46182.40597365741</v>
      </c>
      <c r="B182" s="111" t="s">
        <v>147</v>
      </c>
      <c r="C182" s="113">
        <v>30.0</v>
      </c>
    </row>
    <row r="183">
      <c r="A183" s="112">
        <v>46182.40599327546</v>
      </c>
      <c r="B183" s="111" t="s">
        <v>147</v>
      </c>
      <c r="C183" s="113">
        <v>30.0</v>
      </c>
    </row>
    <row r="184">
      <c r="A184" s="112">
        <v>46182.40688472222</v>
      </c>
      <c r="B184" s="111" t="s">
        <v>147</v>
      </c>
      <c r="C184" s="113">
        <v>30.0</v>
      </c>
    </row>
    <row r="185">
      <c r="A185" s="112">
        <v>46182.407033194446</v>
      </c>
      <c r="B185" s="111" t="s">
        <v>147</v>
      </c>
      <c r="C185" s="113">
        <v>30.0</v>
      </c>
    </row>
    <row r="186">
      <c r="A186" s="112">
        <v>46182.42135375</v>
      </c>
      <c r="B186" s="111" t="s">
        <v>85</v>
      </c>
      <c r="C186" s="113">
        <v>17.0</v>
      </c>
    </row>
    <row r="187">
      <c r="A187" s="112">
        <v>46182.421396377315</v>
      </c>
      <c r="B187" s="111" t="s">
        <v>85</v>
      </c>
      <c r="C187" s="113">
        <v>17.0</v>
      </c>
    </row>
    <row r="188">
      <c r="A188" s="112">
        <v>46182.814002037034</v>
      </c>
      <c r="B188" s="111" t="s">
        <v>147</v>
      </c>
      <c r="C188" s="113">
        <v>30.0</v>
      </c>
    </row>
    <row r="189">
      <c r="A189" s="112">
        <v>46182.81436607639</v>
      </c>
      <c r="B189" s="111" t="s">
        <v>147</v>
      </c>
      <c r="C189" s="113">
        <v>30.0</v>
      </c>
    </row>
    <row r="190">
      <c r="A190" s="112">
        <v>46182.81461123843</v>
      </c>
      <c r="B190" s="111" t="s">
        <v>147</v>
      </c>
      <c r="C190" s="113">
        <v>30.0</v>
      </c>
    </row>
    <row r="191">
      <c r="A191" s="112">
        <v>46182.814624189814</v>
      </c>
      <c r="B191" s="111" t="s">
        <v>147</v>
      </c>
      <c r="C191" s="113">
        <v>30.0</v>
      </c>
    </row>
    <row r="192">
      <c r="A192" s="112">
        <v>46183.61011710648</v>
      </c>
      <c r="B192" s="111" t="s">
        <v>85</v>
      </c>
      <c r="C192" s="113">
        <v>17.0</v>
      </c>
    </row>
    <row r="193">
      <c r="A193" s="112">
        <v>46183.6101427199</v>
      </c>
      <c r="B193" s="111" t="s">
        <v>85</v>
      </c>
      <c r="C193" s="113">
        <v>17.0</v>
      </c>
    </row>
    <row r="194">
      <c r="A194" s="112">
        <v>46183.610263483795</v>
      </c>
      <c r="B194" s="111" t="s">
        <v>85</v>
      </c>
      <c r="C194" s="113">
        <v>17.0</v>
      </c>
    </row>
    <row r="195">
      <c r="A195" s="112">
        <v>46183.61047782407</v>
      </c>
      <c r="B195" s="111" t="s">
        <v>85</v>
      </c>
      <c r="C195" s="113">
        <v>17.0</v>
      </c>
    </row>
    <row r="196">
      <c r="A196" s="112">
        <v>46183.76368670139</v>
      </c>
      <c r="B196" s="111" t="s">
        <v>85</v>
      </c>
      <c r="C196" s="113">
        <v>17.0</v>
      </c>
    </row>
    <row r="197">
      <c r="A197" s="112">
        <v>46184.40935884259</v>
      </c>
      <c r="B197" s="111" t="s">
        <v>85</v>
      </c>
      <c r="C197" s="113">
        <v>16.0</v>
      </c>
    </row>
    <row r="198">
      <c r="A198" s="112">
        <v>46184.410287384264</v>
      </c>
      <c r="B198" s="111" t="s">
        <v>41</v>
      </c>
      <c r="C198" s="113">
        <v>4.0</v>
      </c>
    </row>
    <row r="199">
      <c r="A199" s="112">
        <v>46184.41032991898</v>
      </c>
      <c r="B199" s="111" t="s">
        <v>41</v>
      </c>
      <c r="C199" s="113">
        <v>4.0</v>
      </c>
    </row>
    <row r="200">
      <c r="A200" s="112">
        <v>46184.410578958334</v>
      </c>
      <c r="B200" s="111" t="s">
        <v>85</v>
      </c>
      <c r="C200" s="113">
        <v>16.0</v>
      </c>
    </row>
    <row r="201">
      <c r="A201" s="112">
        <v>46184.410588240746</v>
      </c>
      <c r="B201" s="111" t="s">
        <v>85</v>
      </c>
      <c r="C201" s="113">
        <v>16.0</v>
      </c>
    </row>
    <row r="202">
      <c r="A202" s="112">
        <v>46184.41064780093</v>
      </c>
      <c r="B202" s="111" t="s">
        <v>85</v>
      </c>
      <c r="C202" s="113">
        <v>16.0</v>
      </c>
    </row>
    <row r="203">
      <c r="A203" s="112">
        <v>46184.4106646875</v>
      </c>
      <c r="B203" s="111" t="s">
        <v>85</v>
      </c>
      <c r="C203" s="113">
        <v>16.0</v>
      </c>
    </row>
    <row r="204">
      <c r="A204" s="112">
        <v>46184.410784293985</v>
      </c>
      <c r="B204" s="111" t="s">
        <v>50</v>
      </c>
      <c r="C204" s="113">
        <v>6.0</v>
      </c>
    </row>
    <row r="205">
      <c r="A205" s="112">
        <v>46184.410799108795</v>
      </c>
      <c r="B205" s="111" t="s">
        <v>50</v>
      </c>
      <c r="C205" s="113">
        <v>6.0</v>
      </c>
    </row>
    <row r="206">
      <c r="A206" s="112">
        <v>46184.4108907176</v>
      </c>
      <c r="B206" s="111" t="s">
        <v>50</v>
      </c>
      <c r="C206" s="113">
        <v>6.0</v>
      </c>
    </row>
    <row r="207">
      <c r="A207" s="112">
        <v>46184.410998796295</v>
      </c>
      <c r="B207" s="111" t="s">
        <v>50</v>
      </c>
      <c r="C207" s="113">
        <v>6.0</v>
      </c>
    </row>
    <row r="208">
      <c r="A208" s="112">
        <v>46184.411049965274</v>
      </c>
      <c r="B208" s="111" t="s">
        <v>50</v>
      </c>
      <c r="C208" s="113">
        <v>6.0</v>
      </c>
    </row>
    <row r="209">
      <c r="A209" s="112">
        <v>46184.41107819445</v>
      </c>
      <c r="B209" s="111" t="s">
        <v>50</v>
      </c>
      <c r="C209" s="113">
        <v>6.0</v>
      </c>
    </row>
    <row r="210">
      <c r="A210" s="112">
        <v>46184.41107983796</v>
      </c>
      <c r="B210" s="111" t="s">
        <v>85</v>
      </c>
      <c r="C210" s="113">
        <v>16.0</v>
      </c>
    </row>
    <row r="211">
      <c r="A211" s="112">
        <v>46184.41113576389</v>
      </c>
      <c r="B211" s="111" t="s">
        <v>50</v>
      </c>
      <c r="C211" s="113">
        <v>6.0</v>
      </c>
    </row>
    <row r="212">
      <c r="A212" s="112">
        <v>46184.41118131945</v>
      </c>
      <c r="B212" s="111" t="s">
        <v>50</v>
      </c>
      <c r="C212" s="113">
        <v>6.0</v>
      </c>
    </row>
    <row r="213">
      <c r="A213" s="112">
        <v>46184.41122797454</v>
      </c>
      <c r="B213" s="111" t="s">
        <v>85</v>
      </c>
      <c r="C213" s="113">
        <v>16.0</v>
      </c>
    </row>
    <row r="214">
      <c r="A214" s="112">
        <v>46184.41132896991</v>
      </c>
      <c r="B214" s="111" t="s">
        <v>50</v>
      </c>
      <c r="C214" s="113">
        <v>6.0</v>
      </c>
    </row>
    <row r="215">
      <c r="A215" s="112">
        <v>46184.4113416551</v>
      </c>
      <c r="B215" s="111" t="s">
        <v>50</v>
      </c>
      <c r="C215" s="113">
        <v>6.0</v>
      </c>
    </row>
    <row r="216">
      <c r="A216" s="112">
        <v>46184.411351365736</v>
      </c>
      <c r="B216" s="111" t="s">
        <v>50</v>
      </c>
      <c r="C216" s="113">
        <v>6.0</v>
      </c>
    </row>
    <row r="217">
      <c r="A217" s="112">
        <v>46184.4113546875</v>
      </c>
      <c r="B217" s="111" t="s">
        <v>50</v>
      </c>
      <c r="C217" s="113">
        <v>6.0</v>
      </c>
    </row>
    <row r="218">
      <c r="A218" s="112">
        <v>46184.411406747684</v>
      </c>
      <c r="B218" s="111" t="s">
        <v>50</v>
      </c>
      <c r="C218" s="113">
        <v>6.0</v>
      </c>
    </row>
    <row r="219">
      <c r="A219" s="112">
        <v>46184.4114378125</v>
      </c>
      <c r="B219" s="111" t="s">
        <v>50</v>
      </c>
      <c r="C219" s="113">
        <v>6.0</v>
      </c>
    </row>
    <row r="220">
      <c r="A220" s="112">
        <v>46184.41144804398</v>
      </c>
      <c r="B220" s="111" t="s">
        <v>50</v>
      </c>
      <c r="C220" s="113">
        <v>6.0</v>
      </c>
    </row>
    <row r="221">
      <c r="A221" s="112">
        <v>46184.41145796297</v>
      </c>
      <c r="B221" s="111" t="s">
        <v>50</v>
      </c>
      <c r="C221" s="113">
        <v>6.0</v>
      </c>
    </row>
    <row r="222">
      <c r="A222" s="112">
        <v>46184.41251775463</v>
      </c>
      <c r="B222" s="111" t="s">
        <v>85</v>
      </c>
      <c r="C222" s="113">
        <v>16.0</v>
      </c>
    </row>
    <row r="223">
      <c r="A223" s="112">
        <v>46184.416177465275</v>
      </c>
      <c r="B223" s="111" t="s">
        <v>30</v>
      </c>
      <c r="C223" s="113">
        <v>2.0</v>
      </c>
    </row>
    <row r="224">
      <c r="A224" s="112">
        <v>46184.417297708336</v>
      </c>
      <c r="B224" s="111" t="s">
        <v>123</v>
      </c>
      <c r="C224" s="113">
        <v>23.0</v>
      </c>
    </row>
    <row r="225">
      <c r="A225" s="112">
        <v>46184.417387685186</v>
      </c>
      <c r="B225" s="111" t="s">
        <v>123</v>
      </c>
      <c r="C225" s="113">
        <v>23.0</v>
      </c>
    </row>
    <row r="226">
      <c r="A226" s="112">
        <v>46184.75115334491</v>
      </c>
      <c r="B226" s="111" t="s">
        <v>123</v>
      </c>
      <c r="C226" s="113">
        <v>23.0</v>
      </c>
    </row>
    <row r="227">
      <c r="A227" s="112">
        <v>46184.75123667824</v>
      </c>
      <c r="B227" s="111" t="s">
        <v>123</v>
      </c>
      <c r="C227" s="113">
        <v>23.0</v>
      </c>
    </row>
    <row r="228">
      <c r="A228" s="112">
        <v>46184.75133425926</v>
      </c>
      <c r="B228" s="111" t="s">
        <v>85</v>
      </c>
      <c r="C228" s="113">
        <v>16.0</v>
      </c>
    </row>
    <row r="229">
      <c r="A229" s="112">
        <v>46184.75136947917</v>
      </c>
      <c r="B229" s="111" t="s">
        <v>85</v>
      </c>
      <c r="C229" s="113">
        <v>16.0</v>
      </c>
    </row>
    <row r="230">
      <c r="A230" s="112">
        <v>46185.406619016205</v>
      </c>
      <c r="B230" s="111" t="s">
        <v>147</v>
      </c>
      <c r="C230" s="113">
        <v>28.0</v>
      </c>
    </row>
    <row r="231">
      <c r="A231" s="112">
        <v>46185.406649826386</v>
      </c>
      <c r="B231" s="111" t="s">
        <v>147</v>
      </c>
      <c r="C231" s="113">
        <v>28.0</v>
      </c>
    </row>
    <row r="232">
      <c r="A232" s="112">
        <v>46185.40667434028</v>
      </c>
      <c r="B232" s="111" t="s">
        <v>147</v>
      </c>
      <c r="C232" s="113">
        <v>28.0</v>
      </c>
    </row>
    <row r="233">
      <c r="A233" s="112">
        <v>46185.40686103009</v>
      </c>
      <c r="B233" s="111" t="s">
        <v>147</v>
      </c>
      <c r="C233" s="113">
        <v>28.0</v>
      </c>
    </row>
    <row r="234">
      <c r="A234" s="112">
        <v>46185.406877650465</v>
      </c>
      <c r="B234" s="111" t="s">
        <v>147</v>
      </c>
      <c r="C234" s="113">
        <v>28.0</v>
      </c>
    </row>
    <row r="235">
      <c r="A235" s="112">
        <v>46185.40760731482</v>
      </c>
      <c r="B235" s="111" t="s">
        <v>147</v>
      </c>
      <c r="C235" s="113">
        <v>28.0</v>
      </c>
    </row>
    <row r="236">
      <c r="A236" s="112">
        <v>46185.40761894676</v>
      </c>
      <c r="B236" s="111" t="s">
        <v>147</v>
      </c>
      <c r="C236" s="113">
        <v>28.0</v>
      </c>
    </row>
    <row r="237">
      <c r="A237" s="112">
        <v>46185.40786237268</v>
      </c>
      <c r="B237" s="111" t="s">
        <v>147</v>
      </c>
      <c r="C237" s="113">
        <v>28.0</v>
      </c>
    </row>
    <row r="238">
      <c r="A238" s="112">
        <v>46185.407891469906</v>
      </c>
      <c r="B238" s="111" t="s">
        <v>147</v>
      </c>
      <c r="C238" s="113">
        <v>28.0</v>
      </c>
    </row>
    <row r="239">
      <c r="A239" s="112">
        <v>46185.40989541667</v>
      </c>
      <c r="B239" s="111" t="s">
        <v>147</v>
      </c>
      <c r="C239" s="113">
        <v>28.0</v>
      </c>
    </row>
    <row r="240">
      <c r="A240" s="112">
        <v>46185.409914675925</v>
      </c>
      <c r="B240" s="111" t="s">
        <v>147</v>
      </c>
      <c r="C240" s="113">
        <v>28.0</v>
      </c>
    </row>
    <row r="241">
      <c r="A241" s="112">
        <v>46185.40996716435</v>
      </c>
      <c r="B241" s="111" t="s">
        <v>147</v>
      </c>
      <c r="C241" s="113">
        <v>28.0</v>
      </c>
    </row>
    <row r="242">
      <c r="A242" s="112">
        <v>46185.409980763885</v>
      </c>
      <c r="B242" s="111" t="s">
        <v>147</v>
      </c>
      <c r="C242" s="113">
        <v>28.0</v>
      </c>
    </row>
    <row r="243">
      <c r="A243" s="112">
        <v>46185.41168280093</v>
      </c>
      <c r="B243" s="111" t="s">
        <v>147</v>
      </c>
      <c r="C243" s="113">
        <v>28.0</v>
      </c>
    </row>
    <row r="244">
      <c r="A244" s="112">
        <v>46185.411823946764</v>
      </c>
      <c r="B244" s="111" t="s">
        <v>147</v>
      </c>
      <c r="C244" s="113">
        <v>28.0</v>
      </c>
    </row>
    <row r="245">
      <c r="A245" s="112">
        <v>46185.41217170139</v>
      </c>
      <c r="B245" s="111" t="s">
        <v>147</v>
      </c>
      <c r="C245" s="113">
        <v>28.0</v>
      </c>
    </row>
    <row r="246">
      <c r="A246" s="112">
        <v>46185.41232347222</v>
      </c>
      <c r="B246" s="111" t="s">
        <v>147</v>
      </c>
      <c r="C246" s="113">
        <v>28.0</v>
      </c>
    </row>
    <row r="247">
      <c r="A247" s="112">
        <v>46185.43133101852</v>
      </c>
      <c r="B247" s="111" t="s">
        <v>85</v>
      </c>
      <c r="C247" s="113">
        <v>16.0</v>
      </c>
    </row>
    <row r="248">
      <c r="A248" s="112">
        <v>46185.43134228009</v>
      </c>
      <c r="B248" s="111" t="s">
        <v>85</v>
      </c>
      <c r="C248" s="113">
        <v>16.0</v>
      </c>
    </row>
    <row r="249">
      <c r="A249" s="112">
        <v>46185.43142405093</v>
      </c>
      <c r="B249" s="111" t="s">
        <v>123</v>
      </c>
      <c r="C249" s="113">
        <v>23.0</v>
      </c>
    </row>
    <row r="250">
      <c r="A250" s="112">
        <v>46185.43506853009</v>
      </c>
      <c r="B250" s="111" t="s">
        <v>123</v>
      </c>
      <c r="C250" s="113">
        <v>23.0</v>
      </c>
    </row>
    <row r="251">
      <c r="A251" s="112">
        <v>46185.43940670139</v>
      </c>
      <c r="B251" s="111" t="s">
        <v>57</v>
      </c>
      <c r="C251" s="113">
        <v>7.0</v>
      </c>
    </row>
    <row r="252">
      <c r="A252" s="112">
        <v>46185.44361378472</v>
      </c>
      <c r="B252" s="111" t="s">
        <v>123</v>
      </c>
      <c r="C252" s="113">
        <v>21.0</v>
      </c>
    </row>
    <row r="253">
      <c r="A253" s="112">
        <v>46185.44363631944</v>
      </c>
      <c r="B253" s="111" t="s">
        <v>123</v>
      </c>
      <c r="C253" s="113">
        <v>21.0</v>
      </c>
    </row>
    <row r="254">
      <c r="A254" s="112">
        <v>46185.444521631944</v>
      </c>
      <c r="B254" s="111" t="s">
        <v>123</v>
      </c>
      <c r="C254" s="113">
        <v>21.0</v>
      </c>
    </row>
    <row r="255">
      <c r="A255" s="112">
        <v>46185.444626956014</v>
      </c>
      <c r="B255" s="111" t="s">
        <v>123</v>
      </c>
      <c r="C255" s="113">
        <v>21.0</v>
      </c>
    </row>
    <row r="256">
      <c r="A256" s="112">
        <v>46185.44758619213</v>
      </c>
      <c r="B256" s="111" t="s">
        <v>123</v>
      </c>
      <c r="C256" s="113">
        <v>21.0</v>
      </c>
    </row>
    <row r="257">
      <c r="A257" s="112">
        <v>46186.260039155095</v>
      </c>
      <c r="B257" s="111" t="s">
        <v>41</v>
      </c>
      <c r="C257" s="113">
        <v>4.0</v>
      </c>
    </row>
    <row r="258">
      <c r="A258" s="112">
        <v>46186.2610059375</v>
      </c>
      <c r="B258" s="111" t="s">
        <v>50</v>
      </c>
      <c r="C258" s="113">
        <v>6.0</v>
      </c>
    </row>
    <row r="259">
      <c r="A259" s="112">
        <v>46186.262006875</v>
      </c>
      <c r="B259" s="111" t="s">
        <v>85</v>
      </c>
      <c r="C259" s="113">
        <v>14.0</v>
      </c>
    </row>
    <row r="260">
      <c r="A260" s="112">
        <v>46188.39665681713</v>
      </c>
      <c r="B260" s="111" t="s">
        <v>76</v>
      </c>
      <c r="C260" s="113">
        <v>12.0</v>
      </c>
    </row>
    <row r="261">
      <c r="A261" s="112">
        <v>46188.39699255787</v>
      </c>
      <c r="B261" s="111" t="s">
        <v>76</v>
      </c>
      <c r="C261" s="113">
        <v>12.0</v>
      </c>
    </row>
    <row r="262">
      <c r="A262" s="112">
        <v>46188.39843734953</v>
      </c>
      <c r="B262" s="111" t="s">
        <v>147</v>
      </c>
      <c r="C262" s="113">
        <v>26.0</v>
      </c>
    </row>
    <row r="263">
      <c r="A263" s="112">
        <v>46188.39855046297</v>
      </c>
      <c r="B263" s="111" t="s">
        <v>147</v>
      </c>
      <c r="C263" s="113">
        <v>26.0</v>
      </c>
    </row>
    <row r="264">
      <c r="A264" s="112">
        <v>46188.3985572338</v>
      </c>
      <c r="B264" s="111" t="s">
        <v>147</v>
      </c>
      <c r="C264" s="113">
        <v>26.0</v>
      </c>
    </row>
    <row r="265">
      <c r="A265" s="112">
        <v>46188.398589212964</v>
      </c>
      <c r="B265" s="111" t="s">
        <v>147</v>
      </c>
      <c r="C265" s="113">
        <v>26.0</v>
      </c>
    </row>
    <row r="266">
      <c r="A266" s="112">
        <v>46188.3986053125</v>
      </c>
      <c r="B266" s="111" t="s">
        <v>147</v>
      </c>
      <c r="C266" s="113">
        <v>26.0</v>
      </c>
    </row>
    <row r="267">
      <c r="A267" s="112">
        <v>46188.3988231713</v>
      </c>
      <c r="B267" s="111" t="s">
        <v>147</v>
      </c>
      <c r="C267" s="113">
        <v>26.0</v>
      </c>
    </row>
    <row r="268">
      <c r="A268" s="112">
        <v>46188.39895200232</v>
      </c>
      <c r="B268" s="111" t="s">
        <v>147</v>
      </c>
      <c r="C268" s="113">
        <v>26.0</v>
      </c>
    </row>
    <row r="269">
      <c r="A269" s="112">
        <v>46188.399065694444</v>
      </c>
      <c r="B269" s="111" t="s">
        <v>147</v>
      </c>
      <c r="C269" s="113">
        <v>26.0</v>
      </c>
    </row>
    <row r="270">
      <c r="A270" s="112">
        <v>46188.39992923611</v>
      </c>
      <c r="B270" s="111" t="s">
        <v>147</v>
      </c>
      <c r="C270" s="113">
        <v>26.0</v>
      </c>
    </row>
    <row r="271">
      <c r="A271" s="112">
        <v>46188.400075983795</v>
      </c>
      <c r="B271" s="111" t="s">
        <v>147</v>
      </c>
      <c r="C271" s="113">
        <v>26.0</v>
      </c>
    </row>
    <row r="272">
      <c r="A272" s="112">
        <v>46188.42902806713</v>
      </c>
      <c r="B272" s="111" t="s">
        <v>76</v>
      </c>
      <c r="C272" s="113">
        <v>12.0</v>
      </c>
    </row>
    <row r="273">
      <c r="A273" s="112">
        <v>46188.42911252315</v>
      </c>
      <c r="B273" s="111" t="s">
        <v>76</v>
      </c>
      <c r="C273" s="113">
        <v>12.0</v>
      </c>
    </row>
    <row r="274">
      <c r="A274" s="112">
        <v>46188.429566770836</v>
      </c>
      <c r="B274" s="111" t="s">
        <v>76</v>
      </c>
      <c r="C274" s="113">
        <v>12.0</v>
      </c>
    </row>
    <row r="275">
      <c r="A275" s="112">
        <v>46188.76041357639</v>
      </c>
      <c r="B275" s="111" t="s">
        <v>85</v>
      </c>
      <c r="C275" s="113">
        <v>13.0</v>
      </c>
    </row>
    <row r="276">
      <c r="A276" s="112">
        <v>46188.76048128473</v>
      </c>
      <c r="B276" s="111" t="s">
        <v>76</v>
      </c>
      <c r="C276" s="113">
        <v>12.0</v>
      </c>
    </row>
    <row r="277">
      <c r="A277" s="112">
        <v>46188.76052001158</v>
      </c>
      <c r="B277" s="111" t="s">
        <v>50</v>
      </c>
      <c r="C277" s="113">
        <v>6.0</v>
      </c>
    </row>
    <row r="278">
      <c r="A278" s="112">
        <v>46188.808983888885</v>
      </c>
      <c r="B278" s="111" t="s">
        <v>76</v>
      </c>
      <c r="C278" s="113">
        <v>12.0</v>
      </c>
    </row>
    <row r="279">
      <c r="A279" s="112">
        <v>46188.80906951389</v>
      </c>
      <c r="B279" s="111" t="s">
        <v>76</v>
      </c>
      <c r="C279" s="113">
        <v>12.0</v>
      </c>
    </row>
    <row r="280">
      <c r="A280" s="112">
        <v>46188.81089929398</v>
      </c>
      <c r="B280" s="111" t="s">
        <v>147</v>
      </c>
      <c r="C280" s="113">
        <v>26.0</v>
      </c>
    </row>
    <row r="281">
      <c r="A281" s="112">
        <v>46188.81091431713</v>
      </c>
      <c r="B281" s="111" t="s">
        <v>147</v>
      </c>
      <c r="C281" s="113">
        <v>26.0</v>
      </c>
    </row>
    <row r="282">
      <c r="A282" s="112">
        <v>46188.81094758102</v>
      </c>
      <c r="B282" s="111" t="s">
        <v>147</v>
      </c>
      <c r="C282" s="113">
        <v>26.0</v>
      </c>
    </row>
    <row r="283">
      <c r="A283" s="112">
        <v>46188.81096365741</v>
      </c>
      <c r="B283" s="111" t="s">
        <v>147</v>
      </c>
      <c r="C283" s="113">
        <v>26.0</v>
      </c>
    </row>
    <row r="284">
      <c r="A284" s="112">
        <v>46188.81106354167</v>
      </c>
      <c r="B284" s="111" t="s">
        <v>147</v>
      </c>
      <c r="C284" s="113">
        <v>26.0</v>
      </c>
    </row>
    <row r="285">
      <c r="A285" s="112">
        <v>46188.81115358796</v>
      </c>
      <c r="B285" s="111" t="s">
        <v>147</v>
      </c>
      <c r="C285" s="113">
        <v>26.0</v>
      </c>
    </row>
    <row r="286">
      <c r="A286" s="112">
        <v>46188.81540798611</v>
      </c>
      <c r="B286" s="111" t="s">
        <v>76</v>
      </c>
      <c r="C286" s="113">
        <v>12.0</v>
      </c>
    </row>
    <row r="287">
      <c r="A287" s="112">
        <v>46189.757397141206</v>
      </c>
      <c r="B287" s="111" t="s">
        <v>30</v>
      </c>
      <c r="C287" s="113">
        <v>2.0</v>
      </c>
    </row>
    <row r="288">
      <c r="A288" s="112">
        <v>46189.7574121875</v>
      </c>
      <c r="B288" s="111" t="s">
        <v>30</v>
      </c>
      <c r="C288" s="113">
        <v>2.0</v>
      </c>
    </row>
    <row r="289">
      <c r="A289" s="112">
        <v>46189.77363435185</v>
      </c>
      <c r="B289" s="111" t="s">
        <v>85</v>
      </c>
      <c r="C289" s="113">
        <v>13.0</v>
      </c>
    </row>
    <row r="290">
      <c r="A290" s="112">
        <v>46189.77408310185</v>
      </c>
      <c r="B290" s="111" t="s">
        <v>85</v>
      </c>
      <c r="C290" s="113">
        <v>13.0</v>
      </c>
    </row>
    <row r="291">
      <c r="A291" s="112">
        <v>46189.7741340625</v>
      </c>
      <c r="B291" s="111" t="s">
        <v>85</v>
      </c>
      <c r="C291" s="113">
        <v>13.0</v>
      </c>
    </row>
    <row r="292">
      <c r="A292" s="112">
        <v>46189.79747611111</v>
      </c>
      <c r="B292" s="111" t="s">
        <v>147</v>
      </c>
      <c r="C292" s="113">
        <v>27.0</v>
      </c>
    </row>
    <row r="293">
      <c r="A293" s="112">
        <v>46189.79749282407</v>
      </c>
      <c r="B293" s="111" t="s">
        <v>147</v>
      </c>
      <c r="C293" s="113">
        <v>27.0</v>
      </c>
    </row>
    <row r="294">
      <c r="A294" s="112">
        <v>46189.7993369676</v>
      </c>
      <c r="B294" s="111" t="s">
        <v>85</v>
      </c>
      <c r="C294" s="113">
        <v>13.0</v>
      </c>
    </row>
    <row r="295">
      <c r="A295" s="112">
        <v>46189.79942738426</v>
      </c>
      <c r="B295" s="111" t="s">
        <v>85</v>
      </c>
      <c r="C295" s="113">
        <v>13.0</v>
      </c>
    </row>
    <row r="296">
      <c r="A296" s="112">
        <v>46189.7996909375</v>
      </c>
      <c r="B296" s="111" t="s">
        <v>50</v>
      </c>
      <c r="C296" s="113">
        <v>6.0</v>
      </c>
    </row>
    <row r="297">
      <c r="A297" s="112">
        <v>46189.800224328705</v>
      </c>
      <c r="B297" s="111" t="s">
        <v>50</v>
      </c>
      <c r="C297" s="113">
        <v>6.0</v>
      </c>
    </row>
    <row r="298">
      <c r="A298" s="112">
        <v>46189.80023947917</v>
      </c>
      <c r="B298" s="111" t="s">
        <v>147</v>
      </c>
      <c r="C298" s="113">
        <v>27.0</v>
      </c>
    </row>
    <row r="299">
      <c r="A299" s="112">
        <v>46189.80024458333</v>
      </c>
      <c r="B299" s="111" t="s">
        <v>147</v>
      </c>
      <c r="C299" s="113">
        <v>27.0</v>
      </c>
    </row>
    <row r="300">
      <c r="A300" s="112">
        <v>46189.80041355324</v>
      </c>
      <c r="B300" s="111" t="s">
        <v>147</v>
      </c>
      <c r="C300" s="113">
        <v>27.0</v>
      </c>
    </row>
    <row r="301">
      <c r="A301" s="112">
        <v>46189.80042373843</v>
      </c>
      <c r="B301" s="111" t="s">
        <v>147</v>
      </c>
      <c r="C301" s="113">
        <v>27.0</v>
      </c>
    </row>
    <row r="302">
      <c r="A302" s="112">
        <v>46189.80149347222</v>
      </c>
      <c r="B302" s="111" t="s">
        <v>76</v>
      </c>
      <c r="C302" s="113">
        <v>12.0</v>
      </c>
    </row>
    <row r="303">
      <c r="A303" s="112">
        <v>46189.811188761574</v>
      </c>
      <c r="B303" s="111" t="s">
        <v>147</v>
      </c>
      <c r="C303" s="113">
        <v>27.0</v>
      </c>
    </row>
    <row r="304">
      <c r="A304" s="112">
        <v>46189.811394317134</v>
      </c>
      <c r="B304" s="111" t="s">
        <v>147</v>
      </c>
      <c r="C304" s="113">
        <v>27.0</v>
      </c>
    </row>
    <row r="305">
      <c r="A305" s="112">
        <v>46190.425446319445</v>
      </c>
      <c r="B305" s="111" t="s">
        <v>147</v>
      </c>
      <c r="C305" s="113">
        <v>27.0</v>
      </c>
    </row>
    <row r="306">
      <c r="A306" s="112">
        <v>46190.4254594213</v>
      </c>
      <c r="B306" s="111" t="s">
        <v>147</v>
      </c>
      <c r="C306" s="113">
        <v>27.0</v>
      </c>
    </row>
    <row r="307">
      <c r="A307" s="112">
        <v>46190.42549836806</v>
      </c>
      <c r="B307" s="111" t="s">
        <v>147</v>
      </c>
      <c r="C307" s="113">
        <v>27.0</v>
      </c>
    </row>
    <row r="308">
      <c r="A308" s="112">
        <v>46190.45311016204</v>
      </c>
      <c r="B308" s="111" t="s">
        <v>85</v>
      </c>
      <c r="C308" s="113">
        <v>13.0</v>
      </c>
    </row>
    <row r="309">
      <c r="A309" s="112">
        <v>46190.45700862269</v>
      </c>
      <c r="B309" s="111" t="s">
        <v>46</v>
      </c>
      <c r="C309" s="113">
        <v>5.0</v>
      </c>
    </row>
    <row r="310">
      <c r="A310" s="112">
        <v>46190.4573258912</v>
      </c>
      <c r="B310" s="111" t="s">
        <v>46</v>
      </c>
      <c r="C310" s="113">
        <v>5.0</v>
      </c>
    </row>
    <row r="311">
      <c r="A311" s="112">
        <v>46190.457412812495</v>
      </c>
      <c r="B311" s="111" t="s">
        <v>46</v>
      </c>
      <c r="C311" s="113">
        <v>5.0</v>
      </c>
    </row>
    <row r="312">
      <c r="A312" s="112">
        <v>46190.45764068287</v>
      </c>
      <c r="B312" s="111" t="s">
        <v>46</v>
      </c>
      <c r="C312" s="113">
        <v>5.0</v>
      </c>
    </row>
    <row r="313">
      <c r="A313" s="112">
        <v>46190.457739722224</v>
      </c>
      <c r="B313" s="111" t="s">
        <v>46</v>
      </c>
      <c r="C313" s="113">
        <v>5.0</v>
      </c>
    </row>
    <row r="314">
      <c r="A314" s="112">
        <v>46190.45786592593</v>
      </c>
      <c r="B314" s="111" t="s">
        <v>46</v>
      </c>
      <c r="C314" s="113">
        <v>5.0</v>
      </c>
    </row>
    <row r="315">
      <c r="A315" s="112">
        <v>46190.45862319444</v>
      </c>
      <c r="B315" s="111" t="s">
        <v>46</v>
      </c>
      <c r="C315" s="113">
        <v>5.0</v>
      </c>
    </row>
    <row r="316">
      <c r="A316" s="112">
        <v>46190.458687997685</v>
      </c>
      <c r="B316" s="111" t="s">
        <v>46</v>
      </c>
      <c r="C316" s="113">
        <v>5.0</v>
      </c>
    </row>
    <row r="317">
      <c r="A317" s="112">
        <v>46190.45874070602</v>
      </c>
      <c r="B317" s="111" t="s">
        <v>46</v>
      </c>
      <c r="C317" s="113">
        <v>5.0</v>
      </c>
    </row>
    <row r="318">
      <c r="A318" s="112">
        <v>46190.458769606485</v>
      </c>
      <c r="B318" s="111" t="s">
        <v>46</v>
      </c>
      <c r="C318" s="113">
        <v>5.0</v>
      </c>
    </row>
    <row r="319">
      <c r="A319" s="112">
        <v>46190.45880525463</v>
      </c>
      <c r="B319" s="111" t="s">
        <v>46</v>
      </c>
      <c r="C319" s="113">
        <v>5.0</v>
      </c>
    </row>
    <row r="320">
      <c r="A320" s="112">
        <v>46190.45882929398</v>
      </c>
      <c r="B320" s="111" t="s">
        <v>46</v>
      </c>
      <c r="C320" s="113">
        <v>5.0</v>
      </c>
    </row>
    <row r="321">
      <c r="A321" s="112">
        <v>46190.45939722222</v>
      </c>
      <c r="B321" s="111" t="s">
        <v>46</v>
      </c>
      <c r="C321" s="113">
        <v>5.0</v>
      </c>
    </row>
    <row r="322">
      <c r="A322" s="112">
        <v>46190.459790567125</v>
      </c>
      <c r="B322" s="111" t="s">
        <v>46</v>
      </c>
      <c r="C322" s="113">
        <v>5.0</v>
      </c>
    </row>
    <row r="323">
      <c r="A323" s="112">
        <v>46190.4598912037</v>
      </c>
      <c r="B323" s="111" t="s">
        <v>46</v>
      </c>
      <c r="C323" s="113">
        <v>5.0</v>
      </c>
    </row>
    <row r="324">
      <c r="A324" s="112">
        <v>46190.46670917824</v>
      </c>
      <c r="B324" s="111" t="s">
        <v>147</v>
      </c>
      <c r="C324" s="113">
        <v>27.0</v>
      </c>
    </row>
    <row r="325">
      <c r="A325" s="112">
        <v>46190.466824814815</v>
      </c>
      <c r="B325" s="111" t="s">
        <v>147</v>
      </c>
      <c r="C325" s="113">
        <v>27.0</v>
      </c>
    </row>
    <row r="326">
      <c r="A326" s="112">
        <v>46190.46684782408</v>
      </c>
      <c r="B326" s="111" t="s">
        <v>147</v>
      </c>
      <c r="C326" s="113">
        <v>27.0</v>
      </c>
    </row>
    <row r="327">
      <c r="A327" s="112">
        <v>46190.54102858796</v>
      </c>
      <c r="B327" s="111" t="s">
        <v>61</v>
      </c>
      <c r="C327" s="113">
        <v>8.0</v>
      </c>
    </row>
    <row r="328">
      <c r="A328" s="112">
        <v>46190.541384421296</v>
      </c>
      <c r="B328" s="111" t="s">
        <v>123</v>
      </c>
      <c r="C328" s="113">
        <v>21.0</v>
      </c>
    </row>
    <row r="329">
      <c r="A329" s="112">
        <v>46190.541426157404</v>
      </c>
      <c r="B329" s="111" t="s">
        <v>126</v>
      </c>
      <c r="C329" s="113">
        <v>22.0</v>
      </c>
    </row>
    <row r="330">
      <c r="A330" s="112">
        <v>46190.54147707176</v>
      </c>
      <c r="B330" s="111" t="s">
        <v>132</v>
      </c>
      <c r="C330" s="113">
        <v>23.0</v>
      </c>
    </row>
    <row r="331">
      <c r="A331" s="112">
        <v>46190.541962557865</v>
      </c>
      <c r="B331" s="111" t="s">
        <v>135</v>
      </c>
      <c r="C331" s="113">
        <v>24.0</v>
      </c>
    </row>
    <row r="332">
      <c r="A332" s="112">
        <v>46190.54200004629</v>
      </c>
      <c r="B332" s="111" t="s">
        <v>138</v>
      </c>
      <c r="C332" s="113">
        <v>25.0</v>
      </c>
    </row>
    <row r="333">
      <c r="A333" s="112">
        <v>46190.542016875</v>
      </c>
      <c r="B333" s="111" t="s">
        <v>126</v>
      </c>
      <c r="C333" s="113">
        <v>22.0</v>
      </c>
    </row>
    <row r="334">
      <c r="A334" s="112">
        <v>46190.54204509259</v>
      </c>
      <c r="B334" s="111" t="s">
        <v>143</v>
      </c>
      <c r="C334" s="113">
        <v>26.0</v>
      </c>
    </row>
    <row r="335">
      <c r="A335" s="112">
        <v>46190.542060775464</v>
      </c>
      <c r="B335" s="111" t="s">
        <v>147</v>
      </c>
      <c r="C335" s="113">
        <v>27.0</v>
      </c>
    </row>
    <row r="336">
      <c r="A336" s="112">
        <v>46190.542070428244</v>
      </c>
      <c r="B336" s="111" t="s">
        <v>149</v>
      </c>
      <c r="C336" s="113">
        <v>28.0</v>
      </c>
    </row>
    <row r="337">
      <c r="A337" s="112">
        <v>46190.54735577546</v>
      </c>
      <c r="B337" s="111" t="s">
        <v>70</v>
      </c>
      <c r="C337" s="113">
        <v>9.0</v>
      </c>
    </row>
    <row r="338">
      <c r="A338" s="112">
        <v>46190.550929247685</v>
      </c>
      <c r="B338" s="111" t="s">
        <v>85</v>
      </c>
      <c r="C338" s="113">
        <v>12.0</v>
      </c>
    </row>
    <row r="339">
      <c r="A339" s="112">
        <v>46190.55127467593</v>
      </c>
      <c r="B339" s="111" t="s">
        <v>95</v>
      </c>
      <c r="C339" s="113">
        <v>14.0</v>
      </c>
    </row>
    <row r="340">
      <c r="A340" s="112">
        <v>46190.551442337965</v>
      </c>
      <c r="B340" s="111" t="s">
        <v>107</v>
      </c>
      <c r="C340" s="113">
        <v>16.0</v>
      </c>
    </row>
    <row r="341">
      <c r="A341" s="112">
        <v>46190.80253894676</v>
      </c>
      <c r="B341" s="111" t="s">
        <v>147</v>
      </c>
      <c r="C341" s="113">
        <v>26.0</v>
      </c>
    </row>
    <row r="342">
      <c r="A342" s="112">
        <v>46190.802543020836</v>
      </c>
      <c r="B342" s="111" t="s">
        <v>147</v>
      </c>
      <c r="C342" s="113">
        <v>26.0</v>
      </c>
    </row>
    <row r="343">
      <c r="A343" s="112">
        <v>46191.447080682876</v>
      </c>
      <c r="B343" s="111" t="s">
        <v>135</v>
      </c>
      <c r="C343" s="113">
        <v>23.0</v>
      </c>
    </row>
    <row r="344">
      <c r="A344" s="112">
        <v>46192.39963997685</v>
      </c>
      <c r="B344" s="111" t="s">
        <v>100</v>
      </c>
      <c r="C344" s="113">
        <v>15.0</v>
      </c>
    </row>
    <row r="345">
      <c r="A345" s="112">
        <v>46192.4191209375</v>
      </c>
      <c r="B345" s="111" t="s">
        <v>147</v>
      </c>
      <c r="C345" s="113">
        <v>26.0</v>
      </c>
    </row>
    <row r="346">
      <c r="A346" s="112">
        <v>46192.419124085645</v>
      </c>
      <c r="B346" s="111" t="s">
        <v>147</v>
      </c>
      <c r="C346" s="113">
        <v>26.0</v>
      </c>
    </row>
    <row r="347">
      <c r="A347" s="112">
        <v>46192.419253761575</v>
      </c>
      <c r="B347" s="111" t="s">
        <v>147</v>
      </c>
      <c r="C347" s="113">
        <v>26.0</v>
      </c>
    </row>
    <row r="348">
      <c r="A348" s="112">
        <v>46192.419266400466</v>
      </c>
      <c r="B348" s="111" t="s">
        <v>147</v>
      </c>
      <c r="C348" s="113">
        <v>26.0</v>
      </c>
    </row>
    <row r="349">
      <c r="A349" s="112">
        <v>46192.41941074074</v>
      </c>
      <c r="B349" s="111" t="s">
        <v>147</v>
      </c>
      <c r="C349" s="113">
        <v>26.0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2.25"/>
    <col customWidth="1" min="3" max="3" width="23.25"/>
    <col customWidth="1" min="4" max="4" width="12.0"/>
    <col customWidth="1" min="5" max="5" width="11.25"/>
    <col customWidth="1" min="6" max="6" width="10.63"/>
    <col customWidth="1" min="7" max="7" width="10.88"/>
    <col customWidth="1" min="8" max="8" width="13.63"/>
    <col customWidth="1" min="9" max="10" width="17.88"/>
    <col customWidth="1" min="11" max="11" width="24.88"/>
    <col customWidth="1" min="12" max="12" width="17.0"/>
    <col customWidth="1" min="13" max="13" width="24.88"/>
    <col customWidth="1" min="14" max="14" width="66.13"/>
    <col customWidth="1" min="15" max="15" width="24.38"/>
    <col customWidth="1" min="16" max="29" width="24.88"/>
  </cols>
  <sheetData>
    <row r="1">
      <c r="A1" s="114" t="s">
        <v>0</v>
      </c>
      <c r="B1" s="114" t="s">
        <v>1</v>
      </c>
      <c r="C1" s="115" t="s">
        <v>2</v>
      </c>
      <c r="D1" s="114" t="s">
        <v>3</v>
      </c>
      <c r="E1" s="114" t="s">
        <v>4</v>
      </c>
      <c r="F1" s="114" t="s">
        <v>5</v>
      </c>
      <c r="G1" s="114" t="s">
        <v>6</v>
      </c>
      <c r="H1" s="114" t="s">
        <v>7</v>
      </c>
      <c r="I1" s="114" t="s">
        <v>8</v>
      </c>
      <c r="J1" s="114" t="s">
        <v>9</v>
      </c>
      <c r="K1" s="114" t="s">
        <v>10</v>
      </c>
      <c r="L1" s="116" t="s">
        <v>11</v>
      </c>
      <c r="M1" s="114" t="s">
        <v>12</v>
      </c>
      <c r="N1" s="114" t="s">
        <v>159</v>
      </c>
      <c r="O1" s="4" t="s">
        <v>14</v>
      </c>
      <c r="P1" s="114" t="s">
        <v>15</v>
      </c>
      <c r="Q1" s="114" t="s">
        <v>16</v>
      </c>
      <c r="R1" s="114" t="s">
        <v>17</v>
      </c>
      <c r="S1" s="117"/>
      <c r="T1" s="117"/>
      <c r="U1" s="117"/>
      <c r="V1" s="117"/>
      <c r="W1" s="117"/>
      <c r="X1" s="117"/>
      <c r="Y1" s="117"/>
      <c r="Z1" s="117"/>
      <c r="AA1" s="117"/>
      <c r="AB1" s="117"/>
      <c r="AC1" s="117"/>
    </row>
    <row r="2">
      <c r="A2" s="61" t="s">
        <v>21</v>
      </c>
      <c r="B2" s="33" t="s">
        <v>22</v>
      </c>
      <c r="C2" s="35" t="s">
        <v>160</v>
      </c>
      <c r="D2" s="118" t="s">
        <v>24</v>
      </c>
      <c r="E2" s="15" t="s">
        <v>25</v>
      </c>
      <c r="F2" s="72">
        <v>45995.0</v>
      </c>
      <c r="G2" s="72">
        <v>46003.0</v>
      </c>
      <c r="H2" s="35"/>
      <c r="I2" s="13" t="s">
        <v>161</v>
      </c>
      <c r="J2" s="73" t="s">
        <v>34</v>
      </c>
      <c r="K2" s="86">
        <v>50.0</v>
      </c>
      <c r="L2" s="15"/>
      <c r="M2" s="15">
        <v>15.0</v>
      </c>
      <c r="N2" s="35" t="s">
        <v>162</v>
      </c>
      <c r="O2" s="35"/>
      <c r="P2" s="35"/>
      <c r="Q2" s="99"/>
      <c r="R2" s="99"/>
      <c r="S2" s="18"/>
      <c r="T2" s="18"/>
      <c r="U2" s="18"/>
      <c r="V2" s="18"/>
      <c r="W2" s="18"/>
      <c r="X2" s="18"/>
      <c r="Y2" s="18"/>
      <c r="Z2" s="18"/>
      <c r="AA2" s="18"/>
      <c r="AB2" s="18"/>
      <c r="AC2" s="18"/>
    </row>
    <row r="3">
      <c r="A3" s="46" t="s">
        <v>63</v>
      </c>
      <c r="B3" s="119" t="s">
        <v>163</v>
      </c>
      <c r="C3" s="31" t="s">
        <v>164</v>
      </c>
      <c r="D3" s="120" t="s">
        <v>24</v>
      </c>
      <c r="E3" s="30" t="s">
        <v>33</v>
      </c>
      <c r="F3" s="65">
        <v>45980.0</v>
      </c>
      <c r="G3" s="65">
        <v>45980.0</v>
      </c>
      <c r="H3" s="31"/>
      <c r="I3" s="28" t="s">
        <v>161</v>
      </c>
      <c r="J3" s="27" t="s">
        <v>34</v>
      </c>
      <c r="K3" s="80">
        <v>20.0</v>
      </c>
      <c r="L3" s="31"/>
      <c r="M3" s="31"/>
      <c r="N3" s="31" t="s">
        <v>165</v>
      </c>
      <c r="O3" s="31"/>
      <c r="P3" s="31"/>
      <c r="Q3" s="109"/>
      <c r="R3" s="109"/>
      <c r="S3" s="18"/>
      <c r="T3" s="18"/>
      <c r="U3" s="18"/>
      <c r="V3" s="18"/>
      <c r="W3" s="18"/>
      <c r="X3" s="18"/>
      <c r="Y3" s="18"/>
      <c r="Z3" s="18"/>
      <c r="AA3" s="18"/>
      <c r="AB3" s="18"/>
      <c r="AC3" s="18"/>
    </row>
    <row r="4">
      <c r="A4" s="61" t="s">
        <v>118</v>
      </c>
      <c r="B4" s="121" t="s">
        <v>166</v>
      </c>
      <c r="C4" s="35" t="s">
        <v>167</v>
      </c>
      <c r="D4" s="118" t="s">
        <v>24</v>
      </c>
      <c r="E4" s="15" t="s">
        <v>79</v>
      </c>
      <c r="F4" s="72">
        <v>45999.0</v>
      </c>
      <c r="G4" s="72">
        <v>45999.0</v>
      </c>
      <c r="H4" s="35"/>
      <c r="I4" s="13" t="s">
        <v>161</v>
      </c>
      <c r="J4" s="12" t="s">
        <v>34</v>
      </c>
      <c r="K4" s="35"/>
      <c r="L4" s="35"/>
      <c r="M4" s="35"/>
      <c r="N4" s="36" t="s">
        <v>168</v>
      </c>
      <c r="O4" s="35"/>
      <c r="P4" s="35"/>
      <c r="Q4" s="99"/>
      <c r="R4" s="99"/>
      <c r="S4" s="18"/>
      <c r="T4" s="18"/>
      <c r="U4" s="18"/>
      <c r="V4" s="18"/>
      <c r="W4" s="18"/>
      <c r="X4" s="18"/>
      <c r="Y4" s="18"/>
      <c r="Z4" s="18"/>
      <c r="AA4" s="18"/>
      <c r="AB4" s="18"/>
      <c r="AC4" s="18"/>
    </row>
    <row r="5">
      <c r="A5" s="46" t="s">
        <v>63</v>
      </c>
      <c r="B5" s="119" t="s">
        <v>163</v>
      </c>
      <c r="C5" s="31" t="s">
        <v>169</v>
      </c>
      <c r="D5" s="120" t="s">
        <v>24</v>
      </c>
      <c r="E5" s="30" t="s">
        <v>170</v>
      </c>
      <c r="F5" s="65">
        <v>45980.0</v>
      </c>
      <c r="G5" s="122"/>
      <c r="H5" s="31"/>
      <c r="I5" s="28" t="s">
        <v>161</v>
      </c>
      <c r="J5" s="27"/>
      <c r="K5" s="31"/>
      <c r="L5" s="31"/>
      <c r="M5" s="31"/>
      <c r="N5" s="31" t="s">
        <v>171</v>
      </c>
      <c r="O5" s="31"/>
      <c r="P5" s="31"/>
      <c r="Q5" s="109" t="s">
        <v>172</v>
      </c>
      <c r="R5" s="109" t="s">
        <v>173</v>
      </c>
      <c r="S5" s="18"/>
      <c r="T5" s="18"/>
      <c r="U5" s="18"/>
      <c r="V5" s="18"/>
      <c r="W5" s="18"/>
      <c r="X5" s="18"/>
      <c r="Y5" s="18"/>
      <c r="Z5" s="18"/>
      <c r="AA5" s="18"/>
      <c r="AB5" s="18"/>
      <c r="AC5" s="18"/>
    </row>
    <row r="6">
      <c r="A6" s="61" t="s">
        <v>63</v>
      </c>
      <c r="B6" s="121" t="s">
        <v>163</v>
      </c>
      <c r="C6" s="35" t="s">
        <v>174</v>
      </c>
      <c r="D6" s="118" t="s">
        <v>24</v>
      </c>
      <c r="E6" s="15" t="s">
        <v>170</v>
      </c>
      <c r="F6" s="79"/>
      <c r="G6" s="79"/>
      <c r="H6" s="35"/>
      <c r="I6" s="13" t="s">
        <v>161</v>
      </c>
      <c r="J6" s="12"/>
      <c r="K6" s="35"/>
      <c r="L6" s="35"/>
      <c r="M6" s="35"/>
      <c r="N6" s="35" t="s">
        <v>175</v>
      </c>
      <c r="O6" s="35"/>
      <c r="P6" s="35"/>
      <c r="Q6" s="99"/>
      <c r="R6" s="99"/>
      <c r="S6" s="18"/>
      <c r="T6" s="18"/>
      <c r="U6" s="18"/>
      <c r="V6" s="18"/>
      <c r="W6" s="18"/>
      <c r="X6" s="18"/>
      <c r="Y6" s="18"/>
      <c r="Z6" s="18"/>
      <c r="AA6" s="18"/>
      <c r="AB6" s="18"/>
      <c r="AC6" s="18"/>
    </row>
    <row r="7">
      <c r="A7" s="46" t="s">
        <v>63</v>
      </c>
      <c r="B7" s="119" t="s">
        <v>64</v>
      </c>
      <c r="C7" s="31" t="s">
        <v>176</v>
      </c>
      <c r="D7" s="120" t="s">
        <v>24</v>
      </c>
      <c r="E7" s="30" t="s">
        <v>177</v>
      </c>
      <c r="F7" s="65">
        <v>46006.0</v>
      </c>
      <c r="G7" s="65">
        <v>46008.0</v>
      </c>
      <c r="H7" s="31"/>
      <c r="I7" s="28" t="s">
        <v>161</v>
      </c>
      <c r="J7" s="27"/>
      <c r="K7" s="31"/>
      <c r="L7" s="31"/>
      <c r="M7" s="31"/>
      <c r="N7" s="31"/>
      <c r="O7" s="31"/>
      <c r="P7" s="31"/>
      <c r="Q7" s="109"/>
      <c r="R7" s="109"/>
      <c r="S7" s="18"/>
      <c r="T7" s="18"/>
      <c r="U7" s="18"/>
      <c r="V7" s="18"/>
      <c r="W7" s="18"/>
      <c r="X7" s="18"/>
      <c r="Y7" s="18"/>
      <c r="Z7" s="18"/>
      <c r="AA7" s="18"/>
      <c r="AB7" s="18"/>
      <c r="AC7" s="18"/>
    </row>
    <row r="8">
      <c r="A8" s="61" t="s">
        <v>63</v>
      </c>
      <c r="B8" s="121" t="s">
        <v>64</v>
      </c>
      <c r="C8" s="35" t="s">
        <v>178</v>
      </c>
      <c r="D8" s="118" t="s">
        <v>24</v>
      </c>
      <c r="E8" s="15" t="s">
        <v>170</v>
      </c>
      <c r="F8" s="72">
        <v>46006.0</v>
      </c>
      <c r="G8" s="72">
        <v>46014.0</v>
      </c>
      <c r="H8" s="35"/>
      <c r="I8" s="13" t="s">
        <v>161</v>
      </c>
      <c r="J8" s="12" t="s">
        <v>34</v>
      </c>
      <c r="K8" s="35"/>
      <c r="L8" s="35"/>
      <c r="M8" s="35"/>
      <c r="N8" s="35" t="s">
        <v>179</v>
      </c>
      <c r="O8" s="35"/>
      <c r="P8" s="35"/>
      <c r="Q8" s="99" t="s">
        <v>180</v>
      </c>
      <c r="R8" s="99"/>
      <c r="S8" s="99"/>
      <c r="T8" s="99"/>
      <c r="U8" s="99"/>
      <c r="V8" s="99"/>
      <c r="W8" s="99"/>
      <c r="X8" s="67"/>
      <c r="Y8" s="67"/>
      <c r="Z8" s="67"/>
      <c r="AA8" s="83"/>
      <c r="AB8" s="83"/>
      <c r="AC8" s="83"/>
    </row>
    <row r="9">
      <c r="A9" s="46" t="s">
        <v>63</v>
      </c>
      <c r="B9" s="119" t="s">
        <v>64</v>
      </c>
      <c r="C9" s="31" t="s">
        <v>181</v>
      </c>
      <c r="D9" s="120" t="s">
        <v>24</v>
      </c>
      <c r="E9" s="30" t="s">
        <v>79</v>
      </c>
      <c r="F9" s="65">
        <v>46006.0</v>
      </c>
      <c r="G9" s="65">
        <v>46010.0</v>
      </c>
      <c r="H9" s="65">
        <v>46014.0</v>
      </c>
      <c r="I9" s="28" t="s">
        <v>161</v>
      </c>
      <c r="J9" s="27" t="s">
        <v>34</v>
      </c>
      <c r="K9" s="31"/>
      <c r="L9" s="31"/>
      <c r="M9" s="31"/>
      <c r="N9" s="31" t="s">
        <v>182</v>
      </c>
      <c r="O9" s="31"/>
      <c r="P9" s="31"/>
      <c r="Q9" s="109"/>
      <c r="R9" s="109"/>
      <c r="S9" s="123"/>
      <c r="T9" s="123"/>
      <c r="U9" s="123"/>
      <c r="V9" s="123"/>
      <c r="W9" s="123"/>
      <c r="X9" s="18"/>
      <c r="Y9" s="18"/>
      <c r="Z9" s="18"/>
      <c r="AA9" s="18"/>
      <c r="AB9" s="18"/>
      <c r="AC9" s="18"/>
    </row>
    <row r="10">
      <c r="A10" s="61" t="s">
        <v>21</v>
      </c>
      <c r="B10" s="33" t="s">
        <v>22</v>
      </c>
      <c r="C10" s="35" t="s">
        <v>183</v>
      </c>
      <c r="D10" s="118" t="s">
        <v>24</v>
      </c>
      <c r="E10" s="15" t="s">
        <v>25</v>
      </c>
      <c r="F10" s="72">
        <v>46006.0</v>
      </c>
      <c r="G10" s="72">
        <v>46008.0</v>
      </c>
      <c r="H10" s="35"/>
      <c r="I10" s="13" t="s">
        <v>161</v>
      </c>
      <c r="J10" s="12" t="s">
        <v>34</v>
      </c>
      <c r="K10" s="86">
        <v>20.0</v>
      </c>
      <c r="L10" s="35"/>
      <c r="M10" s="35"/>
      <c r="N10" s="35"/>
      <c r="O10" s="35"/>
      <c r="P10" s="35"/>
      <c r="Q10" s="99"/>
      <c r="R10" s="99"/>
      <c r="S10" s="124"/>
      <c r="T10" s="124"/>
      <c r="U10" s="124"/>
      <c r="V10" s="124"/>
      <c r="W10" s="124"/>
      <c r="X10" s="18"/>
      <c r="Y10" s="18"/>
      <c r="Z10" s="18"/>
      <c r="AA10" s="18"/>
      <c r="AB10" s="18"/>
      <c r="AC10" s="18"/>
    </row>
    <row r="11">
      <c r="A11" s="46" t="s">
        <v>184</v>
      </c>
      <c r="B11" s="47" t="s">
        <v>163</v>
      </c>
      <c r="C11" s="125" t="s">
        <v>185</v>
      </c>
      <c r="D11" s="28" t="s">
        <v>186</v>
      </c>
      <c r="E11" s="30" t="s">
        <v>79</v>
      </c>
      <c r="F11" s="26">
        <v>46015.0</v>
      </c>
      <c r="G11" s="26">
        <v>46028.0</v>
      </c>
      <c r="H11" s="65">
        <v>46022.0</v>
      </c>
      <c r="I11" s="28" t="s">
        <v>161</v>
      </c>
      <c r="J11" s="27" t="s">
        <v>34</v>
      </c>
      <c r="K11" s="80"/>
      <c r="L11" s="31"/>
      <c r="M11" s="31"/>
      <c r="N11" s="32" t="s">
        <v>187</v>
      </c>
      <c r="O11" s="31"/>
      <c r="P11" s="109"/>
      <c r="Q11" s="126" t="s">
        <v>172</v>
      </c>
      <c r="R11" s="109"/>
      <c r="S11" s="123"/>
      <c r="T11" s="123"/>
      <c r="U11" s="123"/>
      <c r="V11" s="123"/>
      <c r="W11" s="123"/>
      <c r="X11" s="18"/>
      <c r="Y11" s="18"/>
      <c r="Z11" s="18"/>
      <c r="AA11" s="18"/>
      <c r="AB11" s="18"/>
      <c r="AC11" s="18"/>
    </row>
    <row r="12">
      <c r="A12" s="61" t="s">
        <v>63</v>
      </c>
      <c r="B12" s="43" t="s">
        <v>64</v>
      </c>
      <c r="C12" s="35" t="s">
        <v>188</v>
      </c>
      <c r="D12" s="118" t="s">
        <v>24</v>
      </c>
      <c r="E12" s="15" t="s">
        <v>170</v>
      </c>
      <c r="F12" s="72">
        <v>46001.0</v>
      </c>
      <c r="G12" s="72">
        <v>46002.0</v>
      </c>
      <c r="H12" s="35"/>
      <c r="I12" s="12" t="s">
        <v>44</v>
      </c>
      <c r="J12" s="12"/>
      <c r="K12" s="35"/>
      <c r="L12" s="35"/>
      <c r="M12" s="35"/>
      <c r="N12" s="35" t="s">
        <v>189</v>
      </c>
      <c r="O12" s="35"/>
      <c r="P12" s="35"/>
      <c r="Q12" s="99"/>
      <c r="R12" s="99"/>
      <c r="S12" s="99"/>
      <c r="T12" s="124"/>
      <c r="U12" s="124"/>
      <c r="V12" s="124"/>
      <c r="W12" s="124"/>
      <c r="X12" s="18"/>
      <c r="Y12" s="18"/>
      <c r="Z12" s="18"/>
      <c r="AA12" s="18"/>
      <c r="AB12" s="18"/>
      <c r="AC12" s="18"/>
    </row>
    <row r="13">
      <c r="A13" s="46" t="s">
        <v>21</v>
      </c>
      <c r="B13" s="22" t="s">
        <v>22</v>
      </c>
      <c r="C13" s="31" t="s">
        <v>190</v>
      </c>
      <c r="D13" s="80" t="s">
        <v>24</v>
      </c>
      <c r="E13" s="30" t="s">
        <v>25</v>
      </c>
      <c r="F13" s="122"/>
      <c r="G13" s="122"/>
      <c r="H13" s="31"/>
      <c r="I13" s="28" t="s">
        <v>161</v>
      </c>
      <c r="J13" s="27" t="s">
        <v>34</v>
      </c>
      <c r="K13" s="31"/>
      <c r="L13" s="31"/>
      <c r="M13" s="31"/>
      <c r="N13" s="32" t="s">
        <v>191</v>
      </c>
      <c r="O13" s="31"/>
      <c r="P13" s="31"/>
      <c r="Q13" s="31"/>
      <c r="R13" s="31"/>
      <c r="S13" s="31"/>
      <c r="T13" s="123"/>
      <c r="U13" s="123"/>
      <c r="V13" s="123"/>
      <c r="W13" s="123"/>
      <c r="X13" s="18"/>
      <c r="Y13" s="18"/>
      <c r="Z13" s="18"/>
      <c r="AA13" s="18"/>
      <c r="AB13" s="18"/>
      <c r="AC13" s="18"/>
    </row>
    <row r="14">
      <c r="A14" s="61" t="s">
        <v>118</v>
      </c>
      <c r="B14" s="119" t="s">
        <v>119</v>
      </c>
      <c r="C14" s="31" t="s">
        <v>192</v>
      </c>
      <c r="D14" s="86" t="s">
        <v>24</v>
      </c>
      <c r="E14" s="30" t="s">
        <v>79</v>
      </c>
      <c r="F14" s="65">
        <v>45994.0</v>
      </c>
      <c r="G14" s="65">
        <v>46043.0</v>
      </c>
      <c r="H14" s="31"/>
      <c r="I14" s="13" t="s">
        <v>161</v>
      </c>
      <c r="J14" s="12" t="s">
        <v>34</v>
      </c>
      <c r="K14" s="80">
        <v>50.0</v>
      </c>
      <c r="L14" s="31"/>
      <c r="M14" s="31"/>
      <c r="N14" s="32" t="s">
        <v>193</v>
      </c>
      <c r="O14" s="35"/>
      <c r="P14" s="31"/>
      <c r="Q14" s="31" t="s">
        <v>194</v>
      </c>
      <c r="R14" s="31"/>
      <c r="S14" s="31"/>
      <c r="T14" s="99"/>
      <c r="U14" s="99"/>
      <c r="V14" s="99"/>
      <c r="W14" s="99"/>
      <c r="X14" s="67"/>
      <c r="Y14" s="67"/>
      <c r="Z14" s="67"/>
      <c r="AA14" s="18"/>
      <c r="AB14" s="18"/>
      <c r="AC14" s="18"/>
    </row>
    <row r="15">
      <c r="A15" s="46" t="s">
        <v>118</v>
      </c>
      <c r="B15" s="121" t="s">
        <v>119</v>
      </c>
      <c r="C15" s="35" t="s">
        <v>195</v>
      </c>
      <c r="D15" s="80" t="s">
        <v>24</v>
      </c>
      <c r="E15" s="15" t="s">
        <v>79</v>
      </c>
      <c r="F15" s="72">
        <v>46001.0</v>
      </c>
      <c r="G15" s="72">
        <v>46041.0</v>
      </c>
      <c r="H15" s="35"/>
      <c r="I15" s="28" t="s">
        <v>161</v>
      </c>
      <c r="J15" s="27" t="s">
        <v>34</v>
      </c>
      <c r="K15" s="86">
        <v>10.0</v>
      </c>
      <c r="L15" s="35"/>
      <c r="M15" s="35"/>
      <c r="N15" s="36" t="s">
        <v>196</v>
      </c>
      <c r="O15" s="31"/>
      <c r="P15" s="35"/>
      <c r="Q15" s="35"/>
      <c r="R15" s="35"/>
      <c r="S15" s="35"/>
      <c r="T15" s="109"/>
      <c r="U15" s="109"/>
      <c r="V15" s="109"/>
      <c r="W15" s="109"/>
      <c r="X15" s="67"/>
      <c r="Y15" s="67"/>
      <c r="Z15" s="67"/>
      <c r="AA15" s="18"/>
      <c r="AB15" s="18"/>
      <c r="AC15" s="18"/>
    </row>
    <row r="16">
      <c r="A16" s="61" t="s">
        <v>118</v>
      </c>
      <c r="B16" s="119" t="s">
        <v>166</v>
      </c>
      <c r="C16" s="31" t="s">
        <v>197</v>
      </c>
      <c r="D16" s="86" t="s">
        <v>24</v>
      </c>
      <c r="E16" s="30" t="s">
        <v>25</v>
      </c>
      <c r="F16" s="65">
        <v>46008.0</v>
      </c>
      <c r="G16" s="65">
        <v>46041.0</v>
      </c>
      <c r="H16" s="65">
        <v>46014.0</v>
      </c>
      <c r="I16" s="13" t="s">
        <v>161</v>
      </c>
      <c r="J16" s="12" t="s">
        <v>34</v>
      </c>
      <c r="K16" s="80">
        <v>10.0</v>
      </c>
      <c r="L16" s="31"/>
      <c r="M16" s="31"/>
      <c r="N16" s="32" t="s">
        <v>196</v>
      </c>
      <c r="O16" s="35"/>
      <c r="P16" s="31"/>
      <c r="Q16" s="31"/>
      <c r="R16" s="31"/>
      <c r="S16" s="31"/>
      <c r="T16" s="99"/>
      <c r="U16" s="99"/>
      <c r="V16" s="99"/>
      <c r="W16" s="99"/>
      <c r="X16" s="67"/>
      <c r="Y16" s="67"/>
      <c r="Z16" s="67"/>
      <c r="AA16" s="18"/>
      <c r="AB16" s="18"/>
      <c r="AC16" s="18"/>
    </row>
    <row r="17">
      <c r="A17" s="46" t="s">
        <v>118</v>
      </c>
      <c r="B17" s="121" t="s">
        <v>119</v>
      </c>
      <c r="C17" s="35" t="s">
        <v>198</v>
      </c>
      <c r="D17" s="80" t="s">
        <v>24</v>
      </c>
      <c r="E17" s="15" t="s">
        <v>79</v>
      </c>
      <c r="F17" s="72">
        <v>46027.0</v>
      </c>
      <c r="G17" s="72">
        <v>46041.0</v>
      </c>
      <c r="H17" s="35"/>
      <c r="I17" s="28" t="s">
        <v>161</v>
      </c>
      <c r="J17" s="27" t="s">
        <v>34</v>
      </c>
      <c r="K17" s="86">
        <v>30.0</v>
      </c>
      <c r="L17" s="35"/>
      <c r="M17" s="35"/>
      <c r="N17" s="35" t="s">
        <v>199</v>
      </c>
      <c r="O17" s="37"/>
      <c r="P17" s="35"/>
      <c r="Q17" s="35"/>
      <c r="R17" s="35"/>
      <c r="S17" s="35"/>
      <c r="T17" s="109"/>
      <c r="U17" s="109"/>
      <c r="V17" s="109"/>
      <c r="W17" s="109"/>
      <c r="X17" s="67"/>
      <c r="Y17" s="67"/>
      <c r="Z17" s="67"/>
      <c r="AA17" s="18"/>
      <c r="AB17" s="18"/>
      <c r="AC17" s="18"/>
    </row>
    <row r="18">
      <c r="A18" s="61" t="s">
        <v>118</v>
      </c>
      <c r="B18" s="119" t="s">
        <v>119</v>
      </c>
      <c r="C18" s="31" t="s">
        <v>200</v>
      </c>
      <c r="D18" s="86" t="s">
        <v>24</v>
      </c>
      <c r="E18" s="30" t="s">
        <v>79</v>
      </c>
      <c r="F18" s="65">
        <v>46031.0</v>
      </c>
      <c r="G18" s="65">
        <v>46041.0</v>
      </c>
      <c r="H18" s="65">
        <v>46034.0</v>
      </c>
      <c r="I18" s="13" t="s">
        <v>161</v>
      </c>
      <c r="J18" s="12" t="s">
        <v>34</v>
      </c>
      <c r="K18" s="31"/>
      <c r="L18" s="31"/>
      <c r="M18" s="31"/>
      <c r="N18" s="31"/>
      <c r="O18" s="16"/>
      <c r="P18" s="31"/>
      <c r="Q18" s="31"/>
      <c r="R18" s="31"/>
      <c r="S18" s="31"/>
      <c r="T18" s="99"/>
      <c r="U18" s="99"/>
      <c r="V18" s="99"/>
      <c r="W18" s="99"/>
      <c r="X18" s="67"/>
      <c r="Y18" s="67"/>
      <c r="Z18" s="67"/>
      <c r="AA18" s="18"/>
      <c r="AB18" s="18"/>
      <c r="AC18" s="18"/>
    </row>
    <row r="19">
      <c r="A19" s="46" t="s">
        <v>118</v>
      </c>
      <c r="B19" s="121" t="s">
        <v>201</v>
      </c>
      <c r="C19" s="35" t="s">
        <v>202</v>
      </c>
      <c r="D19" s="80" t="s">
        <v>24</v>
      </c>
      <c r="E19" s="15" t="s">
        <v>79</v>
      </c>
      <c r="F19" s="72">
        <v>46041.0</v>
      </c>
      <c r="G19" s="72">
        <v>46043.0</v>
      </c>
      <c r="H19" s="35"/>
      <c r="I19" s="28" t="s">
        <v>161</v>
      </c>
      <c r="J19" s="27" t="s">
        <v>34</v>
      </c>
      <c r="K19" s="35"/>
      <c r="L19" s="35"/>
      <c r="M19" s="35"/>
      <c r="N19" s="36" t="s">
        <v>193</v>
      </c>
      <c r="O19" s="37"/>
      <c r="P19" s="35"/>
      <c r="Q19" s="35"/>
      <c r="R19" s="35"/>
      <c r="S19" s="35"/>
      <c r="T19" s="109"/>
      <c r="U19" s="109"/>
      <c r="V19" s="109"/>
      <c r="W19" s="109"/>
      <c r="X19" s="67"/>
      <c r="Y19" s="67"/>
      <c r="Z19" s="67"/>
      <c r="AA19" s="18"/>
      <c r="AB19" s="18"/>
      <c r="AC19" s="18"/>
    </row>
    <row r="20">
      <c r="A20" s="61" t="s">
        <v>118</v>
      </c>
      <c r="B20" s="119" t="s">
        <v>201</v>
      </c>
      <c r="C20" s="31" t="s">
        <v>203</v>
      </c>
      <c r="D20" s="86" t="s">
        <v>24</v>
      </c>
      <c r="E20" s="30" t="s">
        <v>79</v>
      </c>
      <c r="F20" s="65">
        <v>46051.0</v>
      </c>
      <c r="G20" s="65">
        <v>46055.0</v>
      </c>
      <c r="H20" s="65">
        <v>46055.0</v>
      </c>
      <c r="I20" s="13" t="s">
        <v>161</v>
      </c>
      <c r="J20" s="12" t="s">
        <v>34</v>
      </c>
      <c r="K20" s="31"/>
      <c r="L20" s="31"/>
      <c r="M20" s="31"/>
      <c r="N20" s="32" t="s">
        <v>204</v>
      </c>
      <c r="O20" s="35"/>
      <c r="P20" s="31"/>
      <c r="Q20" s="31"/>
      <c r="R20" s="31"/>
      <c r="S20" s="31"/>
      <c r="T20" s="99"/>
      <c r="U20" s="99"/>
      <c r="V20" s="99"/>
      <c r="W20" s="99"/>
      <c r="X20" s="67"/>
      <c r="Y20" s="67"/>
      <c r="Z20" s="67"/>
      <c r="AA20" s="18"/>
      <c r="AB20" s="18"/>
      <c r="AC20" s="18"/>
    </row>
    <row r="21">
      <c r="A21" s="21" t="s">
        <v>63</v>
      </c>
      <c r="B21" s="119" t="s">
        <v>64</v>
      </c>
      <c r="C21" s="32" t="s">
        <v>205</v>
      </c>
      <c r="D21" s="80" t="s">
        <v>24</v>
      </c>
      <c r="E21" s="30" t="s">
        <v>79</v>
      </c>
      <c r="F21" s="26">
        <v>46057.0</v>
      </c>
      <c r="G21" s="26">
        <v>46058.0</v>
      </c>
      <c r="H21" s="26">
        <v>46058.0</v>
      </c>
      <c r="I21" s="28" t="s">
        <v>161</v>
      </c>
      <c r="J21" s="27" t="s">
        <v>34</v>
      </c>
      <c r="K21" s="89"/>
      <c r="L21" s="31"/>
      <c r="M21" s="31"/>
      <c r="N21" s="32" t="s">
        <v>206</v>
      </c>
      <c r="O21" s="31"/>
      <c r="P21" s="31"/>
      <c r="Q21" s="31"/>
      <c r="R21" s="31"/>
      <c r="S21" s="31"/>
      <c r="T21" s="123"/>
      <c r="U21" s="123"/>
      <c r="V21" s="123"/>
      <c r="W21" s="123"/>
      <c r="X21" s="18"/>
      <c r="Y21" s="18"/>
      <c r="Z21" s="18"/>
      <c r="AA21" s="18"/>
      <c r="AB21" s="18"/>
      <c r="AC21" s="18"/>
    </row>
    <row r="22">
      <c r="A22" s="61" t="s">
        <v>118</v>
      </c>
      <c r="B22" s="121" t="s">
        <v>119</v>
      </c>
      <c r="C22" s="35" t="s">
        <v>207</v>
      </c>
      <c r="D22" s="86" t="s">
        <v>24</v>
      </c>
      <c r="E22" s="15" t="s">
        <v>79</v>
      </c>
      <c r="F22" s="72">
        <v>45982.0</v>
      </c>
      <c r="G22" s="11">
        <v>46043.0</v>
      </c>
      <c r="H22" s="72">
        <v>45992.0</v>
      </c>
      <c r="I22" s="13" t="s">
        <v>161</v>
      </c>
      <c r="J22" s="12" t="s">
        <v>34</v>
      </c>
      <c r="K22" s="86">
        <v>70.0</v>
      </c>
      <c r="L22" s="15"/>
      <c r="M22" s="15">
        <v>20.0</v>
      </c>
      <c r="N22" s="36" t="s">
        <v>208</v>
      </c>
      <c r="O22" s="35"/>
      <c r="P22" s="35"/>
      <c r="Q22" s="35"/>
      <c r="R22" s="35"/>
      <c r="S22" s="35"/>
      <c r="T22" s="124"/>
      <c r="U22" s="124"/>
      <c r="V22" s="124"/>
      <c r="W22" s="124"/>
      <c r="X22" s="18"/>
      <c r="Y22" s="18"/>
      <c r="Z22" s="18"/>
      <c r="AA22" s="18"/>
      <c r="AB22" s="18"/>
      <c r="AC22" s="18"/>
    </row>
    <row r="23">
      <c r="A23" s="46" t="s">
        <v>21</v>
      </c>
      <c r="B23" s="22" t="s">
        <v>22</v>
      </c>
      <c r="C23" s="31" t="s">
        <v>209</v>
      </c>
      <c r="D23" s="80" t="s">
        <v>24</v>
      </c>
      <c r="E23" s="30" t="s">
        <v>25</v>
      </c>
      <c r="F23" s="122"/>
      <c r="G23" s="122"/>
      <c r="H23" s="31"/>
      <c r="I23" s="28" t="s">
        <v>161</v>
      </c>
      <c r="J23" s="27" t="s">
        <v>34</v>
      </c>
      <c r="K23" s="31"/>
      <c r="L23" s="31"/>
      <c r="M23" s="31"/>
      <c r="N23" s="32"/>
      <c r="O23" s="31"/>
      <c r="P23" s="31"/>
      <c r="Q23" s="31"/>
      <c r="R23" s="31"/>
      <c r="S23" s="31"/>
      <c r="T23" s="123"/>
      <c r="U23" s="123"/>
      <c r="V23" s="123"/>
      <c r="W23" s="123"/>
      <c r="X23" s="18"/>
      <c r="Y23" s="18"/>
      <c r="Z23" s="18"/>
      <c r="AA23" s="18"/>
      <c r="AB23" s="18"/>
      <c r="AC23" s="18"/>
    </row>
    <row r="24">
      <c r="A24" s="6" t="s">
        <v>63</v>
      </c>
      <c r="B24" s="121" t="s">
        <v>64</v>
      </c>
      <c r="C24" s="35" t="s">
        <v>210</v>
      </c>
      <c r="D24" s="86" t="s">
        <v>24</v>
      </c>
      <c r="E24" s="15" t="s">
        <v>79</v>
      </c>
      <c r="F24" s="72">
        <v>45993.0</v>
      </c>
      <c r="G24" s="72">
        <v>46002.0</v>
      </c>
      <c r="H24" s="35"/>
      <c r="I24" s="13" t="s">
        <v>211</v>
      </c>
      <c r="J24" s="12" t="s">
        <v>27</v>
      </c>
      <c r="K24" s="86">
        <v>30.0</v>
      </c>
      <c r="L24" s="35"/>
      <c r="M24" s="35"/>
      <c r="N24" s="36" t="s">
        <v>212</v>
      </c>
      <c r="O24" s="35"/>
      <c r="P24" s="127" t="s">
        <v>213</v>
      </c>
      <c r="Q24" s="35" t="s">
        <v>210</v>
      </c>
      <c r="R24" s="35" t="s">
        <v>214</v>
      </c>
      <c r="S24" s="35"/>
      <c r="T24" s="124"/>
      <c r="U24" s="124"/>
      <c r="V24" s="124"/>
      <c r="W24" s="124"/>
      <c r="X24" s="18"/>
      <c r="Y24" s="18"/>
      <c r="Z24" s="18"/>
      <c r="AA24" s="18"/>
      <c r="AB24" s="18"/>
      <c r="AC24" s="18"/>
    </row>
    <row r="25">
      <c r="A25" s="21" t="s">
        <v>63</v>
      </c>
      <c r="B25" s="119" t="s">
        <v>64</v>
      </c>
      <c r="C25" s="32" t="s">
        <v>215</v>
      </c>
      <c r="D25" s="80" t="s">
        <v>24</v>
      </c>
      <c r="E25" s="30" t="s">
        <v>79</v>
      </c>
      <c r="F25" s="26">
        <v>46058.0</v>
      </c>
      <c r="G25" s="26">
        <v>46065.0</v>
      </c>
      <c r="H25" s="31"/>
      <c r="I25" s="28" t="s">
        <v>161</v>
      </c>
      <c r="J25" s="27" t="s">
        <v>34</v>
      </c>
      <c r="K25" s="80"/>
      <c r="L25" s="31"/>
      <c r="M25" s="31"/>
      <c r="N25" s="32" t="s">
        <v>216</v>
      </c>
      <c r="O25" s="37"/>
      <c r="P25" s="31"/>
      <c r="Q25" s="32" t="s">
        <v>217</v>
      </c>
      <c r="R25" s="31"/>
      <c r="S25" s="31"/>
      <c r="T25" s="123"/>
      <c r="U25" s="123"/>
      <c r="V25" s="123"/>
      <c r="W25" s="123"/>
      <c r="X25" s="18"/>
      <c r="Y25" s="18"/>
      <c r="Z25" s="18"/>
      <c r="AA25" s="18"/>
      <c r="AB25" s="18"/>
      <c r="AC25" s="18"/>
    </row>
    <row r="26">
      <c r="A26" s="61" t="s">
        <v>21</v>
      </c>
      <c r="B26" s="33" t="s">
        <v>22</v>
      </c>
      <c r="C26" s="36" t="s">
        <v>218</v>
      </c>
      <c r="D26" s="86" t="s">
        <v>24</v>
      </c>
      <c r="E26" s="15" t="s">
        <v>25</v>
      </c>
      <c r="F26" s="11">
        <v>46058.0</v>
      </c>
      <c r="G26" s="11">
        <v>46065.0</v>
      </c>
      <c r="H26" s="35"/>
      <c r="I26" s="13" t="s">
        <v>161</v>
      </c>
      <c r="J26" s="12" t="s">
        <v>34</v>
      </c>
      <c r="K26" s="86"/>
      <c r="L26" s="35"/>
      <c r="M26" s="35"/>
      <c r="N26" s="36" t="s">
        <v>219</v>
      </c>
      <c r="O26" s="35"/>
      <c r="P26" s="35"/>
      <c r="Q26" s="36" t="s">
        <v>220</v>
      </c>
      <c r="R26" s="35"/>
      <c r="S26" s="35"/>
      <c r="T26" s="124"/>
      <c r="U26" s="124"/>
      <c r="V26" s="124"/>
      <c r="W26" s="124"/>
      <c r="X26" s="18"/>
      <c r="Y26" s="18"/>
      <c r="Z26" s="18"/>
      <c r="AA26" s="18"/>
      <c r="AB26" s="18"/>
      <c r="AC26" s="18"/>
    </row>
    <row r="27">
      <c r="A27" s="46" t="s">
        <v>21</v>
      </c>
      <c r="B27" s="22" t="s">
        <v>22</v>
      </c>
      <c r="C27" s="32" t="s">
        <v>221</v>
      </c>
      <c r="D27" s="80" t="s">
        <v>24</v>
      </c>
      <c r="E27" s="40"/>
      <c r="F27" s="26">
        <v>46069.0</v>
      </c>
      <c r="G27" s="26">
        <v>46069.0</v>
      </c>
      <c r="H27" s="26">
        <v>46073.0</v>
      </c>
      <c r="I27" s="28" t="s">
        <v>161</v>
      </c>
      <c r="J27" s="27" t="s">
        <v>34</v>
      </c>
      <c r="K27" s="80"/>
      <c r="L27" s="31"/>
      <c r="M27" s="31"/>
      <c r="N27" s="32" t="s">
        <v>222</v>
      </c>
      <c r="O27" s="31"/>
      <c r="P27" s="31"/>
      <c r="Q27" s="32"/>
      <c r="R27" s="31"/>
      <c r="S27" s="31"/>
      <c r="T27" s="123"/>
      <c r="U27" s="123"/>
      <c r="V27" s="123"/>
      <c r="W27" s="123"/>
      <c r="X27" s="18"/>
      <c r="Y27" s="18"/>
      <c r="Z27" s="18"/>
      <c r="AA27" s="18"/>
      <c r="AB27" s="18"/>
      <c r="AC27" s="18"/>
    </row>
    <row r="28">
      <c r="A28" s="61" t="s">
        <v>21</v>
      </c>
      <c r="B28" s="33" t="s">
        <v>22</v>
      </c>
      <c r="C28" s="36" t="s">
        <v>223</v>
      </c>
      <c r="D28" s="86" t="s">
        <v>24</v>
      </c>
      <c r="E28" s="45" t="s">
        <v>33</v>
      </c>
      <c r="F28" s="11">
        <v>46065.0</v>
      </c>
      <c r="G28" s="11">
        <v>46066.0</v>
      </c>
      <c r="H28" s="11">
        <v>46072.0</v>
      </c>
      <c r="I28" s="13" t="s">
        <v>161</v>
      </c>
      <c r="J28" s="12" t="s">
        <v>34</v>
      </c>
      <c r="K28" s="86"/>
      <c r="L28" s="35"/>
      <c r="M28" s="35"/>
      <c r="N28" s="36" t="s">
        <v>224</v>
      </c>
      <c r="O28" s="128"/>
      <c r="P28" s="35"/>
      <c r="Q28" s="36" t="s">
        <v>225</v>
      </c>
      <c r="R28" s="35"/>
      <c r="S28" s="35"/>
      <c r="T28" s="124"/>
      <c r="U28" s="124"/>
      <c r="V28" s="124"/>
      <c r="W28" s="124"/>
      <c r="X28" s="18"/>
      <c r="Y28" s="18"/>
      <c r="Z28" s="18"/>
      <c r="AA28" s="18"/>
      <c r="AB28" s="18"/>
      <c r="AC28" s="18"/>
    </row>
    <row r="29">
      <c r="A29" s="21" t="s">
        <v>63</v>
      </c>
      <c r="B29" s="119" t="s">
        <v>64</v>
      </c>
      <c r="C29" s="32" t="s">
        <v>226</v>
      </c>
      <c r="D29" s="80" t="s">
        <v>24</v>
      </c>
      <c r="E29" s="30"/>
      <c r="F29" s="26">
        <v>46071.0</v>
      </c>
      <c r="G29" s="26">
        <v>46072.0</v>
      </c>
      <c r="H29" s="26">
        <v>46080.0</v>
      </c>
      <c r="I29" s="28" t="s">
        <v>161</v>
      </c>
      <c r="J29" s="27" t="s">
        <v>27</v>
      </c>
      <c r="K29" s="89"/>
      <c r="L29" s="31"/>
      <c r="M29" s="31"/>
      <c r="N29" s="32" t="s">
        <v>227</v>
      </c>
      <c r="O29" s="31"/>
      <c r="P29" s="31"/>
      <c r="Q29" s="32" t="s">
        <v>228</v>
      </c>
      <c r="R29" s="31"/>
      <c r="S29" s="31"/>
      <c r="T29" s="123"/>
      <c r="U29" s="123"/>
      <c r="V29" s="123"/>
      <c r="W29" s="123"/>
      <c r="X29" s="18"/>
      <c r="Y29" s="18"/>
      <c r="Z29" s="18"/>
      <c r="AA29" s="18"/>
      <c r="AB29" s="18"/>
      <c r="AC29" s="18"/>
    </row>
    <row r="30">
      <c r="A30" s="129" t="s">
        <v>21</v>
      </c>
      <c r="B30" s="130" t="s">
        <v>22</v>
      </c>
      <c r="C30" s="131" t="s">
        <v>229</v>
      </c>
      <c r="D30" s="132" t="s">
        <v>24</v>
      </c>
      <c r="E30" s="133" t="s">
        <v>25</v>
      </c>
      <c r="F30" s="134">
        <v>46070.0</v>
      </c>
      <c r="G30" s="134">
        <v>46070.0</v>
      </c>
      <c r="H30" s="134">
        <v>46073.0</v>
      </c>
      <c r="I30" s="135" t="s">
        <v>161</v>
      </c>
      <c r="J30" s="136" t="s">
        <v>34</v>
      </c>
      <c r="K30" s="137"/>
      <c r="L30" s="138"/>
      <c r="M30" s="138"/>
      <c r="N30" s="131" t="s">
        <v>230</v>
      </c>
      <c r="O30" s="18"/>
      <c r="P30" s="138"/>
      <c r="Q30" s="131" t="s">
        <v>220</v>
      </c>
      <c r="R30" s="138"/>
      <c r="S30" s="138"/>
      <c r="T30" s="18"/>
      <c r="U30" s="18"/>
      <c r="V30" s="18"/>
      <c r="W30" s="18"/>
      <c r="X30" s="18"/>
      <c r="Y30" s="18"/>
      <c r="Z30" s="18"/>
      <c r="AA30" s="18"/>
      <c r="AB30" s="18"/>
      <c r="AC30" s="18"/>
    </row>
    <row r="31">
      <c r="A31" s="129" t="s">
        <v>63</v>
      </c>
      <c r="B31" s="139" t="s">
        <v>64</v>
      </c>
      <c r="C31" s="138" t="s">
        <v>231</v>
      </c>
      <c r="D31" s="132" t="s">
        <v>24</v>
      </c>
      <c r="E31" s="140" t="s">
        <v>232</v>
      </c>
      <c r="F31" s="141">
        <v>45975.0</v>
      </c>
      <c r="G31" s="141">
        <v>46021.0</v>
      </c>
      <c r="H31" s="142"/>
      <c r="I31" s="135" t="s">
        <v>161</v>
      </c>
      <c r="J31" s="136" t="s">
        <v>34</v>
      </c>
      <c r="K31" s="143">
        <v>30.0</v>
      </c>
      <c r="L31" s="142"/>
      <c r="M31" s="142"/>
      <c r="N31" s="144" t="s">
        <v>233</v>
      </c>
      <c r="O31" s="18"/>
      <c r="P31" s="142"/>
      <c r="Q31" s="142"/>
      <c r="R31" s="140" t="s">
        <v>234</v>
      </c>
      <c r="S31" s="145" t="s">
        <v>235</v>
      </c>
      <c r="T31" s="18"/>
      <c r="U31" s="18"/>
      <c r="V31" s="18"/>
      <c r="W31" s="18"/>
      <c r="X31" s="18"/>
      <c r="Y31" s="18"/>
      <c r="Z31" s="18"/>
      <c r="AA31" s="18"/>
      <c r="AB31" s="18"/>
      <c r="AC31" s="18"/>
    </row>
    <row r="32">
      <c r="A32" s="129" t="s">
        <v>118</v>
      </c>
      <c r="B32" s="146" t="s">
        <v>119</v>
      </c>
      <c r="C32" s="147" t="s">
        <v>236</v>
      </c>
      <c r="D32" s="148" t="s">
        <v>24</v>
      </c>
      <c r="E32" s="149" t="s">
        <v>25</v>
      </c>
      <c r="F32" s="150">
        <v>46034.0</v>
      </c>
      <c r="G32" s="150">
        <v>46035.0</v>
      </c>
      <c r="H32" s="150">
        <v>46035.0</v>
      </c>
      <c r="I32" s="135" t="s">
        <v>161</v>
      </c>
      <c r="J32" s="136" t="s">
        <v>34</v>
      </c>
      <c r="K32" s="151">
        <v>6.0</v>
      </c>
      <c r="L32" s="147"/>
      <c r="M32" s="147"/>
      <c r="N32" s="147" t="s">
        <v>237</v>
      </c>
      <c r="O32" s="18"/>
      <c r="P32" s="147"/>
      <c r="Q32" s="147"/>
      <c r="R32" s="147"/>
      <c r="S32" s="147"/>
      <c r="T32" s="83"/>
      <c r="U32" s="83"/>
      <c r="V32" s="83"/>
      <c r="W32" s="83"/>
      <c r="X32" s="83"/>
      <c r="Y32" s="83"/>
      <c r="Z32" s="83"/>
      <c r="AA32" s="83"/>
      <c r="AB32" s="83"/>
      <c r="AC32" s="83"/>
    </row>
    <row r="33">
      <c r="A33" s="129" t="s">
        <v>118</v>
      </c>
      <c r="B33" s="152" t="s">
        <v>119</v>
      </c>
      <c r="C33" s="153" t="s">
        <v>238</v>
      </c>
      <c r="D33" s="148" t="s">
        <v>24</v>
      </c>
      <c r="E33" s="153"/>
      <c r="F33" s="154">
        <v>46078.0</v>
      </c>
      <c r="G33" s="154">
        <v>46078.0</v>
      </c>
      <c r="H33" s="154">
        <v>46080.0</v>
      </c>
      <c r="I33" s="135" t="s">
        <v>161</v>
      </c>
      <c r="J33" s="136" t="s">
        <v>34</v>
      </c>
      <c r="K33" s="153"/>
      <c r="L33" s="153"/>
      <c r="M33" s="153"/>
      <c r="N33" s="153" t="s">
        <v>239</v>
      </c>
      <c r="O33" s="18"/>
      <c r="P33" s="153"/>
      <c r="Q33" s="153"/>
      <c r="R33" s="153"/>
      <c r="S33" s="153"/>
      <c r="T33" s="155"/>
      <c r="U33" s="155"/>
      <c r="V33" s="155"/>
      <c r="W33" s="155"/>
      <c r="X33" s="155"/>
      <c r="Y33" s="155"/>
      <c r="Z33" s="155"/>
      <c r="AA33" s="155"/>
      <c r="AB33" s="155"/>
      <c r="AC33" s="155"/>
    </row>
    <row r="34">
      <c r="A34" s="129" t="s">
        <v>118</v>
      </c>
      <c r="B34" s="146" t="s">
        <v>119</v>
      </c>
      <c r="C34" s="147" t="s">
        <v>240</v>
      </c>
      <c r="D34" s="148" t="s">
        <v>24</v>
      </c>
      <c r="E34" s="147"/>
      <c r="F34" s="150">
        <v>46090.0</v>
      </c>
      <c r="G34" s="150">
        <v>46091.0</v>
      </c>
      <c r="H34" s="150">
        <v>46091.0</v>
      </c>
      <c r="I34" s="135" t="s">
        <v>161</v>
      </c>
      <c r="J34" s="136" t="s">
        <v>34</v>
      </c>
      <c r="K34" s="147"/>
      <c r="L34" s="147"/>
      <c r="M34" s="147"/>
      <c r="N34" s="147"/>
      <c r="O34" s="18"/>
      <c r="P34" s="147"/>
      <c r="Q34" s="147"/>
      <c r="R34" s="147"/>
      <c r="S34" s="147"/>
      <c r="T34" s="155"/>
      <c r="U34" s="155"/>
      <c r="V34" s="155"/>
      <c r="W34" s="155"/>
      <c r="X34" s="155"/>
      <c r="Y34" s="155"/>
      <c r="Z34" s="155"/>
      <c r="AA34" s="155"/>
      <c r="AB34" s="155"/>
      <c r="AC34" s="155"/>
    </row>
    <row r="35">
      <c r="A35" s="129" t="s">
        <v>118</v>
      </c>
      <c r="B35" s="139" t="s">
        <v>119</v>
      </c>
      <c r="C35" s="156" t="s">
        <v>241</v>
      </c>
      <c r="D35" s="132" t="s">
        <v>24</v>
      </c>
      <c r="E35" s="157"/>
      <c r="F35" s="158">
        <v>46094.0</v>
      </c>
      <c r="G35" s="158">
        <v>46097.0</v>
      </c>
      <c r="H35" s="159">
        <v>46097.0</v>
      </c>
      <c r="I35" s="135" t="s">
        <v>161</v>
      </c>
      <c r="J35" s="136" t="s">
        <v>34</v>
      </c>
      <c r="K35" s="160"/>
      <c r="L35" s="160"/>
      <c r="M35" s="160"/>
      <c r="N35" s="156" t="s">
        <v>242</v>
      </c>
      <c r="O35" s="18"/>
      <c r="P35" s="160"/>
      <c r="Q35" s="160"/>
      <c r="R35" s="160"/>
      <c r="S35" s="160"/>
      <c r="T35" s="161"/>
      <c r="U35" s="161"/>
      <c r="V35" s="161"/>
      <c r="W35" s="161"/>
      <c r="X35" s="161"/>
      <c r="Y35" s="161"/>
      <c r="Z35" s="161"/>
      <c r="AA35" s="161"/>
      <c r="AB35" s="161"/>
      <c r="AC35" s="161"/>
    </row>
    <row r="36">
      <c r="A36" s="129" t="s">
        <v>63</v>
      </c>
      <c r="B36" s="139" t="s">
        <v>64</v>
      </c>
      <c r="C36" s="144" t="s">
        <v>243</v>
      </c>
      <c r="D36" s="132"/>
      <c r="E36" s="140"/>
      <c r="F36" s="162"/>
      <c r="G36" s="162"/>
      <c r="H36" s="142"/>
      <c r="I36" s="135" t="s">
        <v>161</v>
      </c>
      <c r="J36" s="136" t="s">
        <v>34</v>
      </c>
      <c r="K36" s="143"/>
      <c r="L36" s="142"/>
      <c r="M36" s="142"/>
      <c r="N36" s="144" t="s">
        <v>244</v>
      </c>
      <c r="O36" s="18"/>
      <c r="P36" s="142"/>
      <c r="Q36" s="144" t="s">
        <v>245</v>
      </c>
      <c r="R36" s="142"/>
      <c r="S36" s="142"/>
      <c r="T36" s="18"/>
      <c r="U36" s="18"/>
      <c r="V36" s="18"/>
      <c r="W36" s="18"/>
      <c r="X36" s="18"/>
      <c r="Y36" s="18"/>
      <c r="Z36" s="18"/>
      <c r="AA36" s="18"/>
      <c r="AB36" s="18"/>
      <c r="AC36" s="18"/>
    </row>
    <row r="37">
      <c r="A37" s="129" t="s">
        <v>118</v>
      </c>
      <c r="B37" s="163" t="s">
        <v>246</v>
      </c>
      <c r="C37" s="164" t="s">
        <v>247</v>
      </c>
      <c r="D37" s="132" t="s">
        <v>24</v>
      </c>
      <c r="E37" s="133" t="s">
        <v>130</v>
      </c>
      <c r="F37" s="165"/>
      <c r="G37" s="165"/>
      <c r="H37" s="138"/>
      <c r="I37" s="135" t="s">
        <v>248</v>
      </c>
      <c r="J37" s="166"/>
      <c r="K37" s="167"/>
      <c r="L37" s="168"/>
      <c r="M37" s="138"/>
      <c r="N37" s="131" t="s">
        <v>131</v>
      </c>
      <c r="O37" s="18"/>
      <c r="P37" s="138"/>
      <c r="Q37" s="138"/>
      <c r="R37" s="131" t="s">
        <v>249</v>
      </c>
      <c r="S37" s="138"/>
      <c r="T37" s="18"/>
      <c r="U37" s="18"/>
      <c r="V37" s="18"/>
      <c r="W37" s="18"/>
      <c r="X37" s="18"/>
      <c r="Y37" s="18"/>
      <c r="Z37" s="18"/>
      <c r="AA37" s="18"/>
      <c r="AB37" s="18"/>
      <c r="AC37" s="18"/>
    </row>
    <row r="38">
      <c r="A38" s="129" t="s">
        <v>118</v>
      </c>
      <c r="B38" s="169" t="s">
        <v>119</v>
      </c>
      <c r="C38" s="131" t="s">
        <v>250</v>
      </c>
      <c r="D38" s="170"/>
      <c r="E38" s="145" t="s">
        <v>25</v>
      </c>
      <c r="F38" s="158">
        <v>46113.0</v>
      </c>
      <c r="G38" s="158">
        <v>46121.0</v>
      </c>
      <c r="H38" s="134"/>
      <c r="I38" s="135" t="s">
        <v>161</v>
      </c>
      <c r="J38" s="171" t="s">
        <v>34</v>
      </c>
      <c r="K38" s="172">
        <f>IF(
  COUNTIFS('Dev Tracker Sub'!$A$2:$A$4685, TRIM($B38&amp;""), 'Dev Tracker Sub'!$B$2:$B$4685, TRIM($C38&amp;""))=0,
  "No Subtasks",
  IF(
    SUMPRODUCT(
      --(TRIM('Dev Tracker Sub'!$A$2:$A$4685&amp;"")=TRIM($B38&amp;"")),
      --(TRIM('Dev Tracker Sub'!$B$2:$B$4685&amp;"")=TRIM($C38&amp;"")),
      --(LEN(TRIM('Dev Tracker Sub'!$L$2:$L$4685&amp;""))=0)
    )&gt;0,
    "⚠ Missing Effort",
    SUMIFS(
      'Dev Tracker Sub'!$L$2:$L$4685,
      'Dev Tracker Sub'!$A$2:$A$4685, TRIM($B38&amp;""),
      'Dev Tracker Sub'!$B$2:$B$4685, TRIM($C38&amp;"")
    )
  )
)</f>
        <v>13.5</v>
      </c>
      <c r="L38" s="133">
        <f>IF(
  COUNTIFS('Dev Tracker Sub'!$A$2:$A$4683, TRIM($B38&amp;""), 'Dev Tracker Sub'!$B$2:$B$4683, TRIM($C38&amp;""))=0,
  "No Subtasks",
  IF(
    SUMPRODUCT(
      --(TRIM('Dev Tracker Sub'!$A$2:$A$4683&amp;"")=TRIM($B38&amp;"")),
      --(TRIM('Dev Tracker Sub'!$B$2:$B$4683&amp;"")=TRIM($C38&amp;"")),
      --(LEN(TRIM('Dev Tracker Sub'!$M$2:$M$4683&amp;""))=0)
    )&gt;0,
    "⚠ Missing Effort",
    SUMIFS(
      'Dev Tracker Sub'!$M$2:$M$4683,
      'Dev Tracker Sub'!$A$2:$A$4683, TRIM($B38&amp;""),
      'Dev Tracker Sub'!$B$2:$B$4683, TRIM($C38&amp;"")
    )
  )
)</f>
        <v>1.5</v>
      </c>
      <c r="M38" s="138"/>
      <c r="N38" s="131" t="s">
        <v>251</v>
      </c>
      <c r="O38" s="138"/>
      <c r="P38" s="138"/>
      <c r="Q38" s="138"/>
      <c r="R38" s="173" t="s">
        <v>252</v>
      </c>
      <c r="S38" s="138"/>
      <c r="T38" s="18"/>
      <c r="U38" s="18"/>
      <c r="V38" s="18"/>
      <c r="W38" s="18"/>
      <c r="X38" s="18"/>
      <c r="Y38" s="18"/>
      <c r="Z38" s="18"/>
      <c r="AA38" s="18"/>
      <c r="AB38" s="18"/>
      <c r="AC38" s="18"/>
    </row>
    <row r="39">
      <c r="A39" s="129" t="s">
        <v>63</v>
      </c>
      <c r="B39" s="169" t="s">
        <v>64</v>
      </c>
      <c r="C39" s="174" t="s">
        <v>253</v>
      </c>
      <c r="D39" s="170" t="s">
        <v>24</v>
      </c>
      <c r="E39" s="133" t="s">
        <v>170</v>
      </c>
      <c r="F39" s="165"/>
      <c r="G39" s="165"/>
      <c r="H39" s="138"/>
      <c r="I39" s="136" t="s">
        <v>211</v>
      </c>
      <c r="J39" s="166"/>
      <c r="K39" s="172" t="str">
        <f>IF(
  COUNTIFS('Dev Tracker Sub'!$A$2:$A$4685, TRIM($B39&amp;""), 'Dev Tracker Sub'!$B$2:$B$4685, TRIM($C39&amp;""))=0,
  "No Subtasks",
  IF(
    SUMPRODUCT(
      --(TRIM('Dev Tracker Sub'!$A$2:$A$4685&amp;"")=TRIM($B39&amp;"")),
      --(TRIM('Dev Tracker Sub'!$B$2:$B$4685&amp;"")=TRIM($C39&amp;"")),
      --(LEN(TRIM('Dev Tracker Sub'!$L$2:$L$4685&amp;""))=0)
    )&gt;0,
    "⚠ Missing Effort",
    SUMIFS(
      'Dev Tracker Sub'!$L$2:$L$4685,
      'Dev Tracker Sub'!$A$2:$A$4685, TRIM($B39&amp;""),
      'Dev Tracker Sub'!$B$2:$B$4685, TRIM($C39&amp;"")
    )
  )
)</f>
        <v>No Subtasks</v>
      </c>
      <c r="L39" s="133" t="str">
        <f>IF(
  COUNTIFS('Dev Tracker Sub'!$A$2:$A$4683, TRIM($B39&amp;""), 'Dev Tracker Sub'!$B$2:$B$4683, TRIM($C39&amp;""))=0,
  "No Subtasks",
  IF(
    SUMPRODUCT(
      --(TRIM('Dev Tracker Sub'!$A$2:$A$4683&amp;"")=TRIM($B39&amp;"")),
      --(TRIM('Dev Tracker Sub'!$B$2:$B$4683&amp;"")=TRIM($C39&amp;"")),
      --(LEN(TRIM('Dev Tracker Sub'!$M$2:$M$4683&amp;""))=0)
    )&gt;0,
    "⚠ Missing Effort",
    SUMIFS(
      'Dev Tracker Sub'!$M$2:$M$4683,
      'Dev Tracker Sub'!$A$2:$A$4683, TRIM($B39&amp;""),
      'Dev Tracker Sub'!$B$2:$B$4683, TRIM($C39&amp;"")
    )
  )
)</f>
        <v>No Subtasks</v>
      </c>
      <c r="M39" s="138"/>
      <c r="N39" s="131" t="s">
        <v>254</v>
      </c>
      <c r="O39" s="138"/>
      <c r="P39" s="138"/>
      <c r="Q39" s="138"/>
      <c r="R39" s="138"/>
      <c r="S39" s="138"/>
      <c r="T39" s="18"/>
      <c r="U39" s="18"/>
      <c r="V39" s="18"/>
      <c r="W39" s="18"/>
      <c r="X39" s="18"/>
      <c r="Y39" s="18"/>
      <c r="Z39" s="18"/>
      <c r="AA39" s="18"/>
      <c r="AB39" s="18"/>
      <c r="AC39" s="18"/>
    </row>
    <row r="40">
      <c r="A40" s="129" t="s">
        <v>63</v>
      </c>
      <c r="B40" s="169" t="s">
        <v>64</v>
      </c>
      <c r="C40" s="175" t="s">
        <v>255</v>
      </c>
      <c r="D40" s="170" t="s">
        <v>24</v>
      </c>
      <c r="E40" s="140" t="s">
        <v>170</v>
      </c>
      <c r="F40" s="162"/>
      <c r="G40" s="162"/>
      <c r="H40" s="142"/>
      <c r="I40" s="136" t="s">
        <v>248</v>
      </c>
      <c r="J40" s="166"/>
      <c r="K40" s="172">
        <f>IF(
  COUNTIFS('Dev Tracker Sub'!$A$2:$A$4685, TRIM($B40&amp;""), 'Dev Tracker Sub'!$B$2:$B$4685, TRIM($C40&amp;""))=0,
  "No Subtasks",
  IF(
    SUMPRODUCT(
      --(TRIM('Dev Tracker Sub'!$A$2:$A$4685&amp;"")=TRIM($B40&amp;"")),
      --(TRIM('Dev Tracker Sub'!$B$2:$B$4685&amp;"")=TRIM($C40&amp;"")),
      --(LEN(TRIM('Dev Tracker Sub'!$L$2:$L$4685&amp;""))=0)
    )&gt;0,
    "⚠ Missing Effort",
    SUMIFS(
      'Dev Tracker Sub'!$L$2:$L$4685,
      'Dev Tracker Sub'!$A$2:$A$4685, TRIM($B40&amp;""),
      'Dev Tracker Sub'!$B$2:$B$4685, TRIM($C40&amp;"")
    )
  )
)</f>
        <v>0</v>
      </c>
      <c r="L40" s="133">
        <f>IF(
  COUNTIFS('Dev Tracker Sub'!$A$2:$A$4683, TRIM($B40&amp;""), 'Dev Tracker Sub'!$B$2:$B$4683, TRIM($C40&amp;""))=0,
  "No Subtasks",
  IF(
    SUMPRODUCT(
      --(TRIM('Dev Tracker Sub'!$A$2:$A$4683&amp;"")=TRIM($B40&amp;"")),
      --(TRIM('Dev Tracker Sub'!$B$2:$B$4683&amp;"")=TRIM($C40&amp;"")),
      --(LEN(TRIM('Dev Tracker Sub'!$M$2:$M$4683&amp;""))=0)
    )&gt;0,
    "⚠ Missing Effort",
    SUMIFS(
      'Dev Tracker Sub'!$M$2:$M$4683,
      'Dev Tracker Sub'!$A$2:$A$4683, TRIM($B40&amp;""),
      'Dev Tracker Sub'!$B$2:$B$4683, TRIM($C40&amp;"")
    )
  )
)</f>
        <v>0</v>
      </c>
      <c r="M40" s="142"/>
      <c r="N40" s="142" t="s">
        <v>256</v>
      </c>
      <c r="O40" s="142"/>
      <c r="P40" s="142"/>
      <c r="Q40" s="138"/>
      <c r="R40" s="138"/>
      <c r="S40" s="138"/>
      <c r="T40" s="18"/>
      <c r="U40" s="18"/>
      <c r="V40" s="18"/>
      <c r="W40" s="18"/>
      <c r="X40" s="18"/>
      <c r="Y40" s="18"/>
      <c r="Z40" s="18"/>
      <c r="AA40" s="18"/>
      <c r="AB40" s="18"/>
      <c r="AC40" s="18"/>
    </row>
    <row r="41">
      <c r="A41" s="129" t="s">
        <v>63</v>
      </c>
      <c r="B41" s="169" t="s">
        <v>64</v>
      </c>
      <c r="C41" s="176" t="s">
        <v>257</v>
      </c>
      <c r="D41" s="177" t="s">
        <v>53</v>
      </c>
      <c r="E41" s="140" t="s">
        <v>79</v>
      </c>
      <c r="F41" s="134">
        <v>46055.0</v>
      </c>
      <c r="G41" s="134">
        <v>46058.0</v>
      </c>
      <c r="H41" s="134">
        <v>46058.0</v>
      </c>
      <c r="I41" s="136" t="s">
        <v>211</v>
      </c>
      <c r="J41" s="171" t="s">
        <v>34</v>
      </c>
      <c r="K41" s="172">
        <f>IF(
  COUNTIFS('Dev Tracker Sub'!$A$2:$A$4685, TRIM($B41&amp;""), 'Dev Tracker Sub'!$B$2:$B$4685, TRIM($C41&amp;""))=0,
  "No Subtasks",
  IF(
    SUMPRODUCT(
      --(TRIM('Dev Tracker Sub'!$A$2:$A$4685&amp;"")=TRIM($B41&amp;"")),
      --(TRIM('Dev Tracker Sub'!$B$2:$B$4685&amp;"")=TRIM($C41&amp;"")),
      --(LEN(TRIM('Dev Tracker Sub'!$L$2:$L$4685&amp;""))=0)
    )&gt;0,
    "⚠ Missing Effort",
    SUMIFS(
      'Dev Tracker Sub'!$L$2:$L$4685,
      'Dev Tracker Sub'!$A$2:$A$4685, TRIM($B41&amp;""),
      'Dev Tracker Sub'!$B$2:$B$4685, TRIM($C41&amp;"")
    )
  )
)</f>
        <v>0</v>
      </c>
      <c r="L41" s="133">
        <f>IF(
  COUNTIFS('Dev Tracker Sub'!$A$2:$A$4683, TRIM($B41&amp;""), 'Dev Tracker Sub'!$B$2:$B$4683, TRIM($C41&amp;""))=0,
  "No Subtasks",
  IF(
    SUMPRODUCT(
      --(TRIM('Dev Tracker Sub'!$A$2:$A$4683&amp;"")=TRIM($B41&amp;"")),
      --(TRIM('Dev Tracker Sub'!$B$2:$B$4683&amp;"")=TRIM($C41&amp;"")),
      --(LEN(TRIM('Dev Tracker Sub'!$M$2:$M$4683&amp;""))=0)
    )&gt;0,
    "⚠ Missing Effort",
    SUMIFS(
      'Dev Tracker Sub'!$M$2:$M$4683,
      'Dev Tracker Sub'!$A$2:$A$4683, TRIM($B41&amp;""),
      'Dev Tracker Sub'!$B$2:$B$4683, TRIM($C41&amp;"")
    )
  )
)</f>
        <v>0</v>
      </c>
      <c r="M41" s="138"/>
      <c r="N41" s="144" t="s">
        <v>258</v>
      </c>
      <c r="O41" s="138"/>
      <c r="P41" s="138"/>
      <c r="Q41" s="131" t="s">
        <v>259</v>
      </c>
      <c r="R41" s="131" t="s">
        <v>260</v>
      </c>
      <c r="S41" s="138"/>
      <c r="T41" s="18"/>
      <c r="U41" s="18"/>
      <c r="V41" s="18"/>
      <c r="W41" s="18"/>
      <c r="X41" s="18"/>
      <c r="Y41" s="18"/>
      <c r="Z41" s="18"/>
      <c r="AA41" s="18"/>
      <c r="AB41" s="18"/>
      <c r="AC41" s="18"/>
    </row>
    <row r="42">
      <c r="A42" s="129" t="s">
        <v>63</v>
      </c>
      <c r="B42" s="169" t="s">
        <v>64</v>
      </c>
      <c r="C42" s="138" t="s">
        <v>261</v>
      </c>
      <c r="D42" s="170" t="s">
        <v>186</v>
      </c>
      <c r="E42" s="140" t="s">
        <v>170</v>
      </c>
      <c r="F42" s="162"/>
      <c r="G42" s="162"/>
      <c r="H42" s="142"/>
      <c r="I42" s="136" t="s">
        <v>248</v>
      </c>
      <c r="J42" s="178" t="s">
        <v>34</v>
      </c>
      <c r="K42" s="172">
        <f>IF(
  COUNTIFS('Dev Tracker Sub'!$A$2:$A$4685, TRIM($B42&amp;""), 'Dev Tracker Sub'!$B$2:$B$4685, TRIM($C42&amp;""))=0,
  "No Subtasks",
  IF(
    SUMPRODUCT(
      --(TRIM('Dev Tracker Sub'!$A$2:$A$4685&amp;"")=TRIM($B42&amp;"")),
      --(TRIM('Dev Tracker Sub'!$B$2:$B$4685&amp;"")=TRIM($C42&amp;"")),
      --(LEN(TRIM('Dev Tracker Sub'!$L$2:$L$4685&amp;""))=0)
    )&gt;0,
    "⚠ Missing Effort",
    SUMIFS(
      'Dev Tracker Sub'!$L$2:$L$4685,
      'Dev Tracker Sub'!$A$2:$A$4685, TRIM($B42&amp;""),
      'Dev Tracker Sub'!$B$2:$B$4685, TRIM($C42&amp;"")
    )
  )
)</f>
        <v>0</v>
      </c>
      <c r="L42" s="133">
        <f>IF(
  COUNTIFS('Dev Tracker Sub'!$A$2:$A$4683, TRIM($B42&amp;""), 'Dev Tracker Sub'!$B$2:$B$4683, TRIM($C42&amp;""))=0,
  "No Subtasks",
  IF(
    SUMPRODUCT(
      --(TRIM('Dev Tracker Sub'!$A$2:$A$4683&amp;"")=TRIM($B42&amp;"")),
      --(TRIM('Dev Tracker Sub'!$B$2:$B$4683&amp;"")=TRIM($C42&amp;"")),
      --(LEN(TRIM('Dev Tracker Sub'!$M$2:$M$4683&amp;""))=0)
    )&gt;0,
    "⚠ Missing Effort",
    SUMIFS(
      'Dev Tracker Sub'!$M$2:$M$4683,
      'Dev Tracker Sub'!$A$2:$A$4683, TRIM($B42&amp;""),
      'Dev Tracker Sub'!$B$2:$B$4683, TRIM($C42&amp;"")
    )
  )
)</f>
        <v>0</v>
      </c>
      <c r="M42" s="142"/>
      <c r="N42" s="144" t="s">
        <v>262</v>
      </c>
      <c r="O42" s="142"/>
      <c r="P42" s="142"/>
      <c r="Q42" s="142"/>
      <c r="R42" s="142" t="s">
        <v>263</v>
      </c>
      <c r="S42" s="144" t="s">
        <v>264</v>
      </c>
      <c r="T42" s="18"/>
      <c r="U42" s="18"/>
      <c r="V42" s="18"/>
      <c r="W42" s="18"/>
      <c r="X42" s="18"/>
      <c r="Y42" s="18"/>
      <c r="Z42" s="18"/>
      <c r="AA42" s="18"/>
      <c r="AB42" s="18"/>
      <c r="AC42" s="18"/>
    </row>
    <row r="43">
      <c r="A43" s="129" t="s">
        <v>63</v>
      </c>
      <c r="B43" s="169" t="s">
        <v>64</v>
      </c>
      <c r="C43" s="175" t="s">
        <v>265</v>
      </c>
      <c r="D43" s="170" t="s">
        <v>24</v>
      </c>
      <c r="E43" s="133" t="s">
        <v>266</v>
      </c>
      <c r="F43" s="179">
        <v>45974.0</v>
      </c>
      <c r="G43" s="165"/>
      <c r="H43" s="138"/>
      <c r="I43" s="136" t="s">
        <v>211</v>
      </c>
      <c r="J43" s="171" t="s">
        <v>34</v>
      </c>
      <c r="K43" s="172" t="str">
        <f>IF(
  COUNTIFS('Dev Tracker Sub'!$A$2:$A$4685, TRIM($B43&amp;""), 'Dev Tracker Sub'!$B$2:$B$4685, TRIM($C43&amp;""))=0,
  "No Subtasks",
  IF(
    SUMPRODUCT(
      --(TRIM('Dev Tracker Sub'!$A$2:$A$4685&amp;"")=TRIM($B43&amp;"")),
      --(TRIM('Dev Tracker Sub'!$B$2:$B$4685&amp;"")=TRIM($C43&amp;"")),
      --(LEN(TRIM('Dev Tracker Sub'!$L$2:$L$4685&amp;""))=0)
    )&gt;0,
    "⚠ Missing Effort",
    SUMIFS(
      'Dev Tracker Sub'!$L$2:$L$4685,
      'Dev Tracker Sub'!$A$2:$A$4685, TRIM($B43&amp;""),
      'Dev Tracker Sub'!$B$2:$B$4685, TRIM($C43&amp;"")
    )
  )
)</f>
        <v>No Subtasks</v>
      </c>
      <c r="L43" s="133" t="str">
        <f>IF(
  COUNTIFS('Dev Tracker Sub'!$A$2:$A$4683, TRIM($B43&amp;""), 'Dev Tracker Sub'!$B$2:$B$4683, TRIM($C43&amp;""))=0,
  "No Subtasks",
  IF(
    SUMPRODUCT(
      --(TRIM('Dev Tracker Sub'!$A$2:$A$4683&amp;"")=TRIM($B43&amp;"")),
      --(TRIM('Dev Tracker Sub'!$B$2:$B$4683&amp;"")=TRIM($C43&amp;"")),
      --(LEN(TRIM('Dev Tracker Sub'!$M$2:$M$4683&amp;""))=0)
    )&gt;0,
    "⚠ Missing Effort",
    SUMIFS(
      'Dev Tracker Sub'!$M$2:$M$4683,
      'Dev Tracker Sub'!$A$2:$A$4683, TRIM($B43&amp;""),
      'Dev Tracker Sub'!$B$2:$B$4683, TRIM($C43&amp;"")
    )
  )
)</f>
        <v>No Subtasks</v>
      </c>
      <c r="M43" s="138"/>
      <c r="N43" s="131" t="s">
        <v>267</v>
      </c>
      <c r="O43" s="138"/>
      <c r="P43" s="180" t="s">
        <v>268</v>
      </c>
      <c r="Q43" s="138"/>
      <c r="R43" s="181" t="s">
        <v>269</v>
      </c>
      <c r="S43" s="181"/>
      <c r="T43" s="18"/>
      <c r="U43" s="20" t="s">
        <v>270</v>
      </c>
      <c r="V43" s="18"/>
      <c r="W43" s="18"/>
      <c r="X43" s="18"/>
      <c r="Y43" s="18"/>
      <c r="Z43" s="18"/>
      <c r="AA43" s="18"/>
      <c r="AB43" s="18"/>
      <c r="AC43" s="18"/>
    </row>
    <row r="44">
      <c r="A44" s="129" t="s">
        <v>63</v>
      </c>
      <c r="B44" s="169" t="s">
        <v>64</v>
      </c>
      <c r="C44" s="174" t="s">
        <v>271</v>
      </c>
      <c r="D44" s="170" t="s">
        <v>24</v>
      </c>
      <c r="E44" s="140" t="s">
        <v>79</v>
      </c>
      <c r="F44" s="134">
        <v>46015.0</v>
      </c>
      <c r="G44" s="162"/>
      <c r="H44" s="142"/>
      <c r="I44" s="136" t="s">
        <v>211</v>
      </c>
      <c r="J44" s="178" t="s">
        <v>27</v>
      </c>
      <c r="K44" s="172">
        <f>IF(
  COUNTIFS('Dev Tracker Sub'!$A$2:$A$4685, TRIM($B44&amp;""), 'Dev Tracker Sub'!$B$2:$B$4685, TRIM($C44&amp;""))=0,
  "No Subtasks",
  IF(
    SUMPRODUCT(
      --(TRIM('Dev Tracker Sub'!$A$2:$A$4685&amp;"")=TRIM($B44&amp;"")),
      --(TRIM('Dev Tracker Sub'!$B$2:$B$4685&amp;"")=TRIM($C44&amp;"")),
      --(LEN(TRIM('Dev Tracker Sub'!$L$2:$L$4685&amp;""))=0)
    )&gt;0,
    "⚠ Missing Effort",
    SUMIFS(
      'Dev Tracker Sub'!$L$2:$L$4685,
      'Dev Tracker Sub'!$A$2:$A$4685, TRIM($B44&amp;""),
      'Dev Tracker Sub'!$B$2:$B$4685, TRIM($C44&amp;"")
    )
  )
)</f>
        <v>0</v>
      </c>
      <c r="L44" s="133">
        <f>IF(
  COUNTIFS('Dev Tracker Sub'!$A$2:$A$4683, TRIM($B44&amp;""), 'Dev Tracker Sub'!$B$2:$B$4683, TRIM($C44&amp;""))=0,
  "No Subtasks",
  IF(
    SUMPRODUCT(
      --(TRIM('Dev Tracker Sub'!$A$2:$A$4683&amp;"")=TRIM($B44&amp;"")),
      --(TRIM('Dev Tracker Sub'!$B$2:$B$4683&amp;"")=TRIM($C44&amp;"")),
      --(LEN(TRIM('Dev Tracker Sub'!$M$2:$M$4683&amp;""))=0)
    )&gt;0,
    "⚠ Missing Effort",
    SUMIFS(
      'Dev Tracker Sub'!$M$2:$M$4683,
      'Dev Tracker Sub'!$A$2:$A$4683, TRIM($B44&amp;""),
      'Dev Tracker Sub'!$B$2:$B$4683, TRIM($C44&amp;"")
    )
  )
)</f>
        <v>0</v>
      </c>
      <c r="M44" s="142"/>
      <c r="N44" s="144" t="s">
        <v>272</v>
      </c>
      <c r="O44" s="142"/>
      <c r="P44" s="142"/>
      <c r="Q44" s="144" t="s">
        <v>273</v>
      </c>
      <c r="R44" s="144" t="s">
        <v>274</v>
      </c>
      <c r="S44" s="142"/>
      <c r="T44" s="18"/>
      <c r="U44" s="18"/>
      <c r="V44" s="18"/>
      <c r="W44" s="18"/>
      <c r="X44" s="18"/>
      <c r="Y44" s="18"/>
      <c r="Z44" s="18"/>
      <c r="AA44" s="18"/>
      <c r="AB44" s="18"/>
      <c r="AC44" s="18"/>
    </row>
    <row r="45">
      <c r="A45" s="129" t="s">
        <v>63</v>
      </c>
      <c r="B45" s="169" t="s">
        <v>64</v>
      </c>
      <c r="C45" s="144" t="s">
        <v>275</v>
      </c>
      <c r="D45" s="170" t="s">
        <v>24</v>
      </c>
      <c r="E45" s="140"/>
      <c r="F45" s="134">
        <v>46009.0</v>
      </c>
      <c r="G45" s="182"/>
      <c r="H45" s="182"/>
      <c r="I45" s="136" t="s">
        <v>161</v>
      </c>
      <c r="J45" s="178" t="s">
        <v>34</v>
      </c>
      <c r="K45" s="172" t="str">
        <f>IF(
  COUNTIFS('Dev Tracker Sub'!$A$2:$A$4685, TRIM($B45&amp;""), 'Dev Tracker Sub'!$B$2:$B$4685, TRIM($C45&amp;""))=0,
  "No Subtasks",
  IF(
    SUMPRODUCT(
      --(TRIM('Dev Tracker Sub'!$A$2:$A$4685&amp;"")=TRIM($B45&amp;"")),
      --(TRIM('Dev Tracker Sub'!$B$2:$B$4685&amp;"")=TRIM($C45&amp;"")),
      --(LEN(TRIM('Dev Tracker Sub'!$L$2:$L$4685&amp;""))=0)
    )&gt;0,
    "⚠ Missing Effort",
    SUMIFS(
      'Dev Tracker Sub'!$L$2:$L$4685,
      'Dev Tracker Sub'!$A$2:$A$4685, TRIM($B45&amp;""),
      'Dev Tracker Sub'!$B$2:$B$4685, TRIM($C45&amp;"")
    )
  )
)</f>
        <v>No Subtasks</v>
      </c>
      <c r="L45" s="133" t="str">
        <f>IF(
  COUNTIFS('Dev Tracker Sub'!$A$2:$A$4683, TRIM($B45&amp;""), 'Dev Tracker Sub'!$B$2:$B$4683, TRIM($C45&amp;""))=0,
  "No Subtasks",
  IF(
    SUMPRODUCT(
      --(TRIM('Dev Tracker Sub'!$A$2:$A$4683&amp;"")=TRIM($B45&amp;"")),
      --(TRIM('Dev Tracker Sub'!$B$2:$B$4683&amp;"")=TRIM($C45&amp;"")),
      --(LEN(TRIM('Dev Tracker Sub'!$M$2:$M$4683&amp;""))=0)
    )&gt;0,
    "⚠ Missing Effort",
    SUMIFS(
      'Dev Tracker Sub'!$M$2:$M$4683,
      'Dev Tracker Sub'!$A$2:$A$4683, TRIM($B45&amp;""),
      'Dev Tracker Sub'!$B$2:$B$4683, TRIM($C45&amp;"")
    )
  )
)</f>
        <v>No Subtasks</v>
      </c>
      <c r="M45" s="138"/>
      <c r="N45" s="131" t="s">
        <v>276</v>
      </c>
      <c r="O45" s="138"/>
      <c r="P45" s="138"/>
      <c r="Q45" s="138"/>
      <c r="R45" s="131" t="s">
        <v>277</v>
      </c>
      <c r="S45" s="138"/>
      <c r="T45" s="18"/>
      <c r="U45" s="18"/>
      <c r="V45" s="18"/>
      <c r="W45" s="18"/>
      <c r="X45" s="18"/>
      <c r="Y45" s="18"/>
      <c r="Z45" s="18"/>
      <c r="AA45" s="18"/>
      <c r="AB45" s="18"/>
      <c r="AC45" s="18"/>
    </row>
    <row r="46">
      <c r="A46" s="129" t="s">
        <v>63</v>
      </c>
      <c r="B46" s="169" t="s">
        <v>64</v>
      </c>
      <c r="C46" s="144" t="s">
        <v>278</v>
      </c>
      <c r="D46" s="170" t="s">
        <v>24</v>
      </c>
      <c r="E46" s="140"/>
      <c r="F46" s="162"/>
      <c r="G46" s="162"/>
      <c r="H46" s="183"/>
      <c r="I46" s="135" t="s">
        <v>161</v>
      </c>
      <c r="J46" s="178" t="s">
        <v>34</v>
      </c>
      <c r="K46" s="172">
        <f>IF(
  COUNTIFS('Dev Tracker Sub'!$A$2:$A$4685, TRIM($B46&amp;""), 'Dev Tracker Sub'!$B$2:$B$4685, TRIM($C46&amp;""))=0,
  "No Subtasks",
  IF(
    SUMPRODUCT(
      --(TRIM('Dev Tracker Sub'!$A$2:$A$4685&amp;"")=TRIM($B46&amp;"")),
      --(TRIM('Dev Tracker Sub'!$B$2:$B$4685&amp;"")=TRIM($C46&amp;"")),
      --(LEN(TRIM('Dev Tracker Sub'!$L$2:$L$4685&amp;""))=0)
    )&gt;0,
    "⚠ Missing Effort",
    SUMIFS(
      'Dev Tracker Sub'!$L$2:$L$4685,
      'Dev Tracker Sub'!$A$2:$A$4685, TRIM($B46&amp;""),
      'Dev Tracker Sub'!$B$2:$B$4685, TRIM($C46&amp;"")
    )
  )
)</f>
        <v>4</v>
      </c>
      <c r="L46" s="133">
        <f>IF(
  COUNTIFS('Dev Tracker Sub'!$A$2:$A$4683, TRIM($B46&amp;""), 'Dev Tracker Sub'!$B$2:$B$4683, TRIM($C46&amp;""))=0,
  "No Subtasks",
  IF(
    SUMPRODUCT(
      --(TRIM('Dev Tracker Sub'!$A$2:$A$4683&amp;"")=TRIM($B46&amp;"")),
      --(TRIM('Dev Tracker Sub'!$B$2:$B$4683&amp;"")=TRIM($C46&amp;"")),
      --(LEN(TRIM('Dev Tracker Sub'!$M$2:$M$4683&amp;""))=0)
    )&gt;0,
    "⚠ Missing Effort",
    SUMIFS(
      'Dev Tracker Sub'!$M$2:$M$4683,
      'Dev Tracker Sub'!$A$2:$A$4683, TRIM($B46&amp;""),
      'Dev Tracker Sub'!$B$2:$B$4683, TRIM($C46&amp;"")
    )
  )
)</f>
        <v>0</v>
      </c>
      <c r="M46" s="142"/>
      <c r="N46" s="144" t="s">
        <v>279</v>
      </c>
      <c r="O46" s="142"/>
      <c r="P46" s="142"/>
      <c r="Q46" s="142"/>
      <c r="R46" s="144" t="s">
        <v>280</v>
      </c>
      <c r="S46" s="142"/>
      <c r="T46" s="18"/>
      <c r="U46" s="18"/>
      <c r="V46" s="18"/>
      <c r="W46" s="18"/>
      <c r="X46" s="18"/>
      <c r="Y46" s="18"/>
      <c r="Z46" s="18"/>
      <c r="AA46" s="18"/>
      <c r="AB46" s="18"/>
      <c r="AC46" s="18"/>
    </row>
    <row r="47">
      <c r="A47" s="184" t="s">
        <v>63</v>
      </c>
      <c r="B47" s="185" t="s">
        <v>64</v>
      </c>
      <c r="C47" s="20" t="s">
        <v>281</v>
      </c>
      <c r="D47" s="20" t="s">
        <v>24</v>
      </c>
      <c r="E47" s="18"/>
      <c r="F47" s="18"/>
      <c r="G47" s="18"/>
      <c r="H47" s="18"/>
      <c r="I47" s="20" t="s">
        <v>282</v>
      </c>
      <c r="J47" s="18"/>
      <c r="K47" s="20" t="s">
        <v>283</v>
      </c>
      <c r="L47" s="20" t="s">
        <v>283</v>
      </c>
      <c r="M47" s="18"/>
      <c r="N47" s="20" t="s">
        <v>284</v>
      </c>
      <c r="O47" s="20" t="s">
        <v>285</v>
      </c>
      <c r="P47" s="18"/>
      <c r="Q47" s="18"/>
      <c r="R47" s="20" t="s">
        <v>286</v>
      </c>
      <c r="S47" s="18"/>
      <c r="T47" s="18"/>
      <c r="U47" s="20" t="s">
        <v>287</v>
      </c>
      <c r="V47" s="186">
        <v>46140.68869229167</v>
      </c>
      <c r="W47" s="18"/>
      <c r="X47" s="18"/>
      <c r="Y47" s="18"/>
      <c r="Z47" s="18"/>
      <c r="AA47" s="18"/>
      <c r="AB47" s="18"/>
      <c r="AC47" s="18"/>
    </row>
    <row r="48">
      <c r="A48" s="187" t="s">
        <v>118</v>
      </c>
      <c r="B48" s="185" t="s">
        <v>119</v>
      </c>
      <c r="C48" s="20" t="s">
        <v>288</v>
      </c>
      <c r="D48" s="18"/>
      <c r="E48" s="20" t="s">
        <v>79</v>
      </c>
      <c r="F48" s="188">
        <v>46114.0</v>
      </c>
      <c r="G48" s="188">
        <v>46114.0</v>
      </c>
      <c r="H48" s="188">
        <v>46114.0</v>
      </c>
      <c r="I48" s="20" t="s">
        <v>161</v>
      </c>
      <c r="J48" s="20" t="s">
        <v>34</v>
      </c>
      <c r="K48" s="189">
        <v>2.5</v>
      </c>
      <c r="L48" s="189">
        <v>2.5</v>
      </c>
      <c r="M48" s="18"/>
      <c r="N48" s="20" t="s">
        <v>289</v>
      </c>
      <c r="O48" s="18"/>
      <c r="P48" s="18"/>
      <c r="Q48" s="18"/>
      <c r="R48" s="20" t="s">
        <v>290</v>
      </c>
      <c r="S48" s="18"/>
      <c r="T48" s="18"/>
      <c r="U48" s="20" t="s">
        <v>291</v>
      </c>
      <c r="V48" s="186">
        <v>46142.475987858794</v>
      </c>
      <c r="W48" s="18"/>
      <c r="X48" s="18"/>
      <c r="Y48" s="18"/>
      <c r="Z48" s="18"/>
      <c r="AA48" s="18"/>
      <c r="AB48" s="18"/>
      <c r="AC48" s="18"/>
    </row>
    <row r="49">
      <c r="A49" s="187" t="s">
        <v>118</v>
      </c>
      <c r="B49" s="185" t="s">
        <v>119</v>
      </c>
      <c r="C49" s="20" t="s">
        <v>292</v>
      </c>
      <c r="D49" s="20" t="s">
        <v>24</v>
      </c>
      <c r="E49" s="20" t="s">
        <v>25</v>
      </c>
      <c r="F49" s="188">
        <v>46112.0</v>
      </c>
      <c r="G49" s="188">
        <v>46121.0</v>
      </c>
      <c r="H49" s="18"/>
      <c r="I49" s="20" t="s">
        <v>26</v>
      </c>
      <c r="J49" s="20" t="s">
        <v>34</v>
      </c>
      <c r="K49" s="189">
        <v>13.0</v>
      </c>
      <c r="L49" s="189">
        <v>1.0</v>
      </c>
      <c r="M49" s="18"/>
      <c r="N49" s="20" t="s">
        <v>293</v>
      </c>
      <c r="O49" s="18"/>
      <c r="P49" s="18"/>
      <c r="Q49" s="20" t="s">
        <v>294</v>
      </c>
      <c r="R49" s="20" t="s">
        <v>295</v>
      </c>
      <c r="S49" s="18"/>
      <c r="T49" s="18"/>
      <c r="U49" s="20" t="s">
        <v>296</v>
      </c>
      <c r="V49" s="186">
        <v>46142.476015520835</v>
      </c>
      <c r="W49" s="18"/>
      <c r="X49" s="18"/>
      <c r="Y49" s="18"/>
      <c r="Z49" s="18"/>
      <c r="AA49" s="18"/>
      <c r="AB49" s="18"/>
      <c r="AC49" s="18"/>
    </row>
    <row r="50">
      <c r="A50" s="187" t="s">
        <v>21</v>
      </c>
      <c r="B50" s="185" t="s">
        <v>22</v>
      </c>
      <c r="C50" s="20" t="s">
        <v>297</v>
      </c>
      <c r="D50" s="20" t="s">
        <v>24</v>
      </c>
      <c r="E50" s="18"/>
      <c r="F50" s="188">
        <v>46098.0</v>
      </c>
      <c r="G50" s="18"/>
      <c r="H50" s="188">
        <v>46105.0</v>
      </c>
      <c r="I50" s="20" t="s">
        <v>161</v>
      </c>
      <c r="J50" s="20" t="s">
        <v>34</v>
      </c>
      <c r="K50" s="189">
        <v>0.0</v>
      </c>
      <c r="L50" s="189">
        <v>0.0</v>
      </c>
      <c r="M50" s="18"/>
      <c r="N50" s="20" t="s">
        <v>298</v>
      </c>
      <c r="O50" s="18"/>
      <c r="P50" s="18"/>
      <c r="Q50" s="18"/>
      <c r="R50" s="20" t="s">
        <v>299</v>
      </c>
      <c r="S50" s="18"/>
      <c r="T50" s="18"/>
      <c r="U50" s="20" t="s">
        <v>300</v>
      </c>
      <c r="V50" s="186">
        <v>46148.442103587964</v>
      </c>
      <c r="W50" s="18"/>
      <c r="X50" s="18"/>
      <c r="Y50" s="18"/>
      <c r="Z50" s="18"/>
      <c r="AA50" s="18"/>
      <c r="AB50" s="18"/>
      <c r="AC50" s="18"/>
    </row>
    <row r="51">
      <c r="A51" s="187" t="s">
        <v>21</v>
      </c>
      <c r="B51" s="185" t="s">
        <v>22</v>
      </c>
      <c r="C51" s="20" t="s">
        <v>301</v>
      </c>
      <c r="D51" s="20" t="s">
        <v>24</v>
      </c>
      <c r="E51" s="18"/>
      <c r="F51" s="188">
        <v>46090.0</v>
      </c>
      <c r="G51" s="18"/>
      <c r="H51" s="18"/>
      <c r="I51" s="20" t="s">
        <v>39</v>
      </c>
      <c r="J51" s="20" t="s">
        <v>34</v>
      </c>
      <c r="K51" s="20" t="s">
        <v>302</v>
      </c>
      <c r="L51" s="20" t="s">
        <v>302</v>
      </c>
      <c r="M51" s="18"/>
      <c r="N51" s="20" t="s">
        <v>303</v>
      </c>
      <c r="O51" s="20" t="s">
        <v>304</v>
      </c>
      <c r="P51" s="18"/>
      <c r="Q51" s="18"/>
      <c r="R51" s="20" t="s">
        <v>305</v>
      </c>
      <c r="S51" s="18"/>
      <c r="T51" s="18"/>
      <c r="U51" s="20" t="s">
        <v>306</v>
      </c>
      <c r="V51" s="186">
        <v>46148.442138321756</v>
      </c>
      <c r="W51" s="18"/>
      <c r="X51" s="18"/>
      <c r="Y51" s="18"/>
      <c r="Z51" s="18"/>
      <c r="AA51" s="18"/>
      <c r="AB51" s="18"/>
      <c r="AC51" s="18"/>
    </row>
    <row r="52">
      <c r="A52" s="187" t="s">
        <v>118</v>
      </c>
      <c r="B52" s="185" t="s">
        <v>119</v>
      </c>
      <c r="C52" s="20" t="s">
        <v>307</v>
      </c>
      <c r="D52" s="18"/>
      <c r="E52" s="20" t="s">
        <v>79</v>
      </c>
      <c r="F52" s="188">
        <v>46113.0</v>
      </c>
      <c r="G52" s="188">
        <v>46121.0</v>
      </c>
      <c r="H52" s="18"/>
      <c r="I52" s="20" t="s">
        <v>161</v>
      </c>
      <c r="J52" s="20" t="s">
        <v>34</v>
      </c>
      <c r="K52" s="189">
        <v>6.5</v>
      </c>
      <c r="L52" s="189">
        <v>5.0</v>
      </c>
      <c r="M52" s="18"/>
      <c r="N52" s="18"/>
      <c r="O52" s="20" t="s">
        <v>308</v>
      </c>
      <c r="P52" s="18"/>
      <c r="Q52" s="20" t="s">
        <v>307</v>
      </c>
      <c r="R52" s="20" t="s">
        <v>309</v>
      </c>
      <c r="S52" s="18"/>
      <c r="T52" s="18"/>
      <c r="U52" s="20" t="s">
        <v>310</v>
      </c>
      <c r="V52" s="18"/>
      <c r="W52" s="186">
        <v>46148.451094502314</v>
      </c>
      <c r="X52" s="18"/>
      <c r="Y52" s="18"/>
      <c r="Z52" s="18"/>
      <c r="AA52" s="18"/>
      <c r="AB52" s="18"/>
      <c r="AC52" s="18"/>
    </row>
    <row r="53">
      <c r="A53" s="187" t="s">
        <v>118</v>
      </c>
      <c r="B53" s="185" t="s">
        <v>119</v>
      </c>
      <c r="C53" s="20" t="s">
        <v>311</v>
      </c>
      <c r="D53" s="20" t="s">
        <v>24</v>
      </c>
      <c r="E53" s="18"/>
      <c r="F53" s="188">
        <v>46073.0</v>
      </c>
      <c r="G53" s="188">
        <v>46078.0</v>
      </c>
      <c r="H53" s="18"/>
      <c r="I53" s="20" t="s">
        <v>161</v>
      </c>
      <c r="J53" s="20" t="s">
        <v>34</v>
      </c>
      <c r="K53" s="20" t="s">
        <v>283</v>
      </c>
      <c r="L53" s="20" t="s">
        <v>283</v>
      </c>
      <c r="M53" s="18"/>
      <c r="N53" s="18"/>
      <c r="O53" s="20" t="s">
        <v>308</v>
      </c>
      <c r="P53" s="18"/>
      <c r="Q53" s="18"/>
      <c r="R53" s="20" t="s">
        <v>312</v>
      </c>
      <c r="S53" s="18"/>
      <c r="T53" s="18"/>
      <c r="U53" s="18"/>
      <c r="V53" s="18"/>
      <c r="W53" s="186">
        <v>46148.45111722223</v>
      </c>
      <c r="X53" s="18"/>
      <c r="Y53" s="18"/>
      <c r="Z53" s="18"/>
      <c r="AA53" s="18"/>
      <c r="AB53" s="18"/>
      <c r="AC53" s="18"/>
    </row>
    <row r="54">
      <c r="A54" s="187" t="s">
        <v>118</v>
      </c>
      <c r="B54" s="185" t="s">
        <v>119</v>
      </c>
      <c r="C54" s="20" t="s">
        <v>313</v>
      </c>
      <c r="D54" s="20" t="s">
        <v>24</v>
      </c>
      <c r="E54" s="18"/>
      <c r="F54" s="188">
        <v>46120.0</v>
      </c>
      <c r="G54" s="188">
        <v>46120.0</v>
      </c>
      <c r="H54" s="188">
        <v>46120.0</v>
      </c>
      <c r="I54" s="20" t="s">
        <v>161</v>
      </c>
      <c r="J54" s="20" t="s">
        <v>34</v>
      </c>
      <c r="K54" s="189">
        <v>15.5</v>
      </c>
      <c r="L54" s="189">
        <v>13.0</v>
      </c>
      <c r="M54" s="18"/>
      <c r="N54" s="18"/>
      <c r="O54" s="18"/>
      <c r="P54" s="18"/>
      <c r="Q54" s="18"/>
      <c r="R54" s="20" t="s">
        <v>314</v>
      </c>
      <c r="S54" s="18"/>
      <c r="T54" s="18"/>
      <c r="U54" s="20" t="s">
        <v>315</v>
      </c>
      <c r="V54" s="18"/>
      <c r="W54" s="186">
        <v>46148.451415613425</v>
      </c>
      <c r="X54" s="18"/>
      <c r="Y54" s="18"/>
      <c r="Z54" s="18"/>
      <c r="AA54" s="18"/>
      <c r="AB54" s="18"/>
      <c r="AC54" s="18"/>
    </row>
    <row r="55">
      <c r="A55" s="187" t="s">
        <v>118</v>
      </c>
      <c r="B55" s="185" t="s">
        <v>166</v>
      </c>
      <c r="C55" s="20" t="s">
        <v>316</v>
      </c>
      <c r="D55" s="20" t="s">
        <v>24</v>
      </c>
      <c r="E55" s="18"/>
      <c r="F55" s="188">
        <v>46120.0</v>
      </c>
      <c r="G55" s="188">
        <v>46121.0</v>
      </c>
      <c r="H55" s="18"/>
      <c r="I55" s="20" t="s">
        <v>103</v>
      </c>
      <c r="J55" s="20" t="s">
        <v>34</v>
      </c>
      <c r="K55" s="189">
        <v>16.5</v>
      </c>
      <c r="L55" s="189">
        <v>15.5</v>
      </c>
      <c r="M55" s="18"/>
      <c r="N55" s="20" t="s">
        <v>317</v>
      </c>
      <c r="O55" s="18"/>
      <c r="P55" s="18"/>
      <c r="Q55" s="18"/>
      <c r="R55" s="20" t="s">
        <v>318</v>
      </c>
      <c r="S55" s="18"/>
      <c r="T55" s="18"/>
      <c r="U55" s="20" t="s">
        <v>319</v>
      </c>
      <c r="V55" s="18"/>
      <c r="W55" s="186">
        <v>46148.45144730324</v>
      </c>
      <c r="X55" s="18"/>
      <c r="Y55" s="18"/>
      <c r="Z55" s="18"/>
      <c r="AA55" s="18"/>
      <c r="AB55" s="18"/>
      <c r="AC55" s="18"/>
    </row>
    <row r="56">
      <c r="A56" s="187" t="s">
        <v>139</v>
      </c>
      <c r="B56" s="185" t="s">
        <v>140</v>
      </c>
      <c r="C56" s="20" t="s">
        <v>320</v>
      </c>
      <c r="D56" s="20" t="s">
        <v>24</v>
      </c>
      <c r="E56" s="20" t="s">
        <v>321</v>
      </c>
      <c r="F56" s="188">
        <v>46147.0</v>
      </c>
      <c r="G56" s="188">
        <v>46148.0</v>
      </c>
      <c r="H56" s="18"/>
      <c r="I56" s="20" t="s">
        <v>161</v>
      </c>
      <c r="J56" s="18"/>
      <c r="K56" s="18"/>
      <c r="L56" s="18"/>
      <c r="M56" s="18"/>
      <c r="N56" s="18"/>
      <c r="O56" s="18"/>
      <c r="P56" s="18"/>
      <c r="Q56" s="18"/>
      <c r="R56" s="18"/>
      <c r="S56" s="18"/>
      <c r="T56" s="18"/>
      <c r="U56" s="18"/>
      <c r="V56" s="18"/>
      <c r="W56" s="186">
        <v>46149.592071921295</v>
      </c>
      <c r="X56" s="18"/>
      <c r="Y56" s="18"/>
      <c r="Z56" s="18"/>
      <c r="AA56" s="18"/>
      <c r="AB56" s="18"/>
      <c r="AC56" s="18"/>
    </row>
    <row r="57">
      <c r="A57" s="187" t="s">
        <v>21</v>
      </c>
      <c r="B57" s="185" t="s">
        <v>22</v>
      </c>
      <c r="C57" s="20" t="s">
        <v>322</v>
      </c>
      <c r="D57" s="20" t="s">
        <v>24</v>
      </c>
      <c r="E57" s="20" t="s">
        <v>79</v>
      </c>
      <c r="F57" s="188">
        <v>46146.0</v>
      </c>
      <c r="G57" s="18"/>
      <c r="H57" s="18"/>
      <c r="I57" s="20" t="s">
        <v>161</v>
      </c>
      <c r="J57" s="20" t="s">
        <v>34</v>
      </c>
      <c r="K57" s="189">
        <v>0.5</v>
      </c>
      <c r="L57" s="189">
        <v>0.5</v>
      </c>
      <c r="M57" s="18"/>
      <c r="N57" s="18"/>
      <c r="O57" s="18"/>
      <c r="P57" s="18"/>
      <c r="Q57" s="18"/>
      <c r="R57" s="20" t="s">
        <v>323</v>
      </c>
      <c r="S57" s="18"/>
      <c r="T57" s="18"/>
      <c r="U57" s="20" t="s">
        <v>324</v>
      </c>
      <c r="V57" s="186">
        <v>46162.42420175926</v>
      </c>
      <c r="W57" s="18"/>
      <c r="X57" s="18"/>
      <c r="Y57" s="18"/>
      <c r="Z57" s="18"/>
      <c r="AA57" s="18"/>
      <c r="AB57" s="18"/>
      <c r="AC57" s="18"/>
    </row>
    <row r="58">
      <c r="A58" s="187" t="s">
        <v>139</v>
      </c>
      <c r="B58" s="185" t="s">
        <v>140</v>
      </c>
      <c r="C58" s="20" t="s">
        <v>325</v>
      </c>
      <c r="D58" s="20" t="s">
        <v>24</v>
      </c>
      <c r="E58" s="20" t="s">
        <v>321</v>
      </c>
      <c r="F58" s="188">
        <v>46147.0</v>
      </c>
      <c r="G58" s="188">
        <v>46148.0</v>
      </c>
      <c r="H58" s="18"/>
      <c r="I58" s="20" t="s">
        <v>161</v>
      </c>
      <c r="J58" s="20" t="s">
        <v>55</v>
      </c>
      <c r="K58" s="189">
        <v>17.0</v>
      </c>
      <c r="L58" s="189">
        <v>15.0</v>
      </c>
      <c r="M58" s="18"/>
      <c r="N58" s="20" t="s">
        <v>326</v>
      </c>
      <c r="O58" s="18"/>
      <c r="P58" s="18"/>
      <c r="Q58" s="18"/>
      <c r="R58" s="20" t="s">
        <v>327</v>
      </c>
      <c r="S58" s="18"/>
      <c r="T58" s="18"/>
      <c r="U58" s="20" t="s">
        <v>328</v>
      </c>
      <c r="V58" s="186">
        <v>46175.36909917824</v>
      </c>
      <c r="W58" s="18"/>
      <c r="X58" s="18"/>
      <c r="Y58" s="18"/>
      <c r="Z58" s="18"/>
      <c r="AA58" s="18"/>
      <c r="AB58" s="18"/>
      <c r="AC58" s="18"/>
    </row>
    <row r="59">
      <c r="A59" s="187" t="s">
        <v>21</v>
      </c>
      <c r="B59" s="185" t="s">
        <v>22</v>
      </c>
      <c r="C59" s="20" t="s">
        <v>329</v>
      </c>
      <c r="D59" s="20" t="s">
        <v>24</v>
      </c>
      <c r="E59" s="18"/>
      <c r="F59" s="188">
        <v>46143.0</v>
      </c>
      <c r="G59" s="18"/>
      <c r="H59" s="18"/>
      <c r="I59" s="20" t="s">
        <v>161</v>
      </c>
      <c r="J59" s="20" t="s">
        <v>34</v>
      </c>
      <c r="K59" s="189">
        <v>22.15</v>
      </c>
      <c r="L59" s="189">
        <v>20.3</v>
      </c>
      <c r="M59" s="18"/>
      <c r="N59" s="20" t="s">
        <v>330</v>
      </c>
      <c r="O59" s="18"/>
      <c r="P59" s="18"/>
      <c r="Q59" s="18"/>
      <c r="R59" s="20" t="s">
        <v>331</v>
      </c>
      <c r="S59" s="18"/>
      <c r="T59" s="18"/>
      <c r="U59" s="20" t="s">
        <v>332</v>
      </c>
      <c r="V59" s="186">
        <v>46176.72481912037</v>
      </c>
      <c r="W59" s="18"/>
      <c r="X59" s="18"/>
      <c r="Y59" s="18"/>
      <c r="Z59" s="18"/>
      <c r="AA59" s="18"/>
      <c r="AB59" s="18"/>
      <c r="AC59" s="18"/>
    </row>
    <row r="60">
      <c r="A60" s="187" t="s">
        <v>21</v>
      </c>
      <c r="B60" s="185" t="s">
        <v>22</v>
      </c>
      <c r="C60" s="20" t="s">
        <v>333</v>
      </c>
      <c r="D60" s="20" t="s">
        <v>24</v>
      </c>
      <c r="E60" s="18"/>
      <c r="F60" s="188">
        <v>46143.0</v>
      </c>
      <c r="G60" s="18"/>
      <c r="H60" s="18"/>
      <c r="I60" s="20" t="s">
        <v>161</v>
      </c>
      <c r="J60" s="20" t="s">
        <v>34</v>
      </c>
      <c r="K60" s="189">
        <v>69.5</v>
      </c>
      <c r="L60" s="189">
        <v>66.15</v>
      </c>
      <c r="M60" s="18"/>
      <c r="N60" s="18"/>
      <c r="O60" s="20" t="s">
        <v>334</v>
      </c>
      <c r="P60" s="18"/>
      <c r="Q60" s="18"/>
      <c r="R60" s="20" t="s">
        <v>335</v>
      </c>
      <c r="S60" s="18"/>
      <c r="T60" s="18"/>
      <c r="U60" s="20" t="s">
        <v>336</v>
      </c>
      <c r="V60" s="186">
        <v>46184.40108805556</v>
      </c>
      <c r="W60" s="18"/>
      <c r="X60" s="18"/>
      <c r="Y60" s="18"/>
      <c r="Z60" s="18"/>
      <c r="AA60" s="18"/>
      <c r="AB60" s="18"/>
      <c r="AC60" s="18"/>
    </row>
    <row r="61">
      <c r="A61" s="187" t="s">
        <v>21</v>
      </c>
      <c r="B61" s="185" t="s">
        <v>22</v>
      </c>
      <c r="C61" s="20" t="s">
        <v>337</v>
      </c>
      <c r="D61" s="20" t="s">
        <v>24</v>
      </c>
      <c r="E61" s="20" t="s">
        <v>25</v>
      </c>
      <c r="F61" s="188">
        <v>46157.0</v>
      </c>
      <c r="G61" s="188">
        <v>46162.0</v>
      </c>
      <c r="H61" s="18"/>
      <c r="I61" s="20" t="s">
        <v>161</v>
      </c>
      <c r="J61" s="20" t="s">
        <v>34</v>
      </c>
      <c r="K61" s="189">
        <v>11.0</v>
      </c>
      <c r="L61" s="189">
        <v>9.5</v>
      </c>
      <c r="M61" s="18"/>
      <c r="N61" s="18"/>
      <c r="O61" s="18"/>
      <c r="P61" s="18"/>
      <c r="Q61" s="18"/>
      <c r="R61" s="20" t="s">
        <v>338</v>
      </c>
      <c r="S61" s="20" t="s">
        <v>339</v>
      </c>
      <c r="T61" s="18"/>
      <c r="U61" s="20" t="s">
        <v>340</v>
      </c>
      <c r="V61" s="186">
        <v>46184.404648958334</v>
      </c>
      <c r="W61" s="18"/>
      <c r="X61" s="18"/>
      <c r="Y61" s="18"/>
      <c r="Z61" s="18"/>
      <c r="AA61" s="18"/>
      <c r="AB61" s="18"/>
      <c r="AC61" s="18"/>
    </row>
    <row r="62">
      <c r="A62" s="187" t="s">
        <v>118</v>
      </c>
      <c r="B62" s="185" t="s">
        <v>119</v>
      </c>
      <c r="C62" s="20" t="s">
        <v>341</v>
      </c>
      <c r="D62" s="20" t="s">
        <v>24</v>
      </c>
      <c r="E62" s="18"/>
      <c r="F62" s="188">
        <v>46143.0</v>
      </c>
      <c r="G62" s="18"/>
      <c r="H62" s="18"/>
      <c r="I62" s="20" t="s">
        <v>161</v>
      </c>
      <c r="J62" s="20" t="s">
        <v>34</v>
      </c>
      <c r="K62" s="189">
        <v>30.5</v>
      </c>
      <c r="L62" s="189">
        <v>27.5</v>
      </c>
      <c r="M62" s="18"/>
      <c r="N62" s="18"/>
      <c r="O62" s="18"/>
      <c r="P62" s="18"/>
      <c r="Q62" s="18"/>
      <c r="R62" s="20" t="s">
        <v>135</v>
      </c>
      <c r="S62" s="18"/>
      <c r="T62" s="18"/>
      <c r="U62" s="20" t="s">
        <v>342</v>
      </c>
      <c r="V62" s="186">
        <v>46184.5075815625</v>
      </c>
      <c r="W62" s="18"/>
      <c r="X62" s="18"/>
      <c r="Y62" s="18"/>
      <c r="Z62" s="18"/>
      <c r="AA62" s="18"/>
      <c r="AB62" s="18"/>
      <c r="AC62" s="18"/>
    </row>
    <row r="63">
      <c r="A63" s="187" t="s">
        <v>21</v>
      </c>
      <c r="B63" s="185" t="s">
        <v>22</v>
      </c>
      <c r="C63" s="20" t="s">
        <v>343</v>
      </c>
      <c r="D63" s="20" t="s">
        <v>53</v>
      </c>
      <c r="E63" s="18"/>
      <c r="F63" s="18"/>
      <c r="G63" s="18"/>
      <c r="H63" s="18"/>
      <c r="I63" s="20" t="s">
        <v>161</v>
      </c>
      <c r="J63" s="20" t="s">
        <v>34</v>
      </c>
      <c r="K63" s="189">
        <v>5.5</v>
      </c>
      <c r="L63" s="189">
        <v>6.0</v>
      </c>
      <c r="M63" s="18"/>
      <c r="N63" s="18"/>
      <c r="O63" s="18"/>
      <c r="P63" s="18"/>
      <c r="Q63" s="18"/>
      <c r="R63" s="20" t="s">
        <v>344</v>
      </c>
      <c r="S63" s="18"/>
      <c r="T63" s="18"/>
      <c r="U63" s="20" t="s">
        <v>345</v>
      </c>
      <c r="V63" s="186">
        <v>46185.43892240741</v>
      </c>
      <c r="W63" s="18"/>
      <c r="X63" s="18"/>
      <c r="Y63" s="18"/>
      <c r="Z63" s="18"/>
      <c r="AA63" s="18"/>
      <c r="AB63" s="18"/>
      <c r="AC63" s="18"/>
    </row>
    <row r="64">
      <c r="A64" s="187" t="s">
        <v>21</v>
      </c>
      <c r="B64" s="185" t="s">
        <v>22</v>
      </c>
      <c r="C64" s="20" t="s">
        <v>346</v>
      </c>
      <c r="D64" s="20" t="s">
        <v>53</v>
      </c>
      <c r="E64" s="18"/>
      <c r="F64" s="18"/>
      <c r="G64" s="18"/>
      <c r="H64" s="18"/>
      <c r="I64" s="20" t="s">
        <v>161</v>
      </c>
      <c r="J64" s="20" t="s">
        <v>34</v>
      </c>
      <c r="K64" s="189">
        <v>5.0</v>
      </c>
      <c r="L64" s="189">
        <v>4.5</v>
      </c>
      <c r="M64" s="18"/>
      <c r="N64" s="18"/>
      <c r="O64" s="20" t="s">
        <v>347</v>
      </c>
      <c r="P64" s="18"/>
      <c r="Q64" s="20" t="s">
        <v>348</v>
      </c>
      <c r="R64" s="20" t="s">
        <v>349</v>
      </c>
      <c r="S64" s="18"/>
      <c r="T64" s="18"/>
      <c r="U64" s="20" t="s">
        <v>350</v>
      </c>
      <c r="V64" s="186">
        <v>46185.43918581019</v>
      </c>
      <c r="W64" s="18"/>
      <c r="X64" s="18"/>
      <c r="Y64" s="18"/>
      <c r="Z64" s="18"/>
      <c r="AA64" s="18"/>
      <c r="AB64" s="18"/>
      <c r="AC64" s="18"/>
    </row>
    <row r="65">
      <c r="A65" s="187" t="s">
        <v>63</v>
      </c>
      <c r="B65" s="185" t="s">
        <v>64</v>
      </c>
      <c r="C65" s="20" t="s">
        <v>351</v>
      </c>
      <c r="D65" s="20" t="s">
        <v>24</v>
      </c>
      <c r="E65" s="18"/>
      <c r="F65" s="188">
        <v>46143.0</v>
      </c>
      <c r="G65" s="18"/>
      <c r="H65" s="18"/>
      <c r="I65" s="20" t="s">
        <v>161</v>
      </c>
      <c r="J65" s="20" t="s">
        <v>34</v>
      </c>
      <c r="K65" s="189">
        <v>9.0</v>
      </c>
      <c r="L65" s="189">
        <v>8.0</v>
      </c>
      <c r="M65" s="18"/>
      <c r="N65" s="18"/>
      <c r="O65" s="18"/>
      <c r="P65" s="18"/>
      <c r="Q65" s="18"/>
      <c r="R65" s="20" t="s">
        <v>76</v>
      </c>
      <c r="S65" s="18"/>
      <c r="T65" s="18"/>
      <c r="U65" s="20" t="s">
        <v>352</v>
      </c>
      <c r="V65" s="186">
        <v>46186.26208303241</v>
      </c>
      <c r="W65" s="18"/>
      <c r="X65" s="18"/>
      <c r="Y65" s="18"/>
      <c r="Z65" s="18"/>
      <c r="AA65" s="18"/>
      <c r="AB65" s="18"/>
      <c r="AC65" s="18"/>
    </row>
    <row r="66">
      <c r="A66" s="187" t="s">
        <v>63</v>
      </c>
      <c r="B66" s="185" t="s">
        <v>64</v>
      </c>
      <c r="C66" s="20" t="s">
        <v>353</v>
      </c>
      <c r="D66" s="20" t="s">
        <v>354</v>
      </c>
      <c r="E66" s="18"/>
      <c r="F66" s="188">
        <v>46155.0</v>
      </c>
      <c r="G66" s="188">
        <v>46160.0</v>
      </c>
      <c r="H66" s="188">
        <v>46160.0</v>
      </c>
      <c r="I66" s="20" t="s">
        <v>161</v>
      </c>
      <c r="J66" s="20" t="s">
        <v>34</v>
      </c>
      <c r="K66" s="189">
        <v>28.0</v>
      </c>
      <c r="L66" s="189">
        <v>23.5</v>
      </c>
      <c r="M66" s="18"/>
      <c r="N66" s="18"/>
      <c r="O66" s="18"/>
      <c r="P66" s="190" t="s">
        <v>355</v>
      </c>
      <c r="Q66" s="20" t="s">
        <v>69</v>
      </c>
      <c r="R66" s="20" t="s">
        <v>70</v>
      </c>
      <c r="S66" s="18"/>
      <c r="T66" s="18"/>
      <c r="U66" s="20" t="s">
        <v>356</v>
      </c>
      <c r="V66" s="20" t="s">
        <v>357</v>
      </c>
      <c r="W66" s="188">
        <v>46190.546346030096</v>
      </c>
      <c r="X66" s="18"/>
      <c r="Y66" s="18"/>
      <c r="Z66" s="18"/>
      <c r="AA66" s="18"/>
      <c r="AB66" s="18"/>
      <c r="AC66" s="18"/>
    </row>
    <row r="67">
      <c r="A67" s="167"/>
      <c r="B67" s="167"/>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c r="A68" s="167"/>
      <c r="B68" s="167"/>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c r="A69" s="167"/>
      <c r="B69" s="167"/>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c r="A70" s="167"/>
      <c r="B70" s="167"/>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c r="A71" s="167"/>
      <c r="B71" s="167"/>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c r="A72" s="167"/>
      <c r="B72" s="167"/>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c r="A73" s="167"/>
      <c r="B73" s="167"/>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row>
    <row r="74">
      <c r="A74" s="167"/>
      <c r="B74" s="167"/>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c r="A75" s="167"/>
      <c r="B75" s="167"/>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row>
    <row r="76">
      <c r="A76" s="167"/>
      <c r="B76" s="167"/>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c r="A77" s="167"/>
      <c r="B77" s="167"/>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row>
    <row r="78">
      <c r="A78" s="167"/>
      <c r="B78" s="167"/>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c r="A79" s="167"/>
      <c r="B79" s="167"/>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row>
    <row r="80">
      <c r="A80" s="167"/>
      <c r="B80" s="167"/>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c r="A81" s="167"/>
      <c r="B81" s="167"/>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row>
    <row r="82">
      <c r="A82" s="167"/>
      <c r="B82" s="167"/>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row>
    <row r="83">
      <c r="A83" s="167"/>
      <c r="B83" s="167"/>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row>
    <row r="84">
      <c r="A84" s="167"/>
      <c r="B84" s="167"/>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row>
    <row r="85">
      <c r="A85" s="167"/>
      <c r="B85" s="167"/>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c r="A86" s="167"/>
      <c r="B86" s="167"/>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c r="A87" s="167"/>
      <c r="B87" s="167"/>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c r="A88" s="167"/>
      <c r="B88" s="167"/>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row>
    <row r="89">
      <c r="A89" s="167"/>
      <c r="B89" s="167"/>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row>
    <row r="90">
      <c r="A90" s="167"/>
      <c r="B90" s="167"/>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row>
    <row r="91">
      <c r="A91" s="167"/>
      <c r="B91" s="167"/>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row>
    <row r="92">
      <c r="A92" s="167"/>
      <c r="B92" s="167"/>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c r="A93" s="167"/>
      <c r="B93" s="167"/>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c r="A94" s="167"/>
      <c r="B94" s="167"/>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c r="A95" s="167"/>
      <c r="B95" s="167"/>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row>
    <row r="96">
      <c r="A96" s="167"/>
      <c r="B96" s="167"/>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row>
    <row r="97">
      <c r="A97" s="167"/>
      <c r="B97" s="167"/>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row>
    <row r="98">
      <c r="A98" s="167"/>
      <c r="B98" s="167"/>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row>
    <row r="99">
      <c r="A99" s="167"/>
      <c r="B99" s="167"/>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row>
    <row r="100">
      <c r="A100" s="167"/>
      <c r="B100" s="167"/>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c r="A101" s="167"/>
      <c r="B101" s="167"/>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c r="A102" s="167"/>
      <c r="B102" s="167"/>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c r="A103" s="167"/>
      <c r="B103" s="167"/>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c r="A104" s="167"/>
      <c r="B104" s="167"/>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c r="A105" s="167"/>
      <c r="B105" s="167"/>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c r="A106" s="167"/>
      <c r="B106" s="167"/>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c r="A107" s="167"/>
      <c r="B107" s="167"/>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row>
    <row r="108">
      <c r="A108" s="167"/>
      <c r="B108" s="167"/>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row>
    <row r="109">
      <c r="A109" s="167"/>
      <c r="B109" s="167"/>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row>
    <row r="110">
      <c r="A110" s="167"/>
      <c r="B110" s="167"/>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row>
    <row r="111">
      <c r="A111" s="167"/>
      <c r="B111" s="167"/>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row>
    <row r="112">
      <c r="A112" s="167"/>
      <c r="B112" s="167"/>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row>
    <row r="113">
      <c r="A113" s="167"/>
      <c r="B113" s="167"/>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row>
    <row r="114">
      <c r="A114" s="167"/>
      <c r="B114" s="167"/>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row>
    <row r="115">
      <c r="A115" s="167"/>
      <c r="B115" s="167"/>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row>
    <row r="116">
      <c r="A116" s="167"/>
      <c r="B116" s="167"/>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row>
    <row r="117">
      <c r="A117" s="167"/>
      <c r="B117" s="167"/>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row>
    <row r="118">
      <c r="A118" s="167"/>
      <c r="B118" s="167"/>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row>
    <row r="119">
      <c r="A119" s="167"/>
      <c r="B119" s="167"/>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row>
    <row r="120">
      <c r="A120" s="167"/>
      <c r="B120" s="167"/>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c r="A121" s="167"/>
      <c r="B121" s="167"/>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row>
    <row r="122">
      <c r="A122" s="167"/>
      <c r="B122" s="167"/>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c r="A123" s="167"/>
      <c r="B123" s="167"/>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row>
    <row r="124">
      <c r="A124" s="167"/>
      <c r="B124" s="167"/>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row>
    <row r="125">
      <c r="A125" s="167"/>
      <c r="B125" s="167"/>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row>
    <row r="126">
      <c r="A126" s="167"/>
      <c r="B126" s="167"/>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row>
    <row r="127">
      <c r="A127" s="167"/>
      <c r="B127" s="167"/>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row>
    <row r="128">
      <c r="A128" s="167"/>
      <c r="B128" s="167"/>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c r="A129" s="167"/>
      <c r="B129" s="167"/>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row>
    <row r="130">
      <c r="A130" s="167"/>
      <c r="B130" s="167"/>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c r="A131" s="167"/>
      <c r="B131" s="167"/>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row>
    <row r="132">
      <c r="A132" s="167"/>
      <c r="B132" s="167"/>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c r="A133" s="167"/>
      <c r="B133" s="167"/>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row>
    <row r="134">
      <c r="A134" s="167"/>
      <c r="B134" s="167"/>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row>
    <row r="135">
      <c r="A135" s="167"/>
      <c r="B135" s="167"/>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row>
    <row r="136">
      <c r="A136" s="167"/>
      <c r="B136" s="167"/>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c r="A137" s="167"/>
      <c r="B137" s="167"/>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row>
    <row r="138">
      <c r="A138" s="167"/>
      <c r="B138" s="167"/>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c r="A139" s="167"/>
      <c r="B139" s="167"/>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row>
    <row r="140">
      <c r="A140" s="167"/>
      <c r="B140" s="167"/>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 r="A141" s="167"/>
      <c r="B141" s="167"/>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row>
    <row r="142">
      <c r="A142" s="167"/>
      <c r="B142" s="167"/>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row>
    <row r="143">
      <c r="A143" s="167"/>
      <c r="B143" s="167"/>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row>
    <row r="144">
      <c r="A144" s="167"/>
      <c r="B144" s="167"/>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row>
    <row r="145">
      <c r="A145" s="167"/>
      <c r="B145" s="167"/>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row>
    <row r="146">
      <c r="A146" s="167"/>
      <c r="B146" s="167"/>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c r="A147" s="167"/>
      <c r="B147" s="167"/>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row>
    <row r="148">
      <c r="A148" s="167"/>
      <c r="B148" s="167"/>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c r="A149" s="167"/>
      <c r="B149" s="167"/>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row>
    <row r="150">
      <c r="A150" s="167"/>
      <c r="B150" s="167"/>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c r="A151" s="167"/>
      <c r="B151" s="167"/>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row>
    <row r="152">
      <c r="A152" s="167"/>
      <c r="B152" s="167"/>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c r="A153" s="167"/>
      <c r="B153" s="167"/>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row>
    <row r="154">
      <c r="A154" s="167"/>
      <c r="B154" s="167"/>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c r="A155" s="167"/>
      <c r="B155" s="167"/>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row>
    <row r="156">
      <c r="A156" s="167"/>
      <c r="B156" s="167"/>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c r="A157" s="167"/>
      <c r="B157" s="167"/>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row>
    <row r="158">
      <c r="A158" s="167"/>
      <c r="B158" s="167"/>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c r="A159" s="167"/>
      <c r="B159" s="167"/>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c r="A160" s="167"/>
      <c r="B160" s="167"/>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c r="A161" s="167"/>
      <c r="B161" s="167"/>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row>
    <row r="162">
      <c r="A162" s="167"/>
      <c r="B162" s="167"/>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c r="A163" s="167"/>
      <c r="B163" s="167"/>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row>
    <row r="164">
      <c r="A164" s="167"/>
      <c r="B164" s="167"/>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 r="A165" s="167"/>
      <c r="B165" s="167"/>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row>
    <row r="166">
      <c r="A166" s="167"/>
      <c r="B166" s="167"/>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c r="A167" s="167"/>
      <c r="B167" s="167"/>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c r="A168" s="167"/>
      <c r="B168" s="167"/>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c r="A169" s="167"/>
      <c r="B169" s="167"/>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row>
    <row r="170">
      <c r="A170" s="167"/>
      <c r="B170" s="167"/>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c r="A171" s="167"/>
      <c r="B171" s="167"/>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row>
    <row r="172">
      <c r="A172" s="167"/>
      <c r="B172" s="167"/>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c r="A173" s="167"/>
      <c r="B173" s="167"/>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row>
    <row r="174">
      <c r="A174" s="167"/>
      <c r="B174" s="167"/>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c r="A175" s="167"/>
      <c r="B175" s="167"/>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c r="A176" s="167"/>
      <c r="B176" s="167"/>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c r="A177" s="167"/>
      <c r="B177" s="167"/>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c r="A178" s="167"/>
      <c r="B178" s="167"/>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c r="A179" s="167"/>
      <c r="B179" s="167"/>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c r="A180" s="167"/>
      <c r="B180" s="167"/>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c r="A181" s="167"/>
      <c r="B181" s="167"/>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row>
    <row r="182">
      <c r="A182" s="167"/>
      <c r="B182" s="167"/>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c r="A183" s="167"/>
      <c r="B183" s="167"/>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row>
    <row r="184">
      <c r="A184" s="167"/>
      <c r="B184" s="167"/>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c r="A185" s="167"/>
      <c r="B185" s="167"/>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c r="A186" s="167"/>
      <c r="B186" s="167"/>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c r="A187" s="167"/>
      <c r="B187" s="167"/>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c r="A188" s="167"/>
      <c r="B188" s="167"/>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c r="A189" s="167"/>
      <c r="B189" s="167"/>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c r="A190" s="167"/>
      <c r="B190" s="167"/>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c r="A191" s="167"/>
      <c r="B191" s="167"/>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c r="A192" s="167"/>
      <c r="B192" s="167"/>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c r="A193" s="167"/>
      <c r="B193" s="167"/>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c r="A194" s="167"/>
      <c r="B194" s="167"/>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c r="A195" s="167"/>
      <c r="B195" s="167"/>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row>
    <row r="196">
      <c r="A196" s="167"/>
      <c r="B196" s="167"/>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c r="A197" s="167"/>
      <c r="B197" s="167"/>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row>
    <row r="198">
      <c r="A198" s="167"/>
      <c r="B198" s="167"/>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c r="A199" s="167"/>
      <c r="B199" s="167"/>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row>
    <row r="200">
      <c r="A200" s="167"/>
      <c r="B200" s="167"/>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c r="A201" s="167"/>
      <c r="B201" s="167"/>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c r="A202" s="167"/>
      <c r="B202" s="167"/>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c r="A203" s="167"/>
      <c r="B203" s="167"/>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c r="A204" s="167"/>
      <c r="B204" s="167"/>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c r="A205" s="167"/>
      <c r="B205" s="167"/>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row>
    <row r="206">
      <c r="A206" s="167"/>
      <c r="B206" s="167"/>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c r="A207" s="167"/>
      <c r="B207" s="167"/>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row>
    <row r="208">
      <c r="A208" s="167"/>
      <c r="B208" s="167"/>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c r="A209" s="167"/>
      <c r="B209" s="167"/>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c r="A210" s="167"/>
      <c r="B210" s="167"/>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c r="A211" s="167"/>
      <c r="B211" s="167"/>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c r="A212" s="167"/>
      <c r="B212" s="167"/>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row>
    <row r="213">
      <c r="A213" s="167"/>
      <c r="B213" s="167"/>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row>
    <row r="214">
      <c r="A214" s="167"/>
      <c r="B214" s="167"/>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row>
    <row r="215">
      <c r="A215" s="167"/>
      <c r="B215" s="167"/>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row>
    <row r="216">
      <c r="A216" s="167"/>
      <c r="B216" s="167"/>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c r="A217" s="167"/>
      <c r="B217" s="167"/>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row>
    <row r="218">
      <c r="A218" s="167"/>
      <c r="B218" s="167"/>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c r="A219" s="167"/>
      <c r="B219" s="167"/>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row>
    <row r="220">
      <c r="A220" s="167"/>
      <c r="B220" s="167"/>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row>
    <row r="221">
      <c r="A221" s="167"/>
      <c r="B221" s="167"/>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row>
    <row r="222">
      <c r="A222" s="167"/>
      <c r="B222" s="167"/>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row>
    <row r="223">
      <c r="A223" s="167"/>
      <c r="B223" s="167"/>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row>
    <row r="224">
      <c r="A224" s="167"/>
      <c r="B224" s="167"/>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c r="A225" s="167"/>
      <c r="B225" s="167"/>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row>
    <row r="226">
      <c r="A226" s="167"/>
      <c r="B226" s="167"/>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row>
    <row r="227">
      <c r="A227" s="167"/>
      <c r="B227" s="167"/>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row>
    <row r="228">
      <c r="A228" s="167"/>
      <c r="B228" s="167"/>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row>
    <row r="229">
      <c r="A229" s="167"/>
      <c r="B229" s="167"/>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row>
    <row r="230">
      <c r="A230" s="167"/>
      <c r="B230" s="167"/>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c r="A231" s="167"/>
      <c r="B231" s="167"/>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row>
    <row r="232">
      <c r="A232" s="167"/>
      <c r="B232" s="167"/>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c r="A233" s="167"/>
      <c r="B233" s="167"/>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row>
    <row r="234">
      <c r="A234" s="167"/>
      <c r="B234" s="167"/>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row>
    <row r="235">
      <c r="A235" s="167"/>
      <c r="B235" s="167"/>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row>
    <row r="236">
      <c r="A236" s="167"/>
      <c r="B236" s="167"/>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row>
    <row r="237">
      <c r="A237" s="167"/>
      <c r="B237" s="167"/>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row>
    <row r="238">
      <c r="A238" s="167"/>
      <c r="B238" s="167"/>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row>
    <row r="239">
      <c r="A239" s="167"/>
      <c r="B239" s="167"/>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row>
    <row r="240">
      <c r="A240" s="167"/>
      <c r="B240" s="167"/>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c r="A241" s="167"/>
      <c r="B241" s="167"/>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row>
    <row r="242">
      <c r="A242" s="167"/>
      <c r="B242" s="167"/>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c r="A243" s="167"/>
      <c r="B243" s="167"/>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row>
    <row r="244">
      <c r="A244" s="167"/>
      <c r="B244" s="167"/>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c r="A245" s="167"/>
      <c r="B245" s="167"/>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row>
    <row r="246">
      <c r="A246" s="167"/>
      <c r="B246" s="167"/>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c r="A247" s="167"/>
      <c r="B247" s="167"/>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c r="A248" s="167"/>
      <c r="B248" s="167"/>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c r="A249" s="167"/>
      <c r="B249" s="167"/>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row>
    <row r="250">
      <c r="A250" s="167"/>
      <c r="B250" s="167"/>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c r="A251" s="167"/>
      <c r="B251" s="167"/>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row>
    <row r="252">
      <c r="A252" s="167"/>
      <c r="B252" s="167"/>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c r="A253" s="167"/>
      <c r="B253" s="167"/>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c r="A254" s="167"/>
      <c r="B254" s="167"/>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c r="A255" s="167"/>
      <c r="B255" s="167"/>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c r="A256" s="167"/>
      <c r="B256" s="167"/>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c r="A257" s="167"/>
      <c r="B257" s="167"/>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row>
    <row r="258">
      <c r="A258" s="167"/>
      <c r="B258" s="167"/>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c r="A259" s="167"/>
      <c r="B259" s="167"/>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row>
    <row r="260">
      <c r="A260" s="167"/>
      <c r="B260" s="167"/>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c r="A261" s="167"/>
      <c r="B261" s="167"/>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row>
    <row r="262">
      <c r="A262" s="167"/>
      <c r="B262" s="167"/>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c r="A263" s="167"/>
      <c r="B263" s="167"/>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row>
    <row r="264">
      <c r="A264" s="167"/>
      <c r="B264" s="167"/>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c r="A265" s="167"/>
      <c r="B265" s="167"/>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row>
    <row r="266">
      <c r="A266" s="167"/>
      <c r="B266" s="167"/>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c r="A267" s="167"/>
      <c r="B267" s="167"/>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c r="A268" s="167"/>
      <c r="B268" s="167"/>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c r="A269" s="167"/>
      <c r="B269" s="167"/>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c r="A270" s="167"/>
      <c r="B270" s="167"/>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c r="A271" s="167"/>
      <c r="B271" s="167"/>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c r="A272" s="167"/>
      <c r="B272" s="167"/>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c r="A273" s="167"/>
      <c r="B273" s="167"/>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row>
    <row r="274">
      <c r="A274" s="167"/>
      <c r="B274" s="167"/>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c r="A275" s="167"/>
      <c r="B275" s="167"/>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row>
    <row r="276">
      <c r="A276" s="167"/>
      <c r="B276" s="167"/>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c r="A277" s="167"/>
      <c r="B277" s="167"/>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c r="A278" s="167"/>
      <c r="B278" s="167"/>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c r="A279" s="167"/>
      <c r="B279" s="167"/>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c r="A280" s="167"/>
      <c r="B280" s="167"/>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c r="A281" s="167"/>
      <c r="B281" s="167"/>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row>
    <row r="282">
      <c r="A282" s="167"/>
      <c r="B282" s="167"/>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c r="A283" s="167"/>
      <c r="B283" s="167"/>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c r="A284" s="167"/>
      <c r="B284" s="167"/>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c r="A285" s="167"/>
      <c r="B285" s="167"/>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row>
    <row r="286">
      <c r="A286" s="167"/>
      <c r="B286" s="167"/>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c r="A287" s="167"/>
      <c r="B287" s="167"/>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row>
    <row r="288">
      <c r="A288" s="167"/>
      <c r="B288" s="167"/>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c r="A289" s="167"/>
      <c r="B289" s="167"/>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c r="A290" s="167"/>
      <c r="B290" s="167"/>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c r="A291" s="167"/>
      <c r="B291" s="167"/>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c r="A292" s="167"/>
      <c r="B292" s="167"/>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c r="A293" s="167"/>
      <c r="B293" s="167"/>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row>
    <row r="294">
      <c r="A294" s="167"/>
      <c r="B294" s="167"/>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c r="A295" s="167"/>
      <c r="B295" s="167"/>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c r="A296" s="167"/>
      <c r="B296" s="167"/>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c r="A297" s="167"/>
      <c r="B297" s="167"/>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row>
    <row r="298">
      <c r="A298" s="167"/>
      <c r="B298" s="167"/>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c r="A299" s="167"/>
      <c r="B299" s="167"/>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row>
    <row r="300">
      <c r="A300" s="167"/>
      <c r="B300" s="167"/>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c r="A301" s="167"/>
      <c r="B301" s="167"/>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row>
    <row r="302">
      <c r="A302" s="167"/>
      <c r="B302" s="167"/>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c r="A303" s="167"/>
      <c r="B303" s="167"/>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row>
    <row r="304">
      <c r="A304" s="167"/>
      <c r="B304" s="167"/>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c r="A305" s="167"/>
      <c r="B305" s="167"/>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c r="A306" s="167"/>
      <c r="B306" s="167"/>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c r="A307" s="167"/>
      <c r="B307" s="167"/>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row>
    <row r="308">
      <c r="A308" s="167"/>
      <c r="B308" s="167"/>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c r="A309" s="167"/>
      <c r="B309" s="167"/>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row>
    <row r="310">
      <c r="A310" s="167"/>
      <c r="B310" s="167"/>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c r="A311" s="167"/>
      <c r="B311" s="167"/>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c r="A312" s="167"/>
      <c r="B312" s="167"/>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c r="A313" s="167"/>
      <c r="B313" s="167"/>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c r="A314" s="167"/>
      <c r="B314" s="167"/>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c r="A315" s="167"/>
      <c r="B315" s="167"/>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row>
    <row r="316">
      <c r="A316" s="167"/>
      <c r="B316" s="167"/>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c r="A317" s="167"/>
      <c r="B317" s="167"/>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row>
    <row r="318">
      <c r="A318" s="167"/>
      <c r="B318" s="167"/>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c r="A319" s="167"/>
      <c r="B319" s="167"/>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row>
    <row r="320">
      <c r="A320" s="167"/>
      <c r="B320" s="167"/>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c r="A321" s="167"/>
      <c r="B321" s="167"/>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row>
    <row r="322">
      <c r="A322" s="167"/>
      <c r="B322" s="167"/>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c r="A323" s="167"/>
      <c r="B323" s="167"/>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row>
    <row r="324">
      <c r="A324" s="167"/>
      <c r="B324" s="167"/>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c r="A325" s="167"/>
      <c r="B325" s="167"/>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row>
    <row r="326">
      <c r="A326" s="167"/>
      <c r="B326" s="167"/>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c r="A327" s="167"/>
      <c r="B327" s="167"/>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row>
    <row r="328">
      <c r="A328" s="167"/>
      <c r="B328" s="167"/>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c r="A329" s="167"/>
      <c r="B329" s="167"/>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row>
    <row r="330">
      <c r="A330" s="167"/>
      <c r="B330" s="167"/>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c r="A331" s="167"/>
      <c r="B331" s="167"/>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c r="A332" s="167"/>
      <c r="B332" s="167"/>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c r="A333" s="167"/>
      <c r="B333" s="167"/>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row>
    <row r="334">
      <c r="A334" s="167"/>
      <c r="B334" s="167"/>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c r="A335" s="167"/>
      <c r="B335" s="167"/>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row>
    <row r="336">
      <c r="A336" s="167"/>
      <c r="B336" s="167"/>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c r="A337" s="167"/>
      <c r="B337" s="167"/>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row>
    <row r="338">
      <c r="A338" s="167"/>
      <c r="B338" s="167"/>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c r="A339" s="167"/>
      <c r="B339" s="167"/>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row>
    <row r="340">
      <c r="A340" s="167"/>
      <c r="B340" s="167"/>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c r="A341" s="167"/>
      <c r="B341" s="167"/>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row>
    <row r="342">
      <c r="A342" s="167"/>
      <c r="B342" s="167"/>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c r="A343" s="167"/>
      <c r="B343" s="167"/>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row>
    <row r="344">
      <c r="A344" s="167"/>
      <c r="B344" s="167"/>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c r="A345" s="167"/>
      <c r="B345" s="167"/>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c r="A346" s="167"/>
      <c r="B346" s="167"/>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c r="A347" s="167"/>
      <c r="B347" s="167"/>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row>
    <row r="348">
      <c r="A348" s="167"/>
      <c r="B348" s="167"/>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c r="A349" s="167"/>
      <c r="B349" s="167"/>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row>
    <row r="350">
      <c r="A350" s="167"/>
      <c r="B350" s="167"/>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c r="A351" s="167"/>
      <c r="B351" s="167"/>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row>
    <row r="352">
      <c r="A352" s="167"/>
      <c r="B352" s="167"/>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c r="A353" s="167"/>
      <c r="B353" s="167"/>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row>
    <row r="354">
      <c r="A354" s="167"/>
      <c r="B354" s="167"/>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c r="A355" s="167"/>
      <c r="B355" s="167"/>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row>
    <row r="356">
      <c r="A356" s="167"/>
      <c r="B356" s="167"/>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c r="A357" s="167"/>
      <c r="B357" s="167"/>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row>
    <row r="358">
      <c r="A358" s="167"/>
      <c r="B358" s="167"/>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c r="A359" s="167"/>
      <c r="B359" s="167"/>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c r="A360" s="167"/>
      <c r="B360" s="167"/>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c r="A361" s="167"/>
      <c r="B361" s="167"/>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row>
    <row r="362">
      <c r="A362" s="167"/>
      <c r="B362" s="167"/>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c r="A363" s="167"/>
      <c r="B363" s="167"/>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row>
    <row r="364">
      <c r="A364" s="167"/>
      <c r="B364" s="167"/>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c r="A365" s="167"/>
      <c r="B365" s="167"/>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row>
    <row r="366">
      <c r="A366" s="167"/>
      <c r="B366" s="167"/>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c r="A367" s="167"/>
      <c r="B367" s="167"/>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row>
    <row r="368">
      <c r="A368" s="167"/>
      <c r="B368" s="167"/>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c r="A369" s="167"/>
      <c r="B369" s="167"/>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row>
    <row r="370">
      <c r="A370" s="167"/>
      <c r="B370" s="167"/>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c r="A371" s="167"/>
      <c r="B371" s="167"/>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row>
    <row r="372">
      <c r="A372" s="167"/>
      <c r="B372" s="167"/>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c r="A373" s="167"/>
      <c r="B373" s="167"/>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row>
    <row r="374">
      <c r="A374" s="167"/>
      <c r="B374" s="167"/>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c r="A375" s="167"/>
      <c r="B375" s="167"/>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row>
    <row r="376">
      <c r="A376" s="167"/>
      <c r="B376" s="167"/>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c r="A377" s="167"/>
      <c r="B377" s="167"/>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row>
    <row r="378">
      <c r="A378" s="167"/>
      <c r="B378" s="167"/>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c r="A379" s="167"/>
      <c r="B379" s="167"/>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c r="A380" s="167"/>
      <c r="B380" s="167"/>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c r="A381" s="167"/>
      <c r="B381" s="167"/>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row>
    <row r="382">
      <c r="A382" s="167"/>
      <c r="B382" s="167"/>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c r="A383" s="167"/>
      <c r="B383" s="167"/>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row>
    <row r="384">
      <c r="A384" s="167"/>
      <c r="B384" s="167"/>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c r="A385" s="167"/>
      <c r="B385" s="167"/>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row>
    <row r="386">
      <c r="A386" s="167"/>
      <c r="B386" s="167"/>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c r="A387" s="167"/>
      <c r="B387" s="167"/>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row>
    <row r="388">
      <c r="A388" s="167"/>
      <c r="B388" s="167"/>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c r="A389" s="167"/>
      <c r="B389" s="167"/>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row>
    <row r="390">
      <c r="A390" s="167"/>
      <c r="B390" s="167"/>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c r="A391" s="167"/>
      <c r="B391" s="167"/>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row>
    <row r="392">
      <c r="A392" s="167"/>
      <c r="B392" s="167"/>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c r="A393" s="167"/>
      <c r="B393" s="167"/>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row>
    <row r="394">
      <c r="A394" s="167"/>
      <c r="B394" s="167"/>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c r="A395" s="167"/>
      <c r="B395" s="167"/>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row>
    <row r="396">
      <c r="A396" s="167"/>
      <c r="B396" s="167"/>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c r="A397" s="167"/>
      <c r="B397" s="167"/>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row>
    <row r="398">
      <c r="A398" s="167"/>
      <c r="B398" s="167"/>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c r="A399" s="167"/>
      <c r="B399" s="167"/>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row>
    <row r="400">
      <c r="A400" s="167"/>
      <c r="B400" s="167"/>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c r="A401" s="167"/>
      <c r="B401" s="167"/>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row>
    <row r="402">
      <c r="A402" s="167"/>
      <c r="B402" s="167"/>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c r="A403" s="167"/>
      <c r="B403" s="167"/>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row>
    <row r="404">
      <c r="A404" s="167"/>
      <c r="B404" s="167"/>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c r="A405" s="167"/>
      <c r="B405" s="167"/>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row>
    <row r="406">
      <c r="A406" s="167"/>
      <c r="B406" s="167"/>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c r="A407" s="167"/>
      <c r="B407" s="167"/>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row>
    <row r="408">
      <c r="A408" s="167"/>
      <c r="B408" s="167"/>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c r="A409" s="167"/>
      <c r="B409" s="167"/>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row>
    <row r="410">
      <c r="A410" s="167"/>
      <c r="B410" s="167"/>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c r="A411" s="167"/>
      <c r="B411" s="167"/>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c r="A412" s="167"/>
      <c r="B412" s="167"/>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c r="A413" s="167"/>
      <c r="B413" s="167"/>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row>
    <row r="414">
      <c r="A414" s="167"/>
      <c r="B414" s="167"/>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c r="A415" s="167"/>
      <c r="B415" s="167"/>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row>
    <row r="416">
      <c r="A416" s="167"/>
      <c r="B416" s="167"/>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c r="A417" s="167"/>
      <c r="B417" s="167"/>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c r="A418" s="167"/>
      <c r="B418" s="167"/>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c r="A419" s="167"/>
      <c r="B419" s="167"/>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c r="A420" s="167"/>
      <c r="B420" s="167"/>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c r="A421" s="167"/>
      <c r="B421" s="167"/>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c r="A422" s="167"/>
      <c r="B422" s="167"/>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c r="A423" s="167"/>
      <c r="B423" s="167"/>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c r="A424" s="167"/>
      <c r="B424" s="167"/>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c r="A425" s="167"/>
      <c r="B425" s="167"/>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c r="A426" s="167"/>
      <c r="B426" s="167"/>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c r="A427" s="167"/>
      <c r="B427" s="167"/>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row>
    <row r="428">
      <c r="A428" s="167"/>
      <c r="B428" s="167"/>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c r="A429" s="167"/>
      <c r="B429" s="167"/>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c r="A430" s="167"/>
      <c r="B430" s="167"/>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c r="A431" s="167"/>
      <c r="B431" s="167"/>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c r="A432" s="167"/>
      <c r="B432" s="167"/>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c r="A433" s="167"/>
      <c r="B433" s="167"/>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c r="A434" s="167"/>
      <c r="B434" s="167"/>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c r="A435" s="167"/>
      <c r="B435" s="167"/>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c r="A436" s="167"/>
      <c r="B436" s="167"/>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c r="A437" s="167"/>
      <c r="B437" s="167"/>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row>
    <row r="438">
      <c r="A438" s="167"/>
      <c r="B438" s="167"/>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c r="A439" s="167"/>
      <c r="B439" s="167"/>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c r="A440" s="167"/>
      <c r="B440" s="167"/>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c r="A441" s="167"/>
      <c r="B441" s="167"/>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row>
    <row r="442">
      <c r="A442" s="167"/>
      <c r="B442" s="167"/>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c r="A443" s="167"/>
      <c r="B443" s="167"/>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c r="A444" s="167"/>
      <c r="B444" s="167"/>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c r="A445" s="167"/>
      <c r="B445" s="167"/>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c r="A446" s="167"/>
      <c r="B446" s="167"/>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c r="A447" s="167"/>
      <c r="B447" s="167"/>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c r="A448" s="167"/>
      <c r="B448" s="167"/>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c r="A449" s="167"/>
      <c r="B449" s="167"/>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c r="A450" s="167"/>
      <c r="B450" s="167"/>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c r="A451" s="167"/>
      <c r="B451" s="167"/>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row>
    <row r="452">
      <c r="A452" s="167"/>
      <c r="B452" s="167"/>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c r="A453" s="167"/>
      <c r="B453" s="167"/>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row>
    <row r="454">
      <c r="A454" s="167"/>
      <c r="B454" s="167"/>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c r="A455" s="167"/>
      <c r="B455" s="167"/>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row>
    <row r="456">
      <c r="A456" s="167"/>
      <c r="B456" s="167"/>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c r="A457" s="167"/>
      <c r="B457" s="167"/>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row>
    <row r="458">
      <c r="A458" s="167"/>
      <c r="B458" s="167"/>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c r="A459" s="167"/>
      <c r="B459" s="167"/>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row>
    <row r="460">
      <c r="A460" s="167"/>
      <c r="B460" s="167"/>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c r="A461" s="167"/>
      <c r="B461" s="167"/>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row>
    <row r="462">
      <c r="A462" s="167"/>
      <c r="B462" s="167"/>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c r="A463" s="167"/>
      <c r="B463" s="167"/>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row>
    <row r="464">
      <c r="A464" s="167"/>
      <c r="B464" s="167"/>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c r="A465" s="167"/>
      <c r="B465" s="167"/>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row>
    <row r="466">
      <c r="A466" s="167"/>
      <c r="B466" s="167"/>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c r="A467" s="167"/>
      <c r="B467" s="167"/>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row>
    <row r="468">
      <c r="A468" s="167"/>
      <c r="B468" s="167"/>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c r="A469" s="167"/>
      <c r="B469" s="167"/>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row>
    <row r="470">
      <c r="A470" s="167"/>
      <c r="B470" s="167"/>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c r="A471" s="167"/>
      <c r="B471" s="167"/>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row>
    <row r="472">
      <c r="A472" s="167"/>
      <c r="B472" s="167"/>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c r="A473" s="167"/>
      <c r="B473" s="167"/>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row>
    <row r="474">
      <c r="A474" s="167"/>
      <c r="B474" s="167"/>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c r="A475" s="167"/>
      <c r="B475" s="167"/>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row>
    <row r="476">
      <c r="A476" s="167"/>
      <c r="B476" s="167"/>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c r="A477" s="167"/>
      <c r="B477" s="167"/>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row>
    <row r="478">
      <c r="A478" s="167"/>
      <c r="B478" s="167"/>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c r="A479" s="167"/>
      <c r="B479" s="167"/>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row>
    <row r="480">
      <c r="A480" s="167"/>
      <c r="B480" s="167"/>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c r="A481" s="167"/>
      <c r="B481" s="167"/>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row>
    <row r="482">
      <c r="A482" s="167"/>
      <c r="B482" s="167"/>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c r="A483" s="167"/>
      <c r="B483" s="167"/>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row>
    <row r="484">
      <c r="A484" s="167"/>
      <c r="B484" s="167"/>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c r="A485" s="167"/>
      <c r="B485" s="167"/>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row>
    <row r="486">
      <c r="A486" s="167"/>
      <c r="B486" s="167"/>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c r="A487" s="167"/>
      <c r="B487" s="167"/>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row>
    <row r="488">
      <c r="A488" s="167"/>
      <c r="B488" s="167"/>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c r="A489" s="167"/>
      <c r="B489" s="167"/>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c r="A490" s="167"/>
      <c r="B490" s="167"/>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c r="A491" s="167"/>
      <c r="B491" s="167"/>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row>
    <row r="492">
      <c r="A492" s="167"/>
      <c r="B492" s="167"/>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c r="A493" s="167"/>
      <c r="B493" s="167"/>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row>
    <row r="494">
      <c r="A494" s="167"/>
      <c r="B494" s="167"/>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c r="A495" s="167"/>
      <c r="B495" s="167"/>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row>
    <row r="496">
      <c r="A496" s="167"/>
      <c r="B496" s="167"/>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c r="A497" s="167"/>
      <c r="B497" s="167"/>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row>
    <row r="498">
      <c r="A498" s="167"/>
      <c r="B498" s="167"/>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c r="A499" s="167"/>
      <c r="B499" s="167"/>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row>
    <row r="500">
      <c r="A500" s="167"/>
      <c r="B500" s="167"/>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c r="A501" s="167"/>
      <c r="B501" s="167"/>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row>
    <row r="502">
      <c r="A502" s="167"/>
      <c r="B502" s="167"/>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c r="A503" s="167"/>
      <c r="B503" s="167"/>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row>
    <row r="504">
      <c r="A504" s="167"/>
      <c r="B504" s="167"/>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c r="A505" s="167"/>
      <c r="B505" s="167"/>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row>
    <row r="506">
      <c r="A506" s="167"/>
      <c r="B506" s="167"/>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c r="A507" s="167"/>
      <c r="B507" s="167"/>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row>
    <row r="508">
      <c r="A508" s="167"/>
      <c r="B508" s="167"/>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c r="A509" s="167"/>
      <c r="B509" s="167"/>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row>
    <row r="510">
      <c r="A510" s="167"/>
      <c r="B510" s="167"/>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c r="A511" s="167"/>
      <c r="B511" s="167"/>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c r="A512" s="167"/>
      <c r="B512" s="167"/>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c r="A513" s="167"/>
      <c r="B513" s="167"/>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c r="A514" s="167"/>
      <c r="B514" s="167"/>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c r="A515" s="167"/>
      <c r="B515" s="167"/>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c r="A516" s="167"/>
      <c r="B516" s="167"/>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c r="A517" s="167"/>
      <c r="B517" s="167"/>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c r="A518" s="167"/>
      <c r="B518" s="167"/>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c r="A519" s="167"/>
      <c r="B519" s="167"/>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c r="A520" s="167"/>
      <c r="B520" s="167"/>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c r="A521" s="167"/>
      <c r="B521" s="167"/>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c r="A522" s="167"/>
      <c r="B522" s="167"/>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c r="A523" s="167"/>
      <c r="B523" s="167"/>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c r="A524" s="167"/>
      <c r="B524" s="167"/>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c r="A525" s="167"/>
      <c r="B525" s="167"/>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c r="A526" s="167"/>
      <c r="B526" s="167"/>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c r="A527" s="167"/>
      <c r="B527" s="167"/>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c r="A528" s="167"/>
      <c r="B528" s="167"/>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c r="A529" s="167"/>
      <c r="B529" s="167"/>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c r="A530" s="167"/>
      <c r="B530" s="167"/>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c r="A531" s="167"/>
      <c r="B531" s="167"/>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c r="A532" s="167"/>
      <c r="B532" s="167"/>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c r="A533" s="167"/>
      <c r="B533" s="167"/>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c r="A534" s="167"/>
      <c r="B534" s="167"/>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c r="A535" s="167"/>
      <c r="B535" s="167"/>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c r="A536" s="167"/>
      <c r="B536" s="167"/>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c r="A537" s="167"/>
      <c r="B537" s="167"/>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c r="A538" s="167"/>
      <c r="B538" s="167"/>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c r="A539" s="167"/>
      <c r="B539" s="167"/>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c r="A540" s="167"/>
      <c r="B540" s="167"/>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c r="A541" s="167"/>
      <c r="B541" s="167"/>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c r="A542" s="167"/>
      <c r="B542" s="167"/>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c r="A543" s="167"/>
      <c r="B543" s="167"/>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c r="A544" s="167"/>
      <c r="B544" s="167"/>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c r="A545" s="167"/>
      <c r="B545" s="167"/>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c r="A546" s="167"/>
      <c r="B546" s="167"/>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c r="A547" s="167"/>
      <c r="B547" s="167"/>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c r="A548" s="167"/>
      <c r="B548" s="167"/>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c r="A549" s="167"/>
      <c r="B549" s="167"/>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c r="A550" s="167"/>
      <c r="B550" s="167"/>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c r="A551" s="167"/>
      <c r="B551" s="167"/>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c r="A552" s="167"/>
      <c r="B552" s="167"/>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c r="A553" s="167"/>
      <c r="B553" s="167"/>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c r="A554" s="167"/>
      <c r="B554" s="167"/>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c r="A555" s="167"/>
      <c r="B555" s="167"/>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c r="A556" s="167"/>
      <c r="B556" s="167"/>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c r="A557" s="167"/>
      <c r="B557" s="167"/>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c r="A558" s="167"/>
      <c r="B558" s="167"/>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c r="A559" s="167"/>
      <c r="B559" s="167"/>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c r="A560" s="167"/>
      <c r="B560" s="167"/>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c r="A561" s="167"/>
      <c r="B561" s="167"/>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c r="A562" s="167"/>
      <c r="B562" s="167"/>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c r="A563" s="167"/>
      <c r="B563" s="167"/>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c r="A564" s="167"/>
      <c r="B564" s="167"/>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c r="A565" s="167"/>
      <c r="B565" s="167"/>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c r="A566" s="167"/>
      <c r="B566" s="167"/>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c r="A567" s="167"/>
      <c r="B567" s="167"/>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c r="A568" s="167"/>
      <c r="B568" s="167"/>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c r="A569" s="167"/>
      <c r="B569" s="167"/>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c r="A570" s="167"/>
      <c r="B570" s="167"/>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c r="A571" s="167"/>
      <c r="B571" s="167"/>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c r="A572" s="167"/>
      <c r="B572" s="167"/>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c r="A573" s="167"/>
      <c r="B573" s="167"/>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c r="A574" s="167"/>
      <c r="B574" s="167"/>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c r="A575" s="167"/>
      <c r="B575" s="167"/>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c r="A576" s="167"/>
      <c r="B576" s="167"/>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c r="A577" s="167"/>
      <c r="B577" s="167"/>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c r="A578" s="167"/>
      <c r="B578" s="167"/>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c r="A579" s="167"/>
      <c r="B579" s="167"/>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c r="A580" s="167"/>
      <c r="B580" s="167"/>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c r="A581" s="167"/>
      <c r="B581" s="167"/>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c r="A582" s="167"/>
      <c r="B582" s="167"/>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c r="A583" s="167"/>
      <c r="B583" s="167"/>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c r="A584" s="167"/>
      <c r="B584" s="167"/>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c r="A585" s="167"/>
      <c r="B585" s="167"/>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c r="A586" s="167"/>
      <c r="B586" s="167"/>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c r="A587" s="167"/>
      <c r="B587" s="167"/>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c r="A588" s="167"/>
      <c r="B588" s="167"/>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c r="A589" s="167"/>
      <c r="B589" s="167"/>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c r="A590" s="167"/>
      <c r="B590" s="167"/>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c r="A591" s="167"/>
      <c r="B591" s="167"/>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c r="A592" s="167"/>
      <c r="B592" s="167"/>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c r="A593" s="167"/>
      <c r="B593" s="167"/>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c r="A594" s="167"/>
      <c r="B594" s="167"/>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c r="A595" s="167"/>
      <c r="B595" s="167"/>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c r="A596" s="167"/>
      <c r="B596" s="167"/>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c r="A597" s="167"/>
      <c r="B597" s="167"/>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c r="A598" s="167"/>
      <c r="B598" s="167"/>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c r="A599" s="167"/>
      <c r="B599" s="167"/>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c r="A600" s="167"/>
      <c r="B600" s="167"/>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c r="A601" s="167"/>
      <c r="B601" s="167"/>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c r="A602" s="167"/>
      <c r="B602" s="167"/>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c r="A603" s="167"/>
      <c r="B603" s="167"/>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c r="A604" s="167"/>
      <c r="B604" s="167"/>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c r="A605" s="167"/>
      <c r="B605" s="167"/>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c r="A606" s="167"/>
      <c r="B606" s="167"/>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c r="A607" s="167"/>
      <c r="B607" s="167"/>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c r="A608" s="167"/>
      <c r="B608" s="167"/>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c r="A609" s="167"/>
      <c r="B609" s="167"/>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c r="A610" s="167"/>
      <c r="B610" s="167"/>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c r="A611" s="167"/>
      <c r="B611" s="167"/>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c r="A612" s="167"/>
      <c r="B612" s="167"/>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c r="A613" s="167"/>
      <c r="B613" s="167"/>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c r="A614" s="167"/>
      <c r="B614" s="167"/>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c r="A615" s="167"/>
      <c r="B615" s="167"/>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c r="A616" s="167"/>
      <c r="B616" s="167"/>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c r="A617" s="167"/>
      <c r="B617" s="167"/>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c r="A618" s="167"/>
      <c r="B618" s="167"/>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c r="A619" s="167"/>
      <c r="B619" s="167"/>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c r="A620" s="167"/>
      <c r="B620" s="167"/>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c r="A621" s="167"/>
      <c r="B621" s="167"/>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c r="A622" s="167"/>
      <c r="B622" s="167"/>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c r="A623" s="167"/>
      <c r="B623" s="167"/>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c r="A624" s="167"/>
      <c r="B624" s="167"/>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c r="A625" s="167"/>
      <c r="B625" s="167"/>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c r="A626" s="167"/>
      <c r="B626" s="167"/>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c r="A627" s="167"/>
      <c r="B627" s="167"/>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c r="A628" s="167"/>
      <c r="B628" s="167"/>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c r="A629" s="167"/>
      <c r="B629" s="167"/>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c r="A630" s="167"/>
      <c r="B630" s="167"/>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c r="A631" s="167"/>
      <c r="B631" s="167"/>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c r="A632" s="167"/>
      <c r="B632" s="167"/>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c r="A633" s="167"/>
      <c r="B633" s="167"/>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c r="A634" s="167"/>
      <c r="B634" s="167"/>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c r="A635" s="167"/>
      <c r="B635" s="167"/>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c r="A636" s="167"/>
      <c r="B636" s="167"/>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c r="A637" s="167"/>
      <c r="B637" s="167"/>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c r="A638" s="167"/>
      <c r="B638" s="167"/>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c r="A639" s="167"/>
      <c r="B639" s="167"/>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c r="A640" s="167"/>
      <c r="B640" s="167"/>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c r="A641" s="167"/>
      <c r="B641" s="167"/>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c r="A642" s="167"/>
      <c r="B642" s="167"/>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c r="A643" s="167"/>
      <c r="B643" s="167"/>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c r="A644" s="167"/>
      <c r="B644" s="167"/>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c r="A645" s="167"/>
      <c r="B645" s="167"/>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c r="A646" s="167"/>
      <c r="B646" s="167"/>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c r="A647" s="167"/>
      <c r="B647" s="167"/>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c r="A648" s="167"/>
      <c r="B648" s="167"/>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c r="A649" s="167"/>
      <c r="B649" s="167"/>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c r="A650" s="167"/>
      <c r="B650" s="167"/>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c r="A651" s="167"/>
      <c r="B651" s="167"/>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c r="A652" s="167"/>
      <c r="B652" s="167"/>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c r="A653" s="167"/>
      <c r="B653" s="167"/>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c r="A654" s="167"/>
      <c r="B654" s="167"/>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c r="A655" s="167"/>
      <c r="B655" s="167"/>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c r="A656" s="167"/>
      <c r="B656" s="167"/>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c r="A657" s="167"/>
      <c r="B657" s="167"/>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c r="A658" s="167"/>
      <c r="B658" s="167"/>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c r="A659" s="167"/>
      <c r="B659" s="167"/>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c r="A660" s="167"/>
      <c r="B660" s="167"/>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c r="A661" s="167"/>
      <c r="B661" s="167"/>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c r="A662" s="167"/>
      <c r="B662" s="167"/>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c r="A663" s="167"/>
      <c r="B663" s="167"/>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c r="A664" s="167"/>
      <c r="B664" s="167"/>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c r="A665" s="167"/>
      <c r="B665" s="167"/>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c r="A666" s="167"/>
      <c r="B666" s="167"/>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c r="A667" s="167"/>
      <c r="B667" s="167"/>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c r="A668" s="167"/>
      <c r="B668" s="167"/>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c r="A669" s="167"/>
      <c r="B669" s="167"/>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c r="A670" s="167"/>
      <c r="B670" s="167"/>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c r="A671" s="167"/>
      <c r="B671" s="167"/>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c r="A672" s="167"/>
      <c r="B672" s="167"/>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c r="A673" s="167"/>
      <c r="B673" s="167"/>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c r="A674" s="167"/>
      <c r="B674" s="167"/>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c r="A675" s="167"/>
      <c r="B675" s="167"/>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c r="A676" s="167"/>
      <c r="B676" s="167"/>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c r="A677" s="167"/>
      <c r="B677" s="167"/>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c r="A678" s="167"/>
      <c r="B678" s="167"/>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c r="A679" s="167"/>
      <c r="B679" s="167"/>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c r="A680" s="167"/>
      <c r="B680" s="167"/>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c r="A681" s="167"/>
      <c r="B681" s="167"/>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c r="A682" s="167"/>
      <c r="B682" s="167"/>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c r="A683" s="167"/>
      <c r="B683" s="167"/>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c r="A684" s="167"/>
      <c r="B684" s="167"/>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c r="A685" s="167"/>
      <c r="B685" s="167"/>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c r="A686" s="167"/>
      <c r="B686" s="167"/>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c r="A687" s="167"/>
      <c r="B687" s="167"/>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c r="A688" s="167"/>
      <c r="B688" s="167"/>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c r="A689" s="167"/>
      <c r="B689" s="167"/>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c r="A690" s="167"/>
      <c r="B690" s="167"/>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c r="A691" s="167"/>
      <c r="B691" s="167"/>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c r="A692" s="167"/>
      <c r="B692" s="167"/>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c r="A693" s="167"/>
      <c r="B693" s="167"/>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c r="A694" s="167"/>
      <c r="B694" s="167"/>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c r="A695" s="167"/>
      <c r="B695" s="167"/>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c r="A696" s="167"/>
      <c r="B696" s="167"/>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c r="A697" s="167"/>
      <c r="B697" s="167"/>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c r="A698" s="167"/>
      <c r="B698" s="167"/>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c r="A699" s="167"/>
      <c r="B699" s="167"/>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c r="A700" s="167"/>
      <c r="B700" s="167"/>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c r="A701" s="167"/>
      <c r="B701" s="167"/>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c r="A702" s="167"/>
      <c r="B702" s="167"/>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c r="A703" s="167"/>
      <c r="B703" s="167"/>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c r="A704" s="167"/>
      <c r="B704" s="167"/>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c r="A705" s="167"/>
      <c r="B705" s="167"/>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c r="A706" s="167"/>
      <c r="B706" s="167"/>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c r="A707" s="167"/>
      <c r="B707" s="167"/>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c r="A708" s="167"/>
      <c r="B708" s="167"/>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c r="A709" s="167"/>
      <c r="B709" s="167"/>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c r="A710" s="167"/>
      <c r="B710" s="167"/>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c r="A711" s="167"/>
      <c r="B711" s="167"/>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c r="A712" s="167"/>
      <c r="B712" s="167"/>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c r="A713" s="167"/>
      <c r="B713" s="167"/>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c r="A714" s="167"/>
      <c r="B714" s="167"/>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c r="A715" s="167"/>
      <c r="B715" s="167"/>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c r="A716" s="167"/>
      <c r="B716" s="167"/>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c r="A717" s="167"/>
      <c r="B717" s="167"/>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c r="A718" s="167"/>
      <c r="B718" s="167"/>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c r="A719" s="167"/>
      <c r="B719" s="167"/>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c r="A720" s="167"/>
      <c r="B720" s="167"/>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c r="A721" s="167"/>
      <c r="B721" s="167"/>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c r="A722" s="167"/>
      <c r="B722" s="167"/>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c r="A723" s="167"/>
      <c r="B723" s="167"/>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c r="A724" s="167"/>
      <c r="B724" s="167"/>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c r="A725" s="167"/>
      <c r="B725" s="167"/>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c r="A726" s="167"/>
      <c r="B726" s="167"/>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c r="A727" s="167"/>
      <c r="B727" s="167"/>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c r="A728" s="167"/>
      <c r="B728" s="167"/>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c r="A729" s="167"/>
      <c r="B729" s="167"/>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c r="A730" s="167"/>
      <c r="B730" s="167"/>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c r="A731" s="167"/>
      <c r="B731" s="167"/>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c r="A732" s="167"/>
      <c r="B732" s="167"/>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c r="A733" s="167"/>
      <c r="B733" s="167"/>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c r="A734" s="167"/>
      <c r="B734" s="167"/>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c r="A735" s="167"/>
      <c r="B735" s="167"/>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c r="A736" s="167"/>
      <c r="B736" s="167"/>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c r="A737" s="167"/>
      <c r="B737" s="167"/>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c r="A738" s="167"/>
      <c r="B738" s="167"/>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c r="A739" s="167"/>
      <c r="B739" s="167"/>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c r="A740" s="167"/>
      <c r="B740" s="167"/>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c r="A741" s="167"/>
      <c r="B741" s="167"/>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c r="A742" s="167"/>
      <c r="B742" s="167"/>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c r="A743" s="167"/>
      <c r="B743" s="167"/>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c r="A744" s="167"/>
      <c r="B744" s="167"/>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c r="A745" s="167"/>
      <c r="B745" s="167"/>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c r="A746" s="167"/>
      <c r="B746" s="167"/>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c r="A747" s="167"/>
      <c r="B747" s="167"/>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c r="A748" s="167"/>
      <c r="B748" s="167"/>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c r="A749" s="167"/>
      <c r="B749" s="167"/>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c r="A750" s="167"/>
      <c r="B750" s="167"/>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c r="A751" s="167"/>
      <c r="B751" s="167"/>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c r="A752" s="167"/>
      <c r="B752" s="167"/>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c r="A753" s="167"/>
      <c r="B753" s="167"/>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c r="A754" s="167"/>
      <c r="B754" s="167"/>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c r="A755" s="167"/>
      <c r="B755" s="167"/>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c r="A756" s="167"/>
      <c r="B756" s="167"/>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c r="A757" s="167"/>
      <c r="B757" s="167"/>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c r="A758" s="167"/>
      <c r="B758" s="167"/>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c r="A759" s="167"/>
      <c r="B759" s="167"/>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c r="A760" s="167"/>
      <c r="B760" s="167"/>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c r="A761" s="167"/>
      <c r="B761" s="167"/>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c r="A762" s="167"/>
      <c r="B762" s="167"/>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c r="A763" s="167"/>
      <c r="B763" s="167"/>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c r="A764" s="167"/>
      <c r="B764" s="167"/>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c r="A765" s="167"/>
      <c r="B765" s="167"/>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c r="A766" s="167"/>
      <c r="B766" s="167"/>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c r="A767" s="167"/>
      <c r="B767" s="167"/>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c r="A768" s="167"/>
      <c r="B768" s="167"/>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c r="A769" s="167"/>
      <c r="B769" s="167"/>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c r="A770" s="167"/>
      <c r="B770" s="167"/>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c r="A771" s="167"/>
      <c r="B771" s="167"/>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c r="A772" s="167"/>
      <c r="B772" s="167"/>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c r="A773" s="167"/>
      <c r="B773" s="167"/>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c r="A774" s="167"/>
      <c r="B774" s="167"/>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c r="A775" s="167"/>
      <c r="B775" s="167"/>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c r="A776" s="167"/>
      <c r="B776" s="167"/>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c r="A777" s="167"/>
      <c r="B777" s="167"/>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c r="A778" s="167"/>
      <c r="B778" s="167"/>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c r="A779" s="167"/>
      <c r="B779" s="167"/>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c r="A780" s="167"/>
      <c r="B780" s="167"/>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c r="A781" s="167"/>
      <c r="B781" s="167"/>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c r="A782" s="167"/>
      <c r="B782" s="167"/>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c r="A783" s="167"/>
      <c r="B783" s="167"/>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c r="A784" s="167"/>
      <c r="B784" s="167"/>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c r="A785" s="167"/>
      <c r="B785" s="167"/>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c r="A786" s="167"/>
      <c r="B786" s="167"/>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c r="A787" s="167"/>
      <c r="B787" s="167"/>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c r="A788" s="167"/>
      <c r="B788" s="167"/>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c r="A789" s="167"/>
      <c r="B789" s="167"/>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c r="A790" s="167"/>
      <c r="B790" s="167"/>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c r="A791" s="167"/>
      <c r="B791" s="167"/>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c r="A792" s="167"/>
      <c r="B792" s="167"/>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c r="A793" s="167"/>
      <c r="B793" s="167"/>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c r="A794" s="167"/>
      <c r="B794" s="167"/>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c r="A795" s="167"/>
      <c r="B795" s="167"/>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c r="A796" s="167"/>
      <c r="B796" s="167"/>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c r="A797" s="167"/>
      <c r="B797" s="167"/>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c r="A798" s="167"/>
      <c r="B798" s="167"/>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c r="A799" s="167"/>
      <c r="B799" s="167"/>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c r="A800" s="167"/>
      <c r="B800" s="167"/>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c r="A801" s="167"/>
      <c r="B801" s="167"/>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c r="A802" s="167"/>
      <c r="B802" s="167"/>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c r="A803" s="167"/>
      <c r="B803" s="167"/>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c r="A804" s="167"/>
      <c r="B804" s="167"/>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c r="A805" s="167"/>
      <c r="B805" s="167"/>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c r="A806" s="167"/>
      <c r="B806" s="167"/>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c r="A807" s="167"/>
      <c r="B807" s="167"/>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c r="A808" s="167"/>
      <c r="B808" s="167"/>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c r="A809" s="167"/>
      <c r="B809" s="167"/>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c r="A810" s="167"/>
      <c r="B810" s="167"/>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c r="A811" s="167"/>
      <c r="B811" s="167"/>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c r="A812" s="167"/>
      <c r="B812" s="167"/>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c r="A813" s="167"/>
      <c r="B813" s="167"/>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c r="A814" s="167"/>
      <c r="B814" s="167"/>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c r="A815" s="167"/>
      <c r="B815" s="167"/>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c r="A816" s="167"/>
      <c r="B816" s="167"/>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c r="A817" s="167"/>
      <c r="B817" s="167"/>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c r="A818" s="167"/>
      <c r="B818" s="167"/>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c r="A819" s="167"/>
      <c r="B819" s="167"/>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c r="A820" s="167"/>
      <c r="B820" s="167"/>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c r="A821" s="167"/>
      <c r="B821" s="167"/>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c r="A822" s="167"/>
      <c r="B822" s="167"/>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c r="A823" s="167"/>
      <c r="B823" s="167"/>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c r="A824" s="167"/>
      <c r="B824" s="167"/>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c r="A825" s="167"/>
      <c r="B825" s="167"/>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c r="A826" s="167"/>
      <c r="B826" s="167"/>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c r="A827" s="167"/>
      <c r="B827" s="167"/>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c r="A828" s="167"/>
      <c r="B828" s="167"/>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c r="A829" s="167"/>
      <c r="B829" s="167"/>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c r="A830" s="167"/>
      <c r="B830" s="167"/>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c r="A831" s="167"/>
      <c r="B831" s="167"/>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c r="A832" s="167"/>
      <c r="B832" s="167"/>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c r="A833" s="167"/>
      <c r="B833" s="167"/>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c r="A834" s="167"/>
      <c r="B834" s="167"/>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c r="A835" s="167"/>
      <c r="B835" s="167"/>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c r="A836" s="167"/>
      <c r="B836" s="167"/>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c r="A837" s="167"/>
      <c r="B837" s="167"/>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c r="A838" s="167"/>
      <c r="B838" s="167"/>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c r="A839" s="167"/>
      <c r="B839" s="167"/>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c r="A840" s="167"/>
      <c r="B840" s="167"/>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c r="A841" s="167"/>
      <c r="B841" s="167"/>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c r="A842" s="167"/>
      <c r="B842" s="167"/>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c r="A843" s="167"/>
      <c r="B843" s="167"/>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c r="A844" s="167"/>
      <c r="B844" s="167"/>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c r="A845" s="167"/>
      <c r="B845" s="167"/>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c r="A846" s="167"/>
      <c r="B846" s="167"/>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c r="A847" s="167"/>
      <c r="B847" s="167"/>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c r="A848" s="167"/>
      <c r="B848" s="167"/>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c r="A849" s="167"/>
      <c r="B849" s="167"/>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c r="A850" s="167"/>
      <c r="B850" s="167"/>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c r="A851" s="167"/>
      <c r="B851" s="167"/>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c r="A852" s="167"/>
      <c r="B852" s="167"/>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c r="A853" s="167"/>
      <c r="B853" s="167"/>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c r="A854" s="167"/>
      <c r="B854" s="167"/>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c r="A855" s="167"/>
      <c r="B855" s="167"/>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c r="A856" s="167"/>
      <c r="B856" s="167"/>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c r="A857" s="167"/>
      <c r="B857" s="167"/>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c r="A858" s="167"/>
      <c r="B858" s="167"/>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c r="A859" s="167"/>
      <c r="B859" s="167"/>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c r="A860" s="167"/>
      <c r="B860" s="167"/>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c r="A861" s="167"/>
      <c r="B861" s="167"/>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c r="A862" s="167"/>
      <c r="B862" s="167"/>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c r="A863" s="167"/>
      <c r="B863" s="167"/>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c r="A864" s="167"/>
      <c r="B864" s="167"/>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c r="A865" s="167"/>
      <c r="B865" s="167"/>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c r="A866" s="167"/>
      <c r="B866" s="167"/>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c r="A867" s="167"/>
      <c r="B867" s="167"/>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c r="A868" s="167"/>
      <c r="B868" s="167"/>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c r="A869" s="167"/>
      <c r="B869" s="167"/>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c r="A870" s="167"/>
      <c r="B870" s="167"/>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c r="A871" s="167"/>
      <c r="B871" s="167"/>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c r="A872" s="167"/>
      <c r="B872" s="167"/>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c r="A873" s="167"/>
      <c r="B873" s="167"/>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c r="A874" s="167"/>
      <c r="B874" s="167"/>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c r="A875" s="167"/>
      <c r="B875" s="167"/>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c r="A876" s="167"/>
      <c r="B876" s="167"/>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c r="A877" s="167"/>
      <c r="B877" s="167"/>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c r="A878" s="167"/>
      <c r="B878" s="167"/>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c r="A879" s="167"/>
      <c r="B879" s="167"/>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c r="A880" s="167"/>
      <c r="B880" s="167"/>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c r="A881" s="167"/>
      <c r="B881" s="167"/>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c r="A882" s="167"/>
      <c r="B882" s="167"/>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c r="A883" s="167"/>
      <c r="B883" s="167"/>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c r="A884" s="167"/>
      <c r="B884" s="167"/>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c r="A885" s="167"/>
      <c r="B885" s="167"/>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c r="A886" s="167"/>
      <c r="B886" s="167"/>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c r="A887" s="167"/>
      <c r="B887" s="167"/>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c r="A888" s="167"/>
      <c r="B888" s="167"/>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c r="A889" s="167"/>
      <c r="B889" s="167"/>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c r="A890" s="167"/>
      <c r="B890" s="167"/>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c r="A891" s="167"/>
      <c r="B891" s="167"/>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c r="A892" s="167"/>
      <c r="B892" s="167"/>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c r="A893" s="167"/>
      <c r="B893" s="167"/>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c r="A894" s="167"/>
      <c r="B894" s="167"/>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c r="A895" s="167"/>
      <c r="B895" s="167"/>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c r="A896" s="167"/>
      <c r="B896" s="167"/>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c r="A897" s="167"/>
      <c r="B897" s="167"/>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c r="A898" s="167"/>
      <c r="B898" s="167"/>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c r="A899" s="167"/>
      <c r="B899" s="167"/>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c r="A900" s="167"/>
      <c r="B900" s="167"/>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c r="A901" s="167"/>
      <c r="B901" s="167"/>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c r="A902" s="167"/>
      <c r="B902" s="167"/>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c r="A903" s="167"/>
      <c r="B903" s="167"/>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c r="A904" s="167"/>
      <c r="B904" s="167"/>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c r="A905" s="167"/>
      <c r="B905" s="167"/>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c r="A906" s="167"/>
      <c r="B906" s="167"/>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c r="A907" s="167"/>
      <c r="B907" s="167"/>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c r="A908" s="167"/>
      <c r="B908" s="167"/>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c r="A909" s="167"/>
      <c r="B909" s="167"/>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c r="A910" s="167"/>
      <c r="B910" s="167"/>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c r="A911" s="167"/>
      <c r="B911" s="167"/>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c r="A912" s="167"/>
      <c r="B912" s="167"/>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c r="A913" s="167"/>
      <c r="B913" s="167"/>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c r="A914" s="167"/>
      <c r="B914" s="167"/>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c r="A915" s="167"/>
      <c r="B915" s="167"/>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c r="A916" s="167"/>
      <c r="B916" s="167"/>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c r="A917" s="167"/>
      <c r="B917" s="167"/>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c r="A918" s="167"/>
      <c r="B918" s="167"/>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c r="A919" s="167"/>
      <c r="B919" s="167"/>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c r="A920" s="167"/>
      <c r="B920" s="167"/>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c r="A921" s="167"/>
      <c r="B921" s="167"/>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c r="A922" s="167"/>
      <c r="B922" s="167"/>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c r="A923" s="167"/>
      <c r="B923" s="167"/>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c r="A924" s="167"/>
      <c r="B924" s="167"/>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c r="A925" s="167"/>
      <c r="B925" s="167"/>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c r="A926" s="167"/>
      <c r="B926" s="167"/>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c r="A927" s="167"/>
      <c r="B927" s="167"/>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c r="A928" s="167"/>
      <c r="B928" s="167"/>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c r="A929" s="167"/>
      <c r="B929" s="167"/>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c r="A930" s="167"/>
      <c r="B930" s="167"/>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c r="A931" s="167"/>
      <c r="B931" s="167"/>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c r="A932" s="167"/>
      <c r="B932" s="167"/>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c r="A933" s="167"/>
      <c r="B933" s="167"/>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c r="A934" s="167"/>
      <c r="B934" s="167"/>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c r="A935" s="167"/>
      <c r="B935" s="167"/>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row>
    <row r="936">
      <c r="A936" s="167"/>
      <c r="B936" s="167"/>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c r="A937" s="167"/>
      <c r="B937" s="167"/>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row>
    <row r="938">
      <c r="A938" s="167"/>
      <c r="B938" s="167"/>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c r="A939" s="167"/>
      <c r="B939" s="167"/>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row>
    <row r="940">
      <c r="A940" s="167"/>
      <c r="B940" s="167"/>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c r="A941" s="167"/>
      <c r="B941" s="167"/>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row>
    <row r="942">
      <c r="A942" s="167"/>
      <c r="B942" s="167"/>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c r="A943" s="167"/>
      <c r="B943" s="167"/>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row>
    <row r="944">
      <c r="A944" s="167"/>
      <c r="B944" s="167"/>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c r="A945" s="167"/>
      <c r="B945" s="167"/>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row>
    <row r="946">
      <c r="A946" s="167"/>
      <c r="B946" s="167"/>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c r="A947" s="167"/>
      <c r="B947" s="167"/>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row>
    <row r="948">
      <c r="A948" s="167"/>
      <c r="B948" s="167"/>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c r="A949" s="167"/>
      <c r="B949" s="167"/>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row>
    <row r="950">
      <c r="A950" s="167"/>
      <c r="B950" s="167"/>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c r="A951" s="167"/>
      <c r="B951" s="167"/>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row>
    <row r="952">
      <c r="A952" s="167"/>
      <c r="B952" s="167"/>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c r="A953" s="167"/>
      <c r="B953" s="167"/>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row>
    <row r="954">
      <c r="A954" s="167"/>
      <c r="B954" s="167"/>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c r="A955" s="167"/>
      <c r="B955" s="167"/>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row>
    <row r="956">
      <c r="A956" s="167"/>
      <c r="B956" s="167"/>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c r="A957" s="167"/>
      <c r="B957" s="167"/>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row>
    <row r="958">
      <c r="A958" s="167"/>
      <c r="B958" s="167"/>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c r="A959" s="167"/>
      <c r="B959" s="167"/>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row>
    <row r="960">
      <c r="A960" s="167"/>
      <c r="B960" s="167"/>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c r="A961" s="167"/>
      <c r="B961" s="167"/>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row>
    <row r="962">
      <c r="A962" s="167"/>
      <c r="B962" s="167"/>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c r="A963" s="167"/>
      <c r="B963" s="167"/>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row>
    <row r="964">
      <c r="A964" s="167"/>
      <c r="B964" s="167"/>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c r="A965" s="167"/>
      <c r="B965" s="167"/>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row>
    <row r="966">
      <c r="A966" s="167"/>
      <c r="B966" s="167"/>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c r="A967" s="167"/>
      <c r="B967" s="167"/>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row>
    <row r="968">
      <c r="A968" s="167"/>
      <c r="B968" s="167"/>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c r="A969" s="167"/>
      <c r="B969" s="167"/>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row>
    <row r="970">
      <c r="A970" s="167"/>
      <c r="B970" s="167"/>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c r="A971" s="167"/>
      <c r="B971" s="167"/>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row>
    <row r="972">
      <c r="A972" s="167"/>
      <c r="B972" s="167"/>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c r="A973" s="167"/>
      <c r="B973" s="167"/>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row>
    <row r="974">
      <c r="A974" s="167"/>
      <c r="B974" s="167"/>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c r="A975" s="167"/>
      <c r="B975" s="167"/>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row>
    <row r="976">
      <c r="A976" s="167"/>
      <c r="B976" s="167"/>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c r="A977" s="167"/>
      <c r="B977" s="167"/>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row>
    <row r="978">
      <c r="A978" s="167"/>
      <c r="B978" s="167"/>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c r="A979" s="167"/>
      <c r="B979" s="167"/>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row>
    <row r="980">
      <c r="A980" s="167"/>
      <c r="B980" s="167"/>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c r="A981" s="167"/>
      <c r="B981" s="167"/>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row>
    <row r="982">
      <c r="A982" s="167"/>
      <c r="B982" s="167"/>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c r="A983" s="167"/>
      <c r="B983" s="167"/>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row>
    <row r="984">
      <c r="A984" s="167"/>
      <c r="B984" s="167"/>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c r="A985" s="167"/>
      <c r="B985" s="167"/>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row>
    <row r="986">
      <c r="A986" s="167"/>
      <c r="B986" s="167"/>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c r="A987" s="167"/>
      <c r="B987" s="167"/>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row>
    <row r="988">
      <c r="A988" s="167"/>
      <c r="B988" s="167"/>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c r="A989" s="167"/>
      <c r="B989" s="167"/>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row>
    <row r="990">
      <c r="A990" s="167"/>
      <c r="B990" s="167"/>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c r="A991" s="167"/>
      <c r="B991" s="167"/>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row>
    <row r="992">
      <c r="A992" s="167"/>
      <c r="B992" s="167"/>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row>
    <row r="993">
      <c r="A993" s="167"/>
      <c r="B993" s="167"/>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row>
    <row r="994">
      <c r="A994" s="167"/>
      <c r="B994" s="167"/>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row>
    <row r="995">
      <c r="A995" s="167"/>
      <c r="B995" s="167"/>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row>
    <row r="996">
      <c r="A996" s="167"/>
      <c r="B996" s="167"/>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row>
    <row r="997">
      <c r="A997" s="167"/>
      <c r="B997" s="167"/>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row>
    <row r="998">
      <c r="A998" s="167"/>
      <c r="B998" s="167"/>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row>
  </sheetData>
  <autoFilter ref="$A$1:$AC$29"/>
  <dataValidations>
    <dataValidation type="list" allowBlank="1" showErrorMessage="1" sqref="D2:D298">
      <formula1>Dropdown!$G$2:$G998</formula1>
    </dataValidation>
    <dataValidation type="list" allowBlank="1" showErrorMessage="1" sqref="A2:A10 A12:A20 A22:A23 A26:A28 A30:A46">
      <formula1>Dropdown!$A$2:$A998</formula1>
    </dataValidation>
    <dataValidation type="list" allowBlank="1" showErrorMessage="1" sqref="B2 B10 B38:B46">
      <formula1>Dropdown!$B$2:$B998</formula1>
    </dataValidation>
    <dataValidation type="list" allowBlank="1" showErrorMessage="1" sqref="I2:I11 I13:I37">
      <formula1>Dropdown!$C$2:$C998</formula1>
    </dataValidation>
    <dataValidation type="list" allowBlank="1" showErrorMessage="1" sqref="I12 I38:I46">
      <formula1>Dropdown!$C$2:$C998</formula1>
    </dataValidation>
    <dataValidation type="list" allowBlank="1" showErrorMessage="1" sqref="J2:J298">
      <formula1>Dropdown!$E$2:$E998</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location="gid=0" ref="P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location="gid=0" ref="P43"/>
    <hyperlink r:id="rId45" ref="B44"/>
    <hyperlink r:id="rId46" ref="B45"/>
    <hyperlink r:id="rId47" ref="B46"/>
    <hyperlink r:id="rId48" ref="B47"/>
    <hyperlink r:id="rId49" ref="B48"/>
    <hyperlink r:id="rId50" ref="B49"/>
    <hyperlink r:id="rId51" ref="B50"/>
    <hyperlink r:id="rId52" ref="B51"/>
    <hyperlink r:id="rId53" ref="B52"/>
    <hyperlink r:id="rId54" ref="B53"/>
    <hyperlink r:id="rId55" ref="B54"/>
    <hyperlink r:id="rId56" ref="B55"/>
    <hyperlink r:id="rId57" ref="B56"/>
    <hyperlink r:id="rId58" ref="B57"/>
    <hyperlink r:id="rId59" ref="B58"/>
    <hyperlink r:id="rId60" ref="B59"/>
    <hyperlink r:id="rId61" ref="B60"/>
    <hyperlink r:id="rId62" ref="B61"/>
    <hyperlink r:id="rId63" ref="B62"/>
    <hyperlink r:id="rId64" ref="B63"/>
    <hyperlink r:id="rId65" ref="B64"/>
    <hyperlink r:id="rId66" ref="B65"/>
    <hyperlink r:id="rId67" ref="B66"/>
    <hyperlink r:id="rId68" ref="P66"/>
  </hyperlinks>
  <drawing r:id="rId69"/>
  <tableParts count="1">
    <tablePart r:id="rId7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3.75"/>
    <col customWidth="1" min="2" max="2" width="21.5"/>
    <col customWidth="1" min="3" max="3" width="13.88"/>
    <col customWidth="1" min="4" max="4" width="43.75"/>
    <col customWidth="1" min="6" max="6" width="10.25"/>
    <col customWidth="1" min="7" max="7" width="10.5"/>
    <col customWidth="1" min="9" max="9" width="19.13"/>
    <col customWidth="1" min="14" max="14" width="14.25"/>
    <col customWidth="1" min="15" max="15" width="44.88"/>
    <col customWidth="1" min="16" max="16" width="24.38"/>
    <col customWidth="1" min="17" max="17" width="23.5"/>
    <col customWidth="1" min="18" max="18" width="43.13"/>
    <col customWidth="1" min="19" max="19" width="42.88"/>
  </cols>
  <sheetData>
    <row r="1">
      <c r="A1" s="191" t="s">
        <v>0</v>
      </c>
      <c r="B1" s="192" t="s">
        <v>358</v>
      </c>
      <c r="C1" s="191" t="s">
        <v>359</v>
      </c>
      <c r="D1" s="193" t="s">
        <v>2</v>
      </c>
      <c r="E1" s="191" t="s">
        <v>3</v>
      </c>
      <c r="F1" s="191" t="s">
        <v>5</v>
      </c>
      <c r="G1" s="191" t="s">
        <v>6</v>
      </c>
      <c r="H1" s="191" t="s">
        <v>360</v>
      </c>
      <c r="I1" s="1" t="s">
        <v>8</v>
      </c>
      <c r="J1" s="191" t="s">
        <v>9</v>
      </c>
      <c r="K1" s="191" t="s">
        <v>7</v>
      </c>
      <c r="L1" s="191" t="s">
        <v>10</v>
      </c>
      <c r="M1" s="194" t="s">
        <v>361</v>
      </c>
      <c r="N1" s="191" t="s">
        <v>12</v>
      </c>
      <c r="O1" s="194" t="s">
        <v>13</v>
      </c>
      <c r="P1" s="4" t="s">
        <v>14</v>
      </c>
      <c r="Q1" s="191" t="s">
        <v>15</v>
      </c>
      <c r="R1" s="191" t="s">
        <v>16</v>
      </c>
      <c r="S1" s="191" t="s">
        <v>17</v>
      </c>
      <c r="T1" s="191"/>
      <c r="U1" s="191" t="s">
        <v>19</v>
      </c>
      <c r="V1" s="191" t="s">
        <v>362</v>
      </c>
      <c r="W1" s="191" t="s">
        <v>363</v>
      </c>
      <c r="X1" s="194" t="s">
        <v>364</v>
      </c>
      <c r="Y1" s="18"/>
      <c r="Z1" s="18"/>
      <c r="AA1" s="18"/>
    </row>
    <row r="2">
      <c r="A2" s="195" t="s">
        <v>119</v>
      </c>
      <c r="B2" s="196" t="s">
        <v>365</v>
      </c>
      <c r="C2" s="197"/>
      <c r="D2" s="197" t="s">
        <v>366</v>
      </c>
      <c r="E2" s="132" t="s">
        <v>24</v>
      </c>
      <c r="F2" s="198">
        <v>45986.0</v>
      </c>
      <c r="G2" s="199">
        <v>46041.0</v>
      </c>
      <c r="H2" s="200" t="s">
        <v>79</v>
      </c>
      <c r="I2" s="136" t="s">
        <v>161</v>
      </c>
      <c r="J2" s="201" t="s">
        <v>34</v>
      </c>
      <c r="K2" s="202">
        <v>45989.0</v>
      </c>
      <c r="L2" s="203">
        <v>0.0</v>
      </c>
      <c r="M2" s="203">
        <v>0.0</v>
      </c>
      <c r="N2" s="197"/>
      <c r="O2" s="197"/>
      <c r="P2" s="138"/>
      <c r="Q2" s="197"/>
      <c r="R2" s="197"/>
      <c r="S2" s="197"/>
      <c r="T2" s="204"/>
      <c r="U2" s="204"/>
      <c r="V2" s="204"/>
      <c r="W2" s="204"/>
      <c r="X2" s="204"/>
      <c r="Y2" s="18"/>
      <c r="Z2" s="18"/>
      <c r="AA2" s="18"/>
    </row>
    <row r="3">
      <c r="A3" s="195" t="s">
        <v>119</v>
      </c>
      <c r="B3" s="205" t="s">
        <v>365</v>
      </c>
      <c r="C3" s="206"/>
      <c r="D3" s="206" t="s">
        <v>367</v>
      </c>
      <c r="E3" s="207" t="s">
        <v>24</v>
      </c>
      <c r="F3" s="198">
        <v>45986.0</v>
      </c>
      <c r="G3" s="199">
        <v>46041.0</v>
      </c>
      <c r="H3" s="208" t="s">
        <v>79</v>
      </c>
      <c r="I3" s="136" t="s">
        <v>161</v>
      </c>
      <c r="J3" s="136" t="s">
        <v>34</v>
      </c>
      <c r="K3" s="198">
        <v>45989.0</v>
      </c>
      <c r="L3" s="203">
        <v>0.0</v>
      </c>
      <c r="M3" s="203">
        <v>0.0</v>
      </c>
      <c r="N3" s="206"/>
      <c r="O3" s="206"/>
      <c r="P3" s="138"/>
      <c r="Q3" s="206"/>
      <c r="R3" s="206"/>
      <c r="S3" s="206"/>
      <c r="T3" s="209"/>
      <c r="U3" s="209"/>
      <c r="V3" s="209"/>
      <c r="W3" s="209"/>
      <c r="X3" s="209"/>
      <c r="Y3" s="18"/>
      <c r="Z3" s="18"/>
      <c r="AA3" s="18"/>
    </row>
    <row r="4">
      <c r="A4" s="195" t="s">
        <v>119</v>
      </c>
      <c r="B4" s="196" t="s">
        <v>365</v>
      </c>
      <c r="C4" s="197"/>
      <c r="D4" s="197" t="s">
        <v>368</v>
      </c>
      <c r="E4" s="207" t="s">
        <v>24</v>
      </c>
      <c r="F4" s="198">
        <v>45986.0</v>
      </c>
      <c r="G4" s="199">
        <v>46041.0</v>
      </c>
      <c r="H4" s="200" t="s">
        <v>79</v>
      </c>
      <c r="I4" s="136" t="s">
        <v>161</v>
      </c>
      <c r="J4" s="136" t="s">
        <v>34</v>
      </c>
      <c r="K4" s="202">
        <v>45989.0</v>
      </c>
      <c r="L4" s="203">
        <v>0.0</v>
      </c>
      <c r="M4" s="203">
        <v>0.0</v>
      </c>
      <c r="N4" s="197"/>
      <c r="O4" s="197"/>
      <c r="P4" s="142"/>
      <c r="Q4" s="197"/>
      <c r="R4" s="197"/>
      <c r="S4" s="197"/>
      <c r="T4" s="204"/>
      <c r="U4" s="204"/>
      <c r="V4" s="204"/>
      <c r="W4" s="204"/>
      <c r="X4" s="204"/>
      <c r="Y4" s="18"/>
      <c r="Z4" s="18"/>
      <c r="AA4" s="18"/>
    </row>
    <row r="5">
      <c r="A5" s="195" t="s">
        <v>119</v>
      </c>
      <c r="B5" s="205" t="s">
        <v>365</v>
      </c>
      <c r="C5" s="206"/>
      <c r="D5" s="206" t="s">
        <v>369</v>
      </c>
      <c r="E5" s="207" t="s">
        <v>24</v>
      </c>
      <c r="F5" s="198">
        <v>45986.0</v>
      </c>
      <c r="G5" s="199">
        <v>46041.0</v>
      </c>
      <c r="H5" s="208"/>
      <c r="I5" s="136" t="s">
        <v>161</v>
      </c>
      <c r="J5" s="136" t="s">
        <v>34</v>
      </c>
      <c r="K5" s="198">
        <v>45989.0</v>
      </c>
      <c r="L5" s="203">
        <v>0.0</v>
      </c>
      <c r="M5" s="203">
        <v>0.0</v>
      </c>
      <c r="N5" s="206"/>
      <c r="O5" s="206"/>
      <c r="P5" s="142"/>
      <c r="Q5" s="206"/>
      <c r="R5" s="206"/>
      <c r="S5" s="206"/>
      <c r="T5" s="209"/>
      <c r="U5" s="209"/>
      <c r="V5" s="209"/>
      <c r="W5" s="209"/>
      <c r="X5" s="209"/>
      <c r="Y5" s="18"/>
      <c r="Z5" s="18"/>
      <c r="AA5" s="18"/>
    </row>
    <row r="6">
      <c r="A6" s="195" t="s">
        <v>119</v>
      </c>
      <c r="B6" s="196" t="s">
        <v>365</v>
      </c>
      <c r="C6" s="197"/>
      <c r="D6" s="197" t="s">
        <v>370</v>
      </c>
      <c r="E6" s="207" t="s">
        <v>24</v>
      </c>
      <c r="F6" s="198">
        <v>45986.0</v>
      </c>
      <c r="G6" s="199">
        <v>46041.0</v>
      </c>
      <c r="H6" s="200" t="s">
        <v>79</v>
      </c>
      <c r="I6" s="136" t="s">
        <v>161</v>
      </c>
      <c r="J6" s="136" t="s">
        <v>34</v>
      </c>
      <c r="K6" s="202">
        <v>45989.0</v>
      </c>
      <c r="L6" s="203">
        <v>0.0</v>
      </c>
      <c r="M6" s="203">
        <v>0.0</v>
      </c>
      <c r="N6" s="197"/>
      <c r="O6" s="197"/>
      <c r="P6" s="142"/>
      <c r="Q6" s="197"/>
      <c r="R6" s="197"/>
      <c r="S6" s="197"/>
      <c r="T6" s="204"/>
      <c r="U6" s="204"/>
      <c r="V6" s="204"/>
      <c r="W6" s="204"/>
      <c r="X6" s="204"/>
      <c r="Y6" s="18"/>
      <c r="Z6" s="18"/>
      <c r="AA6" s="18"/>
    </row>
    <row r="7">
      <c r="A7" s="195" t="s">
        <v>119</v>
      </c>
      <c r="B7" s="205" t="s">
        <v>365</v>
      </c>
      <c r="C7" s="206"/>
      <c r="D7" s="206" t="s">
        <v>371</v>
      </c>
      <c r="E7" s="207" t="s">
        <v>24</v>
      </c>
      <c r="F7" s="198">
        <v>45986.0</v>
      </c>
      <c r="G7" s="199">
        <v>46041.0</v>
      </c>
      <c r="H7" s="208" t="s">
        <v>79</v>
      </c>
      <c r="I7" s="136" t="s">
        <v>161</v>
      </c>
      <c r="J7" s="136" t="s">
        <v>34</v>
      </c>
      <c r="K7" s="198">
        <v>45989.0</v>
      </c>
      <c r="L7" s="203">
        <v>0.0</v>
      </c>
      <c r="M7" s="203">
        <v>0.0</v>
      </c>
      <c r="N7" s="206"/>
      <c r="O7" s="206"/>
      <c r="P7" s="138"/>
      <c r="Q7" s="206"/>
      <c r="R7" s="206"/>
      <c r="S7" s="206"/>
      <c r="T7" s="209"/>
      <c r="U7" s="209"/>
      <c r="V7" s="209"/>
      <c r="W7" s="209"/>
      <c r="X7" s="209"/>
      <c r="Y7" s="18"/>
      <c r="Z7" s="18"/>
      <c r="AA7" s="18"/>
    </row>
    <row r="8">
      <c r="A8" s="195" t="s">
        <v>119</v>
      </c>
      <c r="B8" s="196" t="s">
        <v>365</v>
      </c>
      <c r="C8" s="197"/>
      <c r="D8" s="197" t="s">
        <v>372</v>
      </c>
      <c r="E8" s="207" t="s">
        <v>24</v>
      </c>
      <c r="F8" s="198">
        <v>45986.0</v>
      </c>
      <c r="G8" s="199">
        <v>46041.0</v>
      </c>
      <c r="H8" s="200" t="s">
        <v>79</v>
      </c>
      <c r="I8" s="136" t="s">
        <v>161</v>
      </c>
      <c r="J8" s="136" t="s">
        <v>34</v>
      </c>
      <c r="K8" s="202">
        <v>45989.0</v>
      </c>
      <c r="L8" s="203">
        <v>0.0</v>
      </c>
      <c r="M8" s="203">
        <v>0.0</v>
      </c>
      <c r="N8" s="197"/>
      <c r="O8" s="197"/>
      <c r="P8" s="142"/>
      <c r="Q8" s="197"/>
      <c r="R8" s="197"/>
      <c r="S8" s="197"/>
      <c r="T8" s="204"/>
      <c r="U8" s="204"/>
      <c r="V8" s="204"/>
      <c r="W8" s="204"/>
      <c r="X8" s="204"/>
      <c r="Y8" s="18"/>
      <c r="Z8" s="18"/>
      <c r="AA8" s="18"/>
    </row>
    <row r="9">
      <c r="A9" s="195" t="s">
        <v>119</v>
      </c>
      <c r="B9" s="205" t="s">
        <v>365</v>
      </c>
      <c r="C9" s="206"/>
      <c r="D9" s="206" t="s">
        <v>373</v>
      </c>
      <c r="E9" s="207" t="s">
        <v>24</v>
      </c>
      <c r="F9" s="198">
        <v>45986.0</v>
      </c>
      <c r="G9" s="199">
        <v>46041.0</v>
      </c>
      <c r="H9" s="208" t="s">
        <v>79</v>
      </c>
      <c r="I9" s="136" t="s">
        <v>161</v>
      </c>
      <c r="J9" s="136" t="s">
        <v>34</v>
      </c>
      <c r="K9" s="198">
        <v>45989.0</v>
      </c>
      <c r="L9" s="203">
        <v>0.0</v>
      </c>
      <c r="M9" s="203">
        <v>0.0</v>
      </c>
      <c r="N9" s="206"/>
      <c r="O9" s="206"/>
      <c r="P9" s="138"/>
      <c r="Q9" s="206"/>
      <c r="R9" s="206"/>
      <c r="S9" s="206"/>
      <c r="T9" s="209"/>
      <c r="U9" s="209"/>
      <c r="V9" s="209"/>
      <c r="W9" s="209"/>
      <c r="X9" s="209"/>
      <c r="Y9" s="18"/>
      <c r="Z9" s="18"/>
      <c r="AA9" s="18"/>
    </row>
    <row r="10">
      <c r="A10" s="195" t="s">
        <v>119</v>
      </c>
      <c r="B10" s="196" t="s">
        <v>365</v>
      </c>
      <c r="C10" s="197"/>
      <c r="D10" s="197" t="s">
        <v>374</v>
      </c>
      <c r="E10" s="207" t="s">
        <v>24</v>
      </c>
      <c r="F10" s="198">
        <v>45986.0</v>
      </c>
      <c r="G10" s="199">
        <v>46041.0</v>
      </c>
      <c r="H10" s="200" t="s">
        <v>79</v>
      </c>
      <c r="I10" s="136" t="s">
        <v>161</v>
      </c>
      <c r="J10" s="136" t="s">
        <v>34</v>
      </c>
      <c r="K10" s="202">
        <v>45989.0</v>
      </c>
      <c r="L10" s="203">
        <v>0.0</v>
      </c>
      <c r="M10" s="203">
        <v>0.0</v>
      </c>
      <c r="N10" s="197"/>
      <c r="O10" s="197"/>
      <c r="P10" s="142"/>
      <c r="Q10" s="197"/>
      <c r="R10" s="197"/>
      <c r="S10" s="197"/>
      <c r="T10" s="204"/>
      <c r="U10" s="204"/>
      <c r="V10" s="204"/>
      <c r="W10" s="204"/>
      <c r="X10" s="204"/>
      <c r="Y10" s="18"/>
      <c r="Z10" s="18"/>
      <c r="AA10" s="18"/>
    </row>
    <row r="11">
      <c r="A11" s="195" t="s">
        <v>119</v>
      </c>
      <c r="B11" s="205" t="s">
        <v>365</v>
      </c>
      <c r="C11" s="206"/>
      <c r="D11" s="206" t="s">
        <v>375</v>
      </c>
      <c r="E11" s="207" t="s">
        <v>24</v>
      </c>
      <c r="F11" s="198">
        <v>45986.0</v>
      </c>
      <c r="G11" s="199">
        <v>46041.0</v>
      </c>
      <c r="H11" s="208" t="s">
        <v>79</v>
      </c>
      <c r="I11" s="136" t="s">
        <v>161</v>
      </c>
      <c r="J11" s="136" t="s">
        <v>34</v>
      </c>
      <c r="K11" s="198">
        <v>45989.0</v>
      </c>
      <c r="L11" s="203">
        <v>0.0</v>
      </c>
      <c r="M11" s="203">
        <v>0.0</v>
      </c>
      <c r="N11" s="206"/>
      <c r="O11" s="206"/>
      <c r="P11" s="138"/>
      <c r="Q11" s="206"/>
      <c r="R11" s="206"/>
      <c r="S11" s="206"/>
      <c r="T11" s="209"/>
      <c r="U11" s="209"/>
      <c r="V11" s="209"/>
      <c r="W11" s="209"/>
      <c r="X11" s="209"/>
      <c r="Y11" s="18"/>
      <c r="Z11" s="18"/>
      <c r="AA11" s="18"/>
    </row>
    <row r="12">
      <c r="A12" s="195" t="s">
        <v>119</v>
      </c>
      <c r="B12" s="196" t="s">
        <v>365</v>
      </c>
      <c r="C12" s="197"/>
      <c r="D12" s="197" t="s">
        <v>376</v>
      </c>
      <c r="E12" s="207" t="s">
        <v>24</v>
      </c>
      <c r="F12" s="198">
        <v>45986.0</v>
      </c>
      <c r="G12" s="199">
        <v>46041.0</v>
      </c>
      <c r="H12" s="200" t="s">
        <v>79</v>
      </c>
      <c r="I12" s="136" t="s">
        <v>161</v>
      </c>
      <c r="J12" s="136" t="s">
        <v>34</v>
      </c>
      <c r="K12" s="202">
        <v>45989.0</v>
      </c>
      <c r="L12" s="203">
        <v>0.0</v>
      </c>
      <c r="M12" s="203">
        <v>0.0</v>
      </c>
      <c r="N12" s="197"/>
      <c r="O12" s="197"/>
      <c r="P12" s="142"/>
      <c r="Q12" s="197"/>
      <c r="R12" s="197"/>
      <c r="S12" s="197"/>
      <c r="T12" s="204"/>
      <c r="U12" s="204"/>
      <c r="V12" s="204"/>
      <c r="W12" s="204"/>
      <c r="X12" s="204"/>
      <c r="Y12" s="18"/>
      <c r="Z12" s="18"/>
      <c r="AA12" s="18"/>
    </row>
    <row r="13">
      <c r="A13" s="195" t="s">
        <v>119</v>
      </c>
      <c r="B13" s="205" t="s">
        <v>365</v>
      </c>
      <c r="C13" s="206"/>
      <c r="D13" s="206" t="s">
        <v>377</v>
      </c>
      <c r="E13" s="207" t="s">
        <v>24</v>
      </c>
      <c r="F13" s="198">
        <v>45986.0</v>
      </c>
      <c r="G13" s="199">
        <v>46041.0</v>
      </c>
      <c r="H13" s="208" t="s">
        <v>79</v>
      </c>
      <c r="I13" s="136" t="s">
        <v>161</v>
      </c>
      <c r="J13" s="136" t="s">
        <v>34</v>
      </c>
      <c r="K13" s="198">
        <v>45989.0</v>
      </c>
      <c r="L13" s="203">
        <v>0.0</v>
      </c>
      <c r="M13" s="203">
        <v>0.0</v>
      </c>
      <c r="N13" s="206"/>
      <c r="O13" s="206"/>
      <c r="P13" s="138"/>
      <c r="Q13" s="206"/>
      <c r="R13" s="206"/>
      <c r="S13" s="206"/>
      <c r="T13" s="209"/>
      <c r="U13" s="209"/>
      <c r="V13" s="209"/>
      <c r="W13" s="209"/>
      <c r="X13" s="209"/>
      <c r="Y13" s="18"/>
      <c r="Z13" s="18"/>
      <c r="AA13" s="18"/>
    </row>
    <row r="14">
      <c r="A14" s="195" t="s">
        <v>119</v>
      </c>
      <c r="B14" s="196" t="s">
        <v>365</v>
      </c>
      <c r="C14" s="197"/>
      <c r="D14" s="197" t="s">
        <v>378</v>
      </c>
      <c r="E14" s="207" t="s">
        <v>24</v>
      </c>
      <c r="F14" s="198">
        <v>45986.0</v>
      </c>
      <c r="G14" s="199">
        <v>46041.0</v>
      </c>
      <c r="H14" s="200" t="s">
        <v>79</v>
      </c>
      <c r="I14" s="136" t="s">
        <v>161</v>
      </c>
      <c r="J14" s="136" t="s">
        <v>34</v>
      </c>
      <c r="K14" s="202">
        <v>45989.0</v>
      </c>
      <c r="L14" s="203">
        <v>0.0</v>
      </c>
      <c r="M14" s="203">
        <v>0.0</v>
      </c>
      <c r="N14" s="197"/>
      <c r="O14" s="197"/>
      <c r="P14" s="138"/>
      <c r="Q14" s="197"/>
      <c r="R14" s="197"/>
      <c r="S14" s="197"/>
      <c r="T14" s="204"/>
      <c r="U14" s="204"/>
      <c r="V14" s="204"/>
      <c r="W14" s="204"/>
      <c r="X14" s="204"/>
      <c r="Y14" s="18"/>
      <c r="Z14" s="18"/>
      <c r="AA14" s="18"/>
    </row>
    <row r="15">
      <c r="A15" s="195" t="s">
        <v>119</v>
      </c>
      <c r="B15" s="196" t="s">
        <v>365</v>
      </c>
      <c r="C15" s="197"/>
      <c r="D15" s="197" t="s">
        <v>379</v>
      </c>
      <c r="E15" s="207" t="s">
        <v>24</v>
      </c>
      <c r="F15" s="198">
        <v>45986.0</v>
      </c>
      <c r="G15" s="199">
        <v>46041.0</v>
      </c>
      <c r="H15" s="200" t="s">
        <v>79</v>
      </c>
      <c r="I15" s="136" t="s">
        <v>161</v>
      </c>
      <c r="J15" s="136" t="s">
        <v>34</v>
      </c>
      <c r="K15" s="202">
        <v>45989.0</v>
      </c>
      <c r="L15" s="203">
        <v>0.0</v>
      </c>
      <c r="M15" s="203">
        <v>0.0</v>
      </c>
      <c r="N15" s="197"/>
      <c r="O15" s="197"/>
      <c r="P15" s="142"/>
      <c r="Q15" s="197"/>
      <c r="R15" s="197"/>
      <c r="S15" s="197"/>
      <c r="T15" s="204"/>
      <c r="U15" s="204"/>
      <c r="V15" s="204"/>
      <c r="W15" s="204"/>
      <c r="X15" s="204"/>
      <c r="Y15" s="18"/>
      <c r="Z15" s="18"/>
      <c r="AA15" s="18"/>
    </row>
    <row r="16">
      <c r="A16" s="195" t="s">
        <v>119</v>
      </c>
      <c r="B16" s="205" t="s">
        <v>365</v>
      </c>
      <c r="C16" s="206"/>
      <c r="D16" s="206" t="s">
        <v>380</v>
      </c>
      <c r="E16" s="207" t="s">
        <v>24</v>
      </c>
      <c r="F16" s="198">
        <v>45986.0</v>
      </c>
      <c r="G16" s="199">
        <v>46041.0</v>
      </c>
      <c r="H16" s="208" t="s">
        <v>79</v>
      </c>
      <c r="I16" s="136" t="s">
        <v>161</v>
      </c>
      <c r="J16" s="136" t="s">
        <v>34</v>
      </c>
      <c r="K16" s="198">
        <v>45989.0</v>
      </c>
      <c r="L16" s="203">
        <v>0.0</v>
      </c>
      <c r="M16" s="203">
        <v>0.0</v>
      </c>
      <c r="N16" s="206"/>
      <c r="O16" s="206"/>
      <c r="P16" s="142"/>
      <c r="Q16" s="206"/>
      <c r="R16" s="206"/>
      <c r="S16" s="206"/>
      <c r="T16" s="209"/>
      <c r="U16" s="209"/>
      <c r="V16" s="209"/>
      <c r="W16" s="209"/>
      <c r="X16" s="209"/>
      <c r="Y16" s="18"/>
      <c r="Z16" s="18"/>
      <c r="AA16" s="18"/>
    </row>
    <row r="17">
      <c r="A17" s="195" t="s">
        <v>119</v>
      </c>
      <c r="B17" s="196" t="s">
        <v>365</v>
      </c>
      <c r="C17" s="197"/>
      <c r="D17" s="197" t="s">
        <v>381</v>
      </c>
      <c r="E17" s="207" t="s">
        <v>24</v>
      </c>
      <c r="F17" s="198">
        <v>45986.0</v>
      </c>
      <c r="G17" s="199">
        <v>46041.0</v>
      </c>
      <c r="H17" s="200" t="s">
        <v>79</v>
      </c>
      <c r="I17" s="136" t="s">
        <v>161</v>
      </c>
      <c r="J17" s="136" t="s">
        <v>34</v>
      </c>
      <c r="K17" s="202">
        <v>45989.0</v>
      </c>
      <c r="L17" s="203">
        <v>0.0</v>
      </c>
      <c r="M17" s="203">
        <v>0.0</v>
      </c>
      <c r="N17" s="197"/>
      <c r="O17" s="197"/>
      <c r="P17" s="160"/>
      <c r="Q17" s="197"/>
      <c r="R17" s="197"/>
      <c r="S17" s="197"/>
      <c r="T17" s="204"/>
      <c r="U17" s="204"/>
      <c r="V17" s="204"/>
      <c r="W17" s="204"/>
      <c r="X17" s="204"/>
      <c r="Y17" s="18"/>
      <c r="Z17" s="18"/>
      <c r="AA17" s="18"/>
    </row>
    <row r="18">
      <c r="A18" s="195" t="s">
        <v>119</v>
      </c>
      <c r="B18" s="205" t="s">
        <v>365</v>
      </c>
      <c r="C18" s="206"/>
      <c r="D18" s="206" t="s">
        <v>382</v>
      </c>
      <c r="E18" s="207" t="s">
        <v>24</v>
      </c>
      <c r="F18" s="198">
        <v>45986.0</v>
      </c>
      <c r="G18" s="199">
        <v>46041.0</v>
      </c>
      <c r="H18" s="208" t="s">
        <v>79</v>
      </c>
      <c r="I18" s="136" t="s">
        <v>161</v>
      </c>
      <c r="J18" s="136" t="s">
        <v>34</v>
      </c>
      <c r="K18" s="198">
        <v>45989.0</v>
      </c>
      <c r="L18" s="203">
        <v>0.0</v>
      </c>
      <c r="M18" s="203">
        <v>0.0</v>
      </c>
      <c r="N18" s="206"/>
      <c r="O18" s="206"/>
      <c r="P18" s="160"/>
      <c r="Q18" s="206"/>
      <c r="R18" s="206"/>
      <c r="S18" s="206"/>
      <c r="T18" s="209"/>
      <c r="U18" s="209"/>
      <c r="V18" s="209"/>
      <c r="W18" s="209"/>
      <c r="X18" s="209"/>
      <c r="Y18" s="18"/>
      <c r="Z18" s="18"/>
      <c r="AA18" s="18"/>
    </row>
    <row r="19">
      <c r="A19" s="195" t="s">
        <v>119</v>
      </c>
      <c r="B19" s="196" t="s">
        <v>365</v>
      </c>
      <c r="C19" s="197"/>
      <c r="D19" s="197" t="s">
        <v>383</v>
      </c>
      <c r="E19" s="207" t="s">
        <v>24</v>
      </c>
      <c r="F19" s="198">
        <v>45986.0</v>
      </c>
      <c r="G19" s="199">
        <v>46041.0</v>
      </c>
      <c r="H19" s="200" t="s">
        <v>79</v>
      </c>
      <c r="I19" s="136" t="s">
        <v>161</v>
      </c>
      <c r="J19" s="136" t="s">
        <v>34</v>
      </c>
      <c r="K19" s="202">
        <v>45989.0</v>
      </c>
      <c r="L19" s="203">
        <v>0.0</v>
      </c>
      <c r="M19" s="203">
        <v>0.0</v>
      </c>
      <c r="N19" s="197"/>
      <c r="O19" s="197"/>
      <c r="P19" s="160"/>
      <c r="Q19" s="197"/>
      <c r="R19" s="197"/>
      <c r="S19" s="197"/>
      <c r="T19" s="204"/>
      <c r="U19" s="204"/>
      <c r="V19" s="204"/>
      <c r="W19" s="204"/>
      <c r="X19" s="204"/>
      <c r="Y19" s="18"/>
      <c r="Z19" s="18"/>
      <c r="AA19" s="18"/>
    </row>
    <row r="20">
      <c r="A20" s="195" t="s">
        <v>119</v>
      </c>
      <c r="B20" s="205" t="s">
        <v>365</v>
      </c>
      <c r="C20" s="206"/>
      <c r="D20" s="206" t="s">
        <v>384</v>
      </c>
      <c r="E20" s="207" t="s">
        <v>24</v>
      </c>
      <c r="F20" s="198">
        <v>45986.0</v>
      </c>
      <c r="G20" s="199">
        <v>46041.0</v>
      </c>
      <c r="H20" s="208" t="s">
        <v>79</v>
      </c>
      <c r="I20" s="136" t="s">
        <v>161</v>
      </c>
      <c r="J20" s="136" t="s">
        <v>34</v>
      </c>
      <c r="K20" s="198">
        <v>45989.0</v>
      </c>
      <c r="L20" s="203">
        <v>0.0</v>
      </c>
      <c r="M20" s="203">
        <v>0.0</v>
      </c>
      <c r="N20" s="206"/>
      <c r="O20" s="206"/>
      <c r="P20" s="138"/>
      <c r="Q20" s="206"/>
      <c r="R20" s="206"/>
      <c r="S20" s="206"/>
      <c r="T20" s="209"/>
      <c r="U20" s="209"/>
      <c r="V20" s="209"/>
      <c r="W20" s="209"/>
      <c r="X20" s="209"/>
      <c r="Y20" s="18"/>
      <c r="Z20" s="18"/>
      <c r="AA20" s="18"/>
    </row>
    <row r="21">
      <c r="A21" s="195" t="s">
        <v>119</v>
      </c>
      <c r="B21" s="196" t="s">
        <v>365</v>
      </c>
      <c r="C21" s="197"/>
      <c r="D21" s="197" t="s">
        <v>385</v>
      </c>
      <c r="E21" s="207" t="s">
        <v>24</v>
      </c>
      <c r="F21" s="198">
        <v>45986.0</v>
      </c>
      <c r="G21" s="199">
        <v>46041.0</v>
      </c>
      <c r="H21" s="200" t="s">
        <v>79</v>
      </c>
      <c r="I21" s="136" t="s">
        <v>161</v>
      </c>
      <c r="J21" s="136" t="s">
        <v>34</v>
      </c>
      <c r="K21" s="202">
        <v>45989.0</v>
      </c>
      <c r="L21" s="203">
        <v>0.0</v>
      </c>
      <c r="M21" s="203">
        <v>0.0</v>
      </c>
      <c r="N21" s="197"/>
      <c r="O21" s="197"/>
      <c r="P21" s="138"/>
      <c r="Q21" s="197"/>
      <c r="R21" s="197"/>
      <c r="S21" s="197"/>
      <c r="T21" s="204"/>
      <c r="U21" s="204"/>
      <c r="V21" s="204"/>
      <c r="W21" s="204"/>
      <c r="X21" s="204"/>
      <c r="Y21" s="18"/>
      <c r="Z21" s="18"/>
      <c r="AA21" s="18"/>
    </row>
    <row r="22">
      <c r="A22" s="195" t="s">
        <v>119</v>
      </c>
      <c r="B22" s="196" t="s">
        <v>365</v>
      </c>
      <c r="C22" s="197"/>
      <c r="D22" s="197" t="s">
        <v>386</v>
      </c>
      <c r="E22" s="207" t="s">
        <v>24</v>
      </c>
      <c r="F22" s="198">
        <v>45986.0</v>
      </c>
      <c r="G22" s="199">
        <v>46041.0</v>
      </c>
      <c r="H22" s="200" t="s">
        <v>79</v>
      </c>
      <c r="I22" s="136" t="s">
        <v>161</v>
      </c>
      <c r="J22" s="136" t="s">
        <v>34</v>
      </c>
      <c r="K22" s="202">
        <v>45989.0</v>
      </c>
      <c r="L22" s="203">
        <v>0.0</v>
      </c>
      <c r="M22" s="203">
        <v>0.0</v>
      </c>
      <c r="N22" s="197"/>
      <c r="O22" s="197"/>
      <c r="P22" s="138"/>
      <c r="Q22" s="197"/>
      <c r="R22" s="197"/>
      <c r="S22" s="197"/>
      <c r="T22" s="204"/>
      <c r="U22" s="204"/>
      <c r="V22" s="204"/>
      <c r="W22" s="204"/>
      <c r="X22" s="204"/>
      <c r="Y22" s="18"/>
      <c r="Z22" s="18"/>
      <c r="AA22" s="18"/>
    </row>
    <row r="23">
      <c r="A23" s="195" t="s">
        <v>119</v>
      </c>
      <c r="B23" s="205" t="s">
        <v>365</v>
      </c>
      <c r="C23" s="206"/>
      <c r="D23" s="206" t="s">
        <v>387</v>
      </c>
      <c r="E23" s="207" t="s">
        <v>24</v>
      </c>
      <c r="F23" s="198">
        <v>45986.0</v>
      </c>
      <c r="G23" s="199">
        <v>46041.0</v>
      </c>
      <c r="H23" s="208" t="s">
        <v>79</v>
      </c>
      <c r="I23" s="136" t="s">
        <v>161</v>
      </c>
      <c r="J23" s="136" t="s">
        <v>34</v>
      </c>
      <c r="K23" s="198">
        <v>45989.0</v>
      </c>
      <c r="L23" s="203">
        <v>0.0</v>
      </c>
      <c r="M23" s="203">
        <v>0.0</v>
      </c>
      <c r="N23" s="206"/>
      <c r="O23" s="206"/>
      <c r="P23" s="142"/>
      <c r="Q23" s="206"/>
      <c r="R23" s="206"/>
      <c r="S23" s="206"/>
      <c r="T23" s="209"/>
      <c r="U23" s="209"/>
      <c r="V23" s="209"/>
      <c r="W23" s="209"/>
      <c r="X23" s="209"/>
      <c r="Y23" s="18"/>
      <c r="Z23" s="18"/>
      <c r="AA23" s="18"/>
    </row>
    <row r="24">
      <c r="A24" s="195" t="s">
        <v>119</v>
      </c>
      <c r="B24" s="196" t="s">
        <v>365</v>
      </c>
      <c r="C24" s="197"/>
      <c r="D24" s="197" t="s">
        <v>388</v>
      </c>
      <c r="E24" s="207" t="s">
        <v>24</v>
      </c>
      <c r="F24" s="198">
        <v>45994.0</v>
      </c>
      <c r="G24" s="199">
        <v>46041.0</v>
      </c>
      <c r="H24" s="200" t="s">
        <v>79</v>
      </c>
      <c r="I24" s="136" t="s">
        <v>161</v>
      </c>
      <c r="J24" s="136" t="s">
        <v>34</v>
      </c>
      <c r="K24" s="202">
        <v>46002.0</v>
      </c>
      <c r="L24" s="203">
        <v>0.0</v>
      </c>
      <c r="M24" s="203">
        <v>0.0</v>
      </c>
      <c r="N24" s="197"/>
      <c r="O24" s="197"/>
      <c r="P24" s="142"/>
      <c r="Q24" s="197"/>
      <c r="R24" s="197"/>
      <c r="S24" s="197"/>
      <c r="T24" s="204"/>
      <c r="U24" s="204"/>
      <c r="V24" s="204"/>
      <c r="W24" s="204"/>
      <c r="X24" s="204"/>
      <c r="Y24" s="18"/>
      <c r="Z24" s="18"/>
      <c r="AA24" s="18"/>
    </row>
    <row r="25">
      <c r="A25" s="195" t="s">
        <v>119</v>
      </c>
      <c r="B25" s="205" t="s">
        <v>365</v>
      </c>
      <c r="C25" s="206"/>
      <c r="D25" s="206" t="s">
        <v>389</v>
      </c>
      <c r="E25" s="207" t="s">
        <v>24</v>
      </c>
      <c r="F25" s="198">
        <v>45994.0</v>
      </c>
      <c r="G25" s="199">
        <v>46041.0</v>
      </c>
      <c r="H25" s="208" t="s">
        <v>79</v>
      </c>
      <c r="I25" s="136" t="s">
        <v>161</v>
      </c>
      <c r="J25" s="136" t="s">
        <v>34</v>
      </c>
      <c r="K25" s="198">
        <v>46002.0</v>
      </c>
      <c r="L25" s="203">
        <v>0.0</v>
      </c>
      <c r="M25" s="203">
        <v>0.0</v>
      </c>
      <c r="N25" s="206"/>
      <c r="O25" s="206"/>
      <c r="P25" s="160"/>
      <c r="Q25" s="206"/>
      <c r="R25" s="206"/>
      <c r="S25" s="206"/>
      <c r="T25" s="209"/>
      <c r="U25" s="209"/>
      <c r="V25" s="209"/>
      <c r="W25" s="209"/>
      <c r="X25" s="209"/>
      <c r="Y25" s="18"/>
      <c r="Z25" s="18"/>
      <c r="AA25" s="18"/>
    </row>
    <row r="26">
      <c r="A26" s="195" t="s">
        <v>119</v>
      </c>
      <c r="B26" s="196" t="s">
        <v>365</v>
      </c>
      <c r="C26" s="197"/>
      <c r="D26" s="197" t="s">
        <v>390</v>
      </c>
      <c r="E26" s="207" t="s">
        <v>24</v>
      </c>
      <c r="F26" s="198">
        <v>45994.0</v>
      </c>
      <c r="G26" s="199">
        <v>46041.0</v>
      </c>
      <c r="H26" s="200" t="s">
        <v>79</v>
      </c>
      <c r="I26" s="136" t="s">
        <v>161</v>
      </c>
      <c r="J26" s="136" t="s">
        <v>34</v>
      </c>
      <c r="K26" s="202">
        <v>46002.0</v>
      </c>
      <c r="L26" s="203">
        <v>0.0</v>
      </c>
      <c r="M26" s="203">
        <v>0.0</v>
      </c>
      <c r="N26" s="197"/>
      <c r="O26" s="197"/>
      <c r="P26" s="142"/>
      <c r="Q26" s="197"/>
      <c r="R26" s="197"/>
      <c r="S26" s="197"/>
      <c r="T26" s="204"/>
      <c r="U26" s="204"/>
      <c r="V26" s="204"/>
      <c r="W26" s="204"/>
      <c r="X26" s="204"/>
      <c r="Y26" s="18"/>
      <c r="Z26" s="18"/>
      <c r="AA26" s="18"/>
    </row>
    <row r="27">
      <c r="A27" s="210" t="s">
        <v>163</v>
      </c>
      <c r="B27" s="205" t="s">
        <v>174</v>
      </c>
      <c r="C27" s="206"/>
      <c r="D27" s="206" t="s">
        <v>391</v>
      </c>
      <c r="E27" s="207" t="s">
        <v>53</v>
      </c>
      <c r="F27" s="198">
        <v>46001.0</v>
      </c>
      <c r="G27" s="198">
        <v>46001.0</v>
      </c>
      <c r="H27" s="208" t="s">
        <v>79</v>
      </c>
      <c r="I27" s="136" t="s">
        <v>161</v>
      </c>
      <c r="J27" s="136" t="s">
        <v>34</v>
      </c>
      <c r="K27" s="198">
        <v>46001.0</v>
      </c>
      <c r="L27" s="203">
        <v>0.0</v>
      </c>
      <c r="M27" s="203">
        <v>0.0</v>
      </c>
      <c r="N27" s="206"/>
      <c r="O27" s="206" t="s">
        <v>392</v>
      </c>
      <c r="P27" s="138"/>
      <c r="Q27" s="206"/>
      <c r="R27" s="206"/>
      <c r="S27" s="206"/>
      <c r="T27" s="209"/>
      <c r="U27" s="209"/>
      <c r="V27" s="209"/>
      <c r="W27" s="209"/>
      <c r="X27" s="209"/>
      <c r="Y27" s="18"/>
      <c r="Z27" s="18"/>
      <c r="AA27" s="18"/>
    </row>
    <row r="28">
      <c r="A28" s="211" t="s">
        <v>163</v>
      </c>
      <c r="B28" s="196" t="s">
        <v>174</v>
      </c>
      <c r="C28" s="197"/>
      <c r="D28" s="212" t="s">
        <v>393</v>
      </c>
      <c r="E28" s="207" t="s">
        <v>53</v>
      </c>
      <c r="F28" s="198"/>
      <c r="G28" s="213"/>
      <c r="H28" s="200"/>
      <c r="I28" s="136" t="s">
        <v>161</v>
      </c>
      <c r="J28" s="136" t="s">
        <v>34</v>
      </c>
      <c r="K28" s="197"/>
      <c r="L28" s="203">
        <v>0.0</v>
      </c>
      <c r="M28" s="203">
        <v>0.0</v>
      </c>
      <c r="N28" s="197"/>
      <c r="O28" s="197" t="s">
        <v>394</v>
      </c>
      <c r="P28" s="160"/>
      <c r="Q28" s="197"/>
      <c r="R28" s="197"/>
      <c r="S28" s="197"/>
      <c r="T28" s="204"/>
      <c r="U28" s="204"/>
      <c r="V28" s="204"/>
      <c r="W28" s="204"/>
      <c r="X28" s="204"/>
      <c r="Y28" s="18"/>
      <c r="Z28" s="18"/>
      <c r="AA28" s="18"/>
    </row>
    <row r="29">
      <c r="A29" s="210" t="s">
        <v>163</v>
      </c>
      <c r="B29" s="205" t="s">
        <v>174</v>
      </c>
      <c r="C29" s="206"/>
      <c r="D29" s="206" t="s">
        <v>395</v>
      </c>
      <c r="E29" s="207" t="s">
        <v>53</v>
      </c>
      <c r="F29" s="198"/>
      <c r="G29" s="214"/>
      <c r="H29" s="208"/>
      <c r="I29" s="136" t="s">
        <v>161</v>
      </c>
      <c r="J29" s="136" t="s">
        <v>34</v>
      </c>
      <c r="K29" s="206"/>
      <c r="L29" s="203">
        <v>0.0</v>
      </c>
      <c r="M29" s="203">
        <v>0.0</v>
      </c>
      <c r="N29" s="206"/>
      <c r="O29" s="206" t="s">
        <v>394</v>
      </c>
      <c r="P29" s="138"/>
      <c r="Q29" s="206"/>
      <c r="R29" s="206"/>
      <c r="S29" s="206" t="s">
        <v>396</v>
      </c>
      <c r="T29" s="209"/>
      <c r="U29" s="209"/>
      <c r="V29" s="209"/>
      <c r="W29" s="209"/>
      <c r="X29" s="209"/>
      <c r="Y29" s="18"/>
      <c r="Z29" s="18"/>
      <c r="AA29" s="18"/>
    </row>
    <row r="30">
      <c r="A30" s="211" t="s">
        <v>163</v>
      </c>
      <c r="B30" s="196" t="s">
        <v>164</v>
      </c>
      <c r="C30" s="197"/>
      <c r="D30" s="212" t="s">
        <v>397</v>
      </c>
      <c r="E30" s="207" t="s">
        <v>354</v>
      </c>
      <c r="F30" s="198"/>
      <c r="G30" s="213"/>
      <c r="H30" s="200" t="s">
        <v>170</v>
      </c>
      <c r="I30" s="136" t="s">
        <v>161</v>
      </c>
      <c r="J30" s="215" t="s">
        <v>34</v>
      </c>
      <c r="K30" s="197"/>
      <c r="L30" s="203">
        <v>0.0</v>
      </c>
      <c r="M30" s="203">
        <v>0.0</v>
      </c>
      <c r="N30" s="197"/>
      <c r="O30" s="197" t="s">
        <v>398</v>
      </c>
      <c r="P30" s="160"/>
      <c r="Q30" s="197"/>
      <c r="R30" s="197"/>
      <c r="S30" s="197"/>
      <c r="T30" s="204"/>
      <c r="U30" s="204"/>
      <c r="V30" s="204"/>
      <c r="W30" s="204"/>
      <c r="X30" s="204"/>
      <c r="Y30" s="18"/>
      <c r="Z30" s="18"/>
      <c r="AA30" s="18"/>
    </row>
    <row r="31">
      <c r="A31" s="210" t="s">
        <v>163</v>
      </c>
      <c r="B31" s="196" t="s">
        <v>164</v>
      </c>
      <c r="C31" s="197"/>
      <c r="D31" s="197" t="s">
        <v>399</v>
      </c>
      <c r="E31" s="207" t="s">
        <v>53</v>
      </c>
      <c r="F31" s="198">
        <v>45992.0</v>
      </c>
      <c r="G31" s="198">
        <v>45995.0</v>
      </c>
      <c r="H31" s="208" t="s">
        <v>400</v>
      </c>
      <c r="I31" s="136" t="s">
        <v>161</v>
      </c>
      <c r="J31" s="136" t="s">
        <v>34</v>
      </c>
      <c r="K31" s="206"/>
      <c r="L31" s="203">
        <v>0.0</v>
      </c>
      <c r="M31" s="203">
        <v>0.0</v>
      </c>
      <c r="N31" s="206"/>
      <c r="O31" s="206"/>
      <c r="P31" s="160"/>
      <c r="Q31" s="206"/>
      <c r="R31" s="206"/>
      <c r="S31" s="206" t="s">
        <v>401</v>
      </c>
      <c r="T31" s="209"/>
      <c r="U31" s="209"/>
      <c r="V31" s="209"/>
      <c r="W31" s="209"/>
      <c r="X31" s="209"/>
      <c r="Y31" s="18"/>
      <c r="Z31" s="18"/>
      <c r="AA31" s="18"/>
    </row>
    <row r="32">
      <c r="A32" s="195" t="s">
        <v>22</v>
      </c>
      <c r="B32" s="205" t="s">
        <v>160</v>
      </c>
      <c r="C32" s="206"/>
      <c r="D32" s="206" t="s">
        <v>402</v>
      </c>
      <c r="E32" s="207" t="s">
        <v>24</v>
      </c>
      <c r="F32" s="198">
        <v>45995.0</v>
      </c>
      <c r="G32" s="198">
        <v>46003.0</v>
      </c>
      <c r="H32" s="208" t="s">
        <v>25</v>
      </c>
      <c r="I32" s="136" t="s">
        <v>161</v>
      </c>
      <c r="J32" s="136" t="s">
        <v>34</v>
      </c>
      <c r="K32" s="206"/>
      <c r="L32" s="216">
        <v>5.0</v>
      </c>
      <c r="M32" s="203">
        <v>0.0</v>
      </c>
      <c r="N32" s="206"/>
      <c r="O32" s="206"/>
      <c r="P32" s="160"/>
      <c r="Q32" s="206"/>
      <c r="R32" s="206"/>
      <c r="S32" s="206"/>
      <c r="T32" s="209"/>
      <c r="U32" s="209"/>
      <c r="V32" s="209"/>
      <c r="W32" s="209"/>
      <c r="X32" s="209"/>
      <c r="Y32" s="18"/>
      <c r="Z32" s="18"/>
      <c r="AA32" s="18"/>
    </row>
    <row r="33">
      <c r="A33" s="195" t="s">
        <v>22</v>
      </c>
      <c r="B33" s="196" t="s">
        <v>403</v>
      </c>
      <c r="C33" s="197"/>
      <c r="D33" s="197" t="s">
        <v>404</v>
      </c>
      <c r="E33" s="207" t="s">
        <v>24</v>
      </c>
      <c r="F33" s="198">
        <v>45995.0</v>
      </c>
      <c r="G33" s="202">
        <v>46003.0</v>
      </c>
      <c r="H33" s="200" t="s">
        <v>25</v>
      </c>
      <c r="I33" s="136" t="s">
        <v>161</v>
      </c>
      <c r="J33" s="136" t="s">
        <v>34</v>
      </c>
      <c r="K33" s="197"/>
      <c r="L33" s="203">
        <v>0.0</v>
      </c>
      <c r="M33" s="203">
        <v>0.0</v>
      </c>
      <c r="N33" s="197"/>
      <c r="O33" s="197"/>
      <c r="P33" s="160"/>
      <c r="Q33" s="197"/>
      <c r="R33" s="197"/>
      <c r="S33" s="197"/>
      <c r="T33" s="204"/>
      <c r="U33" s="204"/>
      <c r="V33" s="204"/>
      <c r="W33" s="204"/>
      <c r="X33" s="204"/>
      <c r="Y33" s="18"/>
      <c r="Z33" s="18"/>
      <c r="AA33" s="18"/>
    </row>
    <row r="34">
      <c r="A34" s="211" t="s">
        <v>163</v>
      </c>
      <c r="B34" s="196" t="s">
        <v>174</v>
      </c>
      <c r="C34" s="197"/>
      <c r="D34" s="197" t="s">
        <v>405</v>
      </c>
      <c r="E34" s="207" t="s">
        <v>53</v>
      </c>
      <c r="F34" s="198"/>
      <c r="G34" s="197"/>
      <c r="H34" s="200"/>
      <c r="I34" s="136" t="s">
        <v>282</v>
      </c>
      <c r="J34" s="136" t="s">
        <v>34</v>
      </c>
      <c r="K34" s="197"/>
      <c r="L34" s="203">
        <v>0.0</v>
      </c>
      <c r="M34" s="203">
        <v>0.0</v>
      </c>
      <c r="N34" s="197"/>
      <c r="O34" s="197" t="s">
        <v>394</v>
      </c>
      <c r="P34" s="160"/>
      <c r="Q34" s="197"/>
      <c r="R34" s="197"/>
      <c r="S34" s="197"/>
      <c r="T34" s="204"/>
      <c r="U34" s="204"/>
      <c r="V34" s="204"/>
      <c r="W34" s="204"/>
      <c r="X34" s="204"/>
      <c r="Y34" s="18"/>
      <c r="Z34" s="18"/>
      <c r="AA34" s="18"/>
    </row>
    <row r="35">
      <c r="A35" s="210" t="s">
        <v>163</v>
      </c>
      <c r="B35" s="205" t="s">
        <v>174</v>
      </c>
      <c r="C35" s="206"/>
      <c r="D35" s="206" t="s">
        <v>406</v>
      </c>
      <c r="E35" s="207" t="s">
        <v>53</v>
      </c>
      <c r="F35" s="198"/>
      <c r="G35" s="214"/>
      <c r="H35" s="208"/>
      <c r="I35" s="136" t="s">
        <v>282</v>
      </c>
      <c r="J35" s="136" t="s">
        <v>34</v>
      </c>
      <c r="K35" s="206"/>
      <c r="L35" s="203">
        <v>0.0</v>
      </c>
      <c r="M35" s="203">
        <v>0.0</v>
      </c>
      <c r="N35" s="206"/>
      <c r="O35" s="206" t="s">
        <v>394</v>
      </c>
      <c r="P35" s="160"/>
      <c r="Q35" s="206"/>
      <c r="R35" s="206"/>
      <c r="S35" s="206"/>
      <c r="T35" s="209"/>
      <c r="U35" s="209"/>
      <c r="V35" s="209"/>
      <c r="W35" s="209"/>
      <c r="X35" s="209"/>
      <c r="Y35" s="18"/>
      <c r="Z35" s="18"/>
      <c r="AA35" s="18"/>
    </row>
    <row r="36">
      <c r="A36" s="195" t="s">
        <v>22</v>
      </c>
      <c r="B36" s="196" t="s">
        <v>160</v>
      </c>
      <c r="C36" s="197"/>
      <c r="D36" s="197" t="s">
        <v>407</v>
      </c>
      <c r="E36" s="207" t="s">
        <v>24</v>
      </c>
      <c r="F36" s="198">
        <v>45995.0</v>
      </c>
      <c r="G36" s="202">
        <v>46003.0</v>
      </c>
      <c r="H36" s="200" t="s">
        <v>25</v>
      </c>
      <c r="I36" s="136" t="s">
        <v>161</v>
      </c>
      <c r="J36" s="136" t="s">
        <v>34</v>
      </c>
      <c r="K36" s="197"/>
      <c r="L36" s="217">
        <v>5.0</v>
      </c>
      <c r="M36" s="203">
        <v>0.0</v>
      </c>
      <c r="N36" s="197"/>
      <c r="O36" s="197"/>
      <c r="P36" s="160"/>
      <c r="Q36" s="197"/>
      <c r="R36" s="197"/>
      <c r="S36" s="197"/>
      <c r="T36" s="204"/>
      <c r="U36" s="204"/>
      <c r="V36" s="204"/>
      <c r="W36" s="204"/>
      <c r="X36" s="204"/>
      <c r="Y36" s="18"/>
      <c r="Z36" s="18"/>
      <c r="AA36" s="18"/>
    </row>
    <row r="37">
      <c r="A37" s="195" t="s">
        <v>64</v>
      </c>
      <c r="B37" s="205" t="s">
        <v>181</v>
      </c>
      <c r="C37" s="206"/>
      <c r="D37" s="206" t="s">
        <v>408</v>
      </c>
      <c r="E37" s="207" t="s">
        <v>24</v>
      </c>
      <c r="F37" s="198">
        <v>46006.0</v>
      </c>
      <c r="G37" s="198">
        <v>46008.0</v>
      </c>
      <c r="H37" s="208" t="s">
        <v>79</v>
      </c>
      <c r="I37" s="136" t="s">
        <v>161</v>
      </c>
      <c r="J37" s="136" t="s">
        <v>34</v>
      </c>
      <c r="K37" s="206"/>
      <c r="L37" s="203">
        <v>0.0</v>
      </c>
      <c r="M37" s="203">
        <v>0.0</v>
      </c>
      <c r="N37" s="206"/>
      <c r="O37" s="206"/>
      <c r="P37" s="160"/>
      <c r="Q37" s="206"/>
      <c r="R37" s="206"/>
      <c r="S37" s="206"/>
      <c r="T37" s="209"/>
      <c r="U37" s="209"/>
      <c r="V37" s="209"/>
      <c r="W37" s="209"/>
      <c r="X37" s="209"/>
      <c r="Y37" s="18"/>
      <c r="Z37" s="18"/>
      <c r="AA37" s="18"/>
    </row>
    <row r="38">
      <c r="A38" s="195" t="s">
        <v>64</v>
      </c>
      <c r="B38" s="196" t="s">
        <v>181</v>
      </c>
      <c r="C38" s="197"/>
      <c r="D38" s="197" t="s">
        <v>409</v>
      </c>
      <c r="E38" s="207" t="s">
        <v>24</v>
      </c>
      <c r="F38" s="198">
        <v>46006.0</v>
      </c>
      <c r="G38" s="202">
        <v>46008.0</v>
      </c>
      <c r="H38" s="200" t="s">
        <v>79</v>
      </c>
      <c r="I38" s="136" t="s">
        <v>161</v>
      </c>
      <c r="J38" s="136" t="s">
        <v>34</v>
      </c>
      <c r="K38" s="197"/>
      <c r="L38" s="203">
        <v>0.0</v>
      </c>
      <c r="M38" s="203">
        <v>0.0</v>
      </c>
      <c r="N38" s="197"/>
      <c r="O38" s="197" t="s">
        <v>410</v>
      </c>
      <c r="P38" s="160"/>
      <c r="Q38" s="197"/>
      <c r="R38" s="197"/>
      <c r="S38" s="197"/>
      <c r="T38" s="204"/>
      <c r="U38" s="204"/>
      <c r="V38" s="204"/>
      <c r="W38" s="204"/>
      <c r="X38" s="204"/>
      <c r="Y38" s="18"/>
      <c r="Z38" s="18"/>
      <c r="AA38" s="18"/>
    </row>
    <row r="39">
      <c r="A39" s="195" t="s">
        <v>64</v>
      </c>
      <c r="B39" s="205" t="s">
        <v>181</v>
      </c>
      <c r="C39" s="206"/>
      <c r="D39" s="206" t="s">
        <v>411</v>
      </c>
      <c r="E39" s="207" t="s">
        <v>24</v>
      </c>
      <c r="F39" s="198">
        <v>46008.0</v>
      </c>
      <c r="G39" s="198">
        <v>46008.0</v>
      </c>
      <c r="H39" s="208" t="s">
        <v>25</v>
      </c>
      <c r="I39" s="136" t="s">
        <v>161</v>
      </c>
      <c r="J39" s="136" t="s">
        <v>34</v>
      </c>
      <c r="K39" s="206"/>
      <c r="L39" s="203">
        <v>0.0</v>
      </c>
      <c r="M39" s="203">
        <v>0.0</v>
      </c>
      <c r="N39" s="206"/>
      <c r="O39" s="206"/>
      <c r="P39" s="160"/>
      <c r="Q39" s="206"/>
      <c r="R39" s="206"/>
      <c r="S39" s="206"/>
      <c r="T39" s="209"/>
      <c r="U39" s="209"/>
      <c r="V39" s="209"/>
      <c r="W39" s="209"/>
      <c r="X39" s="209"/>
      <c r="Y39" s="18"/>
      <c r="Z39" s="18"/>
      <c r="AA39" s="18"/>
    </row>
    <row r="40">
      <c r="A40" s="195" t="s">
        <v>166</v>
      </c>
      <c r="B40" s="196" t="s">
        <v>197</v>
      </c>
      <c r="C40" s="197"/>
      <c r="D40" s="197" t="s">
        <v>197</v>
      </c>
      <c r="E40" s="207" t="s">
        <v>24</v>
      </c>
      <c r="F40" s="198">
        <v>46013.0</v>
      </c>
      <c r="G40" s="199">
        <v>46038.0</v>
      </c>
      <c r="H40" s="200" t="s">
        <v>25</v>
      </c>
      <c r="I40" s="136" t="s">
        <v>161</v>
      </c>
      <c r="J40" s="136" t="s">
        <v>34</v>
      </c>
      <c r="K40" s="197"/>
      <c r="L40" s="203">
        <v>0.0</v>
      </c>
      <c r="M40" s="203">
        <v>0.0</v>
      </c>
      <c r="N40" s="197"/>
      <c r="O40" s="197"/>
      <c r="P40" s="160"/>
      <c r="Q40" s="197"/>
      <c r="R40" s="197"/>
      <c r="S40" s="197"/>
      <c r="T40" s="204"/>
      <c r="U40" s="204"/>
      <c r="V40" s="204"/>
      <c r="W40" s="204"/>
      <c r="X40" s="204"/>
      <c r="Y40" s="18"/>
      <c r="Z40" s="18"/>
      <c r="AA40" s="18"/>
    </row>
    <row r="41">
      <c r="A41" s="195" t="s">
        <v>64</v>
      </c>
      <c r="B41" s="205" t="s">
        <v>181</v>
      </c>
      <c r="C41" s="206"/>
      <c r="D41" s="206" t="s">
        <v>412</v>
      </c>
      <c r="E41" s="207" t="s">
        <v>24</v>
      </c>
      <c r="F41" s="198">
        <v>46012.0</v>
      </c>
      <c r="G41" s="198">
        <v>46012.0</v>
      </c>
      <c r="H41" s="208" t="s">
        <v>79</v>
      </c>
      <c r="I41" s="136" t="s">
        <v>161</v>
      </c>
      <c r="J41" s="136" t="s">
        <v>34</v>
      </c>
      <c r="K41" s="206"/>
      <c r="L41" s="203">
        <v>0.0</v>
      </c>
      <c r="M41" s="203">
        <v>0.0</v>
      </c>
      <c r="N41" s="206"/>
      <c r="O41" s="206"/>
      <c r="P41" s="160"/>
      <c r="Q41" s="206"/>
      <c r="R41" s="206"/>
      <c r="S41" s="206"/>
      <c r="T41" s="209"/>
      <c r="U41" s="209"/>
      <c r="V41" s="209"/>
      <c r="W41" s="209"/>
      <c r="X41" s="209"/>
      <c r="Y41" s="18"/>
      <c r="Z41" s="18"/>
      <c r="AA41" s="18"/>
    </row>
    <row r="42">
      <c r="A42" s="195" t="s">
        <v>22</v>
      </c>
      <c r="B42" s="205" t="s">
        <v>160</v>
      </c>
      <c r="C42" s="206"/>
      <c r="D42" s="206" t="s">
        <v>413</v>
      </c>
      <c r="E42" s="207" t="s">
        <v>24</v>
      </c>
      <c r="F42" s="198">
        <v>45995.0</v>
      </c>
      <c r="G42" s="198">
        <v>46003.0</v>
      </c>
      <c r="H42" s="208" t="s">
        <v>25</v>
      </c>
      <c r="I42" s="136" t="s">
        <v>161</v>
      </c>
      <c r="J42" s="136" t="s">
        <v>34</v>
      </c>
      <c r="K42" s="206"/>
      <c r="L42" s="216">
        <v>25.0</v>
      </c>
      <c r="M42" s="203">
        <v>0.0</v>
      </c>
      <c r="N42" s="206"/>
      <c r="O42" s="206"/>
      <c r="P42" s="160"/>
      <c r="Q42" s="206"/>
      <c r="R42" s="206"/>
      <c r="S42" s="206"/>
      <c r="T42" s="209"/>
      <c r="U42" s="209"/>
      <c r="V42" s="209"/>
      <c r="W42" s="209"/>
      <c r="X42" s="209"/>
      <c r="Y42" s="18"/>
      <c r="Z42" s="18"/>
      <c r="AA42" s="18"/>
    </row>
    <row r="43">
      <c r="A43" s="195" t="s">
        <v>22</v>
      </c>
      <c r="B43" s="196" t="s">
        <v>403</v>
      </c>
      <c r="C43" s="197"/>
      <c r="D43" s="197" t="s">
        <v>414</v>
      </c>
      <c r="E43" s="207" t="s">
        <v>24</v>
      </c>
      <c r="F43" s="198">
        <v>45995.0</v>
      </c>
      <c r="G43" s="202">
        <v>46003.0</v>
      </c>
      <c r="H43" s="200" t="s">
        <v>25</v>
      </c>
      <c r="I43" s="136" t="s">
        <v>161</v>
      </c>
      <c r="J43" s="136" t="s">
        <v>34</v>
      </c>
      <c r="K43" s="197"/>
      <c r="L43" s="203">
        <v>0.0</v>
      </c>
      <c r="M43" s="203">
        <v>0.0</v>
      </c>
      <c r="N43" s="197"/>
      <c r="O43" s="197"/>
      <c r="P43" s="160"/>
      <c r="Q43" s="197"/>
      <c r="R43" s="197"/>
      <c r="S43" s="197"/>
      <c r="T43" s="204"/>
      <c r="U43" s="204"/>
      <c r="V43" s="204"/>
      <c r="W43" s="204"/>
      <c r="X43" s="204"/>
      <c r="Y43" s="18"/>
      <c r="Z43" s="18"/>
      <c r="AA43" s="18"/>
    </row>
    <row r="44">
      <c r="A44" s="195" t="s">
        <v>22</v>
      </c>
      <c r="B44" s="205" t="s">
        <v>403</v>
      </c>
      <c r="C44" s="206"/>
      <c r="D44" s="206" t="s">
        <v>415</v>
      </c>
      <c r="E44" s="207" t="s">
        <v>24</v>
      </c>
      <c r="F44" s="198">
        <v>45992.0</v>
      </c>
      <c r="G44" s="198">
        <v>45994.0</v>
      </c>
      <c r="H44" s="208" t="s">
        <v>25</v>
      </c>
      <c r="I44" s="136" t="s">
        <v>161</v>
      </c>
      <c r="J44" s="136" t="s">
        <v>34</v>
      </c>
      <c r="K44" s="206"/>
      <c r="L44" s="203">
        <v>0.0</v>
      </c>
      <c r="M44" s="203">
        <v>0.0</v>
      </c>
      <c r="N44" s="206"/>
      <c r="O44" s="206"/>
      <c r="P44" s="160"/>
      <c r="Q44" s="206"/>
      <c r="R44" s="206"/>
      <c r="S44" s="206"/>
      <c r="T44" s="209"/>
      <c r="U44" s="209"/>
      <c r="V44" s="209"/>
      <c r="W44" s="209"/>
      <c r="X44" s="209"/>
      <c r="Y44" s="18"/>
      <c r="Z44" s="18"/>
      <c r="AA44" s="18"/>
    </row>
    <row r="45">
      <c r="A45" s="195" t="s">
        <v>166</v>
      </c>
      <c r="B45" s="205" t="s">
        <v>416</v>
      </c>
      <c r="C45" s="206"/>
      <c r="D45" s="197" t="s">
        <v>167</v>
      </c>
      <c r="E45" s="207" t="s">
        <v>24</v>
      </c>
      <c r="F45" s="198">
        <v>46002.0</v>
      </c>
      <c r="G45" s="198">
        <v>46002.0</v>
      </c>
      <c r="H45" s="208" t="s">
        <v>79</v>
      </c>
      <c r="I45" s="136" t="s">
        <v>161</v>
      </c>
      <c r="J45" s="136" t="s">
        <v>34</v>
      </c>
      <c r="K45" s="206"/>
      <c r="L45" s="203">
        <v>0.0</v>
      </c>
      <c r="M45" s="203">
        <v>0.0</v>
      </c>
      <c r="N45" s="206"/>
      <c r="O45" s="206"/>
      <c r="P45" s="160"/>
      <c r="Q45" s="206"/>
      <c r="R45" s="206"/>
      <c r="S45" s="206"/>
      <c r="T45" s="209"/>
      <c r="U45" s="209"/>
      <c r="V45" s="209"/>
      <c r="W45" s="209"/>
      <c r="X45" s="209"/>
      <c r="Y45" s="18"/>
      <c r="Z45" s="18"/>
      <c r="AA45" s="18"/>
    </row>
    <row r="46">
      <c r="A46" s="211" t="s">
        <v>163</v>
      </c>
      <c r="B46" s="196" t="s">
        <v>169</v>
      </c>
      <c r="C46" s="197"/>
      <c r="D46" s="197" t="s">
        <v>417</v>
      </c>
      <c r="E46" s="207" t="s">
        <v>53</v>
      </c>
      <c r="F46" s="198">
        <v>45980.0</v>
      </c>
      <c r="G46" s="213"/>
      <c r="H46" s="200" t="s">
        <v>170</v>
      </c>
      <c r="I46" s="136" t="s">
        <v>161</v>
      </c>
      <c r="J46" s="215" t="s">
        <v>55</v>
      </c>
      <c r="K46" s="197"/>
      <c r="L46" s="203">
        <v>0.0</v>
      </c>
      <c r="M46" s="203">
        <v>0.0</v>
      </c>
      <c r="N46" s="197"/>
      <c r="O46" s="197" t="s">
        <v>418</v>
      </c>
      <c r="P46" s="160"/>
      <c r="Q46" s="197"/>
      <c r="R46" s="197"/>
      <c r="S46" s="197" t="s">
        <v>173</v>
      </c>
      <c r="T46" s="204"/>
      <c r="U46" s="204"/>
      <c r="V46" s="204"/>
      <c r="W46" s="204"/>
      <c r="X46" s="204"/>
      <c r="Y46" s="18"/>
      <c r="Z46" s="18"/>
      <c r="AA46" s="18"/>
    </row>
    <row r="47">
      <c r="A47" s="210" t="s">
        <v>163</v>
      </c>
      <c r="B47" s="205" t="s">
        <v>169</v>
      </c>
      <c r="C47" s="206"/>
      <c r="D47" s="206" t="s">
        <v>419</v>
      </c>
      <c r="E47" s="207" t="s">
        <v>53</v>
      </c>
      <c r="F47" s="198">
        <v>45980.0</v>
      </c>
      <c r="G47" s="214"/>
      <c r="H47" s="208" t="s">
        <v>170</v>
      </c>
      <c r="I47" s="136" t="s">
        <v>161</v>
      </c>
      <c r="J47" s="215" t="s">
        <v>55</v>
      </c>
      <c r="K47" s="206"/>
      <c r="L47" s="203">
        <v>0.0</v>
      </c>
      <c r="M47" s="203">
        <v>0.0</v>
      </c>
      <c r="N47" s="206"/>
      <c r="O47" s="206" t="s">
        <v>418</v>
      </c>
      <c r="P47" s="160"/>
      <c r="Q47" s="206"/>
      <c r="R47" s="206"/>
      <c r="S47" s="206" t="s">
        <v>173</v>
      </c>
      <c r="T47" s="209"/>
      <c r="U47" s="209"/>
      <c r="V47" s="209"/>
      <c r="W47" s="209"/>
      <c r="X47" s="209"/>
      <c r="Y47" s="18"/>
      <c r="Z47" s="18"/>
      <c r="AA47" s="18"/>
    </row>
    <row r="48">
      <c r="A48" s="195" t="s">
        <v>64</v>
      </c>
      <c r="B48" s="196" t="s">
        <v>261</v>
      </c>
      <c r="C48" s="197"/>
      <c r="D48" s="197" t="s">
        <v>420</v>
      </c>
      <c r="E48" s="136" t="s">
        <v>421</v>
      </c>
      <c r="F48" s="198"/>
      <c r="G48" s="213"/>
      <c r="H48" s="200" t="s">
        <v>170</v>
      </c>
      <c r="I48" s="136" t="s">
        <v>282</v>
      </c>
      <c r="J48" s="218"/>
      <c r="K48" s="197"/>
      <c r="L48" s="203">
        <v>0.0</v>
      </c>
      <c r="M48" s="203">
        <v>0.0</v>
      </c>
      <c r="N48" s="197"/>
      <c r="O48" s="197" t="s">
        <v>422</v>
      </c>
      <c r="P48" s="160"/>
      <c r="Q48" s="197"/>
      <c r="R48" s="197"/>
      <c r="S48" s="197"/>
      <c r="T48" s="204"/>
      <c r="U48" s="204"/>
      <c r="V48" s="204"/>
      <c r="W48" s="204"/>
      <c r="X48" s="204"/>
      <c r="Y48" s="18"/>
      <c r="Z48" s="18"/>
      <c r="AA48" s="18"/>
    </row>
    <row r="49">
      <c r="A49" s="195" t="s">
        <v>64</v>
      </c>
      <c r="B49" s="205" t="s">
        <v>261</v>
      </c>
      <c r="C49" s="206"/>
      <c r="D49" s="206" t="s">
        <v>423</v>
      </c>
      <c r="E49" s="136" t="s">
        <v>421</v>
      </c>
      <c r="F49" s="198"/>
      <c r="G49" s="206"/>
      <c r="H49" s="208" t="s">
        <v>170</v>
      </c>
      <c r="I49" s="136" t="s">
        <v>282</v>
      </c>
      <c r="J49" s="218"/>
      <c r="K49" s="206"/>
      <c r="L49" s="203">
        <v>0.0</v>
      </c>
      <c r="M49" s="203">
        <v>0.0</v>
      </c>
      <c r="N49" s="206"/>
      <c r="O49" s="206" t="s">
        <v>422</v>
      </c>
      <c r="P49" s="160"/>
      <c r="Q49" s="206"/>
      <c r="R49" s="206"/>
      <c r="S49" s="206"/>
      <c r="T49" s="209"/>
      <c r="U49" s="209"/>
      <c r="V49" s="209"/>
      <c r="W49" s="209"/>
      <c r="X49" s="209"/>
      <c r="Y49" s="18"/>
      <c r="Z49" s="18"/>
      <c r="AA49" s="18"/>
    </row>
    <row r="50">
      <c r="A50" s="195" t="s">
        <v>64</v>
      </c>
      <c r="B50" s="196" t="s">
        <v>255</v>
      </c>
      <c r="C50" s="197"/>
      <c r="D50" s="197" t="s">
        <v>255</v>
      </c>
      <c r="E50" s="207" t="s">
        <v>24</v>
      </c>
      <c r="F50" s="198"/>
      <c r="G50" s="197"/>
      <c r="H50" s="200" t="s">
        <v>170</v>
      </c>
      <c r="I50" s="136" t="s">
        <v>248</v>
      </c>
      <c r="J50" s="218"/>
      <c r="K50" s="197"/>
      <c r="L50" s="203">
        <v>0.0</v>
      </c>
      <c r="M50" s="203">
        <v>0.0</v>
      </c>
      <c r="N50" s="197"/>
      <c r="O50" s="197"/>
      <c r="P50" s="160"/>
      <c r="Q50" s="197"/>
      <c r="R50" s="197"/>
      <c r="S50" s="197"/>
      <c r="T50" s="204"/>
      <c r="U50" s="204"/>
      <c r="V50" s="204"/>
      <c r="W50" s="204"/>
      <c r="X50" s="204"/>
      <c r="Y50" s="18"/>
      <c r="Z50" s="18"/>
      <c r="AA50" s="18"/>
    </row>
    <row r="51">
      <c r="A51" s="195" t="s">
        <v>64</v>
      </c>
      <c r="B51" s="196" t="s">
        <v>231</v>
      </c>
      <c r="C51" s="197"/>
      <c r="D51" s="197" t="s">
        <v>424</v>
      </c>
      <c r="E51" s="207" t="s">
        <v>24</v>
      </c>
      <c r="F51" s="198">
        <v>45975.0</v>
      </c>
      <c r="G51" s="202">
        <v>45978.0</v>
      </c>
      <c r="H51" s="200" t="s">
        <v>232</v>
      </c>
      <c r="I51" s="136" t="s">
        <v>161</v>
      </c>
      <c r="J51" s="215" t="s">
        <v>34</v>
      </c>
      <c r="K51" s="197"/>
      <c r="L51" s="203">
        <v>0.0</v>
      </c>
      <c r="M51" s="203">
        <v>0.0</v>
      </c>
      <c r="N51" s="197"/>
      <c r="O51" s="197"/>
      <c r="P51" s="160"/>
      <c r="Q51" s="197"/>
      <c r="R51" s="197"/>
      <c r="S51" s="197"/>
      <c r="T51" s="204"/>
      <c r="U51" s="204"/>
      <c r="V51" s="204"/>
      <c r="W51" s="204"/>
      <c r="X51" s="204"/>
      <c r="Y51" s="18"/>
      <c r="Z51" s="18"/>
      <c r="AA51" s="18"/>
    </row>
    <row r="52">
      <c r="A52" s="195" t="s">
        <v>22</v>
      </c>
      <c r="B52" s="205" t="s">
        <v>160</v>
      </c>
      <c r="C52" s="206"/>
      <c r="D52" s="206" t="s">
        <v>425</v>
      </c>
      <c r="E52" s="207" t="s">
        <v>24</v>
      </c>
      <c r="F52" s="198"/>
      <c r="G52" s="214"/>
      <c r="H52" s="208" t="s">
        <v>33</v>
      </c>
      <c r="I52" s="136" t="s">
        <v>161</v>
      </c>
      <c r="J52" s="215" t="s">
        <v>34</v>
      </c>
      <c r="K52" s="206"/>
      <c r="L52" s="203">
        <v>0.0</v>
      </c>
      <c r="M52" s="203">
        <v>0.0</v>
      </c>
      <c r="N52" s="206"/>
      <c r="O52" s="206" t="s">
        <v>426</v>
      </c>
      <c r="P52" s="160"/>
      <c r="Q52" s="206"/>
      <c r="R52" s="206"/>
      <c r="S52" s="206"/>
      <c r="T52" s="209"/>
      <c r="U52" s="209"/>
      <c r="V52" s="209"/>
      <c r="W52" s="209"/>
      <c r="X52" s="209"/>
      <c r="Y52" s="18"/>
      <c r="Z52" s="18"/>
      <c r="AA52" s="18"/>
    </row>
    <row r="53">
      <c r="A53" s="195" t="s">
        <v>119</v>
      </c>
      <c r="B53" s="196" t="s">
        <v>195</v>
      </c>
      <c r="C53" s="197"/>
      <c r="D53" s="197" t="s">
        <v>427</v>
      </c>
      <c r="E53" s="207" t="s">
        <v>24</v>
      </c>
      <c r="F53" s="199">
        <v>46028.0</v>
      </c>
      <c r="G53" s="199">
        <v>46041.0</v>
      </c>
      <c r="H53" s="200" t="s">
        <v>79</v>
      </c>
      <c r="I53" s="207" t="s">
        <v>161</v>
      </c>
      <c r="J53" s="136" t="s">
        <v>34</v>
      </c>
      <c r="K53" s="197"/>
      <c r="L53" s="203">
        <v>0.0</v>
      </c>
      <c r="M53" s="203">
        <v>0.0</v>
      </c>
      <c r="N53" s="197"/>
      <c r="O53" s="197"/>
      <c r="P53" s="160"/>
      <c r="Q53" s="197"/>
      <c r="R53" s="197"/>
      <c r="S53" s="197"/>
      <c r="T53" s="204"/>
      <c r="U53" s="204"/>
      <c r="V53" s="204"/>
      <c r="W53" s="204"/>
      <c r="X53" s="204"/>
      <c r="Y53" s="18"/>
      <c r="Z53" s="18"/>
      <c r="AA53" s="18"/>
    </row>
    <row r="54">
      <c r="A54" s="195" t="s">
        <v>64</v>
      </c>
      <c r="B54" s="205" t="s">
        <v>210</v>
      </c>
      <c r="C54" s="206"/>
      <c r="D54" s="206" t="s">
        <v>210</v>
      </c>
      <c r="E54" s="207" t="s">
        <v>24</v>
      </c>
      <c r="F54" s="198">
        <v>45993.0</v>
      </c>
      <c r="G54" s="198">
        <v>46002.0</v>
      </c>
      <c r="H54" s="208" t="s">
        <v>79</v>
      </c>
      <c r="I54" s="207" t="s">
        <v>161</v>
      </c>
      <c r="J54" s="136" t="s">
        <v>27</v>
      </c>
      <c r="K54" s="206"/>
      <c r="L54" s="203">
        <v>0.0</v>
      </c>
      <c r="M54" s="203">
        <v>0.0</v>
      </c>
      <c r="N54" s="206"/>
      <c r="O54" s="219" t="s">
        <v>428</v>
      </c>
      <c r="P54" s="160"/>
      <c r="Q54" s="206"/>
      <c r="R54" s="206"/>
      <c r="S54" s="206"/>
      <c r="T54" s="209"/>
      <c r="U54" s="209"/>
      <c r="V54" s="209"/>
      <c r="W54" s="209"/>
      <c r="X54" s="209"/>
      <c r="Y54" s="18"/>
      <c r="Z54" s="18"/>
      <c r="AA54" s="18"/>
    </row>
    <row r="55">
      <c r="A55" s="195" t="s">
        <v>64</v>
      </c>
      <c r="B55" s="196" t="s">
        <v>210</v>
      </c>
      <c r="C55" s="197"/>
      <c r="D55" s="197" t="s">
        <v>429</v>
      </c>
      <c r="E55" s="207" t="s">
        <v>24</v>
      </c>
      <c r="F55" s="198">
        <v>45993.0</v>
      </c>
      <c r="G55" s="202">
        <v>46002.0</v>
      </c>
      <c r="H55" s="200" t="s">
        <v>79</v>
      </c>
      <c r="I55" s="207" t="s">
        <v>161</v>
      </c>
      <c r="J55" s="136" t="s">
        <v>27</v>
      </c>
      <c r="K55" s="197"/>
      <c r="L55" s="203">
        <v>0.0</v>
      </c>
      <c r="M55" s="203">
        <v>0.0</v>
      </c>
      <c r="N55" s="197"/>
      <c r="O55" s="219" t="s">
        <v>428</v>
      </c>
      <c r="P55" s="160"/>
      <c r="Q55" s="220" t="s">
        <v>430</v>
      </c>
      <c r="R55" s="197"/>
      <c r="S55" s="197"/>
      <c r="T55" s="204"/>
      <c r="U55" s="204"/>
      <c r="V55" s="204"/>
      <c r="W55" s="204"/>
      <c r="X55" s="204"/>
      <c r="Y55" s="18"/>
      <c r="Z55" s="18"/>
      <c r="AA55" s="18"/>
    </row>
    <row r="56">
      <c r="A56" s="195" t="s">
        <v>64</v>
      </c>
      <c r="B56" s="196" t="s">
        <v>271</v>
      </c>
      <c r="C56" s="221" t="s">
        <v>431</v>
      </c>
      <c r="D56" s="197" t="s">
        <v>432</v>
      </c>
      <c r="E56" s="207" t="s">
        <v>24</v>
      </c>
      <c r="F56" s="198">
        <v>46015.0</v>
      </c>
      <c r="G56" s="222"/>
      <c r="H56" s="200" t="s">
        <v>79</v>
      </c>
      <c r="I56" s="136" t="s">
        <v>282</v>
      </c>
      <c r="J56" s="207" t="s">
        <v>27</v>
      </c>
      <c r="K56" s="197"/>
      <c r="L56" s="203">
        <v>0.0</v>
      </c>
      <c r="M56" s="203">
        <v>0.0</v>
      </c>
      <c r="N56" s="197"/>
      <c r="O56" s="212" t="s">
        <v>433</v>
      </c>
      <c r="P56" s="160"/>
      <c r="Q56" s="197"/>
      <c r="R56" s="197"/>
      <c r="S56" s="197"/>
      <c r="T56" s="204"/>
      <c r="U56" s="204"/>
      <c r="V56" s="204"/>
      <c r="W56" s="204"/>
      <c r="X56" s="204"/>
      <c r="Y56" s="18"/>
      <c r="Z56" s="18"/>
      <c r="AA56" s="18"/>
    </row>
    <row r="57">
      <c r="A57" s="195" t="s">
        <v>64</v>
      </c>
      <c r="B57" s="205" t="s">
        <v>271</v>
      </c>
      <c r="C57" s="221" t="s">
        <v>434</v>
      </c>
      <c r="D57" s="206" t="s">
        <v>435</v>
      </c>
      <c r="E57" s="207" t="s">
        <v>24</v>
      </c>
      <c r="F57" s="198">
        <v>46015.0</v>
      </c>
      <c r="G57" s="214"/>
      <c r="H57" s="208"/>
      <c r="I57" s="136" t="s">
        <v>282</v>
      </c>
      <c r="J57" s="207" t="s">
        <v>27</v>
      </c>
      <c r="K57" s="206"/>
      <c r="L57" s="203">
        <v>0.0</v>
      </c>
      <c r="M57" s="203">
        <v>0.0</v>
      </c>
      <c r="N57" s="206"/>
      <c r="O57" s="219" t="s">
        <v>436</v>
      </c>
      <c r="P57" s="160"/>
      <c r="Q57" s="206"/>
      <c r="R57" s="206"/>
      <c r="S57" s="206"/>
      <c r="T57" s="209"/>
      <c r="U57" s="209"/>
      <c r="V57" s="209"/>
      <c r="W57" s="209"/>
      <c r="X57" s="209"/>
      <c r="Y57" s="18"/>
      <c r="Z57" s="18"/>
      <c r="AA57" s="18"/>
    </row>
    <row r="58">
      <c r="A58" s="195" t="s">
        <v>64</v>
      </c>
      <c r="B58" s="196" t="s">
        <v>271</v>
      </c>
      <c r="C58" s="221" t="s">
        <v>437</v>
      </c>
      <c r="D58" s="197" t="s">
        <v>438</v>
      </c>
      <c r="E58" s="207" t="s">
        <v>24</v>
      </c>
      <c r="F58" s="198">
        <v>46015.0</v>
      </c>
      <c r="G58" s="213"/>
      <c r="H58" s="200"/>
      <c r="I58" s="136" t="s">
        <v>282</v>
      </c>
      <c r="J58" s="207" t="s">
        <v>27</v>
      </c>
      <c r="K58" s="197"/>
      <c r="L58" s="203">
        <v>0.0</v>
      </c>
      <c r="M58" s="203">
        <v>0.0</v>
      </c>
      <c r="N58" s="197"/>
      <c r="O58" s="212" t="s">
        <v>439</v>
      </c>
      <c r="P58" s="160"/>
      <c r="Q58" s="197"/>
      <c r="R58" s="197"/>
      <c r="S58" s="197"/>
      <c r="T58" s="204"/>
      <c r="U58" s="204"/>
      <c r="V58" s="204"/>
      <c r="W58" s="204"/>
      <c r="X58" s="204"/>
      <c r="Y58" s="18"/>
      <c r="Z58" s="18"/>
      <c r="AA58" s="18"/>
    </row>
    <row r="59">
      <c r="A59" s="195" t="s">
        <v>64</v>
      </c>
      <c r="B59" s="205" t="s">
        <v>271</v>
      </c>
      <c r="C59" s="221" t="s">
        <v>440</v>
      </c>
      <c r="D59" s="206" t="s">
        <v>441</v>
      </c>
      <c r="E59" s="207" t="s">
        <v>24</v>
      </c>
      <c r="F59" s="198">
        <v>46015.0</v>
      </c>
      <c r="G59" s="214"/>
      <c r="H59" s="223" t="s">
        <v>25</v>
      </c>
      <c r="I59" s="136" t="s">
        <v>282</v>
      </c>
      <c r="J59" s="207" t="s">
        <v>27</v>
      </c>
      <c r="K59" s="206"/>
      <c r="L59" s="203">
        <v>0.0</v>
      </c>
      <c r="M59" s="203">
        <v>0.0</v>
      </c>
      <c r="N59" s="206"/>
      <c r="O59" s="219" t="s">
        <v>442</v>
      </c>
      <c r="P59" s="160"/>
      <c r="Q59" s="206"/>
      <c r="R59" s="206"/>
      <c r="S59" s="206"/>
      <c r="T59" s="209"/>
      <c r="U59" s="209"/>
      <c r="V59" s="209"/>
      <c r="W59" s="209"/>
      <c r="X59" s="209"/>
      <c r="Y59" s="18"/>
      <c r="Z59" s="18"/>
      <c r="AA59" s="18"/>
    </row>
    <row r="60">
      <c r="A60" s="195" t="s">
        <v>64</v>
      </c>
      <c r="B60" s="196" t="s">
        <v>271</v>
      </c>
      <c r="C60" s="221" t="s">
        <v>443</v>
      </c>
      <c r="D60" s="197" t="s">
        <v>444</v>
      </c>
      <c r="E60" s="207" t="s">
        <v>24</v>
      </c>
      <c r="F60" s="198">
        <v>46015.0</v>
      </c>
      <c r="G60" s="213"/>
      <c r="H60" s="200"/>
      <c r="I60" s="136" t="s">
        <v>282</v>
      </c>
      <c r="J60" s="207" t="s">
        <v>27</v>
      </c>
      <c r="K60" s="197"/>
      <c r="L60" s="203">
        <v>0.0</v>
      </c>
      <c r="M60" s="203">
        <v>0.0</v>
      </c>
      <c r="N60" s="197"/>
      <c r="O60" s="212" t="s">
        <v>433</v>
      </c>
      <c r="P60" s="160"/>
      <c r="Q60" s="197"/>
      <c r="R60" s="197"/>
      <c r="S60" s="197"/>
      <c r="T60" s="204"/>
      <c r="U60" s="204"/>
      <c r="V60" s="204"/>
      <c r="W60" s="204"/>
      <c r="X60" s="204"/>
      <c r="Y60" s="18"/>
      <c r="Z60" s="18"/>
      <c r="AA60" s="18"/>
    </row>
    <row r="61">
      <c r="A61" s="195" t="s">
        <v>64</v>
      </c>
      <c r="B61" s="205" t="s">
        <v>271</v>
      </c>
      <c r="C61" s="221" t="s">
        <v>445</v>
      </c>
      <c r="D61" s="206" t="s">
        <v>446</v>
      </c>
      <c r="E61" s="207" t="s">
        <v>24</v>
      </c>
      <c r="F61" s="198">
        <v>46015.0</v>
      </c>
      <c r="G61" s="214"/>
      <c r="H61" s="208" t="s">
        <v>25</v>
      </c>
      <c r="I61" s="136" t="s">
        <v>282</v>
      </c>
      <c r="J61" s="207" t="s">
        <v>27</v>
      </c>
      <c r="K61" s="206"/>
      <c r="L61" s="203">
        <v>0.0</v>
      </c>
      <c r="M61" s="203">
        <v>0.0</v>
      </c>
      <c r="N61" s="206"/>
      <c r="O61" s="219" t="s">
        <v>447</v>
      </c>
      <c r="P61" s="160"/>
      <c r="Q61" s="206"/>
      <c r="R61" s="206"/>
      <c r="S61" s="206"/>
      <c r="T61" s="209"/>
      <c r="U61" s="209"/>
      <c r="V61" s="209"/>
      <c r="W61" s="209"/>
      <c r="X61" s="209"/>
      <c r="Y61" s="18"/>
      <c r="Z61" s="18"/>
      <c r="AA61" s="18"/>
    </row>
    <row r="62">
      <c r="A62" s="195" t="s">
        <v>64</v>
      </c>
      <c r="B62" s="196" t="s">
        <v>271</v>
      </c>
      <c r="C62" s="221" t="s">
        <v>448</v>
      </c>
      <c r="D62" s="197" t="s">
        <v>449</v>
      </c>
      <c r="E62" s="207" t="s">
        <v>24</v>
      </c>
      <c r="F62" s="198">
        <v>46015.0</v>
      </c>
      <c r="G62" s="213"/>
      <c r="H62" s="200"/>
      <c r="I62" s="136" t="s">
        <v>282</v>
      </c>
      <c r="J62" s="218"/>
      <c r="K62" s="197"/>
      <c r="L62" s="203">
        <v>0.0</v>
      </c>
      <c r="M62" s="203">
        <v>0.0</v>
      </c>
      <c r="N62" s="197"/>
      <c r="O62" s="197"/>
      <c r="P62" s="160"/>
      <c r="Q62" s="197"/>
      <c r="R62" s="197"/>
      <c r="S62" s="197"/>
      <c r="T62" s="204"/>
      <c r="U62" s="204"/>
      <c r="V62" s="204"/>
      <c r="W62" s="204"/>
      <c r="X62" s="204"/>
      <c r="Y62" s="18"/>
      <c r="Z62" s="18"/>
      <c r="AA62" s="18"/>
    </row>
    <row r="63">
      <c r="A63" s="195" t="s">
        <v>64</v>
      </c>
      <c r="B63" s="224" t="s">
        <v>271</v>
      </c>
      <c r="C63" s="221" t="s">
        <v>450</v>
      </c>
      <c r="D63" s="212" t="s">
        <v>451</v>
      </c>
      <c r="E63" s="207" t="s">
        <v>24</v>
      </c>
      <c r="F63" s="198">
        <v>46020.0</v>
      </c>
      <c r="G63" s="197"/>
      <c r="H63" s="200" t="s">
        <v>79</v>
      </c>
      <c r="I63" s="136" t="s">
        <v>282</v>
      </c>
      <c r="J63" s="225" t="s">
        <v>55</v>
      </c>
      <c r="K63" s="197"/>
      <c r="L63" s="203">
        <v>0.0</v>
      </c>
      <c r="M63" s="203">
        <v>0.0</v>
      </c>
      <c r="N63" s="197"/>
      <c r="O63" s="197" t="s">
        <v>452</v>
      </c>
      <c r="P63" s="160"/>
      <c r="Q63" s="226"/>
      <c r="R63" s="226"/>
      <c r="S63" s="227"/>
      <c r="T63" s="67"/>
      <c r="U63" s="67"/>
      <c r="V63" s="67"/>
      <c r="W63" s="67"/>
      <c r="X63" s="67"/>
      <c r="Y63" s="18"/>
      <c r="Z63" s="18"/>
      <c r="AA63" s="18"/>
    </row>
    <row r="64">
      <c r="A64" s="195" t="s">
        <v>163</v>
      </c>
      <c r="B64" s="228" t="s">
        <v>185</v>
      </c>
      <c r="C64" s="221" t="s">
        <v>453</v>
      </c>
      <c r="D64" s="229" t="s">
        <v>454</v>
      </c>
      <c r="E64" s="207" t="s">
        <v>24</v>
      </c>
      <c r="F64" s="198">
        <v>46022.0</v>
      </c>
      <c r="G64" s="230"/>
      <c r="H64" s="231"/>
      <c r="I64" s="136" t="s">
        <v>161</v>
      </c>
      <c r="J64" s="215" t="s">
        <v>34</v>
      </c>
      <c r="K64" s="230"/>
      <c r="L64" s="203">
        <v>0.0</v>
      </c>
      <c r="M64" s="203">
        <v>0.0</v>
      </c>
      <c r="N64" s="230"/>
      <c r="O64" s="229" t="s">
        <v>455</v>
      </c>
      <c r="P64" s="160"/>
      <c r="Q64" s="230"/>
      <c r="R64" s="230"/>
      <c r="S64" s="230"/>
      <c r="T64" s="232"/>
      <c r="U64" s="232"/>
      <c r="V64" s="232"/>
      <c r="W64" s="232"/>
      <c r="X64" s="232"/>
      <c r="Y64" s="18"/>
      <c r="Z64" s="18"/>
      <c r="AA64" s="18"/>
    </row>
    <row r="65">
      <c r="A65" s="195" t="s">
        <v>163</v>
      </c>
      <c r="B65" s="228" t="s">
        <v>185</v>
      </c>
      <c r="C65" s="221" t="s">
        <v>456</v>
      </c>
      <c r="D65" s="229" t="s">
        <v>457</v>
      </c>
      <c r="E65" s="207" t="s">
        <v>24</v>
      </c>
      <c r="F65" s="233">
        <v>46022.0</v>
      </c>
      <c r="G65" s="230"/>
      <c r="H65" s="231"/>
      <c r="I65" s="136" t="s">
        <v>161</v>
      </c>
      <c r="J65" s="234" t="s">
        <v>34</v>
      </c>
      <c r="K65" s="230"/>
      <c r="L65" s="203">
        <v>0.0</v>
      </c>
      <c r="M65" s="203">
        <v>0.0</v>
      </c>
      <c r="N65" s="230"/>
      <c r="O65" s="230"/>
      <c r="P65" s="160"/>
      <c r="Q65" s="230"/>
      <c r="R65" s="230"/>
      <c r="S65" s="230"/>
      <c r="T65" s="232"/>
      <c r="U65" s="232"/>
      <c r="V65" s="232"/>
      <c r="W65" s="232"/>
      <c r="X65" s="232"/>
      <c r="Y65" s="18"/>
      <c r="Z65" s="18"/>
      <c r="AA65" s="18"/>
    </row>
    <row r="66">
      <c r="A66" s="195" t="s">
        <v>166</v>
      </c>
      <c r="B66" s="235"/>
      <c r="C66" s="230"/>
      <c r="D66" s="229" t="s">
        <v>458</v>
      </c>
      <c r="E66" s="207" t="s">
        <v>24</v>
      </c>
      <c r="F66" s="198">
        <v>46024.0</v>
      </c>
      <c r="G66" s="230"/>
      <c r="H66" s="203" t="s">
        <v>79</v>
      </c>
      <c r="I66" s="136" t="s">
        <v>161</v>
      </c>
      <c r="J66" s="215" t="s">
        <v>34</v>
      </c>
      <c r="K66" s="230"/>
      <c r="L66" s="203">
        <v>0.0</v>
      </c>
      <c r="M66" s="203">
        <v>0.0</v>
      </c>
      <c r="N66" s="230"/>
      <c r="O66" s="230"/>
      <c r="P66" s="160"/>
      <c r="Q66" s="230"/>
      <c r="R66" s="230"/>
      <c r="S66" s="230"/>
      <c r="T66" s="232"/>
      <c r="U66" s="232"/>
      <c r="V66" s="232"/>
      <c r="W66" s="232"/>
      <c r="X66" s="232"/>
      <c r="Y66" s="18"/>
      <c r="Z66" s="18"/>
      <c r="AA66" s="18"/>
    </row>
    <row r="67">
      <c r="A67" s="195" t="s">
        <v>166</v>
      </c>
      <c r="B67" s="236" t="s">
        <v>459</v>
      </c>
      <c r="C67" s="237"/>
      <c r="D67" s="230" t="s">
        <v>460</v>
      </c>
      <c r="E67" s="207" t="s">
        <v>24</v>
      </c>
      <c r="F67" s="233">
        <v>46027.0</v>
      </c>
      <c r="G67" s="233">
        <v>46038.0</v>
      </c>
      <c r="H67" s="203" t="s">
        <v>79</v>
      </c>
      <c r="I67" s="136" t="s">
        <v>161</v>
      </c>
      <c r="J67" s="215" t="s">
        <v>34</v>
      </c>
      <c r="K67" s="238"/>
      <c r="L67" s="203">
        <v>0.0</v>
      </c>
      <c r="M67" s="203">
        <v>0.0</v>
      </c>
      <c r="N67" s="238"/>
      <c r="O67" s="238"/>
      <c r="P67" s="160"/>
      <c r="Q67" s="238"/>
      <c r="R67" s="238"/>
      <c r="S67" s="238"/>
      <c r="T67" s="232"/>
      <c r="U67" s="232"/>
      <c r="V67" s="232"/>
      <c r="W67" s="232"/>
      <c r="X67" s="232"/>
      <c r="Y67" s="18"/>
      <c r="Z67" s="18"/>
      <c r="AA67" s="18"/>
    </row>
    <row r="68" ht="77.25" customHeight="1">
      <c r="A68" s="195" t="s">
        <v>163</v>
      </c>
      <c r="B68" s="228" t="s">
        <v>185</v>
      </c>
      <c r="C68" s="223" t="s">
        <v>461</v>
      </c>
      <c r="D68" s="237" t="s">
        <v>462</v>
      </c>
      <c r="E68" s="207" t="s">
        <v>24</v>
      </c>
      <c r="F68" s="233">
        <v>46027.0</v>
      </c>
      <c r="G68" s="238"/>
      <c r="H68" s="218"/>
      <c r="I68" s="136" t="s">
        <v>161</v>
      </c>
      <c r="J68" s="215" t="s">
        <v>34</v>
      </c>
      <c r="K68" s="238"/>
      <c r="L68" s="203">
        <v>0.0</v>
      </c>
      <c r="M68" s="203">
        <v>0.0</v>
      </c>
      <c r="N68" s="238"/>
      <c r="O68" s="237" t="s">
        <v>463</v>
      </c>
      <c r="P68" s="160"/>
      <c r="Q68" s="238"/>
      <c r="R68" s="238"/>
      <c r="S68" s="238"/>
      <c r="T68" s="232"/>
      <c r="U68" s="232"/>
      <c r="V68" s="232"/>
      <c r="W68" s="232"/>
      <c r="X68" s="232"/>
      <c r="Y68" s="18"/>
      <c r="Z68" s="18"/>
      <c r="AA68" s="18"/>
    </row>
    <row r="69">
      <c r="A69" s="195" t="s">
        <v>119</v>
      </c>
      <c r="B69" s="236" t="s">
        <v>198</v>
      </c>
      <c r="C69" s="230"/>
      <c r="D69" s="230" t="s">
        <v>464</v>
      </c>
      <c r="E69" s="207" t="s">
        <v>24</v>
      </c>
      <c r="F69" s="233">
        <v>46027.0</v>
      </c>
      <c r="G69" s="233"/>
      <c r="H69" s="203" t="s">
        <v>79</v>
      </c>
      <c r="I69" s="136" t="s">
        <v>161</v>
      </c>
      <c r="J69" s="215" t="s">
        <v>34</v>
      </c>
      <c r="K69" s="230"/>
      <c r="L69" s="203">
        <v>0.0</v>
      </c>
      <c r="M69" s="203">
        <v>0.0</v>
      </c>
      <c r="N69" s="230"/>
      <c r="O69" s="230"/>
      <c r="P69" s="160"/>
      <c r="Q69" s="230"/>
      <c r="R69" s="230"/>
      <c r="S69" s="230"/>
      <c r="T69" s="232"/>
      <c r="U69" s="232"/>
      <c r="V69" s="232"/>
      <c r="W69" s="232"/>
      <c r="X69" s="232"/>
      <c r="Y69" s="18"/>
      <c r="Z69" s="18"/>
      <c r="AA69" s="18"/>
    </row>
    <row r="70">
      <c r="A70" s="195" t="s">
        <v>140</v>
      </c>
      <c r="B70" s="224" t="s">
        <v>465</v>
      </c>
      <c r="C70" s="239"/>
      <c r="D70" s="237" t="s">
        <v>466</v>
      </c>
      <c r="E70" s="207" t="s">
        <v>24</v>
      </c>
      <c r="F70" s="233">
        <v>46027.0</v>
      </c>
      <c r="G70" s="238"/>
      <c r="H70" s="218"/>
      <c r="I70" s="136" t="s">
        <v>161</v>
      </c>
      <c r="J70" s="215" t="s">
        <v>34</v>
      </c>
      <c r="K70" s="238"/>
      <c r="L70" s="203">
        <v>0.0</v>
      </c>
      <c r="M70" s="203">
        <v>0.0</v>
      </c>
      <c r="N70" s="238"/>
      <c r="O70" s="240" t="s">
        <v>467</v>
      </c>
      <c r="P70" s="160"/>
      <c r="Q70" s="238"/>
      <c r="R70" s="238"/>
      <c r="S70" s="238"/>
      <c r="T70" s="232"/>
      <c r="U70" s="232"/>
      <c r="V70" s="232"/>
      <c r="W70" s="232"/>
      <c r="X70" s="232"/>
      <c r="Y70" s="18"/>
      <c r="Z70" s="18"/>
      <c r="AA70" s="18"/>
    </row>
    <row r="71">
      <c r="A71" s="195" t="s">
        <v>140</v>
      </c>
      <c r="B71" s="224" t="s">
        <v>465</v>
      </c>
      <c r="C71" s="239"/>
      <c r="D71" s="237" t="s">
        <v>468</v>
      </c>
      <c r="E71" s="207" t="s">
        <v>24</v>
      </c>
      <c r="F71" s="233">
        <v>46027.0</v>
      </c>
      <c r="G71" s="238"/>
      <c r="H71" s="218"/>
      <c r="I71" s="136" t="s">
        <v>161</v>
      </c>
      <c r="J71" s="215" t="s">
        <v>34</v>
      </c>
      <c r="K71" s="238"/>
      <c r="L71" s="203">
        <v>0.0</v>
      </c>
      <c r="M71" s="203">
        <v>0.0</v>
      </c>
      <c r="N71" s="238"/>
      <c r="O71" s="241" t="s">
        <v>469</v>
      </c>
      <c r="P71" s="160"/>
      <c r="Q71" s="238"/>
      <c r="R71" s="238"/>
      <c r="S71" s="238"/>
      <c r="T71" s="232"/>
      <c r="U71" s="232"/>
      <c r="V71" s="232"/>
      <c r="W71" s="232"/>
      <c r="X71" s="232"/>
      <c r="Y71" s="18"/>
      <c r="Z71" s="18"/>
      <c r="AA71" s="18"/>
    </row>
    <row r="72">
      <c r="A72" s="195" t="s">
        <v>64</v>
      </c>
      <c r="B72" s="224" t="s">
        <v>271</v>
      </c>
      <c r="C72" s="221" t="s">
        <v>470</v>
      </c>
      <c r="D72" s="212" t="s">
        <v>471</v>
      </c>
      <c r="E72" s="207" t="s">
        <v>24</v>
      </c>
      <c r="F72" s="233">
        <v>46028.0</v>
      </c>
      <c r="G72" s="197"/>
      <c r="H72" s="200" t="s">
        <v>79</v>
      </c>
      <c r="I72" s="136" t="s">
        <v>161</v>
      </c>
      <c r="J72" s="242" t="s">
        <v>27</v>
      </c>
      <c r="K72" s="197"/>
      <c r="L72" s="203">
        <v>0.0</v>
      </c>
      <c r="M72" s="203">
        <v>0.0</v>
      </c>
      <c r="N72" s="197"/>
      <c r="O72" s="197"/>
      <c r="P72" s="160"/>
      <c r="Q72" s="226"/>
      <c r="R72" s="226"/>
      <c r="S72" s="227"/>
      <c r="T72" s="67"/>
      <c r="U72" s="67"/>
      <c r="V72" s="67"/>
      <c r="W72" s="67"/>
      <c r="X72" s="67"/>
      <c r="Y72" s="18"/>
      <c r="Z72" s="18"/>
      <c r="AA72" s="18"/>
    </row>
    <row r="73">
      <c r="A73" s="195" t="s">
        <v>64</v>
      </c>
      <c r="B73" s="224" t="s">
        <v>271</v>
      </c>
      <c r="C73" s="221" t="s">
        <v>472</v>
      </c>
      <c r="D73" s="212" t="s">
        <v>473</v>
      </c>
      <c r="E73" s="207" t="s">
        <v>24</v>
      </c>
      <c r="F73" s="233">
        <v>46028.0</v>
      </c>
      <c r="G73" s="197"/>
      <c r="H73" s="200" t="s">
        <v>79</v>
      </c>
      <c r="I73" s="136" t="s">
        <v>161</v>
      </c>
      <c r="J73" s="242" t="s">
        <v>27</v>
      </c>
      <c r="K73" s="197"/>
      <c r="L73" s="203">
        <v>0.0</v>
      </c>
      <c r="M73" s="203">
        <v>0.0</v>
      </c>
      <c r="N73" s="197"/>
      <c r="O73" s="197"/>
      <c r="P73" s="160"/>
      <c r="Q73" s="226"/>
      <c r="R73" s="226"/>
      <c r="S73" s="227"/>
      <c r="T73" s="67"/>
      <c r="U73" s="67"/>
      <c r="V73" s="67"/>
      <c r="W73" s="67"/>
      <c r="X73" s="67"/>
      <c r="Y73" s="18"/>
      <c r="Z73" s="18"/>
      <c r="AA73" s="18"/>
    </row>
    <row r="74">
      <c r="A74" s="195" t="s">
        <v>140</v>
      </c>
      <c r="B74" s="224" t="s">
        <v>465</v>
      </c>
      <c r="C74" s="243"/>
      <c r="D74" s="230" t="s">
        <v>474</v>
      </c>
      <c r="E74" s="207" t="s">
        <v>24</v>
      </c>
      <c r="F74" s="233">
        <v>46028.0</v>
      </c>
      <c r="G74" s="197"/>
      <c r="H74" s="203" t="s">
        <v>25</v>
      </c>
      <c r="I74" s="136" t="s">
        <v>161</v>
      </c>
      <c r="J74" s="215" t="s">
        <v>34</v>
      </c>
      <c r="K74" s="197"/>
      <c r="L74" s="203">
        <v>0.0</v>
      </c>
      <c r="M74" s="203">
        <v>0.0</v>
      </c>
      <c r="N74" s="197"/>
      <c r="O74" s="212" t="s">
        <v>475</v>
      </c>
      <c r="P74" s="160"/>
      <c r="Q74" s="197"/>
      <c r="R74" s="197"/>
      <c r="S74" s="238"/>
      <c r="T74" s="244"/>
      <c r="U74" s="244"/>
      <c r="V74" s="244"/>
      <c r="W74" s="244"/>
      <c r="X74" s="244"/>
      <c r="Y74" s="18"/>
      <c r="Z74" s="18"/>
      <c r="AA74" s="18"/>
    </row>
    <row r="75">
      <c r="A75" s="195" t="s">
        <v>140</v>
      </c>
      <c r="B75" s="224" t="s">
        <v>465</v>
      </c>
      <c r="C75" s="243"/>
      <c r="D75" s="230" t="s">
        <v>476</v>
      </c>
      <c r="E75" s="207" t="s">
        <v>24</v>
      </c>
      <c r="F75" s="233">
        <v>46028.0</v>
      </c>
      <c r="G75" s="197"/>
      <c r="H75" s="200" t="s">
        <v>79</v>
      </c>
      <c r="I75" s="136" t="s">
        <v>161</v>
      </c>
      <c r="J75" s="215" t="s">
        <v>34</v>
      </c>
      <c r="K75" s="197"/>
      <c r="L75" s="203">
        <v>0.0</v>
      </c>
      <c r="M75" s="203">
        <v>0.0</v>
      </c>
      <c r="N75" s="197"/>
      <c r="O75" s="197"/>
      <c r="P75" s="160"/>
      <c r="Q75" s="197"/>
      <c r="R75" s="197"/>
      <c r="S75" s="238"/>
      <c r="T75" s="244"/>
      <c r="U75" s="244"/>
      <c r="V75" s="244"/>
      <c r="W75" s="244"/>
      <c r="X75" s="244"/>
      <c r="Y75" s="18"/>
      <c r="Z75" s="18"/>
      <c r="AA75" s="18"/>
    </row>
    <row r="76">
      <c r="A76" s="195" t="s">
        <v>163</v>
      </c>
      <c r="B76" s="228" t="s">
        <v>185</v>
      </c>
      <c r="C76" s="223" t="s">
        <v>477</v>
      </c>
      <c r="D76" s="237" t="s">
        <v>478</v>
      </c>
      <c r="E76" s="207" t="s">
        <v>24</v>
      </c>
      <c r="F76" s="233">
        <v>46028.0</v>
      </c>
      <c r="G76" s="233">
        <v>46028.0</v>
      </c>
      <c r="H76" s="203" t="s">
        <v>400</v>
      </c>
      <c r="I76" s="136" t="s">
        <v>161</v>
      </c>
      <c r="J76" s="215" t="s">
        <v>34</v>
      </c>
      <c r="K76" s="197"/>
      <c r="L76" s="203">
        <v>0.0</v>
      </c>
      <c r="M76" s="203">
        <v>0.0</v>
      </c>
      <c r="N76" s="197"/>
      <c r="O76" s="197"/>
      <c r="P76" s="160"/>
      <c r="Q76" s="197"/>
      <c r="R76" s="197"/>
      <c r="S76" s="238"/>
      <c r="T76" s="244"/>
      <c r="U76" s="244"/>
      <c r="V76" s="244"/>
      <c r="W76" s="244"/>
      <c r="X76" s="244"/>
      <c r="Y76" s="18"/>
      <c r="Z76" s="18"/>
      <c r="AA76" s="18"/>
    </row>
    <row r="77">
      <c r="A77" s="195" t="s">
        <v>479</v>
      </c>
      <c r="B77" s="245" t="s">
        <v>480</v>
      </c>
      <c r="C77" s="246"/>
      <c r="D77" s="237" t="s">
        <v>481</v>
      </c>
      <c r="E77" s="136" t="s">
        <v>186</v>
      </c>
      <c r="F77" s="233">
        <v>46029.0</v>
      </c>
      <c r="G77" s="233">
        <v>46029.0</v>
      </c>
      <c r="H77" s="203" t="s">
        <v>400</v>
      </c>
      <c r="I77" s="136" t="s">
        <v>161</v>
      </c>
      <c r="J77" s="215" t="s">
        <v>34</v>
      </c>
      <c r="K77" s="197"/>
      <c r="L77" s="203">
        <v>0.0</v>
      </c>
      <c r="M77" s="203">
        <v>0.0</v>
      </c>
      <c r="N77" s="197"/>
      <c r="O77" s="212" t="s">
        <v>482</v>
      </c>
      <c r="P77" s="160"/>
      <c r="Q77" s="197"/>
      <c r="R77" s="197"/>
      <c r="S77" s="238"/>
      <c r="T77" s="244"/>
      <c r="U77" s="244"/>
      <c r="V77" s="244"/>
      <c r="W77" s="244"/>
      <c r="X77" s="244"/>
      <c r="Y77" s="18"/>
      <c r="Z77" s="18"/>
      <c r="AA77" s="18"/>
    </row>
    <row r="78">
      <c r="A78" s="195" t="s">
        <v>64</v>
      </c>
      <c r="B78" s="224" t="s">
        <v>271</v>
      </c>
      <c r="C78" s="221" t="s">
        <v>483</v>
      </c>
      <c r="D78" s="212" t="s">
        <v>484</v>
      </c>
      <c r="E78" s="207" t="s">
        <v>24</v>
      </c>
      <c r="F78" s="233">
        <v>46029.0</v>
      </c>
      <c r="G78" s="233">
        <v>46029.0</v>
      </c>
      <c r="H78" s="200" t="s">
        <v>79</v>
      </c>
      <c r="I78" s="136" t="s">
        <v>161</v>
      </c>
      <c r="J78" s="242" t="s">
        <v>27</v>
      </c>
      <c r="K78" s="197"/>
      <c r="L78" s="203">
        <v>0.0</v>
      </c>
      <c r="M78" s="203">
        <v>0.0</v>
      </c>
      <c r="N78" s="197"/>
      <c r="O78" s="212" t="s">
        <v>485</v>
      </c>
      <c r="P78" s="160"/>
      <c r="Q78" s="226"/>
      <c r="R78" s="226"/>
      <c r="S78" s="227"/>
      <c r="T78" s="67"/>
      <c r="U78" s="67"/>
      <c r="V78" s="67"/>
      <c r="W78" s="67"/>
      <c r="X78" s="67"/>
      <c r="Y78" s="18"/>
      <c r="Z78" s="18"/>
      <c r="AA78" s="18"/>
    </row>
    <row r="79">
      <c r="A79" s="195" t="s">
        <v>64</v>
      </c>
      <c r="B79" s="224" t="s">
        <v>486</v>
      </c>
      <c r="C79" s="221" t="s">
        <v>487</v>
      </c>
      <c r="D79" s="212" t="s">
        <v>488</v>
      </c>
      <c r="E79" s="207" t="s">
        <v>24</v>
      </c>
      <c r="F79" s="233">
        <v>46030.0</v>
      </c>
      <c r="G79" s="233">
        <v>46030.0</v>
      </c>
      <c r="H79" s="203" t="s">
        <v>400</v>
      </c>
      <c r="I79" s="136" t="s">
        <v>161</v>
      </c>
      <c r="J79" s="242" t="s">
        <v>55</v>
      </c>
      <c r="K79" s="197"/>
      <c r="L79" s="203">
        <v>0.0</v>
      </c>
      <c r="M79" s="203">
        <v>0.0</v>
      </c>
      <c r="N79" s="197"/>
      <c r="O79" s="212" t="s">
        <v>489</v>
      </c>
      <c r="P79" s="160"/>
      <c r="Q79" s="197"/>
      <c r="R79" s="197"/>
      <c r="S79" s="238"/>
      <c r="T79" s="244"/>
      <c r="U79" s="244"/>
      <c r="V79" s="244"/>
      <c r="W79" s="244"/>
      <c r="X79" s="244"/>
      <c r="Y79" s="18"/>
      <c r="Z79" s="18"/>
      <c r="AA79" s="18"/>
    </row>
    <row r="80">
      <c r="A80" s="195" t="s">
        <v>64</v>
      </c>
      <c r="B80" s="224" t="s">
        <v>486</v>
      </c>
      <c r="C80" s="221" t="s">
        <v>490</v>
      </c>
      <c r="D80" s="212" t="s">
        <v>491</v>
      </c>
      <c r="E80" s="207" t="s">
        <v>24</v>
      </c>
      <c r="F80" s="233">
        <v>46030.0</v>
      </c>
      <c r="G80" s="233">
        <v>46030.0</v>
      </c>
      <c r="H80" s="203" t="s">
        <v>400</v>
      </c>
      <c r="I80" s="136" t="s">
        <v>161</v>
      </c>
      <c r="J80" s="242" t="s">
        <v>55</v>
      </c>
      <c r="K80" s="197"/>
      <c r="L80" s="203">
        <v>0.0</v>
      </c>
      <c r="M80" s="203">
        <v>0.0</v>
      </c>
      <c r="N80" s="197"/>
      <c r="O80" s="247" t="s">
        <v>492</v>
      </c>
      <c r="P80" s="160"/>
      <c r="Q80" s="197"/>
      <c r="R80" s="197"/>
      <c r="S80" s="238"/>
      <c r="T80" s="244"/>
      <c r="U80" s="244"/>
      <c r="V80" s="244"/>
      <c r="W80" s="244"/>
      <c r="X80" s="244"/>
      <c r="Y80" s="18"/>
      <c r="Z80" s="18"/>
      <c r="AA80" s="18"/>
    </row>
    <row r="81">
      <c r="A81" s="195" t="s">
        <v>64</v>
      </c>
      <c r="B81" s="224" t="s">
        <v>493</v>
      </c>
      <c r="C81" s="243"/>
      <c r="D81" s="212" t="s">
        <v>494</v>
      </c>
      <c r="E81" s="207" t="s">
        <v>24</v>
      </c>
      <c r="F81" s="233">
        <v>46030.0</v>
      </c>
      <c r="G81" s="233">
        <v>46030.0</v>
      </c>
      <c r="H81" s="203" t="s">
        <v>400</v>
      </c>
      <c r="I81" s="136" t="s">
        <v>161</v>
      </c>
      <c r="J81" s="215" t="s">
        <v>34</v>
      </c>
      <c r="K81" s="197"/>
      <c r="L81" s="203">
        <v>0.0</v>
      </c>
      <c r="M81" s="203">
        <v>0.0</v>
      </c>
      <c r="N81" s="197"/>
      <c r="O81" s="247" t="s">
        <v>495</v>
      </c>
      <c r="P81" s="160"/>
      <c r="Q81" s="197"/>
      <c r="R81" s="197"/>
      <c r="S81" s="238"/>
      <c r="T81" s="244"/>
      <c r="U81" s="244"/>
      <c r="V81" s="244"/>
      <c r="W81" s="244"/>
      <c r="X81" s="244"/>
      <c r="Y81" s="18"/>
      <c r="Z81" s="18"/>
      <c r="AA81" s="18"/>
    </row>
    <row r="82">
      <c r="A82" s="195" t="s">
        <v>119</v>
      </c>
      <c r="B82" s="224" t="s">
        <v>496</v>
      </c>
      <c r="C82" s="221" t="s">
        <v>497</v>
      </c>
      <c r="D82" s="212" t="s">
        <v>498</v>
      </c>
      <c r="E82" s="207" t="s">
        <v>24</v>
      </c>
      <c r="F82" s="233">
        <v>46031.0</v>
      </c>
      <c r="G82" s="199">
        <v>46041.0</v>
      </c>
      <c r="H82" s="203" t="s">
        <v>79</v>
      </c>
      <c r="I82" s="136" t="s">
        <v>161</v>
      </c>
      <c r="J82" s="215" t="s">
        <v>34</v>
      </c>
      <c r="K82" s="197"/>
      <c r="L82" s="203">
        <v>0.0</v>
      </c>
      <c r="M82" s="203">
        <v>0.0</v>
      </c>
      <c r="N82" s="197"/>
      <c r="O82" s="248"/>
      <c r="P82" s="160"/>
      <c r="Q82" s="197"/>
      <c r="R82" s="249" t="s">
        <v>499</v>
      </c>
      <c r="S82" s="238"/>
      <c r="T82" s="244"/>
      <c r="U82" s="244"/>
      <c r="V82" s="244"/>
      <c r="W82" s="244"/>
      <c r="X82" s="244"/>
      <c r="Y82" s="18"/>
      <c r="Z82" s="18"/>
      <c r="AA82" s="18"/>
    </row>
    <row r="83">
      <c r="A83" s="195" t="s">
        <v>119</v>
      </c>
      <c r="B83" s="224" t="s">
        <v>496</v>
      </c>
      <c r="C83" s="221" t="s">
        <v>500</v>
      </c>
      <c r="D83" s="212" t="s">
        <v>501</v>
      </c>
      <c r="E83" s="207" t="s">
        <v>24</v>
      </c>
      <c r="F83" s="233">
        <v>46031.0</v>
      </c>
      <c r="G83" s="199">
        <v>46041.0</v>
      </c>
      <c r="H83" s="203" t="s">
        <v>79</v>
      </c>
      <c r="I83" s="136" t="s">
        <v>161</v>
      </c>
      <c r="J83" s="215" t="s">
        <v>34</v>
      </c>
      <c r="K83" s="197"/>
      <c r="L83" s="203">
        <v>0.0</v>
      </c>
      <c r="M83" s="203">
        <v>0.0</v>
      </c>
      <c r="N83" s="197"/>
      <c r="O83" s="248"/>
      <c r="P83" s="160"/>
      <c r="Q83" s="197"/>
      <c r="R83" s="249" t="s">
        <v>499</v>
      </c>
      <c r="S83" s="238"/>
      <c r="T83" s="244"/>
      <c r="U83" s="244"/>
      <c r="V83" s="244"/>
      <c r="W83" s="244"/>
      <c r="X83" s="244"/>
      <c r="Y83" s="18"/>
      <c r="Z83" s="18"/>
      <c r="AA83" s="18"/>
    </row>
    <row r="84">
      <c r="A84" s="195" t="s">
        <v>119</v>
      </c>
      <c r="B84" s="224" t="s">
        <v>496</v>
      </c>
      <c r="C84" s="221" t="s">
        <v>502</v>
      </c>
      <c r="D84" s="212" t="s">
        <v>503</v>
      </c>
      <c r="E84" s="207" t="s">
        <v>24</v>
      </c>
      <c r="F84" s="233">
        <v>46031.0</v>
      </c>
      <c r="G84" s="199">
        <v>46041.0</v>
      </c>
      <c r="H84" s="203" t="s">
        <v>79</v>
      </c>
      <c r="I84" s="136" t="s">
        <v>161</v>
      </c>
      <c r="J84" s="215" t="s">
        <v>34</v>
      </c>
      <c r="K84" s="197"/>
      <c r="L84" s="203">
        <v>0.0</v>
      </c>
      <c r="M84" s="203">
        <v>0.0</v>
      </c>
      <c r="N84" s="197"/>
      <c r="O84" s="248"/>
      <c r="P84" s="160"/>
      <c r="Q84" s="197"/>
      <c r="R84" s="249" t="s">
        <v>499</v>
      </c>
      <c r="S84" s="238"/>
      <c r="T84" s="244"/>
      <c r="U84" s="244"/>
      <c r="V84" s="244"/>
      <c r="W84" s="244"/>
      <c r="X84" s="244"/>
      <c r="Y84" s="18"/>
      <c r="Z84" s="18"/>
      <c r="AA84" s="18"/>
    </row>
    <row r="85">
      <c r="A85" s="195" t="s">
        <v>119</v>
      </c>
      <c r="B85" s="224" t="s">
        <v>496</v>
      </c>
      <c r="C85" s="221" t="s">
        <v>504</v>
      </c>
      <c r="D85" s="212" t="s">
        <v>505</v>
      </c>
      <c r="E85" s="207" t="s">
        <v>24</v>
      </c>
      <c r="F85" s="233">
        <v>46031.0</v>
      </c>
      <c r="G85" s="199">
        <v>46041.0</v>
      </c>
      <c r="H85" s="203" t="s">
        <v>79</v>
      </c>
      <c r="I85" s="136" t="s">
        <v>161</v>
      </c>
      <c r="J85" s="215" t="s">
        <v>34</v>
      </c>
      <c r="K85" s="197"/>
      <c r="L85" s="203">
        <v>0.0</v>
      </c>
      <c r="M85" s="203">
        <v>0.0</v>
      </c>
      <c r="N85" s="197"/>
      <c r="O85" s="248"/>
      <c r="P85" s="160"/>
      <c r="Q85" s="197"/>
      <c r="R85" s="249" t="s">
        <v>499</v>
      </c>
      <c r="S85" s="238"/>
      <c r="T85" s="244"/>
      <c r="U85" s="244"/>
      <c r="V85" s="244"/>
      <c r="W85" s="244"/>
      <c r="X85" s="244"/>
      <c r="Y85" s="18"/>
      <c r="Z85" s="18"/>
      <c r="AA85" s="18"/>
    </row>
    <row r="86">
      <c r="A86" s="195" t="s">
        <v>119</v>
      </c>
      <c r="B86" s="224" t="s">
        <v>496</v>
      </c>
      <c r="C86" s="221" t="s">
        <v>506</v>
      </c>
      <c r="D86" s="219" t="s">
        <v>507</v>
      </c>
      <c r="E86" s="207" t="s">
        <v>24</v>
      </c>
      <c r="F86" s="198">
        <v>46031.0</v>
      </c>
      <c r="G86" s="199">
        <v>46041.0</v>
      </c>
      <c r="H86" s="208" t="s">
        <v>79</v>
      </c>
      <c r="I86" s="136" t="s">
        <v>161</v>
      </c>
      <c r="J86" s="215" t="s">
        <v>34</v>
      </c>
      <c r="K86" s="206"/>
      <c r="L86" s="203">
        <v>0.0</v>
      </c>
      <c r="M86" s="203">
        <v>0.0</v>
      </c>
      <c r="N86" s="206"/>
      <c r="O86" s="206"/>
      <c r="P86" s="160"/>
      <c r="Q86" s="206"/>
      <c r="R86" s="250" t="s">
        <v>499</v>
      </c>
      <c r="S86" s="206"/>
      <c r="T86" s="209"/>
      <c r="U86" s="209"/>
      <c r="V86" s="209"/>
      <c r="W86" s="209"/>
      <c r="X86" s="209"/>
      <c r="Y86" s="67"/>
      <c r="Z86" s="67"/>
      <c r="AA86" s="67"/>
    </row>
    <row r="87">
      <c r="A87" s="195" t="s">
        <v>119</v>
      </c>
      <c r="B87" s="224" t="s">
        <v>496</v>
      </c>
      <c r="C87" s="221" t="s">
        <v>508</v>
      </c>
      <c r="D87" s="219" t="s">
        <v>509</v>
      </c>
      <c r="E87" s="207" t="s">
        <v>24</v>
      </c>
      <c r="F87" s="198">
        <v>46031.0</v>
      </c>
      <c r="G87" s="199">
        <v>46041.0</v>
      </c>
      <c r="H87" s="208" t="s">
        <v>79</v>
      </c>
      <c r="I87" s="136" t="s">
        <v>161</v>
      </c>
      <c r="J87" s="215" t="s">
        <v>34</v>
      </c>
      <c r="K87" s="206"/>
      <c r="L87" s="203">
        <v>0.0</v>
      </c>
      <c r="M87" s="203">
        <v>0.0</v>
      </c>
      <c r="N87" s="206"/>
      <c r="O87" s="206"/>
      <c r="P87" s="160"/>
      <c r="Q87" s="206"/>
      <c r="R87" s="250" t="s">
        <v>499</v>
      </c>
      <c r="S87" s="206"/>
      <c r="T87" s="209"/>
      <c r="U87" s="209"/>
      <c r="V87" s="209"/>
      <c r="W87" s="209"/>
      <c r="X87" s="209"/>
      <c r="Y87" s="67"/>
      <c r="Z87" s="67"/>
      <c r="AA87" s="67"/>
    </row>
    <row r="88">
      <c r="A88" s="195" t="s">
        <v>119</v>
      </c>
      <c r="B88" s="224" t="s">
        <v>496</v>
      </c>
      <c r="C88" s="221" t="s">
        <v>510</v>
      </c>
      <c r="D88" s="219" t="s">
        <v>511</v>
      </c>
      <c r="E88" s="207" t="s">
        <v>24</v>
      </c>
      <c r="F88" s="198">
        <v>46031.0</v>
      </c>
      <c r="G88" s="199">
        <v>46041.0</v>
      </c>
      <c r="H88" s="208" t="s">
        <v>79</v>
      </c>
      <c r="I88" s="136" t="s">
        <v>161</v>
      </c>
      <c r="J88" s="215" t="s">
        <v>34</v>
      </c>
      <c r="K88" s="206"/>
      <c r="L88" s="203">
        <v>0.0</v>
      </c>
      <c r="M88" s="203">
        <v>0.0</v>
      </c>
      <c r="N88" s="206"/>
      <c r="O88" s="206"/>
      <c r="P88" s="160"/>
      <c r="Q88" s="206"/>
      <c r="R88" s="250" t="s">
        <v>499</v>
      </c>
      <c r="S88" s="206"/>
      <c r="T88" s="209"/>
      <c r="U88" s="209"/>
      <c r="V88" s="209"/>
      <c r="W88" s="209"/>
      <c r="X88" s="209"/>
      <c r="Y88" s="67"/>
      <c r="Z88" s="67"/>
      <c r="AA88" s="67"/>
    </row>
    <row r="89">
      <c r="A89" s="195" t="s">
        <v>166</v>
      </c>
      <c r="B89" s="235"/>
      <c r="C89" s="158"/>
      <c r="D89" s="229" t="s">
        <v>458</v>
      </c>
      <c r="E89" s="207" t="s">
        <v>24</v>
      </c>
      <c r="F89" s="233">
        <v>46031.0</v>
      </c>
      <c r="G89" s="233">
        <v>46031.0</v>
      </c>
      <c r="H89" s="203" t="s">
        <v>25</v>
      </c>
      <c r="I89" s="136" t="s">
        <v>161</v>
      </c>
      <c r="J89" s="215" t="s">
        <v>34</v>
      </c>
      <c r="K89" s="230"/>
      <c r="L89" s="203">
        <v>0.0</v>
      </c>
      <c r="M89" s="203">
        <v>0.0</v>
      </c>
      <c r="N89" s="230"/>
      <c r="O89" s="230"/>
      <c r="P89" s="160"/>
      <c r="Q89" s="206"/>
      <c r="R89" s="251"/>
      <c r="S89" s="206"/>
      <c r="T89" s="209"/>
      <c r="U89" s="209"/>
      <c r="V89" s="209"/>
      <c r="W89" s="209"/>
      <c r="X89" s="209"/>
      <c r="Y89" s="18"/>
      <c r="Z89" s="18"/>
      <c r="AA89" s="18"/>
    </row>
    <row r="90">
      <c r="A90" s="195" t="s">
        <v>64</v>
      </c>
      <c r="B90" s="245"/>
      <c r="C90" s="252"/>
      <c r="D90" s="237" t="s">
        <v>512</v>
      </c>
      <c r="E90" s="207" t="s">
        <v>24</v>
      </c>
      <c r="F90" s="233">
        <v>46034.0</v>
      </c>
      <c r="G90" s="233">
        <v>46034.0</v>
      </c>
      <c r="H90" s="203" t="s">
        <v>79</v>
      </c>
      <c r="I90" s="136" t="s">
        <v>161</v>
      </c>
      <c r="J90" s="215" t="s">
        <v>34</v>
      </c>
      <c r="K90" s="238"/>
      <c r="L90" s="203">
        <v>0.0</v>
      </c>
      <c r="M90" s="203">
        <v>0.0</v>
      </c>
      <c r="N90" s="238"/>
      <c r="O90" s="238"/>
      <c r="P90" s="160"/>
      <c r="Q90" s="206"/>
      <c r="R90" s="251"/>
      <c r="S90" s="206"/>
      <c r="T90" s="209"/>
      <c r="U90" s="209"/>
      <c r="V90" s="209"/>
      <c r="W90" s="209"/>
      <c r="X90" s="209"/>
      <c r="Y90" s="18"/>
      <c r="Z90" s="18"/>
      <c r="AA90" s="18"/>
    </row>
    <row r="91">
      <c r="A91" s="195" t="s">
        <v>201</v>
      </c>
      <c r="B91" s="236" t="s">
        <v>202</v>
      </c>
      <c r="C91" s="230"/>
      <c r="D91" s="230" t="s">
        <v>464</v>
      </c>
      <c r="E91" s="207" t="s">
        <v>24</v>
      </c>
      <c r="F91" s="233">
        <v>46041.0</v>
      </c>
      <c r="G91" s="233">
        <v>46043.0</v>
      </c>
      <c r="H91" s="203" t="s">
        <v>79</v>
      </c>
      <c r="I91" s="136" t="s">
        <v>161</v>
      </c>
      <c r="J91" s="215" t="s">
        <v>34</v>
      </c>
      <c r="K91" s="230"/>
      <c r="L91" s="203">
        <v>0.0</v>
      </c>
      <c r="M91" s="203">
        <v>0.0</v>
      </c>
      <c r="N91" s="230"/>
      <c r="O91" s="230"/>
      <c r="P91" s="160"/>
      <c r="Q91" s="230"/>
      <c r="R91" s="230"/>
      <c r="S91" s="230"/>
      <c r="T91" s="232"/>
      <c r="U91" s="232"/>
      <c r="V91" s="232"/>
      <c r="W91" s="232"/>
      <c r="X91" s="232"/>
      <c r="Y91" s="18"/>
      <c r="Z91" s="18"/>
      <c r="AA91" s="18"/>
    </row>
    <row r="92">
      <c r="A92" s="195" t="s">
        <v>119</v>
      </c>
      <c r="B92" s="235"/>
      <c r="C92" s="238"/>
      <c r="D92" s="253" t="s">
        <v>513</v>
      </c>
      <c r="E92" s="207" t="s">
        <v>24</v>
      </c>
      <c r="F92" s="233">
        <v>46038.0</v>
      </c>
      <c r="G92" s="233">
        <v>46038.0</v>
      </c>
      <c r="H92" s="203" t="s">
        <v>79</v>
      </c>
      <c r="I92" s="136" t="s">
        <v>161</v>
      </c>
      <c r="J92" s="215" t="s">
        <v>34</v>
      </c>
      <c r="K92" s="238"/>
      <c r="L92" s="203">
        <v>0.0</v>
      </c>
      <c r="M92" s="203">
        <v>0.0</v>
      </c>
      <c r="N92" s="238"/>
      <c r="O92" s="238"/>
      <c r="P92" s="160"/>
      <c r="Q92" s="238"/>
      <c r="R92" s="238"/>
      <c r="S92" s="238"/>
      <c r="T92" s="232"/>
      <c r="U92" s="232"/>
      <c r="V92" s="232"/>
      <c r="W92" s="232"/>
      <c r="X92" s="232"/>
      <c r="Y92" s="18"/>
      <c r="Z92" s="18"/>
      <c r="AA92" s="18"/>
    </row>
    <row r="93">
      <c r="A93" s="195" t="s">
        <v>119</v>
      </c>
      <c r="B93" s="235"/>
      <c r="C93" s="238"/>
      <c r="D93" s="253" t="s">
        <v>514</v>
      </c>
      <c r="E93" s="207" t="s">
        <v>24</v>
      </c>
      <c r="F93" s="233">
        <v>46041.0</v>
      </c>
      <c r="G93" s="233">
        <v>46041.0</v>
      </c>
      <c r="H93" s="203" t="s">
        <v>79</v>
      </c>
      <c r="I93" s="136" t="s">
        <v>161</v>
      </c>
      <c r="J93" s="215" t="s">
        <v>34</v>
      </c>
      <c r="K93" s="238"/>
      <c r="L93" s="203">
        <v>0.0</v>
      </c>
      <c r="M93" s="203">
        <v>0.0</v>
      </c>
      <c r="N93" s="238"/>
      <c r="O93" s="238"/>
      <c r="P93" s="160"/>
      <c r="Q93" s="238"/>
      <c r="R93" s="237" t="s">
        <v>499</v>
      </c>
      <c r="S93" s="238"/>
      <c r="T93" s="232"/>
      <c r="U93" s="232"/>
      <c r="V93" s="232"/>
      <c r="W93" s="232"/>
      <c r="X93" s="232"/>
      <c r="Y93" s="18"/>
      <c r="Z93" s="18"/>
      <c r="AA93" s="18"/>
    </row>
    <row r="94">
      <c r="A94" s="195" t="s">
        <v>22</v>
      </c>
      <c r="B94" s="235"/>
      <c r="C94" s="238"/>
      <c r="D94" s="254" t="s">
        <v>515</v>
      </c>
      <c r="E94" s="136" t="s">
        <v>186</v>
      </c>
      <c r="F94" s="233">
        <v>46041.0</v>
      </c>
      <c r="G94" s="233">
        <v>46041.0</v>
      </c>
      <c r="H94" s="203" t="s">
        <v>79</v>
      </c>
      <c r="I94" s="136" t="s">
        <v>161</v>
      </c>
      <c r="J94" s="215" t="s">
        <v>34</v>
      </c>
      <c r="K94" s="238"/>
      <c r="L94" s="203">
        <v>0.0</v>
      </c>
      <c r="M94" s="203">
        <v>0.0</v>
      </c>
      <c r="N94" s="238"/>
      <c r="O94" s="238"/>
      <c r="P94" s="160"/>
      <c r="Q94" s="238"/>
      <c r="R94" s="239"/>
      <c r="S94" s="238"/>
      <c r="T94" s="232"/>
      <c r="U94" s="232"/>
      <c r="V94" s="232"/>
      <c r="W94" s="232"/>
      <c r="X94" s="232"/>
      <c r="Y94" s="18"/>
      <c r="Z94" s="18"/>
      <c r="AA94" s="18"/>
    </row>
    <row r="95">
      <c r="A95" s="195" t="s">
        <v>64</v>
      </c>
      <c r="B95" s="235"/>
      <c r="C95" s="238"/>
      <c r="D95" s="255" t="s">
        <v>516</v>
      </c>
      <c r="E95" s="207" t="s">
        <v>24</v>
      </c>
      <c r="F95" s="233">
        <v>46035.0</v>
      </c>
      <c r="G95" s="233">
        <v>46035.0</v>
      </c>
      <c r="H95" s="203"/>
      <c r="I95" s="136" t="s">
        <v>161</v>
      </c>
      <c r="J95" s="215" t="s">
        <v>34</v>
      </c>
      <c r="K95" s="238"/>
      <c r="L95" s="215">
        <v>2.0</v>
      </c>
      <c r="M95" s="203">
        <v>0.0</v>
      </c>
      <c r="N95" s="238"/>
      <c r="O95" s="238"/>
      <c r="P95" s="160"/>
      <c r="Q95" s="238"/>
      <c r="R95" s="239"/>
      <c r="S95" s="238"/>
      <c r="T95" s="232"/>
      <c r="U95" s="232"/>
      <c r="V95" s="232"/>
      <c r="W95" s="232"/>
      <c r="X95" s="232"/>
      <c r="Y95" s="18"/>
      <c r="Z95" s="18"/>
      <c r="AA95" s="18"/>
    </row>
    <row r="96" ht="27.0" customHeight="1">
      <c r="A96" s="195" t="s">
        <v>64</v>
      </c>
      <c r="B96" s="235"/>
      <c r="C96" s="238"/>
      <c r="D96" s="255" t="s">
        <v>517</v>
      </c>
      <c r="E96" s="207" t="s">
        <v>24</v>
      </c>
      <c r="F96" s="233">
        <v>46043.0</v>
      </c>
      <c r="G96" s="233">
        <v>46043.0</v>
      </c>
      <c r="H96" s="256"/>
      <c r="I96" s="136" t="s">
        <v>161</v>
      </c>
      <c r="J96" s="215" t="s">
        <v>34</v>
      </c>
      <c r="K96" s="238"/>
      <c r="L96" s="215">
        <v>3.5</v>
      </c>
      <c r="M96" s="203">
        <v>0.0</v>
      </c>
      <c r="N96" s="238"/>
      <c r="O96" s="238"/>
      <c r="P96" s="160"/>
      <c r="Q96" s="238"/>
      <c r="R96" s="239"/>
      <c r="S96" s="238"/>
      <c r="T96" s="232"/>
      <c r="U96" s="232"/>
      <c r="V96" s="232"/>
      <c r="W96" s="232"/>
      <c r="X96" s="232"/>
      <c r="Y96" s="18"/>
      <c r="Z96" s="18"/>
      <c r="AA96" s="18"/>
    </row>
    <row r="97">
      <c r="A97" s="195" t="s">
        <v>64</v>
      </c>
      <c r="B97" s="235"/>
      <c r="C97" s="238"/>
      <c r="D97" s="255" t="s">
        <v>518</v>
      </c>
      <c r="E97" s="207" t="s">
        <v>24</v>
      </c>
      <c r="F97" s="233">
        <v>46049.0</v>
      </c>
      <c r="G97" s="233">
        <v>46049.0</v>
      </c>
      <c r="H97" s="256"/>
      <c r="I97" s="136" t="s">
        <v>161</v>
      </c>
      <c r="J97" s="215" t="s">
        <v>34</v>
      </c>
      <c r="K97" s="238"/>
      <c r="L97" s="203">
        <v>3.0</v>
      </c>
      <c r="M97" s="203">
        <v>2.0</v>
      </c>
      <c r="N97" s="238"/>
      <c r="O97" s="238"/>
      <c r="P97" s="160"/>
      <c r="Q97" s="238"/>
      <c r="R97" s="239"/>
      <c r="S97" s="238"/>
      <c r="T97" s="232"/>
      <c r="U97" s="232"/>
      <c r="V97" s="232"/>
      <c r="W97" s="232"/>
      <c r="X97" s="232"/>
      <c r="Y97" s="18"/>
      <c r="Z97" s="18"/>
      <c r="AA97" s="18"/>
    </row>
    <row r="98">
      <c r="A98" s="195" t="s">
        <v>64</v>
      </c>
      <c r="B98" s="236" t="s">
        <v>78</v>
      </c>
      <c r="C98" s="221" t="s">
        <v>519</v>
      </c>
      <c r="D98" s="257" t="s">
        <v>520</v>
      </c>
      <c r="E98" s="207" t="s">
        <v>24</v>
      </c>
      <c r="F98" s="233">
        <v>46044.0</v>
      </c>
      <c r="G98" s="233">
        <v>46048.0</v>
      </c>
      <c r="H98" s="203" t="s">
        <v>79</v>
      </c>
      <c r="I98" s="136" t="s">
        <v>161</v>
      </c>
      <c r="J98" s="215" t="s">
        <v>34</v>
      </c>
      <c r="K98" s="238"/>
      <c r="L98" s="203">
        <v>15.0</v>
      </c>
      <c r="M98" s="203">
        <v>10.0</v>
      </c>
      <c r="N98" s="238"/>
      <c r="O98" s="227"/>
      <c r="P98" s="160"/>
      <c r="Q98" s="227"/>
      <c r="R98" s="227"/>
      <c r="S98" s="238"/>
      <c r="T98" s="232"/>
      <c r="U98" s="232"/>
      <c r="V98" s="258"/>
      <c r="W98" s="258"/>
      <c r="X98" s="232"/>
      <c r="Y98" s="18"/>
      <c r="Z98" s="18"/>
      <c r="AA98" s="18"/>
    </row>
    <row r="99">
      <c r="A99" s="195" t="s">
        <v>201</v>
      </c>
      <c r="B99" s="236" t="s">
        <v>203</v>
      </c>
      <c r="C99" s="238"/>
      <c r="D99" s="257" t="s">
        <v>521</v>
      </c>
      <c r="E99" s="136" t="s">
        <v>53</v>
      </c>
      <c r="F99" s="233">
        <v>46051.0</v>
      </c>
      <c r="G99" s="233">
        <v>46055.0</v>
      </c>
      <c r="H99" s="203" t="s">
        <v>79</v>
      </c>
      <c r="I99" s="136" t="s">
        <v>161</v>
      </c>
      <c r="J99" s="215" t="s">
        <v>34</v>
      </c>
      <c r="K99" s="238"/>
      <c r="L99" s="203">
        <v>0.0</v>
      </c>
      <c r="M99" s="203">
        <v>0.0</v>
      </c>
      <c r="N99" s="238"/>
      <c r="O99" s="241" t="s">
        <v>522</v>
      </c>
      <c r="P99" s="160"/>
      <c r="Q99" s="238"/>
      <c r="R99" s="259" t="s">
        <v>523</v>
      </c>
      <c r="S99" s="238"/>
      <c r="T99" s="232"/>
      <c r="U99" s="232"/>
      <c r="V99" s="232"/>
      <c r="W99" s="232"/>
      <c r="X99" s="232"/>
      <c r="Y99" s="18"/>
      <c r="Z99" s="18"/>
      <c r="AA99" s="18"/>
    </row>
    <row r="100">
      <c r="A100" s="260"/>
      <c r="B100" s="261"/>
      <c r="C100" s="197"/>
      <c r="D100" s="262" t="s">
        <v>524</v>
      </c>
      <c r="E100" s="136" t="s">
        <v>53</v>
      </c>
      <c r="F100" s="199">
        <v>46023.0</v>
      </c>
      <c r="G100" s="199">
        <v>46052.0</v>
      </c>
      <c r="H100" s="203" t="s">
        <v>25</v>
      </c>
      <c r="I100" s="136" t="s">
        <v>161</v>
      </c>
      <c r="J100" s="215" t="s">
        <v>34</v>
      </c>
      <c r="K100" s="238"/>
      <c r="L100" s="203">
        <v>0.0</v>
      </c>
      <c r="M100" s="203">
        <v>0.0</v>
      </c>
      <c r="N100" s="238"/>
      <c r="O100" s="263" t="s">
        <v>525</v>
      </c>
      <c r="P100" s="160"/>
      <c r="Q100" s="238"/>
      <c r="R100" s="264"/>
      <c r="S100" s="238"/>
      <c r="T100" s="232"/>
      <c r="U100" s="232"/>
      <c r="V100" s="232"/>
      <c r="W100" s="232"/>
      <c r="X100" s="232"/>
      <c r="Y100" s="18"/>
      <c r="Z100" s="18"/>
      <c r="AA100" s="18"/>
    </row>
    <row r="101">
      <c r="A101" s="195" t="s">
        <v>166</v>
      </c>
      <c r="B101" s="261"/>
      <c r="C101" s="197"/>
      <c r="D101" s="265" t="s">
        <v>458</v>
      </c>
      <c r="E101" s="266" t="s">
        <v>53</v>
      </c>
      <c r="F101" s="199">
        <v>46052.0</v>
      </c>
      <c r="G101" s="199">
        <v>46052.0</v>
      </c>
      <c r="H101" s="267" t="s">
        <v>25</v>
      </c>
      <c r="I101" s="266" t="s">
        <v>161</v>
      </c>
      <c r="J101" s="215" t="s">
        <v>34</v>
      </c>
      <c r="K101" s="238"/>
      <c r="L101" s="203">
        <v>0.0</v>
      </c>
      <c r="M101" s="203">
        <v>0.0</v>
      </c>
      <c r="N101" s="238"/>
      <c r="O101" s="268"/>
      <c r="P101" s="160"/>
      <c r="Q101" s="238"/>
      <c r="R101" s="264"/>
      <c r="S101" s="238"/>
      <c r="T101" s="232"/>
      <c r="U101" s="232"/>
      <c r="V101" s="232"/>
      <c r="W101" s="232"/>
      <c r="X101" s="232"/>
      <c r="Y101" s="18"/>
      <c r="Z101" s="18"/>
      <c r="AA101" s="18"/>
    </row>
    <row r="102">
      <c r="A102" s="195" t="s">
        <v>64</v>
      </c>
      <c r="B102" s="236" t="s">
        <v>205</v>
      </c>
      <c r="C102" s="238"/>
      <c r="D102" s="257" t="s">
        <v>526</v>
      </c>
      <c r="E102" s="136" t="s">
        <v>186</v>
      </c>
      <c r="F102" s="233">
        <v>46056.0</v>
      </c>
      <c r="G102" s="246"/>
      <c r="H102" s="203" t="s">
        <v>79</v>
      </c>
      <c r="I102" s="136" t="s">
        <v>161</v>
      </c>
      <c r="J102" s="215" t="s">
        <v>34</v>
      </c>
      <c r="K102" s="238"/>
      <c r="L102" s="203">
        <v>0.0</v>
      </c>
      <c r="M102" s="203">
        <v>0.0</v>
      </c>
      <c r="N102" s="238"/>
      <c r="O102" s="268"/>
      <c r="P102" s="160"/>
      <c r="Q102" s="238"/>
      <c r="R102" s="269"/>
      <c r="S102" s="238"/>
      <c r="T102" s="232"/>
      <c r="U102" s="232"/>
      <c r="V102" s="232"/>
      <c r="W102" s="232"/>
      <c r="X102" s="232"/>
      <c r="Y102" s="18"/>
      <c r="Z102" s="18"/>
      <c r="AA102" s="18"/>
    </row>
    <row r="103">
      <c r="A103" s="195" t="s">
        <v>64</v>
      </c>
      <c r="B103" s="228" t="s">
        <v>257</v>
      </c>
      <c r="C103" s="238"/>
      <c r="D103" s="257" t="s">
        <v>527</v>
      </c>
      <c r="E103" s="136" t="s">
        <v>53</v>
      </c>
      <c r="F103" s="233">
        <v>46058.0</v>
      </c>
      <c r="G103" s="233">
        <v>46058.0</v>
      </c>
      <c r="H103" s="203" t="s">
        <v>79</v>
      </c>
      <c r="I103" s="136" t="s">
        <v>161</v>
      </c>
      <c r="J103" s="215" t="s">
        <v>34</v>
      </c>
      <c r="K103" s="238"/>
      <c r="L103" s="203">
        <v>0.0</v>
      </c>
      <c r="M103" s="203">
        <v>0.0</v>
      </c>
      <c r="N103" s="238"/>
      <c r="O103" s="237" t="s">
        <v>528</v>
      </c>
      <c r="P103" s="160"/>
      <c r="Q103" s="238"/>
      <c r="R103" s="238"/>
      <c r="S103" s="238"/>
      <c r="T103" s="232"/>
      <c r="U103" s="232"/>
      <c r="V103" s="232"/>
      <c r="W103" s="232"/>
      <c r="X103" s="232"/>
      <c r="Y103" s="18"/>
      <c r="Z103" s="18"/>
      <c r="AA103" s="18"/>
    </row>
    <row r="104">
      <c r="A104" s="195" t="s">
        <v>201</v>
      </c>
      <c r="B104" s="235"/>
      <c r="C104" s="238"/>
      <c r="D104" s="229" t="s">
        <v>529</v>
      </c>
      <c r="E104" s="136" t="s">
        <v>53</v>
      </c>
      <c r="F104" s="233">
        <v>46062.0</v>
      </c>
      <c r="G104" s="233">
        <v>46062.0</v>
      </c>
      <c r="H104" s="256"/>
      <c r="I104" s="136" t="s">
        <v>161</v>
      </c>
      <c r="J104" s="215" t="s">
        <v>34</v>
      </c>
      <c r="K104" s="238"/>
      <c r="L104" s="203">
        <v>0.0</v>
      </c>
      <c r="M104" s="203">
        <v>0.0</v>
      </c>
      <c r="N104" s="238"/>
      <c r="O104" s="238"/>
      <c r="P104" s="160"/>
      <c r="Q104" s="270" t="s">
        <v>530</v>
      </c>
      <c r="R104" s="238"/>
      <c r="S104" s="238"/>
      <c r="T104" s="232"/>
      <c r="U104" s="232"/>
      <c r="V104" s="232"/>
      <c r="W104" s="232"/>
      <c r="X104" s="232"/>
      <c r="Y104" s="18"/>
      <c r="Z104" s="18"/>
      <c r="AA104" s="18"/>
    </row>
    <row r="105">
      <c r="A105" s="195" t="s">
        <v>201</v>
      </c>
      <c r="B105" s="271"/>
      <c r="C105" s="238"/>
      <c r="D105" s="237" t="s">
        <v>531</v>
      </c>
      <c r="E105" s="272"/>
      <c r="F105" s="246"/>
      <c r="G105" s="246"/>
      <c r="H105" s="256"/>
      <c r="I105" s="272"/>
      <c r="J105" s="273"/>
      <c r="K105" s="238"/>
      <c r="L105" s="203">
        <v>0.0</v>
      </c>
      <c r="M105" s="203">
        <v>0.0</v>
      </c>
      <c r="N105" s="238"/>
      <c r="O105" s="238"/>
      <c r="P105" s="160"/>
      <c r="Q105" s="239"/>
      <c r="R105" s="238"/>
      <c r="S105" s="238"/>
      <c r="T105" s="232"/>
      <c r="U105" s="232"/>
      <c r="V105" s="232"/>
      <c r="W105" s="232"/>
      <c r="X105" s="232"/>
      <c r="Y105" s="18"/>
      <c r="Z105" s="18"/>
      <c r="AA105" s="18"/>
    </row>
    <row r="106">
      <c r="A106" s="195" t="s">
        <v>64</v>
      </c>
      <c r="B106" s="245" t="s">
        <v>215</v>
      </c>
      <c r="C106" s="238"/>
      <c r="D106" s="237" t="s">
        <v>532</v>
      </c>
      <c r="E106" s="136" t="s">
        <v>53</v>
      </c>
      <c r="F106" s="233">
        <v>46062.0</v>
      </c>
      <c r="G106" s="233">
        <v>46062.0</v>
      </c>
      <c r="H106" s="256"/>
      <c r="I106" s="136" t="s">
        <v>161</v>
      </c>
      <c r="J106" s="215" t="s">
        <v>34</v>
      </c>
      <c r="K106" s="238"/>
      <c r="L106" s="203">
        <v>0.0</v>
      </c>
      <c r="M106" s="203">
        <v>0.0</v>
      </c>
      <c r="N106" s="238"/>
      <c r="O106" s="238"/>
      <c r="P106" s="160"/>
      <c r="Q106" s="270" t="s">
        <v>533</v>
      </c>
      <c r="R106" s="238"/>
      <c r="S106" s="238"/>
      <c r="T106" s="232"/>
      <c r="U106" s="232"/>
      <c r="V106" s="232"/>
      <c r="W106" s="232"/>
      <c r="X106" s="232"/>
      <c r="Y106" s="18"/>
      <c r="Z106" s="18"/>
      <c r="AA106" s="18"/>
    </row>
    <row r="107">
      <c r="A107" s="195" t="s">
        <v>22</v>
      </c>
      <c r="B107" s="245" t="s">
        <v>218</v>
      </c>
      <c r="C107" s="221" t="s">
        <v>534</v>
      </c>
      <c r="D107" s="237" t="s">
        <v>535</v>
      </c>
      <c r="E107" s="136" t="s">
        <v>53</v>
      </c>
      <c r="F107" s="274">
        <v>46058.0</v>
      </c>
      <c r="G107" s="274">
        <v>46059.0</v>
      </c>
      <c r="H107" s="203" t="s">
        <v>25</v>
      </c>
      <c r="I107" s="136" t="s">
        <v>161</v>
      </c>
      <c r="J107" s="215" t="s">
        <v>34</v>
      </c>
      <c r="K107" s="238"/>
      <c r="L107" s="215">
        <v>6.0</v>
      </c>
      <c r="M107" s="203">
        <v>0.0</v>
      </c>
      <c r="N107" s="238"/>
      <c r="O107" s="237" t="s">
        <v>536</v>
      </c>
      <c r="P107" s="160"/>
      <c r="Q107" s="275" t="s">
        <v>537</v>
      </c>
      <c r="R107" s="238"/>
      <c r="S107" s="238"/>
      <c r="T107" s="232"/>
      <c r="U107" s="232"/>
      <c r="V107" s="232"/>
      <c r="W107" s="232"/>
      <c r="X107" s="232"/>
      <c r="Y107" s="18"/>
      <c r="Z107" s="18"/>
      <c r="AA107" s="18"/>
    </row>
    <row r="108">
      <c r="A108" s="195" t="s">
        <v>22</v>
      </c>
      <c r="B108" s="245" t="s">
        <v>218</v>
      </c>
      <c r="C108" s="221" t="s">
        <v>538</v>
      </c>
      <c r="D108" s="237" t="s">
        <v>539</v>
      </c>
      <c r="E108" s="136" t="s">
        <v>53</v>
      </c>
      <c r="F108" s="274">
        <v>46058.0</v>
      </c>
      <c r="G108" s="274">
        <v>46059.0</v>
      </c>
      <c r="H108" s="203" t="s">
        <v>25</v>
      </c>
      <c r="I108" s="136" t="s">
        <v>161</v>
      </c>
      <c r="J108" s="215" t="s">
        <v>34</v>
      </c>
      <c r="K108" s="238"/>
      <c r="L108" s="215">
        <v>2.0</v>
      </c>
      <c r="M108" s="203">
        <v>0.0</v>
      </c>
      <c r="N108" s="238"/>
      <c r="O108" s="237" t="s">
        <v>536</v>
      </c>
      <c r="P108" s="160"/>
      <c r="Q108" s="275" t="s">
        <v>537</v>
      </c>
      <c r="R108" s="239"/>
      <c r="S108" s="238"/>
      <c r="T108" s="232"/>
      <c r="U108" s="232"/>
      <c r="V108" s="232"/>
      <c r="W108" s="232"/>
      <c r="X108" s="232"/>
      <c r="Y108" s="18"/>
      <c r="Z108" s="18"/>
      <c r="AA108" s="18"/>
    </row>
    <row r="109">
      <c r="A109" s="195" t="s">
        <v>22</v>
      </c>
      <c r="B109" s="245" t="s">
        <v>218</v>
      </c>
      <c r="C109" s="221" t="s">
        <v>540</v>
      </c>
      <c r="D109" s="237" t="s">
        <v>541</v>
      </c>
      <c r="E109" s="136" t="s">
        <v>53</v>
      </c>
      <c r="F109" s="274">
        <v>46064.0</v>
      </c>
      <c r="G109" s="274">
        <v>46064.0</v>
      </c>
      <c r="H109" s="203" t="s">
        <v>25</v>
      </c>
      <c r="I109" s="136" t="s">
        <v>161</v>
      </c>
      <c r="J109" s="215" t="s">
        <v>34</v>
      </c>
      <c r="K109" s="238"/>
      <c r="L109" s="215">
        <v>5.0</v>
      </c>
      <c r="M109" s="203">
        <v>0.0</v>
      </c>
      <c r="N109" s="238"/>
      <c r="O109" s="237" t="s">
        <v>542</v>
      </c>
      <c r="P109" s="160"/>
      <c r="Q109" s="270" t="s">
        <v>543</v>
      </c>
      <c r="R109" s="239"/>
      <c r="S109" s="238"/>
      <c r="T109" s="232"/>
      <c r="U109" s="232"/>
      <c r="V109" s="232"/>
      <c r="W109" s="232"/>
      <c r="X109" s="232"/>
      <c r="Y109" s="18"/>
      <c r="Z109" s="18"/>
      <c r="AA109" s="18"/>
    </row>
    <row r="110">
      <c r="A110" s="195" t="s">
        <v>119</v>
      </c>
      <c r="B110" s="205" t="s">
        <v>207</v>
      </c>
      <c r="C110" s="221" t="s">
        <v>544</v>
      </c>
      <c r="D110" s="276" t="s">
        <v>545</v>
      </c>
      <c r="E110" s="136" t="s">
        <v>53</v>
      </c>
      <c r="F110" s="233">
        <v>46043.0</v>
      </c>
      <c r="G110" s="233">
        <v>46064.0</v>
      </c>
      <c r="H110" s="203" t="s">
        <v>79</v>
      </c>
      <c r="I110" s="136" t="s">
        <v>161</v>
      </c>
      <c r="J110" s="215" t="s">
        <v>34</v>
      </c>
      <c r="K110" s="238"/>
      <c r="L110" s="218"/>
      <c r="M110" s="203">
        <v>0.0</v>
      </c>
      <c r="N110" s="238"/>
      <c r="O110" s="237" t="s">
        <v>546</v>
      </c>
      <c r="P110" s="160"/>
      <c r="Q110" s="238"/>
      <c r="R110" s="239"/>
      <c r="S110" s="238"/>
      <c r="T110" s="232"/>
      <c r="U110" s="232"/>
      <c r="V110" s="232"/>
      <c r="W110" s="232"/>
      <c r="X110" s="232"/>
      <c r="Y110" s="18"/>
      <c r="Z110" s="18"/>
      <c r="AA110" s="18"/>
    </row>
    <row r="111">
      <c r="A111" s="195" t="s">
        <v>166</v>
      </c>
      <c r="B111" s="236"/>
      <c r="C111" s="238"/>
      <c r="D111" s="228" t="s">
        <v>458</v>
      </c>
      <c r="E111" s="136" t="s">
        <v>53</v>
      </c>
      <c r="F111" s="233">
        <v>46063.0</v>
      </c>
      <c r="G111" s="233">
        <v>46063.0</v>
      </c>
      <c r="H111" s="203" t="s">
        <v>25</v>
      </c>
      <c r="I111" s="136" t="s">
        <v>161</v>
      </c>
      <c r="J111" s="215" t="s">
        <v>34</v>
      </c>
      <c r="K111" s="238"/>
      <c r="L111" s="218"/>
      <c r="M111" s="203">
        <v>0.0</v>
      </c>
      <c r="N111" s="238"/>
      <c r="O111" s="239"/>
      <c r="P111" s="160"/>
      <c r="Q111" s="238"/>
      <c r="R111" s="239"/>
      <c r="S111" s="238"/>
      <c r="T111" s="232"/>
      <c r="U111" s="232"/>
      <c r="V111" s="232"/>
      <c r="W111" s="232"/>
      <c r="X111" s="232"/>
      <c r="Y111" s="18"/>
      <c r="Z111" s="18"/>
      <c r="AA111" s="18"/>
    </row>
    <row r="112">
      <c r="A112" s="195" t="s">
        <v>64</v>
      </c>
      <c r="B112" s="245" t="s">
        <v>215</v>
      </c>
      <c r="C112" s="221" t="s">
        <v>547</v>
      </c>
      <c r="D112" s="228" t="s">
        <v>548</v>
      </c>
      <c r="E112" s="136" t="s">
        <v>53</v>
      </c>
      <c r="F112" s="233">
        <v>46064.0</v>
      </c>
      <c r="G112" s="233">
        <v>46065.0</v>
      </c>
      <c r="H112" s="203" t="s">
        <v>79</v>
      </c>
      <c r="I112" s="136" t="s">
        <v>161</v>
      </c>
      <c r="J112" s="215" t="s">
        <v>34</v>
      </c>
      <c r="K112" s="238"/>
      <c r="L112" s="218"/>
      <c r="M112" s="203">
        <v>0.0</v>
      </c>
      <c r="N112" s="238"/>
      <c r="O112" s="239"/>
      <c r="P112" s="160"/>
      <c r="Q112" s="238"/>
      <c r="R112" s="239"/>
      <c r="S112" s="238"/>
      <c r="T112" s="232"/>
      <c r="U112" s="232"/>
      <c r="V112" s="232"/>
      <c r="W112" s="232"/>
      <c r="X112" s="232"/>
      <c r="Y112" s="18"/>
      <c r="Z112" s="18"/>
      <c r="AA112" s="18"/>
    </row>
    <row r="113">
      <c r="A113" s="195" t="s">
        <v>22</v>
      </c>
      <c r="B113" s="245" t="s">
        <v>223</v>
      </c>
      <c r="C113" s="221" t="s">
        <v>549</v>
      </c>
      <c r="D113" s="245" t="s">
        <v>550</v>
      </c>
      <c r="E113" s="136" t="s">
        <v>53</v>
      </c>
      <c r="F113" s="233">
        <v>46064.0</v>
      </c>
      <c r="G113" s="233">
        <v>46064.0</v>
      </c>
      <c r="H113" s="203" t="s">
        <v>33</v>
      </c>
      <c r="I113" s="136" t="s">
        <v>161</v>
      </c>
      <c r="J113" s="215" t="s">
        <v>34</v>
      </c>
      <c r="K113" s="238"/>
      <c r="L113" s="215">
        <v>6.0</v>
      </c>
      <c r="M113" s="203">
        <v>0.0</v>
      </c>
      <c r="N113" s="238"/>
      <c r="O113" s="239"/>
      <c r="P113" s="160"/>
      <c r="Q113" s="238"/>
      <c r="R113" s="239"/>
      <c r="S113" s="238"/>
      <c r="T113" s="232"/>
      <c r="U113" s="232"/>
      <c r="V113" s="232"/>
      <c r="W113" s="232"/>
      <c r="X113" s="232"/>
      <c r="Y113" s="18"/>
      <c r="Z113" s="18"/>
      <c r="AA113" s="18"/>
    </row>
    <row r="114">
      <c r="A114" s="195" t="s">
        <v>119</v>
      </c>
      <c r="B114" s="245" t="s">
        <v>236</v>
      </c>
      <c r="C114" s="221" t="s">
        <v>551</v>
      </c>
      <c r="D114" s="245" t="s">
        <v>552</v>
      </c>
      <c r="E114" s="136" t="s">
        <v>53</v>
      </c>
      <c r="F114" s="233">
        <v>46065.0</v>
      </c>
      <c r="G114" s="233">
        <v>46066.0</v>
      </c>
      <c r="H114" s="203" t="s">
        <v>25</v>
      </c>
      <c r="I114" s="136" t="s">
        <v>161</v>
      </c>
      <c r="J114" s="215" t="s">
        <v>34</v>
      </c>
      <c r="K114" s="238"/>
      <c r="L114" s="215">
        <v>4.0</v>
      </c>
      <c r="M114" s="203">
        <v>0.0</v>
      </c>
      <c r="N114" s="238"/>
      <c r="O114" s="237" t="s">
        <v>536</v>
      </c>
      <c r="P114" s="160"/>
      <c r="Q114" s="238"/>
      <c r="R114" s="239"/>
      <c r="S114" s="238"/>
      <c r="T114" s="232"/>
      <c r="U114" s="232"/>
      <c r="V114" s="232"/>
      <c r="W114" s="232"/>
      <c r="X114" s="232"/>
      <c r="Y114" s="18"/>
      <c r="Z114" s="18"/>
      <c r="AA114" s="18"/>
    </row>
    <row r="115">
      <c r="A115" s="195" t="s">
        <v>64</v>
      </c>
      <c r="B115" s="277"/>
      <c r="C115" s="221" t="s">
        <v>553</v>
      </c>
      <c r="D115" s="229" t="s">
        <v>554</v>
      </c>
      <c r="E115" s="136" t="s">
        <v>53</v>
      </c>
      <c r="F115" s="233">
        <v>46065.0</v>
      </c>
      <c r="G115" s="233">
        <v>46065.0</v>
      </c>
      <c r="H115" s="203" t="s">
        <v>79</v>
      </c>
      <c r="I115" s="136" t="s">
        <v>161</v>
      </c>
      <c r="J115" s="215" t="s">
        <v>34</v>
      </c>
      <c r="K115" s="238"/>
      <c r="L115" s="273"/>
      <c r="M115" s="203">
        <v>0.0</v>
      </c>
      <c r="N115" s="238"/>
      <c r="O115" s="239"/>
      <c r="P115" s="160"/>
      <c r="Q115" s="238"/>
      <c r="R115" s="239"/>
      <c r="S115" s="238"/>
      <c r="T115" s="232"/>
      <c r="U115" s="232"/>
      <c r="V115" s="232"/>
      <c r="W115" s="232"/>
      <c r="X115" s="232"/>
      <c r="Y115" s="18"/>
      <c r="Z115" s="18"/>
      <c r="AA115" s="18"/>
    </row>
    <row r="116">
      <c r="A116" s="195" t="s">
        <v>22</v>
      </c>
      <c r="B116" s="245" t="s">
        <v>223</v>
      </c>
      <c r="C116" s="221" t="s">
        <v>555</v>
      </c>
      <c r="D116" s="245" t="s">
        <v>556</v>
      </c>
      <c r="E116" s="136" t="s">
        <v>53</v>
      </c>
      <c r="F116" s="233">
        <v>46065.0</v>
      </c>
      <c r="G116" s="233">
        <v>46069.0</v>
      </c>
      <c r="H116" s="203" t="s">
        <v>25</v>
      </c>
      <c r="I116" s="136" t="s">
        <v>161</v>
      </c>
      <c r="J116" s="215" t="s">
        <v>34</v>
      </c>
      <c r="K116" s="238"/>
      <c r="L116" s="273"/>
      <c r="M116" s="203">
        <v>0.0</v>
      </c>
      <c r="N116" s="238"/>
      <c r="O116" s="239"/>
      <c r="P116" s="160"/>
      <c r="Q116" s="238"/>
      <c r="R116" s="239"/>
      <c r="S116" s="238"/>
      <c r="T116" s="232"/>
      <c r="U116" s="232"/>
      <c r="V116" s="232"/>
      <c r="W116" s="232"/>
      <c r="X116" s="232"/>
      <c r="Y116" s="18"/>
      <c r="Z116" s="18"/>
      <c r="AA116" s="18"/>
    </row>
    <row r="117">
      <c r="A117" s="195" t="s">
        <v>22</v>
      </c>
      <c r="B117" s="245" t="s">
        <v>218</v>
      </c>
      <c r="C117" s="221" t="s">
        <v>557</v>
      </c>
      <c r="D117" s="276" t="s">
        <v>558</v>
      </c>
      <c r="E117" s="136" t="s">
        <v>53</v>
      </c>
      <c r="F117" s="274">
        <v>46065.0</v>
      </c>
      <c r="G117" s="274">
        <v>46065.0</v>
      </c>
      <c r="H117" s="203" t="s">
        <v>25</v>
      </c>
      <c r="I117" s="136" t="s">
        <v>161</v>
      </c>
      <c r="J117" s="215" t="s">
        <v>34</v>
      </c>
      <c r="K117" s="238"/>
      <c r="L117" s="215">
        <v>1.0</v>
      </c>
      <c r="M117" s="203">
        <v>0.0</v>
      </c>
      <c r="N117" s="238"/>
      <c r="O117" s="237" t="s">
        <v>559</v>
      </c>
      <c r="P117" s="160"/>
      <c r="Q117" s="270" t="s">
        <v>543</v>
      </c>
      <c r="R117" s="239"/>
      <c r="S117" s="238"/>
      <c r="T117" s="232"/>
      <c r="U117" s="232"/>
      <c r="V117" s="232"/>
      <c r="W117" s="232"/>
      <c r="X117" s="232"/>
      <c r="Y117" s="18"/>
      <c r="Z117" s="18"/>
      <c r="AA117" s="18"/>
    </row>
    <row r="118">
      <c r="A118" s="195" t="s">
        <v>166</v>
      </c>
      <c r="B118" s="236"/>
      <c r="C118" s="221" t="s">
        <v>560</v>
      </c>
      <c r="D118" s="228" t="s">
        <v>458</v>
      </c>
      <c r="E118" s="136" t="s">
        <v>53</v>
      </c>
      <c r="F118" s="233">
        <v>46066.0</v>
      </c>
      <c r="G118" s="233">
        <v>46066.0</v>
      </c>
      <c r="H118" s="203" t="s">
        <v>25</v>
      </c>
      <c r="I118" s="136" t="s">
        <v>161</v>
      </c>
      <c r="J118" s="215" t="s">
        <v>34</v>
      </c>
      <c r="K118" s="238"/>
      <c r="L118" s="273"/>
      <c r="M118" s="203">
        <v>0.0</v>
      </c>
      <c r="N118" s="238"/>
      <c r="O118" s="239"/>
      <c r="P118" s="160"/>
      <c r="Q118" s="238"/>
      <c r="R118" s="239"/>
      <c r="S118" s="238"/>
      <c r="T118" s="232"/>
      <c r="U118" s="232"/>
      <c r="V118" s="232"/>
      <c r="W118" s="232"/>
      <c r="X118" s="232"/>
      <c r="Y118" s="18"/>
      <c r="Z118" s="18"/>
      <c r="AA118" s="18"/>
    </row>
    <row r="119">
      <c r="A119" s="195" t="s">
        <v>22</v>
      </c>
      <c r="B119" s="278"/>
      <c r="C119" s="221" t="s">
        <v>561</v>
      </c>
      <c r="D119" s="229" t="s">
        <v>562</v>
      </c>
      <c r="E119" s="136" t="s">
        <v>53</v>
      </c>
      <c r="F119" s="233">
        <v>46069.0</v>
      </c>
      <c r="G119" s="233">
        <v>46069.0</v>
      </c>
      <c r="H119" s="203" t="s">
        <v>79</v>
      </c>
      <c r="I119" s="136" t="s">
        <v>161</v>
      </c>
      <c r="J119" s="215" t="s">
        <v>34</v>
      </c>
      <c r="K119" s="238"/>
      <c r="L119" s="273"/>
      <c r="M119" s="203">
        <v>0.0</v>
      </c>
      <c r="N119" s="238"/>
      <c r="O119" s="239"/>
      <c r="P119" s="160"/>
      <c r="Q119" s="238"/>
      <c r="R119" s="239"/>
      <c r="S119" s="238"/>
      <c r="T119" s="232"/>
      <c r="U119" s="232"/>
      <c r="V119" s="232"/>
      <c r="W119" s="232"/>
      <c r="X119" s="232"/>
      <c r="Y119" s="18"/>
      <c r="Z119" s="18"/>
      <c r="AA119" s="18"/>
    </row>
    <row r="120">
      <c r="A120" s="195" t="s">
        <v>22</v>
      </c>
      <c r="B120" s="224" t="s">
        <v>221</v>
      </c>
      <c r="C120" s="221" t="s">
        <v>563</v>
      </c>
      <c r="D120" s="254" t="s">
        <v>564</v>
      </c>
      <c r="E120" s="136" t="s">
        <v>53</v>
      </c>
      <c r="F120" s="233">
        <v>46069.0</v>
      </c>
      <c r="G120" s="233">
        <v>46069.0</v>
      </c>
      <c r="H120" s="203" t="s">
        <v>79</v>
      </c>
      <c r="I120" s="136" t="s">
        <v>161</v>
      </c>
      <c r="J120" s="215" t="s">
        <v>34</v>
      </c>
      <c r="K120" s="238"/>
      <c r="L120" s="273"/>
      <c r="M120" s="203">
        <v>0.0</v>
      </c>
      <c r="N120" s="238"/>
      <c r="O120" s="239"/>
      <c r="P120" s="160"/>
      <c r="Q120" s="270" t="s">
        <v>565</v>
      </c>
      <c r="R120" s="239"/>
      <c r="S120" s="238"/>
      <c r="T120" s="232"/>
      <c r="U120" s="232"/>
      <c r="V120" s="232"/>
      <c r="W120" s="232"/>
      <c r="X120" s="232"/>
      <c r="Y120" s="18"/>
      <c r="Z120" s="18"/>
      <c r="AA120" s="18"/>
    </row>
    <row r="121">
      <c r="A121" s="195" t="s">
        <v>22</v>
      </c>
      <c r="B121" s="278"/>
      <c r="C121" s="221" t="s">
        <v>566</v>
      </c>
      <c r="D121" s="229" t="s">
        <v>567</v>
      </c>
      <c r="E121" s="136" t="s">
        <v>53</v>
      </c>
      <c r="F121" s="233">
        <v>46069.0</v>
      </c>
      <c r="G121" s="233">
        <v>46069.0</v>
      </c>
      <c r="H121" s="203" t="s">
        <v>79</v>
      </c>
      <c r="I121" s="136" t="s">
        <v>161</v>
      </c>
      <c r="J121" s="215" t="s">
        <v>34</v>
      </c>
      <c r="K121" s="238"/>
      <c r="L121" s="273"/>
      <c r="M121" s="203">
        <v>0.0</v>
      </c>
      <c r="N121" s="238"/>
      <c r="O121" s="239"/>
      <c r="P121" s="160"/>
      <c r="Q121" s="239"/>
      <c r="R121" s="239"/>
      <c r="S121" s="238"/>
      <c r="T121" s="232"/>
      <c r="U121" s="232"/>
      <c r="V121" s="232"/>
      <c r="W121" s="232"/>
      <c r="X121" s="232"/>
      <c r="Y121" s="18"/>
      <c r="Z121" s="18"/>
      <c r="AA121" s="18"/>
    </row>
    <row r="122">
      <c r="A122" s="195" t="s">
        <v>22</v>
      </c>
      <c r="B122" s="224" t="s">
        <v>43</v>
      </c>
      <c r="C122" s="221" t="s">
        <v>568</v>
      </c>
      <c r="D122" s="229" t="s">
        <v>569</v>
      </c>
      <c r="E122" s="136" t="s">
        <v>53</v>
      </c>
      <c r="F122" s="233">
        <v>46069.0</v>
      </c>
      <c r="G122" s="233">
        <v>46069.0</v>
      </c>
      <c r="H122" s="203" t="s">
        <v>25</v>
      </c>
      <c r="I122" s="136" t="s">
        <v>161</v>
      </c>
      <c r="J122" s="215" t="s">
        <v>34</v>
      </c>
      <c r="K122" s="238"/>
      <c r="L122" s="215">
        <v>4.0</v>
      </c>
      <c r="M122" s="203">
        <v>0.0</v>
      </c>
      <c r="N122" s="238"/>
      <c r="O122" s="239"/>
      <c r="P122" s="160"/>
      <c r="Q122" s="241" t="s">
        <v>570</v>
      </c>
      <c r="R122" s="239"/>
      <c r="S122" s="238"/>
      <c r="T122" s="232"/>
      <c r="U122" s="232"/>
      <c r="V122" s="258"/>
      <c r="W122" s="258"/>
      <c r="X122" s="232"/>
      <c r="Y122" s="18"/>
      <c r="Z122" s="18"/>
      <c r="AA122" s="18"/>
    </row>
    <row r="123">
      <c r="A123" s="195" t="s">
        <v>22</v>
      </c>
      <c r="B123" s="224" t="s">
        <v>43</v>
      </c>
      <c r="C123" s="221" t="s">
        <v>571</v>
      </c>
      <c r="D123" s="229" t="s">
        <v>572</v>
      </c>
      <c r="E123" s="136" t="s">
        <v>53</v>
      </c>
      <c r="F123" s="233">
        <v>46069.0</v>
      </c>
      <c r="G123" s="233">
        <v>46069.0</v>
      </c>
      <c r="H123" s="203" t="s">
        <v>25</v>
      </c>
      <c r="I123" s="136" t="s">
        <v>161</v>
      </c>
      <c r="J123" s="215" t="s">
        <v>34</v>
      </c>
      <c r="K123" s="238"/>
      <c r="L123" s="215">
        <v>4.0</v>
      </c>
      <c r="M123" s="203">
        <v>0.0</v>
      </c>
      <c r="N123" s="238"/>
      <c r="O123" s="239"/>
      <c r="P123" s="160"/>
      <c r="Q123" s="241" t="s">
        <v>570</v>
      </c>
      <c r="R123" s="239"/>
      <c r="S123" s="238"/>
      <c r="T123" s="232"/>
      <c r="U123" s="232"/>
      <c r="V123" s="258"/>
      <c r="W123" s="258"/>
      <c r="X123" s="232"/>
      <c r="Y123" s="18"/>
      <c r="Z123" s="18"/>
      <c r="AA123" s="18"/>
    </row>
    <row r="124">
      <c r="A124" s="195" t="s">
        <v>22</v>
      </c>
      <c r="B124" s="224" t="s">
        <v>43</v>
      </c>
      <c r="C124" s="221" t="s">
        <v>573</v>
      </c>
      <c r="D124" s="229" t="s">
        <v>574</v>
      </c>
      <c r="E124" s="136" t="s">
        <v>53</v>
      </c>
      <c r="F124" s="233">
        <v>46070.0</v>
      </c>
      <c r="G124" s="233">
        <v>46070.0</v>
      </c>
      <c r="H124" s="203" t="s">
        <v>25</v>
      </c>
      <c r="I124" s="136" t="s">
        <v>161</v>
      </c>
      <c r="J124" s="215" t="s">
        <v>34</v>
      </c>
      <c r="K124" s="238"/>
      <c r="L124" s="215">
        <v>4.0</v>
      </c>
      <c r="M124" s="203">
        <v>0.0</v>
      </c>
      <c r="N124" s="238"/>
      <c r="O124" s="239"/>
      <c r="P124" s="160"/>
      <c r="Q124" s="270" t="s">
        <v>575</v>
      </c>
      <c r="R124" s="239"/>
      <c r="S124" s="238"/>
      <c r="T124" s="232"/>
      <c r="U124" s="232"/>
      <c r="V124" s="258"/>
      <c r="W124" s="258"/>
      <c r="X124" s="232"/>
      <c r="Y124" s="18"/>
      <c r="Z124" s="18"/>
      <c r="AA124" s="18"/>
    </row>
    <row r="125">
      <c r="A125" s="195" t="s">
        <v>22</v>
      </c>
      <c r="B125" s="224" t="s">
        <v>43</v>
      </c>
      <c r="C125" s="221" t="s">
        <v>576</v>
      </c>
      <c r="D125" s="237" t="s">
        <v>577</v>
      </c>
      <c r="E125" s="136" t="s">
        <v>53</v>
      </c>
      <c r="F125" s="233">
        <v>46070.0</v>
      </c>
      <c r="G125" s="233">
        <v>46070.0</v>
      </c>
      <c r="H125" s="203" t="s">
        <v>25</v>
      </c>
      <c r="I125" s="136" t="s">
        <v>161</v>
      </c>
      <c r="J125" s="215" t="s">
        <v>34</v>
      </c>
      <c r="K125" s="238"/>
      <c r="L125" s="215">
        <v>2.0</v>
      </c>
      <c r="M125" s="203">
        <v>0.0</v>
      </c>
      <c r="N125" s="238"/>
      <c r="O125" s="239"/>
      <c r="P125" s="160"/>
      <c r="Q125" s="270" t="s">
        <v>575</v>
      </c>
      <c r="R125" s="239"/>
      <c r="S125" s="238"/>
      <c r="T125" s="232"/>
      <c r="U125" s="232"/>
      <c r="V125" s="258"/>
      <c r="W125" s="258"/>
      <c r="X125" s="232"/>
      <c r="Y125" s="18"/>
      <c r="Z125" s="18"/>
      <c r="AA125" s="18"/>
    </row>
    <row r="126">
      <c r="A126" s="195" t="s">
        <v>22</v>
      </c>
      <c r="B126" s="224" t="s">
        <v>43</v>
      </c>
      <c r="C126" s="221" t="s">
        <v>578</v>
      </c>
      <c r="D126" s="237" t="s">
        <v>579</v>
      </c>
      <c r="E126" s="136" t="s">
        <v>53</v>
      </c>
      <c r="F126" s="233">
        <v>46071.0</v>
      </c>
      <c r="G126" s="233">
        <v>46071.0</v>
      </c>
      <c r="H126" s="203" t="s">
        <v>25</v>
      </c>
      <c r="I126" s="136" t="s">
        <v>161</v>
      </c>
      <c r="J126" s="215" t="s">
        <v>34</v>
      </c>
      <c r="K126" s="238"/>
      <c r="L126" s="215">
        <v>2.0</v>
      </c>
      <c r="M126" s="203">
        <v>0.0</v>
      </c>
      <c r="N126" s="238"/>
      <c r="O126" s="239"/>
      <c r="P126" s="160"/>
      <c r="Q126" s="270" t="s">
        <v>570</v>
      </c>
      <c r="R126" s="239"/>
      <c r="S126" s="238"/>
      <c r="T126" s="232"/>
      <c r="U126" s="232"/>
      <c r="V126" s="258"/>
      <c r="W126" s="258"/>
      <c r="X126" s="232"/>
      <c r="Y126" s="18"/>
      <c r="Z126" s="18"/>
      <c r="AA126" s="18"/>
    </row>
    <row r="127">
      <c r="A127" s="195" t="s">
        <v>22</v>
      </c>
      <c r="B127" s="224" t="s">
        <v>43</v>
      </c>
      <c r="C127" s="221" t="s">
        <v>580</v>
      </c>
      <c r="D127" s="265" t="s">
        <v>581</v>
      </c>
      <c r="E127" s="136" t="s">
        <v>53</v>
      </c>
      <c r="F127" s="233">
        <v>46071.0</v>
      </c>
      <c r="G127" s="233">
        <v>46071.0</v>
      </c>
      <c r="H127" s="203" t="s">
        <v>25</v>
      </c>
      <c r="I127" s="136" t="s">
        <v>161</v>
      </c>
      <c r="J127" s="215" t="s">
        <v>34</v>
      </c>
      <c r="K127" s="238"/>
      <c r="L127" s="215">
        <v>2.0</v>
      </c>
      <c r="M127" s="203">
        <v>0.0</v>
      </c>
      <c r="N127" s="238"/>
      <c r="O127" s="237"/>
      <c r="P127" s="160"/>
      <c r="Q127" s="270" t="s">
        <v>575</v>
      </c>
      <c r="R127" s="239"/>
      <c r="S127" s="238"/>
      <c r="T127" s="232"/>
      <c r="U127" s="232"/>
      <c r="V127" s="258"/>
      <c r="W127" s="258"/>
      <c r="X127" s="232"/>
      <c r="Y127" s="18"/>
      <c r="Z127" s="18"/>
      <c r="AA127" s="18"/>
    </row>
    <row r="128">
      <c r="A128" s="195" t="s">
        <v>22</v>
      </c>
      <c r="B128" s="224" t="s">
        <v>43</v>
      </c>
      <c r="C128" s="221" t="s">
        <v>582</v>
      </c>
      <c r="D128" s="279" t="s">
        <v>583</v>
      </c>
      <c r="E128" s="136" t="s">
        <v>53</v>
      </c>
      <c r="F128" s="233">
        <v>46071.0</v>
      </c>
      <c r="G128" s="233">
        <v>46071.0</v>
      </c>
      <c r="H128" s="203" t="s">
        <v>25</v>
      </c>
      <c r="I128" s="136" t="s">
        <v>161</v>
      </c>
      <c r="J128" s="215" t="s">
        <v>34</v>
      </c>
      <c r="K128" s="238"/>
      <c r="L128" s="215">
        <v>2.0</v>
      </c>
      <c r="M128" s="203">
        <v>0.0</v>
      </c>
      <c r="N128" s="238"/>
      <c r="O128" s="237"/>
      <c r="P128" s="160"/>
      <c r="Q128" s="241" t="s">
        <v>584</v>
      </c>
      <c r="R128" s="239"/>
      <c r="S128" s="238"/>
      <c r="T128" s="232"/>
      <c r="U128" s="232"/>
      <c r="V128" s="258"/>
      <c r="W128" s="258"/>
      <c r="X128" s="232"/>
      <c r="Y128" s="18"/>
      <c r="Z128" s="18"/>
      <c r="AA128" s="18"/>
    </row>
    <row r="129">
      <c r="A129" s="195" t="s">
        <v>22</v>
      </c>
      <c r="B129" s="224" t="s">
        <v>43</v>
      </c>
      <c r="C129" s="221" t="s">
        <v>585</v>
      </c>
      <c r="D129" s="265" t="s">
        <v>586</v>
      </c>
      <c r="E129" s="136" t="s">
        <v>53</v>
      </c>
      <c r="F129" s="233">
        <v>46071.0</v>
      </c>
      <c r="G129" s="233">
        <v>46071.0</v>
      </c>
      <c r="H129" s="203" t="s">
        <v>25</v>
      </c>
      <c r="I129" s="136" t="s">
        <v>161</v>
      </c>
      <c r="J129" s="215" t="s">
        <v>34</v>
      </c>
      <c r="K129" s="238"/>
      <c r="L129" s="215">
        <v>4.0</v>
      </c>
      <c r="M129" s="203">
        <v>0.0</v>
      </c>
      <c r="N129" s="238"/>
      <c r="O129" s="237"/>
      <c r="P129" s="160"/>
      <c r="Q129" s="241" t="s">
        <v>584</v>
      </c>
      <c r="R129" s="239"/>
      <c r="S129" s="238"/>
      <c r="T129" s="232"/>
      <c r="U129" s="232"/>
      <c r="V129" s="258"/>
      <c r="W129" s="258"/>
      <c r="X129" s="232"/>
      <c r="Y129" s="18"/>
      <c r="Z129" s="18"/>
      <c r="AA129" s="18"/>
    </row>
    <row r="130">
      <c r="A130" s="195" t="s">
        <v>22</v>
      </c>
      <c r="B130" s="224" t="s">
        <v>43</v>
      </c>
      <c r="C130" s="221" t="s">
        <v>587</v>
      </c>
      <c r="D130" s="237" t="s">
        <v>588</v>
      </c>
      <c r="E130" s="136" t="s">
        <v>53</v>
      </c>
      <c r="F130" s="233">
        <v>46072.0</v>
      </c>
      <c r="G130" s="233">
        <v>46072.0</v>
      </c>
      <c r="H130" s="203" t="s">
        <v>25</v>
      </c>
      <c r="I130" s="136" t="s">
        <v>161</v>
      </c>
      <c r="J130" s="215" t="s">
        <v>34</v>
      </c>
      <c r="K130" s="238"/>
      <c r="L130" s="273"/>
      <c r="M130" s="203">
        <v>0.0</v>
      </c>
      <c r="N130" s="238"/>
      <c r="O130" s="237"/>
      <c r="P130" s="160"/>
      <c r="Q130" s="263"/>
      <c r="R130" s="239"/>
      <c r="S130" s="238"/>
      <c r="T130" s="232"/>
      <c r="U130" s="232"/>
      <c r="V130" s="258"/>
      <c r="W130" s="258"/>
      <c r="X130" s="232"/>
      <c r="Y130" s="18"/>
      <c r="Z130" s="18"/>
      <c r="AA130" s="18"/>
    </row>
    <row r="131">
      <c r="A131" s="195" t="s">
        <v>22</v>
      </c>
      <c r="B131" s="224" t="s">
        <v>589</v>
      </c>
      <c r="C131" s="221" t="s">
        <v>590</v>
      </c>
      <c r="D131" s="237" t="s">
        <v>591</v>
      </c>
      <c r="E131" s="136" t="s">
        <v>53</v>
      </c>
      <c r="F131" s="233">
        <v>46072.0</v>
      </c>
      <c r="G131" s="233">
        <v>46072.0</v>
      </c>
      <c r="H131" s="203" t="s">
        <v>25</v>
      </c>
      <c r="I131" s="136" t="s">
        <v>161</v>
      </c>
      <c r="J131" s="215" t="s">
        <v>34</v>
      </c>
      <c r="K131" s="238"/>
      <c r="L131" s="215">
        <v>4.0</v>
      </c>
      <c r="M131" s="203">
        <v>0.0</v>
      </c>
      <c r="N131" s="238"/>
      <c r="O131" s="237" t="s">
        <v>592</v>
      </c>
      <c r="P131" s="160"/>
      <c r="Q131" s="263"/>
      <c r="R131" s="239"/>
      <c r="S131" s="238"/>
      <c r="T131" s="232"/>
      <c r="U131" s="232"/>
      <c r="V131" s="232"/>
      <c r="W131" s="232"/>
      <c r="X131" s="232"/>
      <c r="Y131" s="18"/>
      <c r="Z131" s="18"/>
      <c r="AA131" s="18"/>
    </row>
    <row r="132">
      <c r="A132" s="195" t="s">
        <v>64</v>
      </c>
      <c r="B132" s="236" t="s">
        <v>226</v>
      </c>
      <c r="C132" s="243"/>
      <c r="D132" s="237" t="s">
        <v>593</v>
      </c>
      <c r="E132" s="136" t="s">
        <v>53</v>
      </c>
      <c r="F132" s="233">
        <v>46071.0</v>
      </c>
      <c r="G132" s="233">
        <v>46072.0</v>
      </c>
      <c r="H132" s="203" t="s">
        <v>79</v>
      </c>
      <c r="I132" s="136" t="s">
        <v>161</v>
      </c>
      <c r="J132" s="215" t="s">
        <v>34</v>
      </c>
      <c r="K132" s="238"/>
      <c r="L132" s="273"/>
      <c r="M132" s="203">
        <v>0.0</v>
      </c>
      <c r="N132" s="238"/>
      <c r="O132" s="237" t="s">
        <v>594</v>
      </c>
      <c r="P132" s="160"/>
      <c r="Q132" s="241" t="s">
        <v>595</v>
      </c>
      <c r="R132" s="239"/>
      <c r="S132" s="238"/>
      <c r="T132" s="232"/>
      <c r="U132" s="232"/>
      <c r="V132" s="232"/>
      <c r="W132" s="232"/>
      <c r="X132" s="232"/>
      <c r="Y132" s="18"/>
      <c r="Z132" s="18"/>
      <c r="AA132" s="18"/>
    </row>
    <row r="133">
      <c r="A133" s="195" t="s">
        <v>22</v>
      </c>
      <c r="B133" s="224" t="s">
        <v>221</v>
      </c>
      <c r="C133" s="243"/>
      <c r="D133" s="254" t="s">
        <v>596</v>
      </c>
      <c r="E133" s="136" t="s">
        <v>53</v>
      </c>
      <c r="F133" s="233">
        <v>46072.0</v>
      </c>
      <c r="G133" s="246"/>
      <c r="H133" s="203" t="s">
        <v>79</v>
      </c>
      <c r="I133" s="136" t="s">
        <v>161</v>
      </c>
      <c r="J133" s="215" t="s">
        <v>34</v>
      </c>
      <c r="K133" s="238"/>
      <c r="L133" s="273"/>
      <c r="M133" s="203">
        <v>0.0</v>
      </c>
      <c r="N133" s="238"/>
      <c r="O133" s="239"/>
      <c r="P133" s="160"/>
      <c r="Q133" s="268"/>
      <c r="R133" s="239"/>
      <c r="S133" s="238"/>
      <c r="T133" s="232"/>
      <c r="U133" s="232"/>
      <c r="V133" s="232"/>
      <c r="W133" s="232"/>
      <c r="X133" s="232"/>
      <c r="Y133" s="18"/>
      <c r="Z133" s="18"/>
      <c r="AA133" s="18"/>
    </row>
    <row r="134">
      <c r="A134" s="195" t="s">
        <v>119</v>
      </c>
      <c r="B134" s="224" t="s">
        <v>311</v>
      </c>
      <c r="C134" s="243"/>
      <c r="D134" s="276" t="s">
        <v>597</v>
      </c>
      <c r="E134" s="136" t="s">
        <v>53</v>
      </c>
      <c r="F134" s="233">
        <v>46073.0</v>
      </c>
      <c r="G134" s="233">
        <v>46078.0</v>
      </c>
      <c r="H134" s="203" t="s">
        <v>79</v>
      </c>
      <c r="I134" s="136" t="s">
        <v>161</v>
      </c>
      <c r="J134" s="136" t="s">
        <v>34</v>
      </c>
      <c r="K134" s="238"/>
      <c r="L134" s="273"/>
      <c r="M134" s="203">
        <v>0.0</v>
      </c>
      <c r="N134" s="238"/>
      <c r="O134" s="237" t="s">
        <v>598</v>
      </c>
      <c r="P134" s="160"/>
      <c r="Q134" s="280" t="s">
        <v>599</v>
      </c>
      <c r="R134" s="239"/>
      <c r="S134" s="238"/>
      <c r="T134" s="232"/>
      <c r="U134" s="232"/>
      <c r="V134" s="232"/>
      <c r="W134" s="232"/>
      <c r="X134" s="232"/>
      <c r="Y134" s="18"/>
      <c r="Z134" s="18"/>
      <c r="AA134" s="18"/>
    </row>
    <row r="135">
      <c r="A135" s="195" t="s">
        <v>22</v>
      </c>
      <c r="B135" s="224" t="s">
        <v>43</v>
      </c>
      <c r="C135" s="221" t="s">
        <v>600</v>
      </c>
      <c r="D135" s="229" t="s">
        <v>601</v>
      </c>
      <c r="E135" s="136" t="s">
        <v>53</v>
      </c>
      <c r="F135" s="233">
        <v>46076.0</v>
      </c>
      <c r="G135" s="233">
        <v>46076.0</v>
      </c>
      <c r="H135" s="203" t="s">
        <v>25</v>
      </c>
      <c r="I135" s="136" t="s">
        <v>161</v>
      </c>
      <c r="J135" s="215" t="s">
        <v>34</v>
      </c>
      <c r="K135" s="238"/>
      <c r="L135" s="215">
        <v>3.0</v>
      </c>
      <c r="M135" s="203">
        <v>0.0</v>
      </c>
      <c r="N135" s="238"/>
      <c r="O135" s="239"/>
      <c r="P135" s="160"/>
      <c r="Q135" s="239"/>
      <c r="R135" s="239"/>
      <c r="S135" s="238"/>
      <c r="T135" s="232"/>
      <c r="U135" s="232"/>
      <c r="V135" s="258"/>
      <c r="W135" s="258"/>
      <c r="X135" s="232"/>
      <c r="Y135" s="18"/>
      <c r="Z135" s="18"/>
      <c r="AA135" s="18"/>
    </row>
    <row r="136">
      <c r="A136" s="195" t="s">
        <v>22</v>
      </c>
      <c r="B136" s="224" t="s">
        <v>43</v>
      </c>
      <c r="C136" s="221" t="s">
        <v>602</v>
      </c>
      <c r="D136" s="229" t="s">
        <v>603</v>
      </c>
      <c r="E136" s="136" t="s">
        <v>53</v>
      </c>
      <c r="F136" s="233">
        <v>46076.0</v>
      </c>
      <c r="G136" s="233">
        <v>46076.0</v>
      </c>
      <c r="H136" s="203" t="s">
        <v>25</v>
      </c>
      <c r="I136" s="136" t="s">
        <v>161</v>
      </c>
      <c r="J136" s="215" t="s">
        <v>34</v>
      </c>
      <c r="K136" s="238"/>
      <c r="L136" s="215">
        <v>3.0</v>
      </c>
      <c r="M136" s="203">
        <v>0.0</v>
      </c>
      <c r="N136" s="238"/>
      <c r="O136" s="237" t="s">
        <v>604</v>
      </c>
      <c r="P136" s="160"/>
      <c r="Q136" s="241" t="s">
        <v>570</v>
      </c>
      <c r="R136" s="239"/>
      <c r="S136" s="238"/>
      <c r="T136" s="232"/>
      <c r="U136" s="232"/>
      <c r="V136" s="258"/>
      <c r="W136" s="258"/>
      <c r="X136" s="232"/>
      <c r="Y136" s="18"/>
      <c r="Z136" s="18"/>
      <c r="AA136" s="18"/>
    </row>
    <row r="137">
      <c r="A137" s="195" t="s">
        <v>22</v>
      </c>
      <c r="B137" s="224" t="s">
        <v>43</v>
      </c>
      <c r="C137" s="221" t="s">
        <v>605</v>
      </c>
      <c r="D137" s="237" t="s">
        <v>606</v>
      </c>
      <c r="E137" s="136" t="s">
        <v>53</v>
      </c>
      <c r="F137" s="233">
        <v>46077.0</v>
      </c>
      <c r="G137" s="233">
        <v>46077.0</v>
      </c>
      <c r="H137" s="203" t="s">
        <v>25</v>
      </c>
      <c r="I137" s="136" t="s">
        <v>161</v>
      </c>
      <c r="J137" s="215" t="s">
        <v>34</v>
      </c>
      <c r="K137" s="238"/>
      <c r="L137" s="281">
        <v>0.0</v>
      </c>
      <c r="M137" s="203">
        <v>0.0</v>
      </c>
      <c r="N137" s="238"/>
      <c r="O137" s="239"/>
      <c r="P137" s="160"/>
      <c r="Q137" s="239"/>
      <c r="R137" s="239"/>
      <c r="S137" s="238"/>
      <c r="T137" s="232"/>
      <c r="U137" s="232"/>
      <c r="V137" s="258"/>
      <c r="W137" s="258"/>
      <c r="X137" s="232"/>
      <c r="Y137" s="18"/>
      <c r="Z137" s="18"/>
      <c r="AA137" s="18"/>
    </row>
    <row r="138">
      <c r="A138" s="195" t="s">
        <v>64</v>
      </c>
      <c r="B138" s="245" t="s">
        <v>215</v>
      </c>
      <c r="C138" s="221" t="s">
        <v>607</v>
      </c>
      <c r="D138" s="228" t="s">
        <v>608</v>
      </c>
      <c r="E138" s="136" t="s">
        <v>53</v>
      </c>
      <c r="F138" s="233">
        <v>46077.0</v>
      </c>
      <c r="G138" s="233">
        <v>46077.0</v>
      </c>
      <c r="H138" s="203" t="s">
        <v>79</v>
      </c>
      <c r="I138" s="136" t="s">
        <v>161</v>
      </c>
      <c r="J138" s="215" t="s">
        <v>34</v>
      </c>
      <c r="K138" s="238"/>
      <c r="L138" s="281">
        <v>0.0</v>
      </c>
      <c r="M138" s="203">
        <v>0.0</v>
      </c>
      <c r="N138" s="238"/>
      <c r="O138" s="239"/>
      <c r="P138" s="160"/>
      <c r="Q138" s="270" t="s">
        <v>609</v>
      </c>
      <c r="R138" s="239"/>
      <c r="S138" s="238"/>
      <c r="T138" s="232"/>
      <c r="U138" s="232"/>
      <c r="V138" s="232"/>
      <c r="W138" s="232"/>
      <c r="X138" s="232"/>
      <c r="Y138" s="18"/>
      <c r="Z138" s="18"/>
      <c r="AA138" s="18"/>
    </row>
    <row r="139">
      <c r="A139" s="195" t="s">
        <v>22</v>
      </c>
      <c r="B139" s="224" t="s">
        <v>43</v>
      </c>
      <c r="C139" s="221" t="s">
        <v>610</v>
      </c>
      <c r="D139" s="229" t="s">
        <v>611</v>
      </c>
      <c r="E139" s="136" t="s">
        <v>53</v>
      </c>
      <c r="F139" s="233">
        <v>46077.0</v>
      </c>
      <c r="G139" s="233">
        <v>46077.0</v>
      </c>
      <c r="H139" s="203" t="s">
        <v>25</v>
      </c>
      <c r="I139" s="136" t="s">
        <v>161</v>
      </c>
      <c r="J139" s="215" t="s">
        <v>34</v>
      </c>
      <c r="K139" s="238"/>
      <c r="L139" s="215">
        <v>2.0</v>
      </c>
      <c r="M139" s="203">
        <v>0.0</v>
      </c>
      <c r="N139" s="238"/>
      <c r="O139" s="237" t="s">
        <v>612</v>
      </c>
      <c r="P139" s="160"/>
      <c r="Q139" s="239"/>
      <c r="R139" s="239"/>
      <c r="S139" s="238"/>
      <c r="T139" s="232"/>
      <c r="U139" s="232"/>
      <c r="V139" s="258"/>
      <c r="W139" s="258"/>
      <c r="X139" s="232"/>
      <c r="Y139" s="18"/>
      <c r="Z139" s="18"/>
      <c r="AA139" s="18"/>
    </row>
    <row r="140">
      <c r="A140" s="195" t="s">
        <v>119</v>
      </c>
      <c r="B140" s="228" t="s">
        <v>238</v>
      </c>
      <c r="C140" s="221" t="s">
        <v>613</v>
      </c>
      <c r="D140" s="229" t="s">
        <v>614</v>
      </c>
      <c r="E140" s="136" t="s">
        <v>53</v>
      </c>
      <c r="F140" s="233">
        <v>46078.0</v>
      </c>
      <c r="G140" s="233">
        <v>46079.0</v>
      </c>
      <c r="H140" s="203" t="s">
        <v>79</v>
      </c>
      <c r="I140" s="136" t="s">
        <v>161</v>
      </c>
      <c r="J140" s="215" t="s">
        <v>34</v>
      </c>
      <c r="K140" s="238"/>
      <c r="L140" s="281">
        <v>0.0</v>
      </c>
      <c r="M140" s="203">
        <v>0.0</v>
      </c>
      <c r="N140" s="238"/>
      <c r="O140" s="239"/>
      <c r="P140" s="160"/>
      <c r="Q140" s="239"/>
      <c r="R140" s="239"/>
      <c r="S140" s="238"/>
      <c r="T140" s="232"/>
      <c r="U140" s="232"/>
      <c r="V140" s="232"/>
      <c r="W140" s="232"/>
      <c r="X140" s="232"/>
      <c r="Y140" s="18"/>
      <c r="Z140" s="18"/>
      <c r="AA140" s="18"/>
    </row>
    <row r="141">
      <c r="A141" s="195" t="s">
        <v>119</v>
      </c>
      <c r="B141" s="228" t="s">
        <v>238</v>
      </c>
      <c r="C141" s="221" t="s">
        <v>615</v>
      </c>
      <c r="D141" s="229" t="s">
        <v>616</v>
      </c>
      <c r="E141" s="136" t="s">
        <v>53</v>
      </c>
      <c r="F141" s="233">
        <v>46079.0</v>
      </c>
      <c r="G141" s="233">
        <v>46079.0</v>
      </c>
      <c r="H141" s="203" t="s">
        <v>79</v>
      </c>
      <c r="I141" s="136" t="s">
        <v>161</v>
      </c>
      <c r="J141" s="215" t="s">
        <v>34</v>
      </c>
      <c r="K141" s="238"/>
      <c r="L141" s="281">
        <v>0.0</v>
      </c>
      <c r="M141" s="203">
        <v>0.0</v>
      </c>
      <c r="N141" s="238"/>
      <c r="O141" s="239"/>
      <c r="P141" s="160"/>
      <c r="Q141" s="239"/>
      <c r="R141" s="239"/>
      <c r="S141" s="238"/>
      <c r="T141" s="232"/>
      <c r="U141" s="232"/>
      <c r="V141" s="232"/>
      <c r="W141" s="232"/>
      <c r="X141" s="232"/>
      <c r="Y141" s="18"/>
      <c r="Z141" s="18"/>
      <c r="AA141" s="18"/>
    </row>
    <row r="142">
      <c r="A142" s="195" t="s">
        <v>22</v>
      </c>
      <c r="B142" s="282"/>
      <c r="C142" s="243"/>
      <c r="D142" s="229" t="s">
        <v>617</v>
      </c>
      <c r="E142" s="136" t="s">
        <v>53</v>
      </c>
      <c r="F142" s="233">
        <v>46069.0</v>
      </c>
      <c r="G142" s="246"/>
      <c r="H142" s="256"/>
      <c r="I142" s="136" t="s">
        <v>161</v>
      </c>
      <c r="J142" s="215" t="s">
        <v>34</v>
      </c>
      <c r="K142" s="238"/>
      <c r="L142" s="281">
        <v>0.0</v>
      </c>
      <c r="M142" s="203">
        <v>0.0</v>
      </c>
      <c r="N142" s="238"/>
      <c r="O142" s="239"/>
      <c r="P142" s="160"/>
      <c r="Q142" s="239"/>
      <c r="R142" s="239"/>
      <c r="S142" s="238"/>
      <c r="T142" s="232"/>
      <c r="U142" s="232"/>
      <c r="V142" s="232"/>
      <c r="W142" s="232"/>
      <c r="X142" s="232"/>
      <c r="Y142" s="18"/>
      <c r="Z142" s="18"/>
      <c r="AA142" s="18"/>
    </row>
    <row r="143">
      <c r="A143" s="195" t="s">
        <v>22</v>
      </c>
      <c r="B143" s="282"/>
      <c r="C143" s="243"/>
      <c r="D143" s="229" t="s">
        <v>618</v>
      </c>
      <c r="E143" s="136" t="s">
        <v>53</v>
      </c>
      <c r="F143" s="233">
        <v>46069.0</v>
      </c>
      <c r="G143" s="246"/>
      <c r="H143" s="256"/>
      <c r="I143" s="136" t="s">
        <v>161</v>
      </c>
      <c r="J143" s="215" t="s">
        <v>34</v>
      </c>
      <c r="K143" s="238"/>
      <c r="L143" s="281">
        <v>0.0</v>
      </c>
      <c r="M143" s="203">
        <v>0.0</v>
      </c>
      <c r="N143" s="238"/>
      <c r="O143" s="239"/>
      <c r="P143" s="160"/>
      <c r="Q143" s="239"/>
      <c r="R143" s="239"/>
      <c r="S143" s="238"/>
      <c r="T143" s="232"/>
      <c r="U143" s="232"/>
      <c r="V143" s="232"/>
      <c r="W143" s="232"/>
      <c r="X143" s="232"/>
      <c r="Y143" s="18"/>
      <c r="Z143" s="18"/>
      <c r="AA143" s="18"/>
    </row>
    <row r="144">
      <c r="A144" s="195" t="s">
        <v>59</v>
      </c>
      <c r="B144" s="282"/>
      <c r="C144" s="243"/>
      <c r="D144" s="229" t="s">
        <v>619</v>
      </c>
      <c r="E144" s="136" t="s">
        <v>53</v>
      </c>
      <c r="F144" s="233">
        <v>46069.0</v>
      </c>
      <c r="G144" s="246"/>
      <c r="H144" s="256"/>
      <c r="I144" s="136" t="s">
        <v>161</v>
      </c>
      <c r="J144" s="215" t="s">
        <v>34</v>
      </c>
      <c r="K144" s="238"/>
      <c r="L144" s="281">
        <v>0.0</v>
      </c>
      <c r="M144" s="203">
        <v>0.0</v>
      </c>
      <c r="N144" s="238"/>
      <c r="O144" s="239"/>
      <c r="P144" s="160"/>
      <c r="Q144" s="239"/>
      <c r="R144" s="239"/>
      <c r="S144" s="238"/>
      <c r="T144" s="232"/>
      <c r="U144" s="232"/>
      <c r="V144" s="232"/>
      <c r="W144" s="232"/>
      <c r="X144" s="232"/>
      <c r="Y144" s="18"/>
      <c r="Z144" s="18"/>
      <c r="AA144" s="18"/>
    </row>
    <row r="145">
      <c r="A145" s="195" t="s">
        <v>59</v>
      </c>
      <c r="B145" s="282"/>
      <c r="C145" s="243"/>
      <c r="D145" s="229" t="s">
        <v>620</v>
      </c>
      <c r="E145" s="136" t="s">
        <v>53</v>
      </c>
      <c r="F145" s="233">
        <v>46069.0</v>
      </c>
      <c r="G145" s="246"/>
      <c r="H145" s="256"/>
      <c r="I145" s="136" t="s">
        <v>161</v>
      </c>
      <c r="J145" s="215" t="s">
        <v>34</v>
      </c>
      <c r="K145" s="238"/>
      <c r="L145" s="281">
        <v>0.0</v>
      </c>
      <c r="M145" s="203">
        <v>0.0</v>
      </c>
      <c r="N145" s="238"/>
      <c r="O145" s="239"/>
      <c r="P145" s="160"/>
      <c r="Q145" s="239"/>
      <c r="R145" s="239"/>
      <c r="S145" s="238"/>
      <c r="T145" s="232"/>
      <c r="U145" s="232"/>
      <c r="V145" s="232"/>
      <c r="W145" s="232"/>
      <c r="X145" s="232"/>
      <c r="Y145" s="18"/>
      <c r="Z145" s="18"/>
      <c r="AA145" s="18"/>
    </row>
    <row r="146">
      <c r="A146" s="195" t="s">
        <v>22</v>
      </c>
      <c r="B146" s="224" t="s">
        <v>621</v>
      </c>
      <c r="C146" s="221" t="s">
        <v>622</v>
      </c>
      <c r="D146" s="237" t="s">
        <v>623</v>
      </c>
      <c r="E146" s="136" t="s">
        <v>53</v>
      </c>
      <c r="F146" s="158">
        <v>46083.0</v>
      </c>
      <c r="G146" s="158">
        <v>46083.0</v>
      </c>
      <c r="H146" s="203" t="s">
        <v>25</v>
      </c>
      <c r="I146" s="136" t="s">
        <v>161</v>
      </c>
      <c r="J146" s="215" t="s">
        <v>34</v>
      </c>
      <c r="K146" s="238"/>
      <c r="L146" s="281">
        <v>0.0</v>
      </c>
      <c r="M146" s="203">
        <v>0.0</v>
      </c>
      <c r="N146" s="238"/>
      <c r="O146" s="239"/>
      <c r="P146" s="160"/>
      <c r="Q146" s="239"/>
      <c r="R146" s="239"/>
      <c r="S146" s="238"/>
      <c r="T146" s="232"/>
      <c r="U146" s="232"/>
      <c r="V146" s="232"/>
      <c r="W146" s="232"/>
      <c r="X146" s="232"/>
      <c r="Y146" s="18"/>
      <c r="Z146" s="18"/>
      <c r="AA146" s="18"/>
    </row>
    <row r="147">
      <c r="A147" s="195" t="s">
        <v>22</v>
      </c>
      <c r="B147" s="245" t="s">
        <v>218</v>
      </c>
      <c r="C147" s="221" t="s">
        <v>624</v>
      </c>
      <c r="D147" s="237" t="s">
        <v>625</v>
      </c>
      <c r="E147" s="136" t="s">
        <v>53</v>
      </c>
      <c r="F147" s="274">
        <v>46090.0</v>
      </c>
      <c r="G147" s="274">
        <v>46090.0</v>
      </c>
      <c r="H147" s="203" t="s">
        <v>79</v>
      </c>
      <c r="I147" s="136" t="s">
        <v>161</v>
      </c>
      <c r="J147" s="215" t="s">
        <v>34</v>
      </c>
      <c r="K147" s="238"/>
      <c r="L147" s="215">
        <v>5.0</v>
      </c>
      <c r="M147" s="203">
        <v>0.0</v>
      </c>
      <c r="N147" s="238"/>
      <c r="O147" s="237" t="s">
        <v>542</v>
      </c>
      <c r="P147" s="160"/>
      <c r="Q147" s="270" t="s">
        <v>543</v>
      </c>
      <c r="R147" s="239"/>
      <c r="S147" s="238"/>
      <c r="T147" s="232"/>
      <c r="U147" s="232"/>
      <c r="V147" s="232"/>
      <c r="W147" s="232"/>
      <c r="X147" s="232"/>
      <c r="Y147" s="18"/>
      <c r="Z147" s="18"/>
      <c r="AA147" s="18"/>
    </row>
    <row r="148">
      <c r="A148" s="195" t="s">
        <v>22</v>
      </c>
      <c r="B148" s="245" t="s">
        <v>218</v>
      </c>
      <c r="C148" s="221" t="s">
        <v>626</v>
      </c>
      <c r="D148" s="237" t="s">
        <v>627</v>
      </c>
      <c r="E148" s="136" t="s">
        <v>53</v>
      </c>
      <c r="F148" s="274">
        <v>46090.0</v>
      </c>
      <c r="G148" s="274">
        <v>46090.0</v>
      </c>
      <c r="H148" s="203" t="s">
        <v>79</v>
      </c>
      <c r="I148" s="136" t="s">
        <v>161</v>
      </c>
      <c r="J148" s="215" t="s">
        <v>34</v>
      </c>
      <c r="K148" s="238"/>
      <c r="L148" s="281">
        <v>0.0</v>
      </c>
      <c r="M148" s="203">
        <v>0.0</v>
      </c>
      <c r="N148" s="238"/>
      <c r="O148" s="239"/>
      <c r="P148" s="160"/>
      <c r="Q148" s="239"/>
      <c r="R148" s="239"/>
      <c r="S148" s="238"/>
      <c r="T148" s="232"/>
      <c r="U148" s="232"/>
      <c r="V148" s="232"/>
      <c r="W148" s="232"/>
      <c r="X148" s="232"/>
      <c r="Y148" s="18"/>
      <c r="Z148" s="18"/>
      <c r="AA148" s="18"/>
    </row>
    <row r="149">
      <c r="A149" s="195" t="s">
        <v>119</v>
      </c>
      <c r="B149" s="224" t="s">
        <v>240</v>
      </c>
      <c r="C149" s="221" t="s">
        <v>628</v>
      </c>
      <c r="D149" s="229" t="s">
        <v>629</v>
      </c>
      <c r="E149" s="136" t="s">
        <v>53</v>
      </c>
      <c r="F149" s="158">
        <v>46086.0</v>
      </c>
      <c r="G149" s="158">
        <v>46092.0</v>
      </c>
      <c r="H149" s="203" t="s">
        <v>79</v>
      </c>
      <c r="I149" s="136" t="s">
        <v>161</v>
      </c>
      <c r="J149" s="215" t="s">
        <v>34</v>
      </c>
      <c r="K149" s="238"/>
      <c r="L149" s="281">
        <v>0.0</v>
      </c>
      <c r="M149" s="203">
        <v>0.0</v>
      </c>
      <c r="N149" s="238"/>
      <c r="O149" s="239"/>
      <c r="P149" s="160"/>
      <c r="Q149" s="270" t="s">
        <v>630</v>
      </c>
      <c r="R149" s="249" t="s">
        <v>631</v>
      </c>
      <c r="S149" s="238"/>
      <c r="T149" s="232"/>
      <c r="U149" s="232"/>
      <c r="V149" s="232"/>
      <c r="W149" s="232"/>
      <c r="X149" s="232"/>
      <c r="Y149" s="18"/>
      <c r="Z149" s="18"/>
      <c r="AA149" s="18"/>
    </row>
    <row r="150">
      <c r="A150" s="195" t="s">
        <v>22</v>
      </c>
      <c r="B150" s="224" t="s">
        <v>43</v>
      </c>
      <c r="C150" s="221" t="s">
        <v>632</v>
      </c>
      <c r="D150" s="228" t="s">
        <v>633</v>
      </c>
      <c r="E150" s="136" t="s">
        <v>53</v>
      </c>
      <c r="F150" s="158">
        <v>46091.0</v>
      </c>
      <c r="G150" s="158">
        <v>46091.0</v>
      </c>
      <c r="H150" s="203" t="s">
        <v>25</v>
      </c>
      <c r="I150" s="136" t="s">
        <v>161</v>
      </c>
      <c r="J150" s="215" t="s">
        <v>34</v>
      </c>
      <c r="K150" s="238"/>
      <c r="L150" s="281">
        <v>0.0</v>
      </c>
      <c r="M150" s="203">
        <v>0.0</v>
      </c>
      <c r="N150" s="238"/>
      <c r="O150" s="239"/>
      <c r="P150" s="160"/>
      <c r="Q150" s="239"/>
      <c r="R150" s="239"/>
      <c r="S150" s="238"/>
      <c r="T150" s="232"/>
      <c r="U150" s="232"/>
      <c r="V150" s="258"/>
      <c r="W150" s="258"/>
      <c r="X150" s="232"/>
      <c r="Y150" s="18"/>
      <c r="Z150" s="18"/>
      <c r="AA150" s="18"/>
    </row>
    <row r="151">
      <c r="A151" s="195" t="s">
        <v>64</v>
      </c>
      <c r="B151" s="224" t="s">
        <v>634</v>
      </c>
      <c r="C151" s="221" t="s">
        <v>635</v>
      </c>
      <c r="D151" s="245" t="s">
        <v>636</v>
      </c>
      <c r="E151" s="136" t="s">
        <v>53</v>
      </c>
      <c r="F151" s="158">
        <v>46093.0</v>
      </c>
      <c r="G151" s="243"/>
      <c r="H151" s="203" t="s">
        <v>79</v>
      </c>
      <c r="I151" s="136" t="s">
        <v>44</v>
      </c>
      <c r="J151" s="215" t="s">
        <v>55</v>
      </c>
      <c r="K151" s="238"/>
      <c r="L151" s="281">
        <v>0.0</v>
      </c>
      <c r="M151" s="203">
        <v>0.0</v>
      </c>
      <c r="N151" s="238"/>
      <c r="O151" s="237"/>
      <c r="P151" s="131" t="s">
        <v>637</v>
      </c>
      <c r="Q151" s="239"/>
      <c r="R151" s="239"/>
      <c r="S151" s="238"/>
      <c r="T151" s="232"/>
      <c r="U151" s="232"/>
      <c r="V151" s="232"/>
      <c r="W151" s="232"/>
      <c r="X151" s="232"/>
      <c r="Y151" s="18"/>
      <c r="Z151" s="18"/>
      <c r="AA151" s="18"/>
    </row>
    <row r="152">
      <c r="A152" s="195" t="s">
        <v>64</v>
      </c>
      <c r="B152" s="282"/>
      <c r="C152" s="262" t="s">
        <v>638</v>
      </c>
      <c r="D152" s="245" t="s">
        <v>639</v>
      </c>
      <c r="E152" s="136" t="s">
        <v>53</v>
      </c>
      <c r="F152" s="158">
        <v>46093.0</v>
      </c>
      <c r="G152" s="243"/>
      <c r="H152" s="203" t="s">
        <v>33</v>
      </c>
      <c r="I152" s="136" t="s">
        <v>39</v>
      </c>
      <c r="J152" s="215" t="s">
        <v>55</v>
      </c>
      <c r="K152" s="238"/>
      <c r="L152" s="281">
        <v>0.0</v>
      </c>
      <c r="M152" s="203">
        <v>0.0</v>
      </c>
      <c r="N152" s="238"/>
      <c r="O152" s="237" t="s">
        <v>640</v>
      </c>
      <c r="P152" s="160"/>
      <c r="Q152" s="239"/>
      <c r="R152" s="239"/>
      <c r="S152" s="238"/>
      <c r="T152" s="232"/>
      <c r="U152" s="232"/>
      <c r="V152" s="232"/>
      <c r="W152" s="232"/>
      <c r="X152" s="232"/>
      <c r="Y152" s="18"/>
      <c r="Z152" s="18"/>
      <c r="AA152" s="18"/>
    </row>
    <row r="153">
      <c r="A153" s="195" t="s">
        <v>64</v>
      </c>
      <c r="B153" s="282"/>
      <c r="C153" s="262" t="s">
        <v>641</v>
      </c>
      <c r="D153" s="283" t="s">
        <v>642</v>
      </c>
      <c r="E153" s="136" t="s">
        <v>53</v>
      </c>
      <c r="F153" s="158">
        <v>46093.0</v>
      </c>
      <c r="G153" s="243"/>
      <c r="H153" s="203" t="s">
        <v>79</v>
      </c>
      <c r="I153" s="136" t="s">
        <v>54</v>
      </c>
      <c r="J153" s="215" t="s">
        <v>55</v>
      </c>
      <c r="K153" s="238"/>
      <c r="L153" s="281">
        <v>0.0</v>
      </c>
      <c r="M153" s="203">
        <v>0.0</v>
      </c>
      <c r="N153" s="238"/>
      <c r="O153" s="237" t="s">
        <v>643</v>
      </c>
      <c r="P153" s="160"/>
      <c r="Q153" s="239"/>
      <c r="R153" s="239"/>
      <c r="S153" s="238"/>
      <c r="T153" s="232"/>
      <c r="U153" s="232"/>
      <c r="V153" s="232"/>
      <c r="W153" s="232"/>
      <c r="X153" s="232"/>
      <c r="Y153" s="18"/>
      <c r="Z153" s="18"/>
      <c r="AA153" s="18"/>
    </row>
    <row r="154">
      <c r="A154" s="195" t="s">
        <v>22</v>
      </c>
      <c r="B154" s="224" t="s">
        <v>43</v>
      </c>
      <c r="C154" s="221" t="s">
        <v>644</v>
      </c>
      <c r="D154" s="229" t="s">
        <v>645</v>
      </c>
      <c r="E154" s="136" t="s">
        <v>53</v>
      </c>
      <c r="F154" s="158">
        <v>46093.0</v>
      </c>
      <c r="G154" s="158">
        <v>46093.0</v>
      </c>
      <c r="H154" s="203" t="s">
        <v>25</v>
      </c>
      <c r="I154" s="136" t="s">
        <v>161</v>
      </c>
      <c r="J154" s="215" t="s">
        <v>27</v>
      </c>
      <c r="K154" s="238"/>
      <c r="L154" s="281">
        <v>0.0</v>
      </c>
      <c r="M154" s="203">
        <v>0.0</v>
      </c>
      <c r="N154" s="238"/>
      <c r="O154" s="228" t="s">
        <v>646</v>
      </c>
      <c r="P154" s="160"/>
      <c r="Q154" s="239"/>
      <c r="R154" s="239"/>
      <c r="S154" s="238"/>
      <c r="T154" s="232"/>
      <c r="U154" s="232"/>
      <c r="V154" s="258"/>
      <c r="W154" s="258"/>
      <c r="X154" s="258"/>
      <c r="Y154" s="18"/>
      <c r="Z154" s="18"/>
      <c r="AA154" s="18"/>
    </row>
    <row r="155">
      <c r="A155" s="195" t="s">
        <v>166</v>
      </c>
      <c r="B155" s="224" t="s">
        <v>647</v>
      </c>
      <c r="C155" s="262" t="s">
        <v>648</v>
      </c>
      <c r="D155" s="237" t="s">
        <v>649</v>
      </c>
      <c r="E155" s="136" t="s">
        <v>53</v>
      </c>
      <c r="F155" s="158">
        <v>46094.0</v>
      </c>
      <c r="G155" s="158">
        <v>46094.0</v>
      </c>
      <c r="H155" s="203" t="s">
        <v>25</v>
      </c>
      <c r="I155" s="136" t="s">
        <v>161</v>
      </c>
      <c r="J155" s="215" t="s">
        <v>34</v>
      </c>
      <c r="K155" s="238"/>
      <c r="L155" s="281">
        <v>0.0</v>
      </c>
      <c r="M155" s="203">
        <v>0.0</v>
      </c>
      <c r="N155" s="238"/>
      <c r="O155" s="239"/>
      <c r="P155" s="160"/>
      <c r="Q155" s="239"/>
      <c r="R155" s="239"/>
      <c r="S155" s="238"/>
      <c r="T155" s="232"/>
      <c r="U155" s="232"/>
      <c r="V155" s="232"/>
      <c r="W155" s="232"/>
      <c r="X155" s="232"/>
      <c r="Y155" s="18"/>
      <c r="Z155" s="18"/>
      <c r="AA155" s="18"/>
    </row>
    <row r="156">
      <c r="A156" s="195" t="s">
        <v>22</v>
      </c>
      <c r="B156" s="224" t="s">
        <v>43</v>
      </c>
      <c r="C156" s="262" t="s">
        <v>650</v>
      </c>
      <c r="D156" s="229" t="s">
        <v>651</v>
      </c>
      <c r="E156" s="136" t="s">
        <v>53</v>
      </c>
      <c r="F156" s="158">
        <v>46094.0</v>
      </c>
      <c r="G156" s="158">
        <v>46094.0</v>
      </c>
      <c r="H156" s="203" t="s">
        <v>25</v>
      </c>
      <c r="I156" s="136" t="s">
        <v>161</v>
      </c>
      <c r="J156" s="215" t="s">
        <v>34</v>
      </c>
      <c r="K156" s="238"/>
      <c r="L156" s="281">
        <v>0.0</v>
      </c>
      <c r="M156" s="203">
        <v>0.0</v>
      </c>
      <c r="N156" s="238"/>
      <c r="O156" s="239"/>
      <c r="P156" s="160"/>
      <c r="Q156" s="239"/>
      <c r="R156" s="239"/>
      <c r="S156" s="238"/>
      <c r="T156" s="232"/>
      <c r="U156" s="232"/>
      <c r="V156" s="258"/>
      <c r="W156" s="258"/>
      <c r="X156" s="232"/>
      <c r="Y156" s="18"/>
      <c r="Z156" s="18"/>
      <c r="AA156" s="18"/>
    </row>
    <row r="157">
      <c r="A157" s="195" t="s">
        <v>166</v>
      </c>
      <c r="B157" s="224" t="s">
        <v>652</v>
      </c>
      <c r="C157" s="262" t="s">
        <v>653</v>
      </c>
      <c r="D157" s="237" t="s">
        <v>654</v>
      </c>
      <c r="E157" s="136" t="s">
        <v>53</v>
      </c>
      <c r="F157" s="158">
        <v>46094.0</v>
      </c>
      <c r="G157" s="158">
        <v>46094.0</v>
      </c>
      <c r="H157" s="203" t="s">
        <v>25</v>
      </c>
      <c r="I157" s="136" t="s">
        <v>161</v>
      </c>
      <c r="J157" s="215" t="s">
        <v>34</v>
      </c>
      <c r="K157" s="238"/>
      <c r="L157" s="215">
        <v>0.5</v>
      </c>
      <c r="M157" s="203">
        <v>0.0</v>
      </c>
      <c r="N157" s="238"/>
      <c r="O157" s="239"/>
      <c r="P157" s="160"/>
      <c r="Q157" s="239"/>
      <c r="R157" s="239"/>
      <c r="S157" s="238"/>
      <c r="T157" s="232"/>
      <c r="U157" s="232"/>
      <c r="V157" s="232"/>
      <c r="W157" s="232"/>
      <c r="X157" s="232"/>
      <c r="Y157" s="18"/>
      <c r="Z157" s="18"/>
      <c r="AA157" s="18"/>
    </row>
    <row r="158">
      <c r="A158" s="195" t="s">
        <v>655</v>
      </c>
      <c r="B158" s="224" t="s">
        <v>656</v>
      </c>
      <c r="C158" s="221"/>
      <c r="D158" s="219" t="s">
        <v>657</v>
      </c>
      <c r="E158" s="136" t="s">
        <v>53</v>
      </c>
      <c r="F158" s="158">
        <v>46094.0</v>
      </c>
      <c r="G158" s="158">
        <v>46094.0</v>
      </c>
      <c r="H158" s="203" t="s">
        <v>400</v>
      </c>
      <c r="I158" s="136" t="s">
        <v>161</v>
      </c>
      <c r="J158" s="215" t="s">
        <v>34</v>
      </c>
      <c r="K158" s="238"/>
      <c r="L158" s="215">
        <v>6.0</v>
      </c>
      <c r="M158" s="203">
        <v>0.0</v>
      </c>
      <c r="N158" s="238"/>
      <c r="O158" s="239"/>
      <c r="P158" s="160"/>
      <c r="Q158" s="239"/>
      <c r="R158" s="239"/>
      <c r="S158" s="238"/>
      <c r="T158" s="232"/>
      <c r="U158" s="232"/>
      <c r="V158" s="232"/>
      <c r="W158" s="232"/>
      <c r="X158" s="232"/>
      <c r="Y158" s="18"/>
      <c r="Z158" s="18"/>
      <c r="AA158" s="18"/>
    </row>
    <row r="159">
      <c r="A159" s="195" t="s">
        <v>166</v>
      </c>
      <c r="B159" s="228" t="s">
        <v>241</v>
      </c>
      <c r="C159" s="262" t="s">
        <v>658</v>
      </c>
      <c r="D159" s="229" t="s">
        <v>659</v>
      </c>
      <c r="E159" s="136" t="s">
        <v>53</v>
      </c>
      <c r="F159" s="158">
        <v>46094.0</v>
      </c>
      <c r="G159" s="158">
        <v>46105.0</v>
      </c>
      <c r="H159" s="203" t="s">
        <v>79</v>
      </c>
      <c r="I159" s="136" t="s">
        <v>161</v>
      </c>
      <c r="J159" s="215" t="s">
        <v>34</v>
      </c>
      <c r="K159" s="238"/>
      <c r="L159" s="281">
        <v>0.0</v>
      </c>
      <c r="M159" s="203">
        <v>0.0</v>
      </c>
      <c r="N159" s="238"/>
      <c r="O159" s="241" t="s">
        <v>660</v>
      </c>
      <c r="P159" s="160"/>
      <c r="Q159" s="284" t="s">
        <v>661</v>
      </c>
      <c r="R159" s="239"/>
      <c r="S159" s="238"/>
      <c r="T159" s="232"/>
      <c r="U159" s="232"/>
      <c r="V159" s="232"/>
      <c r="W159" s="232"/>
      <c r="X159" s="232"/>
      <c r="Y159" s="18"/>
      <c r="Z159" s="18"/>
      <c r="AA159" s="18"/>
    </row>
    <row r="160">
      <c r="A160" s="195" t="s">
        <v>64</v>
      </c>
      <c r="B160" s="224" t="s">
        <v>278</v>
      </c>
      <c r="C160" s="243"/>
      <c r="D160" s="237" t="s">
        <v>662</v>
      </c>
      <c r="E160" s="136" t="s">
        <v>53</v>
      </c>
      <c r="F160" s="158">
        <v>46094.0</v>
      </c>
      <c r="G160" s="158">
        <v>46094.0</v>
      </c>
      <c r="H160" s="203" t="s">
        <v>400</v>
      </c>
      <c r="I160" s="136" t="s">
        <v>161</v>
      </c>
      <c r="J160" s="215" t="s">
        <v>34</v>
      </c>
      <c r="K160" s="238"/>
      <c r="L160" s="215">
        <v>4.0</v>
      </c>
      <c r="M160" s="203">
        <v>0.0</v>
      </c>
      <c r="N160" s="238"/>
      <c r="O160" s="239"/>
      <c r="P160" s="160"/>
      <c r="Q160" s="239"/>
      <c r="R160" s="239"/>
      <c r="S160" s="238"/>
      <c r="T160" s="232"/>
      <c r="U160" s="232"/>
      <c r="V160" s="232"/>
      <c r="W160" s="232"/>
      <c r="X160" s="232"/>
      <c r="Y160" s="18"/>
      <c r="Z160" s="18"/>
      <c r="AA160" s="18"/>
    </row>
    <row r="161">
      <c r="A161" s="195" t="s">
        <v>22</v>
      </c>
      <c r="B161" s="254" t="s">
        <v>663</v>
      </c>
      <c r="C161" s="262" t="s">
        <v>664</v>
      </c>
      <c r="D161" s="237" t="s">
        <v>665</v>
      </c>
      <c r="E161" s="136" t="s">
        <v>53</v>
      </c>
      <c r="F161" s="158">
        <v>46098.0</v>
      </c>
      <c r="G161" s="158">
        <v>46098.0</v>
      </c>
      <c r="H161" s="203" t="s">
        <v>25</v>
      </c>
      <c r="I161" s="136" t="s">
        <v>161</v>
      </c>
      <c r="J161" s="215" t="s">
        <v>34</v>
      </c>
      <c r="K161" s="238"/>
      <c r="L161" s="281">
        <v>0.0</v>
      </c>
      <c r="M161" s="203">
        <v>0.0</v>
      </c>
      <c r="N161" s="238"/>
      <c r="O161" s="239"/>
      <c r="P161" s="160"/>
      <c r="Q161" s="239"/>
      <c r="R161" s="239"/>
      <c r="S161" s="238"/>
      <c r="T161" s="232"/>
      <c r="U161" s="232"/>
      <c r="V161" s="232"/>
      <c r="W161" s="232"/>
      <c r="X161" s="232"/>
      <c r="Y161" s="18"/>
      <c r="Z161" s="18"/>
      <c r="AA161" s="18"/>
    </row>
    <row r="162">
      <c r="A162" s="195" t="s">
        <v>22</v>
      </c>
      <c r="B162" s="254" t="s">
        <v>663</v>
      </c>
      <c r="C162" s="262" t="s">
        <v>666</v>
      </c>
      <c r="D162" s="212" t="s">
        <v>667</v>
      </c>
      <c r="E162" s="136" t="s">
        <v>53</v>
      </c>
      <c r="F162" s="158">
        <v>46098.0</v>
      </c>
      <c r="G162" s="158">
        <v>46098.0</v>
      </c>
      <c r="H162" s="203" t="s">
        <v>79</v>
      </c>
      <c r="I162" s="136" t="s">
        <v>161</v>
      </c>
      <c r="J162" s="215" t="s">
        <v>34</v>
      </c>
      <c r="K162" s="238"/>
      <c r="L162" s="281">
        <v>0.0</v>
      </c>
      <c r="M162" s="203">
        <v>0.0</v>
      </c>
      <c r="N162" s="238"/>
      <c r="O162" s="239"/>
      <c r="P162" s="160"/>
      <c r="Q162" s="239"/>
      <c r="R162" s="239"/>
      <c r="S162" s="238"/>
      <c r="T162" s="232"/>
      <c r="U162" s="232"/>
      <c r="V162" s="232"/>
      <c r="W162" s="232"/>
      <c r="X162" s="232"/>
      <c r="Y162" s="18"/>
      <c r="Z162" s="18"/>
      <c r="AA162" s="18"/>
    </row>
    <row r="163">
      <c r="A163" s="195" t="s">
        <v>22</v>
      </c>
      <c r="B163" s="224" t="s">
        <v>297</v>
      </c>
      <c r="C163" s="262" t="s">
        <v>668</v>
      </c>
      <c r="D163" s="262" t="s">
        <v>669</v>
      </c>
      <c r="E163" s="136" t="s">
        <v>53</v>
      </c>
      <c r="F163" s="158">
        <v>46098.0</v>
      </c>
      <c r="G163" s="158">
        <v>46098.0</v>
      </c>
      <c r="H163" s="203" t="s">
        <v>25</v>
      </c>
      <c r="I163" s="136" t="s">
        <v>161</v>
      </c>
      <c r="J163" s="215" t="s">
        <v>34</v>
      </c>
      <c r="K163" s="238"/>
      <c r="L163" s="281">
        <v>0.0</v>
      </c>
      <c r="M163" s="203">
        <v>0.0</v>
      </c>
      <c r="N163" s="238"/>
      <c r="O163" s="239"/>
      <c r="P163" s="160"/>
      <c r="Q163" s="239"/>
      <c r="R163" s="239"/>
      <c r="S163" s="238"/>
      <c r="T163" s="232"/>
      <c r="U163" s="232"/>
      <c r="V163" s="232"/>
      <c r="W163" s="258"/>
      <c r="X163" s="232"/>
      <c r="Y163" s="18"/>
      <c r="Z163" s="18"/>
      <c r="AA163" s="18"/>
    </row>
    <row r="164">
      <c r="A164" s="195" t="s">
        <v>655</v>
      </c>
      <c r="B164" s="224" t="s">
        <v>656</v>
      </c>
      <c r="C164" s="262"/>
      <c r="D164" s="219" t="s">
        <v>670</v>
      </c>
      <c r="E164" s="136" t="s">
        <v>53</v>
      </c>
      <c r="F164" s="158">
        <v>46097.0</v>
      </c>
      <c r="G164" s="158">
        <v>46097.0</v>
      </c>
      <c r="H164" s="203" t="s">
        <v>400</v>
      </c>
      <c r="I164" s="136" t="s">
        <v>161</v>
      </c>
      <c r="J164" s="215" t="s">
        <v>34</v>
      </c>
      <c r="K164" s="238"/>
      <c r="L164" s="215">
        <v>6.0</v>
      </c>
      <c r="M164" s="203">
        <v>0.0</v>
      </c>
      <c r="N164" s="238"/>
      <c r="O164" s="241" t="s">
        <v>671</v>
      </c>
      <c r="P164" s="160"/>
      <c r="Q164" s="239"/>
      <c r="R164" s="239"/>
      <c r="S164" s="238"/>
      <c r="T164" s="232"/>
      <c r="U164" s="232"/>
      <c r="V164" s="232"/>
      <c r="W164" s="232"/>
      <c r="X164" s="232"/>
      <c r="Y164" s="18"/>
      <c r="Z164" s="18"/>
      <c r="AA164" s="18"/>
    </row>
    <row r="165">
      <c r="A165" s="195" t="s">
        <v>672</v>
      </c>
      <c r="B165" s="224" t="s">
        <v>673</v>
      </c>
      <c r="C165" s="243"/>
      <c r="D165" s="229" t="s">
        <v>674</v>
      </c>
      <c r="E165" s="136" t="s">
        <v>24</v>
      </c>
      <c r="F165" s="158">
        <v>46099.0</v>
      </c>
      <c r="G165" s="158">
        <v>46099.0</v>
      </c>
      <c r="H165" s="203" t="s">
        <v>400</v>
      </c>
      <c r="I165" s="136" t="s">
        <v>161</v>
      </c>
      <c r="J165" s="136" t="s">
        <v>161</v>
      </c>
      <c r="K165" s="238"/>
      <c r="L165" s="281">
        <v>0.0</v>
      </c>
      <c r="M165" s="203">
        <v>0.0</v>
      </c>
      <c r="N165" s="238"/>
      <c r="O165" s="268"/>
      <c r="P165" s="160"/>
      <c r="Q165" s="239"/>
      <c r="R165" s="239"/>
      <c r="S165" s="238"/>
      <c r="T165" s="232"/>
      <c r="U165" s="232"/>
      <c r="V165" s="232"/>
      <c r="W165" s="232"/>
      <c r="X165" s="232"/>
      <c r="Y165" s="18"/>
      <c r="Z165" s="18"/>
      <c r="AA165" s="18"/>
    </row>
    <row r="166">
      <c r="A166" s="195" t="s">
        <v>22</v>
      </c>
      <c r="B166" s="224" t="s">
        <v>297</v>
      </c>
      <c r="C166" s="262" t="s">
        <v>675</v>
      </c>
      <c r="D166" s="237" t="s">
        <v>676</v>
      </c>
      <c r="E166" s="136" t="s">
        <v>53</v>
      </c>
      <c r="F166" s="158">
        <v>46099.0</v>
      </c>
      <c r="G166" s="158">
        <v>46099.0</v>
      </c>
      <c r="H166" s="203" t="s">
        <v>25</v>
      </c>
      <c r="I166" s="136" t="s">
        <v>161</v>
      </c>
      <c r="J166" s="215" t="s">
        <v>34</v>
      </c>
      <c r="K166" s="238"/>
      <c r="L166" s="281">
        <v>0.0</v>
      </c>
      <c r="M166" s="203">
        <v>0.0</v>
      </c>
      <c r="N166" s="238"/>
      <c r="O166" s="268"/>
      <c r="P166" s="160"/>
      <c r="Q166" s="239"/>
      <c r="R166" s="239"/>
      <c r="S166" s="238"/>
      <c r="T166" s="232"/>
      <c r="U166" s="232"/>
      <c r="V166" s="232"/>
      <c r="W166" s="258"/>
      <c r="X166" s="232"/>
      <c r="Y166" s="18"/>
      <c r="Z166" s="18"/>
      <c r="AA166" s="18"/>
    </row>
    <row r="167">
      <c r="A167" s="195" t="s">
        <v>22</v>
      </c>
      <c r="B167" s="224" t="s">
        <v>297</v>
      </c>
      <c r="C167" s="262" t="s">
        <v>677</v>
      </c>
      <c r="D167" s="237" t="s">
        <v>678</v>
      </c>
      <c r="E167" s="136" t="s">
        <v>53</v>
      </c>
      <c r="F167" s="158">
        <v>46100.0</v>
      </c>
      <c r="G167" s="158">
        <v>46100.0</v>
      </c>
      <c r="H167" s="203" t="s">
        <v>25</v>
      </c>
      <c r="I167" s="136" t="s">
        <v>161</v>
      </c>
      <c r="J167" s="215" t="s">
        <v>34</v>
      </c>
      <c r="K167" s="238"/>
      <c r="L167" s="281">
        <v>0.0</v>
      </c>
      <c r="M167" s="203">
        <v>0.0</v>
      </c>
      <c r="N167" s="238"/>
      <c r="O167" s="268"/>
      <c r="P167" s="156" t="s">
        <v>679</v>
      </c>
      <c r="Q167" s="239"/>
      <c r="R167" s="239"/>
      <c r="S167" s="238"/>
      <c r="T167" s="232"/>
      <c r="U167" s="232"/>
      <c r="V167" s="232"/>
      <c r="W167" s="258"/>
      <c r="X167" s="232"/>
      <c r="Y167" s="18"/>
      <c r="Z167" s="18"/>
      <c r="AA167" s="18"/>
    </row>
    <row r="168">
      <c r="A168" s="195" t="s">
        <v>22</v>
      </c>
      <c r="B168" s="224" t="s">
        <v>297</v>
      </c>
      <c r="C168" s="262" t="s">
        <v>680</v>
      </c>
      <c r="D168" s="263" t="s">
        <v>681</v>
      </c>
      <c r="E168" s="136" t="s">
        <v>53</v>
      </c>
      <c r="F168" s="158">
        <v>46100.0</v>
      </c>
      <c r="G168" s="158">
        <v>46100.0</v>
      </c>
      <c r="H168" s="203" t="s">
        <v>25</v>
      </c>
      <c r="I168" s="136" t="s">
        <v>161</v>
      </c>
      <c r="J168" s="215" t="s">
        <v>34</v>
      </c>
      <c r="K168" s="238"/>
      <c r="L168" s="281">
        <v>0.0</v>
      </c>
      <c r="M168" s="203">
        <v>0.0</v>
      </c>
      <c r="N168" s="238"/>
      <c r="O168" s="268"/>
      <c r="P168" s="160"/>
      <c r="Q168" s="239"/>
      <c r="R168" s="239"/>
      <c r="S168" s="238"/>
      <c r="T168" s="232"/>
      <c r="U168" s="232"/>
      <c r="V168" s="232"/>
      <c r="W168" s="258"/>
      <c r="X168" s="232"/>
      <c r="Y168" s="18"/>
      <c r="Z168" s="18"/>
      <c r="AA168" s="18"/>
    </row>
    <row r="169">
      <c r="A169" s="195" t="s">
        <v>166</v>
      </c>
      <c r="B169" s="224" t="s">
        <v>682</v>
      </c>
      <c r="C169" s="262" t="s">
        <v>683</v>
      </c>
      <c r="D169" s="230" t="s">
        <v>684</v>
      </c>
      <c r="E169" s="136" t="s">
        <v>53</v>
      </c>
      <c r="F169" s="158">
        <v>46101.0</v>
      </c>
      <c r="G169" s="158">
        <v>46101.0</v>
      </c>
      <c r="H169" s="203" t="s">
        <v>25</v>
      </c>
      <c r="I169" s="136" t="s">
        <v>161</v>
      </c>
      <c r="J169" s="215" t="s">
        <v>55</v>
      </c>
      <c r="K169" s="238"/>
      <c r="L169" s="281">
        <v>0.0</v>
      </c>
      <c r="M169" s="203">
        <v>0.0</v>
      </c>
      <c r="N169" s="238"/>
      <c r="O169" s="268"/>
      <c r="P169" s="160"/>
      <c r="Q169" s="239"/>
      <c r="R169" s="239"/>
      <c r="S169" s="238"/>
      <c r="T169" s="232"/>
      <c r="U169" s="232"/>
      <c r="V169" s="232"/>
      <c r="W169" s="232"/>
      <c r="X169" s="232"/>
      <c r="Y169" s="18"/>
      <c r="Z169" s="18"/>
      <c r="AA169" s="18"/>
    </row>
    <row r="170">
      <c r="A170" s="195" t="s">
        <v>166</v>
      </c>
      <c r="B170" s="224" t="s">
        <v>652</v>
      </c>
      <c r="C170" s="262" t="s">
        <v>685</v>
      </c>
      <c r="D170" s="230" t="s">
        <v>686</v>
      </c>
      <c r="E170" s="136" t="s">
        <v>53</v>
      </c>
      <c r="F170" s="158">
        <v>46101.0</v>
      </c>
      <c r="G170" s="158">
        <v>46101.0</v>
      </c>
      <c r="H170" s="203" t="s">
        <v>25</v>
      </c>
      <c r="I170" s="136" t="s">
        <v>161</v>
      </c>
      <c r="J170" s="215" t="s">
        <v>55</v>
      </c>
      <c r="K170" s="238"/>
      <c r="L170" s="215">
        <v>0.5</v>
      </c>
      <c r="M170" s="203">
        <v>0.0</v>
      </c>
      <c r="N170" s="238"/>
      <c r="O170" s="268"/>
      <c r="P170" s="160"/>
      <c r="Q170" s="239"/>
      <c r="R170" s="239"/>
      <c r="S170" s="238"/>
      <c r="T170" s="232"/>
      <c r="U170" s="232"/>
      <c r="V170" s="232"/>
      <c r="W170" s="232"/>
      <c r="X170" s="232"/>
      <c r="Y170" s="18"/>
      <c r="Z170" s="18"/>
      <c r="AA170" s="18"/>
    </row>
    <row r="171">
      <c r="A171" s="195" t="s">
        <v>22</v>
      </c>
      <c r="B171" s="254" t="s">
        <v>663</v>
      </c>
      <c r="C171" s="262" t="s">
        <v>687</v>
      </c>
      <c r="D171" s="212" t="s">
        <v>688</v>
      </c>
      <c r="E171" s="136" t="s">
        <v>53</v>
      </c>
      <c r="F171" s="158">
        <v>46101.0</v>
      </c>
      <c r="G171" s="158">
        <v>46101.0</v>
      </c>
      <c r="H171" s="203" t="s">
        <v>79</v>
      </c>
      <c r="I171" s="136" t="s">
        <v>161</v>
      </c>
      <c r="J171" s="215" t="s">
        <v>34</v>
      </c>
      <c r="K171" s="238"/>
      <c r="L171" s="281">
        <v>0.0</v>
      </c>
      <c r="M171" s="203">
        <v>0.0</v>
      </c>
      <c r="N171" s="238"/>
      <c r="O171" s="239"/>
      <c r="P171" s="160"/>
      <c r="Q171" s="241" t="s">
        <v>689</v>
      </c>
      <c r="R171" s="239"/>
      <c r="S171" s="238"/>
      <c r="T171" s="232"/>
      <c r="U171" s="232"/>
      <c r="V171" s="232"/>
      <c r="W171" s="232"/>
      <c r="X171" s="232"/>
      <c r="Y171" s="18"/>
      <c r="Z171" s="18"/>
      <c r="AA171" s="18"/>
    </row>
    <row r="172">
      <c r="A172" s="195" t="s">
        <v>22</v>
      </c>
      <c r="B172" s="224" t="s">
        <v>43</v>
      </c>
      <c r="C172" s="262" t="s">
        <v>690</v>
      </c>
      <c r="D172" s="257" t="s">
        <v>691</v>
      </c>
      <c r="E172" s="136" t="s">
        <v>53</v>
      </c>
      <c r="F172" s="158">
        <v>46104.0</v>
      </c>
      <c r="G172" s="158">
        <v>46105.0</v>
      </c>
      <c r="H172" s="203" t="s">
        <v>25</v>
      </c>
      <c r="I172" s="136" t="s">
        <v>161</v>
      </c>
      <c r="J172" s="215" t="s">
        <v>34</v>
      </c>
      <c r="K172" s="238"/>
      <c r="L172" s="281">
        <v>0.0</v>
      </c>
      <c r="M172" s="203">
        <v>0.0</v>
      </c>
      <c r="N172" s="238"/>
      <c r="O172" s="268"/>
      <c r="P172" s="160"/>
      <c r="Q172" s="239"/>
      <c r="R172" s="239"/>
      <c r="S172" s="238"/>
      <c r="T172" s="232"/>
      <c r="U172" s="232"/>
      <c r="V172" s="258"/>
      <c r="W172" s="258"/>
      <c r="X172" s="232"/>
      <c r="Y172" s="18"/>
      <c r="Z172" s="18"/>
      <c r="AA172" s="18"/>
    </row>
    <row r="173">
      <c r="A173" s="195" t="s">
        <v>22</v>
      </c>
      <c r="B173" s="224" t="s">
        <v>43</v>
      </c>
      <c r="C173" s="262" t="s">
        <v>692</v>
      </c>
      <c r="D173" s="257" t="s">
        <v>693</v>
      </c>
      <c r="E173" s="136" t="s">
        <v>53</v>
      </c>
      <c r="F173" s="158">
        <v>46104.0</v>
      </c>
      <c r="G173" s="158">
        <v>46105.0</v>
      </c>
      <c r="H173" s="203" t="s">
        <v>25</v>
      </c>
      <c r="I173" s="136" t="s">
        <v>161</v>
      </c>
      <c r="J173" s="215" t="s">
        <v>34</v>
      </c>
      <c r="K173" s="238"/>
      <c r="L173" s="281">
        <v>0.0</v>
      </c>
      <c r="M173" s="203">
        <v>0.0</v>
      </c>
      <c r="N173" s="238"/>
      <c r="O173" s="263" t="s">
        <v>694</v>
      </c>
      <c r="P173" s="160"/>
      <c r="Q173" s="239"/>
      <c r="R173" s="239"/>
      <c r="S173" s="238"/>
      <c r="T173" s="232"/>
      <c r="U173" s="232"/>
      <c r="V173" s="258"/>
      <c r="W173" s="258"/>
      <c r="X173" s="232"/>
      <c r="Y173" s="18"/>
      <c r="Z173" s="18"/>
      <c r="AA173" s="18"/>
    </row>
    <row r="174">
      <c r="A174" s="195" t="s">
        <v>22</v>
      </c>
      <c r="B174" s="224" t="s">
        <v>43</v>
      </c>
      <c r="C174" s="262" t="s">
        <v>695</v>
      </c>
      <c r="D174" s="255" t="s">
        <v>696</v>
      </c>
      <c r="E174" s="136" t="s">
        <v>53</v>
      </c>
      <c r="F174" s="158">
        <v>46104.0</v>
      </c>
      <c r="G174" s="158">
        <v>46105.0</v>
      </c>
      <c r="H174" s="203" t="s">
        <v>25</v>
      </c>
      <c r="I174" s="136" t="s">
        <v>161</v>
      </c>
      <c r="J174" s="215" t="s">
        <v>34</v>
      </c>
      <c r="K174" s="238"/>
      <c r="L174" s="281">
        <v>0.0</v>
      </c>
      <c r="M174" s="203">
        <v>0.0</v>
      </c>
      <c r="N174" s="238"/>
      <c r="O174" s="268"/>
      <c r="P174" s="160"/>
      <c r="Q174" s="239"/>
      <c r="R174" s="239"/>
      <c r="S174" s="238"/>
      <c r="T174" s="232"/>
      <c r="U174" s="232"/>
      <c r="V174" s="258"/>
      <c r="W174" s="258"/>
      <c r="X174" s="232"/>
      <c r="Y174" s="18"/>
      <c r="Z174" s="18"/>
      <c r="AA174" s="18"/>
    </row>
    <row r="175">
      <c r="A175" s="195" t="s">
        <v>22</v>
      </c>
      <c r="B175" s="224" t="s">
        <v>43</v>
      </c>
      <c r="C175" s="262" t="s">
        <v>697</v>
      </c>
      <c r="D175" s="257" t="s">
        <v>698</v>
      </c>
      <c r="E175" s="136" t="s">
        <v>53</v>
      </c>
      <c r="F175" s="158">
        <v>46104.0</v>
      </c>
      <c r="G175" s="158">
        <v>46104.0</v>
      </c>
      <c r="H175" s="203" t="s">
        <v>25</v>
      </c>
      <c r="I175" s="136" t="s">
        <v>161</v>
      </c>
      <c r="J175" s="215" t="s">
        <v>34</v>
      </c>
      <c r="K175" s="238"/>
      <c r="L175" s="281">
        <v>0.0</v>
      </c>
      <c r="M175" s="203">
        <v>0.0</v>
      </c>
      <c r="N175" s="238"/>
      <c r="O175" s="268"/>
      <c r="P175" s="160"/>
      <c r="Q175" s="239"/>
      <c r="R175" s="239"/>
      <c r="S175" s="238"/>
      <c r="T175" s="232"/>
      <c r="U175" s="232"/>
      <c r="V175" s="258"/>
      <c r="W175" s="258"/>
      <c r="X175" s="232"/>
      <c r="Y175" s="18"/>
      <c r="Z175" s="18"/>
      <c r="AA175" s="18"/>
    </row>
    <row r="176">
      <c r="A176" s="195" t="s">
        <v>22</v>
      </c>
      <c r="B176" s="224" t="s">
        <v>43</v>
      </c>
      <c r="C176" s="262" t="s">
        <v>699</v>
      </c>
      <c r="D176" s="257" t="s">
        <v>700</v>
      </c>
      <c r="E176" s="136" t="s">
        <v>53</v>
      </c>
      <c r="F176" s="158">
        <v>46104.0</v>
      </c>
      <c r="G176" s="158">
        <v>46104.0</v>
      </c>
      <c r="H176" s="203" t="s">
        <v>25</v>
      </c>
      <c r="I176" s="136" t="s">
        <v>161</v>
      </c>
      <c r="J176" s="215" t="s">
        <v>34</v>
      </c>
      <c r="K176" s="238"/>
      <c r="L176" s="281">
        <v>0.0</v>
      </c>
      <c r="M176" s="203">
        <v>0.0</v>
      </c>
      <c r="N176" s="238"/>
      <c r="O176" s="268"/>
      <c r="P176" s="160"/>
      <c r="Q176" s="239"/>
      <c r="R176" s="239"/>
      <c r="S176" s="238"/>
      <c r="T176" s="232"/>
      <c r="U176" s="232"/>
      <c r="V176" s="258"/>
      <c r="W176" s="258"/>
      <c r="X176" s="232"/>
      <c r="Y176" s="18"/>
      <c r="Z176" s="18"/>
      <c r="AA176" s="18"/>
    </row>
    <row r="177">
      <c r="A177" s="195" t="s">
        <v>22</v>
      </c>
      <c r="B177" s="224" t="s">
        <v>297</v>
      </c>
      <c r="C177" s="262" t="s">
        <v>701</v>
      </c>
      <c r="D177" s="257" t="s">
        <v>702</v>
      </c>
      <c r="E177" s="136" t="s">
        <v>53</v>
      </c>
      <c r="F177" s="158">
        <v>46104.0</v>
      </c>
      <c r="G177" s="158">
        <v>46104.0</v>
      </c>
      <c r="H177" s="203" t="s">
        <v>25</v>
      </c>
      <c r="I177" s="136" t="s">
        <v>161</v>
      </c>
      <c r="J177" s="215" t="s">
        <v>34</v>
      </c>
      <c r="K177" s="238"/>
      <c r="L177" s="281">
        <v>0.0</v>
      </c>
      <c r="M177" s="203">
        <v>0.0</v>
      </c>
      <c r="N177" s="238"/>
      <c r="O177" s="268"/>
      <c r="P177" s="160"/>
      <c r="Q177" s="239"/>
      <c r="R177" s="239"/>
      <c r="S177" s="238"/>
      <c r="T177" s="232"/>
      <c r="U177" s="232"/>
      <c r="V177" s="232"/>
      <c r="W177" s="258"/>
      <c r="X177" s="232"/>
      <c r="Y177" s="18"/>
      <c r="Z177" s="18"/>
      <c r="AA177" s="18"/>
    </row>
    <row r="178">
      <c r="A178" s="195" t="s">
        <v>703</v>
      </c>
      <c r="B178" s="224" t="s">
        <v>704</v>
      </c>
      <c r="C178" s="262" t="s">
        <v>677</v>
      </c>
      <c r="D178" s="257" t="s">
        <v>705</v>
      </c>
      <c r="E178" s="136" t="s">
        <v>53</v>
      </c>
      <c r="F178" s="158">
        <v>46099.0</v>
      </c>
      <c r="G178" s="158">
        <v>46099.0</v>
      </c>
      <c r="H178" s="203" t="s">
        <v>400</v>
      </c>
      <c r="I178" s="136" t="s">
        <v>161</v>
      </c>
      <c r="J178" s="215" t="s">
        <v>34</v>
      </c>
      <c r="K178" s="238"/>
      <c r="L178" s="215">
        <v>6.0</v>
      </c>
      <c r="M178" s="203">
        <v>0.0</v>
      </c>
      <c r="N178" s="238"/>
      <c r="O178" s="268"/>
      <c r="P178" s="160"/>
      <c r="Q178" s="239"/>
      <c r="R178" s="239"/>
      <c r="S178" s="238"/>
      <c r="T178" s="232"/>
      <c r="U178" s="232"/>
      <c r="V178" s="232"/>
      <c r="W178" s="232"/>
      <c r="X178" s="232"/>
      <c r="Y178" s="18"/>
      <c r="Z178" s="18"/>
      <c r="AA178" s="18"/>
    </row>
    <row r="179">
      <c r="A179" s="195" t="s">
        <v>703</v>
      </c>
      <c r="B179" s="224" t="s">
        <v>704</v>
      </c>
      <c r="C179" s="262" t="s">
        <v>680</v>
      </c>
      <c r="D179" s="255" t="s">
        <v>706</v>
      </c>
      <c r="E179" s="136" t="s">
        <v>53</v>
      </c>
      <c r="F179" s="158">
        <v>46100.0</v>
      </c>
      <c r="G179" s="158">
        <v>46100.0</v>
      </c>
      <c r="H179" s="203" t="s">
        <v>400</v>
      </c>
      <c r="I179" s="136" t="s">
        <v>161</v>
      </c>
      <c r="J179" s="215" t="s">
        <v>34</v>
      </c>
      <c r="K179" s="238"/>
      <c r="L179" s="215">
        <v>2.0</v>
      </c>
      <c r="M179" s="203">
        <v>0.0</v>
      </c>
      <c r="N179" s="238"/>
      <c r="O179" s="268"/>
      <c r="P179" s="160"/>
      <c r="Q179" s="239"/>
      <c r="R179" s="239"/>
      <c r="S179" s="238"/>
      <c r="T179" s="232"/>
      <c r="U179" s="232"/>
      <c r="V179" s="232"/>
      <c r="W179" s="232"/>
      <c r="X179" s="232"/>
      <c r="Y179" s="18"/>
      <c r="Z179" s="18"/>
      <c r="AA179" s="18"/>
    </row>
    <row r="180">
      <c r="A180" s="195" t="s">
        <v>22</v>
      </c>
      <c r="B180" s="224" t="s">
        <v>43</v>
      </c>
      <c r="C180" s="262" t="s">
        <v>707</v>
      </c>
      <c r="D180" s="285" t="s">
        <v>708</v>
      </c>
      <c r="E180" s="136" t="s">
        <v>53</v>
      </c>
      <c r="F180" s="158">
        <v>46106.0</v>
      </c>
      <c r="G180" s="158">
        <v>46106.0</v>
      </c>
      <c r="H180" s="203" t="s">
        <v>25</v>
      </c>
      <c r="I180" s="136" t="s">
        <v>161</v>
      </c>
      <c r="J180" s="215" t="s">
        <v>34</v>
      </c>
      <c r="K180" s="238"/>
      <c r="L180" s="281">
        <v>0.0</v>
      </c>
      <c r="M180" s="203">
        <v>0.0</v>
      </c>
      <c r="N180" s="238"/>
      <c r="O180" s="268"/>
      <c r="P180" s="160"/>
      <c r="Q180" s="239"/>
      <c r="R180" s="239"/>
      <c r="S180" s="238"/>
      <c r="T180" s="232"/>
      <c r="U180" s="232"/>
      <c r="V180" s="258"/>
      <c r="W180" s="258"/>
      <c r="X180" s="232"/>
      <c r="Y180" s="18"/>
      <c r="Z180" s="18"/>
      <c r="AA180" s="18"/>
    </row>
    <row r="181">
      <c r="A181" s="167"/>
      <c r="B181" s="224" t="s">
        <v>43</v>
      </c>
      <c r="C181" s="262" t="s">
        <v>709</v>
      </c>
      <c r="D181" s="285" t="s">
        <v>710</v>
      </c>
      <c r="E181" s="136" t="s">
        <v>53</v>
      </c>
      <c r="F181" s="158">
        <v>46106.0</v>
      </c>
      <c r="G181" s="158">
        <v>46106.0</v>
      </c>
      <c r="H181" s="203" t="s">
        <v>25</v>
      </c>
      <c r="I181" s="136" t="s">
        <v>161</v>
      </c>
      <c r="J181" s="215" t="s">
        <v>34</v>
      </c>
      <c r="K181" s="238"/>
      <c r="L181" s="281">
        <v>0.0</v>
      </c>
      <c r="M181" s="203">
        <v>0.0</v>
      </c>
      <c r="N181" s="238"/>
      <c r="O181" s="268"/>
      <c r="P181" s="160"/>
      <c r="Q181" s="239"/>
      <c r="R181" s="239"/>
      <c r="S181" s="238"/>
      <c r="T181" s="232"/>
      <c r="U181" s="232"/>
      <c r="V181" s="258"/>
      <c r="W181" s="258"/>
      <c r="X181" s="232"/>
      <c r="Y181" s="18"/>
      <c r="Z181" s="18"/>
      <c r="AA181" s="18"/>
    </row>
    <row r="182">
      <c r="A182" s="195" t="s">
        <v>22</v>
      </c>
      <c r="B182" s="224" t="s">
        <v>43</v>
      </c>
      <c r="C182" s="262" t="s">
        <v>711</v>
      </c>
      <c r="D182" s="286" t="s">
        <v>712</v>
      </c>
      <c r="E182" s="136" t="s">
        <v>53</v>
      </c>
      <c r="F182" s="158">
        <v>46106.0</v>
      </c>
      <c r="G182" s="158">
        <v>46106.0</v>
      </c>
      <c r="H182" s="203" t="s">
        <v>25</v>
      </c>
      <c r="I182" s="136" t="s">
        <v>161</v>
      </c>
      <c r="J182" s="215" t="s">
        <v>34</v>
      </c>
      <c r="K182" s="238"/>
      <c r="L182" s="281">
        <v>0.0</v>
      </c>
      <c r="M182" s="203">
        <v>0.0</v>
      </c>
      <c r="N182" s="238"/>
      <c r="O182" s="268"/>
      <c r="P182" s="160"/>
      <c r="Q182" s="239"/>
      <c r="R182" s="239"/>
      <c r="S182" s="238"/>
      <c r="T182" s="232"/>
      <c r="U182" s="232"/>
      <c r="V182" s="258"/>
      <c r="W182" s="258"/>
      <c r="X182" s="232"/>
      <c r="Y182" s="18"/>
      <c r="Z182" s="18"/>
      <c r="AA182" s="18"/>
    </row>
    <row r="183">
      <c r="A183" s="195" t="s">
        <v>64</v>
      </c>
      <c r="B183" s="224" t="s">
        <v>713</v>
      </c>
      <c r="C183" s="262" t="s">
        <v>714</v>
      </c>
      <c r="D183" s="229" t="s">
        <v>715</v>
      </c>
      <c r="E183" s="136" t="s">
        <v>53</v>
      </c>
      <c r="F183" s="158">
        <v>46107.0</v>
      </c>
      <c r="G183" s="158">
        <v>46107.0</v>
      </c>
      <c r="H183" s="203" t="s">
        <v>79</v>
      </c>
      <c r="I183" s="136" t="s">
        <v>161</v>
      </c>
      <c r="J183" s="215" t="s">
        <v>34</v>
      </c>
      <c r="K183" s="238"/>
      <c r="L183" s="281">
        <v>0.0</v>
      </c>
      <c r="M183" s="203">
        <v>0.0</v>
      </c>
      <c r="N183" s="238"/>
      <c r="O183" s="268"/>
      <c r="P183" s="160"/>
      <c r="Q183" s="239"/>
      <c r="R183" s="239"/>
      <c r="S183" s="238"/>
      <c r="T183" s="232"/>
      <c r="U183" s="232"/>
      <c r="V183" s="232"/>
      <c r="W183" s="232"/>
      <c r="X183" s="232"/>
      <c r="Y183" s="18"/>
      <c r="Z183" s="18"/>
      <c r="AA183" s="18"/>
    </row>
    <row r="184">
      <c r="A184" s="195" t="s">
        <v>140</v>
      </c>
      <c r="B184" s="224" t="s">
        <v>716</v>
      </c>
      <c r="C184" s="262" t="s">
        <v>717</v>
      </c>
      <c r="D184" s="287" t="s">
        <v>718</v>
      </c>
      <c r="E184" s="136" t="s">
        <v>53</v>
      </c>
      <c r="F184" s="158">
        <v>46107.0</v>
      </c>
      <c r="G184" s="158">
        <v>46107.0</v>
      </c>
      <c r="H184" s="203" t="s">
        <v>25</v>
      </c>
      <c r="I184" s="136" t="s">
        <v>161</v>
      </c>
      <c r="J184" s="136" t="s">
        <v>55</v>
      </c>
      <c r="K184" s="288"/>
      <c r="L184" s="281">
        <v>0.0</v>
      </c>
      <c r="M184" s="203">
        <v>0.0</v>
      </c>
      <c r="N184" s="206"/>
      <c r="O184" s="289"/>
      <c r="P184" s="160"/>
      <c r="Q184" s="290"/>
      <c r="R184" s="290"/>
      <c r="S184" s="206"/>
      <c r="T184" s="209"/>
      <c r="U184" s="209"/>
      <c r="V184" s="209"/>
      <c r="W184" s="209"/>
      <c r="X184" s="209"/>
      <c r="Y184" s="18"/>
      <c r="Z184" s="18"/>
      <c r="AA184" s="18"/>
    </row>
    <row r="185">
      <c r="A185" s="195" t="s">
        <v>22</v>
      </c>
      <c r="B185" s="224" t="s">
        <v>43</v>
      </c>
      <c r="C185" s="262" t="s">
        <v>719</v>
      </c>
      <c r="D185" s="287" t="s">
        <v>720</v>
      </c>
      <c r="E185" s="136" t="s">
        <v>53</v>
      </c>
      <c r="F185" s="158">
        <v>46107.0</v>
      </c>
      <c r="G185" s="158">
        <v>46107.0</v>
      </c>
      <c r="H185" s="203" t="s">
        <v>25</v>
      </c>
      <c r="I185" s="136" t="s">
        <v>161</v>
      </c>
      <c r="J185" s="136" t="s">
        <v>34</v>
      </c>
      <c r="K185" s="288"/>
      <c r="L185" s="281">
        <v>0.0</v>
      </c>
      <c r="M185" s="203">
        <v>0.0</v>
      </c>
      <c r="N185" s="206"/>
      <c r="O185" s="289"/>
      <c r="P185" s="160"/>
      <c r="Q185" s="290"/>
      <c r="R185" s="290"/>
      <c r="S185" s="206"/>
      <c r="T185" s="209"/>
      <c r="U185" s="209"/>
      <c r="V185" s="291"/>
      <c r="W185" s="291"/>
      <c r="X185" s="209"/>
      <c r="Y185" s="18"/>
      <c r="Z185" s="18"/>
      <c r="AA185" s="18"/>
    </row>
    <row r="186">
      <c r="A186" s="195" t="s">
        <v>22</v>
      </c>
      <c r="B186" s="224" t="s">
        <v>43</v>
      </c>
      <c r="C186" s="262" t="s">
        <v>721</v>
      </c>
      <c r="D186" s="287" t="s">
        <v>722</v>
      </c>
      <c r="E186" s="136" t="s">
        <v>53</v>
      </c>
      <c r="F186" s="158">
        <v>46107.0</v>
      </c>
      <c r="G186" s="158">
        <v>46107.0</v>
      </c>
      <c r="H186" s="203" t="s">
        <v>25</v>
      </c>
      <c r="I186" s="136" t="s">
        <v>161</v>
      </c>
      <c r="J186" s="136" t="s">
        <v>34</v>
      </c>
      <c r="K186" s="288"/>
      <c r="L186" s="281">
        <v>0.0</v>
      </c>
      <c r="M186" s="203">
        <v>0.0</v>
      </c>
      <c r="N186" s="206"/>
      <c r="O186" s="289"/>
      <c r="P186" s="160"/>
      <c r="Q186" s="290"/>
      <c r="R186" s="290"/>
      <c r="S186" s="206"/>
      <c r="T186" s="209"/>
      <c r="U186" s="209"/>
      <c r="V186" s="291"/>
      <c r="W186" s="291"/>
      <c r="X186" s="209"/>
      <c r="Y186" s="18"/>
      <c r="Z186" s="18"/>
      <c r="AA186" s="18"/>
    </row>
    <row r="187">
      <c r="A187" s="195" t="s">
        <v>119</v>
      </c>
      <c r="B187" s="224" t="s">
        <v>652</v>
      </c>
      <c r="C187" s="262" t="s">
        <v>723</v>
      </c>
      <c r="D187" s="229" t="s">
        <v>724</v>
      </c>
      <c r="E187" s="136" t="s">
        <v>53</v>
      </c>
      <c r="F187" s="158">
        <v>46108.0</v>
      </c>
      <c r="G187" s="158">
        <v>46108.0</v>
      </c>
      <c r="H187" s="203" t="s">
        <v>25</v>
      </c>
      <c r="I187" s="136" t="s">
        <v>161</v>
      </c>
      <c r="J187" s="136" t="s">
        <v>34</v>
      </c>
      <c r="K187" s="288"/>
      <c r="L187" s="281">
        <v>0.0</v>
      </c>
      <c r="M187" s="203">
        <v>0.0</v>
      </c>
      <c r="N187" s="206"/>
      <c r="O187" s="289"/>
      <c r="P187" s="160"/>
      <c r="Q187" s="290"/>
      <c r="R187" s="290"/>
      <c r="S187" s="206"/>
      <c r="T187" s="209"/>
      <c r="U187" s="209"/>
      <c r="V187" s="209"/>
      <c r="W187" s="209"/>
      <c r="X187" s="209"/>
      <c r="Y187" s="18"/>
      <c r="Z187" s="18"/>
      <c r="AA187" s="18"/>
    </row>
    <row r="188">
      <c r="A188" s="195" t="s">
        <v>119</v>
      </c>
      <c r="B188" s="224" t="s">
        <v>725</v>
      </c>
      <c r="C188" s="262" t="s">
        <v>726</v>
      </c>
      <c r="D188" s="229" t="s">
        <v>727</v>
      </c>
      <c r="E188" s="136" t="s">
        <v>53</v>
      </c>
      <c r="F188" s="158">
        <v>46108.0</v>
      </c>
      <c r="G188" s="158">
        <v>46108.0</v>
      </c>
      <c r="H188" s="203" t="s">
        <v>25</v>
      </c>
      <c r="I188" s="136" t="s">
        <v>161</v>
      </c>
      <c r="J188" s="136" t="s">
        <v>34</v>
      </c>
      <c r="K188" s="288"/>
      <c r="L188" s="281">
        <v>0.0</v>
      </c>
      <c r="M188" s="203">
        <v>0.0</v>
      </c>
      <c r="N188" s="206"/>
      <c r="O188" s="289"/>
      <c r="P188" s="160"/>
      <c r="Q188" s="290"/>
      <c r="R188" s="290"/>
      <c r="S188" s="206"/>
      <c r="T188" s="209"/>
      <c r="U188" s="209"/>
      <c r="V188" s="209"/>
      <c r="W188" s="209"/>
      <c r="X188" s="209"/>
      <c r="Y188" s="18"/>
      <c r="Z188" s="18"/>
      <c r="AA188" s="18"/>
    </row>
    <row r="189">
      <c r="A189" s="195" t="s">
        <v>22</v>
      </c>
      <c r="B189" s="224" t="s">
        <v>43</v>
      </c>
      <c r="C189" s="262" t="s">
        <v>728</v>
      </c>
      <c r="D189" s="287" t="s">
        <v>720</v>
      </c>
      <c r="E189" s="136" t="s">
        <v>53</v>
      </c>
      <c r="F189" s="158">
        <v>46108.0</v>
      </c>
      <c r="G189" s="158">
        <v>46108.0</v>
      </c>
      <c r="H189" s="203" t="s">
        <v>25</v>
      </c>
      <c r="I189" s="136" t="s">
        <v>161</v>
      </c>
      <c r="J189" s="136" t="s">
        <v>34</v>
      </c>
      <c r="K189" s="288"/>
      <c r="L189" s="281">
        <v>0.0</v>
      </c>
      <c r="M189" s="203">
        <v>0.0</v>
      </c>
      <c r="N189" s="206"/>
      <c r="O189" s="289"/>
      <c r="P189" s="160"/>
      <c r="Q189" s="290"/>
      <c r="R189" s="290"/>
      <c r="S189" s="206"/>
      <c r="T189" s="209"/>
      <c r="U189" s="209"/>
      <c r="V189" s="291"/>
      <c r="W189" s="291"/>
      <c r="X189" s="209"/>
      <c r="Y189" s="18"/>
      <c r="Z189" s="18"/>
      <c r="AA189" s="18"/>
    </row>
    <row r="190">
      <c r="A190" s="195" t="s">
        <v>119</v>
      </c>
      <c r="B190" s="224" t="s">
        <v>729</v>
      </c>
      <c r="C190" s="262" t="s">
        <v>730</v>
      </c>
      <c r="D190" s="287" t="s">
        <v>731</v>
      </c>
      <c r="E190" s="136" t="s">
        <v>53</v>
      </c>
      <c r="F190" s="158">
        <v>46108.0</v>
      </c>
      <c r="G190" s="158">
        <v>46108.0</v>
      </c>
      <c r="H190" s="203" t="s">
        <v>25</v>
      </c>
      <c r="I190" s="136" t="s">
        <v>161</v>
      </c>
      <c r="J190" s="136" t="s">
        <v>34</v>
      </c>
      <c r="K190" s="288"/>
      <c r="L190" s="281">
        <v>0.0</v>
      </c>
      <c r="M190" s="203">
        <v>0.0</v>
      </c>
      <c r="N190" s="206"/>
      <c r="O190" s="289"/>
      <c r="P190" s="160"/>
      <c r="Q190" s="290"/>
      <c r="R190" s="290"/>
      <c r="S190" s="206"/>
      <c r="T190" s="209"/>
      <c r="U190" s="209"/>
      <c r="V190" s="209"/>
      <c r="W190" s="209"/>
      <c r="X190" s="209"/>
      <c r="Y190" s="18"/>
      <c r="Z190" s="18"/>
      <c r="AA190" s="18"/>
    </row>
    <row r="191">
      <c r="A191" s="195" t="s">
        <v>119</v>
      </c>
      <c r="B191" s="224" t="s">
        <v>729</v>
      </c>
      <c r="C191" s="262" t="s">
        <v>732</v>
      </c>
      <c r="D191" s="287" t="s">
        <v>733</v>
      </c>
      <c r="E191" s="136" t="s">
        <v>53</v>
      </c>
      <c r="F191" s="158">
        <v>46108.0</v>
      </c>
      <c r="G191" s="158">
        <v>46108.0</v>
      </c>
      <c r="H191" s="203" t="s">
        <v>25</v>
      </c>
      <c r="I191" s="136" t="s">
        <v>161</v>
      </c>
      <c r="J191" s="136" t="s">
        <v>34</v>
      </c>
      <c r="K191" s="288"/>
      <c r="L191" s="281">
        <v>0.0</v>
      </c>
      <c r="M191" s="203">
        <v>0.0</v>
      </c>
      <c r="N191" s="206"/>
      <c r="O191" s="289"/>
      <c r="P191" s="160"/>
      <c r="Q191" s="290"/>
      <c r="R191" s="290"/>
      <c r="S191" s="206"/>
      <c r="T191" s="209"/>
      <c r="U191" s="209"/>
      <c r="V191" s="209"/>
      <c r="W191" s="209"/>
      <c r="X191" s="209"/>
      <c r="Y191" s="18"/>
      <c r="Z191" s="18"/>
      <c r="AA191" s="18"/>
    </row>
    <row r="192">
      <c r="A192" s="195" t="s">
        <v>119</v>
      </c>
      <c r="B192" s="224" t="s">
        <v>729</v>
      </c>
      <c r="C192" s="262" t="s">
        <v>734</v>
      </c>
      <c r="D192" s="229" t="s">
        <v>735</v>
      </c>
      <c r="E192" s="136" t="s">
        <v>53</v>
      </c>
      <c r="F192" s="233">
        <v>46111.0</v>
      </c>
      <c r="G192" s="233">
        <v>46111.0</v>
      </c>
      <c r="H192" s="203" t="s">
        <v>25</v>
      </c>
      <c r="I192" s="136" t="s">
        <v>161</v>
      </c>
      <c r="J192" s="136" t="s">
        <v>34</v>
      </c>
      <c r="K192" s="288"/>
      <c r="L192" s="281">
        <v>0.0</v>
      </c>
      <c r="M192" s="203">
        <v>0.0</v>
      </c>
      <c r="N192" s="206"/>
      <c r="O192" s="289"/>
      <c r="P192" s="160"/>
      <c r="Q192" s="290"/>
      <c r="R192" s="290"/>
      <c r="S192" s="206"/>
      <c r="T192" s="209"/>
      <c r="U192" s="209"/>
      <c r="V192" s="209"/>
      <c r="W192" s="209"/>
      <c r="X192" s="209"/>
      <c r="Y192" s="18"/>
      <c r="Z192" s="18"/>
      <c r="AA192" s="18"/>
    </row>
    <row r="193">
      <c r="A193" s="195" t="s">
        <v>119</v>
      </c>
      <c r="B193" s="224" t="s">
        <v>729</v>
      </c>
      <c r="C193" s="262" t="s">
        <v>736</v>
      </c>
      <c r="D193" s="229" t="s">
        <v>737</v>
      </c>
      <c r="E193" s="136" t="s">
        <v>53</v>
      </c>
      <c r="F193" s="233">
        <v>46111.0</v>
      </c>
      <c r="G193" s="233">
        <v>46111.0</v>
      </c>
      <c r="H193" s="203" t="s">
        <v>25</v>
      </c>
      <c r="I193" s="136" t="s">
        <v>161</v>
      </c>
      <c r="J193" s="136" t="s">
        <v>34</v>
      </c>
      <c r="K193" s="288"/>
      <c r="L193" s="281">
        <v>0.0</v>
      </c>
      <c r="M193" s="203">
        <v>0.0</v>
      </c>
      <c r="N193" s="206"/>
      <c r="O193" s="289"/>
      <c r="P193" s="160"/>
      <c r="Q193" s="290"/>
      <c r="R193" s="290"/>
      <c r="S193" s="206"/>
      <c r="T193" s="209"/>
      <c r="U193" s="209"/>
      <c r="V193" s="209"/>
      <c r="W193" s="209"/>
      <c r="X193" s="209"/>
      <c r="Y193" s="18"/>
      <c r="Z193" s="18"/>
      <c r="AA193" s="18"/>
    </row>
    <row r="194">
      <c r="A194" s="195" t="s">
        <v>119</v>
      </c>
      <c r="B194" s="224" t="s">
        <v>729</v>
      </c>
      <c r="C194" s="262" t="s">
        <v>738</v>
      </c>
      <c r="D194" s="287" t="s">
        <v>739</v>
      </c>
      <c r="E194" s="136" t="s">
        <v>53</v>
      </c>
      <c r="F194" s="233">
        <v>46112.0</v>
      </c>
      <c r="G194" s="233">
        <v>46112.0</v>
      </c>
      <c r="H194" s="203" t="s">
        <v>25</v>
      </c>
      <c r="I194" s="136" t="s">
        <v>161</v>
      </c>
      <c r="J194" s="136" t="s">
        <v>34</v>
      </c>
      <c r="K194" s="288"/>
      <c r="L194" s="281">
        <v>0.0</v>
      </c>
      <c r="M194" s="203">
        <v>0.0</v>
      </c>
      <c r="N194" s="206"/>
      <c r="O194" s="289"/>
      <c r="P194" s="160"/>
      <c r="Q194" s="290"/>
      <c r="R194" s="290"/>
      <c r="S194" s="206"/>
      <c r="T194" s="209"/>
      <c r="U194" s="209"/>
      <c r="V194" s="209"/>
      <c r="W194" s="209"/>
      <c r="X194" s="209"/>
      <c r="Y194" s="18"/>
      <c r="Z194" s="18"/>
      <c r="AA194" s="18"/>
    </row>
    <row r="195">
      <c r="A195" s="195" t="s">
        <v>119</v>
      </c>
      <c r="B195" s="224" t="s">
        <v>729</v>
      </c>
      <c r="C195" s="262" t="s">
        <v>740</v>
      </c>
      <c r="D195" s="287" t="s">
        <v>741</v>
      </c>
      <c r="E195" s="136" t="s">
        <v>53</v>
      </c>
      <c r="F195" s="233">
        <v>46112.0</v>
      </c>
      <c r="G195" s="233">
        <v>46112.0</v>
      </c>
      <c r="H195" s="203" t="s">
        <v>25</v>
      </c>
      <c r="I195" s="136" t="s">
        <v>161</v>
      </c>
      <c r="J195" s="136" t="s">
        <v>34</v>
      </c>
      <c r="K195" s="288"/>
      <c r="L195" s="281">
        <v>0.0</v>
      </c>
      <c r="M195" s="203">
        <v>0.0</v>
      </c>
      <c r="N195" s="206"/>
      <c r="O195" s="289"/>
      <c r="P195" s="160"/>
      <c r="Q195" s="290"/>
      <c r="R195" s="290"/>
      <c r="S195" s="206"/>
      <c r="T195" s="209"/>
      <c r="U195" s="209"/>
      <c r="V195" s="209"/>
      <c r="W195" s="209"/>
      <c r="X195" s="209"/>
      <c r="Y195" s="18"/>
      <c r="Z195" s="18"/>
      <c r="AA195" s="18"/>
    </row>
    <row r="196">
      <c r="A196" s="195" t="s">
        <v>119</v>
      </c>
      <c r="B196" s="224" t="s">
        <v>742</v>
      </c>
      <c r="C196" s="262" t="s">
        <v>743</v>
      </c>
      <c r="D196" s="287" t="s">
        <v>744</v>
      </c>
      <c r="E196" s="136" t="s">
        <v>53</v>
      </c>
      <c r="F196" s="233">
        <v>46112.0</v>
      </c>
      <c r="G196" s="233">
        <v>46112.0</v>
      </c>
      <c r="H196" s="203" t="s">
        <v>25</v>
      </c>
      <c r="I196" s="136" t="s">
        <v>161</v>
      </c>
      <c r="J196" s="136" t="s">
        <v>34</v>
      </c>
      <c r="K196" s="288"/>
      <c r="L196" s="281">
        <v>0.0</v>
      </c>
      <c r="M196" s="203">
        <v>0.0</v>
      </c>
      <c r="N196" s="206"/>
      <c r="O196" s="289"/>
      <c r="P196" s="160"/>
      <c r="Q196" s="290"/>
      <c r="R196" s="290"/>
      <c r="S196" s="206"/>
      <c r="T196" s="209"/>
      <c r="U196" s="209"/>
      <c r="V196" s="209"/>
      <c r="W196" s="209"/>
      <c r="X196" s="209"/>
      <c r="Y196" s="18"/>
      <c r="Z196" s="18"/>
      <c r="AA196" s="18"/>
    </row>
    <row r="197">
      <c r="A197" s="195" t="s">
        <v>64</v>
      </c>
      <c r="B197" s="236" t="s">
        <v>266</v>
      </c>
      <c r="C197" s="206"/>
      <c r="D197" s="219" t="s">
        <v>745</v>
      </c>
      <c r="E197" s="136" t="s">
        <v>53</v>
      </c>
      <c r="F197" s="233">
        <v>46112.0</v>
      </c>
      <c r="G197" s="233">
        <v>46112.0</v>
      </c>
      <c r="H197" s="223" t="s">
        <v>400</v>
      </c>
      <c r="I197" s="136" t="s">
        <v>161</v>
      </c>
      <c r="J197" s="136" t="s">
        <v>34</v>
      </c>
      <c r="K197" s="227"/>
      <c r="L197" s="223">
        <v>1.0</v>
      </c>
      <c r="M197" s="203">
        <v>1.0</v>
      </c>
      <c r="N197" s="206"/>
      <c r="O197" s="206"/>
      <c r="P197" s="160"/>
      <c r="Q197" s="206"/>
      <c r="R197" s="206"/>
      <c r="S197" s="206"/>
      <c r="T197" s="209"/>
      <c r="U197" s="209"/>
      <c r="V197" s="209"/>
      <c r="W197" s="209"/>
      <c r="X197" s="209"/>
      <c r="Y197" s="18"/>
      <c r="Z197" s="18"/>
      <c r="AA197" s="18"/>
    </row>
    <row r="198">
      <c r="A198" s="195" t="s">
        <v>119</v>
      </c>
      <c r="B198" s="224" t="s">
        <v>725</v>
      </c>
      <c r="C198" s="262" t="s">
        <v>746</v>
      </c>
      <c r="D198" s="229" t="s">
        <v>747</v>
      </c>
      <c r="E198" s="136" t="s">
        <v>53</v>
      </c>
      <c r="F198" s="233">
        <v>46113.0</v>
      </c>
      <c r="G198" s="233">
        <v>46113.0</v>
      </c>
      <c r="H198" s="223" t="s">
        <v>25</v>
      </c>
      <c r="I198" s="136" t="s">
        <v>161</v>
      </c>
      <c r="J198" s="136" t="s">
        <v>27</v>
      </c>
      <c r="K198" s="227"/>
      <c r="L198" s="281">
        <v>0.0</v>
      </c>
      <c r="M198" s="203">
        <v>0.0</v>
      </c>
      <c r="N198" s="230"/>
      <c r="O198" s="230"/>
      <c r="P198" s="160"/>
      <c r="Q198" s="230"/>
      <c r="R198" s="230"/>
      <c r="S198" s="230"/>
      <c r="T198" s="18"/>
      <c r="U198" s="18"/>
      <c r="V198" s="18"/>
      <c r="W198" s="18"/>
      <c r="X198" s="18"/>
      <c r="Y198" s="18"/>
      <c r="Z198" s="18"/>
      <c r="AA198" s="18"/>
    </row>
    <row r="199">
      <c r="A199" s="195" t="s">
        <v>119</v>
      </c>
      <c r="B199" s="228" t="s">
        <v>288</v>
      </c>
      <c r="C199" s="230"/>
      <c r="D199" s="292" t="s">
        <v>748</v>
      </c>
      <c r="E199" s="136" t="s">
        <v>53</v>
      </c>
      <c r="F199" s="233">
        <v>46114.0</v>
      </c>
      <c r="G199" s="233">
        <v>46114.0</v>
      </c>
      <c r="H199" s="223" t="s">
        <v>79</v>
      </c>
      <c r="I199" s="136" t="s">
        <v>161</v>
      </c>
      <c r="J199" s="136" t="s">
        <v>34</v>
      </c>
      <c r="K199" s="230"/>
      <c r="L199" s="281">
        <v>0.0</v>
      </c>
      <c r="M199" s="203">
        <v>0.0</v>
      </c>
      <c r="N199" s="230"/>
      <c r="O199" s="230"/>
      <c r="P199" s="160"/>
      <c r="Q199" s="230"/>
      <c r="R199" s="230"/>
      <c r="S199" s="230"/>
      <c r="T199" s="18"/>
      <c r="U199" s="18"/>
      <c r="V199" s="18"/>
      <c r="W199" s="20"/>
      <c r="X199" s="18"/>
      <c r="Y199" s="18"/>
      <c r="Z199" s="18"/>
      <c r="AA199" s="18"/>
    </row>
    <row r="200">
      <c r="A200" s="195" t="s">
        <v>64</v>
      </c>
      <c r="B200" s="293" t="s">
        <v>92</v>
      </c>
      <c r="C200" s="230"/>
      <c r="D200" s="292" t="s">
        <v>749</v>
      </c>
      <c r="E200" s="136" t="s">
        <v>53</v>
      </c>
      <c r="F200" s="233">
        <v>46114.0</v>
      </c>
      <c r="G200" s="233"/>
      <c r="H200" s="223" t="s">
        <v>79</v>
      </c>
      <c r="I200" s="136" t="s">
        <v>750</v>
      </c>
      <c r="J200" s="136" t="s">
        <v>55</v>
      </c>
      <c r="K200" s="230"/>
      <c r="L200" s="281">
        <v>0.0</v>
      </c>
      <c r="M200" s="203">
        <v>0.0</v>
      </c>
      <c r="N200" s="230"/>
      <c r="O200" s="230"/>
      <c r="P200" s="156" t="s">
        <v>751</v>
      </c>
      <c r="Q200" s="230"/>
      <c r="R200" s="230"/>
      <c r="S200" s="230"/>
      <c r="T200" s="18"/>
      <c r="U200" s="18"/>
      <c r="V200" s="20"/>
      <c r="W200" s="20"/>
      <c r="X200" s="20"/>
      <c r="Y200" s="18"/>
      <c r="Z200" s="18"/>
      <c r="AA200" s="18"/>
    </row>
    <row r="201">
      <c r="A201" s="195" t="s">
        <v>119</v>
      </c>
      <c r="B201" s="228" t="s">
        <v>292</v>
      </c>
      <c r="C201" s="262" t="s">
        <v>752</v>
      </c>
      <c r="D201" s="229" t="s">
        <v>753</v>
      </c>
      <c r="E201" s="136" t="s">
        <v>53</v>
      </c>
      <c r="F201" s="233">
        <v>46114.0</v>
      </c>
      <c r="G201" s="233">
        <v>46114.0</v>
      </c>
      <c r="H201" s="223" t="s">
        <v>25</v>
      </c>
      <c r="I201" s="136" t="s">
        <v>161</v>
      </c>
      <c r="J201" s="136" t="s">
        <v>55</v>
      </c>
      <c r="K201" s="230"/>
      <c r="L201" s="281">
        <v>0.0</v>
      </c>
      <c r="M201" s="203">
        <v>0.0</v>
      </c>
      <c r="N201" s="230"/>
      <c r="O201" s="230"/>
      <c r="P201" s="156" t="s">
        <v>308</v>
      </c>
      <c r="Q201" s="230"/>
      <c r="R201" s="230"/>
      <c r="S201" s="230"/>
      <c r="T201" s="18"/>
      <c r="U201" s="18"/>
      <c r="V201" s="18"/>
      <c r="W201" s="20"/>
      <c r="X201" s="18"/>
      <c r="Y201" s="18"/>
      <c r="Z201" s="18"/>
      <c r="AA201" s="18"/>
    </row>
    <row r="202">
      <c r="A202" s="195" t="s">
        <v>119</v>
      </c>
      <c r="B202" s="224" t="s">
        <v>250</v>
      </c>
      <c r="C202" s="262" t="s">
        <v>754</v>
      </c>
      <c r="D202" s="229" t="s">
        <v>755</v>
      </c>
      <c r="E202" s="136" t="s">
        <v>53</v>
      </c>
      <c r="F202" s="233">
        <v>46114.0</v>
      </c>
      <c r="G202" s="233">
        <v>46115.0</v>
      </c>
      <c r="H202" s="223" t="s">
        <v>25</v>
      </c>
      <c r="I202" s="136" t="s">
        <v>161</v>
      </c>
      <c r="J202" s="136" t="s">
        <v>34</v>
      </c>
      <c r="K202" s="230"/>
      <c r="L202" s="281">
        <v>12.0</v>
      </c>
      <c r="M202" s="203">
        <v>0.0</v>
      </c>
      <c r="N202" s="230"/>
      <c r="O202" s="230"/>
      <c r="P202" s="160"/>
      <c r="Q202" s="230"/>
      <c r="R202" s="230"/>
      <c r="S202" s="230"/>
      <c r="T202" s="18"/>
      <c r="U202" s="18"/>
      <c r="V202" s="18"/>
      <c r="W202" s="18"/>
      <c r="X202" s="18"/>
      <c r="Y202" s="18"/>
      <c r="Z202" s="18"/>
      <c r="AA202" s="18"/>
    </row>
    <row r="203">
      <c r="A203" s="195" t="s">
        <v>119</v>
      </c>
      <c r="B203" s="236" t="s">
        <v>307</v>
      </c>
      <c r="C203" s="230"/>
      <c r="D203" s="229" t="s">
        <v>756</v>
      </c>
      <c r="E203" s="136" t="s">
        <v>53</v>
      </c>
      <c r="F203" s="233">
        <v>46114.0</v>
      </c>
      <c r="G203" s="233">
        <v>46119.0</v>
      </c>
      <c r="H203" s="223" t="s">
        <v>79</v>
      </c>
      <c r="I203" s="136" t="s">
        <v>757</v>
      </c>
      <c r="J203" s="136" t="s">
        <v>27</v>
      </c>
      <c r="K203" s="230"/>
      <c r="L203" s="281">
        <v>0.0</v>
      </c>
      <c r="M203" s="203">
        <v>0.0</v>
      </c>
      <c r="N203" s="230"/>
      <c r="O203" s="230"/>
      <c r="P203" s="156" t="s">
        <v>308</v>
      </c>
      <c r="Q203" s="294" t="s">
        <v>758</v>
      </c>
      <c r="R203" s="230"/>
      <c r="S203" s="230"/>
      <c r="T203" s="18"/>
      <c r="U203" s="18"/>
      <c r="V203" s="18"/>
      <c r="W203" s="18"/>
      <c r="X203" s="18"/>
      <c r="Y203" s="18"/>
      <c r="Z203" s="18"/>
      <c r="AA203" s="18"/>
    </row>
    <row r="204">
      <c r="A204" s="195" t="s">
        <v>119</v>
      </c>
      <c r="B204" s="236" t="s">
        <v>307</v>
      </c>
      <c r="C204" s="230"/>
      <c r="D204" s="229" t="s">
        <v>759</v>
      </c>
      <c r="E204" s="136" t="s">
        <v>53</v>
      </c>
      <c r="F204" s="233">
        <v>46114.0</v>
      </c>
      <c r="G204" s="233">
        <v>46119.0</v>
      </c>
      <c r="H204" s="223" t="s">
        <v>79</v>
      </c>
      <c r="I204" s="136" t="s">
        <v>757</v>
      </c>
      <c r="J204" s="136" t="s">
        <v>27</v>
      </c>
      <c r="K204" s="230"/>
      <c r="L204" s="281">
        <v>0.0</v>
      </c>
      <c r="M204" s="203">
        <v>0.0</v>
      </c>
      <c r="N204" s="230"/>
      <c r="O204" s="230"/>
      <c r="P204" s="156" t="s">
        <v>308</v>
      </c>
      <c r="Q204" s="294" t="s">
        <v>760</v>
      </c>
      <c r="R204" s="230"/>
      <c r="S204" s="230"/>
      <c r="T204" s="18"/>
      <c r="U204" s="18"/>
      <c r="V204" s="18"/>
      <c r="W204" s="18"/>
      <c r="X204" s="18"/>
      <c r="Y204" s="18"/>
      <c r="Z204" s="18"/>
      <c r="AA204" s="18"/>
    </row>
    <row r="205">
      <c r="A205" s="195" t="s">
        <v>119</v>
      </c>
      <c r="B205" s="236" t="s">
        <v>307</v>
      </c>
      <c r="C205" s="230"/>
      <c r="D205" s="295" t="s">
        <v>761</v>
      </c>
      <c r="E205" s="136" t="s">
        <v>53</v>
      </c>
      <c r="F205" s="233">
        <v>46118.0</v>
      </c>
      <c r="G205" s="233">
        <v>46118.0</v>
      </c>
      <c r="H205" s="223" t="s">
        <v>79</v>
      </c>
      <c r="I205" s="136" t="s">
        <v>757</v>
      </c>
      <c r="J205" s="136" t="s">
        <v>27</v>
      </c>
      <c r="K205" s="230"/>
      <c r="L205" s="281">
        <v>0.0</v>
      </c>
      <c r="M205" s="203">
        <v>0.0</v>
      </c>
      <c r="N205" s="230"/>
      <c r="O205" s="294" t="s">
        <v>762</v>
      </c>
      <c r="P205" s="156" t="s">
        <v>308</v>
      </c>
      <c r="Q205" s="294" t="s">
        <v>763</v>
      </c>
      <c r="R205" s="230"/>
      <c r="S205" s="230"/>
      <c r="T205" s="18"/>
      <c r="U205" s="18"/>
      <c r="V205" s="18"/>
      <c r="W205" s="18"/>
      <c r="X205" s="18"/>
      <c r="Y205" s="18"/>
      <c r="Z205" s="18"/>
      <c r="AA205" s="18"/>
    </row>
    <row r="206">
      <c r="A206" s="195" t="s">
        <v>119</v>
      </c>
      <c r="B206" s="224" t="s">
        <v>250</v>
      </c>
      <c r="C206" s="262" t="s">
        <v>764</v>
      </c>
      <c r="D206" s="230" t="s">
        <v>765</v>
      </c>
      <c r="E206" s="136" t="s">
        <v>53</v>
      </c>
      <c r="F206" s="233">
        <v>46118.0</v>
      </c>
      <c r="G206" s="233">
        <v>46118.0</v>
      </c>
      <c r="H206" s="223" t="s">
        <v>25</v>
      </c>
      <c r="I206" s="136" t="s">
        <v>161</v>
      </c>
      <c r="J206" s="136" t="s">
        <v>34</v>
      </c>
      <c r="K206" s="230"/>
      <c r="L206" s="281">
        <v>0.0</v>
      </c>
      <c r="M206" s="203">
        <v>0.0</v>
      </c>
      <c r="N206" s="230"/>
      <c r="O206" s="230"/>
      <c r="P206" s="160"/>
      <c r="Q206" s="230"/>
      <c r="R206" s="230"/>
      <c r="S206" s="230"/>
      <c r="T206" s="18"/>
      <c r="U206" s="18"/>
      <c r="V206" s="18"/>
      <c r="W206" s="18"/>
      <c r="X206" s="18"/>
      <c r="Y206" s="18"/>
      <c r="Z206" s="18"/>
      <c r="AA206" s="18"/>
    </row>
    <row r="207">
      <c r="A207" s="195" t="s">
        <v>22</v>
      </c>
      <c r="B207" s="293" t="s">
        <v>301</v>
      </c>
      <c r="C207" s="262" t="s">
        <v>766</v>
      </c>
      <c r="D207" s="230" t="s">
        <v>767</v>
      </c>
      <c r="E207" s="136" t="s">
        <v>53</v>
      </c>
      <c r="F207" s="233">
        <v>46118.0</v>
      </c>
      <c r="G207" s="233">
        <v>46118.0</v>
      </c>
      <c r="H207" s="223" t="s">
        <v>25</v>
      </c>
      <c r="I207" s="136" t="s">
        <v>161</v>
      </c>
      <c r="J207" s="136" t="s">
        <v>55</v>
      </c>
      <c r="K207" s="230"/>
      <c r="L207" s="281">
        <v>4.0</v>
      </c>
      <c r="M207" s="203">
        <v>0.0</v>
      </c>
      <c r="N207" s="230"/>
      <c r="O207" s="230"/>
      <c r="P207" s="160"/>
      <c r="Q207" s="230"/>
      <c r="R207" s="230"/>
      <c r="S207" s="230"/>
      <c r="T207" s="18"/>
      <c r="U207" s="18"/>
      <c r="V207" s="18"/>
      <c r="W207" s="20"/>
      <c r="X207" s="18"/>
      <c r="Y207" s="18"/>
      <c r="Z207" s="18"/>
      <c r="AA207" s="18"/>
    </row>
    <row r="208">
      <c r="A208" s="195" t="s">
        <v>22</v>
      </c>
      <c r="B208" s="293" t="s">
        <v>301</v>
      </c>
      <c r="C208" s="262" t="s">
        <v>768</v>
      </c>
      <c r="D208" s="229" t="s">
        <v>769</v>
      </c>
      <c r="E208" s="136" t="s">
        <v>53</v>
      </c>
      <c r="F208" s="233">
        <v>46118.0</v>
      </c>
      <c r="G208" s="233">
        <v>46118.0</v>
      </c>
      <c r="H208" s="223" t="s">
        <v>25</v>
      </c>
      <c r="I208" s="136" t="s">
        <v>161</v>
      </c>
      <c r="J208" s="136" t="s">
        <v>55</v>
      </c>
      <c r="K208" s="230"/>
      <c r="L208" s="281">
        <v>5.0</v>
      </c>
      <c r="M208" s="203">
        <v>0.0</v>
      </c>
      <c r="N208" s="230"/>
      <c r="O208" s="230"/>
      <c r="P208" s="160"/>
      <c r="Q208" s="230"/>
      <c r="R208" s="230"/>
      <c r="S208" s="230"/>
      <c r="T208" s="18"/>
      <c r="U208" s="18"/>
      <c r="V208" s="18"/>
      <c r="W208" s="20"/>
      <c r="X208" s="18"/>
      <c r="Y208" s="18"/>
      <c r="Z208" s="18"/>
      <c r="AA208" s="18"/>
    </row>
    <row r="209">
      <c r="A209" s="195" t="s">
        <v>64</v>
      </c>
      <c r="B209" s="293" t="s">
        <v>770</v>
      </c>
      <c r="C209" s="142"/>
      <c r="D209" s="144" t="s">
        <v>771</v>
      </c>
      <c r="E209" s="136" t="s">
        <v>53</v>
      </c>
      <c r="F209" s="134">
        <v>46118.0</v>
      </c>
      <c r="G209" s="134">
        <v>46118.0</v>
      </c>
      <c r="H209" s="140"/>
      <c r="I209" s="136" t="s">
        <v>161</v>
      </c>
      <c r="J209" s="296" t="s">
        <v>34</v>
      </c>
      <c r="K209" s="18"/>
      <c r="L209" s="145">
        <v>1.0</v>
      </c>
      <c r="M209" s="203">
        <v>0.0</v>
      </c>
      <c r="N209" s="160"/>
      <c r="O209" s="297" t="s">
        <v>495</v>
      </c>
      <c r="P209" s="160"/>
      <c r="Q209" s="160"/>
      <c r="R209" s="160"/>
      <c r="S209" s="160"/>
      <c r="T209" s="18"/>
      <c r="U209" s="18"/>
      <c r="V209" s="18"/>
      <c r="W209" s="18"/>
      <c r="X209" s="18"/>
      <c r="Y209" s="18"/>
      <c r="Z209" s="18"/>
      <c r="AA209" s="18"/>
    </row>
    <row r="210">
      <c r="A210" s="195" t="s">
        <v>119</v>
      </c>
      <c r="B210" s="298" t="s">
        <v>292</v>
      </c>
      <c r="C210" s="262" t="s">
        <v>772</v>
      </c>
      <c r="D210" s="229" t="s">
        <v>773</v>
      </c>
      <c r="E210" s="136" t="s">
        <v>53</v>
      </c>
      <c r="F210" s="233">
        <v>46119.0</v>
      </c>
      <c r="G210" s="233">
        <v>46119.0</v>
      </c>
      <c r="H210" s="223" t="s">
        <v>25</v>
      </c>
      <c r="I210" s="136" t="s">
        <v>161</v>
      </c>
      <c r="J210" s="136" t="s">
        <v>55</v>
      </c>
      <c r="K210" s="230"/>
      <c r="L210" s="281">
        <v>9.0</v>
      </c>
      <c r="M210" s="203">
        <v>0.0</v>
      </c>
      <c r="N210" s="230"/>
      <c r="O210" s="230"/>
      <c r="P210" s="160"/>
      <c r="Q210" s="230"/>
      <c r="R210" s="230"/>
      <c r="S210" s="230"/>
      <c r="T210" s="18"/>
      <c r="U210" s="18"/>
      <c r="V210" s="18"/>
      <c r="W210" s="20"/>
      <c r="X210" s="18"/>
      <c r="Y210" s="18"/>
      <c r="Z210" s="18"/>
      <c r="AA210" s="18"/>
    </row>
    <row r="211">
      <c r="A211" s="195" t="s">
        <v>119</v>
      </c>
      <c r="B211" s="236" t="s">
        <v>307</v>
      </c>
      <c r="C211" s="230"/>
      <c r="D211" s="299" t="s">
        <v>774</v>
      </c>
      <c r="E211" s="136" t="s">
        <v>53</v>
      </c>
      <c r="F211" s="233">
        <v>46119.0</v>
      </c>
      <c r="G211" s="233">
        <v>46119.0</v>
      </c>
      <c r="H211" s="223" t="s">
        <v>79</v>
      </c>
      <c r="I211" s="136" t="s">
        <v>757</v>
      </c>
      <c r="J211" s="136" t="s">
        <v>27</v>
      </c>
      <c r="K211" s="230"/>
      <c r="L211" s="281">
        <v>0.0</v>
      </c>
      <c r="M211" s="203">
        <v>0.0</v>
      </c>
      <c r="N211" s="230"/>
      <c r="O211" s="230"/>
      <c r="P211" s="156" t="s">
        <v>308</v>
      </c>
      <c r="Q211" s="294" t="s">
        <v>758</v>
      </c>
      <c r="R211" s="230"/>
      <c r="S211" s="230"/>
      <c r="T211" s="18"/>
      <c r="U211" s="18"/>
      <c r="V211" s="18"/>
      <c r="W211" s="18"/>
      <c r="X211" s="18"/>
      <c r="Y211" s="18"/>
      <c r="Z211" s="18"/>
      <c r="AA211" s="18"/>
    </row>
    <row r="212">
      <c r="A212" s="195" t="s">
        <v>119</v>
      </c>
      <c r="B212" s="236" t="s">
        <v>307</v>
      </c>
      <c r="C212" s="230"/>
      <c r="D212" s="287" t="s">
        <v>775</v>
      </c>
      <c r="E212" s="136" t="s">
        <v>53</v>
      </c>
      <c r="F212" s="233">
        <v>46119.0</v>
      </c>
      <c r="G212" s="233">
        <v>46119.0</v>
      </c>
      <c r="H212" s="223" t="s">
        <v>79</v>
      </c>
      <c r="I212" s="136" t="s">
        <v>757</v>
      </c>
      <c r="J212" s="136" t="s">
        <v>27</v>
      </c>
      <c r="K212" s="230"/>
      <c r="L212" s="281">
        <v>0.0</v>
      </c>
      <c r="M212" s="203">
        <v>0.0</v>
      </c>
      <c r="N212" s="230"/>
      <c r="O212" s="230"/>
      <c r="P212" s="156" t="s">
        <v>308</v>
      </c>
      <c r="Q212" s="294" t="s">
        <v>760</v>
      </c>
      <c r="R212" s="230"/>
      <c r="S212" s="230"/>
      <c r="T212" s="18"/>
      <c r="U212" s="18"/>
      <c r="V212" s="18"/>
      <c r="W212" s="18"/>
      <c r="X212" s="18"/>
      <c r="Y212" s="18"/>
      <c r="Z212" s="18"/>
      <c r="AA212" s="18"/>
    </row>
    <row r="213">
      <c r="A213" s="195" t="s">
        <v>119</v>
      </c>
      <c r="B213" s="224" t="s">
        <v>250</v>
      </c>
      <c r="C213" s="262" t="s">
        <v>764</v>
      </c>
      <c r="D213" s="229" t="s">
        <v>776</v>
      </c>
      <c r="E213" s="136" t="s">
        <v>53</v>
      </c>
      <c r="F213" s="233">
        <v>46119.0</v>
      </c>
      <c r="G213" s="233">
        <v>46119.0</v>
      </c>
      <c r="H213" s="223" t="s">
        <v>79</v>
      </c>
      <c r="I213" s="136" t="s">
        <v>757</v>
      </c>
      <c r="J213" s="136" t="s">
        <v>34</v>
      </c>
      <c r="K213" s="230"/>
      <c r="L213" s="281">
        <v>0.0</v>
      </c>
      <c r="M213" s="203">
        <v>0.0</v>
      </c>
      <c r="N213" s="230"/>
      <c r="O213" s="230"/>
      <c r="P213" s="160"/>
      <c r="Q213" s="230"/>
      <c r="R213" s="230"/>
      <c r="S213" s="230"/>
      <c r="T213" s="18"/>
      <c r="U213" s="18"/>
      <c r="V213" s="18"/>
      <c r="W213" s="18"/>
      <c r="X213" s="18"/>
      <c r="Y213" s="18"/>
      <c r="Z213" s="18"/>
      <c r="AA213" s="18"/>
    </row>
    <row r="214">
      <c r="A214" s="195" t="s">
        <v>119</v>
      </c>
      <c r="B214" s="298" t="s">
        <v>313</v>
      </c>
      <c r="C214" s="160"/>
      <c r="D214" s="300" t="s">
        <v>777</v>
      </c>
      <c r="E214" s="136" t="s">
        <v>53</v>
      </c>
      <c r="F214" s="233">
        <v>46119.0</v>
      </c>
      <c r="G214" s="233">
        <v>46119.0</v>
      </c>
      <c r="H214" s="223" t="s">
        <v>79</v>
      </c>
      <c r="I214" s="136" t="s">
        <v>39</v>
      </c>
      <c r="J214" s="136" t="s">
        <v>34</v>
      </c>
      <c r="K214" s="160"/>
      <c r="L214" s="301">
        <v>0.0</v>
      </c>
      <c r="M214" s="203">
        <v>0.0</v>
      </c>
      <c r="N214" s="160"/>
      <c r="O214" s="160"/>
      <c r="P214" s="160"/>
      <c r="Q214" s="160"/>
      <c r="R214" s="160"/>
      <c r="S214" s="160"/>
      <c r="T214" s="18"/>
      <c r="U214" s="18"/>
      <c r="V214" s="18"/>
      <c r="W214" s="18"/>
      <c r="X214" s="18"/>
      <c r="Y214" s="18"/>
      <c r="Z214" s="18"/>
      <c r="AA214" s="18"/>
    </row>
    <row r="215">
      <c r="A215" s="195" t="s">
        <v>119</v>
      </c>
      <c r="B215" s="298" t="s">
        <v>313</v>
      </c>
      <c r="C215" s="160"/>
      <c r="D215" s="156" t="s">
        <v>778</v>
      </c>
      <c r="E215" s="136" t="s">
        <v>53</v>
      </c>
      <c r="F215" s="233">
        <v>46119.0</v>
      </c>
      <c r="G215" s="160"/>
      <c r="H215" s="223" t="s">
        <v>79</v>
      </c>
      <c r="I215" s="136" t="s">
        <v>161</v>
      </c>
      <c r="J215" s="136" t="s">
        <v>55</v>
      </c>
      <c r="K215" s="160"/>
      <c r="L215" s="301">
        <v>0.0</v>
      </c>
      <c r="M215" s="203">
        <v>0.0</v>
      </c>
      <c r="N215" s="160"/>
      <c r="O215" s="160"/>
      <c r="P215" s="160"/>
      <c r="Q215" s="160"/>
      <c r="R215" s="160"/>
      <c r="S215" s="160"/>
      <c r="T215" s="18"/>
      <c r="U215" s="18"/>
      <c r="V215" s="18"/>
      <c r="W215" s="18"/>
      <c r="X215" s="18"/>
      <c r="Y215" s="18"/>
      <c r="Z215" s="18"/>
      <c r="AA215" s="18"/>
    </row>
    <row r="216">
      <c r="A216" s="195" t="s">
        <v>166</v>
      </c>
      <c r="B216" s="298" t="s">
        <v>313</v>
      </c>
      <c r="C216" s="160"/>
      <c r="D216" s="229" t="s">
        <v>779</v>
      </c>
      <c r="E216" s="136" t="s">
        <v>53</v>
      </c>
      <c r="F216" s="233">
        <v>46119.0</v>
      </c>
      <c r="G216" s="233">
        <v>46120.0</v>
      </c>
      <c r="H216" s="223" t="s">
        <v>79</v>
      </c>
      <c r="I216" s="136" t="s">
        <v>161</v>
      </c>
      <c r="J216" s="136" t="s">
        <v>34</v>
      </c>
      <c r="K216" s="160"/>
      <c r="L216" s="301">
        <v>0.0</v>
      </c>
      <c r="M216" s="203">
        <v>0.0</v>
      </c>
      <c r="N216" s="160"/>
      <c r="O216" s="160"/>
      <c r="P216" s="160"/>
      <c r="Q216" s="160"/>
      <c r="R216" s="160"/>
      <c r="S216" s="160"/>
      <c r="T216" s="18"/>
      <c r="U216" s="18"/>
      <c r="V216" s="18"/>
      <c r="W216" s="18"/>
      <c r="X216" s="18"/>
      <c r="Y216" s="18"/>
      <c r="Z216" s="18"/>
      <c r="AA216" s="18"/>
    </row>
    <row r="217">
      <c r="A217" s="195" t="s">
        <v>22</v>
      </c>
      <c r="B217" s="293" t="s">
        <v>301</v>
      </c>
      <c r="C217" s="262" t="s">
        <v>780</v>
      </c>
      <c r="D217" s="302" t="s">
        <v>781</v>
      </c>
      <c r="E217" s="136" t="s">
        <v>53</v>
      </c>
      <c r="F217" s="233">
        <v>46120.0</v>
      </c>
      <c r="G217" s="233">
        <v>46120.0</v>
      </c>
      <c r="H217" s="223" t="s">
        <v>25</v>
      </c>
      <c r="I217" s="136" t="s">
        <v>161</v>
      </c>
      <c r="J217" s="136" t="s">
        <v>34</v>
      </c>
      <c r="K217" s="160"/>
      <c r="L217" s="301">
        <v>2.0</v>
      </c>
      <c r="M217" s="203">
        <v>0.0</v>
      </c>
      <c r="N217" s="160"/>
      <c r="O217" s="160"/>
      <c r="P217" s="160"/>
      <c r="Q217" s="160"/>
      <c r="R217" s="160"/>
      <c r="S217" s="160"/>
      <c r="T217" s="18"/>
      <c r="U217" s="18"/>
      <c r="V217" s="18"/>
      <c r="W217" s="20"/>
      <c r="X217" s="18"/>
      <c r="Y217" s="18"/>
      <c r="Z217" s="18"/>
      <c r="AA217" s="18"/>
    </row>
    <row r="218">
      <c r="A218" s="195" t="s">
        <v>22</v>
      </c>
      <c r="B218" s="293" t="s">
        <v>301</v>
      </c>
      <c r="C218" s="262" t="s">
        <v>782</v>
      </c>
      <c r="D218" s="302" t="s">
        <v>783</v>
      </c>
      <c r="E218" s="136" t="s">
        <v>53</v>
      </c>
      <c r="F218" s="233">
        <v>46120.0</v>
      </c>
      <c r="G218" s="233">
        <v>46120.0</v>
      </c>
      <c r="H218" s="223" t="s">
        <v>25</v>
      </c>
      <c r="I218" s="136" t="s">
        <v>161</v>
      </c>
      <c r="J218" s="136" t="s">
        <v>55</v>
      </c>
      <c r="K218" s="160"/>
      <c r="L218" s="301">
        <v>2.0</v>
      </c>
      <c r="M218" s="203">
        <v>0.0</v>
      </c>
      <c r="N218" s="160"/>
      <c r="O218" s="160"/>
      <c r="P218" s="160"/>
      <c r="Q218" s="160"/>
      <c r="R218" s="160"/>
      <c r="S218" s="160"/>
      <c r="T218" s="18"/>
      <c r="U218" s="18"/>
      <c r="V218" s="18"/>
      <c r="W218" s="20"/>
      <c r="X218" s="18"/>
      <c r="Y218" s="18"/>
      <c r="Z218" s="18"/>
      <c r="AA218" s="18"/>
    </row>
    <row r="219">
      <c r="A219" s="195" t="s">
        <v>119</v>
      </c>
      <c r="B219" s="298" t="s">
        <v>292</v>
      </c>
      <c r="C219" s="262" t="s">
        <v>784</v>
      </c>
      <c r="D219" s="302" t="s">
        <v>785</v>
      </c>
      <c r="E219" s="136" t="s">
        <v>53</v>
      </c>
      <c r="F219" s="233">
        <v>46120.0</v>
      </c>
      <c r="G219" s="233">
        <v>46120.0</v>
      </c>
      <c r="H219" s="223" t="s">
        <v>25</v>
      </c>
      <c r="I219" s="136" t="s">
        <v>161</v>
      </c>
      <c r="J219" s="136" t="s">
        <v>34</v>
      </c>
      <c r="K219" s="160"/>
      <c r="L219" s="301">
        <v>3.0</v>
      </c>
      <c r="M219" s="203">
        <v>0.0</v>
      </c>
      <c r="N219" s="160"/>
      <c r="O219" s="156" t="s">
        <v>786</v>
      </c>
      <c r="P219" s="160"/>
      <c r="Q219" s="160"/>
      <c r="R219" s="160"/>
      <c r="S219" s="160"/>
      <c r="T219" s="18"/>
      <c r="U219" s="18"/>
      <c r="V219" s="18"/>
      <c r="W219" s="20"/>
      <c r="X219" s="18"/>
      <c r="Y219" s="18"/>
      <c r="Z219" s="18"/>
      <c r="AA219" s="18"/>
    </row>
    <row r="220">
      <c r="A220" s="195" t="s">
        <v>22</v>
      </c>
      <c r="B220" s="293" t="s">
        <v>301</v>
      </c>
      <c r="C220" s="262" t="s">
        <v>787</v>
      </c>
      <c r="D220" s="302" t="s">
        <v>783</v>
      </c>
      <c r="E220" s="136" t="s">
        <v>53</v>
      </c>
      <c r="F220" s="233">
        <v>46120.0</v>
      </c>
      <c r="G220" s="233">
        <v>46120.0</v>
      </c>
      <c r="H220" s="223" t="s">
        <v>79</v>
      </c>
      <c r="I220" s="136" t="s">
        <v>161</v>
      </c>
      <c r="J220" s="136" t="s">
        <v>55</v>
      </c>
      <c r="K220" s="160"/>
      <c r="L220" s="301">
        <v>0.0</v>
      </c>
      <c r="M220" s="203">
        <v>0.0</v>
      </c>
      <c r="N220" s="160"/>
      <c r="O220" s="160"/>
      <c r="P220" s="160"/>
      <c r="Q220" s="160"/>
      <c r="R220" s="160"/>
      <c r="S220" s="160"/>
      <c r="T220" s="18"/>
      <c r="U220" s="18"/>
      <c r="V220" s="18"/>
      <c r="W220" s="20"/>
      <c r="X220" s="18"/>
      <c r="Y220" s="18"/>
      <c r="Z220" s="18"/>
      <c r="AA220" s="18"/>
    </row>
    <row r="221">
      <c r="A221" s="195" t="s">
        <v>119</v>
      </c>
      <c r="B221" s="303" t="s">
        <v>250</v>
      </c>
      <c r="C221" s="262" t="s">
        <v>788</v>
      </c>
      <c r="D221" s="229" t="s">
        <v>789</v>
      </c>
      <c r="E221" s="136" t="s">
        <v>53</v>
      </c>
      <c r="F221" s="233">
        <v>46120.0</v>
      </c>
      <c r="G221" s="233">
        <v>46120.0</v>
      </c>
      <c r="H221" s="223" t="s">
        <v>79</v>
      </c>
      <c r="I221" s="136" t="s">
        <v>161</v>
      </c>
      <c r="J221" s="136" t="s">
        <v>34</v>
      </c>
      <c r="K221" s="160"/>
      <c r="L221" s="301">
        <v>1.0</v>
      </c>
      <c r="M221" s="203">
        <v>1.0</v>
      </c>
      <c r="N221" s="160"/>
      <c r="O221" s="160"/>
      <c r="P221" s="160"/>
      <c r="Q221" s="160"/>
      <c r="R221" s="160"/>
      <c r="S221" s="160"/>
      <c r="T221" s="18"/>
      <c r="U221" s="18"/>
      <c r="V221" s="18"/>
      <c r="W221" s="18"/>
      <c r="X221" s="18"/>
      <c r="Y221" s="18"/>
      <c r="Z221" s="18"/>
      <c r="AA221" s="18"/>
    </row>
    <row r="222">
      <c r="A222" s="195" t="s">
        <v>119</v>
      </c>
      <c r="B222" s="298" t="s">
        <v>716</v>
      </c>
      <c r="C222" s="262" t="s">
        <v>790</v>
      </c>
      <c r="D222" s="229" t="s">
        <v>791</v>
      </c>
      <c r="E222" s="136" t="s">
        <v>53</v>
      </c>
      <c r="F222" s="233">
        <v>46120.0</v>
      </c>
      <c r="G222" s="233">
        <v>46120.0</v>
      </c>
      <c r="H222" s="223" t="s">
        <v>79</v>
      </c>
      <c r="I222" s="136" t="s">
        <v>161</v>
      </c>
      <c r="J222" s="136" t="s">
        <v>34</v>
      </c>
      <c r="K222" s="160"/>
      <c r="L222" s="301">
        <v>1.0</v>
      </c>
      <c r="M222" s="203">
        <v>1.0</v>
      </c>
      <c r="N222" s="160"/>
      <c r="O222" s="160"/>
      <c r="P222" s="160"/>
      <c r="Q222" s="160"/>
      <c r="R222" s="160"/>
      <c r="S222" s="160"/>
      <c r="T222" s="18"/>
      <c r="U222" s="18"/>
      <c r="V222" s="18"/>
      <c r="W222" s="18"/>
      <c r="X222" s="18"/>
      <c r="Y222" s="18"/>
      <c r="Z222" s="18"/>
      <c r="AA222" s="18"/>
    </row>
    <row r="223">
      <c r="A223" s="195" t="s">
        <v>119</v>
      </c>
      <c r="B223" s="298" t="s">
        <v>716</v>
      </c>
      <c r="C223" s="262" t="s">
        <v>792</v>
      </c>
      <c r="D223" s="229" t="s">
        <v>791</v>
      </c>
      <c r="E223" s="136" t="s">
        <v>53</v>
      </c>
      <c r="F223" s="233">
        <v>46120.0</v>
      </c>
      <c r="G223" s="233">
        <v>46120.0</v>
      </c>
      <c r="H223" s="223" t="s">
        <v>793</v>
      </c>
      <c r="I223" s="136" t="s">
        <v>161</v>
      </c>
      <c r="J223" s="136" t="s">
        <v>34</v>
      </c>
      <c r="K223" s="160"/>
      <c r="L223" s="301">
        <v>2.0</v>
      </c>
      <c r="M223" s="203">
        <v>2.0</v>
      </c>
      <c r="N223" s="160"/>
      <c r="O223" s="160"/>
      <c r="P223" s="160"/>
      <c r="Q223" s="160"/>
      <c r="R223" s="160"/>
      <c r="S223" s="160"/>
      <c r="T223" s="18"/>
      <c r="U223" s="18"/>
      <c r="V223" s="18"/>
      <c r="W223" s="18"/>
      <c r="X223" s="18"/>
      <c r="Y223" s="18"/>
      <c r="Z223" s="18"/>
      <c r="AA223" s="18"/>
    </row>
    <row r="224">
      <c r="A224" s="195" t="s">
        <v>119</v>
      </c>
      <c r="B224" s="228" t="s">
        <v>288</v>
      </c>
      <c r="C224" s="262" t="s">
        <v>794</v>
      </c>
      <c r="D224" s="292" t="s">
        <v>795</v>
      </c>
      <c r="E224" s="136" t="s">
        <v>53</v>
      </c>
      <c r="F224" s="233">
        <v>46120.0</v>
      </c>
      <c r="G224" s="233">
        <v>46120.0</v>
      </c>
      <c r="H224" s="223" t="s">
        <v>793</v>
      </c>
      <c r="I224" s="136" t="s">
        <v>161</v>
      </c>
      <c r="J224" s="136" t="s">
        <v>34</v>
      </c>
      <c r="K224" s="230"/>
      <c r="L224" s="281">
        <v>0.0</v>
      </c>
      <c r="M224" s="203">
        <v>0.0</v>
      </c>
      <c r="N224" s="230"/>
      <c r="O224" s="230"/>
      <c r="P224" s="160"/>
      <c r="Q224" s="230"/>
      <c r="R224" s="230"/>
      <c r="S224" s="230"/>
      <c r="T224" s="18"/>
      <c r="U224" s="18"/>
      <c r="V224" s="18"/>
      <c r="W224" s="20"/>
      <c r="X224" s="18"/>
      <c r="Y224" s="18"/>
      <c r="Z224" s="18"/>
      <c r="AA224" s="18"/>
    </row>
    <row r="225">
      <c r="A225" s="195" t="s">
        <v>119</v>
      </c>
      <c r="B225" s="224" t="s">
        <v>250</v>
      </c>
      <c r="C225" s="262" t="s">
        <v>796</v>
      </c>
      <c r="D225" s="156" t="s">
        <v>797</v>
      </c>
      <c r="E225" s="136" t="s">
        <v>53</v>
      </c>
      <c r="F225" s="233">
        <v>46120.0</v>
      </c>
      <c r="G225" s="233">
        <v>46120.0</v>
      </c>
      <c r="H225" s="223" t="s">
        <v>79</v>
      </c>
      <c r="I225" s="136" t="s">
        <v>161</v>
      </c>
      <c r="J225" s="136" t="s">
        <v>34</v>
      </c>
      <c r="K225" s="160"/>
      <c r="L225" s="301">
        <v>0.0</v>
      </c>
      <c r="M225" s="203">
        <v>0.0</v>
      </c>
      <c r="N225" s="160"/>
      <c r="O225" s="160"/>
      <c r="P225" s="160"/>
      <c r="Q225" s="160"/>
      <c r="R225" s="160"/>
      <c r="S225" s="160"/>
      <c r="T225" s="18"/>
      <c r="U225" s="18"/>
      <c r="V225" s="18"/>
      <c r="W225" s="18"/>
      <c r="X225" s="18"/>
      <c r="Y225" s="18"/>
      <c r="Z225" s="18"/>
      <c r="AA225" s="18"/>
    </row>
    <row r="226">
      <c r="A226" s="195" t="s">
        <v>119</v>
      </c>
      <c r="B226" s="224" t="s">
        <v>250</v>
      </c>
      <c r="C226" s="262" t="s">
        <v>798</v>
      </c>
      <c r="D226" s="229" t="s">
        <v>799</v>
      </c>
      <c r="E226" s="136" t="s">
        <v>53</v>
      </c>
      <c r="F226" s="233">
        <v>46121.0</v>
      </c>
      <c r="G226" s="233">
        <v>46121.0</v>
      </c>
      <c r="H226" s="223" t="s">
        <v>79</v>
      </c>
      <c r="I226" s="136" t="s">
        <v>161</v>
      </c>
      <c r="J226" s="136" t="s">
        <v>34</v>
      </c>
      <c r="K226" s="160"/>
      <c r="L226" s="301">
        <v>0.5</v>
      </c>
      <c r="M226" s="203">
        <v>0.5</v>
      </c>
      <c r="N226" s="160"/>
      <c r="O226" s="160"/>
      <c r="P226" s="160"/>
      <c r="Q226" s="304" t="s">
        <v>800</v>
      </c>
      <c r="R226" s="160"/>
      <c r="S226" s="160"/>
      <c r="T226" s="18"/>
      <c r="U226" s="18"/>
      <c r="V226" s="18"/>
      <c r="W226" s="18"/>
      <c r="X226" s="18"/>
      <c r="Y226" s="18"/>
      <c r="Z226" s="18"/>
      <c r="AA226" s="18"/>
    </row>
    <row r="227">
      <c r="A227" s="195" t="s">
        <v>119</v>
      </c>
      <c r="B227" s="228" t="s">
        <v>288</v>
      </c>
      <c r="C227" s="262" t="s">
        <v>801</v>
      </c>
      <c r="D227" s="292" t="s">
        <v>802</v>
      </c>
      <c r="E227" s="136" t="s">
        <v>53</v>
      </c>
      <c r="F227" s="233">
        <v>46121.0</v>
      </c>
      <c r="G227" s="233">
        <v>46121.0</v>
      </c>
      <c r="H227" s="223" t="s">
        <v>79</v>
      </c>
      <c r="I227" s="136" t="s">
        <v>161</v>
      </c>
      <c r="J227" s="136" t="s">
        <v>34</v>
      </c>
      <c r="K227" s="160"/>
      <c r="L227" s="301">
        <v>0.5</v>
      </c>
      <c r="M227" s="203">
        <v>0.5</v>
      </c>
      <c r="N227" s="160"/>
      <c r="O227" s="160"/>
      <c r="P227" s="160"/>
      <c r="Q227" s="160"/>
      <c r="R227" s="160"/>
      <c r="S227" s="160"/>
      <c r="T227" s="18"/>
      <c r="U227" s="18"/>
      <c r="V227" s="18"/>
      <c r="W227" s="20"/>
      <c r="X227" s="18"/>
      <c r="Y227" s="18"/>
      <c r="Z227" s="18"/>
      <c r="AA227" s="18"/>
    </row>
    <row r="228">
      <c r="A228" s="195" t="s">
        <v>166</v>
      </c>
      <c r="B228" s="298" t="s">
        <v>316</v>
      </c>
      <c r="C228" s="262" t="s">
        <v>803</v>
      </c>
      <c r="D228" s="229" t="s">
        <v>804</v>
      </c>
      <c r="E228" s="136" t="s">
        <v>53</v>
      </c>
      <c r="F228" s="233">
        <v>46121.0</v>
      </c>
      <c r="G228" s="233">
        <v>46121.0</v>
      </c>
      <c r="H228" s="223" t="s">
        <v>79</v>
      </c>
      <c r="I228" s="136" t="s">
        <v>161</v>
      </c>
      <c r="J228" s="136" t="s">
        <v>34</v>
      </c>
      <c r="K228" s="160"/>
      <c r="L228" s="301">
        <v>3.0</v>
      </c>
      <c r="M228" s="203">
        <v>3.0</v>
      </c>
      <c r="N228" s="160"/>
      <c r="O228" s="160"/>
      <c r="P228" s="160"/>
      <c r="Q228" s="160"/>
      <c r="R228" s="160"/>
      <c r="S228" s="160"/>
      <c r="T228" s="18"/>
      <c r="U228" s="18"/>
      <c r="V228" s="18"/>
      <c r="W228" s="18"/>
      <c r="X228" s="18"/>
      <c r="Y228" s="18"/>
      <c r="Z228" s="18"/>
      <c r="AA228" s="18"/>
    </row>
    <row r="229">
      <c r="A229" s="195" t="s">
        <v>119</v>
      </c>
      <c r="B229" s="298" t="s">
        <v>313</v>
      </c>
      <c r="C229" s="262" t="s">
        <v>803</v>
      </c>
      <c r="D229" s="229" t="s">
        <v>805</v>
      </c>
      <c r="E229" s="136" t="s">
        <v>53</v>
      </c>
      <c r="F229" s="233">
        <v>46121.0</v>
      </c>
      <c r="G229" s="233">
        <v>46121.0</v>
      </c>
      <c r="H229" s="223" t="s">
        <v>25</v>
      </c>
      <c r="I229" s="136" t="s">
        <v>161</v>
      </c>
      <c r="J229" s="136" t="s">
        <v>34</v>
      </c>
      <c r="K229" s="160"/>
      <c r="L229" s="301">
        <v>3.0</v>
      </c>
      <c r="M229" s="203">
        <v>2.0</v>
      </c>
      <c r="N229" s="160"/>
      <c r="O229" s="160"/>
      <c r="P229" s="160"/>
      <c r="Q229" s="160"/>
      <c r="R229" s="160"/>
      <c r="S229" s="160"/>
      <c r="T229" s="18"/>
      <c r="U229" s="18"/>
      <c r="V229" s="18"/>
      <c r="W229" s="18"/>
      <c r="X229" s="18"/>
      <c r="Y229" s="18"/>
      <c r="Z229" s="18"/>
      <c r="AA229" s="18"/>
    </row>
    <row r="230">
      <c r="A230" s="195" t="s">
        <v>119</v>
      </c>
      <c r="B230" s="298" t="s">
        <v>120</v>
      </c>
      <c r="C230" s="262" t="s">
        <v>806</v>
      </c>
      <c r="D230" s="229" t="s">
        <v>807</v>
      </c>
      <c r="E230" s="136" t="s">
        <v>53</v>
      </c>
      <c r="F230" s="233">
        <v>46121.0</v>
      </c>
      <c r="G230" s="233">
        <v>46121.0</v>
      </c>
      <c r="H230" s="223" t="s">
        <v>25</v>
      </c>
      <c r="I230" s="136" t="s">
        <v>161</v>
      </c>
      <c r="J230" s="136" t="s">
        <v>34</v>
      </c>
      <c r="K230" s="160"/>
      <c r="L230" s="301">
        <v>2.0</v>
      </c>
      <c r="M230" s="203">
        <v>2.5</v>
      </c>
      <c r="N230" s="160"/>
      <c r="O230" s="160"/>
      <c r="P230" s="160"/>
      <c r="Q230" s="160"/>
      <c r="R230" s="160"/>
      <c r="S230" s="160"/>
      <c r="T230" s="18"/>
      <c r="U230" s="18"/>
      <c r="V230" s="20"/>
      <c r="W230" s="20"/>
      <c r="X230" s="18"/>
      <c r="Y230" s="18"/>
      <c r="Z230" s="18"/>
      <c r="AA230" s="18"/>
    </row>
    <row r="231">
      <c r="A231" s="195" t="s">
        <v>119</v>
      </c>
      <c r="B231" s="298" t="s">
        <v>120</v>
      </c>
      <c r="C231" s="262" t="s">
        <v>808</v>
      </c>
      <c r="D231" s="229" t="s">
        <v>809</v>
      </c>
      <c r="E231" s="136" t="s">
        <v>53</v>
      </c>
      <c r="F231" s="233">
        <v>46121.0</v>
      </c>
      <c r="G231" s="233">
        <v>46121.0</v>
      </c>
      <c r="H231" s="223" t="s">
        <v>25</v>
      </c>
      <c r="I231" s="136" t="s">
        <v>161</v>
      </c>
      <c r="J231" s="136" t="s">
        <v>34</v>
      </c>
      <c r="K231" s="160"/>
      <c r="L231" s="301">
        <v>2.0</v>
      </c>
      <c r="M231" s="203">
        <v>1.5</v>
      </c>
      <c r="N231" s="160"/>
      <c r="O231" s="160"/>
      <c r="P231" s="160"/>
      <c r="Q231" s="160"/>
      <c r="R231" s="160"/>
      <c r="S231" s="160"/>
      <c r="T231" s="18"/>
      <c r="U231" s="18"/>
      <c r="V231" s="20"/>
      <c r="W231" s="20"/>
      <c r="X231" s="18"/>
      <c r="Y231" s="18"/>
      <c r="Z231" s="18"/>
      <c r="AA231" s="18"/>
    </row>
    <row r="232">
      <c r="A232" s="305"/>
      <c r="B232" s="298" t="s">
        <v>716</v>
      </c>
      <c r="C232" s="262"/>
      <c r="D232" s="302" t="s">
        <v>810</v>
      </c>
      <c r="E232" s="136" t="s">
        <v>53</v>
      </c>
      <c r="F232" s="233">
        <v>46121.0</v>
      </c>
      <c r="G232" s="233">
        <v>46121.0</v>
      </c>
      <c r="H232" s="223" t="s">
        <v>25</v>
      </c>
      <c r="I232" s="136" t="s">
        <v>161</v>
      </c>
      <c r="J232" s="136" t="s">
        <v>27</v>
      </c>
      <c r="K232" s="160"/>
      <c r="L232" s="301">
        <v>1.0</v>
      </c>
      <c r="M232" s="203">
        <v>1.0</v>
      </c>
      <c r="N232" s="160"/>
      <c r="O232" s="160"/>
      <c r="P232" s="160"/>
      <c r="Q232" s="160"/>
      <c r="R232" s="160"/>
      <c r="S232" s="160"/>
      <c r="T232" s="18"/>
      <c r="U232" s="18"/>
      <c r="V232" s="18"/>
      <c r="W232" s="18"/>
      <c r="X232" s="18"/>
      <c r="Y232" s="18"/>
      <c r="Z232" s="18"/>
      <c r="AA232" s="18"/>
    </row>
    <row r="233">
      <c r="A233" s="195" t="s">
        <v>119</v>
      </c>
      <c r="B233" s="298" t="s">
        <v>120</v>
      </c>
      <c r="C233" s="262" t="s">
        <v>811</v>
      </c>
      <c r="D233" s="229" t="s">
        <v>807</v>
      </c>
      <c r="E233" s="136" t="s">
        <v>53</v>
      </c>
      <c r="F233" s="233">
        <v>46121.0</v>
      </c>
      <c r="G233" s="233">
        <v>46121.0</v>
      </c>
      <c r="H233" s="223" t="s">
        <v>793</v>
      </c>
      <c r="I233" s="136" t="s">
        <v>161</v>
      </c>
      <c r="J233" s="136" t="s">
        <v>27</v>
      </c>
      <c r="K233" s="160"/>
      <c r="L233" s="301">
        <v>2.0</v>
      </c>
      <c r="M233" s="203">
        <v>3.0</v>
      </c>
      <c r="N233" s="160"/>
      <c r="O233" s="160"/>
      <c r="P233" s="160"/>
      <c r="Q233" s="160"/>
      <c r="R233" s="160"/>
      <c r="S233" s="160"/>
      <c r="T233" s="18"/>
      <c r="U233" s="18"/>
      <c r="V233" s="20"/>
      <c r="W233" s="20"/>
      <c r="X233" s="20"/>
      <c r="Y233" s="18"/>
      <c r="Z233" s="18"/>
      <c r="AA233" s="18"/>
    </row>
    <row r="234">
      <c r="A234" s="195" t="s">
        <v>119</v>
      </c>
      <c r="B234" s="298" t="s">
        <v>120</v>
      </c>
      <c r="C234" s="262" t="s">
        <v>812</v>
      </c>
      <c r="D234" s="229" t="s">
        <v>809</v>
      </c>
      <c r="E234" s="136" t="s">
        <v>53</v>
      </c>
      <c r="F234" s="233">
        <v>46121.0</v>
      </c>
      <c r="G234" s="233">
        <v>46121.0</v>
      </c>
      <c r="H234" s="223" t="s">
        <v>793</v>
      </c>
      <c r="I234" s="136" t="s">
        <v>161</v>
      </c>
      <c r="J234" s="136" t="s">
        <v>27</v>
      </c>
      <c r="K234" s="160"/>
      <c r="L234" s="301">
        <v>2.0</v>
      </c>
      <c r="M234" s="203">
        <v>2.0</v>
      </c>
      <c r="N234" s="160"/>
      <c r="O234" s="160"/>
      <c r="P234" s="160"/>
      <c r="Q234" s="160"/>
      <c r="R234" s="160"/>
      <c r="S234" s="160"/>
      <c r="T234" s="18"/>
      <c r="U234" s="18"/>
      <c r="V234" s="20"/>
      <c r="W234" s="20"/>
      <c r="X234" s="20"/>
      <c r="Y234" s="18"/>
      <c r="Z234" s="18"/>
      <c r="AA234" s="18"/>
    </row>
    <row r="235">
      <c r="A235" s="195" t="s">
        <v>119</v>
      </c>
      <c r="B235" s="298" t="s">
        <v>120</v>
      </c>
      <c r="C235" s="262" t="s">
        <v>813</v>
      </c>
      <c r="D235" s="229" t="s">
        <v>814</v>
      </c>
      <c r="E235" s="136" t="s">
        <v>53</v>
      </c>
      <c r="F235" s="233">
        <v>46121.0</v>
      </c>
      <c r="G235" s="160"/>
      <c r="H235" s="301" t="s">
        <v>33</v>
      </c>
      <c r="I235" s="136" t="s">
        <v>103</v>
      </c>
      <c r="J235" s="172"/>
      <c r="K235" s="160"/>
      <c r="L235" s="301">
        <v>9.0</v>
      </c>
      <c r="M235" s="203">
        <v>0.0</v>
      </c>
      <c r="N235" s="160"/>
      <c r="O235" s="160"/>
      <c r="P235" s="160"/>
      <c r="Q235" s="160"/>
      <c r="R235" s="160"/>
      <c r="S235" s="160"/>
      <c r="T235" s="18"/>
      <c r="U235" s="18"/>
      <c r="V235" s="20"/>
      <c r="W235" s="20"/>
      <c r="X235" s="20"/>
      <c r="Y235" s="18"/>
      <c r="Z235" s="18"/>
      <c r="AA235" s="18"/>
    </row>
    <row r="236">
      <c r="A236" s="195" t="s">
        <v>119</v>
      </c>
      <c r="B236" s="298" t="s">
        <v>120</v>
      </c>
      <c r="C236" s="160"/>
      <c r="D236" s="229" t="s">
        <v>815</v>
      </c>
      <c r="E236" s="136" t="s">
        <v>53</v>
      </c>
      <c r="F236" s="233">
        <v>46121.0</v>
      </c>
      <c r="G236" s="160"/>
      <c r="H236" s="301" t="s">
        <v>33</v>
      </c>
      <c r="I236" s="136" t="s">
        <v>103</v>
      </c>
      <c r="J236" s="172"/>
      <c r="K236" s="160"/>
      <c r="L236" s="301">
        <v>9.0</v>
      </c>
      <c r="M236" s="203">
        <v>0.0</v>
      </c>
      <c r="N236" s="160"/>
      <c r="O236" s="160"/>
      <c r="P236" s="160"/>
      <c r="Q236" s="160"/>
      <c r="R236" s="160"/>
      <c r="S236" s="160"/>
      <c r="T236" s="18"/>
      <c r="U236" s="18"/>
      <c r="V236" s="20"/>
      <c r="W236" s="20"/>
      <c r="X236" s="20"/>
      <c r="Y236" s="18"/>
      <c r="Z236" s="18"/>
      <c r="AA236" s="18"/>
    </row>
    <row r="237">
      <c r="A237" s="195" t="s">
        <v>119</v>
      </c>
      <c r="B237" s="298" t="s">
        <v>120</v>
      </c>
      <c r="C237" s="160"/>
      <c r="D237" s="229" t="s">
        <v>816</v>
      </c>
      <c r="E237" s="136" t="s">
        <v>53</v>
      </c>
      <c r="F237" s="233">
        <v>46121.0</v>
      </c>
      <c r="G237" s="160"/>
      <c r="H237" s="301" t="s">
        <v>33</v>
      </c>
      <c r="I237" s="136" t="s">
        <v>103</v>
      </c>
      <c r="J237" s="172"/>
      <c r="K237" s="160"/>
      <c r="L237" s="301">
        <v>9.0</v>
      </c>
      <c r="M237" s="203">
        <v>0.0</v>
      </c>
      <c r="N237" s="160"/>
      <c r="O237" s="160"/>
      <c r="P237" s="160"/>
      <c r="Q237" s="160"/>
      <c r="R237" s="160"/>
      <c r="S237" s="160"/>
      <c r="T237" s="18"/>
      <c r="U237" s="18"/>
      <c r="V237" s="20"/>
      <c r="W237" s="20"/>
      <c r="X237" s="20"/>
      <c r="Y237" s="18"/>
      <c r="Z237" s="18"/>
      <c r="AA237" s="18"/>
    </row>
    <row r="238">
      <c r="A238" s="195" t="s">
        <v>22</v>
      </c>
      <c r="B238" s="293" t="s">
        <v>301</v>
      </c>
      <c r="C238" s="262" t="s">
        <v>817</v>
      </c>
      <c r="D238" s="229" t="s">
        <v>818</v>
      </c>
      <c r="E238" s="136" t="s">
        <v>53</v>
      </c>
      <c r="F238" s="233">
        <v>46121.0</v>
      </c>
      <c r="G238" s="233">
        <v>46121.0</v>
      </c>
      <c r="H238" s="223" t="s">
        <v>25</v>
      </c>
      <c r="I238" s="136" t="s">
        <v>161</v>
      </c>
      <c r="J238" s="136" t="s">
        <v>55</v>
      </c>
      <c r="K238" s="160"/>
      <c r="L238" s="301">
        <v>2.0</v>
      </c>
      <c r="M238" s="203">
        <v>2.0</v>
      </c>
      <c r="N238" s="160"/>
      <c r="O238" s="160"/>
      <c r="P238" s="160"/>
      <c r="Q238" s="160"/>
      <c r="R238" s="160"/>
      <c r="S238" s="160"/>
      <c r="T238" s="18"/>
      <c r="U238" s="18"/>
      <c r="V238" s="18"/>
      <c r="W238" s="20"/>
      <c r="X238" s="18"/>
      <c r="Y238" s="18"/>
      <c r="Z238" s="18"/>
      <c r="AA238" s="18"/>
    </row>
    <row r="239">
      <c r="A239" s="195" t="s">
        <v>119</v>
      </c>
      <c r="B239" s="228" t="s">
        <v>288</v>
      </c>
      <c r="C239" s="262" t="s">
        <v>819</v>
      </c>
      <c r="D239" s="292" t="s">
        <v>820</v>
      </c>
      <c r="E239" s="136" t="s">
        <v>53</v>
      </c>
      <c r="F239" s="233">
        <v>46121.0</v>
      </c>
      <c r="G239" s="233"/>
      <c r="H239" s="223" t="s">
        <v>79</v>
      </c>
      <c r="I239" s="136" t="s">
        <v>161</v>
      </c>
      <c r="J239" s="136" t="s">
        <v>34</v>
      </c>
      <c r="K239" s="160"/>
      <c r="L239" s="301">
        <v>2.0</v>
      </c>
      <c r="M239" s="203">
        <v>2.0</v>
      </c>
      <c r="N239" s="160"/>
      <c r="O239" s="156" t="s">
        <v>821</v>
      </c>
      <c r="P239" s="160"/>
      <c r="Q239" s="160"/>
      <c r="R239" s="160"/>
      <c r="S239" s="160"/>
      <c r="T239" s="18"/>
      <c r="U239" s="18"/>
      <c r="V239" s="18"/>
      <c r="W239" s="20"/>
      <c r="X239" s="18"/>
      <c r="Y239" s="18"/>
      <c r="Z239" s="18"/>
      <c r="AA239" s="18"/>
    </row>
    <row r="240">
      <c r="A240" s="195" t="s">
        <v>166</v>
      </c>
      <c r="B240" s="224" t="s">
        <v>652</v>
      </c>
      <c r="C240" s="262" t="s">
        <v>822</v>
      </c>
      <c r="D240" s="229" t="s">
        <v>724</v>
      </c>
      <c r="E240" s="136" t="s">
        <v>53</v>
      </c>
      <c r="F240" s="233">
        <v>46122.0</v>
      </c>
      <c r="G240" s="233">
        <v>46122.0</v>
      </c>
      <c r="H240" s="203" t="s">
        <v>25</v>
      </c>
      <c r="I240" s="136" t="s">
        <v>161</v>
      </c>
      <c r="J240" s="136" t="s">
        <v>34</v>
      </c>
      <c r="K240" s="288"/>
      <c r="L240" s="281">
        <v>0.5</v>
      </c>
      <c r="M240" s="203">
        <v>0.5</v>
      </c>
      <c r="N240" s="160"/>
      <c r="O240" s="156" t="s">
        <v>823</v>
      </c>
      <c r="P240" s="160"/>
      <c r="Q240" s="160"/>
      <c r="R240" s="160"/>
      <c r="S240" s="160"/>
      <c r="T240" s="18"/>
      <c r="U240" s="18"/>
      <c r="V240" s="18"/>
      <c r="W240" s="18"/>
      <c r="X240" s="18"/>
      <c r="Y240" s="18"/>
      <c r="Z240" s="18"/>
      <c r="AA240" s="18"/>
    </row>
    <row r="241">
      <c r="A241" s="195" t="s">
        <v>119</v>
      </c>
      <c r="B241" s="224" t="s">
        <v>729</v>
      </c>
      <c r="C241" s="262" t="s">
        <v>824</v>
      </c>
      <c r="D241" s="229" t="s">
        <v>825</v>
      </c>
      <c r="E241" s="136" t="s">
        <v>53</v>
      </c>
      <c r="F241" s="233">
        <v>46122.0</v>
      </c>
      <c r="G241" s="233">
        <v>46122.0</v>
      </c>
      <c r="H241" s="203" t="s">
        <v>793</v>
      </c>
      <c r="I241" s="136" t="s">
        <v>161</v>
      </c>
      <c r="J241" s="136" t="s">
        <v>34</v>
      </c>
      <c r="K241" s="160"/>
      <c r="L241" s="301">
        <v>1.0</v>
      </c>
      <c r="M241" s="203">
        <v>1.5</v>
      </c>
      <c r="N241" s="160"/>
      <c r="O241" s="160"/>
      <c r="P241" s="160"/>
      <c r="Q241" s="160"/>
      <c r="R241" s="160"/>
      <c r="S241" s="160"/>
      <c r="T241" s="18"/>
      <c r="U241" s="18"/>
      <c r="V241" s="18"/>
      <c r="W241" s="18"/>
      <c r="X241" s="18"/>
      <c r="Y241" s="18"/>
      <c r="Z241" s="18"/>
      <c r="AA241" s="18"/>
    </row>
    <row r="242">
      <c r="A242" s="195" t="s">
        <v>119</v>
      </c>
      <c r="B242" s="298" t="s">
        <v>716</v>
      </c>
      <c r="C242" s="262" t="s">
        <v>826</v>
      </c>
      <c r="D242" s="229" t="s">
        <v>825</v>
      </c>
      <c r="E242" s="136" t="s">
        <v>53</v>
      </c>
      <c r="F242" s="233">
        <v>46122.0</v>
      </c>
      <c r="G242" s="233">
        <v>46122.0</v>
      </c>
      <c r="H242" s="203" t="s">
        <v>79</v>
      </c>
      <c r="I242" s="136" t="s">
        <v>161</v>
      </c>
      <c r="J242" s="136" t="s">
        <v>34</v>
      </c>
      <c r="K242" s="160"/>
      <c r="L242" s="301">
        <v>0.5</v>
      </c>
      <c r="M242" s="203">
        <v>1.5</v>
      </c>
      <c r="N242" s="160"/>
      <c r="O242" s="160"/>
      <c r="P242" s="160"/>
      <c r="Q242" s="160"/>
      <c r="R242" s="160"/>
      <c r="S242" s="160"/>
      <c r="T242" s="18"/>
      <c r="U242" s="18"/>
      <c r="V242" s="18"/>
      <c r="W242" s="18"/>
      <c r="X242" s="18"/>
      <c r="Y242" s="18"/>
      <c r="Z242" s="18"/>
      <c r="AA242" s="18"/>
    </row>
    <row r="243">
      <c r="A243" s="195" t="s">
        <v>166</v>
      </c>
      <c r="B243" s="224" t="s">
        <v>729</v>
      </c>
      <c r="C243" s="262" t="s">
        <v>826</v>
      </c>
      <c r="D243" s="262" t="s">
        <v>524</v>
      </c>
      <c r="E243" s="136" t="s">
        <v>53</v>
      </c>
      <c r="F243" s="233">
        <v>46122.0</v>
      </c>
      <c r="G243" s="233">
        <v>46122.0</v>
      </c>
      <c r="H243" s="203" t="s">
        <v>25</v>
      </c>
      <c r="I243" s="136" t="s">
        <v>161</v>
      </c>
      <c r="J243" s="136" t="s">
        <v>34</v>
      </c>
      <c r="K243" s="160"/>
      <c r="L243" s="301">
        <v>0.45</v>
      </c>
      <c r="M243" s="203">
        <v>0.45</v>
      </c>
      <c r="N243" s="160"/>
      <c r="O243" s="156" t="s">
        <v>827</v>
      </c>
      <c r="P243" s="160"/>
      <c r="Q243" s="160"/>
      <c r="R243" s="160"/>
      <c r="S243" s="160"/>
      <c r="T243" s="18"/>
      <c r="U243" s="18"/>
      <c r="V243" s="18"/>
      <c r="W243" s="18"/>
      <c r="X243" s="18"/>
      <c r="Y243" s="18"/>
      <c r="Z243" s="18"/>
      <c r="AA243" s="18"/>
    </row>
    <row r="244">
      <c r="A244" s="195" t="s">
        <v>119</v>
      </c>
      <c r="B244" s="236" t="s">
        <v>307</v>
      </c>
      <c r="C244" s="262" t="s">
        <v>828</v>
      </c>
      <c r="D244" s="229" t="s">
        <v>829</v>
      </c>
      <c r="E244" s="136" t="s">
        <v>53</v>
      </c>
      <c r="F244" s="233">
        <v>46121.0</v>
      </c>
      <c r="G244" s="160"/>
      <c r="H244" s="223" t="s">
        <v>79</v>
      </c>
      <c r="I244" s="136" t="s">
        <v>161</v>
      </c>
      <c r="J244" s="136" t="s">
        <v>27</v>
      </c>
      <c r="K244" s="160"/>
      <c r="L244" s="187">
        <v>5.0</v>
      </c>
      <c r="M244" s="203">
        <v>3.5</v>
      </c>
      <c r="N244" s="160"/>
      <c r="O244" s="156" t="s">
        <v>830</v>
      </c>
      <c r="P244" s="156" t="s">
        <v>308</v>
      </c>
      <c r="Q244" s="160"/>
      <c r="R244" s="160"/>
      <c r="S244" s="160"/>
      <c r="T244" s="18"/>
      <c r="U244" s="18"/>
      <c r="V244" s="18"/>
      <c r="W244" s="18"/>
      <c r="X244" s="18"/>
      <c r="Y244" s="18"/>
      <c r="Z244" s="18"/>
      <c r="AA244" s="18"/>
    </row>
    <row r="245">
      <c r="A245" s="195" t="s">
        <v>119</v>
      </c>
      <c r="B245" s="236" t="s">
        <v>307</v>
      </c>
      <c r="C245" s="262" t="s">
        <v>822</v>
      </c>
      <c r="D245" s="229" t="s">
        <v>831</v>
      </c>
      <c r="E245" s="136" t="s">
        <v>53</v>
      </c>
      <c r="F245" s="233">
        <v>46122.0</v>
      </c>
      <c r="G245" s="233">
        <v>46122.0</v>
      </c>
      <c r="H245" s="223" t="s">
        <v>25</v>
      </c>
      <c r="I245" s="136" t="s">
        <v>161</v>
      </c>
      <c r="J245" s="136" t="s">
        <v>27</v>
      </c>
      <c r="K245" s="160"/>
      <c r="L245" s="301">
        <v>1.5</v>
      </c>
      <c r="M245" s="203">
        <v>1.5</v>
      </c>
      <c r="N245" s="160"/>
      <c r="O245" s="156" t="s">
        <v>832</v>
      </c>
      <c r="P245" s="156" t="s">
        <v>308</v>
      </c>
      <c r="Q245" s="160"/>
      <c r="R245" s="160"/>
      <c r="S245" s="160"/>
      <c r="T245" s="18"/>
      <c r="U245" s="18"/>
      <c r="V245" s="18"/>
      <c r="W245" s="18"/>
      <c r="X245" s="18"/>
      <c r="Y245" s="18"/>
      <c r="Z245" s="18"/>
      <c r="AA245" s="18"/>
    </row>
    <row r="246">
      <c r="A246" s="195" t="s">
        <v>64</v>
      </c>
      <c r="B246" s="293" t="s">
        <v>78</v>
      </c>
      <c r="C246" s="262" t="s">
        <v>824</v>
      </c>
      <c r="D246" s="229" t="s">
        <v>833</v>
      </c>
      <c r="E246" s="136" t="s">
        <v>53</v>
      </c>
      <c r="F246" s="233">
        <v>46122.0</v>
      </c>
      <c r="G246" s="233">
        <v>46122.0</v>
      </c>
      <c r="H246" s="223" t="s">
        <v>25</v>
      </c>
      <c r="I246" s="136" t="s">
        <v>161</v>
      </c>
      <c r="J246" s="136" t="s">
        <v>55</v>
      </c>
      <c r="K246" s="160"/>
      <c r="L246" s="301">
        <v>1.0</v>
      </c>
      <c r="M246" s="203">
        <v>1.0</v>
      </c>
      <c r="N246" s="160"/>
      <c r="O246" s="156" t="s">
        <v>834</v>
      </c>
      <c r="P246" s="160"/>
      <c r="Q246" s="160"/>
      <c r="R246" s="160"/>
      <c r="S246" s="160"/>
      <c r="T246" s="18"/>
      <c r="U246" s="18"/>
      <c r="V246" s="20"/>
      <c r="W246" s="20"/>
      <c r="X246" s="20"/>
      <c r="Y246" s="18"/>
      <c r="Z246" s="18"/>
      <c r="AA246" s="18"/>
    </row>
    <row r="247">
      <c r="A247" s="195" t="s">
        <v>64</v>
      </c>
      <c r="B247" s="298" t="s">
        <v>316</v>
      </c>
      <c r="C247" s="262" t="s">
        <v>835</v>
      </c>
      <c r="D247" s="229" t="s">
        <v>727</v>
      </c>
      <c r="E247" s="136" t="s">
        <v>53</v>
      </c>
      <c r="F247" s="233">
        <v>46122.0</v>
      </c>
      <c r="G247" s="233">
        <v>46122.0</v>
      </c>
      <c r="H247" s="223" t="s">
        <v>25</v>
      </c>
      <c r="I247" s="136" t="s">
        <v>161</v>
      </c>
      <c r="J247" s="136" t="s">
        <v>34</v>
      </c>
      <c r="K247" s="160"/>
      <c r="L247" s="301">
        <v>1.5</v>
      </c>
      <c r="M247" s="203">
        <v>1.5</v>
      </c>
      <c r="N247" s="160"/>
      <c r="O247" s="156" t="s">
        <v>836</v>
      </c>
      <c r="P247" s="160"/>
      <c r="Q247" s="160"/>
      <c r="R247" s="160"/>
      <c r="S247" s="160"/>
      <c r="T247" s="18"/>
      <c r="U247" s="18"/>
      <c r="V247" s="18"/>
      <c r="W247" s="18"/>
      <c r="X247" s="18"/>
      <c r="Y247" s="18"/>
      <c r="Z247" s="18"/>
      <c r="AA247" s="18"/>
    </row>
    <row r="248">
      <c r="A248" s="195" t="s">
        <v>119</v>
      </c>
      <c r="B248" s="298" t="s">
        <v>292</v>
      </c>
      <c r="C248" s="262" t="s">
        <v>837</v>
      </c>
      <c r="D248" s="229" t="s">
        <v>838</v>
      </c>
      <c r="E248" s="136" t="s">
        <v>53</v>
      </c>
      <c r="F248" s="233">
        <v>46122.0</v>
      </c>
      <c r="G248" s="233">
        <v>46122.0</v>
      </c>
      <c r="H248" s="223" t="s">
        <v>25</v>
      </c>
      <c r="I248" s="136" t="s">
        <v>161</v>
      </c>
      <c r="J248" s="136" t="s">
        <v>27</v>
      </c>
      <c r="K248" s="160"/>
      <c r="L248" s="301">
        <v>1.0</v>
      </c>
      <c r="M248" s="203">
        <v>1.0</v>
      </c>
      <c r="N248" s="160"/>
      <c r="O248" s="156"/>
      <c r="P248" s="156" t="s">
        <v>839</v>
      </c>
      <c r="Q248" s="160"/>
      <c r="R248" s="160"/>
      <c r="S248" s="160"/>
      <c r="T248" s="18"/>
      <c r="U248" s="18"/>
      <c r="V248" s="18"/>
      <c r="W248" s="20"/>
      <c r="X248" s="18"/>
      <c r="Y248" s="18"/>
      <c r="Z248" s="18"/>
      <c r="AA248" s="18"/>
    </row>
    <row r="249">
      <c r="A249" s="195" t="s">
        <v>166</v>
      </c>
      <c r="B249" s="298" t="s">
        <v>316</v>
      </c>
      <c r="C249" s="160"/>
      <c r="D249" s="229" t="s">
        <v>840</v>
      </c>
      <c r="E249" s="136" t="s">
        <v>53</v>
      </c>
      <c r="F249" s="233">
        <v>46122.0</v>
      </c>
      <c r="G249" s="233">
        <v>46122.0</v>
      </c>
      <c r="H249" s="223" t="s">
        <v>79</v>
      </c>
      <c r="I249" s="136" t="s">
        <v>161</v>
      </c>
      <c r="J249" s="136" t="s">
        <v>34</v>
      </c>
      <c r="K249" s="160"/>
      <c r="L249" s="301">
        <v>6.0</v>
      </c>
      <c r="M249" s="203">
        <v>5.0</v>
      </c>
      <c r="N249" s="160"/>
      <c r="O249" s="160"/>
      <c r="P249" s="160"/>
      <c r="Q249" s="160"/>
      <c r="R249" s="160"/>
      <c r="S249" s="160"/>
      <c r="T249" s="18"/>
      <c r="U249" s="18"/>
      <c r="V249" s="18"/>
      <c r="W249" s="18"/>
      <c r="X249" s="18"/>
      <c r="Y249" s="18"/>
      <c r="Z249" s="18"/>
      <c r="AA249" s="18"/>
    </row>
    <row r="250">
      <c r="A250" s="195" t="s">
        <v>119</v>
      </c>
      <c r="B250" s="298" t="s">
        <v>316</v>
      </c>
      <c r="C250" s="262" t="s">
        <v>841</v>
      </c>
      <c r="D250" s="229" t="s">
        <v>842</v>
      </c>
      <c r="E250" s="136" t="s">
        <v>53</v>
      </c>
      <c r="F250" s="233">
        <v>46122.0</v>
      </c>
      <c r="G250" s="233">
        <v>46122.0</v>
      </c>
      <c r="H250" s="223" t="s">
        <v>25</v>
      </c>
      <c r="I250" s="136" t="s">
        <v>161</v>
      </c>
      <c r="J250" s="136" t="s">
        <v>34</v>
      </c>
      <c r="K250" s="160"/>
      <c r="L250" s="301">
        <v>3.5</v>
      </c>
      <c r="M250" s="203">
        <v>3.15</v>
      </c>
      <c r="N250" s="160"/>
      <c r="O250" s="156" t="s">
        <v>843</v>
      </c>
      <c r="P250" s="160"/>
      <c r="Q250" s="160"/>
      <c r="R250" s="160"/>
      <c r="S250" s="160"/>
      <c r="T250" s="18"/>
      <c r="U250" s="18"/>
      <c r="V250" s="18"/>
      <c r="W250" s="18"/>
      <c r="X250" s="18"/>
      <c r="Y250" s="18"/>
      <c r="Z250" s="18"/>
      <c r="AA250" s="18"/>
    </row>
    <row r="251">
      <c r="A251" s="195" t="s">
        <v>119</v>
      </c>
      <c r="B251" s="224" t="s">
        <v>729</v>
      </c>
      <c r="C251" s="262" t="s">
        <v>844</v>
      </c>
      <c r="D251" s="229" t="s">
        <v>845</v>
      </c>
      <c r="E251" s="136" t="s">
        <v>53</v>
      </c>
      <c r="F251" s="233">
        <v>46125.0</v>
      </c>
      <c r="G251" s="233">
        <v>46125.0</v>
      </c>
      <c r="H251" s="223" t="s">
        <v>25</v>
      </c>
      <c r="I251" s="136" t="s">
        <v>161</v>
      </c>
      <c r="J251" s="136" t="s">
        <v>34</v>
      </c>
      <c r="K251" s="160"/>
      <c r="L251" s="301">
        <v>5.0</v>
      </c>
      <c r="M251" s="203">
        <v>2.0</v>
      </c>
      <c r="N251" s="160"/>
      <c r="O251" s="156" t="s">
        <v>846</v>
      </c>
      <c r="P251" s="160"/>
      <c r="Q251" s="160"/>
      <c r="R251" s="160"/>
      <c r="S251" s="160"/>
      <c r="T251" s="18"/>
      <c r="U251" s="18"/>
      <c r="V251" s="18"/>
      <c r="W251" s="18"/>
      <c r="X251" s="18"/>
      <c r="Y251" s="18"/>
      <c r="Z251" s="18"/>
      <c r="AA251" s="18"/>
    </row>
    <row r="252">
      <c r="A252" s="195" t="s">
        <v>119</v>
      </c>
      <c r="B252" s="224" t="s">
        <v>729</v>
      </c>
      <c r="C252" s="262" t="s">
        <v>847</v>
      </c>
      <c r="D252" s="229" t="s">
        <v>848</v>
      </c>
      <c r="E252" s="136" t="s">
        <v>53</v>
      </c>
      <c r="F252" s="233">
        <v>46125.0</v>
      </c>
      <c r="G252" s="233">
        <v>46125.0</v>
      </c>
      <c r="H252" s="223" t="s">
        <v>25</v>
      </c>
      <c r="I252" s="136" t="s">
        <v>161</v>
      </c>
      <c r="J252" s="136" t="s">
        <v>55</v>
      </c>
      <c r="K252" s="160"/>
      <c r="L252" s="301">
        <v>0.5</v>
      </c>
      <c r="M252" s="203">
        <v>1.0</v>
      </c>
      <c r="N252" s="160"/>
      <c r="O252" s="156" t="s">
        <v>846</v>
      </c>
      <c r="P252" s="160"/>
      <c r="Q252" s="160"/>
      <c r="R252" s="160"/>
      <c r="S252" s="160"/>
      <c r="T252" s="18"/>
      <c r="U252" s="18"/>
      <c r="V252" s="18"/>
      <c r="W252" s="18"/>
      <c r="X252" s="18"/>
      <c r="Y252" s="18"/>
      <c r="Z252" s="18"/>
      <c r="AA252" s="18"/>
    </row>
    <row r="253">
      <c r="A253" s="195" t="s">
        <v>166</v>
      </c>
      <c r="B253" s="298" t="s">
        <v>316</v>
      </c>
      <c r="C253" s="160"/>
      <c r="D253" s="229" t="s">
        <v>849</v>
      </c>
      <c r="E253" s="136" t="s">
        <v>53</v>
      </c>
      <c r="F253" s="233">
        <v>46125.0</v>
      </c>
      <c r="G253" s="233">
        <v>46125.0</v>
      </c>
      <c r="H253" s="223" t="s">
        <v>79</v>
      </c>
      <c r="I253" s="136" t="s">
        <v>161</v>
      </c>
      <c r="J253" s="136" t="s">
        <v>34</v>
      </c>
      <c r="K253" s="160"/>
      <c r="L253" s="301">
        <v>2.0</v>
      </c>
      <c r="M253" s="203">
        <v>2.0</v>
      </c>
      <c r="N253" s="160"/>
      <c r="O253" s="160"/>
      <c r="P253" s="160"/>
      <c r="Q253" s="160"/>
      <c r="R253" s="160"/>
      <c r="S253" s="160"/>
      <c r="T253" s="18"/>
      <c r="U253" s="18"/>
      <c r="V253" s="18"/>
      <c r="W253" s="18"/>
      <c r="X253" s="18"/>
      <c r="Y253" s="18"/>
      <c r="Z253" s="18"/>
      <c r="AA253" s="18"/>
    </row>
    <row r="254">
      <c r="A254" s="195" t="s">
        <v>119</v>
      </c>
      <c r="B254" s="293" t="s">
        <v>301</v>
      </c>
      <c r="C254" s="262" t="s">
        <v>850</v>
      </c>
      <c r="D254" s="229" t="s">
        <v>851</v>
      </c>
      <c r="E254" s="136" t="s">
        <v>53</v>
      </c>
      <c r="F254" s="233">
        <v>46125.0</v>
      </c>
      <c r="G254" s="233">
        <v>46125.0</v>
      </c>
      <c r="H254" s="223" t="s">
        <v>25</v>
      </c>
      <c r="I254" s="136" t="s">
        <v>161</v>
      </c>
      <c r="J254" s="136" t="s">
        <v>55</v>
      </c>
      <c r="K254" s="160"/>
      <c r="L254" s="301">
        <v>1.0</v>
      </c>
      <c r="M254" s="203">
        <v>1.0</v>
      </c>
      <c r="N254" s="160"/>
      <c r="O254" s="156" t="s">
        <v>852</v>
      </c>
      <c r="P254" s="160"/>
      <c r="Q254" s="160"/>
      <c r="R254" s="160"/>
      <c r="S254" s="160"/>
      <c r="T254" s="18"/>
      <c r="U254" s="18"/>
      <c r="V254" s="18"/>
      <c r="W254" s="20"/>
      <c r="X254" s="18"/>
      <c r="Y254" s="18"/>
      <c r="Z254" s="18"/>
      <c r="AA254" s="18"/>
    </row>
    <row r="255">
      <c r="A255" s="195" t="s">
        <v>22</v>
      </c>
      <c r="B255" s="224" t="s">
        <v>301</v>
      </c>
      <c r="C255" s="262" t="s">
        <v>853</v>
      </c>
      <c r="D255" s="229" t="s">
        <v>854</v>
      </c>
      <c r="E255" s="136" t="s">
        <v>53</v>
      </c>
      <c r="F255" s="233">
        <v>46125.0</v>
      </c>
      <c r="G255" s="233">
        <v>46125.0</v>
      </c>
      <c r="H255" s="223" t="s">
        <v>25</v>
      </c>
      <c r="I255" s="136" t="s">
        <v>161</v>
      </c>
      <c r="J255" s="136" t="s">
        <v>55</v>
      </c>
      <c r="K255" s="160"/>
      <c r="L255" s="301">
        <v>0.5</v>
      </c>
      <c r="M255" s="203">
        <v>0.5</v>
      </c>
      <c r="N255" s="160"/>
      <c r="O255" s="156" t="s">
        <v>855</v>
      </c>
      <c r="P255" s="160"/>
      <c r="Q255" s="160"/>
      <c r="R255" s="160"/>
      <c r="S255" s="160"/>
      <c r="T255" s="18"/>
      <c r="U255" s="18"/>
      <c r="V255" s="18"/>
      <c r="W255" s="20"/>
      <c r="X255" s="18"/>
      <c r="Y255" s="18"/>
      <c r="Z255" s="18"/>
      <c r="AA255" s="18"/>
    </row>
    <row r="256">
      <c r="A256" s="195" t="s">
        <v>119</v>
      </c>
      <c r="B256" s="293" t="s">
        <v>301</v>
      </c>
      <c r="C256" s="262" t="s">
        <v>856</v>
      </c>
      <c r="D256" s="229" t="s">
        <v>857</v>
      </c>
      <c r="E256" s="136" t="s">
        <v>53</v>
      </c>
      <c r="F256" s="233">
        <v>46125.0</v>
      </c>
      <c r="G256" s="233">
        <v>46125.0</v>
      </c>
      <c r="H256" s="223" t="s">
        <v>25</v>
      </c>
      <c r="I256" s="136" t="s">
        <v>161</v>
      </c>
      <c r="J256" s="136" t="s">
        <v>55</v>
      </c>
      <c r="K256" s="160"/>
      <c r="L256" s="301">
        <v>1.0</v>
      </c>
      <c r="M256" s="203">
        <v>1.0</v>
      </c>
      <c r="N256" s="160"/>
      <c r="O256" s="156" t="s">
        <v>852</v>
      </c>
      <c r="P256" s="160"/>
      <c r="Q256" s="160"/>
      <c r="R256" s="160"/>
      <c r="S256" s="160"/>
      <c r="T256" s="18"/>
      <c r="U256" s="18"/>
      <c r="V256" s="18"/>
      <c r="W256" s="20"/>
      <c r="X256" s="18"/>
      <c r="Y256" s="18"/>
      <c r="Z256" s="18"/>
      <c r="AA256" s="18"/>
    </row>
    <row r="257">
      <c r="A257" s="306" t="s">
        <v>140</v>
      </c>
      <c r="B257" s="298" t="s">
        <v>858</v>
      </c>
      <c r="C257" s="262" t="s">
        <v>859</v>
      </c>
      <c r="D257" s="229" t="s">
        <v>860</v>
      </c>
      <c r="E257" s="136" t="s">
        <v>53</v>
      </c>
      <c r="F257" s="233">
        <v>46125.0</v>
      </c>
      <c r="G257" s="233">
        <v>46126.0</v>
      </c>
      <c r="H257" s="223" t="s">
        <v>25</v>
      </c>
      <c r="I257" s="136" t="s">
        <v>161</v>
      </c>
      <c r="J257" s="136" t="s">
        <v>55</v>
      </c>
      <c r="K257" s="160"/>
      <c r="L257" s="301">
        <v>4.0</v>
      </c>
      <c r="M257" s="203">
        <v>3.0</v>
      </c>
      <c r="N257" s="160"/>
      <c r="O257" s="156" t="s">
        <v>861</v>
      </c>
      <c r="P257" s="160"/>
      <c r="Q257" s="160"/>
      <c r="R257" s="160"/>
      <c r="S257" s="160"/>
      <c r="T257" s="18"/>
      <c r="U257" s="18"/>
      <c r="V257" s="18"/>
      <c r="W257" s="18"/>
      <c r="X257" s="18"/>
      <c r="Y257" s="18"/>
      <c r="Z257" s="18"/>
      <c r="AA257" s="18"/>
    </row>
    <row r="258">
      <c r="A258" s="195" t="s">
        <v>119</v>
      </c>
      <c r="B258" s="298" t="s">
        <v>716</v>
      </c>
      <c r="C258" s="262" t="s">
        <v>862</v>
      </c>
      <c r="D258" s="229" t="s">
        <v>863</v>
      </c>
      <c r="E258" s="136" t="s">
        <v>53</v>
      </c>
      <c r="F258" s="233">
        <v>46125.0</v>
      </c>
      <c r="G258" s="233">
        <v>46125.0</v>
      </c>
      <c r="H258" s="223" t="s">
        <v>79</v>
      </c>
      <c r="I258" s="136" t="s">
        <v>161</v>
      </c>
      <c r="J258" s="136" t="s">
        <v>34</v>
      </c>
      <c r="K258" s="160"/>
      <c r="L258" s="301">
        <v>2.0</v>
      </c>
      <c r="M258" s="203">
        <v>1.0</v>
      </c>
      <c r="N258" s="160"/>
      <c r="O258" s="160"/>
      <c r="P258" s="160"/>
      <c r="Q258" s="160"/>
      <c r="R258" s="160"/>
      <c r="S258" s="160"/>
      <c r="T258" s="18"/>
      <c r="U258" s="18"/>
      <c r="V258" s="18"/>
      <c r="W258" s="18"/>
      <c r="X258" s="18"/>
      <c r="Y258" s="18"/>
      <c r="Z258" s="18"/>
      <c r="AA258" s="18"/>
    </row>
    <row r="259">
      <c r="A259" s="195" t="s">
        <v>119</v>
      </c>
      <c r="B259" s="298" t="s">
        <v>864</v>
      </c>
      <c r="C259" s="262" t="s">
        <v>865</v>
      </c>
      <c r="D259" s="229" t="s">
        <v>866</v>
      </c>
      <c r="E259" s="136" t="s">
        <v>53</v>
      </c>
      <c r="F259" s="233">
        <v>46125.0</v>
      </c>
      <c r="G259" s="233">
        <v>46125.0</v>
      </c>
      <c r="H259" s="203" t="s">
        <v>793</v>
      </c>
      <c r="I259" s="136" t="s">
        <v>161</v>
      </c>
      <c r="J259" s="136" t="s">
        <v>34</v>
      </c>
      <c r="K259" s="160"/>
      <c r="L259" s="301">
        <v>6.0</v>
      </c>
      <c r="M259" s="203">
        <v>7.0</v>
      </c>
      <c r="N259" s="160"/>
      <c r="O259" s="160"/>
      <c r="P259" s="160"/>
      <c r="Q259" s="160"/>
      <c r="R259" s="160"/>
      <c r="S259" s="160"/>
      <c r="T259" s="18"/>
      <c r="U259" s="18"/>
      <c r="V259" s="18"/>
      <c r="W259" s="18"/>
      <c r="X259" s="18"/>
      <c r="Y259" s="18"/>
      <c r="Z259" s="18"/>
      <c r="AA259" s="18"/>
    </row>
    <row r="260">
      <c r="A260" s="195" t="s">
        <v>119</v>
      </c>
      <c r="B260" s="298" t="s">
        <v>858</v>
      </c>
      <c r="C260" s="262" t="s">
        <v>867</v>
      </c>
      <c r="D260" s="229" t="s">
        <v>868</v>
      </c>
      <c r="E260" s="136" t="s">
        <v>53</v>
      </c>
      <c r="F260" s="233">
        <v>46126.0</v>
      </c>
      <c r="G260" s="233">
        <v>46126.0</v>
      </c>
      <c r="H260" s="223" t="s">
        <v>25</v>
      </c>
      <c r="I260" s="136" t="s">
        <v>161</v>
      </c>
      <c r="J260" s="136" t="s">
        <v>55</v>
      </c>
      <c r="K260" s="160"/>
      <c r="L260" s="301">
        <v>9.0</v>
      </c>
      <c r="M260" s="203">
        <v>8.5</v>
      </c>
      <c r="N260" s="160"/>
      <c r="O260" s="160"/>
      <c r="P260" s="160"/>
      <c r="Q260" s="160"/>
      <c r="R260" s="160"/>
      <c r="S260" s="160"/>
      <c r="T260" s="18"/>
      <c r="U260" s="18"/>
      <c r="V260" s="18"/>
      <c r="W260" s="18"/>
      <c r="X260" s="18"/>
      <c r="Y260" s="18"/>
      <c r="Z260" s="18"/>
      <c r="AA260" s="18"/>
    </row>
    <row r="261">
      <c r="A261" s="195" t="s">
        <v>246</v>
      </c>
      <c r="B261" s="298" t="s">
        <v>716</v>
      </c>
      <c r="C261" s="262" t="s">
        <v>869</v>
      </c>
      <c r="D261" s="229" t="s">
        <v>870</v>
      </c>
      <c r="E261" s="136" t="s">
        <v>53</v>
      </c>
      <c r="F261" s="233">
        <v>46126.0</v>
      </c>
      <c r="G261" s="233">
        <v>46126.0</v>
      </c>
      <c r="H261" s="223" t="s">
        <v>25</v>
      </c>
      <c r="I261" s="136" t="s">
        <v>161</v>
      </c>
      <c r="J261" s="136" t="s">
        <v>55</v>
      </c>
      <c r="K261" s="160"/>
      <c r="L261" s="301">
        <v>0.5</v>
      </c>
      <c r="M261" s="203">
        <v>0.5</v>
      </c>
      <c r="N261" s="160"/>
      <c r="O261" s="160"/>
      <c r="P261" s="160"/>
      <c r="Q261" s="160"/>
      <c r="R261" s="160"/>
      <c r="S261" s="160"/>
      <c r="T261" s="18"/>
      <c r="U261" s="18"/>
      <c r="V261" s="18"/>
      <c r="W261" s="18"/>
      <c r="X261" s="18"/>
      <c r="Y261" s="18"/>
      <c r="Z261" s="18"/>
      <c r="AA261" s="18"/>
    </row>
    <row r="262">
      <c r="A262" s="195" t="s">
        <v>64</v>
      </c>
      <c r="B262" s="236" t="s">
        <v>266</v>
      </c>
      <c r="C262" s="262" t="s">
        <v>869</v>
      </c>
      <c r="D262" s="219" t="s">
        <v>745</v>
      </c>
      <c r="E262" s="136" t="s">
        <v>53</v>
      </c>
      <c r="F262" s="233">
        <v>46112.0</v>
      </c>
      <c r="G262" s="233">
        <v>46112.0</v>
      </c>
      <c r="H262" s="223" t="s">
        <v>400</v>
      </c>
      <c r="I262" s="136" t="s">
        <v>161</v>
      </c>
      <c r="J262" s="136" t="s">
        <v>34</v>
      </c>
      <c r="K262" s="227"/>
      <c r="L262" s="223">
        <v>1.0</v>
      </c>
      <c r="M262" s="203">
        <v>1.0</v>
      </c>
      <c r="N262" s="206"/>
      <c r="O262" s="206"/>
      <c r="P262" s="160"/>
      <c r="Q262" s="206"/>
      <c r="R262" s="206"/>
      <c r="S262" s="206"/>
      <c r="T262" s="209"/>
      <c r="U262" s="209"/>
      <c r="V262" s="209"/>
      <c r="W262" s="209"/>
      <c r="X262" s="209"/>
      <c r="Y262" s="18"/>
      <c r="Z262" s="18"/>
      <c r="AA262" s="18"/>
    </row>
    <row r="263">
      <c r="A263" s="195" t="s">
        <v>166</v>
      </c>
      <c r="B263" s="298" t="s">
        <v>316</v>
      </c>
      <c r="C263" s="160"/>
      <c r="D263" s="229" t="s">
        <v>871</v>
      </c>
      <c r="E263" s="136" t="s">
        <v>53</v>
      </c>
      <c r="F263" s="233">
        <v>46127.0</v>
      </c>
      <c r="G263" s="233"/>
      <c r="H263" s="223" t="s">
        <v>79</v>
      </c>
      <c r="I263" s="136" t="s">
        <v>161</v>
      </c>
      <c r="J263" s="136" t="s">
        <v>34</v>
      </c>
      <c r="K263" s="160"/>
      <c r="L263" s="301">
        <v>5.0</v>
      </c>
      <c r="M263" s="203">
        <v>5.0</v>
      </c>
      <c r="N263" s="160"/>
      <c r="O263" s="160"/>
      <c r="P263" s="160"/>
      <c r="Q263" s="160"/>
      <c r="R263" s="160"/>
      <c r="S263" s="160"/>
      <c r="T263" s="18"/>
      <c r="U263" s="18"/>
      <c r="V263" s="18"/>
      <c r="W263" s="18"/>
      <c r="X263" s="18"/>
      <c r="Y263" s="18"/>
      <c r="Z263" s="18"/>
      <c r="AA263" s="18"/>
    </row>
    <row r="264">
      <c r="A264" s="195" t="s">
        <v>119</v>
      </c>
      <c r="B264" s="224" t="s">
        <v>729</v>
      </c>
      <c r="C264" s="262"/>
      <c r="D264" s="229" t="s">
        <v>872</v>
      </c>
      <c r="E264" s="136" t="s">
        <v>53</v>
      </c>
      <c r="F264" s="233"/>
      <c r="G264" s="160"/>
      <c r="H264" s="223" t="s">
        <v>79</v>
      </c>
      <c r="I264" s="136" t="s">
        <v>44</v>
      </c>
      <c r="J264" s="136" t="s">
        <v>34</v>
      </c>
      <c r="K264" s="160"/>
      <c r="L264" s="301">
        <v>5.0</v>
      </c>
      <c r="M264" s="203">
        <v>0.0</v>
      </c>
      <c r="N264" s="160"/>
      <c r="O264" s="156" t="s">
        <v>308</v>
      </c>
      <c r="P264" s="160"/>
      <c r="Q264" s="160"/>
      <c r="R264" s="160"/>
      <c r="S264" s="160"/>
      <c r="T264" s="18"/>
      <c r="U264" s="18"/>
      <c r="V264" s="18"/>
      <c r="W264" s="18"/>
      <c r="X264" s="18"/>
      <c r="Y264" s="18"/>
      <c r="Z264" s="18"/>
      <c r="AA264" s="18"/>
    </row>
    <row r="265">
      <c r="A265" s="306" t="s">
        <v>140</v>
      </c>
      <c r="B265" s="298" t="s">
        <v>716</v>
      </c>
      <c r="C265" s="262"/>
      <c r="D265" s="229" t="s">
        <v>873</v>
      </c>
      <c r="E265" s="136" t="s">
        <v>53</v>
      </c>
      <c r="F265" s="233">
        <v>46127.0</v>
      </c>
      <c r="G265" s="233">
        <v>46127.0</v>
      </c>
      <c r="H265" s="223" t="s">
        <v>79</v>
      </c>
      <c r="I265" s="136" t="s">
        <v>161</v>
      </c>
      <c r="J265" s="136" t="s">
        <v>55</v>
      </c>
      <c r="K265" s="160"/>
      <c r="L265" s="301"/>
      <c r="M265" s="203"/>
      <c r="N265" s="160"/>
      <c r="O265" s="160"/>
      <c r="P265" s="160"/>
      <c r="Q265" s="160"/>
      <c r="R265" s="160"/>
      <c r="S265" s="160"/>
      <c r="T265" s="18"/>
      <c r="U265" s="18"/>
      <c r="V265" s="18"/>
      <c r="W265" s="18"/>
      <c r="X265" s="18"/>
      <c r="Y265" s="18"/>
      <c r="Z265" s="18"/>
      <c r="AA265" s="18"/>
    </row>
    <row r="266">
      <c r="A266" s="195" t="s">
        <v>119</v>
      </c>
      <c r="B266" s="298" t="s">
        <v>858</v>
      </c>
      <c r="C266" s="262" t="s">
        <v>874</v>
      </c>
      <c r="D266" s="229" t="s">
        <v>875</v>
      </c>
      <c r="E266" s="136" t="s">
        <v>53</v>
      </c>
      <c r="F266" s="233">
        <v>46127.0</v>
      </c>
      <c r="G266" s="233">
        <v>46127.0</v>
      </c>
      <c r="H266" s="223" t="s">
        <v>25</v>
      </c>
      <c r="I266" s="136" t="s">
        <v>161</v>
      </c>
      <c r="J266" s="136" t="s">
        <v>55</v>
      </c>
      <c r="K266" s="160"/>
      <c r="L266" s="301">
        <v>4.0</v>
      </c>
      <c r="M266" s="203">
        <v>3.45</v>
      </c>
      <c r="N266" s="160"/>
      <c r="O266" s="160"/>
      <c r="P266" s="160"/>
      <c r="Q266" s="160"/>
      <c r="R266" s="160"/>
      <c r="S266" s="160"/>
      <c r="T266" s="18"/>
      <c r="U266" s="18"/>
      <c r="V266" s="18"/>
      <c r="W266" s="18"/>
      <c r="X266" s="18"/>
      <c r="Y266" s="18"/>
      <c r="Z266" s="18"/>
      <c r="AA266" s="18"/>
    </row>
    <row r="267">
      <c r="A267" s="172"/>
      <c r="B267" s="298" t="s">
        <v>876</v>
      </c>
      <c r="C267" s="262" t="s">
        <v>877</v>
      </c>
      <c r="D267" s="156" t="s">
        <v>878</v>
      </c>
      <c r="E267" s="307" t="s">
        <v>53</v>
      </c>
      <c r="F267" s="233">
        <v>46127.0</v>
      </c>
      <c r="G267" s="233">
        <v>46127.0</v>
      </c>
      <c r="H267" s="223" t="s">
        <v>25</v>
      </c>
      <c r="I267" s="136" t="s">
        <v>161</v>
      </c>
      <c r="J267" s="136" t="s">
        <v>55</v>
      </c>
      <c r="K267" s="160"/>
      <c r="L267" s="301">
        <v>3.5</v>
      </c>
      <c r="M267" s="203">
        <v>3.15</v>
      </c>
      <c r="N267" s="160"/>
      <c r="O267" s="160"/>
      <c r="P267" s="160"/>
      <c r="Q267" s="160"/>
      <c r="R267" s="160"/>
      <c r="S267" s="160"/>
      <c r="T267" s="18"/>
      <c r="U267" s="18"/>
      <c r="V267" s="18"/>
      <c r="W267" s="18"/>
      <c r="X267" s="18"/>
      <c r="Y267" s="18"/>
      <c r="Z267" s="18"/>
      <c r="AA267" s="18"/>
    </row>
    <row r="268">
      <c r="A268" s="172"/>
      <c r="B268" s="298" t="s">
        <v>876</v>
      </c>
      <c r="C268" s="262" t="s">
        <v>877</v>
      </c>
      <c r="D268" s="156" t="s">
        <v>879</v>
      </c>
      <c r="E268" s="307" t="s">
        <v>53</v>
      </c>
      <c r="F268" s="233">
        <v>46127.0</v>
      </c>
      <c r="G268" s="233">
        <v>46127.0</v>
      </c>
      <c r="H268" s="223" t="s">
        <v>79</v>
      </c>
      <c r="I268" s="136" t="s">
        <v>161</v>
      </c>
      <c r="J268" s="136" t="s">
        <v>55</v>
      </c>
      <c r="K268" s="160"/>
      <c r="L268" s="301">
        <v>4.0</v>
      </c>
      <c r="M268" s="203">
        <v>2.0</v>
      </c>
      <c r="N268" s="160"/>
      <c r="O268" s="160"/>
      <c r="P268" s="160"/>
      <c r="Q268" s="160"/>
      <c r="R268" s="160"/>
      <c r="S268" s="160"/>
      <c r="T268" s="18"/>
      <c r="U268" s="18"/>
      <c r="V268" s="18"/>
      <c r="W268" s="18"/>
      <c r="X268" s="18"/>
      <c r="Y268" s="18"/>
      <c r="Z268" s="18"/>
      <c r="AA268" s="18"/>
    </row>
    <row r="269">
      <c r="A269" s="195" t="s">
        <v>22</v>
      </c>
      <c r="B269" s="293" t="s">
        <v>301</v>
      </c>
      <c r="C269" s="262" t="s">
        <v>880</v>
      </c>
      <c r="D269" s="308" t="s">
        <v>881</v>
      </c>
      <c r="E269" s="136" t="s">
        <v>53</v>
      </c>
      <c r="F269" s="233">
        <v>46127.0</v>
      </c>
      <c r="G269" s="233">
        <v>46127.0</v>
      </c>
      <c r="H269" s="223" t="s">
        <v>25</v>
      </c>
      <c r="I269" s="136" t="s">
        <v>161</v>
      </c>
      <c r="J269" s="136" t="s">
        <v>55</v>
      </c>
      <c r="K269" s="160"/>
      <c r="L269" s="301">
        <v>0.5</v>
      </c>
      <c r="M269" s="203">
        <v>1.0</v>
      </c>
      <c r="N269" s="160"/>
      <c r="O269" s="160"/>
      <c r="P269" s="160"/>
      <c r="Q269" s="160"/>
      <c r="R269" s="160"/>
      <c r="S269" s="160"/>
      <c r="T269" s="18"/>
      <c r="U269" s="18"/>
      <c r="V269" s="18"/>
      <c r="W269" s="20"/>
      <c r="X269" s="18"/>
      <c r="Y269" s="18"/>
      <c r="Z269" s="18"/>
      <c r="AA269" s="18"/>
    </row>
    <row r="270">
      <c r="A270" s="195" t="s">
        <v>166</v>
      </c>
      <c r="B270" s="298" t="s">
        <v>316</v>
      </c>
      <c r="C270" s="262" t="s">
        <v>882</v>
      </c>
      <c r="D270" s="309" t="s">
        <v>883</v>
      </c>
      <c r="E270" s="136" t="s">
        <v>53</v>
      </c>
      <c r="F270" s="233">
        <v>46127.0</v>
      </c>
      <c r="G270" s="233">
        <v>46127.0</v>
      </c>
      <c r="H270" s="223" t="s">
        <v>79</v>
      </c>
      <c r="I270" s="136" t="s">
        <v>161</v>
      </c>
      <c r="J270" s="301" t="s">
        <v>34</v>
      </c>
      <c r="K270" s="160"/>
      <c r="L270" s="301">
        <v>0.5</v>
      </c>
      <c r="M270" s="203">
        <v>0.5</v>
      </c>
      <c r="N270" s="160"/>
      <c r="O270" s="160"/>
      <c r="P270" s="160"/>
      <c r="Q270" s="160"/>
      <c r="R270" s="160"/>
      <c r="S270" s="160"/>
      <c r="T270" s="18"/>
      <c r="U270" s="18"/>
      <c r="V270" s="18"/>
      <c r="W270" s="18"/>
      <c r="X270" s="18"/>
      <c r="Y270" s="18"/>
      <c r="Z270" s="18"/>
      <c r="AA270" s="18"/>
    </row>
    <row r="271">
      <c r="A271" s="231"/>
      <c r="B271" s="298" t="s">
        <v>313</v>
      </c>
      <c r="C271" s="262" t="s">
        <v>884</v>
      </c>
      <c r="D271" s="229" t="s">
        <v>885</v>
      </c>
      <c r="E271" s="136" t="s">
        <v>53</v>
      </c>
      <c r="F271" s="233">
        <v>46127.0</v>
      </c>
      <c r="G271" s="233">
        <v>46127.0</v>
      </c>
      <c r="H271" s="223" t="s">
        <v>79</v>
      </c>
      <c r="I271" s="136" t="s">
        <v>161</v>
      </c>
      <c r="J271" s="301" t="s">
        <v>34</v>
      </c>
      <c r="K271" s="160"/>
      <c r="L271" s="301">
        <v>0.5</v>
      </c>
      <c r="M271" s="203">
        <v>0.5</v>
      </c>
      <c r="N271" s="160"/>
      <c r="O271" s="160"/>
      <c r="P271" s="160"/>
      <c r="Q271" s="160"/>
      <c r="R271" s="160"/>
      <c r="S271" s="160"/>
      <c r="T271" s="18"/>
      <c r="U271" s="18"/>
      <c r="V271" s="18"/>
      <c r="W271" s="18"/>
      <c r="X271" s="18"/>
      <c r="Y271" s="18"/>
      <c r="Z271" s="18"/>
      <c r="AA271" s="18"/>
    </row>
    <row r="272">
      <c r="A272" s="306" t="s">
        <v>201</v>
      </c>
      <c r="B272" s="224" t="s">
        <v>886</v>
      </c>
      <c r="C272" s="262" t="s">
        <v>887</v>
      </c>
      <c r="D272" s="229" t="s">
        <v>888</v>
      </c>
      <c r="E272" s="307" t="s">
        <v>53</v>
      </c>
      <c r="F272" s="233">
        <v>46128.0</v>
      </c>
      <c r="G272" s="233">
        <v>46128.0</v>
      </c>
      <c r="H272" s="223" t="s">
        <v>25</v>
      </c>
      <c r="I272" s="136" t="s">
        <v>161</v>
      </c>
      <c r="J272" s="301" t="s">
        <v>34</v>
      </c>
      <c r="K272" s="160"/>
      <c r="L272" s="301">
        <v>5.0</v>
      </c>
      <c r="M272" s="203">
        <v>5.0</v>
      </c>
      <c r="N272" s="160"/>
      <c r="O272" s="160"/>
      <c r="P272" s="160"/>
      <c r="Q272" s="160"/>
      <c r="R272" s="160"/>
      <c r="S272" s="160"/>
      <c r="T272" s="18"/>
      <c r="U272" s="18"/>
      <c r="V272" s="18"/>
      <c r="W272" s="18"/>
      <c r="X272" s="18"/>
      <c r="Y272" s="18"/>
      <c r="Z272" s="18"/>
      <c r="AA272" s="18"/>
    </row>
    <row r="273">
      <c r="A273" s="195" t="s">
        <v>22</v>
      </c>
      <c r="B273" s="293" t="s">
        <v>301</v>
      </c>
      <c r="C273" s="262" t="s">
        <v>889</v>
      </c>
      <c r="D273" s="229" t="s">
        <v>890</v>
      </c>
      <c r="E273" s="307" t="s">
        <v>53</v>
      </c>
      <c r="F273" s="233">
        <v>46128.0</v>
      </c>
      <c r="G273" s="233">
        <v>46128.0</v>
      </c>
      <c r="H273" s="223" t="s">
        <v>25</v>
      </c>
      <c r="I273" s="136" t="s">
        <v>161</v>
      </c>
      <c r="J273" s="301" t="s">
        <v>55</v>
      </c>
      <c r="K273" s="160"/>
      <c r="L273" s="301">
        <v>0.5</v>
      </c>
      <c r="M273" s="203">
        <v>0.5</v>
      </c>
      <c r="N273" s="160"/>
      <c r="O273" s="160"/>
      <c r="P273" s="160"/>
      <c r="Q273" s="160"/>
      <c r="R273" s="160"/>
      <c r="S273" s="160"/>
      <c r="T273" s="18"/>
      <c r="U273" s="18"/>
      <c r="V273" s="18"/>
      <c r="W273" s="20"/>
      <c r="X273" s="18"/>
      <c r="Y273" s="18"/>
      <c r="Z273" s="18"/>
      <c r="AA273" s="18"/>
    </row>
    <row r="274">
      <c r="A274" s="195" t="s">
        <v>22</v>
      </c>
      <c r="B274" s="293" t="s">
        <v>301</v>
      </c>
      <c r="C274" s="262" t="s">
        <v>889</v>
      </c>
      <c r="D274" s="229" t="s">
        <v>891</v>
      </c>
      <c r="E274" s="307" t="s">
        <v>53</v>
      </c>
      <c r="F274" s="233">
        <v>46128.0</v>
      </c>
      <c r="G274" s="233">
        <v>46128.0</v>
      </c>
      <c r="H274" s="223" t="s">
        <v>25</v>
      </c>
      <c r="I274" s="136" t="s">
        <v>161</v>
      </c>
      <c r="J274" s="301" t="s">
        <v>55</v>
      </c>
      <c r="K274" s="160"/>
      <c r="L274" s="301">
        <v>2.0</v>
      </c>
      <c r="M274" s="203">
        <v>1.5</v>
      </c>
      <c r="N274" s="160"/>
      <c r="O274" s="160"/>
      <c r="P274" s="160"/>
      <c r="Q274" s="160"/>
      <c r="R274" s="160"/>
      <c r="S274" s="160"/>
      <c r="T274" s="18"/>
      <c r="U274" s="18"/>
      <c r="V274" s="18"/>
      <c r="W274" s="20"/>
      <c r="X274" s="18"/>
      <c r="Y274" s="18"/>
      <c r="Z274" s="18"/>
      <c r="AA274" s="18"/>
    </row>
    <row r="275">
      <c r="A275" s="306" t="s">
        <v>201</v>
      </c>
      <c r="B275" s="298" t="s">
        <v>716</v>
      </c>
      <c r="C275" s="262" t="s">
        <v>892</v>
      </c>
      <c r="D275" s="229" t="s">
        <v>893</v>
      </c>
      <c r="E275" s="136" t="s">
        <v>53</v>
      </c>
      <c r="F275" s="233">
        <v>46128.0</v>
      </c>
      <c r="G275" s="233">
        <v>46128.0</v>
      </c>
      <c r="H275" s="223" t="s">
        <v>79</v>
      </c>
      <c r="I275" s="136" t="s">
        <v>161</v>
      </c>
      <c r="J275" s="136" t="s">
        <v>34</v>
      </c>
      <c r="K275" s="160"/>
      <c r="L275" s="301">
        <v>0.5</v>
      </c>
      <c r="M275" s="203">
        <v>0.5</v>
      </c>
      <c r="N275" s="160"/>
      <c r="O275" s="160"/>
      <c r="P275" s="160"/>
      <c r="Q275" s="160"/>
      <c r="R275" s="160"/>
      <c r="S275" s="160"/>
      <c r="T275" s="18"/>
      <c r="U275" s="18"/>
      <c r="V275" s="18"/>
      <c r="W275" s="18"/>
      <c r="X275" s="18"/>
      <c r="Y275" s="18"/>
      <c r="Z275" s="18"/>
      <c r="AA275" s="18"/>
    </row>
    <row r="276">
      <c r="A276" s="195" t="s">
        <v>64</v>
      </c>
      <c r="B276" s="310" t="s">
        <v>894</v>
      </c>
      <c r="C276" s="221" t="s">
        <v>571</v>
      </c>
      <c r="D276" s="237" t="s">
        <v>895</v>
      </c>
      <c r="E276" s="136" t="s">
        <v>53</v>
      </c>
      <c r="F276" s="233">
        <v>46070.0</v>
      </c>
      <c r="G276" s="233">
        <v>46070.0</v>
      </c>
      <c r="H276" s="203" t="s">
        <v>79</v>
      </c>
      <c r="I276" s="136" t="s">
        <v>161</v>
      </c>
      <c r="J276" s="215" t="s">
        <v>80</v>
      </c>
      <c r="K276" s="238"/>
      <c r="L276" s="215">
        <v>1.0</v>
      </c>
      <c r="M276" s="203">
        <v>1.0</v>
      </c>
      <c r="N276" s="238"/>
      <c r="O276" s="239"/>
      <c r="P276" s="160"/>
      <c r="Q276" s="239"/>
      <c r="R276" s="239"/>
      <c r="S276" s="238"/>
      <c r="T276" s="232"/>
      <c r="U276" s="232"/>
      <c r="V276" s="232"/>
      <c r="W276" s="232"/>
      <c r="X276" s="232"/>
      <c r="Y276" s="18"/>
      <c r="Z276" s="18"/>
      <c r="AA276" s="18"/>
    </row>
    <row r="277">
      <c r="A277" s="195" t="s">
        <v>166</v>
      </c>
      <c r="B277" s="224" t="s">
        <v>652</v>
      </c>
      <c r="C277" s="262" t="s">
        <v>896</v>
      </c>
      <c r="D277" s="229" t="s">
        <v>724</v>
      </c>
      <c r="E277" s="136" t="s">
        <v>53</v>
      </c>
      <c r="F277" s="233">
        <v>46129.0</v>
      </c>
      <c r="G277" s="233">
        <v>46129.0</v>
      </c>
      <c r="H277" s="203" t="s">
        <v>25</v>
      </c>
      <c r="I277" s="136" t="s">
        <v>161</v>
      </c>
      <c r="J277" s="136" t="s">
        <v>34</v>
      </c>
      <c r="K277" s="288"/>
      <c r="L277" s="281">
        <v>0.5</v>
      </c>
      <c r="M277" s="203">
        <v>0.5</v>
      </c>
      <c r="N277" s="160"/>
      <c r="O277" s="156"/>
      <c r="P277" s="160"/>
      <c r="Q277" s="160"/>
      <c r="R277" s="160"/>
      <c r="S277" s="160"/>
      <c r="T277" s="18"/>
      <c r="U277" s="18"/>
      <c r="V277" s="18"/>
      <c r="W277" s="18"/>
      <c r="X277" s="18"/>
      <c r="Y277" s="18"/>
      <c r="Z277" s="18"/>
      <c r="AA277" s="18"/>
    </row>
    <row r="278">
      <c r="A278" s="195" t="s">
        <v>64</v>
      </c>
      <c r="B278" s="298" t="s">
        <v>316</v>
      </c>
      <c r="C278" s="262" t="s">
        <v>897</v>
      </c>
      <c r="D278" s="229" t="s">
        <v>727</v>
      </c>
      <c r="E278" s="136" t="s">
        <v>53</v>
      </c>
      <c r="F278" s="233">
        <v>46129.0</v>
      </c>
      <c r="G278" s="233">
        <v>46129.0</v>
      </c>
      <c r="H278" s="223" t="s">
        <v>25</v>
      </c>
      <c r="I278" s="136" t="s">
        <v>161</v>
      </c>
      <c r="J278" s="136" t="s">
        <v>34</v>
      </c>
      <c r="K278" s="160"/>
      <c r="L278" s="301">
        <v>2.0</v>
      </c>
      <c r="M278" s="203">
        <v>2.0</v>
      </c>
      <c r="N278" s="160"/>
      <c r="O278" s="156" t="s">
        <v>898</v>
      </c>
      <c r="P278" s="156" t="s">
        <v>899</v>
      </c>
      <c r="Q278" s="160"/>
      <c r="R278" s="160"/>
      <c r="S278" s="160"/>
      <c r="T278" s="18"/>
      <c r="U278" s="18"/>
      <c r="V278" s="18"/>
      <c r="W278" s="18"/>
      <c r="X278" s="18"/>
      <c r="Y278" s="18"/>
      <c r="Z278" s="18"/>
      <c r="AA278" s="18"/>
    </row>
    <row r="279">
      <c r="A279" s="195" t="s">
        <v>119</v>
      </c>
      <c r="B279" s="298" t="s">
        <v>313</v>
      </c>
      <c r="C279" s="262" t="s">
        <v>900</v>
      </c>
      <c r="D279" s="229" t="s">
        <v>901</v>
      </c>
      <c r="E279" s="136" t="s">
        <v>53</v>
      </c>
      <c r="F279" s="233">
        <v>46129.0</v>
      </c>
      <c r="G279" s="233">
        <v>46139.0</v>
      </c>
      <c r="H279" s="223" t="s">
        <v>25</v>
      </c>
      <c r="I279" s="136" t="s">
        <v>161</v>
      </c>
      <c r="J279" s="136" t="s">
        <v>34</v>
      </c>
      <c r="K279" s="160"/>
      <c r="L279" s="301">
        <v>2.0</v>
      </c>
      <c r="M279" s="203">
        <v>1.5</v>
      </c>
      <c r="N279" s="160"/>
      <c r="O279" s="156" t="s">
        <v>902</v>
      </c>
      <c r="P279" s="160"/>
      <c r="Q279" s="160"/>
      <c r="R279" s="160"/>
      <c r="S279" s="160"/>
      <c r="T279" s="18"/>
      <c r="U279" s="18"/>
      <c r="V279" s="18"/>
      <c r="W279" s="18"/>
      <c r="X279" s="18"/>
      <c r="Y279" s="18"/>
      <c r="Z279" s="18"/>
      <c r="AA279" s="18"/>
    </row>
    <row r="280">
      <c r="A280" s="195" t="s">
        <v>22</v>
      </c>
      <c r="B280" s="293" t="s">
        <v>301</v>
      </c>
      <c r="C280" s="262" t="s">
        <v>903</v>
      </c>
      <c r="D280" s="229" t="s">
        <v>904</v>
      </c>
      <c r="E280" s="136" t="s">
        <v>53</v>
      </c>
      <c r="F280" s="233">
        <v>46129.0</v>
      </c>
      <c r="G280" s="233">
        <v>46129.0</v>
      </c>
      <c r="H280" s="223" t="s">
        <v>25</v>
      </c>
      <c r="I280" s="136" t="s">
        <v>161</v>
      </c>
      <c r="J280" s="136" t="s">
        <v>34</v>
      </c>
      <c r="K280" s="160"/>
      <c r="L280" s="301">
        <v>4.0</v>
      </c>
      <c r="M280" s="203">
        <v>5.0</v>
      </c>
      <c r="N280" s="160"/>
      <c r="O280" s="160"/>
      <c r="P280" s="160"/>
      <c r="Q280" s="160"/>
      <c r="R280" s="160"/>
      <c r="S280" s="160"/>
      <c r="T280" s="18"/>
      <c r="U280" s="18"/>
      <c r="V280" s="18"/>
      <c r="W280" s="20"/>
      <c r="X280" s="18"/>
      <c r="Y280" s="18"/>
      <c r="Z280" s="18"/>
      <c r="AA280" s="18"/>
    </row>
    <row r="281">
      <c r="A281" s="195" t="s">
        <v>140</v>
      </c>
      <c r="B281" s="298" t="s">
        <v>876</v>
      </c>
      <c r="C281" s="262" t="s">
        <v>905</v>
      </c>
      <c r="D281" s="237" t="s">
        <v>906</v>
      </c>
      <c r="E281" s="136" t="s">
        <v>53</v>
      </c>
      <c r="F281" s="233">
        <v>46129.0</v>
      </c>
      <c r="G281" s="233">
        <v>46129.0</v>
      </c>
      <c r="H281" s="223" t="s">
        <v>25</v>
      </c>
      <c r="I281" s="136" t="s">
        <v>161</v>
      </c>
      <c r="J281" s="136" t="s">
        <v>34</v>
      </c>
      <c r="K281" s="238"/>
      <c r="L281" s="215">
        <v>2.0</v>
      </c>
      <c r="M281" s="203">
        <v>1.5</v>
      </c>
      <c r="N281" s="238"/>
      <c r="O281" s="239"/>
      <c r="P281" s="160"/>
      <c r="Q281" s="239"/>
      <c r="R281" s="239"/>
      <c r="S281" s="238"/>
      <c r="T281" s="232"/>
      <c r="U281" s="232"/>
      <c r="V281" s="232"/>
      <c r="W281" s="232"/>
      <c r="X281" s="232"/>
      <c r="Y281" s="18"/>
      <c r="Z281" s="18"/>
      <c r="AA281" s="18"/>
    </row>
    <row r="282">
      <c r="A282" s="195" t="s">
        <v>64</v>
      </c>
      <c r="B282" s="228" t="s">
        <v>907</v>
      </c>
      <c r="C282" s="221" t="s">
        <v>908</v>
      </c>
      <c r="D282" s="229" t="s">
        <v>909</v>
      </c>
      <c r="E282" s="136" t="s">
        <v>53</v>
      </c>
      <c r="F282" s="233">
        <v>46070.0</v>
      </c>
      <c r="G282" s="233">
        <v>46070.0</v>
      </c>
      <c r="H282" s="203" t="s">
        <v>79</v>
      </c>
      <c r="I282" s="136" t="s">
        <v>161</v>
      </c>
      <c r="J282" s="136" t="s">
        <v>55</v>
      </c>
      <c r="K282" s="160"/>
      <c r="L282" s="301">
        <v>1.0</v>
      </c>
      <c r="M282" s="203">
        <v>1.0</v>
      </c>
      <c r="N282" s="160"/>
      <c r="O282" s="160"/>
      <c r="P282" s="160"/>
      <c r="Q282" s="160"/>
      <c r="R282" s="160"/>
      <c r="S282" s="160"/>
      <c r="T282" s="18"/>
      <c r="U282" s="18"/>
      <c r="V282" s="18"/>
      <c r="W282" s="18"/>
      <c r="X282" s="18"/>
      <c r="Y282" s="18"/>
      <c r="Z282" s="18"/>
      <c r="AA282" s="18"/>
    </row>
    <row r="283">
      <c r="A283" s="195" t="s">
        <v>22</v>
      </c>
      <c r="B283" s="293" t="s">
        <v>301</v>
      </c>
      <c r="C283" s="221" t="s">
        <v>910</v>
      </c>
      <c r="D283" s="229" t="s">
        <v>911</v>
      </c>
      <c r="E283" s="136" t="s">
        <v>53</v>
      </c>
      <c r="F283" s="233">
        <v>46132.0</v>
      </c>
      <c r="G283" s="233">
        <v>46132.0</v>
      </c>
      <c r="H283" s="223" t="s">
        <v>25</v>
      </c>
      <c r="I283" s="136" t="s">
        <v>161</v>
      </c>
      <c r="J283" s="136" t="s">
        <v>55</v>
      </c>
      <c r="K283" s="160"/>
      <c r="L283" s="301">
        <v>0.5</v>
      </c>
      <c r="M283" s="301">
        <v>0.5</v>
      </c>
      <c r="N283" s="160"/>
      <c r="O283" s="156"/>
      <c r="P283" s="156"/>
      <c r="Q283" s="160"/>
      <c r="R283" s="160"/>
      <c r="S283" s="160"/>
      <c r="T283" s="18"/>
      <c r="U283" s="18"/>
      <c r="V283" s="18"/>
      <c r="W283" s="20"/>
      <c r="X283" s="18"/>
      <c r="Y283" s="18"/>
      <c r="Z283" s="18"/>
      <c r="AA283" s="18"/>
    </row>
    <row r="284">
      <c r="A284" s="195" t="s">
        <v>22</v>
      </c>
      <c r="B284" s="293" t="s">
        <v>301</v>
      </c>
      <c r="C284" s="221" t="s">
        <v>912</v>
      </c>
      <c r="D284" s="229" t="s">
        <v>913</v>
      </c>
      <c r="E284" s="307" t="s">
        <v>53</v>
      </c>
      <c r="F284" s="233">
        <v>46132.0</v>
      </c>
      <c r="G284" s="233">
        <v>46132.0</v>
      </c>
      <c r="H284" s="223" t="s">
        <v>25</v>
      </c>
      <c r="I284" s="136" t="s">
        <v>161</v>
      </c>
      <c r="J284" s="136" t="s">
        <v>34</v>
      </c>
      <c r="K284" s="160"/>
      <c r="L284" s="301">
        <v>1.0</v>
      </c>
      <c r="M284" s="203">
        <v>1.0</v>
      </c>
      <c r="N284" s="160"/>
      <c r="O284" s="156" t="s">
        <v>914</v>
      </c>
      <c r="P284" s="156" t="s">
        <v>915</v>
      </c>
      <c r="Q284" s="160"/>
      <c r="R284" s="160"/>
      <c r="S284" s="160"/>
      <c r="T284" s="18"/>
      <c r="U284" s="18"/>
      <c r="V284" s="18"/>
      <c r="W284" s="20"/>
      <c r="X284" s="18"/>
      <c r="Y284" s="18"/>
      <c r="Z284" s="18"/>
      <c r="AA284" s="18"/>
    </row>
    <row r="285">
      <c r="A285" s="195" t="s">
        <v>22</v>
      </c>
      <c r="B285" s="293" t="s">
        <v>301</v>
      </c>
      <c r="C285" s="221" t="s">
        <v>916</v>
      </c>
      <c r="D285" s="229" t="s">
        <v>917</v>
      </c>
      <c r="E285" s="307" t="s">
        <v>53</v>
      </c>
      <c r="F285" s="233">
        <v>46132.0</v>
      </c>
      <c r="G285" s="233">
        <v>46132.0</v>
      </c>
      <c r="H285" s="223" t="s">
        <v>25</v>
      </c>
      <c r="I285" s="136" t="s">
        <v>161</v>
      </c>
      <c r="J285" s="136" t="s">
        <v>34</v>
      </c>
      <c r="K285" s="160"/>
      <c r="L285" s="301">
        <v>1.0</v>
      </c>
      <c r="M285" s="203">
        <v>1.0</v>
      </c>
      <c r="N285" s="160"/>
      <c r="O285" s="160"/>
      <c r="P285" s="160"/>
      <c r="Q285" s="160"/>
      <c r="R285" s="160"/>
      <c r="S285" s="160"/>
      <c r="T285" s="18"/>
      <c r="U285" s="18"/>
      <c r="V285" s="18"/>
      <c r="W285" s="20"/>
      <c r="X285" s="18"/>
      <c r="Y285" s="18"/>
      <c r="Z285" s="18"/>
      <c r="AA285" s="18"/>
    </row>
    <row r="286">
      <c r="A286" s="195" t="s">
        <v>22</v>
      </c>
      <c r="B286" s="293" t="s">
        <v>301</v>
      </c>
      <c r="C286" s="221" t="s">
        <v>918</v>
      </c>
      <c r="D286" s="229" t="s">
        <v>919</v>
      </c>
      <c r="E286" s="307" t="s">
        <v>53</v>
      </c>
      <c r="F286" s="233">
        <v>46132.0</v>
      </c>
      <c r="G286" s="233">
        <v>46132.0</v>
      </c>
      <c r="H286" s="223" t="s">
        <v>25</v>
      </c>
      <c r="I286" s="136" t="s">
        <v>161</v>
      </c>
      <c r="J286" s="136" t="s">
        <v>34</v>
      </c>
      <c r="K286" s="160"/>
      <c r="L286" s="301">
        <v>2.0</v>
      </c>
      <c r="M286" s="203">
        <v>2.0</v>
      </c>
      <c r="N286" s="160"/>
      <c r="O286" s="156" t="s">
        <v>920</v>
      </c>
      <c r="P286" s="156" t="s">
        <v>921</v>
      </c>
      <c r="Q286" s="160"/>
      <c r="R286" s="160"/>
      <c r="S286" s="160"/>
      <c r="T286" s="18"/>
      <c r="U286" s="18"/>
      <c r="V286" s="18"/>
      <c r="W286" s="20"/>
      <c r="X286" s="18"/>
      <c r="Y286" s="18"/>
      <c r="Z286" s="18"/>
      <c r="AA286" s="18"/>
    </row>
    <row r="287">
      <c r="A287" s="195" t="s">
        <v>22</v>
      </c>
      <c r="B287" s="298" t="s">
        <v>716</v>
      </c>
      <c r="C287" s="221" t="s">
        <v>922</v>
      </c>
      <c r="D287" s="229" t="s">
        <v>923</v>
      </c>
      <c r="E287" s="307" t="s">
        <v>53</v>
      </c>
      <c r="F287" s="233">
        <v>46132.0</v>
      </c>
      <c r="G287" s="233">
        <v>46132.0</v>
      </c>
      <c r="H287" s="223" t="s">
        <v>25</v>
      </c>
      <c r="I287" s="136" t="s">
        <v>161</v>
      </c>
      <c r="J287" s="136" t="s">
        <v>55</v>
      </c>
      <c r="K287" s="160"/>
      <c r="L287" s="301">
        <v>0.5</v>
      </c>
      <c r="M287" s="301">
        <v>0.5</v>
      </c>
      <c r="N287" s="160"/>
      <c r="O287" s="160"/>
      <c r="P287" s="160"/>
      <c r="Q287" s="160"/>
      <c r="R287" s="160"/>
      <c r="S287" s="160"/>
      <c r="T287" s="18"/>
      <c r="U287" s="18"/>
      <c r="V287" s="18"/>
      <c r="W287" s="18"/>
      <c r="X287" s="18"/>
      <c r="Y287" s="18"/>
      <c r="Z287" s="18"/>
      <c r="AA287" s="18"/>
    </row>
    <row r="288">
      <c r="A288" s="195" t="s">
        <v>22</v>
      </c>
      <c r="B288" s="293" t="s">
        <v>301</v>
      </c>
      <c r="C288" s="221" t="s">
        <v>924</v>
      </c>
      <c r="D288" s="229" t="s">
        <v>925</v>
      </c>
      <c r="E288" s="307" t="s">
        <v>53</v>
      </c>
      <c r="F288" s="233">
        <v>46132.0</v>
      </c>
      <c r="G288" s="233">
        <v>46132.0</v>
      </c>
      <c r="H288" s="223" t="s">
        <v>25</v>
      </c>
      <c r="I288" s="136" t="s">
        <v>161</v>
      </c>
      <c r="J288" s="136" t="s">
        <v>34</v>
      </c>
      <c r="K288" s="160"/>
      <c r="L288" s="301">
        <v>2.0</v>
      </c>
      <c r="M288" s="301">
        <v>3.0</v>
      </c>
      <c r="N288" s="160"/>
      <c r="O288" s="156"/>
      <c r="P288" s="156"/>
      <c r="Q288" s="160"/>
      <c r="R288" s="160"/>
      <c r="S288" s="160"/>
      <c r="T288" s="18"/>
      <c r="U288" s="18"/>
      <c r="V288" s="18"/>
      <c r="W288" s="20"/>
      <c r="X288" s="18"/>
      <c r="Y288" s="18"/>
      <c r="Z288" s="18"/>
      <c r="AA288" s="18"/>
    </row>
    <row r="289">
      <c r="A289" s="195" t="s">
        <v>22</v>
      </c>
      <c r="B289" s="293" t="s">
        <v>301</v>
      </c>
      <c r="C289" s="221" t="s">
        <v>926</v>
      </c>
      <c r="D289" s="229" t="s">
        <v>927</v>
      </c>
      <c r="E289" s="307" t="s">
        <v>53</v>
      </c>
      <c r="F289" s="233">
        <v>46133.0</v>
      </c>
      <c r="G289" s="233">
        <v>46133.0</v>
      </c>
      <c r="H289" s="223" t="s">
        <v>25</v>
      </c>
      <c r="I289" s="136" t="s">
        <v>161</v>
      </c>
      <c r="J289" s="136" t="s">
        <v>34</v>
      </c>
      <c r="K289" s="160"/>
      <c r="L289" s="301">
        <v>2.0</v>
      </c>
      <c r="M289" s="301">
        <v>1.5</v>
      </c>
      <c r="N289" s="160"/>
      <c r="O289" s="160"/>
      <c r="P289" s="160"/>
      <c r="Q289" s="160"/>
      <c r="R289" s="160"/>
      <c r="S289" s="160"/>
      <c r="T289" s="18"/>
      <c r="U289" s="18"/>
      <c r="V289" s="18"/>
      <c r="W289" s="20"/>
      <c r="X289" s="18"/>
      <c r="Y289" s="18"/>
      <c r="Z289" s="18"/>
      <c r="AA289" s="18"/>
    </row>
    <row r="290">
      <c r="A290" s="195" t="s">
        <v>22</v>
      </c>
      <c r="B290" s="293" t="s">
        <v>301</v>
      </c>
      <c r="C290" s="221" t="s">
        <v>928</v>
      </c>
      <c r="D290" s="229" t="s">
        <v>929</v>
      </c>
      <c r="E290" s="307" t="s">
        <v>53</v>
      </c>
      <c r="F290" s="233">
        <v>46133.0</v>
      </c>
      <c r="G290" s="233">
        <v>46133.0</v>
      </c>
      <c r="H290" s="223" t="s">
        <v>25</v>
      </c>
      <c r="I290" s="136" t="s">
        <v>161</v>
      </c>
      <c r="J290" s="136" t="s">
        <v>34</v>
      </c>
      <c r="K290" s="160"/>
      <c r="L290" s="301">
        <v>2.0</v>
      </c>
      <c r="M290" s="301">
        <v>1.0</v>
      </c>
      <c r="N290" s="160"/>
      <c r="O290" s="160"/>
      <c r="P290" s="160"/>
      <c r="Q290" s="160"/>
      <c r="R290" s="160"/>
      <c r="S290" s="160"/>
      <c r="T290" s="18"/>
      <c r="U290" s="18"/>
      <c r="V290" s="18"/>
      <c r="W290" s="20"/>
      <c r="X290" s="18"/>
      <c r="Y290" s="18"/>
      <c r="Z290" s="18"/>
      <c r="AA290" s="18"/>
    </row>
    <row r="291">
      <c r="A291" s="195" t="s">
        <v>22</v>
      </c>
      <c r="B291" s="293" t="s">
        <v>301</v>
      </c>
      <c r="C291" s="221" t="s">
        <v>930</v>
      </c>
      <c r="D291" s="229" t="s">
        <v>931</v>
      </c>
      <c r="E291" s="307" t="s">
        <v>53</v>
      </c>
      <c r="F291" s="233">
        <v>46133.0</v>
      </c>
      <c r="G291" s="233">
        <v>46133.0</v>
      </c>
      <c r="H291" s="223" t="s">
        <v>25</v>
      </c>
      <c r="I291" s="136" t="s">
        <v>161</v>
      </c>
      <c r="J291" s="136" t="s">
        <v>34</v>
      </c>
      <c r="K291" s="160"/>
      <c r="L291" s="301">
        <v>1.0</v>
      </c>
      <c r="M291" s="203">
        <v>1.0</v>
      </c>
      <c r="N291" s="160"/>
      <c r="O291" s="160"/>
      <c r="P291" s="160"/>
      <c r="Q291" s="160"/>
      <c r="R291" s="160"/>
      <c r="S291" s="160"/>
      <c r="T291" s="18"/>
      <c r="U291" s="18"/>
      <c r="V291" s="18"/>
      <c r="W291" s="20"/>
      <c r="X291" s="18"/>
      <c r="Y291" s="18"/>
      <c r="Z291" s="18"/>
      <c r="AA291" s="18"/>
    </row>
    <row r="292">
      <c r="A292" s="195" t="s">
        <v>22</v>
      </c>
      <c r="B292" s="293" t="s">
        <v>301</v>
      </c>
      <c r="C292" s="221" t="s">
        <v>932</v>
      </c>
      <c r="D292" s="229" t="s">
        <v>933</v>
      </c>
      <c r="E292" s="307" t="s">
        <v>53</v>
      </c>
      <c r="F292" s="233">
        <v>46133.0</v>
      </c>
      <c r="G292" s="233">
        <v>46133.0</v>
      </c>
      <c r="H292" s="223" t="s">
        <v>25</v>
      </c>
      <c r="I292" s="136" t="s">
        <v>161</v>
      </c>
      <c r="J292" s="136" t="s">
        <v>34</v>
      </c>
      <c r="K292" s="160"/>
      <c r="L292" s="301">
        <v>1.0</v>
      </c>
      <c r="M292" s="203">
        <v>1.0</v>
      </c>
      <c r="N292" s="160"/>
      <c r="O292" s="160"/>
      <c r="P292" s="160"/>
      <c r="Q292" s="160"/>
      <c r="R292" s="160"/>
      <c r="S292" s="160"/>
      <c r="T292" s="18"/>
      <c r="U292" s="18"/>
      <c r="V292" s="18"/>
      <c r="W292" s="20"/>
      <c r="X292" s="18"/>
      <c r="Y292" s="18"/>
      <c r="Z292" s="18"/>
      <c r="AA292" s="18"/>
    </row>
    <row r="293">
      <c r="A293" s="195" t="s">
        <v>22</v>
      </c>
      <c r="B293" s="293" t="s">
        <v>301</v>
      </c>
      <c r="C293" s="221" t="s">
        <v>934</v>
      </c>
      <c r="D293" s="229" t="s">
        <v>935</v>
      </c>
      <c r="E293" s="307" t="s">
        <v>53</v>
      </c>
      <c r="F293" s="233">
        <v>46133.0</v>
      </c>
      <c r="G293" s="233">
        <v>46133.0</v>
      </c>
      <c r="H293" s="223" t="s">
        <v>25</v>
      </c>
      <c r="I293" s="136" t="s">
        <v>161</v>
      </c>
      <c r="J293" s="136" t="s">
        <v>34</v>
      </c>
      <c r="K293" s="160"/>
      <c r="L293" s="301">
        <v>1.0</v>
      </c>
      <c r="M293" s="203">
        <v>1.0</v>
      </c>
      <c r="N293" s="160"/>
      <c r="O293" s="160"/>
      <c r="P293" s="160"/>
      <c r="Q293" s="160"/>
      <c r="R293" s="160"/>
      <c r="S293" s="160"/>
      <c r="T293" s="18"/>
      <c r="U293" s="18"/>
      <c r="V293" s="18"/>
      <c r="W293" s="20"/>
      <c r="X293" s="18"/>
      <c r="Y293" s="18"/>
      <c r="Z293" s="18"/>
      <c r="AA293" s="18"/>
    </row>
    <row r="294">
      <c r="A294" s="195" t="s">
        <v>22</v>
      </c>
      <c r="B294" s="293" t="s">
        <v>301</v>
      </c>
      <c r="C294" s="221" t="s">
        <v>936</v>
      </c>
      <c r="D294" s="229" t="s">
        <v>937</v>
      </c>
      <c r="E294" s="307" t="s">
        <v>53</v>
      </c>
      <c r="F294" s="233">
        <v>46133.0</v>
      </c>
      <c r="G294" s="233">
        <v>46133.0</v>
      </c>
      <c r="H294" s="223" t="s">
        <v>25</v>
      </c>
      <c r="I294" s="136" t="s">
        <v>161</v>
      </c>
      <c r="J294" s="136" t="s">
        <v>34</v>
      </c>
      <c r="K294" s="160"/>
      <c r="L294" s="301">
        <v>1.0</v>
      </c>
      <c r="M294" s="203">
        <v>1.5</v>
      </c>
      <c r="N294" s="160"/>
      <c r="O294" s="160"/>
      <c r="P294" s="160"/>
      <c r="Q294" s="160"/>
      <c r="R294" s="160"/>
      <c r="S294" s="160"/>
      <c r="T294" s="18"/>
      <c r="U294" s="18"/>
      <c r="V294" s="18"/>
      <c r="W294" s="20"/>
      <c r="X294" s="18"/>
      <c r="Y294" s="18"/>
      <c r="Z294" s="18"/>
      <c r="AA294" s="18"/>
    </row>
    <row r="295">
      <c r="A295" s="195" t="s">
        <v>22</v>
      </c>
      <c r="B295" s="293" t="s">
        <v>301</v>
      </c>
      <c r="C295" s="221" t="s">
        <v>938</v>
      </c>
      <c r="D295" s="229" t="s">
        <v>939</v>
      </c>
      <c r="E295" s="307" t="s">
        <v>53</v>
      </c>
      <c r="F295" s="233">
        <v>46133.0</v>
      </c>
      <c r="G295" s="233">
        <v>46133.0</v>
      </c>
      <c r="H295" s="223" t="s">
        <v>25</v>
      </c>
      <c r="I295" s="136" t="s">
        <v>161</v>
      </c>
      <c r="J295" s="136" t="s">
        <v>34</v>
      </c>
      <c r="K295" s="160"/>
      <c r="L295" s="301">
        <v>0.5</v>
      </c>
      <c r="M295" s="203">
        <v>0.5</v>
      </c>
      <c r="N295" s="160"/>
      <c r="O295" s="160"/>
      <c r="P295" s="160"/>
      <c r="Q295" s="160"/>
      <c r="R295" s="160"/>
      <c r="S295" s="160"/>
      <c r="T295" s="18"/>
      <c r="U295" s="18"/>
      <c r="V295" s="18"/>
      <c r="W295" s="20"/>
      <c r="X295" s="18"/>
      <c r="Y295" s="18"/>
      <c r="Z295" s="18"/>
      <c r="AA295" s="18"/>
    </row>
    <row r="296">
      <c r="A296" s="195" t="s">
        <v>22</v>
      </c>
      <c r="B296" s="293" t="s">
        <v>301</v>
      </c>
      <c r="C296" s="221" t="s">
        <v>940</v>
      </c>
      <c r="D296" s="229" t="s">
        <v>941</v>
      </c>
      <c r="E296" s="307" t="s">
        <v>53</v>
      </c>
      <c r="F296" s="233">
        <v>46133.0</v>
      </c>
      <c r="G296" s="233">
        <v>46133.0</v>
      </c>
      <c r="H296" s="30" t="s">
        <v>25</v>
      </c>
      <c r="I296" s="171" t="s">
        <v>161</v>
      </c>
      <c r="J296" s="171" t="s">
        <v>34</v>
      </c>
      <c r="K296" s="311"/>
      <c r="L296" s="312">
        <v>2.0</v>
      </c>
      <c r="M296" s="45">
        <v>2.0</v>
      </c>
      <c r="N296" s="160"/>
      <c r="O296" s="160"/>
      <c r="P296" s="160"/>
      <c r="Q296" s="160"/>
      <c r="R296" s="160"/>
      <c r="S296" s="160"/>
      <c r="T296" s="18"/>
      <c r="U296" s="18"/>
      <c r="V296" s="18"/>
      <c r="W296" s="20"/>
      <c r="X296" s="18"/>
      <c r="Y296" s="18"/>
      <c r="Z296" s="18"/>
      <c r="AA296" s="18"/>
    </row>
    <row r="297">
      <c r="A297" s="195" t="s">
        <v>22</v>
      </c>
      <c r="B297" s="293" t="s">
        <v>301</v>
      </c>
      <c r="C297" s="221" t="s">
        <v>942</v>
      </c>
      <c r="D297" s="229" t="s">
        <v>943</v>
      </c>
      <c r="E297" s="307" t="s">
        <v>53</v>
      </c>
      <c r="F297" s="233">
        <v>46133.0</v>
      </c>
      <c r="G297" s="233">
        <v>46133.0</v>
      </c>
      <c r="H297" s="30" t="s">
        <v>25</v>
      </c>
      <c r="I297" s="171" t="s">
        <v>161</v>
      </c>
      <c r="J297" s="171" t="s">
        <v>34</v>
      </c>
      <c r="K297" s="311"/>
      <c r="L297" s="312">
        <v>1.0</v>
      </c>
      <c r="M297" s="45">
        <v>1.0</v>
      </c>
      <c r="N297" s="160"/>
      <c r="O297" s="160"/>
      <c r="P297" s="160"/>
      <c r="Q297" s="160"/>
      <c r="R297" s="160"/>
      <c r="S297" s="160"/>
      <c r="T297" s="18"/>
      <c r="U297" s="18"/>
      <c r="V297" s="18"/>
      <c r="W297" s="20"/>
      <c r="X297" s="18"/>
      <c r="Y297" s="18"/>
      <c r="Z297" s="18"/>
      <c r="AA297" s="18"/>
    </row>
    <row r="298">
      <c r="A298" s="195" t="s">
        <v>22</v>
      </c>
      <c r="B298" s="293" t="s">
        <v>301</v>
      </c>
      <c r="C298" s="221" t="s">
        <v>944</v>
      </c>
      <c r="D298" s="229" t="s">
        <v>945</v>
      </c>
      <c r="E298" s="307" t="s">
        <v>53</v>
      </c>
      <c r="F298" s="233">
        <v>46072.0</v>
      </c>
      <c r="G298" s="233">
        <v>46072.0</v>
      </c>
      <c r="H298" s="172"/>
      <c r="I298" s="136" t="s">
        <v>161</v>
      </c>
      <c r="J298" s="136" t="s">
        <v>34</v>
      </c>
      <c r="K298" s="160"/>
      <c r="L298" s="172"/>
      <c r="M298" s="203"/>
      <c r="N298" s="160"/>
      <c r="O298" s="160"/>
      <c r="P298" s="160"/>
      <c r="Q298" s="160"/>
      <c r="R298" s="160"/>
      <c r="S298" s="160"/>
      <c r="T298" s="18"/>
      <c r="U298" s="18"/>
      <c r="V298" s="18"/>
      <c r="W298" s="20"/>
      <c r="X298" s="18"/>
      <c r="Y298" s="18"/>
      <c r="Z298" s="18"/>
      <c r="AA298" s="18"/>
    </row>
    <row r="299">
      <c r="A299" s="195" t="s">
        <v>22</v>
      </c>
      <c r="B299" s="293" t="s">
        <v>301</v>
      </c>
      <c r="C299" s="221" t="s">
        <v>944</v>
      </c>
      <c r="D299" s="229" t="s">
        <v>946</v>
      </c>
      <c r="E299" s="307" t="s">
        <v>186</v>
      </c>
      <c r="F299" s="233">
        <v>46132.0</v>
      </c>
      <c r="G299" s="233">
        <v>46132.0</v>
      </c>
      <c r="H299" s="172"/>
      <c r="I299" s="136" t="s">
        <v>161</v>
      </c>
      <c r="J299" s="136" t="s">
        <v>34</v>
      </c>
      <c r="K299" s="160"/>
      <c r="L299" s="172"/>
      <c r="M299" s="203">
        <v>0.0</v>
      </c>
      <c r="N299" s="160"/>
      <c r="O299" s="160"/>
      <c r="P299" s="160"/>
      <c r="Q299" s="160"/>
      <c r="R299" s="160"/>
      <c r="S299" s="160"/>
      <c r="T299" s="18"/>
      <c r="U299" s="18"/>
      <c r="V299" s="18"/>
      <c r="W299" s="20"/>
      <c r="X299" s="18"/>
      <c r="Y299" s="18"/>
      <c r="Z299" s="18"/>
      <c r="AA299" s="18"/>
    </row>
    <row r="300">
      <c r="A300" s="195" t="s">
        <v>22</v>
      </c>
      <c r="B300" s="293" t="s">
        <v>301</v>
      </c>
      <c r="C300" s="221" t="s">
        <v>947</v>
      </c>
      <c r="D300" s="229" t="s">
        <v>948</v>
      </c>
      <c r="E300" s="307" t="s">
        <v>186</v>
      </c>
      <c r="F300" s="233">
        <v>46132.0</v>
      </c>
      <c r="G300" s="233">
        <v>46132.0</v>
      </c>
      <c r="H300" s="172"/>
      <c r="I300" s="136" t="s">
        <v>161</v>
      </c>
      <c r="J300" s="136" t="s">
        <v>34</v>
      </c>
      <c r="K300" s="160"/>
      <c r="L300" s="172"/>
      <c r="M300" s="203">
        <v>0.0</v>
      </c>
      <c r="N300" s="160"/>
      <c r="O300" s="160"/>
      <c r="P300" s="160"/>
      <c r="Q300" s="160"/>
      <c r="R300" s="160"/>
      <c r="S300" s="160"/>
      <c r="T300" s="18"/>
      <c r="U300" s="18"/>
      <c r="V300" s="18"/>
      <c r="W300" s="20"/>
      <c r="X300" s="18"/>
      <c r="Y300" s="18"/>
      <c r="Z300" s="18"/>
      <c r="AA300" s="18"/>
    </row>
    <row r="301">
      <c r="A301" s="195" t="s">
        <v>22</v>
      </c>
      <c r="B301" s="293" t="s">
        <v>301</v>
      </c>
      <c r="C301" s="221" t="s">
        <v>947</v>
      </c>
      <c r="D301" s="229" t="s">
        <v>949</v>
      </c>
      <c r="E301" s="307" t="s">
        <v>186</v>
      </c>
      <c r="F301" s="233">
        <v>46132.0</v>
      </c>
      <c r="G301" s="233">
        <v>46132.0</v>
      </c>
      <c r="H301" s="172"/>
      <c r="I301" s="136" t="s">
        <v>161</v>
      </c>
      <c r="J301" s="136" t="s">
        <v>34</v>
      </c>
      <c r="K301" s="160"/>
      <c r="L301" s="172"/>
      <c r="M301" s="203">
        <v>0.0</v>
      </c>
      <c r="N301" s="160"/>
      <c r="O301" s="160"/>
      <c r="P301" s="160"/>
      <c r="Q301" s="160"/>
      <c r="R301" s="160"/>
      <c r="S301" s="160"/>
      <c r="T301" s="18"/>
      <c r="U301" s="18"/>
      <c r="V301" s="18"/>
      <c r="W301" s="20"/>
      <c r="X301" s="18"/>
      <c r="Y301" s="18"/>
      <c r="Z301" s="18"/>
      <c r="AA301" s="18"/>
    </row>
    <row r="302">
      <c r="A302" s="195" t="s">
        <v>22</v>
      </c>
      <c r="B302" s="293" t="s">
        <v>301</v>
      </c>
      <c r="C302" s="221" t="s">
        <v>950</v>
      </c>
      <c r="D302" s="229" t="s">
        <v>951</v>
      </c>
      <c r="E302" s="307" t="s">
        <v>53</v>
      </c>
      <c r="F302" s="233">
        <v>46132.0</v>
      </c>
      <c r="G302" s="233">
        <v>46132.0</v>
      </c>
      <c r="H302" s="172"/>
      <c r="I302" s="136" t="s">
        <v>161</v>
      </c>
      <c r="J302" s="136" t="s">
        <v>34</v>
      </c>
      <c r="K302" s="160"/>
      <c r="L302" s="172"/>
      <c r="M302" s="203">
        <v>0.0</v>
      </c>
      <c r="N302" s="160"/>
      <c r="O302" s="156" t="s">
        <v>952</v>
      </c>
      <c r="P302" s="160"/>
      <c r="Q302" s="160"/>
      <c r="R302" s="160"/>
      <c r="S302" s="160"/>
      <c r="T302" s="18"/>
      <c r="U302" s="18"/>
      <c r="V302" s="18"/>
      <c r="W302" s="20"/>
      <c r="X302" s="18"/>
      <c r="Y302" s="18"/>
      <c r="Z302" s="18"/>
      <c r="AA302" s="18"/>
    </row>
    <row r="303">
      <c r="A303" s="195" t="s">
        <v>22</v>
      </c>
      <c r="B303" s="293" t="s">
        <v>301</v>
      </c>
      <c r="C303" s="221" t="s">
        <v>953</v>
      </c>
      <c r="D303" s="229" t="s">
        <v>954</v>
      </c>
      <c r="E303" s="307" t="s">
        <v>53</v>
      </c>
      <c r="F303" s="233">
        <v>46133.0</v>
      </c>
      <c r="G303" s="233">
        <v>46133.0</v>
      </c>
      <c r="H303" s="30" t="s">
        <v>79</v>
      </c>
      <c r="I303" s="136" t="s">
        <v>161</v>
      </c>
      <c r="J303" s="136" t="s">
        <v>34</v>
      </c>
      <c r="K303" s="160"/>
      <c r="L303" s="301">
        <v>6.0</v>
      </c>
      <c r="M303" s="203">
        <v>6.0</v>
      </c>
      <c r="N303" s="160"/>
      <c r="O303" s="160"/>
      <c r="P303" s="160"/>
      <c r="Q303" s="160"/>
      <c r="R303" s="160"/>
      <c r="S303" s="160"/>
      <c r="T303" s="18"/>
      <c r="U303" s="18"/>
      <c r="V303" s="18"/>
      <c r="W303" s="20"/>
      <c r="X303" s="18"/>
      <c r="Y303" s="18"/>
      <c r="Z303" s="18"/>
      <c r="AA303" s="18"/>
    </row>
    <row r="304">
      <c r="A304" s="195" t="s">
        <v>22</v>
      </c>
      <c r="B304" s="293" t="s">
        <v>301</v>
      </c>
      <c r="C304" s="221" t="s">
        <v>955</v>
      </c>
      <c r="D304" s="229" t="s">
        <v>956</v>
      </c>
      <c r="E304" s="307" t="s">
        <v>186</v>
      </c>
      <c r="F304" s="233">
        <v>46133.0</v>
      </c>
      <c r="G304" s="233">
        <v>46133.0</v>
      </c>
      <c r="H304" s="30" t="s">
        <v>79</v>
      </c>
      <c r="I304" s="136" t="s">
        <v>161</v>
      </c>
      <c r="J304" s="136" t="s">
        <v>34</v>
      </c>
      <c r="K304" s="160"/>
      <c r="L304" s="301">
        <v>3.0</v>
      </c>
      <c r="M304" s="203">
        <v>3.0</v>
      </c>
      <c r="N304" s="160"/>
      <c r="O304" s="160"/>
      <c r="P304" s="160"/>
      <c r="Q304" s="160"/>
      <c r="R304" s="160"/>
      <c r="S304" s="160"/>
      <c r="T304" s="18"/>
      <c r="U304" s="18"/>
      <c r="V304" s="18"/>
      <c r="W304" s="20"/>
      <c r="X304" s="18"/>
      <c r="Y304" s="18"/>
      <c r="Z304" s="18"/>
      <c r="AA304" s="18"/>
    </row>
    <row r="305">
      <c r="A305" s="195" t="s">
        <v>22</v>
      </c>
      <c r="B305" s="293" t="s">
        <v>301</v>
      </c>
      <c r="C305" s="221" t="s">
        <v>957</v>
      </c>
      <c r="D305" s="229" t="s">
        <v>958</v>
      </c>
      <c r="E305" s="307" t="s">
        <v>186</v>
      </c>
      <c r="F305" s="233">
        <v>46133.0</v>
      </c>
      <c r="G305" s="233">
        <v>46133.0</v>
      </c>
      <c r="H305" s="30" t="s">
        <v>79</v>
      </c>
      <c r="I305" s="136" t="s">
        <v>161</v>
      </c>
      <c r="J305" s="136" t="s">
        <v>34</v>
      </c>
      <c r="K305" s="160"/>
      <c r="L305" s="301">
        <v>2.0</v>
      </c>
      <c r="M305" s="203">
        <v>1.5</v>
      </c>
      <c r="N305" s="160"/>
      <c r="O305" s="160"/>
      <c r="P305" s="160"/>
      <c r="Q305" s="160"/>
      <c r="R305" s="160"/>
      <c r="S305" s="160"/>
      <c r="T305" s="18"/>
      <c r="U305" s="18"/>
      <c r="V305" s="18"/>
      <c r="W305" s="20"/>
      <c r="X305" s="18"/>
      <c r="Y305" s="18"/>
      <c r="Z305" s="18"/>
      <c r="AA305" s="18"/>
    </row>
    <row r="306">
      <c r="A306" s="195" t="s">
        <v>22</v>
      </c>
      <c r="B306" s="293" t="s">
        <v>301</v>
      </c>
      <c r="C306" s="221" t="s">
        <v>959</v>
      </c>
      <c r="D306" s="229" t="s">
        <v>960</v>
      </c>
      <c r="E306" s="307" t="s">
        <v>53</v>
      </c>
      <c r="F306" s="233">
        <v>46134.0</v>
      </c>
      <c r="G306" s="233">
        <v>46134.0</v>
      </c>
      <c r="H306" s="30" t="s">
        <v>25</v>
      </c>
      <c r="I306" s="136" t="s">
        <v>161</v>
      </c>
      <c r="J306" s="136" t="s">
        <v>34</v>
      </c>
      <c r="K306" s="160"/>
      <c r="L306" s="301">
        <v>5.0</v>
      </c>
      <c r="M306" s="203">
        <v>5.0</v>
      </c>
      <c r="N306" s="160"/>
      <c r="O306" s="160"/>
      <c r="P306" s="160"/>
      <c r="Q306" s="160"/>
      <c r="R306" s="160"/>
      <c r="S306" s="160"/>
      <c r="T306" s="18"/>
      <c r="U306" s="18"/>
      <c r="V306" s="18"/>
      <c r="W306" s="20"/>
      <c r="X306" s="18"/>
      <c r="Y306" s="18"/>
      <c r="Z306" s="18"/>
      <c r="AA306" s="18"/>
    </row>
    <row r="307">
      <c r="A307" s="195" t="s">
        <v>22</v>
      </c>
      <c r="B307" s="293" t="s">
        <v>301</v>
      </c>
      <c r="C307" s="221" t="s">
        <v>961</v>
      </c>
      <c r="D307" s="229" t="s">
        <v>962</v>
      </c>
      <c r="E307" s="307" t="s">
        <v>53</v>
      </c>
      <c r="F307" s="233">
        <v>46134.0</v>
      </c>
      <c r="G307" s="233">
        <v>46134.0</v>
      </c>
      <c r="H307" s="30" t="s">
        <v>25</v>
      </c>
      <c r="I307" s="136" t="s">
        <v>161</v>
      </c>
      <c r="J307" s="136" t="s">
        <v>34</v>
      </c>
      <c r="K307" s="160"/>
      <c r="L307" s="301">
        <v>2.0</v>
      </c>
      <c r="M307" s="203">
        <v>1.0</v>
      </c>
      <c r="N307" s="160"/>
      <c r="O307" s="160"/>
      <c r="P307" s="160"/>
      <c r="Q307" s="160"/>
      <c r="R307" s="160"/>
      <c r="S307" s="160"/>
      <c r="T307" s="18"/>
      <c r="U307" s="18"/>
      <c r="V307" s="18"/>
      <c r="W307" s="20"/>
      <c r="X307" s="18"/>
      <c r="Y307" s="18"/>
      <c r="Z307" s="18"/>
      <c r="AA307" s="18"/>
    </row>
    <row r="308">
      <c r="A308" s="195" t="s">
        <v>22</v>
      </c>
      <c r="B308" s="293" t="s">
        <v>301</v>
      </c>
      <c r="C308" s="221" t="s">
        <v>963</v>
      </c>
      <c r="D308" s="229" t="s">
        <v>964</v>
      </c>
      <c r="E308" s="307" t="s">
        <v>53</v>
      </c>
      <c r="F308" s="233">
        <v>46134.0</v>
      </c>
      <c r="G308" s="233">
        <v>46134.0</v>
      </c>
      <c r="H308" s="30" t="s">
        <v>79</v>
      </c>
      <c r="I308" s="136" t="s">
        <v>161</v>
      </c>
      <c r="J308" s="136" t="s">
        <v>34</v>
      </c>
      <c r="K308" s="160"/>
      <c r="L308" s="301">
        <v>0.5</v>
      </c>
      <c r="M308" s="203">
        <v>0.5</v>
      </c>
      <c r="N308" s="160"/>
      <c r="O308" s="160"/>
      <c r="P308" s="160"/>
      <c r="Q308" s="160"/>
      <c r="R308" s="160"/>
      <c r="S308" s="160"/>
      <c r="T308" s="18"/>
      <c r="U308" s="18"/>
      <c r="V308" s="18"/>
      <c r="W308" s="20"/>
      <c r="X308" s="18"/>
      <c r="Y308" s="18"/>
      <c r="Z308" s="18"/>
      <c r="AA308" s="18"/>
    </row>
    <row r="309">
      <c r="A309" s="195" t="s">
        <v>64</v>
      </c>
      <c r="B309" s="298" t="s">
        <v>102</v>
      </c>
      <c r="C309" s="221" t="s">
        <v>965</v>
      </c>
      <c r="D309" s="229" t="s">
        <v>966</v>
      </c>
      <c r="E309" s="307" t="s">
        <v>53</v>
      </c>
      <c r="F309" s="233">
        <v>46134.0</v>
      </c>
      <c r="G309" s="233">
        <v>46135.0</v>
      </c>
      <c r="H309" s="30" t="s">
        <v>79</v>
      </c>
      <c r="I309" s="136" t="s">
        <v>26</v>
      </c>
      <c r="J309" s="136" t="s">
        <v>80</v>
      </c>
      <c r="K309" s="160"/>
      <c r="L309" s="301">
        <v>8.0</v>
      </c>
      <c r="M309" s="203">
        <v>7.5</v>
      </c>
      <c r="N309" s="160"/>
      <c r="O309" s="156" t="s">
        <v>967</v>
      </c>
      <c r="P309" s="156" t="s">
        <v>105</v>
      </c>
      <c r="Q309" s="313" t="s">
        <v>968</v>
      </c>
      <c r="R309" s="304" t="s">
        <v>969</v>
      </c>
      <c r="S309" s="160"/>
      <c r="T309" s="18"/>
      <c r="U309" s="18"/>
      <c r="V309" s="20"/>
      <c r="W309" s="20"/>
      <c r="X309" s="20"/>
      <c r="Y309" s="18"/>
      <c r="Z309" s="18"/>
      <c r="AA309" s="18"/>
    </row>
    <row r="310">
      <c r="A310" s="195" t="s">
        <v>22</v>
      </c>
      <c r="B310" s="293" t="s">
        <v>301</v>
      </c>
      <c r="C310" s="221" t="s">
        <v>970</v>
      </c>
      <c r="D310" s="156" t="s">
        <v>971</v>
      </c>
      <c r="E310" s="307" t="s">
        <v>53</v>
      </c>
      <c r="F310" s="233">
        <v>46134.0</v>
      </c>
      <c r="G310" s="233">
        <v>46134.0</v>
      </c>
      <c r="H310" s="30" t="s">
        <v>25</v>
      </c>
      <c r="I310" s="136" t="s">
        <v>161</v>
      </c>
      <c r="J310" s="136" t="s">
        <v>34</v>
      </c>
      <c r="K310" s="160"/>
      <c r="L310" s="301">
        <v>3.0</v>
      </c>
      <c r="M310" s="203">
        <v>2.5</v>
      </c>
      <c r="N310" s="160"/>
      <c r="O310" s="160"/>
      <c r="P310" s="160"/>
      <c r="Q310" s="160"/>
      <c r="R310" s="160"/>
      <c r="S310" s="160"/>
      <c r="T310" s="18"/>
      <c r="U310" s="18"/>
      <c r="V310" s="18"/>
      <c r="W310" s="20"/>
      <c r="X310" s="18"/>
      <c r="Y310" s="18"/>
      <c r="Z310" s="18"/>
      <c r="AA310" s="18"/>
    </row>
    <row r="311">
      <c r="A311" s="195" t="s">
        <v>22</v>
      </c>
      <c r="B311" s="293" t="s">
        <v>301</v>
      </c>
      <c r="C311" s="221" t="s">
        <v>972</v>
      </c>
      <c r="D311" s="229" t="s">
        <v>958</v>
      </c>
      <c r="E311" s="307" t="s">
        <v>53</v>
      </c>
      <c r="F311" s="233">
        <v>46134.0</v>
      </c>
      <c r="G311" s="233">
        <v>46134.0</v>
      </c>
      <c r="H311" s="40" t="s">
        <v>793</v>
      </c>
      <c r="I311" s="136" t="s">
        <v>161</v>
      </c>
      <c r="J311" s="136" t="s">
        <v>34</v>
      </c>
      <c r="K311" s="160"/>
      <c r="L311" s="301">
        <v>4.0</v>
      </c>
      <c r="M311" s="203">
        <v>3.0</v>
      </c>
      <c r="N311" s="160"/>
      <c r="O311" s="160"/>
      <c r="P311" s="160"/>
      <c r="Q311" s="160"/>
      <c r="R311" s="160"/>
      <c r="S311" s="160"/>
      <c r="T311" s="18"/>
      <c r="U311" s="18"/>
      <c r="V311" s="18"/>
      <c r="W311" s="20"/>
      <c r="X311" s="18"/>
      <c r="Y311" s="18"/>
      <c r="Z311" s="18"/>
      <c r="AA311" s="18"/>
    </row>
    <row r="312">
      <c r="A312" s="195" t="s">
        <v>140</v>
      </c>
      <c r="B312" s="298" t="s">
        <v>876</v>
      </c>
      <c r="C312" s="221" t="s">
        <v>973</v>
      </c>
      <c r="D312" s="229" t="s">
        <v>974</v>
      </c>
      <c r="E312" s="136" t="s">
        <v>53</v>
      </c>
      <c r="F312" s="233">
        <v>46134.0</v>
      </c>
      <c r="G312" s="233">
        <v>46134.0</v>
      </c>
      <c r="H312" s="40" t="s">
        <v>793</v>
      </c>
      <c r="I312" s="136" t="s">
        <v>161</v>
      </c>
      <c r="J312" s="301" t="s">
        <v>55</v>
      </c>
      <c r="K312" s="160"/>
      <c r="L312" s="301">
        <v>6.0</v>
      </c>
      <c r="M312" s="203">
        <v>6.0</v>
      </c>
      <c r="N312" s="160"/>
      <c r="O312" s="160"/>
      <c r="P312" s="160"/>
      <c r="Q312" s="160"/>
      <c r="R312" s="160"/>
      <c r="S312" s="160"/>
      <c r="T312" s="18"/>
      <c r="U312" s="18"/>
      <c r="V312" s="18"/>
      <c r="W312" s="18"/>
      <c r="X312" s="18"/>
      <c r="Y312" s="18"/>
      <c r="Z312" s="18"/>
      <c r="AA312" s="18"/>
    </row>
    <row r="313">
      <c r="A313" s="195" t="s">
        <v>22</v>
      </c>
      <c r="B313" s="293" t="s">
        <v>301</v>
      </c>
      <c r="C313" s="221" t="s">
        <v>975</v>
      </c>
      <c r="D313" s="229" t="s">
        <v>958</v>
      </c>
      <c r="E313" s="307" t="s">
        <v>53</v>
      </c>
      <c r="F313" s="233">
        <v>46134.0</v>
      </c>
      <c r="G313" s="233">
        <v>46134.0</v>
      </c>
      <c r="H313" s="30" t="s">
        <v>79</v>
      </c>
      <c r="I313" s="136" t="s">
        <v>161</v>
      </c>
      <c r="J313" s="136" t="s">
        <v>34</v>
      </c>
      <c r="K313" s="160"/>
      <c r="L313" s="301">
        <v>0.5</v>
      </c>
      <c r="M313" s="203">
        <v>0.5</v>
      </c>
      <c r="N313" s="160"/>
      <c r="O313" s="160"/>
      <c r="P313" s="160"/>
      <c r="Q313" s="160"/>
      <c r="R313" s="160"/>
      <c r="S313" s="160"/>
      <c r="T313" s="18"/>
      <c r="U313" s="18"/>
      <c r="V313" s="18"/>
      <c r="W313" s="20"/>
      <c r="X313" s="18"/>
      <c r="Y313" s="18"/>
      <c r="Z313" s="18"/>
      <c r="AA313" s="18"/>
    </row>
    <row r="314">
      <c r="A314" s="195" t="s">
        <v>22</v>
      </c>
      <c r="B314" s="293" t="s">
        <v>301</v>
      </c>
      <c r="C314" s="221" t="s">
        <v>976</v>
      </c>
      <c r="D314" s="302" t="s">
        <v>977</v>
      </c>
      <c r="E314" s="307" t="s">
        <v>53</v>
      </c>
      <c r="F314" s="233">
        <v>46136.0</v>
      </c>
      <c r="G314" s="233">
        <v>46136.0</v>
      </c>
      <c r="H314" s="30" t="s">
        <v>25</v>
      </c>
      <c r="I314" s="136" t="s">
        <v>161</v>
      </c>
      <c r="J314" s="136" t="s">
        <v>27</v>
      </c>
      <c r="K314" s="311"/>
      <c r="L314" s="312">
        <v>2.0</v>
      </c>
      <c r="M314" s="45">
        <v>2.0</v>
      </c>
      <c r="N314" s="311"/>
      <c r="O314" s="311"/>
      <c r="P314" s="311"/>
      <c r="Q314" s="311"/>
      <c r="R314" s="311"/>
      <c r="S314" s="311"/>
      <c r="T314" s="67"/>
      <c r="U314" s="67"/>
      <c r="V314" s="67"/>
      <c r="W314" s="69"/>
      <c r="X314" s="67"/>
      <c r="Y314" s="67"/>
      <c r="Z314" s="67"/>
      <c r="AA314" s="67"/>
    </row>
    <row r="315">
      <c r="A315" s="195" t="s">
        <v>22</v>
      </c>
      <c r="B315" s="293" t="s">
        <v>301</v>
      </c>
      <c r="C315" s="221" t="s">
        <v>978</v>
      </c>
      <c r="D315" s="229" t="s">
        <v>979</v>
      </c>
      <c r="E315" s="307" t="s">
        <v>53</v>
      </c>
      <c r="F315" s="233">
        <v>46136.0</v>
      </c>
      <c r="G315" s="233">
        <v>46136.0</v>
      </c>
      <c r="H315" s="30" t="s">
        <v>25</v>
      </c>
      <c r="I315" s="136" t="s">
        <v>161</v>
      </c>
      <c r="J315" s="136" t="s">
        <v>34</v>
      </c>
      <c r="K315" s="160"/>
      <c r="L315" s="301">
        <v>4.0</v>
      </c>
      <c r="M315" s="203">
        <v>5.0</v>
      </c>
      <c r="N315" s="160"/>
      <c r="O315" s="156"/>
      <c r="P315" s="156" t="s">
        <v>980</v>
      </c>
      <c r="Q315" s="160"/>
      <c r="R315" s="160"/>
      <c r="S315" s="160"/>
      <c r="T315" s="18"/>
      <c r="U315" s="18"/>
      <c r="V315" s="18"/>
      <c r="W315" s="20"/>
      <c r="X315" s="18"/>
      <c r="Y315" s="18"/>
      <c r="Z315" s="18"/>
      <c r="AA315" s="18"/>
    </row>
    <row r="316">
      <c r="A316" s="195" t="s">
        <v>22</v>
      </c>
      <c r="B316" s="293" t="s">
        <v>301</v>
      </c>
      <c r="C316" s="221" t="s">
        <v>981</v>
      </c>
      <c r="D316" s="302" t="s">
        <v>982</v>
      </c>
      <c r="E316" s="307" t="s">
        <v>53</v>
      </c>
      <c r="F316" s="233">
        <v>46136.0</v>
      </c>
      <c r="G316" s="233">
        <v>46136.0</v>
      </c>
      <c r="H316" s="30" t="s">
        <v>25</v>
      </c>
      <c r="I316" s="136" t="s">
        <v>161</v>
      </c>
      <c r="J316" s="136" t="s">
        <v>34</v>
      </c>
      <c r="K316" s="311"/>
      <c r="L316" s="312">
        <v>2.0</v>
      </c>
      <c r="M316" s="45">
        <v>2.0</v>
      </c>
      <c r="N316" s="311"/>
      <c r="O316" s="156"/>
      <c r="P316" s="156" t="s">
        <v>983</v>
      </c>
      <c r="Q316" s="311"/>
      <c r="R316" s="311"/>
      <c r="S316" s="311"/>
      <c r="T316" s="67"/>
      <c r="U316" s="67"/>
      <c r="V316" s="67"/>
      <c r="W316" s="69"/>
      <c r="X316" s="67"/>
      <c r="Y316" s="67"/>
      <c r="Z316" s="67"/>
      <c r="AA316" s="67"/>
    </row>
    <row r="317">
      <c r="A317" s="314" t="s">
        <v>201</v>
      </c>
      <c r="B317" s="315" t="s">
        <v>716</v>
      </c>
      <c r="C317" s="221" t="s">
        <v>976</v>
      </c>
      <c r="D317" s="302" t="s">
        <v>984</v>
      </c>
      <c r="E317" s="316" t="s">
        <v>53</v>
      </c>
      <c r="F317" s="26">
        <v>46136.0</v>
      </c>
      <c r="G317" s="26">
        <v>46136.0</v>
      </c>
      <c r="H317" s="30" t="s">
        <v>79</v>
      </c>
      <c r="I317" s="171" t="s">
        <v>161</v>
      </c>
      <c r="J317" s="171" t="s">
        <v>34</v>
      </c>
      <c r="K317" s="311"/>
      <c r="L317" s="312">
        <v>4.0</v>
      </c>
      <c r="M317" s="45">
        <v>4.0</v>
      </c>
      <c r="N317" s="311"/>
      <c r="O317" s="18"/>
      <c r="P317" s="311"/>
      <c r="Q317" s="311"/>
      <c r="R317" s="311"/>
      <c r="S317" s="311"/>
      <c r="T317" s="67"/>
      <c r="U317" s="67"/>
      <c r="V317" s="67"/>
      <c r="W317" s="67"/>
      <c r="X317" s="67"/>
      <c r="Y317" s="67"/>
      <c r="Z317" s="67"/>
      <c r="AA317" s="67"/>
    </row>
    <row r="318">
      <c r="A318" s="306" t="s">
        <v>201</v>
      </c>
      <c r="B318" s="224" t="s">
        <v>886</v>
      </c>
      <c r="C318" s="221" t="s">
        <v>981</v>
      </c>
      <c r="D318" s="229" t="s">
        <v>985</v>
      </c>
      <c r="E318" s="136" t="s">
        <v>53</v>
      </c>
      <c r="F318" s="26">
        <v>46136.0</v>
      </c>
      <c r="G318" s="233">
        <v>46136.0</v>
      </c>
      <c r="H318" s="223" t="s">
        <v>79</v>
      </c>
      <c r="I318" s="171" t="s">
        <v>161</v>
      </c>
      <c r="J318" s="136" t="s">
        <v>34</v>
      </c>
      <c r="K318" s="160"/>
      <c r="L318" s="301">
        <v>4.0</v>
      </c>
      <c r="M318" s="203">
        <v>4.0</v>
      </c>
      <c r="N318" s="160"/>
      <c r="O318" s="160"/>
      <c r="P318" s="160"/>
      <c r="Q318" s="160"/>
      <c r="R318" s="160"/>
      <c r="S318" s="160"/>
      <c r="T318" s="18"/>
      <c r="U318" s="18"/>
      <c r="V318" s="18"/>
      <c r="W318" s="18"/>
      <c r="X318" s="18"/>
      <c r="Y318" s="18"/>
      <c r="Z318" s="18"/>
      <c r="AA318" s="18"/>
    </row>
    <row r="319">
      <c r="A319" s="195" t="s">
        <v>64</v>
      </c>
      <c r="B319" s="236" t="s">
        <v>266</v>
      </c>
      <c r="C319" s="262" t="s">
        <v>869</v>
      </c>
      <c r="D319" s="219" t="s">
        <v>986</v>
      </c>
      <c r="E319" s="136" t="s">
        <v>53</v>
      </c>
      <c r="F319" s="233">
        <v>46136.0</v>
      </c>
      <c r="G319" s="233">
        <v>46136.0</v>
      </c>
      <c r="H319" s="223" t="s">
        <v>400</v>
      </c>
      <c r="I319" s="136" t="s">
        <v>161</v>
      </c>
      <c r="J319" s="136" t="s">
        <v>34</v>
      </c>
      <c r="K319" s="227"/>
      <c r="L319" s="223">
        <v>2.0</v>
      </c>
      <c r="M319" s="203">
        <v>2.0</v>
      </c>
      <c r="N319" s="206"/>
      <c r="O319" s="206"/>
      <c r="P319" s="160"/>
      <c r="Q319" s="206"/>
      <c r="R319" s="206"/>
      <c r="S319" s="206"/>
      <c r="T319" s="209"/>
      <c r="U319" s="209"/>
      <c r="V319" s="209"/>
      <c r="W319" s="209"/>
      <c r="X319" s="209"/>
      <c r="Y319" s="18"/>
      <c r="Z319" s="18"/>
      <c r="AA319" s="18"/>
    </row>
    <row r="320">
      <c r="A320" s="195" t="s">
        <v>22</v>
      </c>
      <c r="B320" s="293" t="s">
        <v>301</v>
      </c>
      <c r="C320" s="221" t="s">
        <v>987</v>
      </c>
      <c r="D320" s="229" t="s">
        <v>979</v>
      </c>
      <c r="E320" s="307" t="s">
        <v>53</v>
      </c>
      <c r="F320" s="233">
        <v>46139.0</v>
      </c>
      <c r="G320" s="233">
        <v>46139.0</v>
      </c>
      <c r="H320" s="30" t="s">
        <v>25</v>
      </c>
      <c r="I320" s="136" t="s">
        <v>161</v>
      </c>
      <c r="J320" s="136" t="s">
        <v>34</v>
      </c>
      <c r="K320" s="311"/>
      <c r="L320" s="312">
        <v>4.0</v>
      </c>
      <c r="M320" s="45">
        <v>4.0</v>
      </c>
      <c r="N320" s="160"/>
      <c r="O320" s="18"/>
      <c r="P320" s="160"/>
      <c r="Q320" s="160"/>
      <c r="R320" s="160"/>
      <c r="S320" s="160"/>
      <c r="T320" s="18"/>
      <c r="U320" s="18"/>
      <c r="V320" s="18"/>
      <c r="W320" s="20"/>
      <c r="X320" s="18"/>
      <c r="Y320" s="18"/>
      <c r="Z320" s="18"/>
      <c r="AA320" s="18"/>
    </row>
    <row r="321">
      <c r="A321" s="195" t="s">
        <v>22</v>
      </c>
      <c r="B321" s="293" t="s">
        <v>301</v>
      </c>
      <c r="C321" s="221" t="s">
        <v>988</v>
      </c>
      <c r="D321" s="229" t="s">
        <v>989</v>
      </c>
      <c r="E321" s="307" t="s">
        <v>53</v>
      </c>
      <c r="F321" s="233">
        <v>46139.0</v>
      </c>
      <c r="G321" s="233">
        <v>46139.0</v>
      </c>
      <c r="H321" s="30" t="s">
        <v>25</v>
      </c>
      <c r="I321" s="136" t="s">
        <v>161</v>
      </c>
      <c r="J321" s="136" t="s">
        <v>34</v>
      </c>
      <c r="K321" s="311"/>
      <c r="L321" s="312">
        <v>3.0</v>
      </c>
      <c r="M321" s="45">
        <v>3.0</v>
      </c>
      <c r="N321" s="160"/>
      <c r="O321" s="156" t="s">
        <v>990</v>
      </c>
      <c r="P321" s="156" t="s">
        <v>991</v>
      </c>
      <c r="Q321" s="160"/>
      <c r="R321" s="160"/>
      <c r="S321" s="160"/>
      <c r="T321" s="18"/>
      <c r="U321" s="18"/>
      <c r="V321" s="18"/>
      <c r="W321" s="20"/>
      <c r="X321" s="18"/>
      <c r="Y321" s="18"/>
      <c r="Z321" s="18"/>
      <c r="AA321" s="18"/>
    </row>
    <row r="322">
      <c r="A322" s="195" t="s">
        <v>22</v>
      </c>
      <c r="B322" s="293" t="s">
        <v>301</v>
      </c>
      <c r="C322" s="221" t="s">
        <v>992</v>
      </c>
      <c r="D322" s="229" t="s">
        <v>993</v>
      </c>
      <c r="E322" s="307" t="s">
        <v>53</v>
      </c>
      <c r="F322" s="233">
        <v>46139.0</v>
      </c>
      <c r="G322" s="233">
        <v>46139.0</v>
      </c>
      <c r="H322" s="223" t="s">
        <v>79</v>
      </c>
      <c r="I322" s="136" t="s">
        <v>161</v>
      </c>
      <c r="J322" s="136" t="s">
        <v>34</v>
      </c>
      <c r="K322" s="311"/>
      <c r="L322" s="312">
        <v>2.5</v>
      </c>
      <c r="M322" s="45">
        <v>2.5</v>
      </c>
      <c r="N322" s="160"/>
      <c r="O322" s="156"/>
      <c r="P322" s="156"/>
      <c r="Q322" s="156" t="s">
        <v>994</v>
      </c>
      <c r="R322" s="160"/>
      <c r="S322" s="160"/>
      <c r="T322" s="18"/>
      <c r="U322" s="18"/>
      <c r="V322" s="18"/>
      <c r="W322" s="20"/>
      <c r="X322" s="18"/>
      <c r="Y322" s="18"/>
      <c r="Z322" s="18"/>
      <c r="AA322" s="18"/>
    </row>
    <row r="323">
      <c r="A323" s="195" t="s">
        <v>22</v>
      </c>
      <c r="B323" s="293" t="s">
        <v>301</v>
      </c>
      <c r="C323" s="221" t="s">
        <v>995</v>
      </c>
      <c r="D323" s="229" t="s">
        <v>996</v>
      </c>
      <c r="E323" s="307" t="s">
        <v>53</v>
      </c>
      <c r="F323" s="233">
        <v>46139.0</v>
      </c>
      <c r="G323" s="233">
        <v>46139.0</v>
      </c>
      <c r="H323" s="30" t="s">
        <v>25</v>
      </c>
      <c r="I323" s="136" t="s">
        <v>161</v>
      </c>
      <c r="J323" s="136" t="s">
        <v>34</v>
      </c>
      <c r="K323" s="311"/>
      <c r="L323" s="312">
        <v>2.0</v>
      </c>
      <c r="M323" s="45">
        <v>1.0</v>
      </c>
      <c r="N323" s="160"/>
      <c r="O323" s="156" t="s">
        <v>990</v>
      </c>
      <c r="P323" s="156"/>
      <c r="Q323" s="160"/>
      <c r="R323" s="160"/>
      <c r="S323" s="160"/>
      <c r="T323" s="18"/>
      <c r="U323" s="18"/>
      <c r="V323" s="18"/>
      <c r="W323" s="20"/>
      <c r="X323" s="18"/>
      <c r="Y323" s="18"/>
      <c r="Z323" s="18"/>
      <c r="AA323" s="18"/>
    </row>
    <row r="324">
      <c r="A324" s="195" t="s">
        <v>22</v>
      </c>
      <c r="B324" s="293" t="s">
        <v>301</v>
      </c>
      <c r="C324" s="221" t="s">
        <v>997</v>
      </c>
      <c r="D324" s="156" t="s">
        <v>998</v>
      </c>
      <c r="E324" s="307" t="s">
        <v>53</v>
      </c>
      <c r="F324" s="233">
        <v>46139.0</v>
      </c>
      <c r="G324" s="233">
        <v>46139.0</v>
      </c>
      <c r="H324" s="223" t="s">
        <v>79</v>
      </c>
      <c r="I324" s="136" t="s">
        <v>161</v>
      </c>
      <c r="J324" s="136" t="s">
        <v>27</v>
      </c>
      <c r="K324" s="160"/>
      <c r="L324" s="301">
        <v>2.0</v>
      </c>
      <c r="M324" s="203">
        <v>2.0</v>
      </c>
      <c r="N324" s="160"/>
      <c r="O324" s="160"/>
      <c r="P324" s="160"/>
      <c r="Q324" s="160"/>
      <c r="R324" s="160"/>
      <c r="S324" s="160"/>
      <c r="T324" s="18"/>
      <c r="U324" s="18"/>
      <c r="V324" s="18"/>
      <c r="W324" s="20"/>
      <c r="X324" s="18"/>
      <c r="Y324" s="18"/>
      <c r="Z324" s="18"/>
      <c r="AA324" s="18"/>
    </row>
    <row r="325">
      <c r="A325" s="195" t="s">
        <v>64</v>
      </c>
      <c r="B325" s="298" t="s">
        <v>102</v>
      </c>
      <c r="C325" s="221" t="s">
        <v>999</v>
      </c>
      <c r="D325" s="229" t="s">
        <v>1000</v>
      </c>
      <c r="E325" s="307" t="s">
        <v>53</v>
      </c>
      <c r="F325" s="233">
        <v>46140.0</v>
      </c>
      <c r="G325" s="233">
        <v>46140.0</v>
      </c>
      <c r="H325" s="223" t="s">
        <v>79</v>
      </c>
      <c r="I325" s="136" t="s">
        <v>161</v>
      </c>
      <c r="J325" s="136" t="s">
        <v>80</v>
      </c>
      <c r="K325" s="160"/>
      <c r="L325" s="301">
        <v>1.0</v>
      </c>
      <c r="M325" s="203">
        <v>1.0</v>
      </c>
      <c r="N325" s="160"/>
      <c r="O325" s="160"/>
      <c r="P325" s="160"/>
      <c r="Q325" s="190" t="s">
        <v>1001</v>
      </c>
      <c r="R325" s="160"/>
      <c r="S325" s="160"/>
      <c r="T325" s="18"/>
      <c r="U325" s="18"/>
      <c r="V325" s="20"/>
      <c r="W325" s="20"/>
      <c r="X325" s="20"/>
      <c r="Y325" s="18"/>
      <c r="Z325" s="18"/>
      <c r="AA325" s="18"/>
    </row>
    <row r="326">
      <c r="A326" s="195" t="s">
        <v>119</v>
      </c>
      <c r="B326" s="317"/>
      <c r="C326" s="221" t="s">
        <v>1002</v>
      </c>
      <c r="D326" s="229" t="s">
        <v>1003</v>
      </c>
      <c r="E326" s="307" t="s">
        <v>53</v>
      </c>
      <c r="F326" s="233">
        <v>46140.0</v>
      </c>
      <c r="G326" s="233">
        <v>46140.0</v>
      </c>
      <c r="H326" s="223" t="s">
        <v>79</v>
      </c>
      <c r="I326" s="136" t="s">
        <v>161</v>
      </c>
      <c r="J326" s="136" t="s">
        <v>34</v>
      </c>
      <c r="K326" s="160"/>
      <c r="L326" s="301">
        <v>2.0</v>
      </c>
      <c r="M326" s="203">
        <v>0.0</v>
      </c>
      <c r="N326" s="160"/>
      <c r="O326" s="160"/>
      <c r="P326" s="160"/>
      <c r="Q326" s="160"/>
      <c r="R326" s="160"/>
      <c r="S326" s="160"/>
      <c r="T326" s="18"/>
      <c r="U326" s="18"/>
      <c r="V326" s="18"/>
      <c r="W326" s="18"/>
      <c r="X326" s="18"/>
      <c r="Y326" s="18"/>
      <c r="Z326" s="18"/>
      <c r="AA326" s="18"/>
    </row>
    <row r="327">
      <c r="A327" s="195" t="s">
        <v>22</v>
      </c>
      <c r="B327" s="293" t="s">
        <v>301</v>
      </c>
      <c r="C327" s="221" t="s">
        <v>1004</v>
      </c>
      <c r="D327" s="229" t="s">
        <v>1005</v>
      </c>
      <c r="E327" s="307" t="s">
        <v>53</v>
      </c>
      <c r="F327" s="233">
        <v>46140.0</v>
      </c>
      <c r="G327" s="233">
        <v>46140.0</v>
      </c>
      <c r="H327" s="30" t="s">
        <v>25</v>
      </c>
      <c r="I327" s="136" t="s">
        <v>161</v>
      </c>
      <c r="J327" s="136" t="s">
        <v>34</v>
      </c>
      <c r="K327" s="160"/>
      <c r="L327" s="301">
        <v>2.0</v>
      </c>
      <c r="M327" s="203">
        <v>2.0</v>
      </c>
      <c r="N327" s="160"/>
      <c r="O327" s="160"/>
      <c r="P327" s="160"/>
      <c r="Q327" s="160"/>
      <c r="R327" s="160"/>
      <c r="S327" s="160"/>
      <c r="T327" s="18"/>
      <c r="U327" s="18"/>
      <c r="V327" s="18"/>
      <c r="W327" s="20"/>
      <c r="X327" s="18"/>
      <c r="Y327" s="18"/>
      <c r="Z327" s="18"/>
      <c r="AA327" s="18"/>
    </row>
    <row r="328">
      <c r="A328" s="195" t="s">
        <v>119</v>
      </c>
      <c r="B328" s="298" t="s">
        <v>313</v>
      </c>
      <c r="C328" s="221" t="s">
        <v>1006</v>
      </c>
      <c r="D328" s="229" t="s">
        <v>1007</v>
      </c>
      <c r="E328" s="307" t="s">
        <v>53</v>
      </c>
      <c r="F328" s="233">
        <v>46140.0</v>
      </c>
      <c r="G328" s="233">
        <v>46140.0</v>
      </c>
      <c r="H328" s="30" t="s">
        <v>25</v>
      </c>
      <c r="I328" s="136" t="s">
        <v>161</v>
      </c>
      <c r="J328" s="136" t="s">
        <v>34</v>
      </c>
      <c r="K328" s="160"/>
      <c r="L328" s="301">
        <v>2.0</v>
      </c>
      <c r="M328" s="203">
        <v>2.0</v>
      </c>
      <c r="N328" s="160"/>
      <c r="O328" s="160"/>
      <c r="P328" s="160"/>
      <c r="Q328" s="160"/>
      <c r="R328" s="160"/>
      <c r="S328" s="160"/>
      <c r="T328" s="18"/>
      <c r="U328" s="18"/>
      <c r="V328" s="18"/>
      <c r="W328" s="18"/>
      <c r="X328" s="18"/>
      <c r="Y328" s="18"/>
      <c r="Z328" s="18"/>
      <c r="AA328" s="18"/>
    </row>
    <row r="329">
      <c r="A329" s="195" t="s">
        <v>22</v>
      </c>
      <c r="B329" s="293" t="s">
        <v>301</v>
      </c>
      <c r="C329" s="221" t="s">
        <v>1008</v>
      </c>
      <c r="D329" s="156" t="s">
        <v>1009</v>
      </c>
      <c r="E329" s="307" t="s">
        <v>53</v>
      </c>
      <c r="F329" s="233">
        <v>46140.0</v>
      </c>
      <c r="G329" s="233">
        <v>46140.0</v>
      </c>
      <c r="H329" s="30" t="s">
        <v>25</v>
      </c>
      <c r="I329" s="136" t="s">
        <v>161</v>
      </c>
      <c r="J329" s="136" t="s">
        <v>55</v>
      </c>
      <c r="K329" s="160"/>
      <c r="L329" s="301">
        <v>2.0</v>
      </c>
      <c r="M329" s="203">
        <v>1.5</v>
      </c>
      <c r="N329" s="160"/>
      <c r="O329" s="160"/>
      <c r="P329" s="160"/>
      <c r="Q329" s="160"/>
      <c r="R329" s="160"/>
      <c r="S329" s="160"/>
      <c r="T329" s="18"/>
      <c r="U329" s="18"/>
      <c r="V329" s="18"/>
      <c r="W329" s="20"/>
      <c r="X329" s="18"/>
      <c r="Y329" s="18"/>
      <c r="Z329" s="18"/>
      <c r="AA329" s="18"/>
    </row>
    <row r="330">
      <c r="A330" s="195" t="s">
        <v>22</v>
      </c>
      <c r="B330" s="293" t="s">
        <v>301</v>
      </c>
      <c r="C330" s="221" t="s">
        <v>1008</v>
      </c>
      <c r="D330" s="156" t="s">
        <v>1010</v>
      </c>
      <c r="E330" s="307" t="s">
        <v>53</v>
      </c>
      <c r="F330" s="233">
        <v>46140.0</v>
      </c>
      <c r="G330" s="233">
        <v>46140.0</v>
      </c>
      <c r="H330" s="30" t="s">
        <v>25</v>
      </c>
      <c r="I330" s="136" t="s">
        <v>161</v>
      </c>
      <c r="J330" s="136" t="s">
        <v>55</v>
      </c>
      <c r="K330" s="160"/>
      <c r="L330" s="301">
        <v>1.0</v>
      </c>
      <c r="M330" s="203">
        <v>1.0</v>
      </c>
      <c r="N330" s="160"/>
      <c r="O330" s="160"/>
      <c r="P330" s="160"/>
      <c r="Q330" s="160"/>
      <c r="R330" s="160"/>
      <c r="S330" s="160"/>
      <c r="T330" s="18"/>
      <c r="U330" s="18"/>
      <c r="V330" s="18"/>
      <c r="W330" s="20"/>
      <c r="X330" s="18"/>
      <c r="Y330" s="18"/>
      <c r="Z330" s="18"/>
      <c r="AA330" s="18"/>
    </row>
    <row r="331">
      <c r="A331" s="195" t="s">
        <v>22</v>
      </c>
      <c r="B331" s="293" t="s">
        <v>301</v>
      </c>
      <c r="C331" s="221" t="s">
        <v>1011</v>
      </c>
      <c r="D331" s="156" t="s">
        <v>1012</v>
      </c>
      <c r="E331" s="307" t="s">
        <v>53</v>
      </c>
      <c r="F331" s="233">
        <v>46140.0</v>
      </c>
      <c r="G331" s="233">
        <v>46140.0</v>
      </c>
      <c r="H331" s="30" t="s">
        <v>25</v>
      </c>
      <c r="I331" s="136" t="s">
        <v>161</v>
      </c>
      <c r="J331" s="136" t="s">
        <v>55</v>
      </c>
      <c r="K331" s="160"/>
      <c r="L331" s="301">
        <v>2.0</v>
      </c>
      <c r="M331" s="203">
        <v>2.5</v>
      </c>
      <c r="N331" s="160"/>
      <c r="O331" s="160"/>
      <c r="P331" s="160"/>
      <c r="Q331" s="160"/>
      <c r="R331" s="160"/>
      <c r="S331" s="160"/>
      <c r="T331" s="18"/>
      <c r="U331" s="18"/>
      <c r="V331" s="18"/>
      <c r="W331" s="20"/>
      <c r="X331" s="18"/>
      <c r="Y331" s="18"/>
      <c r="Z331" s="18"/>
      <c r="AA331" s="18"/>
    </row>
    <row r="332">
      <c r="A332" s="195" t="s">
        <v>64</v>
      </c>
      <c r="B332" s="293" t="s">
        <v>92</v>
      </c>
      <c r="C332" s="221" t="s">
        <v>1013</v>
      </c>
      <c r="D332" s="229" t="s">
        <v>1014</v>
      </c>
      <c r="E332" s="307" t="s">
        <v>53</v>
      </c>
      <c r="F332" s="233">
        <v>46140.0</v>
      </c>
      <c r="G332" s="233">
        <v>46140.0</v>
      </c>
      <c r="H332" s="223" t="s">
        <v>79</v>
      </c>
      <c r="I332" s="136" t="s">
        <v>161</v>
      </c>
      <c r="J332" s="301" t="s">
        <v>80</v>
      </c>
      <c r="K332" s="160"/>
      <c r="L332" s="301">
        <v>6.0</v>
      </c>
      <c r="M332" s="203">
        <v>6.0</v>
      </c>
      <c r="N332" s="160"/>
      <c r="O332" s="160"/>
      <c r="P332" s="160"/>
      <c r="Q332" s="160"/>
      <c r="R332" s="160"/>
      <c r="S332" s="160"/>
      <c r="T332" s="18"/>
      <c r="U332" s="18"/>
      <c r="V332" s="20"/>
      <c r="W332" s="20"/>
      <c r="X332" s="20"/>
      <c r="Y332" s="18"/>
      <c r="Z332" s="18"/>
      <c r="AA332" s="18"/>
    </row>
    <row r="333">
      <c r="A333" s="195" t="s">
        <v>22</v>
      </c>
      <c r="B333" s="224" t="s">
        <v>43</v>
      </c>
      <c r="C333" s="221" t="s">
        <v>1015</v>
      </c>
      <c r="D333" s="237" t="s">
        <v>1016</v>
      </c>
      <c r="E333" s="136" t="s">
        <v>53</v>
      </c>
      <c r="F333" s="233">
        <v>46141.0</v>
      </c>
      <c r="G333" s="233">
        <v>46141.0</v>
      </c>
      <c r="H333" s="30" t="s">
        <v>25</v>
      </c>
      <c r="I333" s="136" t="s">
        <v>161</v>
      </c>
      <c r="J333" s="215" t="s">
        <v>34</v>
      </c>
      <c r="K333" s="238"/>
      <c r="L333" s="215">
        <v>2.0</v>
      </c>
      <c r="M333" s="203">
        <v>0.5</v>
      </c>
      <c r="N333" s="238"/>
      <c r="O333" s="237" t="s">
        <v>1017</v>
      </c>
      <c r="P333" s="156" t="s">
        <v>1018</v>
      </c>
      <c r="Q333" s="263"/>
      <c r="R333" s="239"/>
      <c r="S333" s="238"/>
      <c r="T333" s="232"/>
      <c r="U333" s="232"/>
      <c r="V333" s="258"/>
      <c r="W333" s="258"/>
      <c r="X333" s="232"/>
      <c r="Y333" s="18"/>
      <c r="Z333" s="18"/>
      <c r="AA333" s="18"/>
    </row>
    <row r="334">
      <c r="A334" s="195" t="s">
        <v>22</v>
      </c>
      <c r="B334" s="293" t="s">
        <v>301</v>
      </c>
      <c r="C334" s="221" t="s">
        <v>1019</v>
      </c>
      <c r="D334" s="229" t="s">
        <v>1020</v>
      </c>
      <c r="E334" s="307" t="s">
        <v>53</v>
      </c>
      <c r="F334" s="233">
        <v>46141.0</v>
      </c>
      <c r="G334" s="233">
        <v>46141.0</v>
      </c>
      <c r="H334" s="30" t="s">
        <v>25</v>
      </c>
      <c r="I334" s="136" t="s">
        <v>161</v>
      </c>
      <c r="J334" s="136" t="s">
        <v>55</v>
      </c>
      <c r="K334" s="160"/>
      <c r="L334" s="301">
        <v>2.0</v>
      </c>
      <c r="M334" s="203">
        <v>3.0</v>
      </c>
      <c r="N334" s="160"/>
      <c r="O334" s="156" t="s">
        <v>1021</v>
      </c>
      <c r="P334" s="156" t="s">
        <v>1018</v>
      </c>
      <c r="Q334" s="160"/>
      <c r="R334" s="160"/>
      <c r="S334" s="160"/>
      <c r="T334" s="18"/>
      <c r="U334" s="18"/>
      <c r="V334" s="18"/>
      <c r="W334" s="20"/>
      <c r="X334" s="18"/>
      <c r="Y334" s="18"/>
      <c r="Z334" s="18"/>
      <c r="AA334" s="18"/>
    </row>
    <row r="335">
      <c r="A335" s="195" t="s">
        <v>64</v>
      </c>
      <c r="B335" s="317"/>
      <c r="C335" s="221" t="s">
        <v>1022</v>
      </c>
      <c r="D335" s="229" t="s">
        <v>1023</v>
      </c>
      <c r="E335" s="307" t="s">
        <v>53</v>
      </c>
      <c r="F335" s="233">
        <v>46141.0</v>
      </c>
      <c r="G335" s="233">
        <v>46141.0</v>
      </c>
      <c r="H335" s="223" t="s">
        <v>79</v>
      </c>
      <c r="I335" s="136" t="s">
        <v>161</v>
      </c>
      <c r="J335" s="136" t="s">
        <v>34</v>
      </c>
      <c r="K335" s="160"/>
      <c r="L335" s="301">
        <v>1.0</v>
      </c>
      <c r="M335" s="203">
        <v>1.0</v>
      </c>
      <c r="N335" s="160"/>
      <c r="O335" s="160"/>
      <c r="P335" s="160"/>
      <c r="Q335" s="304" t="s">
        <v>1024</v>
      </c>
      <c r="R335" s="160"/>
      <c r="S335" s="160"/>
      <c r="T335" s="18"/>
      <c r="U335" s="18"/>
      <c r="V335" s="18"/>
      <c r="W335" s="18"/>
      <c r="X335" s="18"/>
      <c r="Y335" s="18"/>
      <c r="Z335" s="18"/>
      <c r="AA335" s="18"/>
    </row>
    <row r="336">
      <c r="A336" s="195" t="s">
        <v>22</v>
      </c>
      <c r="B336" s="298" t="s">
        <v>313</v>
      </c>
      <c r="C336" s="221" t="s">
        <v>1025</v>
      </c>
      <c r="D336" s="229" t="s">
        <v>1026</v>
      </c>
      <c r="E336" s="307" t="s">
        <v>53</v>
      </c>
      <c r="F336" s="233">
        <v>46141.0</v>
      </c>
      <c r="G336" s="233">
        <v>46141.0</v>
      </c>
      <c r="H336" s="30" t="s">
        <v>25</v>
      </c>
      <c r="I336" s="136" t="s">
        <v>161</v>
      </c>
      <c r="J336" s="136" t="s">
        <v>55</v>
      </c>
      <c r="K336" s="160"/>
      <c r="L336" s="301">
        <v>1.0</v>
      </c>
      <c r="M336" s="203">
        <v>1.5</v>
      </c>
      <c r="N336" s="160"/>
      <c r="O336" s="160"/>
      <c r="P336" s="160"/>
      <c r="Q336" s="160"/>
      <c r="R336" s="160"/>
      <c r="S336" s="160"/>
      <c r="T336" s="18"/>
      <c r="U336" s="18"/>
      <c r="V336" s="18"/>
      <c r="W336" s="18"/>
      <c r="X336" s="18"/>
      <c r="Y336" s="18"/>
      <c r="Z336" s="18"/>
      <c r="AA336" s="18"/>
    </row>
    <row r="337">
      <c r="A337" s="195" t="s">
        <v>22</v>
      </c>
      <c r="B337" s="293" t="s">
        <v>301</v>
      </c>
      <c r="C337" s="221" t="s">
        <v>1027</v>
      </c>
      <c r="D337" s="229" t="s">
        <v>1028</v>
      </c>
      <c r="E337" s="307" t="s">
        <v>53</v>
      </c>
      <c r="F337" s="233">
        <v>46141.0</v>
      </c>
      <c r="G337" s="233">
        <v>46141.0</v>
      </c>
      <c r="H337" s="30" t="s">
        <v>25</v>
      </c>
      <c r="I337" s="136" t="s">
        <v>161</v>
      </c>
      <c r="J337" s="136" t="s">
        <v>55</v>
      </c>
      <c r="K337" s="160"/>
      <c r="L337" s="301">
        <v>1.0</v>
      </c>
      <c r="M337" s="203">
        <v>2.0</v>
      </c>
      <c r="N337" s="160"/>
      <c r="O337" s="156" t="s">
        <v>1029</v>
      </c>
      <c r="P337" s="156" t="s">
        <v>1030</v>
      </c>
      <c r="Q337" s="160"/>
      <c r="R337" s="160"/>
      <c r="S337" s="160"/>
      <c r="T337" s="18"/>
      <c r="U337" s="18"/>
      <c r="V337" s="18"/>
      <c r="W337" s="20"/>
      <c r="X337" s="18"/>
      <c r="Y337" s="18"/>
      <c r="Z337" s="18"/>
      <c r="AA337" s="18"/>
    </row>
    <row r="338">
      <c r="A338" s="195" t="s">
        <v>22</v>
      </c>
      <c r="B338" s="293" t="s">
        <v>301</v>
      </c>
      <c r="C338" s="221" t="s">
        <v>1031</v>
      </c>
      <c r="D338" s="229" t="s">
        <v>1032</v>
      </c>
      <c r="E338" s="307" t="s">
        <v>53</v>
      </c>
      <c r="F338" s="233">
        <v>46141.0</v>
      </c>
      <c r="G338" s="233">
        <v>46141.0</v>
      </c>
      <c r="H338" s="30" t="s">
        <v>25</v>
      </c>
      <c r="I338" s="136" t="s">
        <v>161</v>
      </c>
      <c r="J338" s="136" t="s">
        <v>55</v>
      </c>
      <c r="K338" s="160"/>
      <c r="L338" s="301">
        <v>1.0</v>
      </c>
      <c r="M338" s="203">
        <v>1.0</v>
      </c>
      <c r="N338" s="160"/>
      <c r="O338" s="160"/>
      <c r="P338" s="160"/>
      <c r="Q338" s="160"/>
      <c r="R338" s="160"/>
      <c r="S338" s="160"/>
      <c r="T338" s="18"/>
      <c r="U338" s="18"/>
      <c r="V338" s="18"/>
      <c r="W338" s="20"/>
      <c r="X338" s="18"/>
      <c r="Y338" s="18"/>
      <c r="Z338" s="18"/>
      <c r="AA338" s="18"/>
    </row>
    <row r="339">
      <c r="A339" s="195" t="s">
        <v>22</v>
      </c>
      <c r="B339" s="293" t="s">
        <v>23</v>
      </c>
      <c r="C339" s="221" t="s">
        <v>1031</v>
      </c>
      <c r="D339" s="229" t="s">
        <v>1033</v>
      </c>
      <c r="E339" s="307" t="s">
        <v>53</v>
      </c>
      <c r="F339" s="233">
        <v>46141.0</v>
      </c>
      <c r="G339" s="233">
        <v>46141.0</v>
      </c>
      <c r="H339" s="30" t="s">
        <v>25</v>
      </c>
      <c r="I339" s="136" t="s">
        <v>161</v>
      </c>
      <c r="J339" s="136" t="s">
        <v>34</v>
      </c>
      <c r="K339" s="160"/>
      <c r="L339" s="301">
        <v>1.0</v>
      </c>
      <c r="M339" s="203">
        <v>0.5</v>
      </c>
      <c r="N339" s="160"/>
      <c r="O339" s="156" t="s">
        <v>1034</v>
      </c>
      <c r="P339" s="156" t="s">
        <v>1035</v>
      </c>
      <c r="Q339" s="160"/>
      <c r="R339" s="160"/>
      <c r="S339" s="160"/>
      <c r="T339" s="18"/>
      <c r="U339" s="18"/>
      <c r="V339" s="20"/>
      <c r="W339" s="20"/>
      <c r="X339" s="18"/>
      <c r="Y339" s="18"/>
      <c r="Z339" s="18"/>
      <c r="AA339" s="18"/>
    </row>
    <row r="340">
      <c r="A340" s="195" t="s">
        <v>64</v>
      </c>
      <c r="B340" s="293" t="s">
        <v>92</v>
      </c>
      <c r="C340" s="221" t="s">
        <v>1036</v>
      </c>
      <c r="D340" s="229" t="s">
        <v>1037</v>
      </c>
      <c r="E340" s="307" t="s">
        <v>53</v>
      </c>
      <c r="F340" s="233">
        <v>46140.0</v>
      </c>
      <c r="G340" s="233">
        <v>46140.0</v>
      </c>
      <c r="H340" s="223" t="s">
        <v>79</v>
      </c>
      <c r="I340" s="136" t="s">
        <v>44</v>
      </c>
      <c r="J340" s="301" t="s">
        <v>80</v>
      </c>
      <c r="K340" s="160"/>
      <c r="L340" s="301">
        <v>2.0</v>
      </c>
      <c r="M340" s="203">
        <v>2.0</v>
      </c>
      <c r="N340" s="160"/>
      <c r="O340" s="160"/>
      <c r="P340" s="156" t="s">
        <v>1038</v>
      </c>
      <c r="Q340" s="160"/>
      <c r="R340" s="160"/>
      <c r="S340" s="160"/>
      <c r="T340" s="18"/>
      <c r="U340" s="18"/>
      <c r="V340" s="20"/>
      <c r="W340" s="20"/>
      <c r="X340" s="20"/>
      <c r="Y340" s="18"/>
      <c r="Z340" s="18"/>
      <c r="AA340" s="18"/>
    </row>
    <row r="341">
      <c r="A341" s="195" t="s">
        <v>64</v>
      </c>
      <c r="B341" s="317"/>
      <c r="C341" s="221" t="s">
        <v>1039</v>
      </c>
      <c r="D341" s="254" t="s">
        <v>1040</v>
      </c>
      <c r="E341" s="307" t="s">
        <v>53</v>
      </c>
      <c r="F341" s="233">
        <v>46141.0</v>
      </c>
      <c r="G341" s="233">
        <v>46141.0</v>
      </c>
      <c r="H341" s="223" t="s">
        <v>79</v>
      </c>
      <c r="I341" s="136" t="s">
        <v>161</v>
      </c>
      <c r="J341" s="301" t="s">
        <v>34</v>
      </c>
      <c r="K341" s="160"/>
      <c r="L341" s="301">
        <v>4.0</v>
      </c>
      <c r="M341" s="203">
        <v>4.0</v>
      </c>
      <c r="N341" s="160"/>
      <c r="O341" s="160"/>
      <c r="P341" s="160"/>
      <c r="Q341" s="160"/>
      <c r="R341" s="160"/>
      <c r="S341" s="160"/>
      <c r="T341" s="18"/>
      <c r="U341" s="18"/>
      <c r="V341" s="18"/>
      <c r="W341" s="18"/>
      <c r="X341" s="18"/>
      <c r="Y341" s="18"/>
      <c r="Z341" s="18"/>
      <c r="AA341" s="18"/>
    </row>
    <row r="342">
      <c r="A342" s="195" t="s">
        <v>64</v>
      </c>
      <c r="B342" s="317"/>
      <c r="C342" s="160"/>
      <c r="D342" s="156" t="s">
        <v>1041</v>
      </c>
      <c r="E342" s="307" t="s">
        <v>53</v>
      </c>
      <c r="F342" s="233">
        <v>46141.0</v>
      </c>
      <c r="G342" s="233">
        <v>46141.0</v>
      </c>
      <c r="H342" s="223" t="s">
        <v>115</v>
      </c>
      <c r="I342" s="136" t="s">
        <v>161</v>
      </c>
      <c r="J342" s="301" t="s">
        <v>34</v>
      </c>
      <c r="K342" s="160"/>
      <c r="L342" s="301">
        <v>2.0</v>
      </c>
      <c r="M342" s="203">
        <v>2.0</v>
      </c>
      <c r="N342" s="160"/>
      <c r="O342" s="160"/>
      <c r="P342" s="160"/>
      <c r="Q342" s="160"/>
      <c r="R342" s="160"/>
      <c r="S342" s="160"/>
      <c r="T342" s="18"/>
      <c r="U342" s="18"/>
      <c r="V342" s="18"/>
      <c r="W342" s="18"/>
      <c r="X342" s="18"/>
      <c r="Y342" s="18"/>
      <c r="Z342" s="18"/>
      <c r="AA342" s="18"/>
    </row>
    <row r="343">
      <c r="A343" s="195" t="s">
        <v>22</v>
      </c>
      <c r="B343" s="293" t="s">
        <v>301</v>
      </c>
      <c r="C343" s="221" t="s">
        <v>1042</v>
      </c>
      <c r="D343" s="156" t="s">
        <v>1043</v>
      </c>
      <c r="E343" s="307" t="s">
        <v>53</v>
      </c>
      <c r="F343" s="233">
        <v>46141.0</v>
      </c>
      <c r="G343" s="233">
        <v>46142.0</v>
      </c>
      <c r="H343" s="223" t="s">
        <v>321</v>
      </c>
      <c r="I343" s="136" t="s">
        <v>161</v>
      </c>
      <c r="J343" s="301" t="s">
        <v>55</v>
      </c>
      <c r="K343" s="160"/>
      <c r="L343" s="301"/>
      <c r="M343" s="203"/>
      <c r="N343" s="160"/>
      <c r="O343" s="160"/>
      <c r="P343" s="160"/>
      <c r="Q343" s="160"/>
      <c r="R343" s="160"/>
      <c r="S343" s="160"/>
      <c r="T343" s="18"/>
      <c r="U343" s="18"/>
      <c r="V343" s="18"/>
      <c r="W343" s="20"/>
      <c r="X343" s="18"/>
      <c r="Y343" s="18"/>
      <c r="Z343" s="18"/>
      <c r="AA343" s="18"/>
    </row>
    <row r="344">
      <c r="A344" s="195" t="s">
        <v>64</v>
      </c>
      <c r="B344" s="317"/>
      <c r="C344" s="160"/>
      <c r="D344" s="156" t="s">
        <v>771</v>
      </c>
      <c r="E344" s="307" t="s">
        <v>53</v>
      </c>
      <c r="F344" s="233">
        <v>46142.0</v>
      </c>
      <c r="G344" s="233">
        <v>46142.0</v>
      </c>
      <c r="H344" s="223" t="s">
        <v>115</v>
      </c>
      <c r="I344" s="136" t="s">
        <v>39</v>
      </c>
      <c r="J344" s="301" t="s">
        <v>55</v>
      </c>
      <c r="K344" s="160"/>
      <c r="L344" s="301">
        <v>1.0</v>
      </c>
      <c r="M344" s="203">
        <v>0.0</v>
      </c>
      <c r="N344" s="160"/>
      <c r="O344" s="160"/>
      <c r="P344" s="160"/>
      <c r="Q344" s="160"/>
      <c r="R344" s="160"/>
      <c r="S344" s="160"/>
      <c r="T344" s="18"/>
      <c r="U344" s="18"/>
      <c r="V344" s="18"/>
      <c r="W344" s="18"/>
      <c r="X344" s="18"/>
      <c r="Y344" s="18"/>
      <c r="Z344" s="18"/>
      <c r="AA344" s="18"/>
    </row>
    <row r="345">
      <c r="A345" s="195" t="s">
        <v>22</v>
      </c>
      <c r="B345" s="293" t="s">
        <v>301</v>
      </c>
      <c r="C345" s="221" t="s">
        <v>1044</v>
      </c>
      <c r="D345" s="156" t="s">
        <v>1045</v>
      </c>
      <c r="E345" s="307" t="s">
        <v>53</v>
      </c>
      <c r="F345" s="233">
        <v>46142.0</v>
      </c>
      <c r="G345" s="233">
        <v>46142.0</v>
      </c>
      <c r="H345" s="30" t="s">
        <v>25</v>
      </c>
      <c r="I345" s="136" t="s">
        <v>161</v>
      </c>
      <c r="J345" s="301" t="s">
        <v>34</v>
      </c>
      <c r="K345" s="160"/>
      <c r="L345" s="301">
        <v>1.0</v>
      </c>
      <c r="M345" s="203">
        <v>1.5</v>
      </c>
      <c r="N345" s="160"/>
      <c r="O345" s="160"/>
      <c r="P345" s="160"/>
      <c r="Q345" s="160"/>
      <c r="R345" s="160"/>
      <c r="S345" s="160"/>
      <c r="T345" s="18"/>
      <c r="U345" s="18"/>
      <c r="V345" s="18"/>
      <c r="W345" s="20"/>
      <c r="X345" s="18"/>
      <c r="Y345" s="18"/>
      <c r="Z345" s="18"/>
      <c r="AA345" s="18"/>
    </row>
    <row r="346">
      <c r="A346" s="195" t="s">
        <v>119</v>
      </c>
      <c r="B346" s="298" t="s">
        <v>313</v>
      </c>
      <c r="C346" s="221" t="s">
        <v>1046</v>
      </c>
      <c r="D346" s="156" t="s">
        <v>1047</v>
      </c>
      <c r="E346" s="307" t="s">
        <v>53</v>
      </c>
      <c r="F346" s="233">
        <v>46142.0</v>
      </c>
      <c r="G346" s="233">
        <v>46142.0</v>
      </c>
      <c r="H346" s="223" t="s">
        <v>79</v>
      </c>
      <c r="I346" s="136" t="s">
        <v>161</v>
      </c>
      <c r="J346" s="301" t="s">
        <v>27</v>
      </c>
      <c r="K346" s="160"/>
      <c r="L346" s="301">
        <v>2.0</v>
      </c>
      <c r="M346" s="203">
        <v>2.0</v>
      </c>
      <c r="N346" s="160"/>
      <c r="O346" s="160"/>
      <c r="P346" s="160"/>
      <c r="Q346" s="160"/>
      <c r="R346" s="160"/>
      <c r="S346" s="160"/>
      <c r="T346" s="18"/>
      <c r="U346" s="18"/>
      <c r="V346" s="18"/>
      <c r="W346" s="18"/>
      <c r="X346" s="18"/>
      <c r="Y346" s="18"/>
      <c r="Z346" s="18"/>
      <c r="AA346" s="18"/>
    </row>
    <row r="347">
      <c r="A347" s="195" t="s">
        <v>119</v>
      </c>
      <c r="B347" s="298" t="s">
        <v>311</v>
      </c>
      <c r="C347" s="221" t="s">
        <v>1046</v>
      </c>
      <c r="D347" s="229" t="s">
        <v>1048</v>
      </c>
      <c r="E347" s="307" t="s">
        <v>53</v>
      </c>
      <c r="F347" s="233">
        <v>46141.0</v>
      </c>
      <c r="G347" s="233">
        <v>46141.0</v>
      </c>
      <c r="H347" s="30" t="s">
        <v>25</v>
      </c>
      <c r="I347" s="136" t="s">
        <v>161</v>
      </c>
      <c r="J347" s="301" t="s">
        <v>34</v>
      </c>
      <c r="K347" s="160"/>
      <c r="L347" s="301">
        <v>1.0</v>
      </c>
      <c r="M347" s="203">
        <v>1.0</v>
      </c>
      <c r="N347" s="160"/>
      <c r="O347" s="160"/>
      <c r="P347" s="160"/>
      <c r="Q347" s="160"/>
      <c r="R347" s="160"/>
      <c r="S347" s="160"/>
      <c r="T347" s="18"/>
      <c r="U347" s="18"/>
      <c r="V347" s="18"/>
      <c r="W347" s="18"/>
      <c r="X347" s="18"/>
      <c r="Y347" s="18"/>
      <c r="Z347" s="18"/>
      <c r="AA347" s="18"/>
    </row>
    <row r="348">
      <c r="A348" s="195" t="s">
        <v>22</v>
      </c>
      <c r="B348" s="298" t="s">
        <v>716</v>
      </c>
      <c r="C348" s="221" t="s">
        <v>1049</v>
      </c>
      <c r="D348" s="229" t="s">
        <v>1050</v>
      </c>
      <c r="E348" s="307" t="s">
        <v>53</v>
      </c>
      <c r="F348" s="233">
        <v>46141.0</v>
      </c>
      <c r="G348" s="233">
        <v>46141.0</v>
      </c>
      <c r="H348" s="30" t="s">
        <v>25</v>
      </c>
      <c r="I348" s="136" t="s">
        <v>161</v>
      </c>
      <c r="J348" s="301" t="s">
        <v>55</v>
      </c>
      <c r="K348" s="160"/>
      <c r="L348" s="301">
        <v>1.0</v>
      </c>
      <c r="M348" s="203">
        <v>2.0</v>
      </c>
      <c r="N348" s="160"/>
      <c r="O348" s="160"/>
      <c r="P348" s="160"/>
      <c r="Q348" s="160"/>
      <c r="R348" s="160"/>
      <c r="S348" s="160"/>
      <c r="T348" s="18"/>
      <c r="U348" s="18"/>
      <c r="V348" s="18"/>
      <c r="W348" s="18"/>
      <c r="X348" s="18"/>
      <c r="Y348" s="18"/>
      <c r="Z348" s="18"/>
      <c r="AA348" s="18"/>
    </row>
    <row r="349">
      <c r="A349" s="195" t="s">
        <v>22</v>
      </c>
      <c r="B349" s="318" t="s">
        <v>333</v>
      </c>
      <c r="C349" s="221" t="s">
        <v>1051</v>
      </c>
      <c r="D349" s="229" t="s">
        <v>1052</v>
      </c>
      <c r="E349" s="307" t="s">
        <v>53</v>
      </c>
      <c r="F349" s="233">
        <v>46142.0</v>
      </c>
      <c r="G349" s="233">
        <v>46142.0</v>
      </c>
      <c r="H349" s="30" t="s">
        <v>25</v>
      </c>
      <c r="I349" s="136" t="s">
        <v>161</v>
      </c>
      <c r="J349" s="301" t="s">
        <v>27</v>
      </c>
      <c r="K349" s="160"/>
      <c r="L349" s="301">
        <v>2.0</v>
      </c>
      <c r="M349" s="203">
        <v>2.15</v>
      </c>
      <c r="N349" s="160"/>
      <c r="O349" s="160"/>
      <c r="P349" s="160"/>
      <c r="Q349" s="160"/>
      <c r="R349" s="160"/>
      <c r="S349" s="160"/>
      <c r="T349" s="18"/>
      <c r="U349" s="18"/>
      <c r="V349" s="18"/>
      <c r="W349" s="20"/>
      <c r="X349" s="18"/>
      <c r="Y349" s="18"/>
      <c r="Z349" s="18"/>
      <c r="AA349" s="18"/>
    </row>
    <row r="350">
      <c r="A350" s="195" t="s">
        <v>22</v>
      </c>
      <c r="B350" s="298" t="s">
        <v>313</v>
      </c>
      <c r="C350" s="221" t="s">
        <v>1053</v>
      </c>
      <c r="D350" s="229" t="s">
        <v>1054</v>
      </c>
      <c r="E350" s="307" t="s">
        <v>53</v>
      </c>
      <c r="F350" s="233">
        <v>46142.0</v>
      </c>
      <c r="G350" s="233">
        <v>46142.0</v>
      </c>
      <c r="H350" s="30" t="s">
        <v>25</v>
      </c>
      <c r="I350" s="136" t="s">
        <v>161</v>
      </c>
      <c r="J350" s="301" t="s">
        <v>27</v>
      </c>
      <c r="K350" s="160"/>
      <c r="L350" s="301">
        <v>0.5</v>
      </c>
      <c r="M350" s="203">
        <v>0.5</v>
      </c>
      <c r="N350" s="160"/>
      <c r="O350" s="160"/>
      <c r="P350" s="160"/>
      <c r="Q350" s="160"/>
      <c r="R350" s="160"/>
      <c r="S350" s="160"/>
      <c r="T350" s="18"/>
      <c r="U350" s="18"/>
      <c r="V350" s="18"/>
      <c r="W350" s="18"/>
      <c r="X350" s="18"/>
      <c r="Y350" s="18"/>
      <c r="Z350" s="18"/>
      <c r="AA350" s="18"/>
    </row>
    <row r="351">
      <c r="A351" s="195" t="s">
        <v>64</v>
      </c>
      <c r="B351" s="317"/>
      <c r="C351" s="221" t="s">
        <v>1055</v>
      </c>
      <c r="D351" s="229" t="s">
        <v>1056</v>
      </c>
      <c r="E351" s="307" t="s">
        <v>53</v>
      </c>
      <c r="F351" s="233">
        <v>46142.0</v>
      </c>
      <c r="G351" s="233">
        <v>46142.0</v>
      </c>
      <c r="H351" s="30" t="s">
        <v>25</v>
      </c>
      <c r="I351" s="136" t="s">
        <v>161</v>
      </c>
      <c r="J351" s="301" t="s">
        <v>55</v>
      </c>
      <c r="K351" s="160"/>
      <c r="L351" s="301">
        <v>1.0</v>
      </c>
      <c r="M351" s="203">
        <v>0.0</v>
      </c>
      <c r="N351" s="160"/>
      <c r="O351" s="160"/>
      <c r="P351" s="160"/>
      <c r="Q351" s="160"/>
      <c r="R351" s="160"/>
      <c r="S351" s="160"/>
      <c r="T351" s="18"/>
      <c r="U351" s="18"/>
      <c r="V351" s="18"/>
      <c r="W351" s="18"/>
      <c r="X351" s="18"/>
      <c r="Y351" s="18"/>
      <c r="Z351" s="18"/>
      <c r="AA351" s="18"/>
    </row>
    <row r="352">
      <c r="A352" s="195" t="s">
        <v>119</v>
      </c>
      <c r="B352" s="298" t="s">
        <v>313</v>
      </c>
      <c r="C352" s="221" t="s">
        <v>1057</v>
      </c>
      <c r="D352" s="229" t="s">
        <v>1058</v>
      </c>
      <c r="E352" s="307" t="s">
        <v>186</v>
      </c>
      <c r="F352" s="233">
        <v>46143.0</v>
      </c>
      <c r="G352" s="233">
        <v>46143.0</v>
      </c>
      <c r="H352" s="30" t="s">
        <v>25</v>
      </c>
      <c r="I352" s="136" t="s">
        <v>161</v>
      </c>
      <c r="J352" s="301" t="s">
        <v>34</v>
      </c>
      <c r="K352" s="160"/>
      <c r="L352" s="301">
        <v>3.0</v>
      </c>
      <c r="M352" s="203">
        <v>2.0</v>
      </c>
      <c r="N352" s="160"/>
      <c r="O352" s="160"/>
      <c r="P352" s="160"/>
      <c r="Q352" s="160"/>
      <c r="R352" s="160"/>
      <c r="S352" s="160"/>
      <c r="T352" s="18"/>
      <c r="U352" s="18"/>
      <c r="V352" s="18"/>
      <c r="W352" s="18"/>
      <c r="X352" s="18"/>
      <c r="Y352" s="18"/>
      <c r="Z352" s="18"/>
      <c r="AA352" s="18"/>
    </row>
    <row r="353">
      <c r="A353" s="195" t="s">
        <v>22</v>
      </c>
      <c r="B353" s="318" t="s">
        <v>333</v>
      </c>
      <c r="C353" s="221" t="s">
        <v>1059</v>
      </c>
      <c r="D353" s="229" t="s">
        <v>1060</v>
      </c>
      <c r="E353" s="307" t="s">
        <v>53</v>
      </c>
      <c r="F353" s="233">
        <v>46146.0</v>
      </c>
      <c r="G353" s="233">
        <v>46146.0</v>
      </c>
      <c r="H353" s="30" t="s">
        <v>25</v>
      </c>
      <c r="I353" s="136" t="s">
        <v>161</v>
      </c>
      <c r="J353" s="301" t="s">
        <v>55</v>
      </c>
      <c r="K353" s="160"/>
      <c r="L353" s="301">
        <v>1.0</v>
      </c>
      <c r="M353" s="203">
        <v>1.0</v>
      </c>
      <c r="N353" s="160"/>
      <c r="O353" s="160"/>
      <c r="P353" s="160"/>
      <c r="Q353" s="160"/>
      <c r="R353" s="160"/>
      <c r="S353" s="160"/>
      <c r="T353" s="18"/>
      <c r="U353" s="18"/>
      <c r="V353" s="18"/>
      <c r="W353" s="20"/>
      <c r="X353" s="18"/>
      <c r="Y353" s="18"/>
      <c r="Z353" s="18"/>
      <c r="AA353" s="18"/>
    </row>
    <row r="354">
      <c r="A354" s="195" t="s">
        <v>119</v>
      </c>
      <c r="B354" s="298" t="s">
        <v>313</v>
      </c>
      <c r="C354" s="221" t="s">
        <v>1061</v>
      </c>
      <c r="D354" s="229" t="s">
        <v>1062</v>
      </c>
      <c r="E354" s="307" t="s">
        <v>53</v>
      </c>
      <c r="F354" s="233">
        <v>46146.0</v>
      </c>
      <c r="G354" s="233">
        <v>46146.0</v>
      </c>
      <c r="H354" s="30" t="s">
        <v>25</v>
      </c>
      <c r="I354" s="136" t="s">
        <v>161</v>
      </c>
      <c r="J354" s="301" t="s">
        <v>34</v>
      </c>
      <c r="K354" s="160"/>
      <c r="L354" s="301">
        <v>2.0</v>
      </c>
      <c r="M354" s="203">
        <v>2.0</v>
      </c>
      <c r="N354" s="160"/>
      <c r="O354" s="160"/>
      <c r="P354" s="160"/>
      <c r="Q354" s="160"/>
      <c r="R354" s="160"/>
      <c r="S354" s="160"/>
      <c r="T354" s="18"/>
      <c r="U354" s="18"/>
      <c r="V354" s="18"/>
      <c r="W354" s="18"/>
      <c r="X354" s="18"/>
      <c r="Y354" s="18"/>
      <c r="Z354" s="18"/>
      <c r="AA354" s="18"/>
    </row>
    <row r="355">
      <c r="A355" s="195" t="s">
        <v>22</v>
      </c>
      <c r="B355" s="293" t="s">
        <v>23</v>
      </c>
      <c r="C355" s="221" t="s">
        <v>1063</v>
      </c>
      <c r="D355" s="229" t="s">
        <v>1064</v>
      </c>
      <c r="E355" s="307" t="s">
        <v>53</v>
      </c>
      <c r="F355" s="233">
        <v>46146.0</v>
      </c>
      <c r="G355" s="233">
        <v>46146.0</v>
      </c>
      <c r="H355" s="30" t="s">
        <v>25</v>
      </c>
      <c r="I355" s="136" t="s">
        <v>161</v>
      </c>
      <c r="J355" s="301" t="s">
        <v>27</v>
      </c>
      <c r="K355" s="160"/>
      <c r="L355" s="301">
        <v>2.0</v>
      </c>
      <c r="M355" s="203">
        <v>2.0</v>
      </c>
      <c r="N355" s="160"/>
      <c r="O355" s="160"/>
      <c r="P355" s="160"/>
      <c r="Q355" s="160"/>
      <c r="R355" s="160"/>
      <c r="S355" s="160"/>
      <c r="T355" s="18"/>
      <c r="U355" s="18"/>
      <c r="V355" s="20"/>
      <c r="W355" s="20"/>
      <c r="X355" s="20"/>
      <c r="Y355" s="18"/>
      <c r="Z355" s="18"/>
      <c r="AA355" s="18"/>
    </row>
    <row r="356">
      <c r="A356" s="195" t="s">
        <v>22</v>
      </c>
      <c r="B356" s="293" t="s">
        <v>23</v>
      </c>
      <c r="C356" s="221"/>
      <c r="D356" s="229" t="s">
        <v>1065</v>
      </c>
      <c r="E356" s="307" t="s">
        <v>53</v>
      </c>
      <c r="F356" s="233"/>
      <c r="G356" s="233"/>
      <c r="H356" s="30" t="s">
        <v>25</v>
      </c>
      <c r="I356" s="136" t="s">
        <v>54</v>
      </c>
      <c r="J356" s="301" t="s">
        <v>34</v>
      </c>
      <c r="K356" s="160"/>
      <c r="L356" s="301">
        <v>2.0</v>
      </c>
      <c r="M356" s="203">
        <v>2.0</v>
      </c>
      <c r="N356" s="160"/>
      <c r="O356" s="160"/>
      <c r="P356" s="160"/>
      <c r="Q356" s="160"/>
      <c r="R356" s="160"/>
      <c r="S356" s="160"/>
      <c r="T356" s="18"/>
      <c r="U356" s="18"/>
      <c r="V356" s="20"/>
      <c r="W356" s="20"/>
      <c r="X356" s="20"/>
      <c r="Y356" s="18"/>
      <c r="Z356" s="18"/>
      <c r="AA356" s="18"/>
    </row>
    <row r="357">
      <c r="A357" s="195" t="s">
        <v>22</v>
      </c>
      <c r="B357" s="318" t="s">
        <v>333</v>
      </c>
      <c r="C357" s="228" t="s">
        <v>1066</v>
      </c>
      <c r="D357" s="229" t="s">
        <v>1067</v>
      </c>
      <c r="E357" s="307" t="s">
        <v>53</v>
      </c>
      <c r="F357" s="233">
        <v>46146.0</v>
      </c>
      <c r="G357" s="233">
        <v>46146.0</v>
      </c>
      <c r="H357" s="30" t="s">
        <v>25</v>
      </c>
      <c r="I357" s="136" t="s">
        <v>161</v>
      </c>
      <c r="J357" s="301" t="s">
        <v>34</v>
      </c>
      <c r="K357" s="160"/>
      <c r="L357" s="301">
        <v>1.0</v>
      </c>
      <c r="M357" s="203">
        <v>1.0</v>
      </c>
      <c r="N357" s="160"/>
      <c r="O357" s="160"/>
      <c r="P357" s="160"/>
      <c r="Q357" s="160"/>
      <c r="R357" s="160"/>
      <c r="S357" s="160"/>
      <c r="T357" s="18"/>
      <c r="U357" s="18"/>
      <c r="V357" s="18"/>
      <c r="W357" s="20"/>
      <c r="X357" s="18"/>
      <c r="Y357" s="18"/>
      <c r="Z357" s="18"/>
      <c r="AA357" s="18"/>
    </row>
    <row r="358">
      <c r="A358" s="195" t="s">
        <v>22</v>
      </c>
      <c r="B358" s="318" t="s">
        <v>333</v>
      </c>
      <c r="C358" s="221" t="s">
        <v>1068</v>
      </c>
      <c r="D358" s="229" t="s">
        <v>1069</v>
      </c>
      <c r="E358" s="307" t="s">
        <v>53</v>
      </c>
      <c r="F358" s="233">
        <v>46146.0</v>
      </c>
      <c r="G358" s="233">
        <v>46146.0</v>
      </c>
      <c r="H358" s="30" t="s">
        <v>25</v>
      </c>
      <c r="I358" s="136" t="s">
        <v>161</v>
      </c>
      <c r="J358" s="301" t="s">
        <v>34</v>
      </c>
      <c r="K358" s="160"/>
      <c r="L358" s="301">
        <v>1.0</v>
      </c>
      <c r="M358" s="203">
        <v>1.0</v>
      </c>
      <c r="N358" s="156" t="s">
        <v>1070</v>
      </c>
      <c r="O358" s="160"/>
      <c r="P358" s="160"/>
      <c r="Q358" s="160"/>
      <c r="R358" s="160"/>
      <c r="S358" s="160"/>
      <c r="T358" s="18"/>
      <c r="U358" s="18"/>
      <c r="V358" s="18"/>
      <c r="W358" s="20"/>
      <c r="X358" s="18"/>
      <c r="Y358" s="18"/>
      <c r="Z358" s="18"/>
      <c r="AA358" s="18"/>
    </row>
    <row r="359">
      <c r="A359" s="195" t="s">
        <v>22</v>
      </c>
      <c r="B359" s="318" t="s">
        <v>333</v>
      </c>
      <c r="C359" s="221" t="s">
        <v>1071</v>
      </c>
      <c r="D359" s="229" t="s">
        <v>1072</v>
      </c>
      <c r="E359" s="307" t="s">
        <v>53</v>
      </c>
      <c r="F359" s="233">
        <v>46146.0</v>
      </c>
      <c r="G359" s="233">
        <v>46146.0</v>
      </c>
      <c r="H359" s="30" t="s">
        <v>25</v>
      </c>
      <c r="I359" s="136" t="s">
        <v>161</v>
      </c>
      <c r="J359" s="301" t="s">
        <v>34</v>
      </c>
      <c r="K359" s="160"/>
      <c r="L359" s="301">
        <v>3.0</v>
      </c>
      <c r="M359" s="203">
        <v>2.0</v>
      </c>
      <c r="N359" s="160"/>
      <c r="O359" s="160"/>
      <c r="P359" s="160"/>
      <c r="Q359" s="160"/>
      <c r="R359" s="160"/>
      <c r="S359" s="160"/>
      <c r="T359" s="18"/>
      <c r="U359" s="18"/>
      <c r="V359" s="18"/>
      <c r="W359" s="20"/>
      <c r="X359" s="18"/>
      <c r="Y359" s="18"/>
      <c r="Z359" s="18"/>
      <c r="AA359" s="18"/>
    </row>
    <row r="360">
      <c r="A360" s="195" t="s">
        <v>119</v>
      </c>
      <c r="B360" s="298" t="s">
        <v>341</v>
      </c>
      <c r="C360" s="221" t="s">
        <v>1073</v>
      </c>
      <c r="D360" s="229" t="s">
        <v>1074</v>
      </c>
      <c r="E360" s="307" t="s">
        <v>53</v>
      </c>
      <c r="F360" s="233">
        <v>46146.0</v>
      </c>
      <c r="G360" s="233">
        <v>46146.0</v>
      </c>
      <c r="H360" s="301" t="s">
        <v>321</v>
      </c>
      <c r="I360" s="136" t="s">
        <v>161</v>
      </c>
      <c r="J360" s="301" t="s">
        <v>34</v>
      </c>
      <c r="K360" s="160"/>
      <c r="L360" s="301">
        <v>2.0</v>
      </c>
      <c r="M360" s="203">
        <v>1.0</v>
      </c>
      <c r="N360" s="160"/>
      <c r="O360" s="160"/>
      <c r="P360" s="160"/>
      <c r="Q360" s="160"/>
      <c r="R360" s="160"/>
      <c r="S360" s="160"/>
      <c r="T360" s="18"/>
      <c r="U360" s="18"/>
      <c r="V360" s="18"/>
      <c r="W360" s="20"/>
      <c r="X360" s="18"/>
      <c r="Y360" s="18"/>
      <c r="Z360" s="18"/>
      <c r="AA360" s="18"/>
    </row>
    <row r="361">
      <c r="A361" s="195" t="s">
        <v>22</v>
      </c>
      <c r="B361" s="318" t="s">
        <v>333</v>
      </c>
      <c r="C361" s="221" t="s">
        <v>1075</v>
      </c>
      <c r="D361" s="229" t="s">
        <v>1076</v>
      </c>
      <c r="E361" s="307" t="s">
        <v>53</v>
      </c>
      <c r="F361" s="233">
        <v>46146.0</v>
      </c>
      <c r="G361" s="233">
        <v>46146.0</v>
      </c>
      <c r="H361" s="301" t="s">
        <v>321</v>
      </c>
      <c r="I361" s="136" t="s">
        <v>161</v>
      </c>
      <c r="J361" s="301" t="s">
        <v>27</v>
      </c>
      <c r="K361" s="160"/>
      <c r="L361" s="301">
        <v>3.0</v>
      </c>
      <c r="M361" s="203">
        <v>2.0</v>
      </c>
      <c r="N361" s="160"/>
      <c r="O361" s="160"/>
      <c r="P361" s="160"/>
      <c r="Q361" s="160"/>
      <c r="R361" s="160"/>
      <c r="S361" s="160"/>
      <c r="T361" s="18"/>
      <c r="U361" s="18"/>
      <c r="V361" s="18"/>
      <c r="W361" s="20"/>
      <c r="X361" s="18"/>
      <c r="Y361" s="18"/>
      <c r="Z361" s="18"/>
      <c r="AA361" s="18"/>
    </row>
    <row r="362">
      <c r="A362" s="195" t="s">
        <v>22</v>
      </c>
      <c r="B362" s="318" t="s">
        <v>333</v>
      </c>
      <c r="C362" s="221" t="s">
        <v>1077</v>
      </c>
      <c r="D362" s="229" t="s">
        <v>1078</v>
      </c>
      <c r="E362" s="307" t="s">
        <v>53</v>
      </c>
      <c r="F362" s="233">
        <v>46146.0</v>
      </c>
      <c r="G362" s="233">
        <v>46146.0</v>
      </c>
      <c r="H362" s="301" t="s">
        <v>321</v>
      </c>
      <c r="I362" s="136" t="s">
        <v>161</v>
      </c>
      <c r="J362" s="301" t="s">
        <v>27</v>
      </c>
      <c r="K362" s="160"/>
      <c r="L362" s="301">
        <v>1.0</v>
      </c>
      <c r="M362" s="203">
        <v>1.0</v>
      </c>
      <c r="N362" s="160"/>
      <c r="O362" s="160"/>
      <c r="P362" s="160"/>
      <c r="Q362" s="160"/>
      <c r="R362" s="160"/>
      <c r="S362" s="160"/>
      <c r="T362" s="18"/>
      <c r="U362" s="18"/>
      <c r="V362" s="18"/>
      <c r="W362" s="20"/>
      <c r="X362" s="18"/>
      <c r="Y362" s="18"/>
      <c r="Z362" s="18"/>
      <c r="AA362" s="18"/>
    </row>
    <row r="363">
      <c r="A363" s="301" t="s">
        <v>1079</v>
      </c>
      <c r="B363" s="298" t="s">
        <v>1080</v>
      </c>
      <c r="C363" s="221" t="s">
        <v>1081</v>
      </c>
      <c r="D363" s="229" t="s">
        <v>1082</v>
      </c>
      <c r="E363" s="307" t="s">
        <v>24</v>
      </c>
      <c r="F363" s="233">
        <v>46146.0</v>
      </c>
      <c r="G363" s="233">
        <v>46146.0</v>
      </c>
      <c r="H363" s="301" t="s">
        <v>321</v>
      </c>
      <c r="I363" s="136" t="s">
        <v>161</v>
      </c>
      <c r="J363" s="301" t="s">
        <v>55</v>
      </c>
      <c r="K363" s="160"/>
      <c r="L363" s="301">
        <v>1.0</v>
      </c>
      <c r="M363" s="203">
        <v>1.0</v>
      </c>
      <c r="N363" s="160"/>
      <c r="O363" s="160"/>
      <c r="P363" s="160"/>
      <c r="Q363" s="160"/>
      <c r="R363" s="160"/>
      <c r="S363" s="160"/>
      <c r="T363" s="18"/>
      <c r="U363" s="18"/>
      <c r="V363" s="18"/>
      <c r="W363" s="18"/>
      <c r="X363" s="18"/>
      <c r="Y363" s="18"/>
      <c r="Z363" s="18"/>
      <c r="AA363" s="18"/>
    </row>
    <row r="364">
      <c r="A364" s="301" t="s">
        <v>1083</v>
      </c>
      <c r="B364" s="298" t="s">
        <v>1084</v>
      </c>
      <c r="C364" s="221" t="s">
        <v>1085</v>
      </c>
      <c r="D364" s="156" t="s">
        <v>1086</v>
      </c>
      <c r="E364" s="307" t="s">
        <v>53</v>
      </c>
      <c r="F364" s="233">
        <v>46146.0</v>
      </c>
      <c r="G364" s="233">
        <v>46146.0</v>
      </c>
      <c r="H364" s="301" t="s">
        <v>321</v>
      </c>
      <c r="I364" s="136" t="s">
        <v>161</v>
      </c>
      <c r="J364" s="301" t="s">
        <v>55</v>
      </c>
      <c r="K364" s="160"/>
      <c r="L364" s="301">
        <v>0.0</v>
      </c>
      <c r="M364" s="203">
        <v>0.0</v>
      </c>
      <c r="N364" s="160"/>
      <c r="O364" s="160"/>
      <c r="P364" s="160"/>
      <c r="Q364" s="160"/>
      <c r="R364" s="160"/>
      <c r="S364" s="160"/>
      <c r="T364" s="18"/>
      <c r="U364" s="18"/>
      <c r="V364" s="18"/>
      <c r="W364" s="18"/>
      <c r="X364" s="18"/>
      <c r="Y364" s="18"/>
      <c r="Z364" s="18"/>
      <c r="AA364" s="18"/>
    </row>
    <row r="365">
      <c r="A365" s="301" t="s">
        <v>1087</v>
      </c>
      <c r="B365" s="298" t="s">
        <v>1080</v>
      </c>
      <c r="C365" s="221" t="s">
        <v>1088</v>
      </c>
      <c r="D365" s="229" t="s">
        <v>1089</v>
      </c>
      <c r="E365" s="307" t="s">
        <v>53</v>
      </c>
      <c r="F365" s="233">
        <v>46146.0</v>
      </c>
      <c r="G365" s="233">
        <v>46146.0</v>
      </c>
      <c r="H365" s="301" t="s">
        <v>321</v>
      </c>
      <c r="I365" s="136" t="s">
        <v>161</v>
      </c>
      <c r="J365" s="301" t="s">
        <v>55</v>
      </c>
      <c r="K365" s="160"/>
      <c r="L365" s="301">
        <v>0.0</v>
      </c>
      <c r="M365" s="203">
        <v>0.0</v>
      </c>
      <c r="N365" s="160"/>
      <c r="O365" s="160"/>
      <c r="P365" s="160"/>
      <c r="Q365" s="160"/>
      <c r="R365" s="160"/>
      <c r="S365" s="160"/>
      <c r="T365" s="18"/>
      <c r="U365" s="18"/>
      <c r="V365" s="18"/>
      <c r="W365" s="18"/>
      <c r="X365" s="18"/>
      <c r="Y365" s="18"/>
      <c r="Z365" s="18"/>
      <c r="AA365" s="18"/>
    </row>
    <row r="366">
      <c r="A366" s="301" t="s">
        <v>1090</v>
      </c>
      <c r="B366" s="298" t="s">
        <v>1091</v>
      </c>
      <c r="C366" s="221" t="s">
        <v>1092</v>
      </c>
      <c r="D366" s="229" t="s">
        <v>1093</v>
      </c>
      <c r="E366" s="307" t="s">
        <v>186</v>
      </c>
      <c r="F366" s="233">
        <v>46146.0</v>
      </c>
      <c r="G366" s="233">
        <v>46146.0</v>
      </c>
      <c r="H366" s="301" t="s">
        <v>321</v>
      </c>
      <c r="I366" s="136" t="s">
        <v>161</v>
      </c>
      <c r="J366" s="301" t="s">
        <v>34</v>
      </c>
      <c r="K366" s="160"/>
      <c r="L366" s="301">
        <v>1.0</v>
      </c>
      <c r="M366" s="203">
        <v>1.0</v>
      </c>
      <c r="N366" s="160"/>
      <c r="O366" s="160"/>
      <c r="P366" s="160"/>
      <c r="Q366" s="160"/>
      <c r="R366" s="160"/>
      <c r="S366" s="160"/>
      <c r="T366" s="18"/>
      <c r="U366" s="18"/>
      <c r="V366" s="18"/>
      <c r="W366" s="18"/>
      <c r="X366" s="18"/>
      <c r="Y366" s="18"/>
      <c r="Z366" s="18"/>
      <c r="AA366" s="18"/>
    </row>
    <row r="367">
      <c r="A367" s="195" t="s">
        <v>22</v>
      </c>
      <c r="B367" s="293" t="s">
        <v>333</v>
      </c>
      <c r="C367" s="221" t="s">
        <v>1094</v>
      </c>
      <c r="D367" s="309" t="s">
        <v>1095</v>
      </c>
      <c r="E367" s="307" t="s">
        <v>53</v>
      </c>
      <c r="F367" s="233">
        <v>46146.0</v>
      </c>
      <c r="G367" s="233">
        <v>46146.0</v>
      </c>
      <c r="H367" s="223" t="s">
        <v>79</v>
      </c>
      <c r="I367" s="136" t="s">
        <v>161</v>
      </c>
      <c r="J367" s="301" t="s">
        <v>34</v>
      </c>
      <c r="K367" s="160"/>
      <c r="L367" s="301">
        <v>5.0</v>
      </c>
      <c r="M367" s="203">
        <v>5.0</v>
      </c>
      <c r="N367" s="160"/>
      <c r="O367" s="160"/>
      <c r="P367" s="160"/>
      <c r="Q367" s="160"/>
      <c r="R367" s="160"/>
      <c r="S367" s="160"/>
      <c r="T367" s="18"/>
      <c r="U367" s="18"/>
      <c r="V367" s="18"/>
      <c r="W367" s="20"/>
      <c r="X367" s="18"/>
      <c r="Y367" s="18"/>
      <c r="Z367" s="18"/>
      <c r="AA367" s="18"/>
    </row>
    <row r="368">
      <c r="A368" s="195" t="s">
        <v>22</v>
      </c>
      <c r="B368" s="318" t="s">
        <v>322</v>
      </c>
      <c r="C368" s="221" t="s">
        <v>1096</v>
      </c>
      <c r="D368" s="229" t="s">
        <v>1097</v>
      </c>
      <c r="E368" s="307" t="s">
        <v>53</v>
      </c>
      <c r="F368" s="233">
        <v>46146.0</v>
      </c>
      <c r="G368" s="233">
        <v>46146.0</v>
      </c>
      <c r="H368" s="223" t="s">
        <v>79</v>
      </c>
      <c r="I368" s="136" t="s">
        <v>161</v>
      </c>
      <c r="J368" s="301" t="s">
        <v>34</v>
      </c>
      <c r="K368" s="160"/>
      <c r="L368" s="301">
        <v>0.5</v>
      </c>
      <c r="M368" s="203">
        <v>0.5</v>
      </c>
      <c r="N368" s="160"/>
      <c r="O368" s="160"/>
      <c r="P368" s="160"/>
      <c r="Q368" s="160"/>
      <c r="R368" s="160"/>
      <c r="S368" s="160"/>
      <c r="T368" s="18"/>
      <c r="U368" s="18"/>
      <c r="V368" s="18"/>
      <c r="W368" s="20"/>
      <c r="X368" s="18"/>
      <c r="Y368" s="18"/>
      <c r="Z368" s="18"/>
      <c r="AA368" s="18"/>
    </row>
    <row r="369">
      <c r="A369" s="195" t="s">
        <v>22</v>
      </c>
      <c r="B369" s="293" t="s">
        <v>329</v>
      </c>
      <c r="C369" s="221" t="s">
        <v>1098</v>
      </c>
      <c r="D369" s="229" t="s">
        <v>1099</v>
      </c>
      <c r="E369" s="307" t="s">
        <v>53</v>
      </c>
      <c r="F369" s="233">
        <v>46147.0</v>
      </c>
      <c r="G369" s="233">
        <v>46147.0</v>
      </c>
      <c r="H369" s="223" t="s">
        <v>25</v>
      </c>
      <c r="I369" s="136" t="s">
        <v>161</v>
      </c>
      <c r="J369" s="301" t="s">
        <v>34</v>
      </c>
      <c r="K369" s="160"/>
      <c r="L369" s="301">
        <v>2.0</v>
      </c>
      <c r="M369" s="203">
        <v>2.0</v>
      </c>
      <c r="N369" s="160"/>
      <c r="O369" s="160"/>
      <c r="P369" s="160"/>
      <c r="Q369" s="160"/>
      <c r="R369" s="160"/>
      <c r="S369" s="160"/>
      <c r="T369" s="18"/>
      <c r="U369" s="18"/>
      <c r="V369" s="18"/>
      <c r="W369" s="20"/>
      <c r="X369" s="18"/>
      <c r="Y369" s="18"/>
      <c r="Z369" s="18"/>
      <c r="AA369" s="18"/>
    </row>
    <row r="370">
      <c r="A370" s="195" t="s">
        <v>22</v>
      </c>
      <c r="B370" s="293" t="s">
        <v>333</v>
      </c>
      <c r="C370" s="221" t="s">
        <v>1100</v>
      </c>
      <c r="D370" s="229" t="s">
        <v>1101</v>
      </c>
      <c r="E370" s="307" t="s">
        <v>53</v>
      </c>
      <c r="F370" s="233">
        <v>46147.0</v>
      </c>
      <c r="G370" s="233">
        <v>46147.0</v>
      </c>
      <c r="H370" s="223" t="s">
        <v>25</v>
      </c>
      <c r="I370" s="136" t="s">
        <v>161</v>
      </c>
      <c r="J370" s="301" t="s">
        <v>34</v>
      </c>
      <c r="K370" s="160"/>
      <c r="L370" s="301">
        <v>2.0</v>
      </c>
      <c r="M370" s="203">
        <v>2.0</v>
      </c>
      <c r="N370" s="160"/>
      <c r="O370" s="160"/>
      <c r="P370" s="160"/>
      <c r="Q370" s="160"/>
      <c r="R370" s="160"/>
      <c r="S370" s="160"/>
      <c r="T370" s="18"/>
      <c r="U370" s="18"/>
      <c r="V370" s="18"/>
      <c r="W370" s="20"/>
      <c r="X370" s="18"/>
      <c r="Y370" s="18"/>
      <c r="Z370" s="18"/>
      <c r="AA370" s="18"/>
    </row>
    <row r="371">
      <c r="A371" s="195" t="s">
        <v>119</v>
      </c>
      <c r="B371" s="298" t="s">
        <v>341</v>
      </c>
      <c r="C371" s="221" t="s">
        <v>1102</v>
      </c>
      <c r="D371" s="229" t="s">
        <v>1103</v>
      </c>
      <c r="E371" s="307" t="s">
        <v>53</v>
      </c>
      <c r="F371" s="233">
        <v>46147.0</v>
      </c>
      <c r="G371" s="160"/>
      <c r="H371" s="223" t="s">
        <v>79</v>
      </c>
      <c r="I371" s="136" t="s">
        <v>26</v>
      </c>
      <c r="J371" s="301" t="s">
        <v>55</v>
      </c>
      <c r="K371" s="160"/>
      <c r="L371" s="301">
        <v>4.0</v>
      </c>
      <c r="M371" s="203">
        <v>4.0</v>
      </c>
      <c r="N371" s="160"/>
      <c r="O371" s="160"/>
      <c r="P371" s="160"/>
      <c r="Q371" s="297" t="s">
        <v>1104</v>
      </c>
      <c r="R371" s="160"/>
      <c r="S371" s="160"/>
      <c r="T371" s="18"/>
      <c r="U371" s="18"/>
      <c r="V371" s="18"/>
      <c r="W371" s="20"/>
      <c r="X371" s="18"/>
      <c r="Y371" s="18"/>
      <c r="Z371" s="18"/>
      <c r="AA371" s="18"/>
    </row>
    <row r="372">
      <c r="A372" s="195" t="s">
        <v>22</v>
      </c>
      <c r="B372" s="293" t="s">
        <v>329</v>
      </c>
      <c r="C372" s="221" t="s">
        <v>1105</v>
      </c>
      <c r="D372" s="229" t="s">
        <v>1106</v>
      </c>
      <c r="E372" s="307" t="s">
        <v>53</v>
      </c>
      <c r="F372" s="233">
        <v>46147.0</v>
      </c>
      <c r="G372" s="233">
        <v>46147.0</v>
      </c>
      <c r="H372" s="223" t="s">
        <v>25</v>
      </c>
      <c r="I372" s="136" t="s">
        <v>161</v>
      </c>
      <c r="J372" s="301" t="s">
        <v>34</v>
      </c>
      <c r="K372" s="160"/>
      <c r="L372" s="301">
        <v>2.0</v>
      </c>
      <c r="M372" s="203">
        <v>2.15</v>
      </c>
      <c r="N372" s="160"/>
      <c r="O372" s="160"/>
      <c r="P372" s="160"/>
      <c r="Q372" s="160"/>
      <c r="R372" s="160"/>
      <c r="S372" s="160"/>
      <c r="T372" s="18"/>
      <c r="U372" s="18"/>
      <c r="V372" s="18"/>
      <c r="W372" s="20"/>
      <c r="X372" s="18"/>
      <c r="Y372" s="18"/>
      <c r="Z372" s="18"/>
      <c r="AA372" s="18"/>
    </row>
    <row r="373">
      <c r="A373" s="195" t="s">
        <v>64</v>
      </c>
      <c r="B373" s="293" t="s">
        <v>87</v>
      </c>
      <c r="C373" s="221" t="s">
        <v>1105</v>
      </c>
      <c r="D373" s="229" t="s">
        <v>1107</v>
      </c>
      <c r="E373" s="307" t="s">
        <v>53</v>
      </c>
      <c r="F373" s="233">
        <v>46147.0</v>
      </c>
      <c r="G373" s="233">
        <v>46147.0</v>
      </c>
      <c r="H373" s="223" t="s">
        <v>79</v>
      </c>
      <c r="I373" s="136" t="s">
        <v>44</v>
      </c>
      <c r="J373" s="301" t="s">
        <v>55</v>
      </c>
      <c r="K373" s="160"/>
      <c r="L373" s="301">
        <v>9.0</v>
      </c>
      <c r="M373" s="203">
        <v>3.0</v>
      </c>
      <c r="N373" s="160"/>
      <c r="O373" s="160"/>
      <c r="P373" s="160"/>
      <c r="Q373" s="160"/>
      <c r="R373" s="160"/>
      <c r="S373" s="160"/>
      <c r="T373" s="18"/>
      <c r="U373" s="18"/>
      <c r="V373" s="20"/>
      <c r="W373" s="20"/>
      <c r="X373" s="20"/>
      <c r="Y373" s="18"/>
      <c r="Z373" s="18"/>
      <c r="AA373" s="18"/>
    </row>
    <row r="374">
      <c r="A374" s="195" t="s">
        <v>22</v>
      </c>
      <c r="B374" s="293" t="s">
        <v>329</v>
      </c>
      <c r="C374" s="221" t="s">
        <v>1108</v>
      </c>
      <c r="D374" s="229" t="s">
        <v>1109</v>
      </c>
      <c r="E374" s="307" t="s">
        <v>53</v>
      </c>
      <c r="F374" s="233">
        <v>46147.0</v>
      </c>
      <c r="G374" s="233">
        <v>46147.0</v>
      </c>
      <c r="H374" s="223" t="s">
        <v>25</v>
      </c>
      <c r="I374" s="136" t="s">
        <v>161</v>
      </c>
      <c r="J374" s="301" t="s">
        <v>34</v>
      </c>
      <c r="K374" s="160"/>
      <c r="L374" s="301">
        <v>2.0</v>
      </c>
      <c r="M374" s="203">
        <v>1.0</v>
      </c>
      <c r="N374" s="160"/>
      <c r="O374" s="160"/>
      <c r="P374" s="160"/>
      <c r="Q374" s="160"/>
      <c r="R374" s="160"/>
      <c r="S374" s="160"/>
      <c r="T374" s="18"/>
      <c r="U374" s="18"/>
      <c r="V374" s="18"/>
      <c r="W374" s="20"/>
      <c r="X374" s="18"/>
      <c r="Y374" s="18"/>
      <c r="Z374" s="18"/>
      <c r="AA374" s="18"/>
    </row>
    <row r="375">
      <c r="A375" s="301" t="s">
        <v>1090</v>
      </c>
      <c r="B375" s="298" t="s">
        <v>1091</v>
      </c>
      <c r="C375" s="221" t="s">
        <v>1110</v>
      </c>
      <c r="D375" s="229" t="s">
        <v>1093</v>
      </c>
      <c r="E375" s="307" t="s">
        <v>186</v>
      </c>
      <c r="F375" s="233">
        <v>46147.0</v>
      </c>
      <c r="G375" s="233">
        <v>46147.0</v>
      </c>
      <c r="H375" s="301" t="s">
        <v>321</v>
      </c>
      <c r="I375" s="136" t="s">
        <v>161</v>
      </c>
      <c r="J375" s="301" t="s">
        <v>34</v>
      </c>
      <c r="K375" s="160"/>
      <c r="L375" s="172"/>
      <c r="M375" s="203">
        <v>0.0</v>
      </c>
      <c r="N375" s="160"/>
      <c r="O375" s="160"/>
      <c r="P375" s="160"/>
      <c r="Q375" s="160"/>
      <c r="R375" s="160"/>
      <c r="S375" s="160"/>
      <c r="T375" s="18"/>
      <c r="U375" s="18"/>
      <c r="V375" s="18"/>
      <c r="W375" s="18"/>
      <c r="X375" s="18"/>
      <c r="Y375" s="18"/>
      <c r="Z375" s="18"/>
      <c r="AA375" s="18"/>
    </row>
    <row r="376">
      <c r="A376" s="301" t="s">
        <v>1083</v>
      </c>
      <c r="B376" s="298" t="s">
        <v>1084</v>
      </c>
      <c r="C376" s="221" t="s">
        <v>1111</v>
      </c>
      <c r="D376" s="229" t="s">
        <v>1112</v>
      </c>
      <c r="E376" s="307" t="s">
        <v>53</v>
      </c>
      <c r="F376" s="233">
        <v>46147.0</v>
      </c>
      <c r="G376" s="233">
        <v>46147.0</v>
      </c>
      <c r="H376" s="301" t="s">
        <v>321</v>
      </c>
      <c r="I376" s="136" t="s">
        <v>161</v>
      </c>
      <c r="J376" s="301" t="s">
        <v>55</v>
      </c>
      <c r="K376" s="160"/>
      <c r="L376" s="172"/>
      <c r="M376" s="203">
        <v>0.0</v>
      </c>
      <c r="N376" s="160"/>
      <c r="O376" s="160"/>
      <c r="P376" s="160"/>
      <c r="Q376" s="160"/>
      <c r="R376" s="160"/>
      <c r="S376" s="160"/>
      <c r="T376" s="18"/>
      <c r="U376" s="18"/>
      <c r="V376" s="18"/>
      <c r="W376" s="18"/>
      <c r="X376" s="18"/>
      <c r="Y376" s="18"/>
      <c r="Z376" s="18"/>
      <c r="AA376" s="18"/>
    </row>
    <row r="377">
      <c r="A377" s="195" t="s">
        <v>22</v>
      </c>
      <c r="B377" s="293" t="s">
        <v>333</v>
      </c>
      <c r="C377" s="221" t="s">
        <v>1113</v>
      </c>
      <c r="D377" s="229" t="s">
        <v>1114</v>
      </c>
      <c r="E377" s="307" t="s">
        <v>53</v>
      </c>
      <c r="F377" s="233">
        <v>46147.0</v>
      </c>
      <c r="G377" s="233">
        <v>46147.0</v>
      </c>
      <c r="H377" s="223" t="s">
        <v>79</v>
      </c>
      <c r="I377" s="136" t="s">
        <v>161</v>
      </c>
      <c r="J377" s="301" t="s">
        <v>34</v>
      </c>
      <c r="K377" s="160"/>
      <c r="L377" s="301">
        <v>2.0</v>
      </c>
      <c r="M377" s="203">
        <v>2.0</v>
      </c>
      <c r="N377" s="160"/>
      <c r="O377" s="160"/>
      <c r="P377" s="160"/>
      <c r="Q377" s="160"/>
      <c r="R377" s="160"/>
      <c r="S377" s="160"/>
      <c r="T377" s="18"/>
      <c r="U377" s="18"/>
      <c r="V377" s="18"/>
      <c r="W377" s="20"/>
      <c r="X377" s="18"/>
      <c r="Y377" s="18"/>
      <c r="Z377" s="18"/>
      <c r="AA377" s="18"/>
    </row>
    <row r="378">
      <c r="A378" s="195" t="s">
        <v>22</v>
      </c>
      <c r="B378" s="293" t="s">
        <v>333</v>
      </c>
      <c r="C378" s="221" t="s">
        <v>1115</v>
      </c>
      <c r="D378" s="229" t="s">
        <v>1116</v>
      </c>
      <c r="E378" s="307" t="s">
        <v>53</v>
      </c>
      <c r="F378" s="233">
        <v>46147.0</v>
      </c>
      <c r="G378" s="233">
        <v>46147.0</v>
      </c>
      <c r="H378" s="223" t="s">
        <v>25</v>
      </c>
      <c r="I378" s="136" t="s">
        <v>161</v>
      </c>
      <c r="J378" s="301" t="s">
        <v>34</v>
      </c>
      <c r="K378" s="160"/>
      <c r="L378" s="301">
        <v>2.0</v>
      </c>
      <c r="M378" s="203">
        <v>2.0</v>
      </c>
      <c r="N378" s="160"/>
      <c r="O378" s="160"/>
      <c r="P378" s="160"/>
      <c r="Q378" s="160"/>
      <c r="R378" s="160"/>
      <c r="S378" s="160"/>
      <c r="T378" s="18"/>
      <c r="U378" s="18"/>
      <c r="V378" s="18"/>
      <c r="W378" s="20"/>
      <c r="X378" s="18"/>
      <c r="Y378" s="18"/>
      <c r="Z378" s="18"/>
      <c r="AA378" s="18"/>
    </row>
    <row r="379">
      <c r="A379" s="301" t="s">
        <v>1117</v>
      </c>
      <c r="B379" s="293" t="s">
        <v>325</v>
      </c>
      <c r="C379" s="221" t="s">
        <v>1118</v>
      </c>
      <c r="D379" s="229" t="s">
        <v>1119</v>
      </c>
      <c r="E379" s="307" t="s">
        <v>53</v>
      </c>
      <c r="F379" s="233">
        <v>46147.0</v>
      </c>
      <c r="G379" s="233">
        <v>46147.0</v>
      </c>
      <c r="H379" s="301" t="s">
        <v>321</v>
      </c>
      <c r="I379" s="136" t="s">
        <v>161</v>
      </c>
      <c r="J379" s="301" t="s">
        <v>55</v>
      </c>
      <c r="K379" s="160"/>
      <c r="L379" s="172"/>
      <c r="M379" s="203">
        <v>0.0</v>
      </c>
      <c r="N379" s="160"/>
      <c r="O379" s="160"/>
      <c r="P379" s="160"/>
      <c r="Q379" s="160"/>
      <c r="R379" s="160"/>
      <c r="S379" s="160"/>
      <c r="T379" s="18"/>
      <c r="U379" s="18"/>
      <c r="V379" s="18"/>
      <c r="W379" s="20"/>
      <c r="X379" s="18"/>
      <c r="Y379" s="18"/>
      <c r="Z379" s="18"/>
      <c r="AA379" s="18"/>
    </row>
    <row r="380">
      <c r="A380" s="195" t="s">
        <v>22</v>
      </c>
      <c r="B380" s="319" t="s">
        <v>32</v>
      </c>
      <c r="C380" s="221" t="s">
        <v>1120</v>
      </c>
      <c r="D380" s="319" t="s">
        <v>32</v>
      </c>
      <c r="E380" s="307" t="s">
        <v>53</v>
      </c>
      <c r="F380" s="233">
        <v>46147.0</v>
      </c>
      <c r="G380" s="233">
        <v>46148.0</v>
      </c>
      <c r="H380" s="223"/>
      <c r="I380" s="136" t="s">
        <v>161</v>
      </c>
      <c r="J380" s="301" t="s">
        <v>34</v>
      </c>
      <c r="K380" s="160"/>
      <c r="L380" s="301">
        <v>6.0</v>
      </c>
      <c r="M380" s="203">
        <v>6.0</v>
      </c>
      <c r="N380" s="160"/>
      <c r="O380" s="160"/>
      <c r="P380" s="160"/>
      <c r="Q380" s="156"/>
      <c r="R380" s="160"/>
      <c r="S380" s="160"/>
      <c r="T380" s="18"/>
      <c r="U380" s="18"/>
      <c r="V380" s="18"/>
      <c r="W380" s="20"/>
      <c r="X380" s="18"/>
      <c r="Y380" s="18"/>
      <c r="Z380" s="18"/>
      <c r="AA380" s="18"/>
    </row>
    <row r="381">
      <c r="A381" s="195" t="s">
        <v>119</v>
      </c>
      <c r="B381" s="298" t="s">
        <v>313</v>
      </c>
      <c r="C381" s="221" t="s">
        <v>1121</v>
      </c>
      <c r="D381" s="229" t="s">
        <v>1122</v>
      </c>
      <c r="E381" s="307" t="s">
        <v>53</v>
      </c>
      <c r="F381" s="233">
        <v>46148.0</v>
      </c>
      <c r="G381" s="233">
        <v>46148.0</v>
      </c>
      <c r="H381" s="223" t="s">
        <v>79</v>
      </c>
      <c r="I381" s="136" t="s">
        <v>161</v>
      </c>
      <c r="J381" s="301" t="s">
        <v>34</v>
      </c>
      <c r="K381" s="160"/>
      <c r="L381" s="301">
        <v>1.5</v>
      </c>
      <c r="M381" s="203">
        <v>1.5</v>
      </c>
      <c r="N381" s="160"/>
      <c r="O381" s="160"/>
      <c r="P381" s="160"/>
      <c r="Q381" s="190" t="s">
        <v>1123</v>
      </c>
      <c r="R381" s="160"/>
      <c r="S381" s="160"/>
      <c r="T381" s="18"/>
      <c r="U381" s="18"/>
      <c r="V381" s="18"/>
      <c r="W381" s="18"/>
      <c r="X381" s="18"/>
      <c r="Y381" s="18"/>
      <c r="Z381" s="18"/>
      <c r="AA381" s="18"/>
    </row>
    <row r="382">
      <c r="A382" s="195" t="s">
        <v>22</v>
      </c>
      <c r="B382" s="293" t="s">
        <v>333</v>
      </c>
      <c r="C382" s="221" t="s">
        <v>1124</v>
      </c>
      <c r="D382" s="229" t="s">
        <v>1125</v>
      </c>
      <c r="E382" s="307" t="s">
        <v>53</v>
      </c>
      <c r="F382" s="233">
        <v>46148.0</v>
      </c>
      <c r="G382" s="233">
        <v>46148.0</v>
      </c>
      <c r="H382" s="223" t="s">
        <v>25</v>
      </c>
      <c r="I382" s="136" t="s">
        <v>161</v>
      </c>
      <c r="J382" s="301" t="s">
        <v>34</v>
      </c>
      <c r="K382" s="160"/>
      <c r="L382" s="301">
        <v>2.0</v>
      </c>
      <c r="M382" s="203">
        <v>2.0</v>
      </c>
      <c r="N382" s="160"/>
      <c r="O382" s="160"/>
      <c r="P382" s="160"/>
      <c r="Q382" s="160"/>
      <c r="R382" s="160"/>
      <c r="S382" s="160"/>
      <c r="T382" s="18"/>
      <c r="U382" s="18"/>
      <c r="V382" s="18"/>
      <c r="W382" s="20"/>
      <c r="X382" s="18"/>
      <c r="Y382" s="18"/>
      <c r="Z382" s="18"/>
      <c r="AA382" s="18"/>
    </row>
    <row r="383">
      <c r="A383" s="195" t="s">
        <v>22</v>
      </c>
      <c r="B383" s="293" t="s">
        <v>333</v>
      </c>
      <c r="C383" s="221" t="s">
        <v>1126</v>
      </c>
      <c r="D383" s="229" t="s">
        <v>1127</v>
      </c>
      <c r="E383" s="307" t="s">
        <v>53</v>
      </c>
      <c r="F383" s="233">
        <v>46148.0</v>
      </c>
      <c r="G383" s="233">
        <v>46148.0</v>
      </c>
      <c r="H383" s="223" t="s">
        <v>79</v>
      </c>
      <c r="I383" s="136" t="s">
        <v>161</v>
      </c>
      <c r="J383" s="301" t="s">
        <v>34</v>
      </c>
      <c r="K383" s="160"/>
      <c r="L383" s="301">
        <v>1.0</v>
      </c>
      <c r="M383" s="203">
        <v>1.0</v>
      </c>
      <c r="N383" s="160"/>
      <c r="O383" s="160"/>
      <c r="P383" s="160"/>
      <c r="Q383" s="160"/>
      <c r="R383" s="160"/>
      <c r="S383" s="160"/>
      <c r="T383" s="18"/>
      <c r="U383" s="18"/>
      <c r="V383" s="18"/>
      <c r="W383" s="20"/>
      <c r="X383" s="18"/>
      <c r="Y383" s="18"/>
      <c r="Z383" s="18"/>
      <c r="AA383" s="18"/>
    </row>
    <row r="384">
      <c r="A384" s="195" t="s">
        <v>22</v>
      </c>
      <c r="B384" s="293" t="s">
        <v>333</v>
      </c>
      <c r="C384" s="221" t="s">
        <v>1128</v>
      </c>
      <c r="D384" s="229" t="s">
        <v>1129</v>
      </c>
      <c r="E384" s="307" t="s">
        <v>53</v>
      </c>
      <c r="F384" s="233">
        <v>46148.0</v>
      </c>
      <c r="G384" s="233">
        <v>46148.0</v>
      </c>
      <c r="H384" s="223" t="s">
        <v>79</v>
      </c>
      <c r="I384" s="136" t="s">
        <v>161</v>
      </c>
      <c r="J384" s="301" t="s">
        <v>34</v>
      </c>
      <c r="K384" s="160"/>
      <c r="L384" s="301">
        <v>3.0</v>
      </c>
      <c r="M384" s="203">
        <v>3.0</v>
      </c>
      <c r="N384" s="160"/>
      <c r="O384" s="160"/>
      <c r="P384" s="160"/>
      <c r="Q384" s="160"/>
      <c r="R384" s="160"/>
      <c r="S384" s="160"/>
      <c r="T384" s="18"/>
      <c r="U384" s="18"/>
      <c r="V384" s="18"/>
      <c r="W384" s="20"/>
      <c r="X384" s="18"/>
      <c r="Y384" s="18"/>
      <c r="Z384" s="18"/>
      <c r="AA384" s="18"/>
    </row>
    <row r="385">
      <c r="A385" s="195" t="s">
        <v>22</v>
      </c>
      <c r="B385" s="293" t="s">
        <v>333</v>
      </c>
      <c r="C385" s="221" t="s">
        <v>1130</v>
      </c>
      <c r="D385" s="229" t="s">
        <v>1131</v>
      </c>
      <c r="E385" s="307" t="s">
        <v>53</v>
      </c>
      <c r="F385" s="233">
        <v>46148.0</v>
      </c>
      <c r="G385" s="233">
        <v>46149.0</v>
      </c>
      <c r="H385" s="223" t="s">
        <v>25</v>
      </c>
      <c r="I385" s="136" t="s">
        <v>161</v>
      </c>
      <c r="J385" s="301" t="s">
        <v>34</v>
      </c>
      <c r="K385" s="160"/>
      <c r="L385" s="301">
        <v>2.0</v>
      </c>
      <c r="M385" s="203">
        <v>7.0</v>
      </c>
      <c r="N385" s="160"/>
      <c r="O385" s="156" t="s">
        <v>1132</v>
      </c>
      <c r="P385" s="160"/>
      <c r="Q385" s="160"/>
      <c r="R385" s="160"/>
      <c r="S385" s="160"/>
      <c r="T385" s="18"/>
      <c r="U385" s="18"/>
      <c r="V385" s="18"/>
      <c r="W385" s="20"/>
      <c r="X385" s="18"/>
      <c r="Y385" s="18"/>
      <c r="Z385" s="18"/>
      <c r="AA385" s="18"/>
    </row>
    <row r="386">
      <c r="A386" s="195" t="s">
        <v>22</v>
      </c>
      <c r="B386" s="293" t="s">
        <v>333</v>
      </c>
      <c r="C386" s="221" t="s">
        <v>1133</v>
      </c>
      <c r="D386" s="319" t="s">
        <v>1134</v>
      </c>
      <c r="E386" s="307" t="s">
        <v>53</v>
      </c>
      <c r="F386" s="233">
        <v>46149.0</v>
      </c>
      <c r="G386" s="233">
        <v>46149.0</v>
      </c>
      <c r="H386" s="223" t="s">
        <v>79</v>
      </c>
      <c r="I386" s="136" t="s">
        <v>161</v>
      </c>
      <c r="J386" s="301" t="s">
        <v>27</v>
      </c>
      <c r="K386" s="160"/>
      <c r="L386" s="301">
        <v>1.5</v>
      </c>
      <c r="M386" s="203">
        <v>1.5</v>
      </c>
      <c r="N386" s="160"/>
      <c r="O386" s="160"/>
      <c r="P386" s="160"/>
      <c r="Q386" s="304" t="s">
        <v>1135</v>
      </c>
      <c r="R386" s="160"/>
      <c r="S386" s="160"/>
      <c r="T386" s="18"/>
      <c r="U386" s="18"/>
      <c r="V386" s="18"/>
      <c r="W386" s="20"/>
      <c r="X386" s="18"/>
      <c r="Y386" s="18"/>
      <c r="Z386" s="18"/>
      <c r="AA386" s="18"/>
    </row>
    <row r="387">
      <c r="A387" s="195" t="s">
        <v>119</v>
      </c>
      <c r="B387" s="298" t="s">
        <v>313</v>
      </c>
      <c r="C387" s="221" t="s">
        <v>1136</v>
      </c>
      <c r="D387" s="229" t="s">
        <v>1137</v>
      </c>
      <c r="E387" s="307" t="s">
        <v>53</v>
      </c>
      <c r="F387" s="233">
        <v>46149.0</v>
      </c>
      <c r="G387" s="233">
        <v>46149.0</v>
      </c>
      <c r="H387" s="223" t="s">
        <v>79</v>
      </c>
      <c r="I387" s="136" t="s">
        <v>161</v>
      </c>
      <c r="J387" s="301" t="s">
        <v>34</v>
      </c>
      <c r="K387" s="160"/>
      <c r="L387" s="301">
        <v>2.5</v>
      </c>
      <c r="M387" s="203">
        <v>2.5</v>
      </c>
      <c r="N387" s="160"/>
      <c r="O387" s="160"/>
      <c r="P387" s="160"/>
      <c r="Q387" s="160"/>
      <c r="R387" s="160"/>
      <c r="S387" s="160"/>
      <c r="T387" s="18"/>
      <c r="U387" s="18"/>
      <c r="V387" s="18"/>
      <c r="W387" s="18"/>
      <c r="X387" s="18"/>
      <c r="Y387" s="18"/>
      <c r="Z387" s="18"/>
      <c r="AA387" s="18"/>
    </row>
    <row r="388">
      <c r="A388" s="195" t="s">
        <v>22</v>
      </c>
      <c r="B388" s="293" t="s">
        <v>333</v>
      </c>
      <c r="C388" s="221" t="s">
        <v>1138</v>
      </c>
      <c r="D388" s="229" t="s">
        <v>1139</v>
      </c>
      <c r="E388" s="307" t="s">
        <v>53</v>
      </c>
      <c r="F388" s="233">
        <v>46149.0</v>
      </c>
      <c r="G388" s="233">
        <v>46149.0</v>
      </c>
      <c r="H388" s="223" t="s">
        <v>25</v>
      </c>
      <c r="I388" s="136" t="s">
        <v>161</v>
      </c>
      <c r="J388" s="301" t="s">
        <v>27</v>
      </c>
      <c r="K388" s="160"/>
      <c r="L388" s="301">
        <v>2.0</v>
      </c>
      <c r="M388" s="203">
        <v>1.0</v>
      </c>
      <c r="N388" s="160"/>
      <c r="O388" s="160"/>
      <c r="P388" s="160"/>
      <c r="Q388" s="160"/>
      <c r="R388" s="160"/>
      <c r="S388" s="160"/>
      <c r="T388" s="18"/>
      <c r="U388" s="18"/>
      <c r="V388" s="18"/>
      <c r="W388" s="20"/>
      <c r="X388" s="18"/>
      <c r="Y388" s="18"/>
      <c r="Z388" s="18"/>
      <c r="AA388" s="18"/>
    </row>
    <row r="389">
      <c r="A389" s="195" t="s">
        <v>140</v>
      </c>
      <c r="B389" s="293" t="s">
        <v>325</v>
      </c>
      <c r="C389" s="221" t="s">
        <v>1140</v>
      </c>
      <c r="D389" s="229" t="s">
        <v>1141</v>
      </c>
      <c r="E389" s="307" t="s">
        <v>53</v>
      </c>
      <c r="F389" s="233">
        <v>46149.0</v>
      </c>
      <c r="G389" s="233">
        <v>46150.0</v>
      </c>
      <c r="H389" s="301" t="s">
        <v>146</v>
      </c>
      <c r="I389" s="136" t="s">
        <v>161</v>
      </c>
      <c r="J389" s="301" t="s">
        <v>55</v>
      </c>
      <c r="K389" s="160"/>
      <c r="L389" s="301">
        <v>17.0</v>
      </c>
      <c r="M389" s="203">
        <v>15.0</v>
      </c>
      <c r="N389" s="160"/>
      <c r="O389" s="160"/>
      <c r="P389" s="160"/>
      <c r="Q389" s="160"/>
      <c r="R389" s="160"/>
      <c r="S389" s="160"/>
      <c r="T389" s="18"/>
      <c r="U389" s="18"/>
      <c r="V389" s="18"/>
      <c r="W389" s="20"/>
      <c r="X389" s="18"/>
      <c r="Y389" s="18"/>
      <c r="Z389" s="18"/>
      <c r="AA389" s="18"/>
    </row>
    <row r="390">
      <c r="A390" s="195" t="s">
        <v>22</v>
      </c>
      <c r="B390" s="293" t="s">
        <v>333</v>
      </c>
      <c r="C390" s="221" t="s">
        <v>1142</v>
      </c>
      <c r="D390" s="229" t="s">
        <v>1143</v>
      </c>
      <c r="E390" s="307" t="s">
        <v>53</v>
      </c>
      <c r="F390" s="233">
        <v>46149.0</v>
      </c>
      <c r="G390" s="233">
        <v>46149.0</v>
      </c>
      <c r="H390" s="223" t="s">
        <v>79</v>
      </c>
      <c r="I390" s="136" t="s">
        <v>161</v>
      </c>
      <c r="J390" s="301" t="s">
        <v>34</v>
      </c>
      <c r="K390" s="160"/>
      <c r="L390" s="301">
        <v>3.0</v>
      </c>
      <c r="M390" s="203">
        <v>3.0</v>
      </c>
      <c r="N390" s="160"/>
      <c r="O390" s="160"/>
      <c r="P390" s="160"/>
      <c r="Q390" s="160"/>
      <c r="R390" s="160"/>
      <c r="S390" s="160"/>
      <c r="T390" s="18"/>
      <c r="U390" s="18"/>
      <c r="V390" s="18"/>
      <c r="W390" s="20"/>
      <c r="X390" s="18"/>
      <c r="Y390" s="18"/>
      <c r="Z390" s="18"/>
      <c r="AA390" s="18"/>
    </row>
    <row r="391">
      <c r="A391" s="195" t="s">
        <v>22</v>
      </c>
      <c r="B391" s="293" t="s">
        <v>333</v>
      </c>
      <c r="C391" s="221" t="s">
        <v>1142</v>
      </c>
      <c r="D391" s="229" t="s">
        <v>1144</v>
      </c>
      <c r="E391" s="307" t="s">
        <v>53</v>
      </c>
      <c r="F391" s="233">
        <v>46149.0</v>
      </c>
      <c r="G391" s="233">
        <v>46149.0</v>
      </c>
      <c r="H391" s="301" t="s">
        <v>146</v>
      </c>
      <c r="I391" s="136" t="s">
        <v>161</v>
      </c>
      <c r="J391" s="301" t="s">
        <v>34</v>
      </c>
      <c r="K391" s="160"/>
      <c r="L391" s="301">
        <v>1.0</v>
      </c>
      <c r="M391" s="203">
        <v>1.0</v>
      </c>
      <c r="N391" s="160"/>
      <c r="O391" s="160"/>
      <c r="P391" s="160"/>
      <c r="Q391" s="160"/>
      <c r="R391" s="160"/>
      <c r="S391" s="160"/>
      <c r="T391" s="18"/>
      <c r="U391" s="18"/>
      <c r="V391" s="18"/>
      <c r="W391" s="20"/>
      <c r="X391" s="18"/>
      <c r="Y391" s="18"/>
      <c r="Z391" s="18"/>
      <c r="AA391" s="18"/>
    </row>
    <row r="392">
      <c r="A392" s="195" t="s">
        <v>64</v>
      </c>
      <c r="B392" s="236" t="s">
        <v>78</v>
      </c>
      <c r="C392" s="221" t="s">
        <v>1145</v>
      </c>
      <c r="D392" s="257" t="s">
        <v>1146</v>
      </c>
      <c r="E392" s="136" t="s">
        <v>53</v>
      </c>
      <c r="F392" s="233">
        <v>46149.0</v>
      </c>
      <c r="G392" s="233">
        <v>46156.0</v>
      </c>
      <c r="H392" s="203" t="s">
        <v>79</v>
      </c>
      <c r="I392" s="136" t="s">
        <v>26</v>
      </c>
      <c r="J392" s="215" t="s">
        <v>80</v>
      </c>
      <c r="K392" s="238"/>
      <c r="L392" s="203">
        <v>30.0</v>
      </c>
      <c r="M392" s="203">
        <v>22.5</v>
      </c>
      <c r="N392" s="238"/>
      <c r="O392" s="227"/>
      <c r="P392" s="160"/>
      <c r="Q392" s="227"/>
      <c r="R392" s="227"/>
      <c r="S392" s="238"/>
      <c r="T392" s="232"/>
      <c r="U392" s="232"/>
      <c r="V392" s="258"/>
      <c r="W392" s="258"/>
      <c r="X392" s="258"/>
      <c r="Y392" s="18"/>
      <c r="Z392" s="18"/>
      <c r="AA392" s="18"/>
    </row>
    <row r="393">
      <c r="A393" s="195" t="s">
        <v>22</v>
      </c>
      <c r="B393" s="293" t="s">
        <v>333</v>
      </c>
      <c r="C393" s="221" t="s">
        <v>1147</v>
      </c>
      <c r="D393" s="229" t="s">
        <v>1148</v>
      </c>
      <c r="E393" s="307" t="s">
        <v>53</v>
      </c>
      <c r="F393" s="233">
        <v>46149.0</v>
      </c>
      <c r="G393" s="233">
        <v>46150.0</v>
      </c>
      <c r="H393" s="223" t="s">
        <v>25</v>
      </c>
      <c r="I393" s="136" t="s">
        <v>161</v>
      </c>
      <c r="J393" s="301" t="s">
        <v>34</v>
      </c>
      <c r="K393" s="160"/>
      <c r="L393" s="301">
        <v>5.0</v>
      </c>
      <c r="M393" s="203">
        <v>4.0</v>
      </c>
      <c r="N393" s="160"/>
      <c r="O393" s="160"/>
      <c r="P393" s="160"/>
      <c r="Q393" s="160"/>
      <c r="R393" s="160"/>
      <c r="S393" s="160"/>
      <c r="T393" s="18"/>
      <c r="U393" s="18"/>
      <c r="V393" s="18"/>
      <c r="W393" s="20"/>
      <c r="X393" s="18"/>
      <c r="Y393" s="18"/>
      <c r="Z393" s="18"/>
      <c r="AA393" s="18"/>
    </row>
    <row r="394">
      <c r="A394" s="195" t="s">
        <v>22</v>
      </c>
      <c r="B394" s="293" t="s">
        <v>329</v>
      </c>
      <c r="C394" s="221" t="s">
        <v>1149</v>
      </c>
      <c r="D394" s="229" t="s">
        <v>1150</v>
      </c>
      <c r="E394" s="307" t="s">
        <v>53</v>
      </c>
      <c r="F394" s="233">
        <v>46149.0</v>
      </c>
      <c r="G394" s="233">
        <v>46149.0</v>
      </c>
      <c r="H394" s="223" t="s">
        <v>25</v>
      </c>
      <c r="I394" s="136" t="s">
        <v>161</v>
      </c>
      <c r="J394" s="301" t="s">
        <v>34</v>
      </c>
      <c r="K394" s="160"/>
      <c r="L394" s="301">
        <v>4.0</v>
      </c>
      <c r="M394" s="203">
        <v>3.0</v>
      </c>
      <c r="N394" s="160"/>
      <c r="O394" s="160"/>
      <c r="P394" s="160"/>
      <c r="Q394" s="160"/>
      <c r="R394" s="160"/>
      <c r="S394" s="160"/>
      <c r="T394" s="18"/>
      <c r="U394" s="18"/>
      <c r="V394" s="18"/>
      <c r="W394" s="20"/>
      <c r="X394" s="18"/>
      <c r="Y394" s="18"/>
      <c r="Z394" s="18"/>
      <c r="AA394" s="18"/>
    </row>
    <row r="395">
      <c r="A395" s="195" t="s">
        <v>119</v>
      </c>
      <c r="B395" s="298" t="s">
        <v>313</v>
      </c>
      <c r="C395" s="221" t="s">
        <v>1151</v>
      </c>
      <c r="D395" s="229" t="s">
        <v>1152</v>
      </c>
      <c r="E395" s="307" t="s">
        <v>53</v>
      </c>
      <c r="F395" s="233">
        <v>46149.0</v>
      </c>
      <c r="G395" s="233">
        <v>46149.0</v>
      </c>
      <c r="H395" s="301" t="s">
        <v>146</v>
      </c>
      <c r="I395" s="136" t="s">
        <v>161</v>
      </c>
      <c r="J395" s="301" t="s">
        <v>34</v>
      </c>
      <c r="K395" s="160"/>
      <c r="L395" s="301">
        <v>2.0</v>
      </c>
      <c r="M395" s="203">
        <v>1.5</v>
      </c>
      <c r="N395" s="160"/>
      <c r="O395" s="160"/>
      <c r="P395" s="160"/>
      <c r="Q395" s="160"/>
      <c r="R395" s="160"/>
      <c r="S395" s="160"/>
      <c r="T395" s="18"/>
      <c r="U395" s="18"/>
      <c r="V395" s="18"/>
      <c r="W395" s="18"/>
      <c r="X395" s="18"/>
      <c r="Y395" s="18"/>
      <c r="Z395" s="18"/>
      <c r="AA395" s="18"/>
    </row>
    <row r="396">
      <c r="A396" s="195" t="s">
        <v>22</v>
      </c>
      <c r="B396" s="319" t="s">
        <v>32</v>
      </c>
      <c r="C396" s="221" t="s">
        <v>1118</v>
      </c>
      <c r="D396" s="319" t="s">
        <v>32</v>
      </c>
      <c r="E396" s="307" t="s">
        <v>53</v>
      </c>
      <c r="F396" s="233">
        <v>46147.0</v>
      </c>
      <c r="G396" s="233">
        <v>46148.0</v>
      </c>
      <c r="H396" s="223" t="s">
        <v>33</v>
      </c>
      <c r="I396" s="136" t="s">
        <v>161</v>
      </c>
      <c r="J396" s="301" t="s">
        <v>34</v>
      </c>
      <c r="K396" s="160"/>
      <c r="L396" s="301">
        <v>0.5</v>
      </c>
      <c r="M396" s="203">
        <v>0.5</v>
      </c>
      <c r="N396" s="160"/>
      <c r="O396" s="160"/>
      <c r="P396" s="160"/>
      <c r="Q396" s="156"/>
      <c r="R396" s="160"/>
      <c r="S396" s="160"/>
      <c r="T396" s="18"/>
      <c r="U396" s="18"/>
      <c r="V396" s="18"/>
      <c r="W396" s="20"/>
      <c r="X396" s="18"/>
      <c r="Y396" s="18"/>
      <c r="Z396" s="18"/>
      <c r="AA396" s="18"/>
    </row>
    <row r="397">
      <c r="A397" s="195" t="s">
        <v>22</v>
      </c>
      <c r="B397" s="293" t="s">
        <v>329</v>
      </c>
      <c r="C397" s="221" t="s">
        <v>1153</v>
      </c>
      <c r="D397" s="229" t="s">
        <v>1154</v>
      </c>
      <c r="E397" s="307" t="s">
        <v>53</v>
      </c>
      <c r="F397" s="233">
        <v>46150.0</v>
      </c>
      <c r="G397" s="233">
        <v>46150.0</v>
      </c>
      <c r="H397" s="223" t="s">
        <v>25</v>
      </c>
      <c r="I397" s="136" t="s">
        <v>161</v>
      </c>
      <c r="J397" s="301" t="s">
        <v>34</v>
      </c>
      <c r="K397" s="160"/>
      <c r="L397" s="301">
        <v>2.0</v>
      </c>
      <c r="M397" s="203">
        <v>1.5</v>
      </c>
      <c r="N397" s="160"/>
      <c r="O397" s="160"/>
      <c r="P397" s="160"/>
      <c r="Q397" s="160"/>
      <c r="R397" s="160"/>
      <c r="S397" s="160"/>
      <c r="T397" s="18"/>
      <c r="U397" s="18"/>
      <c r="V397" s="18"/>
      <c r="W397" s="20"/>
      <c r="X397" s="18"/>
      <c r="Y397" s="18"/>
      <c r="Z397" s="18"/>
      <c r="AA397" s="18"/>
    </row>
    <row r="398">
      <c r="A398" s="195" t="s">
        <v>119</v>
      </c>
      <c r="B398" s="298" t="s">
        <v>313</v>
      </c>
      <c r="C398" s="221" t="s">
        <v>1155</v>
      </c>
      <c r="D398" s="229" t="s">
        <v>1156</v>
      </c>
      <c r="E398" s="307" t="s">
        <v>53</v>
      </c>
      <c r="F398" s="233">
        <v>46150.0</v>
      </c>
      <c r="G398" s="233">
        <v>46150.0</v>
      </c>
      <c r="H398" s="203" t="s">
        <v>79</v>
      </c>
      <c r="I398" s="136" t="s">
        <v>161</v>
      </c>
      <c r="J398" s="301" t="s">
        <v>27</v>
      </c>
      <c r="K398" s="160"/>
      <c r="L398" s="301">
        <v>2.0</v>
      </c>
      <c r="M398" s="203">
        <v>0.0</v>
      </c>
      <c r="N398" s="156" t="s">
        <v>1157</v>
      </c>
      <c r="O398" s="160"/>
      <c r="P398" s="160"/>
      <c r="Q398" s="160"/>
      <c r="R398" s="160"/>
      <c r="S398" s="160"/>
      <c r="T398" s="18"/>
      <c r="U398" s="18"/>
      <c r="V398" s="18"/>
      <c r="W398" s="18"/>
      <c r="X398" s="18"/>
      <c r="Y398" s="18"/>
      <c r="Z398" s="18"/>
      <c r="AA398" s="18"/>
    </row>
    <row r="399">
      <c r="A399" s="195" t="s">
        <v>119</v>
      </c>
      <c r="B399" s="298" t="s">
        <v>313</v>
      </c>
      <c r="C399" s="221" t="s">
        <v>1158</v>
      </c>
      <c r="D399" s="229" t="s">
        <v>1159</v>
      </c>
      <c r="E399" s="307" t="s">
        <v>53</v>
      </c>
      <c r="F399" s="233">
        <v>46150.0</v>
      </c>
      <c r="G399" s="233">
        <v>46150.0</v>
      </c>
      <c r="H399" s="203" t="s">
        <v>79</v>
      </c>
      <c r="I399" s="136" t="s">
        <v>161</v>
      </c>
      <c r="J399" s="301" t="s">
        <v>34</v>
      </c>
      <c r="K399" s="160"/>
      <c r="L399" s="301">
        <v>0.5</v>
      </c>
      <c r="M399" s="203">
        <v>0.5</v>
      </c>
      <c r="N399" s="160"/>
      <c r="O399" s="160"/>
      <c r="P399" s="160"/>
      <c r="Q399" s="160"/>
      <c r="R399" s="160"/>
      <c r="S399" s="160"/>
      <c r="T399" s="18"/>
      <c r="U399" s="18"/>
      <c r="V399" s="18"/>
      <c r="W399" s="18"/>
      <c r="X399" s="18"/>
      <c r="Y399" s="18"/>
      <c r="Z399" s="18"/>
      <c r="AA399" s="18"/>
    </row>
    <row r="400">
      <c r="A400" s="195" t="s">
        <v>22</v>
      </c>
      <c r="B400" s="293" t="s">
        <v>329</v>
      </c>
      <c r="C400" s="221" t="s">
        <v>1160</v>
      </c>
      <c r="D400" s="229" t="s">
        <v>1161</v>
      </c>
      <c r="E400" s="307" t="s">
        <v>53</v>
      </c>
      <c r="F400" s="233">
        <v>46150.0</v>
      </c>
      <c r="G400" s="233">
        <v>46150.0</v>
      </c>
      <c r="H400" s="223" t="s">
        <v>25</v>
      </c>
      <c r="I400" s="136" t="s">
        <v>161</v>
      </c>
      <c r="J400" s="301" t="s">
        <v>34</v>
      </c>
      <c r="K400" s="160"/>
      <c r="L400" s="301">
        <v>2.0</v>
      </c>
      <c r="M400" s="203">
        <v>1.5</v>
      </c>
      <c r="N400" s="156" t="s">
        <v>1162</v>
      </c>
      <c r="O400" s="160"/>
      <c r="P400" s="160"/>
      <c r="Q400" s="160"/>
      <c r="R400" s="160"/>
      <c r="S400" s="160"/>
      <c r="T400" s="18"/>
      <c r="U400" s="18"/>
      <c r="V400" s="18"/>
      <c r="W400" s="20"/>
      <c r="X400" s="18"/>
      <c r="Y400" s="18"/>
      <c r="Z400" s="18"/>
      <c r="AA400" s="18"/>
    </row>
    <row r="401">
      <c r="A401" s="195" t="s">
        <v>22</v>
      </c>
      <c r="B401" s="293" t="s">
        <v>333</v>
      </c>
      <c r="C401" s="221" t="s">
        <v>1163</v>
      </c>
      <c r="D401" s="229" t="s">
        <v>1164</v>
      </c>
      <c r="E401" s="307" t="s">
        <v>53</v>
      </c>
      <c r="F401" s="233">
        <v>46150.0</v>
      </c>
      <c r="G401" s="233">
        <v>46150.0</v>
      </c>
      <c r="H401" s="223" t="s">
        <v>25</v>
      </c>
      <c r="I401" s="136" t="s">
        <v>161</v>
      </c>
      <c r="J401" s="301" t="s">
        <v>34</v>
      </c>
      <c r="K401" s="160"/>
      <c r="L401" s="301">
        <v>3.0</v>
      </c>
      <c r="M401" s="203">
        <v>3.0</v>
      </c>
      <c r="N401" s="160"/>
      <c r="O401" s="160"/>
      <c r="P401" s="160"/>
      <c r="Q401" s="160"/>
      <c r="R401" s="160"/>
      <c r="S401" s="160"/>
      <c r="T401" s="18"/>
      <c r="U401" s="18"/>
      <c r="V401" s="18"/>
      <c r="W401" s="20"/>
      <c r="X401" s="18"/>
      <c r="Y401" s="18"/>
      <c r="Z401" s="18"/>
      <c r="AA401" s="18"/>
    </row>
    <row r="402">
      <c r="A402" s="195" t="s">
        <v>22</v>
      </c>
      <c r="B402" s="293" t="s">
        <v>333</v>
      </c>
      <c r="C402" s="221" t="s">
        <v>1165</v>
      </c>
      <c r="D402" s="229" t="s">
        <v>1166</v>
      </c>
      <c r="E402" s="307" t="s">
        <v>53</v>
      </c>
      <c r="F402" s="233">
        <v>46150.0</v>
      </c>
      <c r="G402" s="233">
        <v>46150.0</v>
      </c>
      <c r="H402" s="223" t="s">
        <v>25</v>
      </c>
      <c r="I402" s="136" t="s">
        <v>161</v>
      </c>
      <c r="J402" s="301" t="s">
        <v>34</v>
      </c>
      <c r="K402" s="160"/>
      <c r="L402" s="301">
        <v>1.0</v>
      </c>
      <c r="M402" s="203">
        <v>1.0</v>
      </c>
      <c r="N402" s="160"/>
      <c r="O402" s="160"/>
      <c r="P402" s="160"/>
      <c r="Q402" s="160"/>
      <c r="R402" s="160"/>
      <c r="S402" s="160"/>
      <c r="T402" s="18"/>
      <c r="U402" s="18"/>
      <c r="V402" s="18"/>
      <c r="W402" s="20"/>
      <c r="X402" s="18"/>
      <c r="Y402" s="18"/>
      <c r="Z402" s="18"/>
      <c r="AA402" s="18"/>
    </row>
    <row r="403">
      <c r="A403" s="195" t="s">
        <v>22</v>
      </c>
      <c r="B403" s="293" t="s">
        <v>1167</v>
      </c>
      <c r="C403" s="221" t="s">
        <v>1168</v>
      </c>
      <c r="D403" s="229" t="s">
        <v>1169</v>
      </c>
      <c r="E403" s="307" t="s">
        <v>53</v>
      </c>
      <c r="F403" s="233">
        <v>46150.0</v>
      </c>
      <c r="G403" s="233">
        <v>46150.0</v>
      </c>
      <c r="H403" s="223" t="s">
        <v>25</v>
      </c>
      <c r="I403" s="136" t="s">
        <v>161</v>
      </c>
      <c r="J403" s="301" t="s">
        <v>34</v>
      </c>
      <c r="K403" s="160"/>
      <c r="L403" s="301">
        <v>1.0</v>
      </c>
      <c r="M403" s="203">
        <v>2.0</v>
      </c>
      <c r="N403" s="160"/>
      <c r="O403" s="160"/>
      <c r="P403" s="160"/>
      <c r="Q403" s="297" t="s">
        <v>1170</v>
      </c>
      <c r="R403" s="160"/>
      <c r="S403" s="160"/>
      <c r="T403" s="18"/>
      <c r="U403" s="18"/>
      <c r="V403" s="18"/>
      <c r="W403" s="18"/>
      <c r="X403" s="18"/>
      <c r="Y403" s="18"/>
      <c r="Z403" s="18"/>
      <c r="AA403" s="18"/>
    </row>
    <row r="404">
      <c r="A404" s="195" t="s">
        <v>22</v>
      </c>
      <c r="B404" s="293" t="s">
        <v>329</v>
      </c>
      <c r="C404" s="221" t="s">
        <v>1171</v>
      </c>
      <c r="D404" s="229" t="s">
        <v>1172</v>
      </c>
      <c r="E404" s="307" t="s">
        <v>53</v>
      </c>
      <c r="F404" s="233">
        <v>46150.0</v>
      </c>
      <c r="G404" s="233">
        <v>46150.0</v>
      </c>
      <c r="H404" s="301" t="s">
        <v>146</v>
      </c>
      <c r="I404" s="136" t="s">
        <v>161</v>
      </c>
      <c r="J404" s="301" t="s">
        <v>34</v>
      </c>
      <c r="K404" s="160"/>
      <c r="L404" s="301">
        <v>2.0</v>
      </c>
      <c r="M404" s="203">
        <v>2.0</v>
      </c>
      <c r="N404" s="160"/>
      <c r="O404" s="160"/>
      <c r="P404" s="160"/>
      <c r="Q404" s="160"/>
      <c r="R404" s="160"/>
      <c r="S404" s="160"/>
      <c r="T404" s="18"/>
      <c r="U404" s="18"/>
      <c r="V404" s="18"/>
      <c r="W404" s="20"/>
      <c r="X404" s="18"/>
      <c r="Y404" s="18"/>
      <c r="Z404" s="18"/>
      <c r="AA404" s="18"/>
    </row>
    <row r="405">
      <c r="A405" s="195" t="s">
        <v>22</v>
      </c>
      <c r="B405" s="293" t="s">
        <v>333</v>
      </c>
      <c r="C405" s="221" t="s">
        <v>1173</v>
      </c>
      <c r="D405" s="229" t="s">
        <v>1174</v>
      </c>
      <c r="E405" s="307" t="s">
        <v>53</v>
      </c>
      <c r="F405" s="233">
        <v>46153.0</v>
      </c>
      <c r="G405" s="233">
        <v>46153.0</v>
      </c>
      <c r="H405" s="223" t="s">
        <v>25</v>
      </c>
      <c r="I405" s="136" t="s">
        <v>161</v>
      </c>
      <c r="J405" s="301" t="s">
        <v>55</v>
      </c>
      <c r="K405" s="160"/>
      <c r="L405" s="301">
        <v>2.0</v>
      </c>
      <c r="M405" s="203">
        <v>1.5</v>
      </c>
      <c r="N405" s="160"/>
      <c r="O405" s="160"/>
      <c r="P405" s="160"/>
      <c r="Q405" s="160"/>
      <c r="R405" s="160"/>
      <c r="S405" s="160"/>
      <c r="T405" s="18"/>
      <c r="U405" s="18"/>
      <c r="V405" s="18"/>
      <c r="W405" s="20"/>
      <c r="X405" s="18"/>
      <c r="Y405" s="18"/>
      <c r="Z405" s="18"/>
      <c r="AA405" s="18"/>
    </row>
    <row r="406">
      <c r="A406" s="195" t="s">
        <v>22</v>
      </c>
      <c r="B406" s="293" t="s">
        <v>333</v>
      </c>
      <c r="C406" s="221" t="s">
        <v>1175</v>
      </c>
      <c r="D406" s="229" t="s">
        <v>1176</v>
      </c>
      <c r="E406" s="307" t="s">
        <v>53</v>
      </c>
      <c r="F406" s="233">
        <v>46153.0</v>
      </c>
      <c r="G406" s="233">
        <v>46153.0</v>
      </c>
      <c r="H406" s="223" t="s">
        <v>25</v>
      </c>
      <c r="I406" s="136" t="s">
        <v>161</v>
      </c>
      <c r="J406" s="301" t="s">
        <v>34</v>
      </c>
      <c r="K406" s="160"/>
      <c r="L406" s="301">
        <v>2.0</v>
      </c>
      <c r="M406" s="203">
        <v>2.0</v>
      </c>
      <c r="N406" s="156" t="s">
        <v>1177</v>
      </c>
      <c r="O406" s="160"/>
      <c r="P406" s="160"/>
      <c r="Q406" s="160"/>
      <c r="R406" s="160"/>
      <c r="S406" s="160"/>
      <c r="T406" s="18"/>
      <c r="U406" s="18"/>
      <c r="V406" s="18"/>
      <c r="W406" s="20"/>
      <c r="X406" s="18"/>
      <c r="Y406" s="18"/>
      <c r="Z406" s="18"/>
      <c r="AA406" s="18"/>
    </row>
    <row r="407">
      <c r="A407" s="195" t="s">
        <v>22</v>
      </c>
      <c r="B407" s="293" t="s">
        <v>333</v>
      </c>
      <c r="C407" s="221" t="s">
        <v>1178</v>
      </c>
      <c r="D407" s="229" t="s">
        <v>1179</v>
      </c>
      <c r="E407" s="307" t="s">
        <v>53</v>
      </c>
      <c r="F407" s="233">
        <v>46153.0</v>
      </c>
      <c r="G407" s="233">
        <v>46153.0</v>
      </c>
      <c r="H407" s="223" t="s">
        <v>25</v>
      </c>
      <c r="I407" s="136" t="s">
        <v>161</v>
      </c>
      <c r="J407" s="301" t="s">
        <v>34</v>
      </c>
      <c r="K407" s="160"/>
      <c r="L407" s="301">
        <v>3.0</v>
      </c>
      <c r="M407" s="203">
        <v>4.0</v>
      </c>
      <c r="N407" s="156" t="s">
        <v>1177</v>
      </c>
      <c r="O407" s="160"/>
      <c r="P407" s="160"/>
      <c r="Q407" s="160"/>
      <c r="R407" s="160"/>
      <c r="S407" s="160"/>
      <c r="T407" s="18"/>
      <c r="U407" s="18"/>
      <c r="V407" s="18"/>
      <c r="W407" s="20"/>
      <c r="X407" s="18"/>
      <c r="Y407" s="18"/>
      <c r="Z407" s="18"/>
      <c r="AA407" s="18"/>
    </row>
    <row r="408">
      <c r="A408" s="195" t="s">
        <v>119</v>
      </c>
      <c r="B408" s="298" t="s">
        <v>341</v>
      </c>
      <c r="C408" s="221" t="s">
        <v>1180</v>
      </c>
      <c r="D408" s="229" t="s">
        <v>1181</v>
      </c>
      <c r="E408" s="307" t="s">
        <v>53</v>
      </c>
      <c r="F408" s="233">
        <v>46153.0</v>
      </c>
      <c r="G408" s="233">
        <v>46153.0</v>
      </c>
      <c r="H408" s="223" t="s">
        <v>25</v>
      </c>
      <c r="I408" s="136" t="s">
        <v>161</v>
      </c>
      <c r="J408" s="301" t="s">
        <v>34</v>
      </c>
      <c r="K408" s="160"/>
      <c r="L408" s="301">
        <v>1.0</v>
      </c>
      <c r="M408" s="203">
        <v>1.0</v>
      </c>
      <c r="N408" s="160"/>
      <c r="O408" s="160"/>
      <c r="P408" s="160"/>
      <c r="Q408" s="160"/>
      <c r="R408" s="160"/>
      <c r="S408" s="160"/>
      <c r="T408" s="18"/>
      <c r="U408" s="18"/>
      <c r="V408" s="18"/>
      <c r="W408" s="20"/>
      <c r="X408" s="18"/>
      <c r="Y408" s="18"/>
      <c r="Z408" s="18"/>
      <c r="AA408" s="18"/>
    </row>
    <row r="409">
      <c r="A409" s="195" t="s">
        <v>119</v>
      </c>
      <c r="B409" s="298" t="s">
        <v>341</v>
      </c>
      <c r="C409" s="221" t="s">
        <v>1182</v>
      </c>
      <c r="D409" s="229" t="s">
        <v>1183</v>
      </c>
      <c r="E409" s="307" t="s">
        <v>53</v>
      </c>
      <c r="F409" s="233">
        <v>46153.0</v>
      </c>
      <c r="G409" s="233">
        <v>46153.0</v>
      </c>
      <c r="H409" s="301" t="s">
        <v>146</v>
      </c>
      <c r="I409" s="136" t="s">
        <v>161</v>
      </c>
      <c r="J409" s="301" t="s">
        <v>27</v>
      </c>
      <c r="K409" s="160"/>
      <c r="L409" s="301">
        <v>3.0</v>
      </c>
      <c r="M409" s="203">
        <v>3.0</v>
      </c>
      <c r="N409" s="160"/>
      <c r="O409" s="160"/>
      <c r="P409" s="160"/>
      <c r="Q409" s="160"/>
      <c r="R409" s="160"/>
      <c r="S409" s="160"/>
      <c r="T409" s="18"/>
      <c r="U409" s="18"/>
      <c r="V409" s="18"/>
      <c r="W409" s="20"/>
      <c r="X409" s="18"/>
      <c r="Y409" s="18"/>
      <c r="Z409" s="18"/>
      <c r="AA409" s="18"/>
    </row>
    <row r="410">
      <c r="A410" s="195" t="s">
        <v>22</v>
      </c>
      <c r="B410" s="293" t="s">
        <v>333</v>
      </c>
      <c r="C410" s="221" t="s">
        <v>1184</v>
      </c>
      <c r="D410" s="229" t="s">
        <v>1185</v>
      </c>
      <c r="E410" s="307" t="s">
        <v>53</v>
      </c>
      <c r="F410" s="233">
        <v>46153.0</v>
      </c>
      <c r="G410" s="233">
        <v>46153.0</v>
      </c>
      <c r="H410" s="301" t="s">
        <v>146</v>
      </c>
      <c r="I410" s="136" t="s">
        <v>161</v>
      </c>
      <c r="J410" s="301" t="s">
        <v>27</v>
      </c>
      <c r="K410" s="160"/>
      <c r="L410" s="301">
        <v>2.0</v>
      </c>
      <c r="M410" s="203">
        <v>2.0</v>
      </c>
      <c r="N410" s="160"/>
      <c r="O410" s="160"/>
      <c r="P410" s="160"/>
      <c r="Q410" s="160"/>
      <c r="R410" s="160"/>
      <c r="S410" s="160"/>
      <c r="T410" s="18"/>
      <c r="U410" s="18"/>
      <c r="V410" s="18"/>
      <c r="W410" s="20"/>
      <c r="X410" s="18"/>
      <c r="Y410" s="18"/>
      <c r="Z410" s="18"/>
      <c r="AA410" s="18"/>
    </row>
    <row r="411">
      <c r="A411" s="195" t="s">
        <v>140</v>
      </c>
      <c r="B411" s="298" t="s">
        <v>1091</v>
      </c>
      <c r="C411" s="221" t="s">
        <v>1186</v>
      </c>
      <c r="D411" s="229" t="s">
        <v>1093</v>
      </c>
      <c r="E411" s="307" t="s">
        <v>53</v>
      </c>
      <c r="F411" s="233">
        <v>46153.0</v>
      </c>
      <c r="G411" s="233">
        <v>46153.0</v>
      </c>
      <c r="H411" s="301" t="s">
        <v>146</v>
      </c>
      <c r="I411" s="136" t="s">
        <v>161</v>
      </c>
      <c r="J411" s="301" t="s">
        <v>34</v>
      </c>
      <c r="K411" s="160"/>
      <c r="L411" s="301">
        <v>1.0</v>
      </c>
      <c r="M411" s="203">
        <v>1.0</v>
      </c>
      <c r="N411" s="160"/>
      <c r="O411" s="160"/>
      <c r="P411" s="160"/>
      <c r="Q411" s="160"/>
      <c r="R411" s="160"/>
      <c r="S411" s="160"/>
      <c r="T411" s="18"/>
      <c r="U411" s="18"/>
      <c r="V411" s="18"/>
      <c r="W411" s="18"/>
      <c r="X411" s="18"/>
      <c r="Y411" s="18"/>
      <c r="Z411" s="18"/>
      <c r="AA411" s="18"/>
    </row>
    <row r="412">
      <c r="A412" s="195" t="s">
        <v>140</v>
      </c>
      <c r="B412" s="318" t="s">
        <v>145</v>
      </c>
      <c r="C412" s="221" t="s">
        <v>1187</v>
      </c>
      <c r="D412" s="229" t="s">
        <v>1188</v>
      </c>
      <c r="E412" s="307" t="s">
        <v>53</v>
      </c>
      <c r="F412" s="233">
        <v>46153.0</v>
      </c>
      <c r="G412" s="233">
        <v>46153.0</v>
      </c>
      <c r="H412" s="301" t="s">
        <v>146</v>
      </c>
      <c r="I412" s="136" t="s">
        <v>161</v>
      </c>
      <c r="J412" s="301" t="s">
        <v>34</v>
      </c>
      <c r="K412" s="160"/>
      <c r="L412" s="301">
        <v>3.0</v>
      </c>
      <c r="M412" s="203">
        <v>3.0</v>
      </c>
      <c r="N412" s="160"/>
      <c r="O412" s="160"/>
      <c r="P412" s="160"/>
      <c r="Q412" s="160"/>
      <c r="R412" s="160"/>
      <c r="S412" s="160"/>
      <c r="T412" s="18"/>
      <c r="U412" s="18"/>
      <c r="V412" s="20"/>
      <c r="W412" s="20"/>
      <c r="X412" s="20"/>
      <c r="Y412" s="18"/>
      <c r="Z412" s="18"/>
      <c r="AA412" s="18"/>
    </row>
    <row r="413">
      <c r="A413" s="195" t="s">
        <v>64</v>
      </c>
      <c r="B413" s="317"/>
      <c r="C413" s="221" t="s">
        <v>1189</v>
      </c>
      <c r="D413" s="229" t="s">
        <v>1190</v>
      </c>
      <c r="E413" s="307" t="s">
        <v>186</v>
      </c>
      <c r="F413" s="233">
        <v>46154.0</v>
      </c>
      <c r="G413" s="233">
        <v>46154.0</v>
      </c>
      <c r="H413" s="223" t="s">
        <v>25</v>
      </c>
      <c r="I413" s="136" t="s">
        <v>161</v>
      </c>
      <c r="J413" s="301" t="s">
        <v>55</v>
      </c>
      <c r="K413" s="160"/>
      <c r="L413" s="301">
        <v>2.0</v>
      </c>
      <c r="M413" s="203">
        <v>1.5</v>
      </c>
      <c r="N413" s="160"/>
      <c r="O413" s="160"/>
      <c r="P413" s="160"/>
      <c r="Q413" s="160"/>
      <c r="R413" s="160"/>
      <c r="S413" s="160"/>
      <c r="T413" s="18"/>
      <c r="U413" s="18"/>
      <c r="V413" s="18"/>
      <c r="W413" s="18"/>
      <c r="X413" s="18"/>
      <c r="Y413" s="18"/>
      <c r="Z413" s="18"/>
      <c r="AA413" s="18"/>
    </row>
    <row r="414">
      <c r="A414" s="195" t="s">
        <v>22</v>
      </c>
      <c r="B414" s="293" t="s">
        <v>333</v>
      </c>
      <c r="C414" s="221" t="s">
        <v>1191</v>
      </c>
      <c r="D414" s="229" t="s">
        <v>1192</v>
      </c>
      <c r="E414" s="307" t="s">
        <v>53</v>
      </c>
      <c r="F414" s="233">
        <v>46154.0</v>
      </c>
      <c r="G414" s="233">
        <v>46154.0</v>
      </c>
      <c r="H414" s="223" t="s">
        <v>25</v>
      </c>
      <c r="I414" s="136" t="s">
        <v>161</v>
      </c>
      <c r="J414" s="301" t="s">
        <v>34</v>
      </c>
      <c r="K414" s="160"/>
      <c r="L414" s="301">
        <v>1.0</v>
      </c>
      <c r="M414" s="203">
        <v>1.5</v>
      </c>
      <c r="N414" s="156" t="s">
        <v>1193</v>
      </c>
      <c r="O414" s="160"/>
      <c r="P414" s="160"/>
      <c r="Q414" s="160"/>
      <c r="R414" s="160"/>
      <c r="S414" s="160"/>
      <c r="T414" s="18"/>
      <c r="U414" s="18"/>
      <c r="V414" s="18"/>
      <c r="W414" s="20"/>
      <c r="X414" s="18"/>
      <c r="Y414" s="18"/>
      <c r="Z414" s="18"/>
      <c r="AA414" s="18"/>
    </row>
    <row r="415">
      <c r="A415" s="195" t="s">
        <v>22</v>
      </c>
      <c r="B415" s="293" t="s">
        <v>333</v>
      </c>
      <c r="C415" s="221" t="s">
        <v>1194</v>
      </c>
      <c r="D415" s="229" t="s">
        <v>1195</v>
      </c>
      <c r="E415" s="307" t="s">
        <v>53</v>
      </c>
      <c r="F415" s="233">
        <v>46154.0</v>
      </c>
      <c r="G415" s="233">
        <v>46154.0</v>
      </c>
      <c r="H415" s="223" t="s">
        <v>25</v>
      </c>
      <c r="I415" s="136" t="s">
        <v>161</v>
      </c>
      <c r="J415" s="301" t="s">
        <v>34</v>
      </c>
      <c r="K415" s="160"/>
      <c r="L415" s="301">
        <v>1.0</v>
      </c>
      <c r="M415" s="203">
        <v>1.0</v>
      </c>
      <c r="N415" s="160"/>
      <c r="O415" s="160"/>
      <c r="P415" s="160"/>
      <c r="Q415" s="160"/>
      <c r="R415" s="160"/>
      <c r="S415" s="160"/>
      <c r="T415" s="18"/>
      <c r="U415" s="18"/>
      <c r="V415" s="18"/>
      <c r="W415" s="20"/>
      <c r="X415" s="18"/>
      <c r="Y415" s="18"/>
      <c r="Z415" s="18"/>
      <c r="AA415" s="18"/>
    </row>
    <row r="416">
      <c r="A416" s="195" t="s">
        <v>119</v>
      </c>
      <c r="B416" s="298" t="s">
        <v>341</v>
      </c>
      <c r="C416" s="221" t="s">
        <v>1196</v>
      </c>
      <c r="D416" s="229" t="s">
        <v>1197</v>
      </c>
      <c r="E416" s="307" t="s">
        <v>53</v>
      </c>
      <c r="F416" s="233">
        <v>46153.0</v>
      </c>
      <c r="G416" s="233"/>
      <c r="H416" s="223" t="s">
        <v>25</v>
      </c>
      <c r="I416" s="136" t="s">
        <v>54</v>
      </c>
      <c r="J416" s="301" t="s">
        <v>27</v>
      </c>
      <c r="K416" s="160"/>
      <c r="L416" s="301">
        <v>2.0</v>
      </c>
      <c r="M416" s="203">
        <v>0.0</v>
      </c>
      <c r="N416" s="160"/>
      <c r="O416" s="160"/>
      <c r="P416" s="160"/>
      <c r="Q416" s="160"/>
      <c r="R416" s="160"/>
      <c r="S416" s="160"/>
      <c r="T416" s="18"/>
      <c r="U416" s="18"/>
      <c r="V416" s="18"/>
      <c r="W416" s="20"/>
      <c r="X416" s="18"/>
      <c r="Y416" s="18"/>
      <c r="Z416" s="18"/>
      <c r="AA416" s="18"/>
    </row>
    <row r="417">
      <c r="A417" s="195" t="s">
        <v>22</v>
      </c>
      <c r="B417" s="293" t="s">
        <v>329</v>
      </c>
      <c r="C417" s="221" t="s">
        <v>1198</v>
      </c>
      <c r="D417" s="229" t="s">
        <v>1199</v>
      </c>
      <c r="E417" s="307" t="s">
        <v>53</v>
      </c>
      <c r="F417" s="233">
        <v>46154.0</v>
      </c>
      <c r="G417" s="233">
        <v>46154.0</v>
      </c>
      <c r="H417" s="223" t="s">
        <v>25</v>
      </c>
      <c r="I417" s="136" t="s">
        <v>161</v>
      </c>
      <c r="J417" s="301" t="s">
        <v>34</v>
      </c>
      <c r="K417" s="160"/>
      <c r="L417" s="301">
        <v>0.15</v>
      </c>
      <c r="M417" s="203">
        <v>0.15</v>
      </c>
      <c r="N417" s="160"/>
      <c r="O417" s="160"/>
      <c r="P417" s="160"/>
      <c r="Q417" s="160"/>
      <c r="R417" s="160"/>
      <c r="S417" s="160"/>
      <c r="T417" s="18"/>
      <c r="U417" s="18"/>
      <c r="V417" s="18"/>
      <c r="W417" s="20"/>
      <c r="X417" s="18"/>
      <c r="Y417" s="18"/>
      <c r="Z417" s="18"/>
      <c r="AA417" s="18"/>
    </row>
    <row r="418">
      <c r="A418" s="195" t="s">
        <v>22</v>
      </c>
      <c r="B418" s="293" t="s">
        <v>333</v>
      </c>
      <c r="C418" s="221" t="s">
        <v>1200</v>
      </c>
      <c r="D418" s="229" t="s">
        <v>1201</v>
      </c>
      <c r="E418" s="307" t="s">
        <v>53</v>
      </c>
      <c r="F418" s="233">
        <v>46154.0</v>
      </c>
      <c r="G418" s="233">
        <v>46154.0</v>
      </c>
      <c r="H418" s="223" t="s">
        <v>25</v>
      </c>
      <c r="I418" s="136" t="s">
        <v>161</v>
      </c>
      <c r="J418" s="301" t="s">
        <v>34</v>
      </c>
      <c r="K418" s="160"/>
      <c r="L418" s="301">
        <v>2.0</v>
      </c>
      <c r="M418" s="203">
        <v>1.0</v>
      </c>
      <c r="N418" s="160"/>
      <c r="O418" s="160"/>
      <c r="P418" s="160"/>
      <c r="Q418" s="160"/>
      <c r="R418" s="160"/>
      <c r="S418" s="160"/>
      <c r="T418" s="18"/>
      <c r="U418" s="18"/>
      <c r="V418" s="18"/>
      <c r="W418" s="20"/>
      <c r="X418" s="18"/>
      <c r="Y418" s="18"/>
      <c r="Z418" s="18"/>
      <c r="AA418" s="18"/>
    </row>
    <row r="419">
      <c r="A419" s="195" t="s">
        <v>64</v>
      </c>
      <c r="B419" s="236" t="s">
        <v>78</v>
      </c>
      <c r="C419" s="221" t="s">
        <v>1202</v>
      </c>
      <c r="D419" s="229" t="s">
        <v>1203</v>
      </c>
      <c r="E419" s="307" t="s">
        <v>53</v>
      </c>
      <c r="F419" s="233">
        <v>46153.0</v>
      </c>
      <c r="G419" s="233">
        <v>46153.0</v>
      </c>
      <c r="H419" s="223" t="s">
        <v>25</v>
      </c>
      <c r="I419" s="136" t="s">
        <v>161</v>
      </c>
      <c r="J419" s="301" t="s">
        <v>55</v>
      </c>
      <c r="K419" s="160"/>
      <c r="L419" s="301">
        <v>2.0</v>
      </c>
      <c r="M419" s="203">
        <v>4.0</v>
      </c>
      <c r="N419" s="160"/>
      <c r="O419" s="156" t="s">
        <v>1204</v>
      </c>
      <c r="P419" s="160"/>
      <c r="Q419" s="160"/>
      <c r="R419" s="160"/>
      <c r="S419" s="160"/>
      <c r="T419" s="18"/>
      <c r="U419" s="18"/>
      <c r="V419" s="20"/>
      <c r="W419" s="20"/>
      <c r="X419" s="20"/>
      <c r="Y419" s="18"/>
      <c r="Z419" s="18"/>
      <c r="AA419" s="18"/>
    </row>
    <row r="420">
      <c r="A420" s="195" t="s">
        <v>64</v>
      </c>
      <c r="B420" s="236" t="s">
        <v>78</v>
      </c>
      <c r="C420" s="221" t="s">
        <v>1205</v>
      </c>
      <c r="D420" s="229" t="s">
        <v>1206</v>
      </c>
      <c r="E420" s="307" t="s">
        <v>53</v>
      </c>
      <c r="F420" s="233">
        <v>46154.0</v>
      </c>
      <c r="G420" s="233">
        <v>46154.0</v>
      </c>
      <c r="H420" s="203" t="s">
        <v>79</v>
      </c>
      <c r="I420" s="136" t="s">
        <v>161</v>
      </c>
      <c r="J420" s="301" t="s">
        <v>80</v>
      </c>
      <c r="K420" s="160"/>
      <c r="L420" s="301">
        <v>4.0</v>
      </c>
      <c r="M420" s="203">
        <v>4.0</v>
      </c>
      <c r="N420" s="160"/>
      <c r="O420" s="156"/>
      <c r="P420" s="160"/>
      <c r="Q420" s="160"/>
      <c r="R420" s="160"/>
      <c r="S420" s="160"/>
      <c r="T420" s="18"/>
      <c r="U420" s="18"/>
      <c r="V420" s="20"/>
      <c r="W420" s="20"/>
      <c r="X420" s="20"/>
      <c r="Y420" s="18"/>
      <c r="Z420" s="18"/>
      <c r="AA420" s="18"/>
    </row>
    <row r="421">
      <c r="A421" s="195" t="s">
        <v>64</v>
      </c>
      <c r="B421" s="236" t="s">
        <v>78</v>
      </c>
      <c r="C421" s="221" t="s">
        <v>1207</v>
      </c>
      <c r="D421" s="229" t="s">
        <v>1208</v>
      </c>
      <c r="E421" s="307" t="s">
        <v>53</v>
      </c>
      <c r="F421" s="233">
        <v>46154.0</v>
      </c>
      <c r="G421" s="233">
        <v>46154.0</v>
      </c>
      <c r="H421" s="203" t="s">
        <v>79</v>
      </c>
      <c r="I421" s="136" t="s">
        <v>161</v>
      </c>
      <c r="J421" s="301" t="s">
        <v>80</v>
      </c>
      <c r="K421" s="160"/>
      <c r="L421" s="301">
        <v>5.0</v>
      </c>
      <c r="M421" s="203">
        <v>5.0</v>
      </c>
      <c r="N421" s="160"/>
      <c r="O421" s="160"/>
      <c r="P421" s="160"/>
      <c r="Q421" s="160"/>
      <c r="R421" s="160"/>
      <c r="S421" s="160"/>
      <c r="T421" s="18"/>
      <c r="U421" s="18"/>
      <c r="V421" s="20"/>
      <c r="W421" s="20"/>
      <c r="X421" s="20"/>
      <c r="Y421" s="18"/>
      <c r="Z421" s="18"/>
      <c r="AA421" s="18"/>
    </row>
    <row r="422">
      <c r="A422" s="195" t="s">
        <v>140</v>
      </c>
      <c r="B422" s="318" t="s">
        <v>145</v>
      </c>
      <c r="C422" s="221" t="s">
        <v>1209</v>
      </c>
      <c r="D422" s="229" t="s">
        <v>1210</v>
      </c>
      <c r="E422" s="307" t="s">
        <v>53</v>
      </c>
      <c r="F422" s="233">
        <v>46154.0</v>
      </c>
      <c r="G422" s="233">
        <v>46154.0</v>
      </c>
      <c r="H422" s="301" t="s">
        <v>146</v>
      </c>
      <c r="I422" s="136" t="s">
        <v>161</v>
      </c>
      <c r="J422" s="301" t="s">
        <v>34</v>
      </c>
      <c r="K422" s="160"/>
      <c r="L422" s="301">
        <v>10.0</v>
      </c>
      <c r="M422" s="203">
        <v>10.0</v>
      </c>
      <c r="N422" s="160"/>
      <c r="O422" s="160"/>
      <c r="P422" s="160"/>
      <c r="Q422" s="160"/>
      <c r="R422" s="160"/>
      <c r="S422" s="160"/>
      <c r="T422" s="18"/>
      <c r="U422" s="18"/>
      <c r="V422" s="20"/>
      <c r="W422" s="20"/>
      <c r="X422" s="20"/>
      <c r="Y422" s="18"/>
      <c r="Z422" s="18"/>
      <c r="AA422" s="18"/>
    </row>
    <row r="423">
      <c r="A423" s="195" t="s">
        <v>64</v>
      </c>
      <c r="B423" s="236" t="s">
        <v>78</v>
      </c>
      <c r="C423" s="221" t="s">
        <v>1211</v>
      </c>
      <c r="D423" s="229" t="s">
        <v>1212</v>
      </c>
      <c r="E423" s="307" t="s">
        <v>53</v>
      </c>
      <c r="F423" s="233">
        <v>46155.0</v>
      </c>
      <c r="G423" s="233">
        <v>46155.0</v>
      </c>
      <c r="H423" s="301"/>
      <c r="I423" s="136" t="s">
        <v>26</v>
      </c>
      <c r="J423" s="301" t="s">
        <v>80</v>
      </c>
      <c r="K423" s="160"/>
      <c r="L423" s="301">
        <v>4.0</v>
      </c>
      <c r="M423" s="203">
        <v>0.0</v>
      </c>
      <c r="N423" s="160"/>
      <c r="O423" s="160"/>
      <c r="P423" s="160"/>
      <c r="Q423" s="304" t="s">
        <v>1213</v>
      </c>
      <c r="R423" s="160"/>
      <c r="S423" s="160"/>
      <c r="T423" s="18"/>
      <c r="U423" s="18"/>
      <c r="V423" s="20"/>
      <c r="W423" s="20"/>
      <c r="X423" s="20"/>
      <c r="Y423" s="18"/>
      <c r="Z423" s="18"/>
      <c r="AA423" s="18"/>
    </row>
    <row r="424">
      <c r="A424" s="195" t="s">
        <v>22</v>
      </c>
      <c r="B424" s="293" t="s">
        <v>329</v>
      </c>
      <c r="C424" s="221" t="s">
        <v>1214</v>
      </c>
      <c r="D424" s="229" t="s">
        <v>1215</v>
      </c>
      <c r="E424" s="307" t="s">
        <v>53</v>
      </c>
      <c r="F424" s="233">
        <v>46155.0</v>
      </c>
      <c r="G424" s="233">
        <v>46155.0</v>
      </c>
      <c r="H424" s="223" t="s">
        <v>25</v>
      </c>
      <c r="I424" s="136" t="s">
        <v>161</v>
      </c>
      <c r="J424" s="301" t="s">
        <v>34</v>
      </c>
      <c r="K424" s="160"/>
      <c r="L424" s="301">
        <v>2.0</v>
      </c>
      <c r="M424" s="203">
        <v>2.5</v>
      </c>
      <c r="N424" s="160"/>
      <c r="O424" s="160"/>
      <c r="P424" s="160"/>
      <c r="Q424" s="160"/>
      <c r="R424" s="160"/>
      <c r="S424" s="160"/>
      <c r="T424" s="18"/>
      <c r="U424" s="18"/>
      <c r="V424" s="18"/>
      <c r="W424" s="20"/>
      <c r="X424" s="18"/>
      <c r="Y424" s="18"/>
      <c r="Z424" s="18"/>
      <c r="AA424" s="18"/>
    </row>
    <row r="425">
      <c r="A425" s="195" t="s">
        <v>64</v>
      </c>
      <c r="B425" s="236" t="s">
        <v>78</v>
      </c>
      <c r="C425" s="221" t="s">
        <v>1216</v>
      </c>
      <c r="D425" s="229" t="s">
        <v>1203</v>
      </c>
      <c r="E425" s="307" t="s">
        <v>53</v>
      </c>
      <c r="F425" s="233">
        <v>46154.0</v>
      </c>
      <c r="G425" s="233">
        <v>46155.0</v>
      </c>
      <c r="H425" s="223" t="s">
        <v>25</v>
      </c>
      <c r="I425" s="136" t="s">
        <v>161</v>
      </c>
      <c r="J425" s="301" t="s">
        <v>55</v>
      </c>
      <c r="K425" s="160"/>
      <c r="L425" s="301">
        <v>2.0</v>
      </c>
      <c r="M425" s="203">
        <v>1.5</v>
      </c>
      <c r="N425" s="160"/>
      <c r="O425" s="160"/>
      <c r="P425" s="160"/>
      <c r="Q425" s="160"/>
      <c r="R425" s="160"/>
      <c r="S425" s="160"/>
      <c r="T425" s="18"/>
      <c r="U425" s="18"/>
      <c r="V425" s="20"/>
      <c r="W425" s="20"/>
      <c r="X425" s="20"/>
      <c r="Y425" s="18"/>
      <c r="Z425" s="18"/>
      <c r="AA425" s="18"/>
    </row>
    <row r="426">
      <c r="A426" s="195" t="s">
        <v>119</v>
      </c>
      <c r="B426" s="298" t="s">
        <v>341</v>
      </c>
      <c r="C426" s="221" t="s">
        <v>1217</v>
      </c>
      <c r="D426" s="229" t="s">
        <v>1218</v>
      </c>
      <c r="E426" s="307" t="s">
        <v>53</v>
      </c>
      <c r="F426" s="233">
        <v>46155.0</v>
      </c>
      <c r="G426" s="233">
        <v>46155.0</v>
      </c>
      <c r="H426" s="203" t="s">
        <v>79</v>
      </c>
      <c r="I426" s="136" t="s">
        <v>161</v>
      </c>
      <c r="J426" s="301" t="s">
        <v>34</v>
      </c>
      <c r="K426" s="160"/>
      <c r="L426" s="301">
        <v>3.0</v>
      </c>
      <c r="M426" s="301">
        <v>2.5</v>
      </c>
      <c r="N426" s="160"/>
      <c r="O426" s="160"/>
      <c r="P426" s="160"/>
      <c r="Q426" s="160"/>
      <c r="R426" s="160"/>
      <c r="S426" s="160"/>
      <c r="T426" s="18"/>
      <c r="U426" s="18"/>
      <c r="V426" s="18"/>
      <c r="W426" s="20"/>
      <c r="X426" s="18"/>
      <c r="Y426" s="18"/>
      <c r="Z426" s="18"/>
      <c r="AA426" s="18"/>
    </row>
    <row r="427">
      <c r="A427" s="195" t="s">
        <v>119</v>
      </c>
      <c r="B427" s="298" t="s">
        <v>341</v>
      </c>
      <c r="C427" s="221" t="s">
        <v>1219</v>
      </c>
      <c r="D427" s="229" t="s">
        <v>1220</v>
      </c>
      <c r="E427" s="307" t="s">
        <v>53</v>
      </c>
      <c r="F427" s="233">
        <v>46155.0</v>
      </c>
      <c r="G427" s="233">
        <v>46155.0</v>
      </c>
      <c r="H427" s="223" t="s">
        <v>25</v>
      </c>
      <c r="I427" s="136" t="s">
        <v>161</v>
      </c>
      <c r="J427" s="301" t="s">
        <v>34</v>
      </c>
      <c r="K427" s="160"/>
      <c r="L427" s="301">
        <v>2.0</v>
      </c>
      <c r="M427" s="203">
        <v>1.0</v>
      </c>
      <c r="N427" s="160"/>
      <c r="O427" s="160"/>
      <c r="P427" s="160"/>
      <c r="Q427" s="160"/>
      <c r="R427" s="160"/>
      <c r="S427" s="160"/>
      <c r="T427" s="18"/>
      <c r="U427" s="18"/>
      <c r="V427" s="18"/>
      <c r="W427" s="20"/>
      <c r="X427" s="18"/>
      <c r="Y427" s="18"/>
      <c r="Z427" s="18"/>
      <c r="AA427" s="18"/>
    </row>
    <row r="428">
      <c r="A428" s="306" t="s">
        <v>201</v>
      </c>
      <c r="B428" s="224" t="s">
        <v>886</v>
      </c>
      <c r="C428" s="221" t="s">
        <v>1221</v>
      </c>
      <c r="D428" s="229" t="s">
        <v>1222</v>
      </c>
      <c r="E428" s="307" t="s">
        <v>53</v>
      </c>
      <c r="F428" s="233">
        <v>46155.0</v>
      </c>
      <c r="G428" s="233">
        <v>46155.0</v>
      </c>
      <c r="H428" s="223" t="s">
        <v>25</v>
      </c>
      <c r="I428" s="136" t="s">
        <v>161</v>
      </c>
      <c r="J428" s="301" t="s">
        <v>34</v>
      </c>
      <c r="K428" s="160"/>
      <c r="L428" s="301">
        <v>4.0</v>
      </c>
      <c r="M428" s="203">
        <v>4.0</v>
      </c>
      <c r="N428" s="160"/>
      <c r="O428" s="160"/>
      <c r="P428" s="160"/>
      <c r="Q428" s="160"/>
      <c r="R428" s="160"/>
      <c r="S428" s="160"/>
      <c r="T428" s="18"/>
      <c r="U428" s="18"/>
      <c r="V428" s="18"/>
      <c r="W428" s="18"/>
      <c r="X428" s="18"/>
      <c r="Y428" s="18"/>
      <c r="Z428" s="18"/>
      <c r="AA428" s="18"/>
    </row>
    <row r="429">
      <c r="A429" s="195" t="s">
        <v>22</v>
      </c>
      <c r="B429" s="293" t="s">
        <v>329</v>
      </c>
      <c r="C429" s="221" t="s">
        <v>1223</v>
      </c>
      <c r="D429" s="229" t="s">
        <v>1215</v>
      </c>
      <c r="E429" s="307" t="s">
        <v>53</v>
      </c>
      <c r="F429" s="233">
        <v>46155.0</v>
      </c>
      <c r="G429" s="233">
        <v>46155.0</v>
      </c>
      <c r="H429" s="301" t="s">
        <v>146</v>
      </c>
      <c r="I429" s="136" t="s">
        <v>161</v>
      </c>
      <c r="J429" s="301" t="s">
        <v>34</v>
      </c>
      <c r="K429" s="160"/>
      <c r="L429" s="301">
        <v>2.0</v>
      </c>
      <c r="M429" s="203">
        <v>2.5</v>
      </c>
      <c r="N429" s="160"/>
      <c r="O429" s="160"/>
      <c r="P429" s="160"/>
      <c r="Q429" s="160"/>
      <c r="R429" s="160"/>
      <c r="S429" s="160"/>
      <c r="T429" s="18"/>
      <c r="U429" s="18"/>
      <c r="V429" s="18"/>
      <c r="W429" s="20"/>
      <c r="X429" s="18"/>
      <c r="Y429" s="18"/>
      <c r="Z429" s="18"/>
      <c r="AA429" s="18"/>
    </row>
    <row r="430">
      <c r="A430" s="195" t="s">
        <v>64</v>
      </c>
      <c r="B430" s="293" t="s">
        <v>98</v>
      </c>
      <c r="C430" s="221" t="s">
        <v>1224</v>
      </c>
      <c r="D430" s="293" t="s">
        <v>1225</v>
      </c>
      <c r="E430" s="307" t="s">
        <v>53</v>
      </c>
      <c r="F430" s="233">
        <v>46153.0</v>
      </c>
      <c r="G430" s="233">
        <v>46153.0</v>
      </c>
      <c r="H430" s="301" t="s">
        <v>33</v>
      </c>
      <c r="I430" s="136" t="s">
        <v>39</v>
      </c>
      <c r="J430" s="301" t="s">
        <v>55</v>
      </c>
      <c r="K430" s="18"/>
      <c r="L430" s="301">
        <v>0.25</v>
      </c>
      <c r="M430" s="301">
        <v>0.25</v>
      </c>
      <c r="N430" s="160"/>
      <c r="O430" s="156" t="s">
        <v>1226</v>
      </c>
      <c r="P430" s="156" t="s">
        <v>1226</v>
      </c>
      <c r="Q430" s="160"/>
      <c r="R430" s="160"/>
      <c r="S430" s="160"/>
      <c r="T430" s="18"/>
      <c r="U430" s="18"/>
      <c r="V430" s="20"/>
      <c r="W430" s="20"/>
      <c r="X430" s="20"/>
      <c r="Y430" s="18"/>
      <c r="Z430" s="18"/>
      <c r="AA430" s="18"/>
    </row>
    <row r="431">
      <c r="A431" s="195" t="s">
        <v>64</v>
      </c>
      <c r="B431" s="293" t="s">
        <v>92</v>
      </c>
      <c r="C431" s="221" t="s">
        <v>1227</v>
      </c>
      <c r="D431" s="229" t="s">
        <v>1228</v>
      </c>
      <c r="E431" s="307" t="s">
        <v>53</v>
      </c>
      <c r="F431" s="233">
        <v>46153.0</v>
      </c>
      <c r="G431" s="233">
        <v>46153.0</v>
      </c>
      <c r="H431" s="301" t="s">
        <v>33</v>
      </c>
      <c r="I431" s="136" t="s">
        <v>39</v>
      </c>
      <c r="J431" s="301" t="s">
        <v>55</v>
      </c>
      <c r="K431" s="160"/>
      <c r="L431" s="301">
        <v>0.25</v>
      </c>
      <c r="M431" s="301">
        <v>0.25</v>
      </c>
      <c r="N431" s="160"/>
      <c r="O431" s="156" t="s">
        <v>1229</v>
      </c>
      <c r="P431" s="156" t="s">
        <v>1229</v>
      </c>
      <c r="Q431" s="160"/>
      <c r="R431" s="160"/>
      <c r="S431" s="160"/>
      <c r="T431" s="18"/>
      <c r="U431" s="18"/>
      <c r="V431" s="20"/>
      <c r="W431" s="20"/>
      <c r="X431" s="20"/>
      <c r="Y431" s="18"/>
      <c r="Z431" s="18"/>
      <c r="AA431" s="18"/>
    </row>
    <row r="432">
      <c r="A432" s="195" t="s">
        <v>64</v>
      </c>
      <c r="B432" s="293" t="s">
        <v>92</v>
      </c>
      <c r="C432" s="221" t="s">
        <v>1230</v>
      </c>
      <c r="D432" s="229" t="s">
        <v>1231</v>
      </c>
      <c r="E432" s="307" t="s">
        <v>53</v>
      </c>
      <c r="F432" s="233">
        <v>46153.0</v>
      </c>
      <c r="G432" s="233">
        <v>46153.0</v>
      </c>
      <c r="H432" s="301" t="s">
        <v>33</v>
      </c>
      <c r="I432" s="136" t="s">
        <v>39</v>
      </c>
      <c r="J432" s="301" t="s">
        <v>55</v>
      </c>
      <c r="K432" s="160"/>
      <c r="L432" s="301">
        <v>0.25</v>
      </c>
      <c r="M432" s="301">
        <v>0.25</v>
      </c>
      <c r="N432" s="160"/>
      <c r="O432" s="156" t="s">
        <v>1232</v>
      </c>
      <c r="P432" s="156" t="s">
        <v>1232</v>
      </c>
      <c r="Q432" s="160"/>
      <c r="R432" s="160"/>
      <c r="S432" s="160"/>
      <c r="T432" s="18"/>
      <c r="U432" s="18"/>
      <c r="V432" s="20"/>
      <c r="W432" s="20"/>
      <c r="X432" s="20"/>
      <c r="Y432" s="18"/>
      <c r="Z432" s="18"/>
      <c r="AA432" s="18"/>
    </row>
    <row r="433">
      <c r="A433" s="195" t="s">
        <v>64</v>
      </c>
      <c r="B433" s="293" t="s">
        <v>92</v>
      </c>
      <c r="C433" s="221" t="s">
        <v>1233</v>
      </c>
      <c r="D433" s="229" t="s">
        <v>1234</v>
      </c>
      <c r="E433" s="307" t="s">
        <v>53</v>
      </c>
      <c r="F433" s="233">
        <v>46153.0</v>
      </c>
      <c r="G433" s="233">
        <v>46153.0</v>
      </c>
      <c r="H433" s="301" t="s">
        <v>33</v>
      </c>
      <c r="I433" s="136" t="s">
        <v>103</v>
      </c>
      <c r="J433" s="301" t="s">
        <v>55</v>
      </c>
      <c r="K433" s="160"/>
      <c r="L433" s="301">
        <v>0.25</v>
      </c>
      <c r="M433" s="301">
        <v>0.25</v>
      </c>
      <c r="N433" s="160"/>
      <c r="O433" s="160"/>
      <c r="P433" s="156" t="s">
        <v>1234</v>
      </c>
      <c r="Q433" s="160"/>
      <c r="R433" s="160"/>
      <c r="S433" s="160"/>
      <c r="T433" s="18"/>
      <c r="U433" s="18"/>
      <c r="V433" s="20"/>
      <c r="W433" s="20"/>
      <c r="X433" s="20"/>
      <c r="Y433" s="18"/>
      <c r="Z433" s="18"/>
      <c r="AA433" s="18"/>
    </row>
    <row r="434">
      <c r="A434" s="195" t="s">
        <v>64</v>
      </c>
      <c r="B434" s="298" t="s">
        <v>102</v>
      </c>
      <c r="C434" s="221" t="s">
        <v>1235</v>
      </c>
      <c r="D434" s="229" t="s">
        <v>1234</v>
      </c>
      <c r="E434" s="307" t="s">
        <v>53</v>
      </c>
      <c r="F434" s="233">
        <v>46153.0</v>
      </c>
      <c r="G434" s="160"/>
      <c r="H434" s="301" t="s">
        <v>33</v>
      </c>
      <c r="I434" s="136" t="s">
        <v>103</v>
      </c>
      <c r="J434" s="301" t="s">
        <v>55</v>
      </c>
      <c r="K434" s="160"/>
      <c r="L434" s="301">
        <v>0.25</v>
      </c>
      <c r="M434" s="301">
        <v>0.25</v>
      </c>
      <c r="N434" s="160"/>
      <c r="O434" s="156" t="s">
        <v>1236</v>
      </c>
      <c r="P434" s="156" t="s">
        <v>1237</v>
      </c>
      <c r="Q434" s="160"/>
      <c r="R434" s="160"/>
      <c r="S434" s="160"/>
      <c r="T434" s="18"/>
      <c r="U434" s="18"/>
      <c r="V434" s="20"/>
      <c r="W434" s="20"/>
      <c r="X434" s="20"/>
      <c r="Y434" s="18"/>
      <c r="Z434" s="18"/>
      <c r="AA434" s="18"/>
    </row>
    <row r="435">
      <c r="A435" s="195" t="s">
        <v>64</v>
      </c>
      <c r="B435" s="298" t="s">
        <v>109</v>
      </c>
      <c r="C435" s="221" t="s">
        <v>1238</v>
      </c>
      <c r="D435" s="298" t="s">
        <v>109</v>
      </c>
      <c r="E435" s="307" t="s">
        <v>53</v>
      </c>
      <c r="F435" s="233">
        <v>46153.0</v>
      </c>
      <c r="G435" s="160"/>
      <c r="H435" s="301" t="s">
        <v>33</v>
      </c>
      <c r="I435" s="136" t="s">
        <v>103</v>
      </c>
      <c r="J435" s="301" t="s">
        <v>55</v>
      </c>
      <c r="K435" s="160"/>
      <c r="L435" s="301">
        <v>0.25</v>
      </c>
      <c r="M435" s="301">
        <v>0.25</v>
      </c>
      <c r="N435" s="160"/>
      <c r="O435" s="156" t="s">
        <v>1239</v>
      </c>
      <c r="P435" s="156" t="s">
        <v>1240</v>
      </c>
      <c r="Q435" s="160"/>
      <c r="R435" s="160"/>
      <c r="S435" s="160"/>
      <c r="T435" s="18"/>
      <c r="U435" s="18"/>
      <c r="V435" s="18"/>
      <c r="W435" s="18"/>
      <c r="X435" s="18"/>
      <c r="Y435" s="18"/>
      <c r="Z435" s="18"/>
      <c r="AA435" s="18"/>
    </row>
    <row r="436">
      <c r="A436" s="195" t="s">
        <v>64</v>
      </c>
      <c r="B436" s="298" t="s">
        <v>72</v>
      </c>
      <c r="C436" s="221" t="s">
        <v>1189</v>
      </c>
      <c r="D436" s="229" t="s">
        <v>1241</v>
      </c>
      <c r="E436" s="307" t="s">
        <v>53</v>
      </c>
      <c r="F436" s="233">
        <v>46157.0</v>
      </c>
      <c r="G436" s="233">
        <v>46157.0</v>
      </c>
      <c r="H436" s="301" t="s">
        <v>33</v>
      </c>
      <c r="I436" s="136" t="s">
        <v>39</v>
      </c>
      <c r="J436" s="301" t="s">
        <v>55</v>
      </c>
      <c r="K436" s="160"/>
      <c r="L436" s="301">
        <v>18.0</v>
      </c>
      <c r="M436" s="203">
        <v>18.0</v>
      </c>
      <c r="N436" s="160"/>
      <c r="O436" s="160"/>
      <c r="P436" s="160"/>
      <c r="Q436" s="160"/>
      <c r="R436" s="160"/>
      <c r="S436" s="160"/>
      <c r="T436" s="18"/>
      <c r="U436" s="18"/>
      <c r="V436" s="20"/>
      <c r="W436" s="20"/>
      <c r="X436" s="20"/>
      <c r="Y436" s="18"/>
      <c r="Z436" s="18"/>
      <c r="AA436" s="18"/>
    </row>
    <row r="437">
      <c r="A437" s="195" t="s">
        <v>22</v>
      </c>
      <c r="B437" s="293" t="s">
        <v>333</v>
      </c>
      <c r="C437" s="221" t="s">
        <v>1242</v>
      </c>
      <c r="D437" s="229" t="s">
        <v>1243</v>
      </c>
      <c r="E437" s="307" t="s">
        <v>186</v>
      </c>
      <c r="F437" s="233">
        <v>46156.0</v>
      </c>
      <c r="G437" s="233">
        <v>46156.0</v>
      </c>
      <c r="H437" s="223" t="s">
        <v>25</v>
      </c>
      <c r="I437" s="136" t="s">
        <v>161</v>
      </c>
      <c r="J437" s="301" t="s">
        <v>34</v>
      </c>
      <c r="K437" s="160"/>
      <c r="L437" s="301">
        <v>2.0</v>
      </c>
      <c r="M437" s="203">
        <v>1.15</v>
      </c>
      <c r="N437" s="160"/>
      <c r="O437" s="160"/>
      <c r="P437" s="160"/>
      <c r="Q437" s="160"/>
      <c r="R437" s="160"/>
      <c r="S437" s="160"/>
      <c r="T437" s="18"/>
      <c r="U437" s="18"/>
      <c r="V437" s="18"/>
      <c r="W437" s="20"/>
      <c r="X437" s="18"/>
      <c r="Y437" s="18"/>
      <c r="Z437" s="18"/>
      <c r="AA437" s="18"/>
    </row>
    <row r="438">
      <c r="A438" s="195" t="s">
        <v>22</v>
      </c>
      <c r="B438" s="293" t="s">
        <v>333</v>
      </c>
      <c r="C438" s="221" t="s">
        <v>1244</v>
      </c>
      <c r="D438" s="229" t="s">
        <v>1245</v>
      </c>
      <c r="E438" s="307" t="s">
        <v>186</v>
      </c>
      <c r="F438" s="233">
        <v>46156.0</v>
      </c>
      <c r="G438" s="233">
        <v>46156.0</v>
      </c>
      <c r="H438" s="223" t="s">
        <v>25</v>
      </c>
      <c r="I438" s="136" t="s">
        <v>161</v>
      </c>
      <c r="J438" s="301" t="s">
        <v>34</v>
      </c>
      <c r="K438" s="160"/>
      <c r="L438" s="301">
        <v>1.0</v>
      </c>
      <c r="M438" s="203">
        <v>0.45</v>
      </c>
      <c r="N438" s="160"/>
      <c r="O438" s="160"/>
      <c r="P438" s="160"/>
      <c r="Q438" s="160"/>
      <c r="R438" s="160"/>
      <c r="S438" s="160"/>
      <c r="T438" s="18"/>
      <c r="U438" s="18"/>
      <c r="V438" s="18"/>
      <c r="W438" s="20"/>
      <c r="X438" s="18"/>
      <c r="Y438" s="18"/>
      <c r="Z438" s="18"/>
      <c r="AA438" s="18"/>
    </row>
    <row r="439">
      <c r="A439" s="195" t="s">
        <v>64</v>
      </c>
      <c r="B439" s="236" t="s">
        <v>78</v>
      </c>
      <c r="C439" s="221" t="s">
        <v>1246</v>
      </c>
      <c r="D439" s="229" t="s">
        <v>1247</v>
      </c>
      <c r="E439" s="307" t="s">
        <v>53</v>
      </c>
      <c r="F439" s="233">
        <v>46156.0</v>
      </c>
      <c r="G439" s="233">
        <v>46156.0</v>
      </c>
      <c r="H439" s="223" t="s">
        <v>25</v>
      </c>
      <c r="I439" s="136" t="s">
        <v>161</v>
      </c>
      <c r="J439" s="301" t="s">
        <v>55</v>
      </c>
      <c r="K439" s="160"/>
      <c r="L439" s="301">
        <v>5.0</v>
      </c>
      <c r="M439" s="203">
        <v>4.0</v>
      </c>
      <c r="N439" s="160"/>
      <c r="O439" s="160"/>
      <c r="P439" s="160"/>
      <c r="Q439" s="160"/>
      <c r="R439" s="160"/>
      <c r="S439" s="160"/>
      <c r="T439" s="18"/>
      <c r="U439" s="18"/>
      <c r="V439" s="20"/>
      <c r="W439" s="20"/>
      <c r="X439" s="20"/>
      <c r="Y439" s="18"/>
      <c r="Z439" s="18"/>
      <c r="AA439" s="18"/>
    </row>
    <row r="440">
      <c r="A440" s="195" t="s">
        <v>64</v>
      </c>
      <c r="B440" s="236" t="s">
        <v>78</v>
      </c>
      <c r="C440" s="221" t="s">
        <v>1248</v>
      </c>
      <c r="D440" s="229" t="s">
        <v>1249</v>
      </c>
      <c r="E440" s="307" t="s">
        <v>53</v>
      </c>
      <c r="F440" s="233">
        <v>46156.0</v>
      </c>
      <c r="G440" s="233">
        <v>46156.0</v>
      </c>
      <c r="H440" s="223" t="s">
        <v>25</v>
      </c>
      <c r="I440" s="136" t="s">
        <v>161</v>
      </c>
      <c r="J440" s="301" t="s">
        <v>55</v>
      </c>
      <c r="K440" s="160"/>
      <c r="L440" s="301">
        <v>2.0</v>
      </c>
      <c r="M440" s="203">
        <v>2.0</v>
      </c>
      <c r="N440" s="160"/>
      <c r="O440" s="160"/>
      <c r="P440" s="160"/>
      <c r="Q440" s="160"/>
      <c r="R440" s="160"/>
      <c r="S440" s="160"/>
      <c r="T440" s="18"/>
      <c r="U440" s="18"/>
      <c r="V440" s="20"/>
      <c r="W440" s="20"/>
      <c r="X440" s="20"/>
      <c r="Y440" s="18"/>
      <c r="Z440" s="18"/>
      <c r="AA440" s="18"/>
    </row>
    <row r="441">
      <c r="A441" s="195" t="s">
        <v>22</v>
      </c>
      <c r="B441" s="293" t="s">
        <v>333</v>
      </c>
      <c r="C441" s="221" t="s">
        <v>1250</v>
      </c>
      <c r="D441" s="229" t="s">
        <v>1251</v>
      </c>
      <c r="E441" s="307" t="s">
        <v>186</v>
      </c>
      <c r="F441" s="233">
        <v>46156.0</v>
      </c>
      <c r="G441" s="233">
        <v>46156.0</v>
      </c>
      <c r="H441" s="223" t="s">
        <v>25</v>
      </c>
      <c r="I441" s="136" t="s">
        <v>161</v>
      </c>
      <c r="J441" s="301" t="s">
        <v>34</v>
      </c>
      <c r="K441" s="160"/>
      <c r="L441" s="301">
        <v>1.0</v>
      </c>
      <c r="M441" s="203">
        <v>1.0</v>
      </c>
      <c r="N441" s="160"/>
      <c r="O441" s="160"/>
      <c r="P441" s="160"/>
      <c r="Q441" s="160"/>
      <c r="R441" s="160"/>
      <c r="S441" s="160"/>
      <c r="T441" s="18"/>
      <c r="U441" s="18"/>
      <c r="V441" s="18"/>
      <c r="W441" s="20"/>
      <c r="X441" s="18"/>
      <c r="Y441" s="18"/>
      <c r="Z441" s="18"/>
      <c r="AA441" s="18"/>
    </row>
    <row r="442">
      <c r="A442" s="195" t="s">
        <v>64</v>
      </c>
      <c r="B442" s="236" t="s">
        <v>78</v>
      </c>
      <c r="C442" s="221" t="s">
        <v>1252</v>
      </c>
      <c r="D442" s="229" t="s">
        <v>1253</v>
      </c>
      <c r="E442" s="307" t="s">
        <v>53</v>
      </c>
      <c r="F442" s="233">
        <v>46156.0</v>
      </c>
      <c r="G442" s="233">
        <v>46156.0</v>
      </c>
      <c r="H442" s="223" t="s">
        <v>25</v>
      </c>
      <c r="I442" s="136" t="s">
        <v>161</v>
      </c>
      <c r="J442" s="301" t="s">
        <v>55</v>
      </c>
      <c r="K442" s="160"/>
      <c r="L442" s="301">
        <v>1.0</v>
      </c>
      <c r="M442" s="203">
        <v>0.5</v>
      </c>
      <c r="N442" s="160"/>
      <c r="O442" s="160"/>
      <c r="P442" s="160"/>
      <c r="Q442" s="160"/>
      <c r="R442" s="160"/>
      <c r="S442" s="160"/>
      <c r="T442" s="18"/>
      <c r="U442" s="18"/>
      <c r="V442" s="20"/>
      <c r="W442" s="20"/>
      <c r="X442" s="20"/>
      <c r="Y442" s="18"/>
      <c r="Z442" s="18"/>
      <c r="AA442" s="18"/>
    </row>
    <row r="443">
      <c r="A443" s="195" t="s">
        <v>64</v>
      </c>
      <c r="B443" s="229" t="s">
        <v>353</v>
      </c>
      <c r="C443" s="160"/>
      <c r="D443" s="229" t="s">
        <v>1254</v>
      </c>
      <c r="E443" s="307" t="s">
        <v>53</v>
      </c>
      <c r="F443" s="233">
        <v>46156.0</v>
      </c>
      <c r="G443" s="160"/>
      <c r="H443" s="301"/>
      <c r="I443" s="136" t="s">
        <v>161</v>
      </c>
      <c r="J443" s="301" t="s">
        <v>34</v>
      </c>
      <c r="K443" s="160"/>
      <c r="L443" s="301">
        <v>1.0</v>
      </c>
      <c r="M443" s="203">
        <v>1.0</v>
      </c>
      <c r="N443" s="160"/>
      <c r="O443" s="160"/>
      <c r="P443" s="160"/>
      <c r="Q443" s="160"/>
      <c r="R443" s="160"/>
      <c r="S443" s="160"/>
      <c r="T443" s="18"/>
      <c r="U443" s="18"/>
      <c r="V443" s="18"/>
      <c r="W443" s="20"/>
      <c r="X443" s="18"/>
      <c r="Y443" s="18"/>
      <c r="Z443" s="18"/>
      <c r="AA443" s="18"/>
    </row>
    <row r="444">
      <c r="A444" s="195" t="s">
        <v>64</v>
      </c>
      <c r="B444" s="229" t="s">
        <v>353</v>
      </c>
      <c r="C444" s="160"/>
      <c r="D444" s="229" t="s">
        <v>1255</v>
      </c>
      <c r="E444" s="307" t="s">
        <v>53</v>
      </c>
      <c r="F444" s="233">
        <v>46156.0</v>
      </c>
      <c r="G444" s="160"/>
      <c r="H444" s="301" t="s">
        <v>33</v>
      </c>
      <c r="I444" s="136" t="s">
        <v>161</v>
      </c>
      <c r="J444" s="301" t="s">
        <v>34</v>
      </c>
      <c r="K444" s="160"/>
      <c r="L444" s="301">
        <v>1.0</v>
      </c>
      <c r="M444" s="203">
        <v>1.0</v>
      </c>
      <c r="N444" s="160"/>
      <c r="O444" s="160"/>
      <c r="P444" s="160"/>
      <c r="Q444" s="160"/>
      <c r="R444" s="160"/>
      <c r="S444" s="160"/>
      <c r="T444" s="18"/>
      <c r="U444" s="18"/>
      <c r="V444" s="18"/>
      <c r="W444" s="20"/>
      <c r="X444" s="18"/>
      <c r="Y444" s="18"/>
      <c r="Z444" s="18"/>
      <c r="AA444" s="18"/>
    </row>
    <row r="445">
      <c r="A445" s="195" t="s">
        <v>64</v>
      </c>
      <c r="B445" s="236" t="s">
        <v>78</v>
      </c>
      <c r="C445" s="160"/>
      <c r="D445" s="254" t="s">
        <v>1256</v>
      </c>
      <c r="E445" s="307" t="s">
        <v>53</v>
      </c>
      <c r="F445" s="233">
        <v>46156.0</v>
      </c>
      <c r="G445" s="233">
        <v>46156.0</v>
      </c>
      <c r="H445" s="203" t="s">
        <v>79</v>
      </c>
      <c r="I445" s="136" t="s">
        <v>161</v>
      </c>
      <c r="J445" s="172"/>
      <c r="K445" s="160"/>
      <c r="L445" s="301">
        <v>9.0</v>
      </c>
      <c r="M445" s="203">
        <v>9.0</v>
      </c>
      <c r="N445" s="160"/>
      <c r="O445" s="160"/>
      <c r="P445" s="160"/>
      <c r="Q445" s="160"/>
      <c r="R445" s="160"/>
      <c r="S445" s="160"/>
      <c r="T445" s="18"/>
      <c r="U445" s="18"/>
      <c r="V445" s="20"/>
      <c r="W445" s="20"/>
      <c r="X445" s="20"/>
      <c r="Y445" s="18"/>
      <c r="Z445" s="18"/>
      <c r="AA445" s="18"/>
    </row>
    <row r="446">
      <c r="A446" s="195" t="s">
        <v>140</v>
      </c>
      <c r="B446" s="318" t="s">
        <v>145</v>
      </c>
      <c r="C446" s="221" t="s">
        <v>1257</v>
      </c>
      <c r="D446" s="229" t="s">
        <v>1258</v>
      </c>
      <c r="E446" s="307" t="s">
        <v>53</v>
      </c>
      <c r="F446" s="233">
        <v>46156.0</v>
      </c>
      <c r="G446" s="233">
        <v>46156.0</v>
      </c>
      <c r="H446" s="301" t="s">
        <v>146</v>
      </c>
      <c r="I446" s="136" t="s">
        <v>161</v>
      </c>
      <c r="J446" s="301" t="s">
        <v>34</v>
      </c>
      <c r="K446" s="160"/>
      <c r="L446" s="301">
        <v>9.0</v>
      </c>
      <c r="M446" s="203">
        <v>7.5</v>
      </c>
      <c r="N446" s="160"/>
      <c r="O446" s="160"/>
      <c r="P446" s="160"/>
      <c r="Q446" s="160"/>
      <c r="R446" s="160"/>
      <c r="S446" s="160"/>
      <c r="T446" s="18"/>
      <c r="U446" s="18"/>
      <c r="V446" s="20"/>
      <c r="W446" s="20"/>
      <c r="X446" s="20"/>
      <c r="Y446" s="18"/>
      <c r="Z446" s="18"/>
      <c r="AA446" s="18"/>
    </row>
    <row r="447">
      <c r="A447" s="195" t="s">
        <v>201</v>
      </c>
      <c r="B447" s="298" t="s">
        <v>1259</v>
      </c>
      <c r="C447" s="221" t="s">
        <v>1260</v>
      </c>
      <c r="D447" s="229" t="s">
        <v>1261</v>
      </c>
      <c r="E447" s="307" t="s">
        <v>53</v>
      </c>
      <c r="F447" s="233">
        <v>46156.0</v>
      </c>
      <c r="G447" s="233">
        <v>46156.0</v>
      </c>
      <c r="H447" s="301" t="s">
        <v>146</v>
      </c>
      <c r="I447" s="136" t="s">
        <v>161</v>
      </c>
      <c r="J447" s="301" t="s">
        <v>34</v>
      </c>
      <c r="K447" s="160"/>
      <c r="L447" s="301">
        <v>2.0</v>
      </c>
      <c r="M447" s="203">
        <v>2.5</v>
      </c>
      <c r="N447" s="160"/>
      <c r="O447" s="160"/>
      <c r="P447" s="160"/>
      <c r="Q447" s="160"/>
      <c r="R447" s="160"/>
      <c r="S447" s="160"/>
      <c r="T447" s="18"/>
      <c r="U447" s="18"/>
      <c r="V447" s="18"/>
      <c r="W447" s="18"/>
      <c r="X447" s="18"/>
      <c r="Y447" s="18"/>
      <c r="Z447" s="18"/>
      <c r="AA447" s="18"/>
    </row>
    <row r="448">
      <c r="A448" s="195" t="s">
        <v>64</v>
      </c>
      <c r="B448" s="229" t="s">
        <v>353</v>
      </c>
      <c r="C448" s="221" t="s">
        <v>1262</v>
      </c>
      <c r="D448" s="229" t="s">
        <v>1263</v>
      </c>
      <c r="E448" s="307" t="s">
        <v>53</v>
      </c>
      <c r="F448" s="233">
        <v>46157.0</v>
      </c>
      <c r="G448" s="160"/>
      <c r="H448" s="203" t="s">
        <v>79</v>
      </c>
      <c r="I448" s="136" t="s">
        <v>161</v>
      </c>
      <c r="J448" s="301" t="s">
        <v>34</v>
      </c>
      <c r="K448" s="160"/>
      <c r="L448" s="301">
        <v>4.0</v>
      </c>
      <c r="M448" s="203">
        <v>0.0</v>
      </c>
      <c r="N448" s="160"/>
      <c r="O448" s="160"/>
      <c r="P448" s="160"/>
      <c r="Q448" s="160"/>
      <c r="R448" s="160"/>
      <c r="S448" s="160"/>
      <c r="T448" s="18"/>
      <c r="U448" s="18"/>
      <c r="V448" s="18"/>
      <c r="W448" s="20"/>
      <c r="X448" s="18"/>
      <c r="Y448" s="18"/>
      <c r="Z448" s="18"/>
      <c r="AA448" s="18"/>
    </row>
    <row r="449">
      <c r="A449" s="195" t="s">
        <v>64</v>
      </c>
      <c r="B449" s="236" t="s">
        <v>78</v>
      </c>
      <c r="C449" s="221" t="s">
        <v>1264</v>
      </c>
      <c r="D449" s="229" t="s">
        <v>1265</v>
      </c>
      <c r="E449" s="307" t="s">
        <v>53</v>
      </c>
      <c r="F449" s="233">
        <v>46157.0</v>
      </c>
      <c r="G449" s="233">
        <v>46157.0</v>
      </c>
      <c r="H449" s="223" t="s">
        <v>25</v>
      </c>
      <c r="I449" s="136" t="s">
        <v>161</v>
      </c>
      <c r="J449" s="301" t="s">
        <v>55</v>
      </c>
      <c r="K449" s="160"/>
      <c r="L449" s="301">
        <v>2.0</v>
      </c>
      <c r="M449" s="203">
        <v>3.0</v>
      </c>
      <c r="N449" s="160"/>
      <c r="O449" s="160"/>
      <c r="P449" s="160"/>
      <c r="Q449" s="160"/>
      <c r="R449" s="160"/>
      <c r="S449" s="160"/>
      <c r="T449" s="18"/>
      <c r="U449" s="18"/>
      <c r="V449" s="20"/>
      <c r="W449" s="20"/>
      <c r="X449" s="20"/>
      <c r="Y449" s="18"/>
      <c r="Z449" s="18"/>
      <c r="AA449" s="18"/>
    </row>
    <row r="450">
      <c r="A450" s="195" t="s">
        <v>22</v>
      </c>
      <c r="B450" s="293" t="s">
        <v>329</v>
      </c>
      <c r="C450" s="221" t="s">
        <v>1266</v>
      </c>
      <c r="D450" s="229" t="s">
        <v>1267</v>
      </c>
      <c r="E450" s="307" t="s">
        <v>53</v>
      </c>
      <c r="F450" s="233">
        <v>46157.0</v>
      </c>
      <c r="G450" s="233">
        <v>46157.0</v>
      </c>
      <c r="H450" s="223" t="s">
        <v>25</v>
      </c>
      <c r="I450" s="136" t="s">
        <v>161</v>
      </c>
      <c r="J450" s="301" t="s">
        <v>34</v>
      </c>
      <c r="K450" s="160"/>
      <c r="L450" s="301">
        <v>0.5</v>
      </c>
      <c r="M450" s="203">
        <v>0.5</v>
      </c>
      <c r="N450" s="160"/>
      <c r="O450" s="160"/>
      <c r="P450" s="160"/>
      <c r="Q450" s="160"/>
      <c r="R450" s="160"/>
      <c r="S450" s="160"/>
      <c r="T450" s="18"/>
      <c r="U450" s="18"/>
      <c r="V450" s="18"/>
      <c r="W450" s="20"/>
      <c r="X450" s="18"/>
      <c r="Y450" s="18"/>
      <c r="Z450" s="18"/>
      <c r="AA450" s="18"/>
    </row>
    <row r="451">
      <c r="A451" s="195" t="s">
        <v>64</v>
      </c>
      <c r="B451" s="229" t="s">
        <v>353</v>
      </c>
      <c r="C451" s="221" t="s">
        <v>1268</v>
      </c>
      <c r="D451" s="229" t="s">
        <v>1269</v>
      </c>
      <c r="E451" s="307" t="s">
        <v>53</v>
      </c>
      <c r="F451" s="233">
        <v>46157.0</v>
      </c>
      <c r="G451" s="233">
        <v>46157.0</v>
      </c>
      <c r="H451" s="223" t="s">
        <v>25</v>
      </c>
      <c r="I451" s="136" t="s">
        <v>161</v>
      </c>
      <c r="J451" s="301" t="s">
        <v>34</v>
      </c>
      <c r="K451" s="160"/>
      <c r="L451" s="301">
        <v>2.0</v>
      </c>
      <c r="M451" s="203">
        <v>2.0</v>
      </c>
      <c r="N451" s="160"/>
      <c r="O451" s="160"/>
      <c r="P451" s="160"/>
      <c r="Q451" s="160"/>
      <c r="R451" s="160"/>
      <c r="S451" s="160"/>
      <c r="T451" s="18"/>
      <c r="U451" s="18"/>
      <c r="V451" s="18"/>
      <c r="W451" s="20"/>
      <c r="X451" s="18"/>
      <c r="Y451" s="18"/>
      <c r="Z451" s="18"/>
      <c r="AA451" s="18"/>
    </row>
    <row r="452">
      <c r="A452" s="195" t="s">
        <v>64</v>
      </c>
      <c r="B452" s="236" t="s">
        <v>78</v>
      </c>
      <c r="C452" s="221" t="s">
        <v>1270</v>
      </c>
      <c r="D452" s="229" t="s">
        <v>1249</v>
      </c>
      <c r="E452" s="307" t="s">
        <v>53</v>
      </c>
      <c r="F452" s="233">
        <v>46157.0</v>
      </c>
      <c r="G452" s="233">
        <v>46157.0</v>
      </c>
      <c r="H452" s="223" t="s">
        <v>25</v>
      </c>
      <c r="I452" s="136" t="s">
        <v>161</v>
      </c>
      <c r="J452" s="301" t="s">
        <v>55</v>
      </c>
      <c r="K452" s="160"/>
      <c r="L452" s="301">
        <v>2.0</v>
      </c>
      <c r="M452" s="203">
        <v>2.0</v>
      </c>
      <c r="N452" s="160"/>
      <c r="O452" s="160"/>
      <c r="P452" s="160"/>
      <c r="Q452" s="160"/>
      <c r="R452" s="160"/>
      <c r="S452" s="160"/>
      <c r="T452" s="18"/>
      <c r="U452" s="18"/>
      <c r="V452" s="20"/>
      <c r="W452" s="20"/>
      <c r="X452" s="20"/>
      <c r="Y452" s="18"/>
      <c r="Z452" s="18"/>
      <c r="AA452" s="18"/>
    </row>
    <row r="453">
      <c r="A453" s="195" t="s">
        <v>64</v>
      </c>
      <c r="B453" s="236" t="s">
        <v>78</v>
      </c>
      <c r="C453" s="221" t="s">
        <v>1271</v>
      </c>
      <c r="D453" s="229" t="s">
        <v>1272</v>
      </c>
      <c r="E453" s="307" t="s">
        <v>186</v>
      </c>
      <c r="F453" s="233">
        <v>46157.0</v>
      </c>
      <c r="G453" s="233">
        <v>46157.0</v>
      </c>
      <c r="H453" s="223" t="s">
        <v>25</v>
      </c>
      <c r="I453" s="136" t="s">
        <v>161</v>
      </c>
      <c r="J453" s="301" t="s">
        <v>34</v>
      </c>
      <c r="K453" s="160"/>
      <c r="L453" s="301">
        <v>2.0</v>
      </c>
      <c r="M453" s="203">
        <v>0.0</v>
      </c>
      <c r="N453" s="160"/>
      <c r="O453" s="160"/>
      <c r="P453" s="160"/>
      <c r="Q453" s="160"/>
      <c r="R453" s="160"/>
      <c r="S453" s="160"/>
      <c r="T453" s="18"/>
      <c r="U453" s="18"/>
      <c r="V453" s="18"/>
      <c r="W453" s="20"/>
      <c r="X453" s="18"/>
      <c r="Y453" s="18"/>
      <c r="Z453" s="18"/>
      <c r="AA453" s="18"/>
    </row>
    <row r="454">
      <c r="A454" s="195" t="s">
        <v>166</v>
      </c>
      <c r="B454" s="318" t="s">
        <v>341</v>
      </c>
      <c r="C454" s="221" t="s">
        <v>1273</v>
      </c>
      <c r="D454" s="221" t="s">
        <v>1274</v>
      </c>
      <c r="E454" s="307" t="s">
        <v>53</v>
      </c>
      <c r="F454" s="233">
        <v>46157.0</v>
      </c>
      <c r="G454" s="233">
        <v>46157.0</v>
      </c>
      <c r="H454" s="301" t="s">
        <v>146</v>
      </c>
      <c r="I454" s="136" t="s">
        <v>161</v>
      </c>
      <c r="J454" s="301" t="s">
        <v>34</v>
      </c>
      <c r="K454" s="160"/>
      <c r="L454" s="301">
        <v>1.0</v>
      </c>
      <c r="M454" s="203">
        <v>1.0</v>
      </c>
      <c r="N454" s="160"/>
      <c r="O454" s="160"/>
      <c r="P454" s="160"/>
      <c r="Q454" s="160"/>
      <c r="R454" s="160"/>
      <c r="S454" s="160"/>
      <c r="T454" s="18"/>
      <c r="U454" s="18"/>
      <c r="V454" s="18"/>
      <c r="W454" s="20"/>
      <c r="X454" s="18"/>
      <c r="Y454" s="18"/>
      <c r="Z454" s="18"/>
      <c r="AA454" s="18"/>
    </row>
    <row r="455">
      <c r="A455" s="195" t="s">
        <v>64</v>
      </c>
      <c r="B455" s="298" t="s">
        <v>351</v>
      </c>
      <c r="C455" s="221" t="s">
        <v>1275</v>
      </c>
      <c r="D455" s="221" t="s">
        <v>1276</v>
      </c>
      <c r="E455" s="307" t="s">
        <v>53</v>
      </c>
      <c r="F455" s="233">
        <v>46157.0</v>
      </c>
      <c r="G455" s="233">
        <v>46157.0</v>
      </c>
      <c r="H455" s="301" t="s">
        <v>146</v>
      </c>
      <c r="I455" s="136" t="s">
        <v>161</v>
      </c>
      <c r="J455" s="301" t="s">
        <v>34</v>
      </c>
      <c r="K455" s="160"/>
      <c r="L455" s="301">
        <v>1.0</v>
      </c>
      <c r="M455" s="203">
        <v>1.0</v>
      </c>
      <c r="N455" s="160"/>
      <c r="O455" s="160"/>
      <c r="P455" s="160"/>
      <c r="Q455" s="160"/>
      <c r="R455" s="160"/>
      <c r="S455" s="160"/>
      <c r="T455" s="18"/>
      <c r="U455" s="18"/>
      <c r="V455" s="18"/>
      <c r="W455" s="20"/>
      <c r="X455" s="18"/>
      <c r="Y455" s="18"/>
      <c r="Z455" s="18"/>
      <c r="AA455" s="18"/>
    </row>
    <row r="456">
      <c r="A456" s="195" t="s">
        <v>140</v>
      </c>
      <c r="B456" s="318" t="s">
        <v>145</v>
      </c>
      <c r="C456" s="221" t="s">
        <v>1275</v>
      </c>
      <c r="D456" s="229" t="s">
        <v>1277</v>
      </c>
      <c r="E456" s="307" t="s">
        <v>53</v>
      </c>
      <c r="F456" s="233">
        <v>46157.0</v>
      </c>
      <c r="G456" s="233">
        <v>46157.0</v>
      </c>
      <c r="H456" s="301" t="s">
        <v>146</v>
      </c>
      <c r="I456" s="136" t="s">
        <v>161</v>
      </c>
      <c r="J456" s="301" t="s">
        <v>34</v>
      </c>
      <c r="K456" s="160"/>
      <c r="L456" s="301">
        <v>7.0</v>
      </c>
      <c r="M456" s="203">
        <v>7.0</v>
      </c>
      <c r="N456" s="160"/>
      <c r="O456" s="160"/>
      <c r="P456" s="160"/>
      <c r="Q456" s="160"/>
      <c r="R456" s="160"/>
      <c r="S456" s="160"/>
      <c r="T456" s="18"/>
      <c r="U456" s="18"/>
      <c r="V456" s="20"/>
      <c r="W456" s="20"/>
      <c r="X456" s="20"/>
      <c r="Y456" s="18"/>
      <c r="Z456" s="18"/>
      <c r="AA456" s="18"/>
    </row>
    <row r="457">
      <c r="A457" s="195" t="s">
        <v>64</v>
      </c>
      <c r="B457" s="298" t="s">
        <v>1278</v>
      </c>
      <c r="C457" s="221" t="s">
        <v>1279</v>
      </c>
      <c r="D457" s="229" t="s">
        <v>1280</v>
      </c>
      <c r="E457" s="307" t="s">
        <v>53</v>
      </c>
      <c r="F457" s="233">
        <v>46157.0</v>
      </c>
      <c r="G457" s="233">
        <v>46157.0</v>
      </c>
      <c r="H457" s="301" t="s">
        <v>33</v>
      </c>
      <c r="I457" s="136" t="s">
        <v>161</v>
      </c>
      <c r="J457" s="301" t="s">
        <v>34</v>
      </c>
      <c r="K457" s="160"/>
      <c r="L457" s="301">
        <v>1.5</v>
      </c>
      <c r="M457" s="203">
        <v>1.5</v>
      </c>
      <c r="N457" s="160"/>
      <c r="O457" s="160"/>
      <c r="P457" s="160"/>
      <c r="Q457" s="160"/>
      <c r="R457" s="160"/>
      <c r="S457" s="160"/>
      <c r="T457" s="18"/>
      <c r="U457" s="18"/>
      <c r="V457" s="18"/>
      <c r="W457" s="20"/>
      <c r="X457" s="18"/>
      <c r="Y457" s="18"/>
      <c r="Z457" s="18"/>
      <c r="AA457" s="18"/>
    </row>
    <row r="458">
      <c r="A458" s="195" t="s">
        <v>64</v>
      </c>
      <c r="B458" s="236" t="s">
        <v>78</v>
      </c>
      <c r="C458" s="221" t="s">
        <v>1281</v>
      </c>
      <c r="D458" s="229" t="s">
        <v>1282</v>
      </c>
      <c r="E458" s="307" t="s">
        <v>186</v>
      </c>
      <c r="F458" s="233">
        <v>46158.0</v>
      </c>
      <c r="G458" s="233">
        <v>46158.0</v>
      </c>
      <c r="H458" s="223" t="s">
        <v>25</v>
      </c>
      <c r="I458" s="136" t="s">
        <v>161</v>
      </c>
      <c r="J458" s="301" t="s">
        <v>34</v>
      </c>
      <c r="K458" s="160"/>
      <c r="L458" s="301">
        <v>5.0</v>
      </c>
      <c r="M458" s="203">
        <v>5.0</v>
      </c>
      <c r="N458" s="160"/>
      <c r="O458" s="160"/>
      <c r="P458" s="160"/>
      <c r="Q458" s="160"/>
      <c r="R458" s="160"/>
      <c r="S458" s="160"/>
      <c r="T458" s="18"/>
      <c r="U458" s="18"/>
      <c r="V458" s="18"/>
      <c r="W458" s="20"/>
      <c r="X458" s="18"/>
      <c r="Y458" s="18"/>
      <c r="Z458" s="18"/>
      <c r="AA458" s="18"/>
    </row>
    <row r="459">
      <c r="A459" s="195" t="s">
        <v>64</v>
      </c>
      <c r="B459" s="229" t="s">
        <v>353</v>
      </c>
      <c r="C459" s="221" t="s">
        <v>1283</v>
      </c>
      <c r="D459" s="229" t="s">
        <v>1284</v>
      </c>
      <c r="E459" s="307" t="s">
        <v>186</v>
      </c>
      <c r="F459" s="233">
        <v>46160.0</v>
      </c>
      <c r="G459" s="233">
        <v>46160.0</v>
      </c>
      <c r="H459" s="223" t="s">
        <v>115</v>
      </c>
      <c r="I459" s="136" t="s">
        <v>161</v>
      </c>
      <c r="J459" s="301" t="s">
        <v>34</v>
      </c>
      <c r="K459" s="160"/>
      <c r="L459" s="301">
        <v>0.0</v>
      </c>
      <c r="M459" s="203">
        <v>0.0</v>
      </c>
      <c r="N459" s="160"/>
      <c r="O459" s="160"/>
      <c r="P459" s="160"/>
      <c r="Q459" s="160"/>
      <c r="R459" s="160"/>
      <c r="S459" s="160"/>
      <c r="T459" s="18"/>
      <c r="U459" s="18"/>
      <c r="V459" s="18"/>
      <c r="W459" s="20"/>
      <c r="X459" s="18"/>
      <c r="Y459" s="18"/>
      <c r="Z459" s="18"/>
      <c r="AA459" s="18"/>
    </row>
    <row r="460">
      <c r="A460" s="195" t="s">
        <v>64</v>
      </c>
      <c r="B460" s="229" t="s">
        <v>353</v>
      </c>
      <c r="C460" s="221" t="s">
        <v>1285</v>
      </c>
      <c r="D460" s="229" t="s">
        <v>1286</v>
      </c>
      <c r="E460" s="307" t="s">
        <v>53</v>
      </c>
      <c r="F460" s="233">
        <v>46160.0</v>
      </c>
      <c r="G460" s="233">
        <v>46160.0</v>
      </c>
      <c r="H460" s="223" t="s">
        <v>146</v>
      </c>
      <c r="I460" s="136" t="s">
        <v>161</v>
      </c>
      <c r="J460" s="301" t="s">
        <v>34</v>
      </c>
      <c r="K460" s="160"/>
      <c r="L460" s="301">
        <v>7.0</v>
      </c>
      <c r="M460" s="203">
        <v>7.5</v>
      </c>
      <c r="N460" s="160"/>
      <c r="O460" s="160"/>
      <c r="P460" s="160"/>
      <c r="Q460" s="160"/>
      <c r="R460" s="160"/>
      <c r="S460" s="160"/>
      <c r="T460" s="18"/>
      <c r="U460" s="18"/>
      <c r="V460" s="18"/>
      <c r="W460" s="20"/>
      <c r="X460" s="18"/>
      <c r="Y460" s="18"/>
      <c r="Z460" s="18"/>
      <c r="AA460" s="18"/>
    </row>
    <row r="461">
      <c r="A461" s="195" t="s">
        <v>64</v>
      </c>
      <c r="B461" s="229" t="s">
        <v>353</v>
      </c>
      <c r="C461" s="221" t="s">
        <v>1287</v>
      </c>
      <c r="D461" s="229" t="s">
        <v>1288</v>
      </c>
      <c r="E461" s="307" t="s">
        <v>53</v>
      </c>
      <c r="F461" s="233">
        <v>46160.0</v>
      </c>
      <c r="G461" s="233">
        <v>46160.0</v>
      </c>
      <c r="H461" s="223" t="s">
        <v>146</v>
      </c>
      <c r="I461" s="136" t="s">
        <v>161</v>
      </c>
      <c r="J461" s="301" t="s">
        <v>34</v>
      </c>
      <c r="K461" s="160"/>
      <c r="L461" s="301">
        <v>3.0</v>
      </c>
      <c r="M461" s="203">
        <v>3.0</v>
      </c>
      <c r="N461" s="160"/>
      <c r="O461" s="160"/>
      <c r="P461" s="160"/>
      <c r="Q461" s="160"/>
      <c r="R461" s="160"/>
      <c r="S461" s="160"/>
      <c r="T461" s="18"/>
      <c r="U461" s="18"/>
      <c r="V461" s="18"/>
      <c r="W461" s="20"/>
      <c r="X461" s="18"/>
      <c r="Y461" s="18"/>
      <c r="Z461" s="18"/>
      <c r="AA461" s="18"/>
    </row>
    <row r="462">
      <c r="A462" s="195" t="s">
        <v>64</v>
      </c>
      <c r="B462" s="229" t="s">
        <v>353</v>
      </c>
      <c r="C462" s="221" t="s">
        <v>1289</v>
      </c>
      <c r="D462" s="229" t="s">
        <v>1290</v>
      </c>
      <c r="E462" s="307" t="s">
        <v>53</v>
      </c>
      <c r="F462" s="233">
        <v>46160.0</v>
      </c>
      <c r="G462" s="233">
        <v>46160.0</v>
      </c>
      <c r="H462" s="223" t="s">
        <v>25</v>
      </c>
      <c r="I462" s="136" t="s">
        <v>161</v>
      </c>
      <c r="J462" s="301" t="s">
        <v>34</v>
      </c>
      <c r="K462" s="160"/>
      <c r="L462" s="301">
        <v>5.0</v>
      </c>
      <c r="M462" s="203">
        <v>3.0</v>
      </c>
      <c r="N462" s="160"/>
      <c r="O462" s="160"/>
      <c r="P462" s="160"/>
      <c r="Q462" s="160"/>
      <c r="R462" s="160"/>
      <c r="S462" s="160"/>
      <c r="T462" s="18"/>
      <c r="U462" s="18"/>
      <c r="V462" s="18"/>
      <c r="W462" s="20"/>
      <c r="X462" s="18"/>
      <c r="Y462" s="18"/>
      <c r="Z462" s="18"/>
      <c r="AA462" s="18"/>
    </row>
    <row r="463">
      <c r="A463" s="195" t="s">
        <v>64</v>
      </c>
      <c r="B463" s="229" t="s">
        <v>353</v>
      </c>
      <c r="C463" s="221" t="s">
        <v>1291</v>
      </c>
      <c r="D463" s="229" t="s">
        <v>1292</v>
      </c>
      <c r="E463" s="307" t="s">
        <v>53</v>
      </c>
      <c r="F463" s="233">
        <v>46160.0</v>
      </c>
      <c r="G463" s="233">
        <v>46160.0</v>
      </c>
      <c r="H463" s="223" t="s">
        <v>25</v>
      </c>
      <c r="I463" s="136" t="s">
        <v>161</v>
      </c>
      <c r="J463" s="301" t="s">
        <v>34</v>
      </c>
      <c r="K463" s="160"/>
      <c r="L463" s="301">
        <v>3.0</v>
      </c>
      <c r="M463" s="203">
        <v>3.0</v>
      </c>
      <c r="N463" s="160"/>
      <c r="O463" s="160"/>
      <c r="P463" s="160"/>
      <c r="Q463" s="160"/>
      <c r="R463" s="160"/>
      <c r="S463" s="160"/>
      <c r="T463" s="18"/>
      <c r="U463" s="18"/>
      <c r="V463" s="18"/>
      <c r="W463" s="20"/>
      <c r="X463" s="18"/>
      <c r="Y463" s="18"/>
      <c r="Z463" s="18"/>
      <c r="AA463" s="18"/>
    </row>
    <row r="464">
      <c r="A464" s="195" t="s">
        <v>64</v>
      </c>
      <c r="B464" s="229" t="s">
        <v>65</v>
      </c>
      <c r="C464" s="221" t="s">
        <v>1293</v>
      </c>
      <c r="D464" s="229" t="s">
        <v>1294</v>
      </c>
      <c r="E464" s="307" t="s">
        <v>53</v>
      </c>
      <c r="F464" s="233">
        <v>46160.0</v>
      </c>
      <c r="G464" s="233">
        <v>46160.0</v>
      </c>
      <c r="H464" s="223" t="s">
        <v>25</v>
      </c>
      <c r="I464" s="136" t="s">
        <v>161</v>
      </c>
      <c r="J464" s="301" t="s">
        <v>34</v>
      </c>
      <c r="K464" s="160"/>
      <c r="L464" s="301">
        <v>3.0</v>
      </c>
      <c r="M464" s="203">
        <v>2.5</v>
      </c>
      <c r="N464" s="160"/>
      <c r="O464" s="160"/>
      <c r="P464" s="160"/>
      <c r="Q464" s="160"/>
      <c r="R464" s="160"/>
      <c r="S464" s="160"/>
      <c r="T464" s="18"/>
      <c r="U464" s="18"/>
      <c r="V464" s="18"/>
      <c r="W464" s="20"/>
      <c r="X464" s="18"/>
      <c r="Y464" s="18"/>
      <c r="Z464" s="18"/>
      <c r="AA464" s="18"/>
    </row>
    <row r="465">
      <c r="A465" s="195" t="s">
        <v>119</v>
      </c>
      <c r="B465" s="318" t="s">
        <v>341</v>
      </c>
      <c r="C465" s="221" t="s">
        <v>1295</v>
      </c>
      <c r="D465" s="229" t="s">
        <v>1296</v>
      </c>
      <c r="E465" s="307" t="s">
        <v>53</v>
      </c>
      <c r="F465" s="233">
        <v>46160.0</v>
      </c>
      <c r="G465" s="233">
        <v>46160.0</v>
      </c>
      <c r="H465" s="223" t="s">
        <v>25</v>
      </c>
      <c r="I465" s="136" t="s">
        <v>161</v>
      </c>
      <c r="J465" s="301" t="s">
        <v>34</v>
      </c>
      <c r="K465" s="160"/>
      <c r="L465" s="301">
        <v>0.5</v>
      </c>
      <c r="M465" s="203">
        <v>0.5</v>
      </c>
      <c r="N465" s="160"/>
      <c r="O465" s="160"/>
      <c r="P465" s="160"/>
      <c r="Q465" s="160"/>
      <c r="R465" s="160"/>
      <c r="S465" s="160"/>
      <c r="T465" s="18"/>
      <c r="U465" s="18"/>
      <c r="V465" s="18"/>
      <c r="W465" s="20"/>
      <c r="X465" s="18"/>
      <c r="Y465" s="18"/>
      <c r="Z465" s="18"/>
      <c r="AA465" s="18"/>
    </row>
    <row r="466">
      <c r="A466" s="195" t="s">
        <v>64</v>
      </c>
      <c r="B466" s="229"/>
      <c r="C466" s="221" t="s">
        <v>1297</v>
      </c>
      <c r="D466" s="229" t="s">
        <v>1298</v>
      </c>
      <c r="E466" s="307" t="s">
        <v>186</v>
      </c>
      <c r="F466" s="233">
        <v>46161.0</v>
      </c>
      <c r="G466" s="233">
        <v>46161.0</v>
      </c>
      <c r="H466" s="223" t="s">
        <v>25</v>
      </c>
      <c r="I466" s="136" t="s">
        <v>161</v>
      </c>
      <c r="J466" s="301" t="s">
        <v>34</v>
      </c>
      <c r="K466" s="160"/>
      <c r="L466" s="301">
        <v>0.5</v>
      </c>
      <c r="M466" s="203">
        <v>0.45</v>
      </c>
      <c r="N466" s="160"/>
      <c r="O466" s="160"/>
      <c r="P466" s="160"/>
      <c r="Q466" s="160"/>
      <c r="R466" s="160"/>
      <c r="S466" s="160"/>
      <c r="T466" s="18"/>
      <c r="U466" s="18"/>
      <c r="V466" s="18"/>
      <c r="W466" s="18"/>
      <c r="X466" s="18"/>
      <c r="Y466" s="18"/>
      <c r="Z466" s="18"/>
      <c r="AA466" s="18"/>
    </row>
    <row r="467">
      <c r="A467" s="195" t="s">
        <v>64</v>
      </c>
      <c r="B467" s="229" t="s">
        <v>65</v>
      </c>
      <c r="C467" s="221" t="s">
        <v>1299</v>
      </c>
      <c r="D467" s="229" t="s">
        <v>1300</v>
      </c>
      <c r="E467" s="307" t="s">
        <v>53</v>
      </c>
      <c r="F467" s="233">
        <v>46161.0</v>
      </c>
      <c r="G467" s="233">
        <v>46161.0</v>
      </c>
      <c r="H467" s="223" t="s">
        <v>25</v>
      </c>
      <c r="I467" s="136" t="s">
        <v>161</v>
      </c>
      <c r="J467" s="301" t="s">
        <v>34</v>
      </c>
      <c r="K467" s="160"/>
      <c r="L467" s="301">
        <v>3.0</v>
      </c>
      <c r="M467" s="203">
        <v>3.5</v>
      </c>
      <c r="N467" s="160"/>
      <c r="O467" s="160"/>
      <c r="P467" s="160"/>
      <c r="Q467" s="160"/>
      <c r="R467" s="160"/>
      <c r="S467" s="160"/>
      <c r="T467" s="18"/>
      <c r="U467" s="18"/>
      <c r="V467" s="18"/>
      <c r="W467" s="20"/>
      <c r="X467" s="18"/>
      <c r="Y467" s="18"/>
      <c r="Z467" s="18"/>
      <c r="AA467" s="18"/>
    </row>
    <row r="468">
      <c r="A468" s="195" t="s">
        <v>64</v>
      </c>
      <c r="B468" s="229" t="s">
        <v>353</v>
      </c>
      <c r="C468" s="221" t="s">
        <v>1301</v>
      </c>
      <c r="D468" s="229" t="s">
        <v>1302</v>
      </c>
      <c r="E468" s="307" t="s">
        <v>186</v>
      </c>
      <c r="F468" s="233">
        <v>46161.0</v>
      </c>
      <c r="G468" s="233">
        <v>46161.0</v>
      </c>
      <c r="H468" s="223" t="s">
        <v>25</v>
      </c>
      <c r="I468" s="136" t="s">
        <v>161</v>
      </c>
      <c r="J468" s="301" t="s">
        <v>34</v>
      </c>
      <c r="K468" s="160"/>
      <c r="L468" s="301">
        <v>1.0</v>
      </c>
      <c r="M468" s="203">
        <v>2.0</v>
      </c>
      <c r="N468" s="160"/>
      <c r="O468" s="160"/>
      <c r="P468" s="160"/>
      <c r="Q468" s="160"/>
      <c r="R468" s="160"/>
      <c r="S468" s="160"/>
      <c r="T468" s="18"/>
      <c r="U468" s="18"/>
      <c r="V468" s="18"/>
      <c r="W468" s="20"/>
      <c r="X468" s="18"/>
      <c r="Y468" s="18"/>
      <c r="Z468" s="18"/>
      <c r="AA468" s="18"/>
    </row>
    <row r="469">
      <c r="A469" s="195" t="s">
        <v>22</v>
      </c>
      <c r="B469" s="298" t="s">
        <v>337</v>
      </c>
      <c r="C469" s="221" t="s">
        <v>1264</v>
      </c>
      <c r="D469" s="229" t="s">
        <v>1303</v>
      </c>
      <c r="E469" s="307" t="s">
        <v>186</v>
      </c>
      <c r="F469" s="233">
        <v>46161.0</v>
      </c>
      <c r="G469" s="233">
        <v>46162.0</v>
      </c>
      <c r="H469" s="223" t="s">
        <v>25</v>
      </c>
      <c r="I469" s="136" t="s">
        <v>161</v>
      </c>
      <c r="J469" s="301" t="s">
        <v>34</v>
      </c>
      <c r="K469" s="160"/>
      <c r="L469" s="301">
        <v>8.0</v>
      </c>
      <c r="M469" s="203">
        <v>6.0</v>
      </c>
      <c r="N469" s="160"/>
      <c r="O469" s="160"/>
      <c r="P469" s="160"/>
      <c r="Q469" s="160"/>
      <c r="R469" s="160"/>
      <c r="S469" s="160"/>
      <c r="T469" s="18"/>
      <c r="U469" s="18"/>
      <c r="V469" s="18"/>
      <c r="W469" s="20"/>
      <c r="X469" s="18"/>
      <c r="Y469" s="18"/>
      <c r="Z469" s="18"/>
      <c r="AA469" s="18"/>
    </row>
    <row r="470">
      <c r="A470" s="195" t="s">
        <v>22</v>
      </c>
      <c r="B470" s="298" t="s">
        <v>337</v>
      </c>
      <c r="C470" s="221" t="s">
        <v>1304</v>
      </c>
      <c r="D470" s="229" t="s">
        <v>1305</v>
      </c>
      <c r="E470" s="307" t="s">
        <v>186</v>
      </c>
      <c r="F470" s="233">
        <v>46162.0</v>
      </c>
      <c r="G470" s="233">
        <v>46162.0</v>
      </c>
      <c r="H470" s="223" t="s">
        <v>25</v>
      </c>
      <c r="I470" s="136" t="s">
        <v>161</v>
      </c>
      <c r="J470" s="301" t="s">
        <v>34</v>
      </c>
      <c r="K470" s="160"/>
      <c r="L470" s="301">
        <v>3.0</v>
      </c>
      <c r="M470" s="203">
        <v>3.5</v>
      </c>
      <c r="N470" s="160"/>
      <c r="O470" s="160"/>
      <c r="P470" s="160"/>
      <c r="Q470" s="160"/>
      <c r="R470" s="160"/>
      <c r="S470" s="160"/>
      <c r="T470" s="18"/>
      <c r="U470" s="18"/>
      <c r="V470" s="18"/>
      <c r="W470" s="20"/>
      <c r="X470" s="18"/>
      <c r="Y470" s="18"/>
      <c r="Z470" s="18"/>
      <c r="AA470" s="18"/>
    </row>
    <row r="471">
      <c r="A471" s="195" t="s">
        <v>22</v>
      </c>
      <c r="B471" s="293" t="s">
        <v>333</v>
      </c>
      <c r="C471" s="221" t="s">
        <v>1306</v>
      </c>
      <c r="D471" s="229" t="s">
        <v>1307</v>
      </c>
      <c r="E471" s="307" t="s">
        <v>186</v>
      </c>
      <c r="F471" s="233">
        <v>46162.0</v>
      </c>
      <c r="G471" s="233">
        <v>46162.0</v>
      </c>
      <c r="H471" s="223" t="s">
        <v>25</v>
      </c>
      <c r="I471" s="136" t="s">
        <v>161</v>
      </c>
      <c r="J471" s="301" t="s">
        <v>34</v>
      </c>
      <c r="K471" s="160"/>
      <c r="L471" s="301">
        <v>1.0</v>
      </c>
      <c r="M471" s="203">
        <v>0.45</v>
      </c>
      <c r="N471" s="160"/>
      <c r="O471" s="160"/>
      <c r="P471" s="160"/>
      <c r="Q471" s="160"/>
      <c r="R471" s="160"/>
      <c r="S471" s="160"/>
      <c r="T471" s="18"/>
      <c r="U471" s="18"/>
      <c r="V471" s="18"/>
      <c r="W471" s="20"/>
      <c r="X471" s="18"/>
      <c r="Y471" s="18"/>
      <c r="Z471" s="18"/>
      <c r="AA471" s="18"/>
    </row>
    <row r="472">
      <c r="A472" s="195" t="s">
        <v>22</v>
      </c>
      <c r="B472" s="293" t="s">
        <v>333</v>
      </c>
      <c r="C472" s="221" t="s">
        <v>1308</v>
      </c>
      <c r="D472" s="229" t="s">
        <v>1309</v>
      </c>
      <c r="E472" s="307" t="s">
        <v>53</v>
      </c>
      <c r="F472" s="233">
        <v>46162.0</v>
      </c>
      <c r="G472" s="233">
        <v>46162.0</v>
      </c>
      <c r="H472" s="223" t="s">
        <v>25</v>
      </c>
      <c r="I472" s="136" t="s">
        <v>161</v>
      </c>
      <c r="J472" s="301" t="s">
        <v>34</v>
      </c>
      <c r="K472" s="160"/>
      <c r="L472" s="301">
        <v>1.0</v>
      </c>
      <c r="M472" s="203">
        <v>0.45</v>
      </c>
      <c r="N472" s="160"/>
      <c r="O472" s="160"/>
      <c r="P472" s="160"/>
      <c r="Q472" s="160"/>
      <c r="R472" s="160"/>
      <c r="S472" s="160"/>
      <c r="T472" s="18"/>
      <c r="U472" s="18"/>
      <c r="V472" s="18"/>
      <c r="W472" s="20"/>
      <c r="X472" s="18"/>
      <c r="Y472" s="18"/>
      <c r="Z472" s="18"/>
      <c r="AA472" s="18"/>
    </row>
    <row r="473">
      <c r="A473" s="195" t="s">
        <v>22</v>
      </c>
      <c r="B473" s="293" t="s">
        <v>329</v>
      </c>
      <c r="C473" s="221" t="s">
        <v>1310</v>
      </c>
      <c r="D473" s="229" t="s">
        <v>1311</v>
      </c>
      <c r="E473" s="307" t="s">
        <v>53</v>
      </c>
      <c r="F473" s="233">
        <v>46162.0</v>
      </c>
      <c r="G473" s="233">
        <v>46162.0</v>
      </c>
      <c r="H473" s="223" t="s">
        <v>25</v>
      </c>
      <c r="I473" s="136" t="s">
        <v>161</v>
      </c>
      <c r="J473" s="301" t="s">
        <v>34</v>
      </c>
      <c r="K473" s="160"/>
      <c r="L473" s="301">
        <v>1.0</v>
      </c>
      <c r="M473" s="203">
        <v>1.0</v>
      </c>
      <c r="N473" s="160"/>
      <c r="O473" s="160"/>
      <c r="P473" s="160"/>
      <c r="Q473" s="160"/>
      <c r="R473" s="160"/>
      <c r="S473" s="160"/>
      <c r="T473" s="18"/>
      <c r="U473" s="18"/>
      <c r="V473" s="18"/>
      <c r="W473" s="20"/>
      <c r="X473" s="18"/>
      <c r="Y473" s="18"/>
      <c r="Z473" s="18"/>
      <c r="AA473" s="18"/>
    </row>
    <row r="474">
      <c r="A474" s="195" t="s">
        <v>1312</v>
      </c>
      <c r="B474" s="293"/>
      <c r="C474" s="221" t="s">
        <v>1313</v>
      </c>
      <c r="D474" s="229" t="s">
        <v>1314</v>
      </c>
      <c r="E474" s="307" t="s">
        <v>53</v>
      </c>
      <c r="F474" s="233">
        <v>46162.0</v>
      </c>
      <c r="G474" s="233">
        <v>46162.0</v>
      </c>
      <c r="H474" s="223" t="s">
        <v>25</v>
      </c>
      <c r="I474" s="136" t="s">
        <v>161</v>
      </c>
      <c r="J474" s="301" t="s">
        <v>34</v>
      </c>
      <c r="K474" s="160"/>
      <c r="L474" s="301">
        <v>1.0</v>
      </c>
      <c r="M474" s="203">
        <v>0.5</v>
      </c>
      <c r="N474" s="160"/>
      <c r="O474" s="160"/>
      <c r="P474" s="160"/>
      <c r="Q474" s="160"/>
      <c r="R474" s="160"/>
      <c r="S474" s="160"/>
      <c r="T474" s="18"/>
      <c r="U474" s="18"/>
      <c r="V474" s="18"/>
      <c r="W474" s="18"/>
      <c r="X474" s="18"/>
      <c r="Y474" s="18"/>
      <c r="Z474" s="18"/>
      <c r="AA474" s="18"/>
    </row>
    <row r="475">
      <c r="A475" s="195" t="s">
        <v>64</v>
      </c>
      <c r="B475" s="293" t="s">
        <v>72</v>
      </c>
      <c r="C475" s="221" t="s">
        <v>1315</v>
      </c>
      <c r="D475" s="229" t="s">
        <v>1316</v>
      </c>
      <c r="E475" s="307" t="s">
        <v>53</v>
      </c>
      <c r="F475" s="233">
        <v>46162.0</v>
      </c>
      <c r="G475" s="233">
        <v>46162.0</v>
      </c>
      <c r="H475" s="301" t="s">
        <v>33</v>
      </c>
      <c r="I475" s="136" t="s">
        <v>161</v>
      </c>
      <c r="J475" s="301" t="s">
        <v>34</v>
      </c>
      <c r="K475" s="160"/>
      <c r="L475" s="301">
        <v>0.75</v>
      </c>
      <c r="M475" s="301">
        <v>0.75</v>
      </c>
      <c r="N475" s="160"/>
      <c r="O475" s="160"/>
      <c r="P475" s="160"/>
      <c r="Q475" s="160"/>
      <c r="R475" s="160"/>
      <c r="S475" s="160"/>
      <c r="T475" s="18"/>
      <c r="U475" s="18"/>
      <c r="V475" s="18"/>
      <c r="W475" s="20"/>
      <c r="X475" s="18"/>
      <c r="Y475" s="18"/>
      <c r="Z475" s="18"/>
      <c r="AA475" s="18"/>
    </row>
    <row r="476">
      <c r="A476" s="195" t="s">
        <v>64</v>
      </c>
      <c r="B476" s="293" t="s">
        <v>72</v>
      </c>
      <c r="C476" s="221" t="s">
        <v>1317</v>
      </c>
      <c r="D476" s="229" t="s">
        <v>1316</v>
      </c>
      <c r="E476" s="307" t="s">
        <v>53</v>
      </c>
      <c r="F476" s="233">
        <v>46162.0</v>
      </c>
      <c r="G476" s="233">
        <v>46162.0</v>
      </c>
      <c r="H476" s="301" t="s">
        <v>170</v>
      </c>
      <c r="I476" s="136" t="s">
        <v>161</v>
      </c>
      <c r="J476" s="301" t="s">
        <v>34</v>
      </c>
      <c r="K476" s="160"/>
      <c r="L476" s="301">
        <v>0.75</v>
      </c>
      <c r="M476" s="301">
        <v>0.75</v>
      </c>
      <c r="N476" s="160"/>
      <c r="O476" s="160"/>
      <c r="P476" s="160"/>
      <c r="Q476" s="160"/>
      <c r="R476" s="160"/>
      <c r="S476" s="160"/>
      <c r="T476" s="18"/>
      <c r="U476" s="18"/>
      <c r="V476" s="18"/>
      <c r="W476" s="20"/>
      <c r="X476" s="18"/>
      <c r="Y476" s="18"/>
      <c r="Z476" s="18"/>
      <c r="AA476" s="18"/>
    </row>
    <row r="477">
      <c r="A477" s="195" t="s">
        <v>64</v>
      </c>
      <c r="B477" s="318" t="s">
        <v>351</v>
      </c>
      <c r="C477" s="160"/>
      <c r="D477" s="320" t="s">
        <v>1318</v>
      </c>
      <c r="E477" s="307" t="s">
        <v>53</v>
      </c>
      <c r="F477" s="134">
        <v>46160.0</v>
      </c>
      <c r="G477" s="134">
        <v>46160.0</v>
      </c>
      <c r="H477" s="223" t="s">
        <v>1319</v>
      </c>
      <c r="I477" s="135" t="s">
        <v>161</v>
      </c>
      <c r="J477" s="135" t="s">
        <v>34</v>
      </c>
      <c r="K477" s="160"/>
      <c r="L477" s="301">
        <v>3.0</v>
      </c>
      <c r="M477" s="203">
        <v>3.0</v>
      </c>
      <c r="N477" s="160"/>
      <c r="O477" s="160"/>
      <c r="P477" s="160"/>
      <c r="Q477" s="160"/>
      <c r="R477" s="160"/>
      <c r="S477" s="160"/>
      <c r="T477" s="18"/>
      <c r="U477" s="18"/>
      <c r="V477" s="18"/>
      <c r="W477" s="20"/>
      <c r="X477" s="18"/>
      <c r="Y477" s="18"/>
      <c r="Z477" s="18"/>
      <c r="AA477" s="18"/>
    </row>
    <row r="478">
      <c r="A478" s="321" t="s">
        <v>1320</v>
      </c>
      <c r="B478" s="145" t="s">
        <v>1321</v>
      </c>
      <c r="C478" s="142"/>
      <c r="D478" s="320" t="s">
        <v>1322</v>
      </c>
      <c r="E478" s="307" t="s">
        <v>53</v>
      </c>
      <c r="F478" s="233">
        <v>46161.0</v>
      </c>
      <c r="G478" s="233">
        <v>46161.0</v>
      </c>
      <c r="H478" s="223" t="s">
        <v>1319</v>
      </c>
      <c r="I478" s="136" t="s">
        <v>161</v>
      </c>
      <c r="J478" s="301" t="s">
        <v>34</v>
      </c>
      <c r="K478" s="160"/>
      <c r="L478" s="301">
        <v>1.0</v>
      </c>
      <c r="M478" s="203">
        <v>1.0</v>
      </c>
      <c r="N478" s="160"/>
      <c r="O478" s="160"/>
      <c r="P478" s="160"/>
      <c r="Q478" s="160"/>
      <c r="R478" s="160"/>
      <c r="S478" s="160"/>
      <c r="T478" s="18"/>
      <c r="U478" s="18"/>
      <c r="V478" s="18"/>
      <c r="W478" s="18"/>
      <c r="X478" s="18"/>
      <c r="Y478" s="18"/>
      <c r="Z478" s="18"/>
      <c r="AA478" s="18"/>
    </row>
    <row r="479">
      <c r="A479" s="195" t="s">
        <v>64</v>
      </c>
      <c r="B479" s="145" t="s">
        <v>1323</v>
      </c>
      <c r="C479" s="142"/>
      <c r="D479" s="320" t="s">
        <v>1324</v>
      </c>
      <c r="E479" s="307" t="s">
        <v>53</v>
      </c>
      <c r="F479" s="233">
        <v>46163.0</v>
      </c>
      <c r="G479" s="233">
        <v>46163.0</v>
      </c>
      <c r="H479" s="223" t="s">
        <v>1319</v>
      </c>
      <c r="I479" s="136" t="s">
        <v>54</v>
      </c>
      <c r="J479" s="322"/>
      <c r="K479" s="160"/>
      <c r="L479" s="301">
        <v>2.0</v>
      </c>
      <c r="M479" s="203">
        <v>0.0</v>
      </c>
      <c r="N479" s="160"/>
      <c r="O479" s="160"/>
      <c r="P479" s="160"/>
      <c r="Q479" s="160"/>
      <c r="R479" s="160"/>
      <c r="S479" s="160"/>
      <c r="T479" s="18"/>
      <c r="U479" s="18"/>
      <c r="V479" s="18"/>
      <c r="W479" s="18"/>
      <c r="X479" s="18"/>
      <c r="Y479" s="18"/>
      <c r="Z479" s="18"/>
      <c r="AA479" s="18"/>
    </row>
    <row r="480">
      <c r="A480" s="195" t="s">
        <v>64</v>
      </c>
      <c r="B480" s="145" t="s">
        <v>1323</v>
      </c>
      <c r="C480" s="142"/>
      <c r="D480" s="320" t="s">
        <v>1325</v>
      </c>
      <c r="E480" s="307" t="s">
        <v>53</v>
      </c>
      <c r="F480" s="233">
        <v>46162.0</v>
      </c>
      <c r="G480" s="233">
        <v>46162.0</v>
      </c>
      <c r="H480" s="223" t="s">
        <v>1319</v>
      </c>
      <c r="I480" s="136" t="s">
        <v>54</v>
      </c>
      <c r="J480" s="322"/>
      <c r="K480" s="160"/>
      <c r="L480" s="301">
        <v>2.0</v>
      </c>
      <c r="M480" s="203">
        <v>0.0</v>
      </c>
      <c r="N480" s="160"/>
      <c r="O480" s="160"/>
      <c r="P480" s="160"/>
      <c r="Q480" s="160"/>
      <c r="R480" s="160"/>
      <c r="S480" s="160"/>
      <c r="T480" s="18"/>
      <c r="U480" s="18"/>
      <c r="V480" s="18"/>
      <c r="W480" s="18"/>
      <c r="X480" s="18"/>
      <c r="Y480" s="18"/>
      <c r="Z480" s="18"/>
      <c r="AA480" s="18"/>
    </row>
    <row r="481">
      <c r="A481" s="195" t="s">
        <v>64</v>
      </c>
      <c r="B481" s="145" t="s">
        <v>1323</v>
      </c>
      <c r="C481" s="142"/>
      <c r="D481" s="320" t="s">
        <v>1326</v>
      </c>
      <c r="E481" s="307" t="s">
        <v>53</v>
      </c>
      <c r="F481" s="233">
        <v>46162.0</v>
      </c>
      <c r="G481" s="233">
        <v>46162.0</v>
      </c>
      <c r="H481" s="223" t="s">
        <v>1319</v>
      </c>
      <c r="I481" s="136" t="s">
        <v>54</v>
      </c>
      <c r="J481" s="322"/>
      <c r="K481" s="160"/>
      <c r="L481" s="301">
        <v>2.0</v>
      </c>
      <c r="M481" s="203">
        <v>0.0</v>
      </c>
      <c r="N481" s="160"/>
      <c r="O481" s="160"/>
      <c r="P481" s="160"/>
      <c r="Q481" s="160"/>
      <c r="R481" s="160"/>
      <c r="S481" s="160"/>
      <c r="T481" s="18"/>
      <c r="U481" s="18"/>
      <c r="V481" s="18"/>
      <c r="W481" s="18"/>
      <c r="X481" s="18"/>
      <c r="Y481" s="18"/>
      <c r="Z481" s="18"/>
      <c r="AA481" s="18"/>
    </row>
    <row r="482">
      <c r="A482" s="195" t="s">
        <v>64</v>
      </c>
      <c r="B482" s="145" t="s">
        <v>1323</v>
      </c>
      <c r="C482" s="142"/>
      <c r="D482" s="320" t="s">
        <v>1327</v>
      </c>
      <c r="E482" s="307" t="s">
        <v>53</v>
      </c>
      <c r="F482" s="233">
        <v>46162.0</v>
      </c>
      <c r="G482" s="233">
        <v>46162.0</v>
      </c>
      <c r="H482" s="223" t="s">
        <v>1319</v>
      </c>
      <c r="I482" s="136" t="s">
        <v>161</v>
      </c>
      <c r="J482" s="301" t="s">
        <v>34</v>
      </c>
      <c r="K482" s="160"/>
      <c r="L482" s="301">
        <v>3.0</v>
      </c>
      <c r="M482" s="203">
        <v>2.5</v>
      </c>
      <c r="N482" s="160"/>
      <c r="O482" s="160"/>
      <c r="P482" s="160"/>
      <c r="Q482" s="160"/>
      <c r="R482" s="160"/>
      <c r="S482" s="160"/>
      <c r="T482" s="18"/>
      <c r="U482" s="18"/>
      <c r="V482" s="18"/>
      <c r="W482" s="18"/>
      <c r="X482" s="18"/>
      <c r="Y482" s="18"/>
      <c r="Z482" s="18"/>
      <c r="AA482" s="18"/>
    </row>
    <row r="483">
      <c r="A483" s="195" t="s">
        <v>64</v>
      </c>
      <c r="B483" s="145" t="s">
        <v>1323</v>
      </c>
      <c r="C483" s="142"/>
      <c r="D483" s="323" t="s">
        <v>1328</v>
      </c>
      <c r="E483" s="307" t="s">
        <v>53</v>
      </c>
      <c r="F483" s="233">
        <v>46162.0</v>
      </c>
      <c r="G483" s="233">
        <v>46162.0</v>
      </c>
      <c r="H483" s="223" t="s">
        <v>1319</v>
      </c>
      <c r="I483" s="136" t="s">
        <v>161</v>
      </c>
      <c r="J483" s="301" t="s">
        <v>55</v>
      </c>
      <c r="K483" s="160"/>
      <c r="L483" s="301">
        <v>2.0</v>
      </c>
      <c r="M483" s="203">
        <v>2.0</v>
      </c>
      <c r="N483" s="160"/>
      <c r="O483" s="160"/>
      <c r="P483" s="160"/>
      <c r="Q483" s="304" t="s">
        <v>1329</v>
      </c>
      <c r="R483" s="160"/>
      <c r="S483" s="160"/>
      <c r="T483" s="18"/>
      <c r="U483" s="18"/>
      <c r="V483" s="18"/>
      <c r="W483" s="18"/>
      <c r="X483" s="18"/>
      <c r="Y483" s="18"/>
      <c r="Z483" s="18"/>
      <c r="AA483" s="18"/>
    </row>
    <row r="484">
      <c r="A484" s="195" t="s">
        <v>22</v>
      </c>
      <c r="B484" s="293" t="s">
        <v>333</v>
      </c>
      <c r="C484" s="221" t="s">
        <v>1313</v>
      </c>
      <c r="D484" s="323" t="s">
        <v>1330</v>
      </c>
      <c r="E484" s="307" t="s">
        <v>53</v>
      </c>
      <c r="F484" s="246"/>
      <c r="G484" s="246"/>
      <c r="H484" s="246"/>
      <c r="I484" s="136" t="s">
        <v>54</v>
      </c>
      <c r="J484" s="301" t="s">
        <v>27</v>
      </c>
      <c r="K484" s="160"/>
      <c r="L484" s="301">
        <v>2.0</v>
      </c>
      <c r="M484" s="203">
        <v>0.0</v>
      </c>
      <c r="N484" s="160"/>
      <c r="O484" s="156" t="s">
        <v>1331</v>
      </c>
      <c r="P484" s="160"/>
      <c r="Q484" s="160"/>
      <c r="R484" s="160"/>
      <c r="S484" s="160"/>
      <c r="T484" s="18"/>
      <c r="U484" s="18"/>
      <c r="V484" s="18"/>
      <c r="W484" s="20"/>
      <c r="X484" s="18"/>
      <c r="Y484" s="18"/>
      <c r="Z484" s="18"/>
      <c r="AA484" s="18"/>
    </row>
    <row r="485">
      <c r="A485" s="195" t="s">
        <v>119</v>
      </c>
      <c r="B485" s="318" t="s">
        <v>341</v>
      </c>
      <c r="C485" s="221" t="s">
        <v>1332</v>
      </c>
      <c r="D485" s="323" t="s">
        <v>1333</v>
      </c>
      <c r="E485" s="307" t="s">
        <v>53</v>
      </c>
      <c r="F485" s="233">
        <v>46163.0</v>
      </c>
      <c r="G485" s="233">
        <v>46163.0</v>
      </c>
      <c r="H485" s="223" t="s">
        <v>25</v>
      </c>
      <c r="I485" s="136" t="s">
        <v>161</v>
      </c>
      <c r="J485" s="301" t="s">
        <v>34</v>
      </c>
      <c r="K485" s="160"/>
      <c r="L485" s="301">
        <v>1.0</v>
      </c>
      <c r="M485" s="203">
        <v>2.5</v>
      </c>
      <c r="N485" s="160"/>
      <c r="O485" s="160"/>
      <c r="P485" s="160"/>
      <c r="Q485" s="160"/>
      <c r="R485" s="160"/>
      <c r="S485" s="160"/>
      <c r="T485" s="18"/>
      <c r="U485" s="18"/>
      <c r="V485" s="18"/>
      <c r="W485" s="20"/>
      <c r="X485" s="18"/>
      <c r="Y485" s="18"/>
      <c r="Z485" s="18"/>
      <c r="AA485" s="18"/>
    </row>
    <row r="486">
      <c r="A486" s="195" t="s">
        <v>22</v>
      </c>
      <c r="B486" s="293" t="s">
        <v>329</v>
      </c>
      <c r="C486" s="221" t="s">
        <v>1334</v>
      </c>
      <c r="D486" s="323" t="s">
        <v>1335</v>
      </c>
      <c r="E486" s="307" t="s">
        <v>53</v>
      </c>
      <c r="F486" s="233">
        <v>46163.0</v>
      </c>
      <c r="G486" s="233">
        <v>46163.0</v>
      </c>
      <c r="H486" s="223" t="s">
        <v>25</v>
      </c>
      <c r="I486" s="136" t="s">
        <v>161</v>
      </c>
      <c r="J486" s="301" t="s">
        <v>34</v>
      </c>
      <c r="K486" s="160"/>
      <c r="L486" s="301">
        <v>0.5</v>
      </c>
      <c r="M486" s="203">
        <v>0.5</v>
      </c>
      <c r="N486" s="160"/>
      <c r="O486" s="160"/>
      <c r="P486" s="160"/>
      <c r="Q486" s="160"/>
      <c r="R486" s="160"/>
      <c r="S486" s="160"/>
      <c r="T486" s="18"/>
      <c r="U486" s="18"/>
      <c r="V486" s="18"/>
      <c r="W486" s="20"/>
      <c r="X486" s="18"/>
      <c r="Y486" s="18"/>
      <c r="Z486" s="18"/>
      <c r="AA486" s="18"/>
    </row>
    <row r="487">
      <c r="A487" s="195" t="s">
        <v>64</v>
      </c>
      <c r="B487" s="229" t="s">
        <v>353</v>
      </c>
      <c r="C487" s="221" t="s">
        <v>1336</v>
      </c>
      <c r="D487" s="323" t="s">
        <v>1337</v>
      </c>
      <c r="E487" s="307" t="s">
        <v>53</v>
      </c>
      <c r="F487" s="233">
        <v>46163.0</v>
      </c>
      <c r="G487" s="233">
        <v>46163.0</v>
      </c>
      <c r="H487" s="223" t="s">
        <v>25</v>
      </c>
      <c r="I487" s="136" t="s">
        <v>161</v>
      </c>
      <c r="J487" s="301" t="s">
        <v>34</v>
      </c>
      <c r="K487" s="160"/>
      <c r="L487" s="301">
        <v>1.0</v>
      </c>
      <c r="M487" s="203">
        <v>1.0</v>
      </c>
      <c r="N487" s="160"/>
      <c r="O487" s="160"/>
      <c r="P487" s="160"/>
      <c r="Q487" s="160"/>
      <c r="R487" s="160"/>
      <c r="S487" s="160"/>
      <c r="T487" s="18"/>
      <c r="U487" s="18"/>
      <c r="V487" s="18"/>
      <c r="W487" s="20"/>
      <c r="X487" s="18"/>
      <c r="Y487" s="18"/>
      <c r="Z487" s="18"/>
      <c r="AA487" s="18"/>
    </row>
    <row r="488">
      <c r="A488" s="195" t="s">
        <v>119</v>
      </c>
      <c r="B488" s="318" t="s">
        <v>341</v>
      </c>
      <c r="C488" s="221" t="s">
        <v>1338</v>
      </c>
      <c r="D488" s="323" t="s">
        <v>1339</v>
      </c>
      <c r="E488" s="307" t="s">
        <v>53</v>
      </c>
      <c r="F488" s="233">
        <v>46163.0</v>
      </c>
      <c r="G488" s="233">
        <v>46163.0</v>
      </c>
      <c r="H488" s="223" t="s">
        <v>25</v>
      </c>
      <c r="I488" s="136" t="s">
        <v>161</v>
      </c>
      <c r="J488" s="301" t="s">
        <v>34</v>
      </c>
      <c r="K488" s="160"/>
      <c r="L488" s="301">
        <v>1.0</v>
      </c>
      <c r="M488" s="203">
        <v>1.0</v>
      </c>
      <c r="N488" s="160"/>
      <c r="O488" s="160"/>
      <c r="P488" s="160"/>
      <c r="Q488" s="160"/>
      <c r="R488" s="160"/>
      <c r="S488" s="160"/>
      <c r="T488" s="18"/>
      <c r="U488" s="18"/>
      <c r="V488" s="18"/>
      <c r="W488" s="20"/>
      <c r="X488" s="18"/>
      <c r="Y488" s="18"/>
      <c r="Z488" s="18"/>
      <c r="AA488" s="18"/>
    </row>
    <row r="489">
      <c r="A489" s="195" t="s">
        <v>64</v>
      </c>
      <c r="B489" s="236" t="s">
        <v>78</v>
      </c>
      <c r="C489" s="221" t="s">
        <v>1340</v>
      </c>
      <c r="D489" s="323" t="s">
        <v>1341</v>
      </c>
      <c r="E489" s="307" t="s">
        <v>53</v>
      </c>
      <c r="F489" s="233">
        <v>46163.0</v>
      </c>
      <c r="G489" s="233">
        <v>46163.0</v>
      </c>
      <c r="H489" s="223" t="s">
        <v>25</v>
      </c>
      <c r="I489" s="136" t="s">
        <v>161</v>
      </c>
      <c r="J489" s="301" t="s">
        <v>55</v>
      </c>
      <c r="K489" s="160"/>
      <c r="L489" s="301">
        <v>1.0</v>
      </c>
      <c r="M489" s="203">
        <v>2.5</v>
      </c>
      <c r="N489" s="160"/>
      <c r="O489" s="160"/>
      <c r="P489" s="160"/>
      <c r="Q489" s="160"/>
      <c r="R489" s="160"/>
      <c r="S489" s="160"/>
      <c r="T489" s="18"/>
      <c r="U489" s="18"/>
      <c r="V489" s="20"/>
      <c r="W489" s="20"/>
      <c r="X489" s="20"/>
      <c r="Y489" s="18"/>
      <c r="Z489" s="18"/>
      <c r="AA489" s="18"/>
    </row>
    <row r="490">
      <c r="A490" s="195" t="s">
        <v>64</v>
      </c>
      <c r="B490" s="229" t="s">
        <v>65</v>
      </c>
      <c r="C490" s="221" t="s">
        <v>1342</v>
      </c>
      <c r="D490" s="323" t="s">
        <v>1343</v>
      </c>
      <c r="E490" s="307" t="s">
        <v>53</v>
      </c>
      <c r="F490" s="233">
        <v>46163.0</v>
      </c>
      <c r="G490" s="233">
        <v>46163.0</v>
      </c>
      <c r="H490" s="223" t="s">
        <v>25</v>
      </c>
      <c r="I490" s="136" t="s">
        <v>161</v>
      </c>
      <c r="J490" s="301" t="s">
        <v>34</v>
      </c>
      <c r="K490" s="160"/>
      <c r="L490" s="301">
        <v>1.0</v>
      </c>
      <c r="M490" s="203">
        <v>1.5</v>
      </c>
      <c r="N490" s="160"/>
      <c r="O490" s="160"/>
      <c r="P490" s="160"/>
      <c r="Q490" s="160"/>
      <c r="R490" s="160"/>
      <c r="S490" s="160"/>
      <c r="T490" s="18"/>
      <c r="U490" s="18"/>
      <c r="V490" s="18"/>
      <c r="W490" s="20"/>
      <c r="X490" s="18"/>
      <c r="Y490" s="18"/>
      <c r="Z490" s="18"/>
      <c r="AA490" s="18"/>
    </row>
    <row r="491">
      <c r="A491" s="195" t="s">
        <v>119</v>
      </c>
      <c r="B491" s="318" t="s">
        <v>341</v>
      </c>
      <c r="C491" s="221" t="s">
        <v>1344</v>
      </c>
      <c r="D491" s="323" t="s">
        <v>1345</v>
      </c>
      <c r="E491" s="307" t="s">
        <v>53</v>
      </c>
      <c r="F491" s="233">
        <v>46162.0</v>
      </c>
      <c r="G491" s="233">
        <v>46162.0</v>
      </c>
      <c r="H491" s="223" t="s">
        <v>33</v>
      </c>
      <c r="I491" s="136" t="s">
        <v>39</v>
      </c>
      <c r="J491" s="301" t="s">
        <v>27</v>
      </c>
      <c r="K491" s="160"/>
      <c r="L491" s="301">
        <v>10.0</v>
      </c>
      <c r="M491" s="203">
        <v>10.0</v>
      </c>
      <c r="N491" s="160"/>
      <c r="O491" s="160"/>
      <c r="P491" s="160"/>
      <c r="Q491" s="160"/>
      <c r="R491" s="160"/>
      <c r="S491" s="160"/>
      <c r="T491" s="18"/>
      <c r="U491" s="18"/>
      <c r="V491" s="18"/>
      <c r="W491" s="20"/>
      <c r="X491" s="18"/>
      <c r="Y491" s="18"/>
      <c r="Z491" s="18"/>
      <c r="AA491" s="18"/>
    </row>
    <row r="492">
      <c r="A492" s="195" t="s">
        <v>119</v>
      </c>
      <c r="B492" s="318" t="s">
        <v>341</v>
      </c>
      <c r="C492" s="221" t="s">
        <v>1346</v>
      </c>
      <c r="D492" s="229" t="s">
        <v>1347</v>
      </c>
      <c r="E492" s="307" t="s">
        <v>53</v>
      </c>
      <c r="F492" s="233">
        <v>46164.0</v>
      </c>
      <c r="G492" s="233">
        <v>46164.0</v>
      </c>
      <c r="H492" s="223" t="s">
        <v>25</v>
      </c>
      <c r="I492" s="136" t="s">
        <v>161</v>
      </c>
      <c r="J492" s="301" t="s">
        <v>34</v>
      </c>
      <c r="K492" s="160"/>
      <c r="L492" s="301">
        <v>1.0</v>
      </c>
      <c r="M492" s="203">
        <v>1.0</v>
      </c>
      <c r="N492" s="160"/>
      <c r="O492" s="160"/>
      <c r="P492" s="160"/>
      <c r="Q492" s="160"/>
      <c r="R492" s="160"/>
      <c r="S492" s="160"/>
      <c r="T492" s="18"/>
      <c r="U492" s="18"/>
      <c r="V492" s="18"/>
      <c r="W492" s="20"/>
      <c r="X492" s="18"/>
      <c r="Y492" s="18"/>
      <c r="Z492" s="18"/>
      <c r="AA492" s="18"/>
    </row>
    <row r="493">
      <c r="A493" s="195" t="s">
        <v>64</v>
      </c>
      <c r="B493" s="229" t="s">
        <v>65</v>
      </c>
      <c r="C493" s="221" t="s">
        <v>1348</v>
      </c>
      <c r="D493" s="229" t="s">
        <v>1349</v>
      </c>
      <c r="E493" s="307" t="s">
        <v>53</v>
      </c>
      <c r="F493" s="233">
        <v>46164.0</v>
      </c>
      <c r="G493" s="233">
        <v>46164.0</v>
      </c>
      <c r="H493" s="223" t="s">
        <v>25</v>
      </c>
      <c r="I493" s="136" t="s">
        <v>161</v>
      </c>
      <c r="J493" s="301" t="s">
        <v>34</v>
      </c>
      <c r="K493" s="160"/>
      <c r="L493" s="301">
        <v>2.0</v>
      </c>
      <c r="M493" s="203">
        <v>2.0</v>
      </c>
      <c r="N493" s="160"/>
      <c r="O493" s="160"/>
      <c r="P493" s="160"/>
      <c r="Q493" s="160"/>
      <c r="R493" s="160"/>
      <c r="S493" s="160"/>
      <c r="T493" s="18"/>
      <c r="U493" s="18"/>
      <c r="V493" s="18"/>
      <c r="W493" s="20"/>
      <c r="X493" s="18"/>
      <c r="Y493" s="18"/>
      <c r="Z493" s="18"/>
      <c r="AA493" s="18"/>
    </row>
    <row r="494">
      <c r="A494" s="195" t="s">
        <v>64</v>
      </c>
      <c r="B494" s="236" t="s">
        <v>78</v>
      </c>
      <c r="C494" s="221" t="s">
        <v>1350</v>
      </c>
      <c r="D494" s="229" t="s">
        <v>1351</v>
      </c>
      <c r="E494" s="307" t="s">
        <v>53</v>
      </c>
      <c r="F494" s="233">
        <v>46164.0</v>
      </c>
      <c r="G494" s="233">
        <v>46164.0</v>
      </c>
      <c r="H494" s="223" t="s">
        <v>25</v>
      </c>
      <c r="I494" s="136" t="s">
        <v>161</v>
      </c>
      <c r="J494" s="301" t="s">
        <v>55</v>
      </c>
      <c r="K494" s="160"/>
      <c r="L494" s="301">
        <v>2.0</v>
      </c>
      <c r="M494" s="203">
        <v>1.5</v>
      </c>
      <c r="N494" s="160"/>
      <c r="O494" s="160"/>
      <c r="P494" s="160"/>
      <c r="Q494" s="160"/>
      <c r="R494" s="160"/>
      <c r="S494" s="160"/>
      <c r="T494" s="18"/>
      <c r="U494" s="18"/>
      <c r="V494" s="20"/>
      <c r="W494" s="20"/>
      <c r="X494" s="20"/>
      <c r="Y494" s="18"/>
      <c r="Z494" s="18"/>
      <c r="AA494" s="18"/>
    </row>
    <row r="495">
      <c r="A495" s="195" t="s">
        <v>64</v>
      </c>
      <c r="B495" s="236" t="s">
        <v>78</v>
      </c>
      <c r="C495" s="221" t="s">
        <v>1352</v>
      </c>
      <c r="D495" s="229" t="s">
        <v>1353</v>
      </c>
      <c r="E495" s="307" t="s">
        <v>53</v>
      </c>
      <c r="F495" s="233">
        <v>46164.0</v>
      </c>
      <c r="G495" s="233">
        <v>46164.0</v>
      </c>
      <c r="H495" s="223" t="s">
        <v>25</v>
      </c>
      <c r="I495" s="136" t="s">
        <v>161</v>
      </c>
      <c r="J495" s="301" t="s">
        <v>55</v>
      </c>
      <c r="K495" s="160"/>
      <c r="L495" s="301">
        <v>2.0</v>
      </c>
      <c r="M495" s="203">
        <v>2.0</v>
      </c>
      <c r="N495" s="160"/>
      <c r="O495" s="160"/>
      <c r="P495" s="160"/>
      <c r="Q495" s="160"/>
      <c r="R495" s="160"/>
      <c r="S495" s="160"/>
      <c r="T495" s="18"/>
      <c r="U495" s="18"/>
      <c r="V495" s="20"/>
      <c r="W495" s="20"/>
      <c r="X495" s="20"/>
      <c r="Y495" s="18"/>
      <c r="Z495" s="18"/>
      <c r="AA495" s="18"/>
    </row>
    <row r="496">
      <c r="A496" s="324" t="s">
        <v>64</v>
      </c>
      <c r="B496" s="325" t="s">
        <v>78</v>
      </c>
      <c r="C496" s="326" t="s">
        <v>1354</v>
      </c>
      <c r="D496" s="302" t="s">
        <v>1355</v>
      </c>
      <c r="E496" s="327" t="s">
        <v>53</v>
      </c>
      <c r="F496" s="179">
        <v>46164.0</v>
      </c>
      <c r="G496" s="179">
        <v>46164.0</v>
      </c>
      <c r="H496" s="328" t="s">
        <v>25</v>
      </c>
      <c r="I496" s="135" t="s">
        <v>161</v>
      </c>
      <c r="J496" s="178" t="s">
        <v>55</v>
      </c>
      <c r="K496" s="311"/>
      <c r="L496" s="329">
        <v>2.0</v>
      </c>
      <c r="M496" s="45">
        <v>2.5</v>
      </c>
      <c r="N496" s="160"/>
      <c r="O496" s="156" t="s">
        <v>1356</v>
      </c>
      <c r="P496" s="160"/>
      <c r="Q496" s="160"/>
      <c r="R496" s="160"/>
      <c r="S496" s="160"/>
      <c r="T496" s="18"/>
      <c r="U496" s="18"/>
      <c r="V496" s="20"/>
      <c r="W496" s="20"/>
      <c r="X496" s="20"/>
      <c r="Y496" s="18"/>
      <c r="Z496" s="18"/>
      <c r="AA496" s="18"/>
    </row>
    <row r="497">
      <c r="A497" s="195" t="s">
        <v>64</v>
      </c>
      <c r="B497" s="236" t="s">
        <v>1357</v>
      </c>
      <c r="C497" s="221"/>
      <c r="D497" s="229" t="s">
        <v>1358</v>
      </c>
      <c r="E497" s="307" t="s">
        <v>53</v>
      </c>
      <c r="F497" s="233">
        <v>46162.0</v>
      </c>
      <c r="G497" s="233">
        <v>46162.0</v>
      </c>
      <c r="H497" s="223" t="s">
        <v>115</v>
      </c>
      <c r="I497" s="136" t="s">
        <v>161</v>
      </c>
      <c r="J497" s="301" t="s">
        <v>34</v>
      </c>
      <c r="K497" s="160"/>
      <c r="L497" s="301">
        <v>0.5</v>
      </c>
      <c r="M497" s="301">
        <v>0.5</v>
      </c>
      <c r="N497" s="160"/>
      <c r="O497" s="160"/>
      <c r="P497" s="160"/>
      <c r="Q497" s="160"/>
      <c r="R497" s="160"/>
      <c r="S497" s="160"/>
      <c r="T497" s="18"/>
      <c r="U497" s="18"/>
      <c r="V497" s="18"/>
      <c r="W497" s="18"/>
      <c r="X497" s="18"/>
      <c r="Y497" s="18"/>
      <c r="Z497" s="18"/>
      <c r="AA497" s="18"/>
    </row>
    <row r="498">
      <c r="A498" s="195" t="s">
        <v>64</v>
      </c>
      <c r="B498" s="236" t="s">
        <v>1359</v>
      </c>
      <c r="C498" s="221"/>
      <c r="D498" s="229" t="s">
        <v>1360</v>
      </c>
      <c r="E498" s="307" t="s">
        <v>53</v>
      </c>
      <c r="F498" s="233">
        <v>46163.0</v>
      </c>
      <c r="G498" s="233">
        <v>46163.0</v>
      </c>
      <c r="H498" s="223" t="s">
        <v>115</v>
      </c>
      <c r="I498" s="136" t="s">
        <v>161</v>
      </c>
      <c r="J498" s="301" t="s">
        <v>34</v>
      </c>
      <c r="K498" s="160"/>
      <c r="L498" s="301">
        <v>0.5</v>
      </c>
      <c r="M498" s="301">
        <v>0.5</v>
      </c>
      <c r="N498" s="160"/>
      <c r="O498" s="160"/>
      <c r="P498" s="160"/>
      <c r="Q498" s="160"/>
      <c r="R498" s="160"/>
      <c r="S498" s="160"/>
      <c r="T498" s="18"/>
      <c r="U498" s="18"/>
      <c r="V498" s="18"/>
      <c r="W498" s="18"/>
      <c r="X498" s="18"/>
      <c r="Y498" s="18"/>
      <c r="Z498" s="18"/>
      <c r="AA498" s="18"/>
    </row>
    <row r="499">
      <c r="A499" s="195" t="s">
        <v>166</v>
      </c>
      <c r="B499" s="224" t="s">
        <v>729</v>
      </c>
      <c r="C499" s="262" t="s">
        <v>1361</v>
      </c>
      <c r="D499" s="262" t="s">
        <v>524</v>
      </c>
      <c r="E499" s="136" t="s">
        <v>53</v>
      </c>
      <c r="F499" s="233">
        <v>46167.0</v>
      </c>
      <c r="G499" s="233">
        <v>46167.0</v>
      </c>
      <c r="H499" s="203" t="s">
        <v>25</v>
      </c>
      <c r="I499" s="136" t="s">
        <v>161</v>
      </c>
      <c r="J499" s="136" t="s">
        <v>34</v>
      </c>
      <c r="K499" s="160"/>
      <c r="L499" s="301">
        <v>1.0</v>
      </c>
      <c r="M499" s="203">
        <v>1.0</v>
      </c>
      <c r="N499" s="160"/>
      <c r="O499" s="156" t="s">
        <v>827</v>
      </c>
      <c r="P499" s="160"/>
      <c r="Q499" s="160"/>
      <c r="R499" s="160"/>
      <c r="S499" s="160"/>
      <c r="T499" s="18"/>
      <c r="U499" s="18"/>
      <c r="V499" s="18"/>
      <c r="W499" s="18"/>
      <c r="X499" s="18"/>
      <c r="Y499" s="18"/>
      <c r="Z499" s="18"/>
      <c r="AA499" s="18"/>
    </row>
    <row r="500">
      <c r="A500" s="195" t="s">
        <v>166</v>
      </c>
      <c r="B500" s="224" t="s">
        <v>729</v>
      </c>
      <c r="C500" s="262" t="s">
        <v>1362</v>
      </c>
      <c r="D500" s="229" t="s">
        <v>1363</v>
      </c>
      <c r="E500" s="136" t="s">
        <v>53</v>
      </c>
      <c r="F500" s="233">
        <v>46167.0</v>
      </c>
      <c r="G500" s="233">
        <v>46167.0</v>
      </c>
      <c r="H500" s="203" t="s">
        <v>25</v>
      </c>
      <c r="I500" s="136" t="s">
        <v>161</v>
      </c>
      <c r="J500" s="136" t="s">
        <v>34</v>
      </c>
      <c r="K500" s="160"/>
      <c r="L500" s="301">
        <v>1.0</v>
      </c>
      <c r="M500" s="203">
        <v>1.0</v>
      </c>
      <c r="N500" s="160"/>
      <c r="O500" s="160"/>
      <c r="P500" s="160"/>
      <c r="Q500" s="160"/>
      <c r="R500" s="160"/>
      <c r="S500" s="160"/>
      <c r="T500" s="18"/>
      <c r="U500" s="18"/>
      <c r="V500" s="18"/>
      <c r="W500" s="18"/>
      <c r="X500" s="18"/>
      <c r="Y500" s="18"/>
      <c r="Z500" s="18"/>
      <c r="AA500" s="18"/>
    </row>
    <row r="501">
      <c r="A501" s="195" t="s">
        <v>64</v>
      </c>
      <c r="B501" s="318" t="s">
        <v>351</v>
      </c>
      <c r="C501" s="262" t="s">
        <v>1364</v>
      </c>
      <c r="D501" s="229" t="s">
        <v>1365</v>
      </c>
      <c r="E501" s="132" t="s">
        <v>53</v>
      </c>
      <c r="F501" s="179">
        <v>46167.0</v>
      </c>
      <c r="G501" s="179">
        <v>46167.0</v>
      </c>
      <c r="H501" s="133" t="s">
        <v>25</v>
      </c>
      <c r="I501" s="132" t="s">
        <v>161</v>
      </c>
      <c r="J501" s="135" t="s">
        <v>27</v>
      </c>
      <c r="K501" s="311"/>
      <c r="L501" s="330">
        <v>1.0</v>
      </c>
      <c r="M501" s="71">
        <v>1.0</v>
      </c>
      <c r="N501" s="160"/>
      <c r="O501" s="160"/>
      <c r="P501" s="160"/>
      <c r="Q501" s="160"/>
      <c r="R501" s="160"/>
      <c r="S501" s="160"/>
      <c r="T501" s="18"/>
      <c r="U501" s="18"/>
      <c r="V501" s="18"/>
      <c r="W501" s="20"/>
      <c r="X501" s="18"/>
      <c r="Y501" s="18"/>
      <c r="Z501" s="18"/>
      <c r="AA501" s="18"/>
    </row>
    <row r="502">
      <c r="A502" s="195" t="s">
        <v>64</v>
      </c>
      <c r="B502" s="236" t="s">
        <v>78</v>
      </c>
      <c r="C502" s="262" t="s">
        <v>1366</v>
      </c>
      <c r="D502" s="229" t="s">
        <v>1367</v>
      </c>
      <c r="E502" s="132" t="s">
        <v>53</v>
      </c>
      <c r="F502" s="179">
        <v>46167.0</v>
      </c>
      <c r="G502" s="179">
        <v>46167.0</v>
      </c>
      <c r="H502" s="133" t="s">
        <v>25</v>
      </c>
      <c r="I502" s="135" t="s">
        <v>161</v>
      </c>
      <c r="J502" s="135" t="s">
        <v>27</v>
      </c>
      <c r="K502" s="311"/>
      <c r="L502" s="330">
        <v>1.0</v>
      </c>
      <c r="M502" s="71">
        <v>1.0</v>
      </c>
      <c r="N502" s="160"/>
      <c r="O502" s="160"/>
      <c r="P502" s="160"/>
      <c r="Q502" s="160"/>
      <c r="R502" s="160"/>
      <c r="S502" s="160"/>
      <c r="T502" s="18"/>
      <c r="U502" s="18"/>
      <c r="V502" s="20"/>
      <c r="W502" s="20"/>
      <c r="X502" s="20"/>
      <c r="Y502" s="18"/>
      <c r="Z502" s="18"/>
      <c r="AA502" s="18"/>
    </row>
    <row r="503">
      <c r="A503" s="195" t="s">
        <v>64</v>
      </c>
      <c r="B503" s="236" t="s">
        <v>78</v>
      </c>
      <c r="C503" s="262" t="s">
        <v>1368</v>
      </c>
      <c r="D503" s="229" t="s">
        <v>1369</v>
      </c>
      <c r="E503" s="132" t="s">
        <v>53</v>
      </c>
      <c r="F503" s="179">
        <v>46167.0</v>
      </c>
      <c r="G503" s="179">
        <v>46167.0</v>
      </c>
      <c r="H503" s="133" t="s">
        <v>25</v>
      </c>
      <c r="I503" s="135" t="s">
        <v>161</v>
      </c>
      <c r="J503" s="135" t="s">
        <v>27</v>
      </c>
      <c r="K503" s="311"/>
      <c r="L503" s="330">
        <v>1.0</v>
      </c>
      <c r="M503" s="45">
        <v>1.0</v>
      </c>
      <c r="N503" s="160"/>
      <c r="O503" s="160"/>
      <c r="P503" s="160"/>
      <c r="Q503" s="160"/>
      <c r="R503" s="160"/>
      <c r="S503" s="160"/>
      <c r="T503" s="18"/>
      <c r="U503" s="18"/>
      <c r="V503" s="20"/>
      <c r="W503" s="20"/>
      <c r="X503" s="20"/>
      <c r="Y503" s="18"/>
      <c r="Z503" s="18"/>
      <c r="AA503" s="18"/>
    </row>
    <row r="504">
      <c r="A504" s="195" t="s">
        <v>64</v>
      </c>
      <c r="B504" s="236" t="s">
        <v>351</v>
      </c>
      <c r="C504" s="262" t="s">
        <v>1370</v>
      </c>
      <c r="D504" s="229" t="s">
        <v>1371</v>
      </c>
      <c r="E504" s="132" t="s">
        <v>53</v>
      </c>
      <c r="F504" s="179">
        <v>46167.0</v>
      </c>
      <c r="G504" s="179">
        <v>46167.0</v>
      </c>
      <c r="H504" s="133" t="s">
        <v>25</v>
      </c>
      <c r="I504" s="135" t="s">
        <v>161</v>
      </c>
      <c r="J504" s="135" t="s">
        <v>27</v>
      </c>
      <c r="K504" s="311"/>
      <c r="L504" s="312">
        <v>4.0</v>
      </c>
      <c r="M504" s="45">
        <v>3.0</v>
      </c>
      <c r="N504" s="160"/>
      <c r="O504" s="160"/>
      <c r="P504" s="160"/>
      <c r="Q504" s="160"/>
      <c r="R504" s="160"/>
      <c r="S504" s="160"/>
      <c r="T504" s="18"/>
      <c r="U504" s="18"/>
      <c r="V504" s="18"/>
      <c r="W504" s="20"/>
      <c r="X504" s="18"/>
      <c r="Y504" s="18"/>
      <c r="Z504" s="18"/>
      <c r="AA504" s="18"/>
    </row>
    <row r="505">
      <c r="A505" s="195" t="s">
        <v>64</v>
      </c>
      <c r="B505" s="236" t="s">
        <v>78</v>
      </c>
      <c r="C505" s="262" t="s">
        <v>1372</v>
      </c>
      <c r="D505" s="229" t="s">
        <v>1373</v>
      </c>
      <c r="E505" s="132" t="s">
        <v>53</v>
      </c>
      <c r="F505" s="179">
        <v>46167.0</v>
      </c>
      <c r="G505" s="179">
        <v>46167.0</v>
      </c>
      <c r="H505" s="133" t="s">
        <v>25</v>
      </c>
      <c r="I505" s="135" t="s">
        <v>161</v>
      </c>
      <c r="J505" s="135" t="s">
        <v>27</v>
      </c>
      <c r="K505" s="311"/>
      <c r="L505" s="312">
        <v>2.0</v>
      </c>
      <c r="M505" s="45">
        <v>1.0</v>
      </c>
      <c r="N505" s="160"/>
      <c r="O505" s="160"/>
      <c r="P505" s="160"/>
      <c r="Q505" s="160"/>
      <c r="R505" s="160"/>
      <c r="S505" s="160"/>
      <c r="T505" s="18"/>
      <c r="U505" s="18"/>
      <c r="V505" s="20"/>
      <c r="W505" s="20"/>
      <c r="X505" s="20"/>
      <c r="Y505" s="18"/>
      <c r="Z505" s="18"/>
      <c r="AA505" s="18"/>
    </row>
    <row r="506">
      <c r="A506" s="195" t="s">
        <v>64</v>
      </c>
      <c r="B506" s="236" t="s">
        <v>78</v>
      </c>
      <c r="C506" s="262" t="s">
        <v>1374</v>
      </c>
      <c r="D506" s="229" t="s">
        <v>1375</v>
      </c>
      <c r="E506" s="132" t="s">
        <v>53</v>
      </c>
      <c r="F506" s="179">
        <v>46167.0</v>
      </c>
      <c r="G506" s="331">
        <v>46168.0</v>
      </c>
      <c r="H506" s="203" t="s">
        <v>79</v>
      </c>
      <c r="I506" s="135" t="s">
        <v>161</v>
      </c>
      <c r="J506" s="135" t="s">
        <v>80</v>
      </c>
      <c r="K506" s="311"/>
      <c r="L506" s="312">
        <v>25.0</v>
      </c>
      <c r="M506" s="45">
        <v>20.5</v>
      </c>
      <c r="N506" s="160"/>
      <c r="O506" s="160"/>
      <c r="P506" s="160"/>
      <c r="Q506" s="160"/>
      <c r="R506" s="160"/>
      <c r="S506" s="160"/>
      <c r="T506" s="18"/>
      <c r="U506" s="18"/>
      <c r="V506" s="20"/>
      <c r="W506" s="20"/>
      <c r="X506" s="20"/>
      <c r="Y506" s="18"/>
      <c r="Z506" s="18"/>
      <c r="AA506" s="18"/>
    </row>
    <row r="507">
      <c r="A507" s="195" t="s">
        <v>64</v>
      </c>
      <c r="B507" s="236" t="s">
        <v>72</v>
      </c>
      <c r="C507" s="262" t="s">
        <v>1376</v>
      </c>
      <c r="D507" s="229" t="s">
        <v>1377</v>
      </c>
      <c r="E507" s="132" t="s">
        <v>53</v>
      </c>
      <c r="F507" s="331">
        <v>46168.0</v>
      </c>
      <c r="G507" s="331">
        <v>46168.0</v>
      </c>
      <c r="H507" s="157" t="s">
        <v>33</v>
      </c>
      <c r="I507" s="135" t="s">
        <v>161</v>
      </c>
      <c r="J507" s="136" t="s">
        <v>34</v>
      </c>
      <c r="K507" s="160"/>
      <c r="L507" s="301">
        <v>2.0</v>
      </c>
      <c r="M507" s="203">
        <v>2.0</v>
      </c>
      <c r="N507" s="160"/>
      <c r="O507" s="160"/>
      <c r="P507" s="160"/>
      <c r="Q507" s="160"/>
      <c r="R507" s="160"/>
      <c r="S507" s="160"/>
      <c r="T507" s="18"/>
      <c r="U507" s="18"/>
      <c r="V507" s="18"/>
      <c r="W507" s="20"/>
      <c r="X507" s="18"/>
      <c r="Y507" s="18"/>
      <c r="Z507" s="18"/>
      <c r="AA507" s="18"/>
    </row>
    <row r="508">
      <c r="A508" s="195" t="s">
        <v>64</v>
      </c>
      <c r="B508" s="236" t="s">
        <v>72</v>
      </c>
      <c r="C508" s="142"/>
      <c r="D508" s="320" t="s">
        <v>1378</v>
      </c>
      <c r="E508" s="332" t="s">
        <v>53</v>
      </c>
      <c r="F508" s="134">
        <v>46162.0</v>
      </c>
      <c r="G508" s="134">
        <v>46162.0</v>
      </c>
      <c r="H508" s="145" t="s">
        <v>115</v>
      </c>
      <c r="I508" s="135" t="s">
        <v>161</v>
      </c>
      <c r="J508" s="135" t="s">
        <v>55</v>
      </c>
      <c r="K508" s="18"/>
      <c r="L508" s="145">
        <v>3.0</v>
      </c>
      <c r="M508" s="145">
        <v>3.0</v>
      </c>
      <c r="N508" s="142"/>
      <c r="O508" s="209"/>
      <c r="P508" s="18"/>
      <c r="Q508" s="142"/>
      <c r="R508" s="142"/>
      <c r="S508" s="142"/>
      <c r="T508" s="209"/>
      <c r="U508" s="209"/>
      <c r="V508" s="291"/>
      <c r="W508" s="291"/>
      <c r="X508" s="291"/>
      <c r="Y508" s="18"/>
      <c r="Z508" s="18"/>
      <c r="AA508" s="18"/>
    </row>
    <row r="509">
      <c r="A509" s="195" t="s">
        <v>64</v>
      </c>
      <c r="B509" s="236" t="s">
        <v>72</v>
      </c>
      <c r="C509" s="142"/>
      <c r="D509" s="157" t="s">
        <v>1379</v>
      </c>
      <c r="E509" s="332" t="s">
        <v>53</v>
      </c>
      <c r="F509" s="134">
        <v>46164.0</v>
      </c>
      <c r="G509" s="134">
        <v>46167.0</v>
      </c>
      <c r="H509" s="145" t="s">
        <v>115</v>
      </c>
      <c r="I509" s="135" t="s">
        <v>161</v>
      </c>
      <c r="J509" s="135" t="s">
        <v>55</v>
      </c>
      <c r="K509" s="160"/>
      <c r="L509" s="301">
        <v>6.0</v>
      </c>
      <c r="M509" s="203">
        <v>6.0</v>
      </c>
      <c r="N509" s="160"/>
      <c r="O509" s="160"/>
      <c r="P509" s="160"/>
      <c r="Q509" s="160"/>
      <c r="R509" s="160"/>
      <c r="S509" s="160"/>
      <c r="T509" s="18"/>
      <c r="U509" s="18"/>
      <c r="V509" s="20"/>
      <c r="W509" s="20"/>
      <c r="X509" s="20"/>
      <c r="Y509" s="18"/>
      <c r="Z509" s="18"/>
      <c r="AA509" s="18"/>
    </row>
    <row r="510">
      <c r="A510" s="195" t="s">
        <v>64</v>
      </c>
      <c r="B510" s="236" t="s">
        <v>72</v>
      </c>
      <c r="C510" s="142"/>
      <c r="D510" s="157" t="s">
        <v>1380</v>
      </c>
      <c r="E510" s="332" t="s">
        <v>53</v>
      </c>
      <c r="F510" s="134">
        <v>46164.0</v>
      </c>
      <c r="G510" s="134">
        <v>46167.0</v>
      </c>
      <c r="H510" s="145" t="s">
        <v>115</v>
      </c>
      <c r="I510" s="135" t="s">
        <v>161</v>
      </c>
      <c r="J510" s="135" t="s">
        <v>55</v>
      </c>
      <c r="K510" s="160"/>
      <c r="L510" s="301">
        <v>6.0</v>
      </c>
      <c r="M510" s="203">
        <v>6.0</v>
      </c>
      <c r="N510" s="160"/>
      <c r="O510" s="160"/>
      <c r="P510" s="160"/>
      <c r="Q510" s="160"/>
      <c r="R510" s="160"/>
      <c r="S510" s="160"/>
      <c r="T510" s="18"/>
      <c r="U510" s="18"/>
      <c r="V510" s="20"/>
      <c r="W510" s="20"/>
      <c r="X510" s="20"/>
      <c r="Y510" s="18"/>
      <c r="Z510" s="18"/>
      <c r="AA510" s="18"/>
    </row>
    <row r="511">
      <c r="A511" s="195" t="s">
        <v>64</v>
      </c>
      <c r="B511" s="236" t="s">
        <v>72</v>
      </c>
      <c r="C511" s="236" t="s">
        <v>72</v>
      </c>
      <c r="D511" s="229" t="s">
        <v>1381</v>
      </c>
      <c r="E511" s="332" t="s">
        <v>53</v>
      </c>
      <c r="F511" s="134">
        <v>46168.0</v>
      </c>
      <c r="G511" s="134">
        <v>46168.0</v>
      </c>
      <c r="H511" s="145" t="s">
        <v>115</v>
      </c>
      <c r="I511" s="135" t="s">
        <v>161</v>
      </c>
      <c r="J511" s="135" t="s">
        <v>55</v>
      </c>
      <c r="K511" s="160"/>
      <c r="L511" s="301">
        <v>5.0</v>
      </c>
      <c r="M511" s="203">
        <v>0.0</v>
      </c>
      <c r="N511" s="160"/>
      <c r="O511" s="160"/>
      <c r="P511" s="160"/>
      <c r="Q511" s="160"/>
      <c r="R511" s="160"/>
      <c r="S511" s="160"/>
      <c r="T511" s="18"/>
      <c r="U511" s="18"/>
      <c r="V511" s="20"/>
      <c r="W511" s="20"/>
      <c r="X511" s="20"/>
      <c r="Y511" s="18"/>
      <c r="Z511" s="18"/>
      <c r="AA511" s="18"/>
    </row>
    <row r="512">
      <c r="A512" s="195" t="s">
        <v>64</v>
      </c>
      <c r="B512" s="236" t="s">
        <v>72</v>
      </c>
      <c r="C512" s="142"/>
      <c r="D512" s="229" t="s">
        <v>1382</v>
      </c>
      <c r="E512" s="332" t="s">
        <v>53</v>
      </c>
      <c r="F512" s="134">
        <v>46167.0</v>
      </c>
      <c r="G512" s="134">
        <v>46168.0</v>
      </c>
      <c r="H512" s="145" t="s">
        <v>115</v>
      </c>
      <c r="I512" s="135" t="s">
        <v>39</v>
      </c>
      <c r="J512" s="135" t="s">
        <v>55</v>
      </c>
      <c r="K512" s="160"/>
      <c r="L512" s="301">
        <v>4.0</v>
      </c>
      <c r="M512" s="203">
        <v>0.0</v>
      </c>
      <c r="N512" s="160"/>
      <c r="O512" s="160"/>
      <c r="P512" s="160"/>
      <c r="Q512" s="160"/>
      <c r="R512" s="160"/>
      <c r="S512" s="160"/>
      <c r="T512" s="18"/>
      <c r="U512" s="18"/>
      <c r="V512" s="20"/>
      <c r="W512" s="20"/>
      <c r="X512" s="20"/>
      <c r="Y512" s="18"/>
      <c r="Z512" s="18"/>
      <c r="AA512" s="18"/>
    </row>
    <row r="513">
      <c r="A513" s="195" t="s">
        <v>166</v>
      </c>
      <c r="B513" s="224" t="s">
        <v>729</v>
      </c>
      <c r="C513" s="262" t="s">
        <v>1383</v>
      </c>
      <c r="D513" s="262" t="s">
        <v>524</v>
      </c>
      <c r="E513" s="132" t="s">
        <v>53</v>
      </c>
      <c r="F513" s="331">
        <v>46168.0</v>
      </c>
      <c r="G513" s="331">
        <v>46168.0</v>
      </c>
      <c r="H513" s="133" t="s">
        <v>25</v>
      </c>
      <c r="I513" s="135" t="s">
        <v>161</v>
      </c>
      <c r="J513" s="135" t="s">
        <v>34</v>
      </c>
      <c r="K513" s="311"/>
      <c r="L513" s="312">
        <v>1.0</v>
      </c>
      <c r="M513" s="45">
        <v>1.0</v>
      </c>
      <c r="N513" s="160"/>
      <c r="O513" s="160"/>
      <c r="P513" s="160"/>
      <c r="Q513" s="160"/>
      <c r="R513" s="160"/>
      <c r="S513" s="160"/>
      <c r="T513" s="18"/>
      <c r="U513" s="18"/>
      <c r="V513" s="18"/>
      <c r="W513" s="18"/>
      <c r="X513" s="18"/>
      <c r="Y513" s="18"/>
      <c r="Z513" s="18"/>
      <c r="AA513" s="18"/>
    </row>
    <row r="514">
      <c r="A514" s="195" t="s">
        <v>64</v>
      </c>
      <c r="B514" s="236" t="s">
        <v>78</v>
      </c>
      <c r="C514" s="262" t="s">
        <v>1376</v>
      </c>
      <c r="D514" s="229" t="s">
        <v>1384</v>
      </c>
      <c r="E514" s="132" t="s">
        <v>53</v>
      </c>
      <c r="F514" s="331">
        <v>46168.0</v>
      </c>
      <c r="G514" s="331">
        <v>46168.0</v>
      </c>
      <c r="H514" s="133" t="s">
        <v>25</v>
      </c>
      <c r="I514" s="135" t="s">
        <v>161</v>
      </c>
      <c r="J514" s="135" t="s">
        <v>55</v>
      </c>
      <c r="K514" s="311"/>
      <c r="L514" s="312">
        <v>5.0</v>
      </c>
      <c r="M514" s="45">
        <v>7.5</v>
      </c>
      <c r="N514" s="160"/>
      <c r="O514" s="160"/>
      <c r="P514" s="160"/>
      <c r="Q514" s="304" t="s">
        <v>1385</v>
      </c>
      <c r="R514" s="160"/>
      <c r="S514" s="160"/>
      <c r="T514" s="18"/>
      <c r="U514" s="18"/>
      <c r="V514" s="20"/>
      <c r="W514" s="20"/>
      <c r="X514" s="20"/>
      <c r="Y514" s="18"/>
      <c r="Z514" s="18"/>
      <c r="AA514" s="18"/>
    </row>
    <row r="515">
      <c r="A515" s="195" t="s">
        <v>64</v>
      </c>
      <c r="B515" s="293" t="s">
        <v>333</v>
      </c>
      <c r="C515" s="262" t="s">
        <v>1376</v>
      </c>
      <c r="D515" s="229" t="s">
        <v>1386</v>
      </c>
      <c r="E515" s="132" t="s">
        <v>53</v>
      </c>
      <c r="F515" s="331">
        <v>46168.0</v>
      </c>
      <c r="G515" s="331">
        <v>46168.0</v>
      </c>
      <c r="H515" s="133" t="s">
        <v>25</v>
      </c>
      <c r="I515" s="135" t="s">
        <v>161</v>
      </c>
      <c r="J515" s="135" t="s">
        <v>34</v>
      </c>
      <c r="K515" s="311"/>
      <c r="L515" s="312">
        <v>0.5</v>
      </c>
      <c r="M515" s="312">
        <v>0.5</v>
      </c>
      <c r="N515" s="160"/>
      <c r="O515" s="160"/>
      <c r="P515" s="160"/>
      <c r="Q515" s="160"/>
      <c r="R515" s="160"/>
      <c r="S515" s="160"/>
      <c r="T515" s="18"/>
      <c r="U515" s="18"/>
      <c r="V515" s="18"/>
      <c r="W515" s="20"/>
      <c r="X515" s="18"/>
      <c r="Y515" s="18"/>
      <c r="Z515" s="18"/>
      <c r="AA515" s="18"/>
    </row>
    <row r="516">
      <c r="A516" s="195" t="s">
        <v>166</v>
      </c>
      <c r="B516" s="224" t="s">
        <v>729</v>
      </c>
      <c r="C516" s="262" t="s">
        <v>1387</v>
      </c>
      <c r="D516" s="262" t="s">
        <v>524</v>
      </c>
      <c r="E516" s="132" t="s">
        <v>53</v>
      </c>
      <c r="F516" s="331">
        <v>46169.0</v>
      </c>
      <c r="G516" s="331">
        <v>46169.0</v>
      </c>
      <c r="H516" s="133" t="s">
        <v>25</v>
      </c>
      <c r="I516" s="135" t="s">
        <v>161</v>
      </c>
      <c r="J516" s="135" t="s">
        <v>34</v>
      </c>
      <c r="K516" s="311"/>
      <c r="L516" s="312">
        <v>1.0</v>
      </c>
      <c r="M516" s="45">
        <v>1.0</v>
      </c>
      <c r="N516" s="160"/>
      <c r="O516" s="160"/>
      <c r="P516" s="160"/>
      <c r="Q516" s="160"/>
      <c r="R516" s="160"/>
      <c r="S516" s="160"/>
      <c r="T516" s="18"/>
      <c r="U516" s="18"/>
      <c r="V516" s="18"/>
      <c r="W516" s="18"/>
      <c r="X516" s="18"/>
      <c r="Y516" s="18"/>
      <c r="Z516" s="18"/>
      <c r="AA516" s="18"/>
    </row>
    <row r="517">
      <c r="A517" s="195" t="s">
        <v>22</v>
      </c>
      <c r="B517" s="317"/>
      <c r="C517" s="262" t="s">
        <v>1388</v>
      </c>
      <c r="D517" s="229" t="s">
        <v>1389</v>
      </c>
      <c r="E517" s="132" t="s">
        <v>53</v>
      </c>
      <c r="F517" s="331">
        <v>46169.0</v>
      </c>
      <c r="G517" s="331">
        <v>46169.0</v>
      </c>
      <c r="H517" s="133" t="s">
        <v>25</v>
      </c>
      <c r="I517" s="135" t="s">
        <v>161</v>
      </c>
      <c r="J517" s="135" t="s">
        <v>34</v>
      </c>
      <c r="K517" s="311"/>
      <c r="L517" s="312">
        <v>1.0</v>
      </c>
      <c r="M517" s="45">
        <v>1.0</v>
      </c>
      <c r="N517" s="160"/>
      <c r="O517" s="160"/>
      <c r="P517" s="160"/>
      <c r="Q517" s="160"/>
      <c r="R517" s="160"/>
      <c r="S517" s="160"/>
      <c r="T517" s="18"/>
      <c r="U517" s="18"/>
      <c r="V517" s="18"/>
      <c r="W517" s="18"/>
      <c r="X517" s="18"/>
      <c r="Y517" s="18"/>
      <c r="Z517" s="18"/>
      <c r="AA517" s="18"/>
    </row>
    <row r="518">
      <c r="A518" s="195" t="s">
        <v>166</v>
      </c>
      <c r="B518" s="224" t="s">
        <v>729</v>
      </c>
      <c r="C518" s="262" t="s">
        <v>1390</v>
      </c>
      <c r="D518" s="229" t="s">
        <v>1391</v>
      </c>
      <c r="E518" s="132" t="s">
        <v>53</v>
      </c>
      <c r="F518" s="331">
        <v>46169.0</v>
      </c>
      <c r="G518" s="331">
        <v>46169.0</v>
      </c>
      <c r="H518" s="133" t="s">
        <v>25</v>
      </c>
      <c r="I518" s="135" t="s">
        <v>161</v>
      </c>
      <c r="J518" s="135" t="s">
        <v>55</v>
      </c>
      <c r="K518" s="311"/>
      <c r="L518" s="312">
        <v>1.0</v>
      </c>
      <c r="M518" s="45">
        <v>1.0</v>
      </c>
      <c r="N518" s="160"/>
      <c r="O518" s="160"/>
      <c r="P518" s="160"/>
      <c r="Q518" s="160"/>
      <c r="R518" s="160"/>
      <c r="S518" s="160"/>
      <c r="T518" s="18"/>
      <c r="U518" s="18"/>
      <c r="V518" s="18"/>
      <c r="W518" s="18"/>
      <c r="X518" s="18"/>
      <c r="Y518" s="18"/>
      <c r="Z518" s="18"/>
      <c r="AA518" s="18"/>
    </row>
    <row r="519">
      <c r="A519" s="195" t="s">
        <v>140</v>
      </c>
      <c r="B519" s="317"/>
      <c r="C519" s="262" t="s">
        <v>1392</v>
      </c>
      <c r="D519" s="229" t="s">
        <v>1393</v>
      </c>
      <c r="E519" s="132" t="s">
        <v>53</v>
      </c>
      <c r="F519" s="331">
        <v>46169.0</v>
      </c>
      <c r="G519" s="331">
        <v>46169.0</v>
      </c>
      <c r="H519" s="133" t="s">
        <v>25</v>
      </c>
      <c r="I519" s="135" t="s">
        <v>161</v>
      </c>
      <c r="J519" s="135" t="s">
        <v>55</v>
      </c>
      <c r="K519" s="311"/>
      <c r="L519" s="312">
        <v>3.0</v>
      </c>
      <c r="M519" s="45">
        <v>2.5</v>
      </c>
      <c r="N519" s="160"/>
      <c r="O519" s="160"/>
      <c r="P519" s="160"/>
      <c r="Q519" s="160"/>
      <c r="R519" s="160"/>
      <c r="S519" s="160"/>
      <c r="T519" s="18"/>
      <c r="U519" s="18"/>
      <c r="V519" s="18"/>
      <c r="W519" s="18"/>
      <c r="X519" s="18"/>
      <c r="Y519" s="18"/>
      <c r="Z519" s="18"/>
      <c r="AA519" s="18"/>
    </row>
    <row r="520">
      <c r="A520" s="195" t="s">
        <v>64</v>
      </c>
      <c r="B520" s="236"/>
      <c r="C520" s="262" t="s">
        <v>1394</v>
      </c>
      <c r="D520" s="229" t="s">
        <v>1395</v>
      </c>
      <c r="E520" s="135" t="s">
        <v>53</v>
      </c>
      <c r="F520" s="331">
        <v>46169.0</v>
      </c>
      <c r="G520" s="331">
        <v>46169.0</v>
      </c>
      <c r="H520" s="133" t="s">
        <v>25</v>
      </c>
      <c r="I520" s="135" t="s">
        <v>161</v>
      </c>
      <c r="J520" s="135" t="s">
        <v>55</v>
      </c>
      <c r="K520" s="160"/>
      <c r="L520" s="301">
        <v>3.0</v>
      </c>
      <c r="M520" s="203">
        <v>3.0</v>
      </c>
      <c r="N520" s="160"/>
      <c r="O520" s="160"/>
      <c r="P520" s="160"/>
      <c r="Q520" s="160"/>
      <c r="R520" s="160"/>
      <c r="S520" s="160"/>
      <c r="T520" s="18"/>
      <c r="U520" s="18"/>
      <c r="V520" s="18"/>
      <c r="W520" s="18"/>
      <c r="X520" s="18"/>
      <c r="Y520" s="18"/>
      <c r="Z520" s="18"/>
      <c r="AA520" s="18"/>
    </row>
    <row r="521">
      <c r="A521" s="195" t="s">
        <v>64</v>
      </c>
      <c r="B521" s="236" t="s">
        <v>72</v>
      </c>
      <c r="C521" s="262" t="s">
        <v>1396</v>
      </c>
      <c r="D521" s="229" t="s">
        <v>1379</v>
      </c>
      <c r="E521" s="132" t="s">
        <v>53</v>
      </c>
      <c r="F521" s="331">
        <v>46169.0</v>
      </c>
      <c r="G521" s="331">
        <v>46169.0</v>
      </c>
      <c r="H521" s="145" t="s">
        <v>115</v>
      </c>
      <c r="I521" s="135" t="s">
        <v>161</v>
      </c>
      <c r="J521" s="135" t="s">
        <v>55</v>
      </c>
      <c r="K521" s="160"/>
      <c r="L521" s="301">
        <v>3.0</v>
      </c>
      <c r="M521" s="203">
        <v>3.0</v>
      </c>
      <c r="N521" s="160"/>
      <c r="O521" s="160"/>
      <c r="P521" s="160"/>
      <c r="Q521" s="160"/>
      <c r="R521" s="160"/>
      <c r="S521" s="160"/>
      <c r="T521" s="18"/>
      <c r="U521" s="18"/>
      <c r="V521" s="20"/>
      <c r="W521" s="20"/>
      <c r="X521" s="20"/>
      <c r="Y521" s="18"/>
      <c r="Z521" s="18"/>
      <c r="AA521" s="18"/>
    </row>
    <row r="522">
      <c r="A522" s="195" t="s">
        <v>119</v>
      </c>
      <c r="B522" s="224" t="s">
        <v>729</v>
      </c>
      <c r="C522" s="262" t="s">
        <v>1397</v>
      </c>
      <c r="D522" s="229" t="s">
        <v>1398</v>
      </c>
      <c r="E522" s="132" t="s">
        <v>53</v>
      </c>
      <c r="F522" s="331">
        <v>46169.0</v>
      </c>
      <c r="G522" s="331">
        <v>46169.0</v>
      </c>
      <c r="H522" s="301" t="s">
        <v>79</v>
      </c>
      <c r="I522" s="135" t="s">
        <v>161</v>
      </c>
      <c r="J522" s="135" t="s">
        <v>34</v>
      </c>
      <c r="K522" s="160"/>
      <c r="L522" s="172"/>
      <c r="M522" s="203">
        <v>2.0</v>
      </c>
      <c r="N522" s="160"/>
      <c r="O522" s="160"/>
      <c r="P522" s="160"/>
      <c r="Q522" s="156" t="s">
        <v>1399</v>
      </c>
      <c r="R522" s="160"/>
      <c r="S522" s="160"/>
      <c r="T522" s="18"/>
      <c r="U522" s="18"/>
      <c r="V522" s="18"/>
      <c r="W522" s="18"/>
      <c r="X522" s="18"/>
      <c r="Y522" s="18"/>
      <c r="Z522" s="18"/>
      <c r="AA522" s="18"/>
    </row>
    <row r="523">
      <c r="A523" s="195" t="s">
        <v>166</v>
      </c>
      <c r="B523" s="224" t="s">
        <v>729</v>
      </c>
      <c r="C523" s="262" t="s">
        <v>1400</v>
      </c>
      <c r="D523" s="262" t="s">
        <v>524</v>
      </c>
      <c r="E523" s="132" t="s">
        <v>53</v>
      </c>
      <c r="F523" s="331">
        <v>46170.0</v>
      </c>
      <c r="G523" s="331">
        <v>46170.0</v>
      </c>
      <c r="H523" s="223" t="s">
        <v>25</v>
      </c>
      <c r="I523" s="135" t="s">
        <v>161</v>
      </c>
      <c r="J523" s="135" t="s">
        <v>34</v>
      </c>
      <c r="K523" s="311"/>
      <c r="L523" s="312">
        <v>1.0</v>
      </c>
      <c r="M523" s="45">
        <v>1.0</v>
      </c>
      <c r="N523" s="160"/>
      <c r="O523" s="160"/>
      <c r="P523" s="160"/>
      <c r="Q523" s="160"/>
      <c r="R523" s="160"/>
      <c r="S523" s="160"/>
      <c r="T523" s="18"/>
      <c r="U523" s="18"/>
      <c r="V523" s="18"/>
      <c r="W523" s="18"/>
      <c r="X523" s="18"/>
      <c r="Y523" s="18"/>
      <c r="Z523" s="18"/>
      <c r="AA523" s="18"/>
    </row>
    <row r="524">
      <c r="A524" s="195" t="s">
        <v>22</v>
      </c>
      <c r="B524" s="293" t="s">
        <v>333</v>
      </c>
      <c r="C524" s="262" t="s">
        <v>1401</v>
      </c>
      <c r="D524" s="229" t="s">
        <v>1402</v>
      </c>
      <c r="E524" s="132" t="s">
        <v>53</v>
      </c>
      <c r="F524" s="331">
        <v>46170.0</v>
      </c>
      <c r="G524" s="331">
        <v>46170.0</v>
      </c>
      <c r="H524" s="223" t="s">
        <v>25</v>
      </c>
      <c r="I524" s="135" t="s">
        <v>161</v>
      </c>
      <c r="J524" s="135" t="s">
        <v>34</v>
      </c>
      <c r="K524" s="311"/>
      <c r="L524" s="312">
        <v>1.0</v>
      </c>
      <c r="M524" s="45">
        <v>1.0</v>
      </c>
      <c r="N524" s="160"/>
      <c r="O524" s="160"/>
      <c r="P524" s="160"/>
      <c r="Q524" s="160"/>
      <c r="R524" s="160"/>
      <c r="S524" s="160"/>
      <c r="T524" s="18"/>
      <c r="U524" s="18"/>
      <c r="V524" s="18"/>
      <c r="W524" s="20"/>
      <c r="X524" s="20"/>
      <c r="Y524" s="18"/>
      <c r="Z524" s="18"/>
      <c r="AA524" s="18"/>
    </row>
    <row r="525">
      <c r="A525" s="172"/>
      <c r="B525" s="317"/>
      <c r="C525" s="262" t="s">
        <v>1403</v>
      </c>
      <c r="D525" s="229" t="s">
        <v>1404</v>
      </c>
      <c r="E525" s="132" t="s">
        <v>53</v>
      </c>
      <c r="F525" s="331">
        <v>46170.0</v>
      </c>
      <c r="G525" s="331">
        <v>46170.0</v>
      </c>
      <c r="H525" s="223" t="s">
        <v>25</v>
      </c>
      <c r="I525" s="135" t="s">
        <v>161</v>
      </c>
      <c r="J525" s="135" t="s">
        <v>55</v>
      </c>
      <c r="K525" s="311"/>
      <c r="L525" s="312">
        <v>2.0</v>
      </c>
      <c r="M525" s="45">
        <v>2.0</v>
      </c>
      <c r="N525" s="160"/>
      <c r="O525" s="160"/>
      <c r="P525" s="160"/>
      <c r="Q525" s="160"/>
      <c r="R525" s="160"/>
      <c r="S525" s="160"/>
      <c r="T525" s="18"/>
      <c r="U525" s="18"/>
      <c r="V525" s="18"/>
      <c r="W525" s="18"/>
      <c r="X525" s="20"/>
      <c r="Y525" s="18"/>
      <c r="Z525" s="18"/>
      <c r="AA525" s="18"/>
    </row>
    <row r="526">
      <c r="A526" s="195" t="s">
        <v>64</v>
      </c>
      <c r="B526" s="236" t="s">
        <v>78</v>
      </c>
      <c r="C526" s="262" t="s">
        <v>1405</v>
      </c>
      <c r="D526" s="229" t="s">
        <v>1406</v>
      </c>
      <c r="E526" s="132" t="s">
        <v>53</v>
      </c>
      <c r="F526" s="331">
        <v>46170.0</v>
      </c>
      <c r="G526" s="331">
        <v>46170.0</v>
      </c>
      <c r="H526" s="223" t="s">
        <v>25</v>
      </c>
      <c r="I526" s="135" t="s">
        <v>161</v>
      </c>
      <c r="J526" s="135" t="s">
        <v>55</v>
      </c>
      <c r="K526" s="311"/>
      <c r="L526" s="312">
        <v>6.0</v>
      </c>
      <c r="M526" s="45">
        <v>5.0</v>
      </c>
      <c r="N526" s="160"/>
      <c r="O526" s="160"/>
      <c r="P526" s="160"/>
      <c r="Q526" s="160"/>
      <c r="R526" s="160"/>
      <c r="S526" s="160"/>
      <c r="T526" s="18"/>
      <c r="U526" s="18"/>
      <c r="V526" s="20"/>
      <c r="W526" s="20"/>
      <c r="X526" s="20"/>
      <c r="Y526" s="18"/>
      <c r="Z526" s="18"/>
      <c r="AA526" s="18"/>
    </row>
    <row r="527">
      <c r="A527" s="195" t="s">
        <v>166</v>
      </c>
      <c r="B527" s="224" t="s">
        <v>729</v>
      </c>
      <c r="C527" s="262" t="s">
        <v>1407</v>
      </c>
      <c r="D527" s="262" t="s">
        <v>524</v>
      </c>
      <c r="E527" s="132" t="s">
        <v>53</v>
      </c>
      <c r="F527" s="331">
        <v>46171.0</v>
      </c>
      <c r="G527" s="331">
        <v>46171.0</v>
      </c>
      <c r="H527" s="223" t="s">
        <v>25</v>
      </c>
      <c r="I527" s="135" t="s">
        <v>161</v>
      </c>
      <c r="J527" s="135" t="s">
        <v>34</v>
      </c>
      <c r="K527" s="311"/>
      <c r="L527" s="312">
        <v>1.0</v>
      </c>
      <c r="M527" s="45">
        <v>1.0</v>
      </c>
      <c r="N527" s="160"/>
      <c r="O527" s="160"/>
      <c r="P527" s="160"/>
      <c r="Q527" s="160"/>
      <c r="R527" s="160"/>
      <c r="S527" s="160"/>
      <c r="T527" s="18"/>
      <c r="U527" s="18"/>
      <c r="V527" s="18"/>
      <c r="W527" s="18"/>
      <c r="X527" s="20"/>
      <c r="Y527" s="18"/>
      <c r="Z527" s="18"/>
      <c r="AA527" s="18"/>
    </row>
    <row r="528">
      <c r="A528" s="195" t="s">
        <v>64</v>
      </c>
      <c r="B528" s="236" t="s">
        <v>78</v>
      </c>
      <c r="C528" s="262" t="s">
        <v>1408</v>
      </c>
      <c r="D528" s="229" t="s">
        <v>1409</v>
      </c>
      <c r="E528" s="132" t="s">
        <v>53</v>
      </c>
      <c r="F528" s="331">
        <v>46171.0</v>
      </c>
      <c r="G528" s="331">
        <v>46171.0</v>
      </c>
      <c r="H528" s="223" t="s">
        <v>25</v>
      </c>
      <c r="I528" s="135" t="s">
        <v>161</v>
      </c>
      <c r="J528" s="135" t="s">
        <v>55</v>
      </c>
      <c r="K528" s="311"/>
      <c r="L528" s="312">
        <v>6.0</v>
      </c>
      <c r="M528" s="45">
        <v>6.5</v>
      </c>
      <c r="N528" s="160"/>
      <c r="O528" s="160"/>
      <c r="P528" s="160"/>
      <c r="Q528" s="160"/>
      <c r="R528" s="160"/>
      <c r="S528" s="160"/>
      <c r="T528" s="18"/>
      <c r="U528" s="18"/>
      <c r="V528" s="20"/>
      <c r="W528" s="20"/>
      <c r="X528" s="20"/>
      <c r="Y528" s="18"/>
      <c r="Z528" s="18"/>
      <c r="AA528" s="18"/>
    </row>
    <row r="529">
      <c r="A529" s="195" t="s">
        <v>64</v>
      </c>
      <c r="B529" s="236" t="s">
        <v>78</v>
      </c>
      <c r="C529" s="262" t="s">
        <v>1410</v>
      </c>
      <c r="D529" s="229" t="s">
        <v>1411</v>
      </c>
      <c r="E529" s="132" t="s">
        <v>53</v>
      </c>
      <c r="F529" s="331">
        <v>46171.0</v>
      </c>
      <c r="G529" s="331">
        <v>46171.0</v>
      </c>
      <c r="H529" s="223" t="s">
        <v>25</v>
      </c>
      <c r="I529" s="135" t="s">
        <v>161</v>
      </c>
      <c r="J529" s="135" t="s">
        <v>55</v>
      </c>
      <c r="K529" s="311"/>
      <c r="L529" s="312">
        <v>1.0</v>
      </c>
      <c r="M529" s="45">
        <v>1.0</v>
      </c>
      <c r="N529" s="160"/>
      <c r="O529" s="160"/>
      <c r="P529" s="160"/>
      <c r="Q529" s="160"/>
      <c r="R529" s="160"/>
      <c r="S529" s="160"/>
      <c r="T529" s="18"/>
      <c r="U529" s="18"/>
      <c r="V529" s="20"/>
      <c r="W529" s="20"/>
      <c r="X529" s="20"/>
      <c r="Y529" s="18"/>
      <c r="Z529" s="18"/>
      <c r="AA529" s="18"/>
    </row>
    <row r="530">
      <c r="A530" s="195" t="s">
        <v>22</v>
      </c>
      <c r="B530" s="317"/>
      <c r="C530" s="262" t="s">
        <v>1412</v>
      </c>
      <c r="D530" s="229" t="s">
        <v>1413</v>
      </c>
      <c r="E530" s="132" t="s">
        <v>53</v>
      </c>
      <c r="F530" s="331">
        <v>46171.0</v>
      </c>
      <c r="G530" s="331">
        <v>46171.0</v>
      </c>
      <c r="H530" s="223" t="s">
        <v>25</v>
      </c>
      <c r="I530" s="135" t="s">
        <v>161</v>
      </c>
      <c r="J530" s="135" t="s">
        <v>55</v>
      </c>
      <c r="K530" s="311"/>
      <c r="L530" s="312">
        <v>0.5</v>
      </c>
      <c r="M530" s="45">
        <v>0.5</v>
      </c>
      <c r="N530" s="160"/>
      <c r="O530" s="160"/>
      <c r="P530" s="160"/>
      <c r="Q530" s="160"/>
      <c r="R530" s="160"/>
      <c r="S530" s="160"/>
      <c r="T530" s="18"/>
      <c r="U530" s="18"/>
      <c r="V530" s="18"/>
      <c r="W530" s="18"/>
      <c r="X530" s="20"/>
      <c r="Y530" s="18"/>
      <c r="Z530" s="18"/>
      <c r="AA530" s="18"/>
    </row>
    <row r="531">
      <c r="A531" s="195" t="s">
        <v>64</v>
      </c>
      <c r="B531" s="236" t="s">
        <v>78</v>
      </c>
      <c r="C531" s="262" t="s">
        <v>1410</v>
      </c>
      <c r="D531" s="229" t="s">
        <v>1411</v>
      </c>
      <c r="E531" s="132" t="s">
        <v>53</v>
      </c>
      <c r="F531" s="331">
        <v>46171.0</v>
      </c>
      <c r="G531" s="331">
        <v>46171.0</v>
      </c>
      <c r="H531" s="223" t="s">
        <v>115</v>
      </c>
      <c r="I531" s="135" t="s">
        <v>161</v>
      </c>
      <c r="J531" s="135" t="s">
        <v>55</v>
      </c>
      <c r="K531" s="311"/>
      <c r="L531" s="312">
        <v>1.0</v>
      </c>
      <c r="M531" s="45">
        <v>1.0</v>
      </c>
      <c r="N531" s="160"/>
      <c r="O531" s="160"/>
      <c r="P531" s="160"/>
      <c r="Q531" s="160"/>
      <c r="R531" s="160"/>
      <c r="S531" s="160"/>
      <c r="T531" s="18"/>
      <c r="U531" s="18"/>
      <c r="V531" s="20"/>
      <c r="W531" s="20"/>
      <c r="X531" s="20"/>
      <c r="Y531" s="18"/>
      <c r="Z531" s="18"/>
      <c r="AA531" s="18"/>
    </row>
    <row r="532">
      <c r="A532" s="195" t="s">
        <v>22</v>
      </c>
      <c r="B532" s="293" t="s">
        <v>343</v>
      </c>
      <c r="C532" s="262" t="s">
        <v>1412</v>
      </c>
      <c r="D532" s="229" t="s">
        <v>1414</v>
      </c>
      <c r="E532" s="132" t="s">
        <v>53</v>
      </c>
      <c r="F532" s="331">
        <v>46175.0</v>
      </c>
      <c r="G532" s="331">
        <v>46175.0</v>
      </c>
      <c r="H532" s="223" t="s">
        <v>25</v>
      </c>
      <c r="I532" s="135" t="s">
        <v>161</v>
      </c>
      <c r="J532" s="135" t="s">
        <v>34</v>
      </c>
      <c r="K532" s="160"/>
      <c r="L532" s="203">
        <v>2.0</v>
      </c>
      <c r="M532" s="203">
        <v>2.0</v>
      </c>
      <c r="N532" s="160"/>
      <c r="O532" s="160"/>
      <c r="P532" s="160"/>
      <c r="Q532" s="160"/>
      <c r="R532" s="160"/>
      <c r="S532" s="160"/>
      <c r="T532" s="18"/>
      <c r="U532" s="18"/>
      <c r="V532" s="18"/>
      <c r="W532" s="20"/>
      <c r="X532" s="20"/>
      <c r="Y532" s="18"/>
      <c r="Z532" s="18"/>
      <c r="AA532" s="18"/>
    </row>
    <row r="533">
      <c r="A533" s="195" t="s">
        <v>22</v>
      </c>
      <c r="B533" s="293" t="s">
        <v>343</v>
      </c>
      <c r="C533" s="262" t="s">
        <v>1415</v>
      </c>
      <c r="D533" s="229" t="s">
        <v>1416</v>
      </c>
      <c r="E533" s="132" t="s">
        <v>53</v>
      </c>
      <c r="F533" s="331">
        <v>46175.0</v>
      </c>
      <c r="G533" s="331">
        <v>46175.0</v>
      </c>
      <c r="H533" s="223" t="s">
        <v>25</v>
      </c>
      <c r="I533" s="135" t="s">
        <v>161</v>
      </c>
      <c r="J533" s="135" t="s">
        <v>34</v>
      </c>
      <c r="K533" s="160"/>
      <c r="L533" s="203">
        <v>2.0</v>
      </c>
      <c r="M533" s="203">
        <v>2.5</v>
      </c>
      <c r="N533" s="160"/>
      <c r="O533" s="160"/>
      <c r="P533" s="160"/>
      <c r="Q533" s="160"/>
      <c r="R533" s="160"/>
      <c r="S533" s="160"/>
      <c r="T533" s="18"/>
      <c r="U533" s="18"/>
      <c r="V533" s="18"/>
      <c r="W533" s="20"/>
      <c r="X533" s="20"/>
      <c r="Y533" s="18"/>
      <c r="Z533" s="18"/>
      <c r="AA533" s="18"/>
    </row>
    <row r="534">
      <c r="A534" s="195" t="s">
        <v>22</v>
      </c>
      <c r="B534" s="293" t="s">
        <v>346</v>
      </c>
      <c r="C534" s="262" t="s">
        <v>1417</v>
      </c>
      <c r="D534" s="333" t="s">
        <v>1418</v>
      </c>
      <c r="E534" s="132" t="s">
        <v>53</v>
      </c>
      <c r="F534" s="331">
        <v>46175.0</v>
      </c>
      <c r="G534" s="331">
        <v>46175.0</v>
      </c>
      <c r="H534" s="223" t="s">
        <v>25</v>
      </c>
      <c r="I534" s="135" t="s">
        <v>161</v>
      </c>
      <c r="J534" s="135" t="s">
        <v>34</v>
      </c>
      <c r="K534" s="160"/>
      <c r="L534" s="203">
        <v>2.0</v>
      </c>
      <c r="M534" s="203">
        <v>2.0</v>
      </c>
      <c r="N534" s="160"/>
      <c r="O534" s="160"/>
      <c r="P534" s="160"/>
      <c r="Q534" s="160"/>
      <c r="R534" s="160"/>
      <c r="S534" s="160"/>
      <c r="T534" s="18"/>
      <c r="U534" s="18"/>
      <c r="V534" s="18"/>
      <c r="W534" s="20"/>
      <c r="X534" s="20"/>
      <c r="Y534" s="18"/>
      <c r="Z534" s="18"/>
      <c r="AA534" s="18"/>
    </row>
    <row r="535">
      <c r="A535" s="195" t="s">
        <v>22</v>
      </c>
      <c r="B535" s="293" t="s">
        <v>346</v>
      </c>
      <c r="C535" s="262" t="s">
        <v>1419</v>
      </c>
      <c r="D535" s="333" t="s">
        <v>1420</v>
      </c>
      <c r="E535" s="132" t="s">
        <v>53</v>
      </c>
      <c r="F535" s="331">
        <v>46175.0</v>
      </c>
      <c r="G535" s="331">
        <v>46175.0</v>
      </c>
      <c r="H535" s="223" t="s">
        <v>25</v>
      </c>
      <c r="I535" s="135" t="s">
        <v>161</v>
      </c>
      <c r="J535" s="135" t="s">
        <v>34</v>
      </c>
      <c r="K535" s="160"/>
      <c r="L535" s="203">
        <v>3.0</v>
      </c>
      <c r="M535" s="203">
        <v>2.5</v>
      </c>
      <c r="N535" s="160"/>
      <c r="O535" s="160"/>
      <c r="P535" s="160"/>
      <c r="Q535" s="160"/>
      <c r="R535" s="160"/>
      <c r="S535" s="160"/>
      <c r="T535" s="18"/>
      <c r="U535" s="18"/>
      <c r="V535" s="18"/>
      <c r="W535" s="20"/>
      <c r="X535" s="20"/>
      <c r="Y535" s="18"/>
      <c r="Z535" s="18"/>
      <c r="AA535" s="18"/>
    </row>
    <row r="536">
      <c r="A536" s="195" t="s">
        <v>22</v>
      </c>
      <c r="B536" s="293" t="s">
        <v>52</v>
      </c>
      <c r="C536" s="262" t="s">
        <v>1421</v>
      </c>
      <c r="D536" s="333" t="s">
        <v>1422</v>
      </c>
      <c r="E536" s="132" t="s">
        <v>53</v>
      </c>
      <c r="F536" s="331">
        <v>46171.0</v>
      </c>
      <c r="G536" s="160"/>
      <c r="H536" s="223" t="s">
        <v>25</v>
      </c>
      <c r="I536" s="135" t="s">
        <v>44</v>
      </c>
      <c r="J536" s="135" t="s">
        <v>55</v>
      </c>
      <c r="K536" s="160"/>
      <c r="L536" s="203">
        <v>0.0</v>
      </c>
      <c r="M536" s="203">
        <v>0.0</v>
      </c>
      <c r="N536" s="160"/>
      <c r="O536" s="156" t="s">
        <v>1423</v>
      </c>
      <c r="P536" s="160"/>
      <c r="Q536" s="160"/>
      <c r="R536" s="160"/>
      <c r="S536" s="160"/>
      <c r="T536" s="18"/>
      <c r="U536" s="18"/>
      <c r="V536" s="20"/>
      <c r="W536" s="20"/>
      <c r="X536" s="20"/>
      <c r="Y536" s="18"/>
      <c r="Z536" s="18"/>
      <c r="AA536" s="18"/>
    </row>
    <row r="537">
      <c r="A537" s="195" t="s">
        <v>140</v>
      </c>
      <c r="B537" s="318" t="s">
        <v>145</v>
      </c>
      <c r="C537" s="262" t="s">
        <v>1424</v>
      </c>
      <c r="D537" s="334" t="s">
        <v>1425</v>
      </c>
      <c r="E537" s="132" t="s">
        <v>53</v>
      </c>
      <c r="F537" s="331">
        <v>46174.0</v>
      </c>
      <c r="G537" s="331">
        <v>46174.0</v>
      </c>
      <c r="H537" s="223" t="s">
        <v>146</v>
      </c>
      <c r="I537" s="136" t="s">
        <v>161</v>
      </c>
      <c r="J537" s="135" t="s">
        <v>34</v>
      </c>
      <c r="K537" s="160"/>
      <c r="L537" s="301">
        <v>5.0</v>
      </c>
      <c r="M537" s="203">
        <v>5.0</v>
      </c>
      <c r="N537" s="160"/>
      <c r="O537" s="160"/>
      <c r="P537" s="160"/>
      <c r="Q537" s="160"/>
      <c r="R537" s="160"/>
      <c r="S537" s="160"/>
      <c r="T537" s="18"/>
      <c r="U537" s="18"/>
      <c r="V537" s="20"/>
      <c r="W537" s="20"/>
      <c r="X537" s="20"/>
      <c r="Y537" s="18"/>
      <c r="Z537" s="18"/>
      <c r="AA537" s="18"/>
    </row>
    <row r="538">
      <c r="A538" s="195" t="s">
        <v>140</v>
      </c>
      <c r="B538" s="318" t="s">
        <v>145</v>
      </c>
      <c r="C538" s="262" t="s">
        <v>1426</v>
      </c>
      <c r="D538" s="229" t="s">
        <v>1427</v>
      </c>
      <c r="E538" s="132" t="s">
        <v>53</v>
      </c>
      <c r="F538" s="331">
        <v>46174.0</v>
      </c>
      <c r="G538" s="331">
        <v>46174.0</v>
      </c>
      <c r="H538" s="223" t="s">
        <v>146</v>
      </c>
      <c r="I538" s="136" t="s">
        <v>161</v>
      </c>
      <c r="J538" s="135" t="s">
        <v>34</v>
      </c>
      <c r="K538" s="160"/>
      <c r="L538" s="301">
        <v>4.0</v>
      </c>
      <c r="M538" s="203">
        <v>4.5</v>
      </c>
      <c r="N538" s="160"/>
      <c r="O538" s="160"/>
      <c r="P538" s="160"/>
      <c r="Q538" s="160"/>
      <c r="R538" s="160"/>
      <c r="S538" s="160"/>
      <c r="T538" s="18"/>
      <c r="U538" s="18"/>
      <c r="V538" s="20"/>
      <c r="W538" s="20"/>
      <c r="X538" s="20"/>
      <c r="Y538" s="18"/>
      <c r="Z538" s="18"/>
      <c r="AA538" s="18"/>
    </row>
    <row r="539">
      <c r="A539" s="195" t="s">
        <v>22</v>
      </c>
      <c r="B539" s="224" t="s">
        <v>43</v>
      </c>
      <c r="C539" s="262" t="s">
        <v>1428</v>
      </c>
      <c r="D539" s="254" t="s">
        <v>1429</v>
      </c>
      <c r="E539" s="132" t="s">
        <v>53</v>
      </c>
      <c r="F539" s="331">
        <v>46174.0</v>
      </c>
      <c r="G539" s="331">
        <v>46175.0</v>
      </c>
      <c r="H539" s="223" t="s">
        <v>79</v>
      </c>
      <c r="I539" s="136" t="s">
        <v>161</v>
      </c>
      <c r="J539" s="135" t="s">
        <v>27</v>
      </c>
      <c r="K539" s="160"/>
      <c r="L539" s="301">
        <v>3.0</v>
      </c>
      <c r="M539" s="203">
        <v>3.0</v>
      </c>
      <c r="N539" s="160"/>
      <c r="O539" s="160"/>
      <c r="P539" s="160"/>
      <c r="Q539" s="160"/>
      <c r="R539" s="160"/>
      <c r="S539" s="160"/>
      <c r="T539" s="18"/>
      <c r="U539" s="18"/>
      <c r="V539" s="20"/>
      <c r="W539" s="20"/>
      <c r="X539" s="20"/>
      <c r="Y539" s="18"/>
      <c r="Z539" s="18"/>
      <c r="AA539" s="18"/>
    </row>
    <row r="540">
      <c r="A540" s="195" t="s">
        <v>64</v>
      </c>
      <c r="B540" s="236" t="s">
        <v>78</v>
      </c>
      <c r="C540" s="262" t="s">
        <v>1430</v>
      </c>
      <c r="D540" s="254" t="s">
        <v>1431</v>
      </c>
      <c r="E540" s="132" t="s">
        <v>53</v>
      </c>
      <c r="F540" s="331">
        <v>46174.0</v>
      </c>
      <c r="G540" s="331"/>
      <c r="H540" s="223" t="s">
        <v>79</v>
      </c>
      <c r="I540" s="136" t="s">
        <v>39</v>
      </c>
      <c r="J540" s="135" t="s">
        <v>80</v>
      </c>
      <c r="K540" s="160"/>
      <c r="L540" s="301">
        <v>23.0</v>
      </c>
      <c r="M540" s="203">
        <v>23.0</v>
      </c>
      <c r="N540" s="160"/>
      <c r="O540" s="160"/>
      <c r="P540" s="160"/>
      <c r="Q540" s="160"/>
      <c r="R540" s="160"/>
      <c r="S540" s="160"/>
      <c r="T540" s="18"/>
      <c r="U540" s="18"/>
      <c r="V540" s="20"/>
      <c r="W540" s="20"/>
      <c r="X540" s="20"/>
      <c r="Y540" s="18"/>
      <c r="Z540" s="18"/>
      <c r="AA540" s="18"/>
    </row>
    <row r="541">
      <c r="A541" s="195" t="s">
        <v>64</v>
      </c>
      <c r="B541" s="236" t="s">
        <v>78</v>
      </c>
      <c r="C541" s="160"/>
      <c r="D541" s="254" t="s">
        <v>1432</v>
      </c>
      <c r="E541" s="132" t="s">
        <v>53</v>
      </c>
      <c r="F541" s="331">
        <v>46174.0</v>
      </c>
      <c r="G541" s="331">
        <v>46174.0</v>
      </c>
      <c r="H541" s="223" t="s">
        <v>115</v>
      </c>
      <c r="I541" s="136" t="s">
        <v>161</v>
      </c>
      <c r="J541" s="135" t="s">
        <v>80</v>
      </c>
      <c r="K541" s="160"/>
      <c r="L541" s="301">
        <v>2.0</v>
      </c>
      <c r="M541" s="203">
        <v>2.0</v>
      </c>
      <c r="N541" s="160"/>
      <c r="O541" s="160"/>
      <c r="P541" s="160"/>
      <c r="Q541" s="160"/>
      <c r="R541" s="160"/>
      <c r="S541" s="160"/>
      <c r="T541" s="18"/>
      <c r="U541" s="18"/>
      <c r="V541" s="20"/>
      <c r="W541" s="20"/>
      <c r="X541" s="20"/>
      <c r="Y541" s="18"/>
      <c r="Z541" s="18"/>
      <c r="AA541" s="18"/>
    </row>
    <row r="542">
      <c r="A542" s="195" t="s">
        <v>64</v>
      </c>
      <c r="B542" s="298" t="s">
        <v>75</v>
      </c>
      <c r="C542" s="160"/>
      <c r="D542" s="230"/>
      <c r="E542" s="132" t="s">
        <v>53</v>
      </c>
      <c r="F542" s="331">
        <v>46175.0</v>
      </c>
      <c r="G542" s="331">
        <v>46175.0</v>
      </c>
      <c r="H542" s="223" t="s">
        <v>115</v>
      </c>
      <c r="I542" s="136" t="s">
        <v>161</v>
      </c>
      <c r="J542" s="135" t="s">
        <v>34</v>
      </c>
      <c r="K542" s="160"/>
      <c r="L542" s="301">
        <v>1.0</v>
      </c>
      <c r="M542" s="203">
        <v>1.0</v>
      </c>
      <c r="N542" s="160"/>
      <c r="O542" s="160"/>
      <c r="P542" s="160"/>
      <c r="Q542" s="160"/>
      <c r="R542" s="160"/>
      <c r="S542" s="160"/>
      <c r="T542" s="18"/>
      <c r="U542" s="18"/>
      <c r="V542" s="18"/>
      <c r="W542" s="20"/>
      <c r="X542" s="20"/>
      <c r="Y542" s="18"/>
      <c r="Z542" s="18"/>
      <c r="AA542" s="18"/>
    </row>
    <row r="543">
      <c r="A543" s="195" t="s">
        <v>64</v>
      </c>
      <c r="B543" s="298" t="s">
        <v>75</v>
      </c>
      <c r="C543" s="160"/>
      <c r="D543" s="144" t="s">
        <v>1433</v>
      </c>
      <c r="E543" s="132" t="s">
        <v>53</v>
      </c>
      <c r="F543" s="160"/>
      <c r="G543" s="160"/>
      <c r="H543" s="223" t="s">
        <v>115</v>
      </c>
      <c r="I543" s="136" t="s">
        <v>54</v>
      </c>
      <c r="J543" s="135" t="s">
        <v>55</v>
      </c>
      <c r="K543" s="160"/>
      <c r="L543" s="301">
        <v>2.0</v>
      </c>
      <c r="M543" s="203">
        <v>0.0</v>
      </c>
      <c r="N543" s="160"/>
      <c r="O543" s="160"/>
      <c r="P543" s="160"/>
      <c r="Q543" s="160"/>
      <c r="R543" s="160"/>
      <c r="S543" s="160"/>
      <c r="T543" s="18"/>
      <c r="U543" s="18"/>
      <c r="V543" s="20"/>
      <c r="W543" s="20"/>
      <c r="X543" s="20"/>
      <c r="Y543" s="18"/>
      <c r="Z543" s="18"/>
      <c r="AA543" s="18"/>
    </row>
    <row r="544">
      <c r="A544" s="195" t="s">
        <v>64</v>
      </c>
      <c r="B544" s="298" t="s">
        <v>75</v>
      </c>
      <c r="C544" s="160"/>
      <c r="D544" s="144" t="s">
        <v>1433</v>
      </c>
      <c r="E544" s="132" t="s">
        <v>53</v>
      </c>
      <c r="F544" s="160"/>
      <c r="G544" s="160"/>
      <c r="H544" s="223" t="s">
        <v>115</v>
      </c>
      <c r="I544" s="136" t="s">
        <v>54</v>
      </c>
      <c r="J544" s="135" t="s">
        <v>55</v>
      </c>
      <c r="K544" s="160"/>
      <c r="L544" s="301">
        <v>2.0</v>
      </c>
      <c r="M544" s="203">
        <v>0.0</v>
      </c>
      <c r="N544" s="160"/>
      <c r="O544" s="160"/>
      <c r="P544" s="160"/>
      <c r="Q544" s="160"/>
      <c r="R544" s="160"/>
      <c r="S544" s="160"/>
      <c r="T544" s="18"/>
      <c r="U544" s="18"/>
      <c r="V544" s="20"/>
      <c r="W544" s="20"/>
      <c r="X544" s="20"/>
      <c r="Y544" s="18"/>
      <c r="Z544" s="18"/>
      <c r="AA544" s="18"/>
    </row>
    <row r="545">
      <c r="A545" s="195" t="s">
        <v>64</v>
      </c>
      <c r="B545" s="298" t="s">
        <v>1434</v>
      </c>
      <c r="C545" s="160"/>
      <c r="D545" s="144" t="s">
        <v>1435</v>
      </c>
      <c r="E545" s="132" t="s">
        <v>53</v>
      </c>
      <c r="F545" s="160"/>
      <c r="G545" s="160"/>
      <c r="H545" s="223" t="s">
        <v>115</v>
      </c>
      <c r="I545" s="136" t="s">
        <v>54</v>
      </c>
      <c r="J545" s="135" t="s">
        <v>55</v>
      </c>
      <c r="K545" s="160"/>
      <c r="L545" s="301">
        <v>5.0</v>
      </c>
      <c r="M545" s="203">
        <v>0.0</v>
      </c>
      <c r="N545" s="160"/>
      <c r="O545" s="160"/>
      <c r="P545" s="156" t="s">
        <v>1436</v>
      </c>
      <c r="Q545" s="160"/>
      <c r="R545" s="160"/>
      <c r="S545" s="160"/>
      <c r="T545" s="18"/>
      <c r="U545" s="18"/>
      <c r="V545" s="20"/>
      <c r="W545" s="20"/>
      <c r="X545" s="20"/>
      <c r="Y545" s="18"/>
      <c r="Z545" s="18"/>
      <c r="AA545" s="18"/>
    </row>
    <row r="546">
      <c r="A546" s="195" t="s">
        <v>64</v>
      </c>
      <c r="B546" s="298" t="s">
        <v>1434</v>
      </c>
      <c r="C546" s="160"/>
      <c r="D546" s="144" t="s">
        <v>1437</v>
      </c>
      <c r="E546" s="132" t="s">
        <v>53</v>
      </c>
      <c r="F546" s="160"/>
      <c r="G546" s="160"/>
      <c r="H546" s="223" t="s">
        <v>115</v>
      </c>
      <c r="I546" s="136" t="s">
        <v>54</v>
      </c>
      <c r="J546" s="135" t="s">
        <v>55</v>
      </c>
      <c r="K546" s="160"/>
      <c r="L546" s="301">
        <v>10.0</v>
      </c>
      <c r="M546" s="203">
        <v>0.0</v>
      </c>
      <c r="N546" s="160"/>
      <c r="O546" s="160"/>
      <c r="P546" s="335" t="s">
        <v>1438</v>
      </c>
      <c r="Q546" s="160"/>
      <c r="R546" s="160"/>
      <c r="S546" s="160"/>
      <c r="T546" s="18"/>
      <c r="U546" s="18"/>
      <c r="V546" s="20"/>
      <c r="W546" s="20"/>
      <c r="X546" s="20"/>
      <c r="Y546" s="18"/>
      <c r="Z546" s="18"/>
      <c r="AA546" s="18"/>
    </row>
    <row r="547">
      <c r="A547" s="195" t="s">
        <v>64</v>
      </c>
      <c r="B547" s="298" t="s">
        <v>1434</v>
      </c>
      <c r="C547" s="160"/>
      <c r="D547" s="144" t="s">
        <v>1439</v>
      </c>
      <c r="E547" s="132" t="s">
        <v>53</v>
      </c>
      <c r="F547" s="160"/>
      <c r="G547" s="160"/>
      <c r="H547" s="223" t="s">
        <v>115</v>
      </c>
      <c r="I547" s="136" t="s">
        <v>54</v>
      </c>
      <c r="J547" s="135" t="s">
        <v>55</v>
      </c>
      <c r="K547" s="160"/>
      <c r="L547" s="301">
        <v>10.0</v>
      </c>
      <c r="M547" s="203">
        <v>0.0</v>
      </c>
      <c r="N547" s="160"/>
      <c r="O547" s="160"/>
      <c r="P547" s="335" t="s">
        <v>1438</v>
      </c>
      <c r="Q547" s="160"/>
      <c r="R547" s="160"/>
      <c r="S547" s="160"/>
      <c r="T547" s="18"/>
      <c r="U547" s="18"/>
      <c r="V547" s="20"/>
      <c r="W547" s="20"/>
      <c r="X547" s="20"/>
      <c r="Y547" s="18"/>
      <c r="Z547" s="18"/>
      <c r="AA547" s="18"/>
    </row>
    <row r="548">
      <c r="A548" s="195" t="s">
        <v>64</v>
      </c>
      <c r="B548" s="298" t="s">
        <v>1434</v>
      </c>
      <c r="C548" s="160"/>
      <c r="D548" s="144" t="s">
        <v>1440</v>
      </c>
      <c r="E548" s="132" t="s">
        <v>53</v>
      </c>
      <c r="F548" s="160"/>
      <c r="G548" s="160"/>
      <c r="H548" s="223" t="s">
        <v>115</v>
      </c>
      <c r="I548" s="136" t="s">
        <v>54</v>
      </c>
      <c r="J548" s="135" t="s">
        <v>55</v>
      </c>
      <c r="K548" s="160"/>
      <c r="L548" s="301">
        <v>15.0</v>
      </c>
      <c r="M548" s="203">
        <v>0.0</v>
      </c>
      <c r="N548" s="160"/>
      <c r="O548" s="160"/>
      <c r="P548" s="335" t="s">
        <v>1438</v>
      </c>
      <c r="Q548" s="160"/>
      <c r="R548" s="160"/>
      <c r="S548" s="160"/>
      <c r="T548" s="18"/>
      <c r="U548" s="18"/>
      <c r="V548" s="20"/>
      <c r="W548" s="20"/>
      <c r="X548" s="20"/>
      <c r="Y548" s="18"/>
      <c r="Z548" s="18"/>
      <c r="AA548" s="18"/>
    </row>
    <row r="549">
      <c r="A549" s="195" t="s">
        <v>64</v>
      </c>
      <c r="B549" s="298" t="s">
        <v>1434</v>
      </c>
      <c r="C549" s="160"/>
      <c r="D549" s="144" t="s">
        <v>1441</v>
      </c>
      <c r="E549" s="132" t="s">
        <v>53</v>
      </c>
      <c r="F549" s="160"/>
      <c r="G549" s="160"/>
      <c r="H549" s="223" t="s">
        <v>115</v>
      </c>
      <c r="I549" s="136" t="s">
        <v>54</v>
      </c>
      <c r="J549" s="135" t="s">
        <v>55</v>
      </c>
      <c r="K549" s="160"/>
      <c r="L549" s="301">
        <v>3.0</v>
      </c>
      <c r="M549" s="203">
        <v>0.0</v>
      </c>
      <c r="N549" s="160"/>
      <c r="O549" s="160"/>
      <c r="P549" s="335" t="s">
        <v>1438</v>
      </c>
      <c r="Q549" s="160"/>
      <c r="R549" s="160"/>
      <c r="S549" s="160"/>
      <c r="T549" s="18"/>
      <c r="U549" s="18"/>
      <c r="V549" s="20"/>
      <c r="W549" s="20"/>
      <c r="X549" s="20"/>
      <c r="Y549" s="18"/>
      <c r="Z549" s="18"/>
      <c r="AA549" s="18"/>
    </row>
    <row r="550">
      <c r="A550" s="195" t="s">
        <v>64</v>
      </c>
      <c r="B550" s="298" t="s">
        <v>1434</v>
      </c>
      <c r="C550" s="160"/>
      <c r="D550" s="144" t="s">
        <v>1442</v>
      </c>
      <c r="E550" s="132" t="s">
        <v>53</v>
      </c>
      <c r="F550" s="160"/>
      <c r="G550" s="160"/>
      <c r="H550" s="223" t="s">
        <v>115</v>
      </c>
      <c r="I550" s="136" t="s">
        <v>54</v>
      </c>
      <c r="J550" s="135" t="s">
        <v>55</v>
      </c>
      <c r="K550" s="160"/>
      <c r="L550" s="301">
        <v>3.0</v>
      </c>
      <c r="M550" s="203">
        <v>0.0</v>
      </c>
      <c r="N550" s="160"/>
      <c r="O550" s="160"/>
      <c r="P550" s="335" t="s">
        <v>1438</v>
      </c>
      <c r="Q550" s="160"/>
      <c r="R550" s="160"/>
      <c r="S550" s="160"/>
      <c r="T550" s="18"/>
      <c r="U550" s="18"/>
      <c r="V550" s="20"/>
      <c r="W550" s="20"/>
      <c r="X550" s="20"/>
      <c r="Y550" s="18"/>
      <c r="Z550" s="18"/>
      <c r="AA550" s="18"/>
    </row>
    <row r="551">
      <c r="A551" s="195" t="s">
        <v>64</v>
      </c>
      <c r="B551" s="298" t="s">
        <v>1434</v>
      </c>
      <c r="C551" s="160"/>
      <c r="D551" s="144" t="s">
        <v>1443</v>
      </c>
      <c r="E551" s="132" t="s">
        <v>53</v>
      </c>
      <c r="F551" s="160"/>
      <c r="G551" s="160"/>
      <c r="H551" s="223" t="s">
        <v>115</v>
      </c>
      <c r="I551" s="136" t="s">
        <v>54</v>
      </c>
      <c r="J551" s="135" t="s">
        <v>55</v>
      </c>
      <c r="K551" s="160"/>
      <c r="L551" s="301">
        <v>3.0</v>
      </c>
      <c r="M551" s="203">
        <v>0.0</v>
      </c>
      <c r="N551" s="160"/>
      <c r="O551" s="160"/>
      <c r="P551" s="335" t="s">
        <v>1438</v>
      </c>
      <c r="Q551" s="160"/>
      <c r="R551" s="160"/>
      <c r="S551" s="160"/>
      <c r="T551" s="18"/>
      <c r="U551" s="18"/>
      <c r="V551" s="20"/>
      <c r="W551" s="20"/>
      <c r="X551" s="20"/>
      <c r="Y551" s="18"/>
      <c r="Z551" s="18"/>
      <c r="AA551" s="18"/>
    </row>
    <row r="552">
      <c r="A552" s="195" t="s">
        <v>140</v>
      </c>
      <c r="B552" s="318" t="s">
        <v>145</v>
      </c>
      <c r="C552" s="262" t="s">
        <v>1444</v>
      </c>
      <c r="D552" s="229" t="s">
        <v>1445</v>
      </c>
      <c r="E552" s="132" t="s">
        <v>53</v>
      </c>
      <c r="F552" s="331">
        <v>46175.0</v>
      </c>
      <c r="G552" s="331">
        <v>46175.0</v>
      </c>
      <c r="H552" s="223" t="s">
        <v>146</v>
      </c>
      <c r="I552" s="136" t="s">
        <v>161</v>
      </c>
      <c r="J552" s="135" t="s">
        <v>34</v>
      </c>
      <c r="K552" s="160"/>
      <c r="L552" s="301">
        <v>7.0</v>
      </c>
      <c r="M552" s="203">
        <v>8.0</v>
      </c>
      <c r="N552" s="160"/>
      <c r="O552" s="160"/>
      <c r="P552" s="160"/>
      <c r="Q552" s="160"/>
      <c r="R552" s="160"/>
      <c r="S552" s="160"/>
      <c r="T552" s="18"/>
      <c r="U552" s="18"/>
      <c r="V552" s="20"/>
      <c r="W552" s="20"/>
      <c r="X552" s="20"/>
      <c r="Y552" s="18"/>
      <c r="Z552" s="18"/>
      <c r="AA552" s="18"/>
    </row>
    <row r="553">
      <c r="A553" s="195" t="s">
        <v>119</v>
      </c>
      <c r="B553" s="224" t="s">
        <v>729</v>
      </c>
      <c r="C553" s="262" t="s">
        <v>1446</v>
      </c>
      <c r="D553" s="336" t="s">
        <v>1447</v>
      </c>
      <c r="E553" s="132" t="s">
        <v>53</v>
      </c>
      <c r="F553" s="331">
        <v>46176.0</v>
      </c>
      <c r="G553" s="331">
        <v>46176.0</v>
      </c>
      <c r="H553" s="223" t="s">
        <v>79</v>
      </c>
      <c r="I553" s="136" t="s">
        <v>161</v>
      </c>
      <c r="J553" s="135" t="s">
        <v>34</v>
      </c>
      <c r="K553" s="160"/>
      <c r="L553" s="301">
        <v>0.5</v>
      </c>
      <c r="M553" s="203">
        <v>0.5</v>
      </c>
      <c r="N553" s="160"/>
      <c r="O553" s="160"/>
      <c r="P553" s="160"/>
      <c r="Q553" s="160"/>
      <c r="R553" s="160"/>
      <c r="S553" s="160"/>
      <c r="T553" s="18"/>
      <c r="U553" s="18"/>
      <c r="V553" s="18"/>
      <c r="W553" s="18"/>
      <c r="X553" s="20"/>
      <c r="Y553" s="18"/>
      <c r="Z553" s="18"/>
      <c r="AA553" s="18"/>
    </row>
    <row r="554">
      <c r="A554" s="195" t="s">
        <v>119</v>
      </c>
      <c r="B554" s="224" t="s">
        <v>729</v>
      </c>
      <c r="C554" s="262" t="s">
        <v>1448</v>
      </c>
      <c r="D554" s="229" t="s">
        <v>1449</v>
      </c>
      <c r="E554" s="132" t="s">
        <v>53</v>
      </c>
      <c r="F554" s="331">
        <v>46176.0</v>
      </c>
      <c r="G554" s="331">
        <v>46176.0</v>
      </c>
      <c r="H554" s="223" t="s">
        <v>25</v>
      </c>
      <c r="I554" s="136" t="s">
        <v>161</v>
      </c>
      <c r="J554" s="135" t="s">
        <v>34</v>
      </c>
      <c r="K554" s="160"/>
      <c r="L554" s="301">
        <v>3.0</v>
      </c>
      <c r="M554" s="203">
        <v>3.0</v>
      </c>
      <c r="N554" s="160"/>
      <c r="O554" s="160"/>
      <c r="P554" s="160"/>
      <c r="Q554" s="160"/>
      <c r="R554" s="160"/>
      <c r="S554" s="160"/>
      <c r="T554" s="18"/>
      <c r="U554" s="18"/>
      <c r="V554" s="18"/>
      <c r="W554" s="18"/>
      <c r="X554" s="20"/>
      <c r="Y554" s="18"/>
      <c r="Z554" s="18"/>
      <c r="AA554" s="18"/>
    </row>
    <row r="555">
      <c r="A555" s="195" t="s">
        <v>119</v>
      </c>
      <c r="B555" s="224" t="s">
        <v>729</v>
      </c>
      <c r="C555" s="262" t="s">
        <v>1450</v>
      </c>
      <c r="D555" s="229" t="s">
        <v>1451</v>
      </c>
      <c r="E555" s="132" t="s">
        <v>53</v>
      </c>
      <c r="F555" s="331">
        <v>46176.0</v>
      </c>
      <c r="G555" s="331">
        <v>46176.0</v>
      </c>
      <c r="H555" s="223" t="s">
        <v>25</v>
      </c>
      <c r="I555" s="136" t="s">
        <v>161</v>
      </c>
      <c r="J555" s="135" t="s">
        <v>34</v>
      </c>
      <c r="K555" s="160"/>
      <c r="L555" s="301">
        <v>0.5</v>
      </c>
      <c r="M555" s="203">
        <v>0.5</v>
      </c>
      <c r="N555" s="160"/>
      <c r="O555" s="160"/>
      <c r="P555" s="160"/>
      <c r="Q555" s="160"/>
      <c r="R555" s="160"/>
      <c r="S555" s="160"/>
      <c r="T555" s="18"/>
      <c r="U555" s="18"/>
      <c r="V555" s="18"/>
      <c r="W555" s="18"/>
      <c r="X555" s="20"/>
      <c r="Y555" s="18"/>
      <c r="Z555" s="18"/>
      <c r="AA555" s="18"/>
    </row>
    <row r="556">
      <c r="A556" s="195" t="s">
        <v>64</v>
      </c>
      <c r="B556" s="236" t="s">
        <v>78</v>
      </c>
      <c r="C556" s="262" t="s">
        <v>1452</v>
      </c>
      <c r="D556" s="229" t="s">
        <v>1453</v>
      </c>
      <c r="E556" s="132" t="s">
        <v>53</v>
      </c>
      <c r="F556" s="331">
        <v>46176.0</v>
      </c>
      <c r="G556" s="331">
        <v>46176.0</v>
      </c>
      <c r="H556" s="223" t="s">
        <v>25</v>
      </c>
      <c r="I556" s="136" t="s">
        <v>161</v>
      </c>
      <c r="J556" s="135" t="s">
        <v>55</v>
      </c>
      <c r="K556" s="160"/>
      <c r="L556" s="301">
        <v>3.0</v>
      </c>
      <c r="M556" s="203">
        <v>3.0</v>
      </c>
      <c r="N556" s="160"/>
      <c r="O556" s="160"/>
      <c r="P556" s="160"/>
      <c r="Q556" s="160"/>
      <c r="R556" s="160"/>
      <c r="S556" s="160"/>
      <c r="T556" s="18"/>
      <c r="U556" s="18"/>
      <c r="V556" s="20"/>
      <c r="W556" s="20"/>
      <c r="X556" s="20"/>
      <c r="Y556" s="18"/>
      <c r="Z556" s="18"/>
      <c r="AA556" s="18"/>
    </row>
    <row r="557">
      <c r="A557" s="195" t="s">
        <v>22</v>
      </c>
      <c r="B557" s="293" t="s">
        <v>343</v>
      </c>
      <c r="C557" s="262" t="s">
        <v>1454</v>
      </c>
      <c r="D557" s="229" t="s">
        <v>1455</v>
      </c>
      <c r="E557" s="132" t="s">
        <v>53</v>
      </c>
      <c r="F557" s="331">
        <v>46176.0</v>
      </c>
      <c r="G557" s="331">
        <v>46176.0</v>
      </c>
      <c r="H557" s="223" t="s">
        <v>25</v>
      </c>
      <c r="I557" s="136" t="s">
        <v>161</v>
      </c>
      <c r="J557" s="135" t="s">
        <v>34</v>
      </c>
      <c r="K557" s="160"/>
      <c r="L557" s="301">
        <v>1.0</v>
      </c>
      <c r="M557" s="203">
        <v>1.0</v>
      </c>
      <c r="N557" s="160"/>
      <c r="O557" s="160"/>
      <c r="P557" s="160"/>
      <c r="Q557" s="160"/>
      <c r="R557" s="160"/>
      <c r="S557" s="160"/>
      <c r="T557" s="18"/>
      <c r="U557" s="18"/>
      <c r="V557" s="18"/>
      <c r="W557" s="20"/>
      <c r="X557" s="20"/>
      <c r="Y557" s="18"/>
      <c r="Z557" s="18"/>
      <c r="AA557" s="18"/>
    </row>
    <row r="558">
      <c r="A558" s="195" t="s">
        <v>22</v>
      </c>
      <c r="B558" s="303" t="s">
        <v>38</v>
      </c>
      <c r="C558" s="262" t="s">
        <v>1456</v>
      </c>
      <c r="D558" s="229" t="s">
        <v>1457</v>
      </c>
      <c r="E558" s="132" t="s">
        <v>53</v>
      </c>
      <c r="F558" s="331">
        <v>46176.0</v>
      </c>
      <c r="G558" s="331">
        <v>46176.0</v>
      </c>
      <c r="H558" s="223" t="s">
        <v>25</v>
      </c>
      <c r="I558" s="136" t="s">
        <v>161</v>
      </c>
      <c r="J558" s="135" t="s">
        <v>34</v>
      </c>
      <c r="K558" s="160"/>
      <c r="L558" s="301">
        <v>1.0</v>
      </c>
      <c r="M558" s="203">
        <v>1.0</v>
      </c>
      <c r="N558" s="160"/>
      <c r="O558" s="160"/>
      <c r="P558" s="160"/>
      <c r="Q558" s="160"/>
      <c r="R558" s="160"/>
      <c r="S558" s="160"/>
      <c r="T558" s="18"/>
      <c r="U558" s="18"/>
      <c r="V558" s="18"/>
      <c r="W558" s="20"/>
      <c r="X558" s="20"/>
      <c r="Y558" s="18"/>
      <c r="Z558" s="18"/>
      <c r="AA558" s="18"/>
    </row>
    <row r="559">
      <c r="A559" s="195" t="s">
        <v>119</v>
      </c>
      <c r="B559" s="224" t="s">
        <v>729</v>
      </c>
      <c r="C559" s="262" t="s">
        <v>1458</v>
      </c>
      <c r="D559" s="336" t="s">
        <v>1459</v>
      </c>
      <c r="E559" s="132" t="s">
        <v>53</v>
      </c>
      <c r="F559" s="331">
        <v>46176.0</v>
      </c>
      <c r="G559" s="331">
        <v>46176.0</v>
      </c>
      <c r="H559" s="223" t="s">
        <v>25</v>
      </c>
      <c r="I559" s="136" t="s">
        <v>161</v>
      </c>
      <c r="J559" s="135" t="s">
        <v>34</v>
      </c>
      <c r="K559" s="160"/>
      <c r="L559" s="301">
        <v>1.0</v>
      </c>
      <c r="M559" s="203">
        <v>1.0</v>
      </c>
      <c r="N559" s="160"/>
      <c r="O559" s="160"/>
      <c r="P559" s="160"/>
      <c r="Q559" s="160"/>
      <c r="R559" s="160"/>
      <c r="S559" s="160"/>
      <c r="T559" s="18"/>
      <c r="U559" s="18"/>
      <c r="V559" s="18"/>
      <c r="W559" s="18"/>
      <c r="X559" s="20"/>
      <c r="Y559" s="18"/>
      <c r="Z559" s="18"/>
      <c r="AA559" s="18"/>
    </row>
    <row r="560">
      <c r="A560" s="195" t="s">
        <v>140</v>
      </c>
      <c r="B560" s="318" t="s">
        <v>145</v>
      </c>
      <c r="C560" s="262" t="s">
        <v>1454</v>
      </c>
      <c r="D560" s="229" t="s">
        <v>1460</v>
      </c>
      <c r="E560" s="132" t="s">
        <v>53</v>
      </c>
      <c r="F560" s="331">
        <v>46176.0</v>
      </c>
      <c r="G560" s="331">
        <v>46176.0</v>
      </c>
      <c r="H560" s="223" t="s">
        <v>146</v>
      </c>
      <c r="I560" s="136" t="s">
        <v>161</v>
      </c>
      <c r="J560" s="135" t="s">
        <v>34</v>
      </c>
      <c r="K560" s="160"/>
      <c r="L560" s="301">
        <v>5.0</v>
      </c>
      <c r="M560" s="203">
        <v>5.0</v>
      </c>
      <c r="N560" s="160"/>
      <c r="O560" s="160"/>
      <c r="P560" s="160"/>
      <c r="Q560" s="160"/>
      <c r="R560" s="160"/>
      <c r="S560" s="160"/>
      <c r="T560" s="18"/>
      <c r="U560" s="18"/>
      <c r="V560" s="20"/>
      <c r="W560" s="20"/>
      <c r="X560" s="20"/>
      <c r="Y560" s="18"/>
      <c r="Z560" s="18"/>
      <c r="AA560" s="18"/>
    </row>
    <row r="561">
      <c r="A561" s="195" t="s">
        <v>140</v>
      </c>
      <c r="B561" s="318" t="s">
        <v>145</v>
      </c>
      <c r="C561" s="262" t="s">
        <v>1456</v>
      </c>
      <c r="D561" s="229" t="s">
        <v>1461</v>
      </c>
      <c r="E561" s="132" t="s">
        <v>53</v>
      </c>
      <c r="F561" s="331">
        <v>46176.0</v>
      </c>
      <c r="G561" s="331">
        <v>46176.0</v>
      </c>
      <c r="H561" s="223" t="s">
        <v>146</v>
      </c>
      <c r="I561" s="136" t="s">
        <v>161</v>
      </c>
      <c r="J561" s="135" t="s">
        <v>34</v>
      </c>
      <c r="K561" s="160"/>
      <c r="L561" s="301">
        <v>4.0</v>
      </c>
      <c r="M561" s="203">
        <v>4.5</v>
      </c>
      <c r="N561" s="160"/>
      <c r="O561" s="160"/>
      <c r="P561" s="160"/>
      <c r="Q561" s="160"/>
      <c r="R561" s="160"/>
      <c r="S561" s="160"/>
      <c r="T561" s="18"/>
      <c r="U561" s="18"/>
      <c r="V561" s="20"/>
      <c r="W561" s="20"/>
      <c r="X561" s="20"/>
      <c r="Y561" s="18"/>
      <c r="Z561" s="18"/>
      <c r="AA561" s="18"/>
    </row>
    <row r="562">
      <c r="A562" s="195" t="s">
        <v>166</v>
      </c>
      <c r="B562" s="224" t="s">
        <v>729</v>
      </c>
      <c r="C562" s="262" t="s">
        <v>1458</v>
      </c>
      <c r="D562" s="262" t="s">
        <v>524</v>
      </c>
      <c r="E562" s="132" t="s">
        <v>53</v>
      </c>
      <c r="F562" s="331">
        <v>46176.0</v>
      </c>
      <c r="G562" s="331">
        <v>46176.0</v>
      </c>
      <c r="H562" s="223" t="s">
        <v>146</v>
      </c>
      <c r="I562" s="136" t="s">
        <v>161</v>
      </c>
      <c r="J562" s="135" t="s">
        <v>34</v>
      </c>
      <c r="K562" s="160"/>
      <c r="L562" s="301">
        <v>0.5</v>
      </c>
      <c r="M562" s="203">
        <v>0.5</v>
      </c>
      <c r="N562" s="160"/>
      <c r="O562" s="160"/>
      <c r="P562" s="160"/>
      <c r="Q562" s="160"/>
      <c r="R562" s="160"/>
      <c r="S562" s="160"/>
      <c r="T562" s="18"/>
      <c r="U562" s="18"/>
      <c r="V562" s="18"/>
      <c r="W562" s="18"/>
      <c r="X562" s="20"/>
      <c r="Y562" s="18"/>
      <c r="Z562" s="18"/>
      <c r="AA562" s="18"/>
    </row>
    <row r="563">
      <c r="A563" s="195" t="s">
        <v>64</v>
      </c>
      <c r="B563" s="298" t="s">
        <v>75</v>
      </c>
      <c r="C563" s="262" t="s">
        <v>1462</v>
      </c>
      <c r="D563" s="262" t="s">
        <v>524</v>
      </c>
      <c r="E563" s="132" t="s">
        <v>53</v>
      </c>
      <c r="F563" s="331">
        <v>46176.0</v>
      </c>
      <c r="G563" s="331">
        <v>46176.0</v>
      </c>
      <c r="H563" s="223" t="s">
        <v>146</v>
      </c>
      <c r="I563" s="136" t="s">
        <v>161</v>
      </c>
      <c r="J563" s="135" t="s">
        <v>34</v>
      </c>
      <c r="K563" s="160"/>
      <c r="L563" s="301">
        <v>0.5</v>
      </c>
      <c r="M563" s="203">
        <v>0.5</v>
      </c>
      <c r="N563" s="160"/>
      <c r="O563" s="160"/>
      <c r="P563" s="160"/>
      <c r="Q563" s="160"/>
      <c r="R563" s="160"/>
      <c r="S563" s="160"/>
      <c r="T563" s="18"/>
      <c r="U563" s="18"/>
      <c r="V563" s="18"/>
      <c r="W563" s="20"/>
      <c r="X563" s="20"/>
      <c r="Y563" s="18"/>
      <c r="Z563" s="18"/>
      <c r="AA563" s="18"/>
    </row>
    <row r="564">
      <c r="A564" s="195" t="s">
        <v>64</v>
      </c>
      <c r="B564" s="236" t="s">
        <v>78</v>
      </c>
      <c r="C564" s="262" t="s">
        <v>1463</v>
      </c>
      <c r="D564" s="254" t="s">
        <v>1464</v>
      </c>
      <c r="E564" s="132" t="s">
        <v>53</v>
      </c>
      <c r="F564" s="331">
        <v>46176.0</v>
      </c>
      <c r="G564" s="331">
        <v>46176.0</v>
      </c>
      <c r="H564" s="223" t="s">
        <v>79</v>
      </c>
      <c r="I564" s="136" t="s">
        <v>161</v>
      </c>
      <c r="J564" s="135" t="s">
        <v>80</v>
      </c>
      <c r="K564" s="160"/>
      <c r="L564" s="337">
        <v>8.5</v>
      </c>
      <c r="M564" s="203">
        <v>8.0</v>
      </c>
      <c r="N564" s="160"/>
      <c r="O564" s="160"/>
      <c r="P564" s="160"/>
      <c r="Q564" s="160"/>
      <c r="R564" s="160"/>
      <c r="S564" s="160"/>
      <c r="T564" s="18"/>
      <c r="U564" s="18"/>
      <c r="V564" s="20"/>
      <c r="W564" s="20"/>
      <c r="X564" s="20"/>
      <c r="Y564" s="18"/>
      <c r="Z564" s="18"/>
      <c r="AA564" s="18"/>
    </row>
    <row r="565">
      <c r="A565" s="195" t="s">
        <v>166</v>
      </c>
      <c r="B565" s="224" t="s">
        <v>729</v>
      </c>
      <c r="C565" s="262" t="s">
        <v>1465</v>
      </c>
      <c r="D565" s="229" t="s">
        <v>1466</v>
      </c>
      <c r="E565" s="132" t="s">
        <v>53</v>
      </c>
      <c r="F565" s="331">
        <v>46177.0</v>
      </c>
      <c r="G565" s="331">
        <v>46177.0</v>
      </c>
      <c r="H565" s="223" t="s">
        <v>25</v>
      </c>
      <c r="I565" s="136" t="s">
        <v>161</v>
      </c>
      <c r="J565" s="135" t="s">
        <v>34</v>
      </c>
      <c r="K565" s="160"/>
      <c r="L565" s="337">
        <v>0.5</v>
      </c>
      <c r="M565" s="203">
        <v>0.5</v>
      </c>
      <c r="N565" s="160"/>
      <c r="O565" s="160"/>
      <c r="P565" s="160"/>
      <c r="Q565" s="160"/>
      <c r="R565" s="160"/>
      <c r="S565" s="160"/>
      <c r="T565" s="18"/>
      <c r="U565" s="18"/>
      <c r="V565" s="18"/>
      <c r="W565" s="18"/>
      <c r="X565" s="20"/>
      <c r="Y565" s="18"/>
      <c r="Z565" s="18"/>
      <c r="AA565" s="18"/>
    </row>
    <row r="566">
      <c r="A566" s="195" t="s">
        <v>22</v>
      </c>
      <c r="B566" s="293" t="s">
        <v>343</v>
      </c>
      <c r="C566" s="262" t="s">
        <v>1467</v>
      </c>
      <c r="D566" s="229" t="s">
        <v>1468</v>
      </c>
      <c r="E566" s="132" t="s">
        <v>53</v>
      </c>
      <c r="F566" s="331">
        <v>46177.0</v>
      </c>
      <c r="G566" s="331">
        <v>46177.0</v>
      </c>
      <c r="H566" s="223" t="s">
        <v>25</v>
      </c>
      <c r="I566" s="136" t="s">
        <v>161</v>
      </c>
      <c r="J566" s="135" t="s">
        <v>34</v>
      </c>
      <c r="K566" s="160"/>
      <c r="L566" s="337">
        <v>0.5</v>
      </c>
      <c r="M566" s="203">
        <v>0.5</v>
      </c>
      <c r="N566" s="160"/>
      <c r="O566" s="160"/>
      <c r="P566" s="160"/>
      <c r="Q566" s="160"/>
      <c r="R566" s="160"/>
      <c r="S566" s="160"/>
      <c r="T566" s="18"/>
      <c r="U566" s="18"/>
      <c r="V566" s="18"/>
      <c r="W566" s="20"/>
      <c r="X566" s="20"/>
      <c r="Y566" s="18"/>
      <c r="Z566" s="18"/>
      <c r="AA566" s="18"/>
    </row>
    <row r="567">
      <c r="A567" s="195" t="s">
        <v>22</v>
      </c>
      <c r="B567" s="293" t="s">
        <v>1469</v>
      </c>
      <c r="C567" s="262" t="s">
        <v>1470</v>
      </c>
      <c r="D567" s="229" t="s">
        <v>1471</v>
      </c>
      <c r="E567" s="132" t="s">
        <v>53</v>
      </c>
      <c r="F567" s="331">
        <v>46177.0</v>
      </c>
      <c r="G567" s="331">
        <v>46177.0</v>
      </c>
      <c r="H567" s="223" t="s">
        <v>25</v>
      </c>
      <c r="I567" s="136" t="s">
        <v>161</v>
      </c>
      <c r="J567" s="135" t="s">
        <v>34</v>
      </c>
      <c r="K567" s="160"/>
      <c r="L567" s="337">
        <v>2.0</v>
      </c>
      <c r="M567" s="203">
        <v>2.0</v>
      </c>
      <c r="N567" s="160"/>
      <c r="O567" s="160"/>
      <c r="P567" s="160"/>
      <c r="Q567" s="160"/>
      <c r="R567" s="160"/>
      <c r="S567" s="160"/>
      <c r="T567" s="18"/>
      <c r="U567" s="18"/>
      <c r="V567" s="18"/>
      <c r="W567" s="18"/>
      <c r="X567" s="20"/>
      <c r="Y567" s="18"/>
      <c r="Z567" s="18"/>
      <c r="AA567" s="18"/>
    </row>
    <row r="568">
      <c r="A568" s="195" t="s">
        <v>166</v>
      </c>
      <c r="B568" s="224" t="s">
        <v>729</v>
      </c>
      <c r="C568" s="262" t="s">
        <v>1472</v>
      </c>
      <c r="D568" s="229" t="s">
        <v>1473</v>
      </c>
      <c r="E568" s="132" t="s">
        <v>53</v>
      </c>
      <c r="F568" s="331">
        <v>46177.0</v>
      </c>
      <c r="G568" s="331">
        <v>46177.0</v>
      </c>
      <c r="H568" s="223" t="s">
        <v>25</v>
      </c>
      <c r="I568" s="136" t="s">
        <v>161</v>
      </c>
      <c r="J568" s="135" t="s">
        <v>34</v>
      </c>
      <c r="K568" s="160"/>
      <c r="L568" s="337">
        <v>2.0</v>
      </c>
      <c r="M568" s="203">
        <v>2.0</v>
      </c>
      <c r="N568" s="160"/>
      <c r="O568" s="160"/>
      <c r="P568" s="160"/>
      <c r="Q568" s="160"/>
      <c r="R568" s="160"/>
      <c r="S568" s="160"/>
      <c r="T568" s="18"/>
      <c r="U568" s="18"/>
      <c r="V568" s="18"/>
      <c r="W568" s="18"/>
      <c r="X568" s="20"/>
      <c r="Y568" s="18"/>
      <c r="Z568" s="18"/>
      <c r="AA568" s="18"/>
    </row>
    <row r="569">
      <c r="A569" s="195" t="s">
        <v>64</v>
      </c>
      <c r="B569" s="298" t="s">
        <v>113</v>
      </c>
      <c r="C569" s="262" t="s">
        <v>1474</v>
      </c>
      <c r="D569" s="229" t="s">
        <v>1475</v>
      </c>
      <c r="E569" s="132" t="s">
        <v>53</v>
      </c>
      <c r="F569" s="331">
        <v>46177.0</v>
      </c>
      <c r="G569" s="331">
        <v>46177.0</v>
      </c>
      <c r="H569" s="223" t="s">
        <v>25</v>
      </c>
      <c r="I569" s="136" t="s">
        <v>161</v>
      </c>
      <c r="J569" s="135" t="s">
        <v>34</v>
      </c>
      <c r="K569" s="160"/>
      <c r="L569" s="337">
        <v>5.0</v>
      </c>
      <c r="M569" s="203">
        <v>2.0</v>
      </c>
      <c r="N569" s="160"/>
      <c r="O569" s="160"/>
      <c r="P569" s="160"/>
      <c r="Q569" s="160"/>
      <c r="R569" s="160"/>
      <c r="S569" s="160"/>
      <c r="T569" s="18"/>
      <c r="U569" s="18"/>
      <c r="V569" s="18"/>
      <c r="W569" s="20"/>
      <c r="X569" s="20"/>
      <c r="Y569" s="18"/>
      <c r="Z569" s="18"/>
      <c r="AA569" s="18"/>
    </row>
    <row r="570">
      <c r="A570" s="195" t="s">
        <v>22</v>
      </c>
      <c r="B570" s="293" t="s">
        <v>1469</v>
      </c>
      <c r="C570" s="262" t="s">
        <v>1476</v>
      </c>
      <c r="D570" s="229" t="s">
        <v>1477</v>
      </c>
      <c r="E570" s="132" t="s">
        <v>53</v>
      </c>
      <c r="F570" s="331">
        <v>46177.0</v>
      </c>
      <c r="G570" s="331">
        <v>46177.0</v>
      </c>
      <c r="H570" s="223" t="s">
        <v>25</v>
      </c>
      <c r="I570" s="136" t="s">
        <v>161</v>
      </c>
      <c r="J570" s="135" t="s">
        <v>34</v>
      </c>
      <c r="K570" s="160"/>
      <c r="L570" s="337">
        <v>2.0</v>
      </c>
      <c r="M570" s="203">
        <v>1.5</v>
      </c>
      <c r="N570" s="160"/>
      <c r="O570" s="160"/>
      <c r="P570" s="160"/>
      <c r="Q570" s="160"/>
      <c r="R570" s="160"/>
      <c r="S570" s="160"/>
      <c r="T570" s="18"/>
      <c r="U570" s="18"/>
      <c r="V570" s="18"/>
      <c r="W570" s="18"/>
      <c r="X570" s="20"/>
      <c r="Y570" s="18"/>
      <c r="Z570" s="18"/>
      <c r="AA570" s="18"/>
    </row>
    <row r="571">
      <c r="A571" s="195" t="s">
        <v>166</v>
      </c>
      <c r="B571" s="224" t="s">
        <v>729</v>
      </c>
      <c r="C571" s="262" t="s">
        <v>1478</v>
      </c>
      <c r="D571" s="262" t="s">
        <v>524</v>
      </c>
      <c r="E571" s="132" t="s">
        <v>53</v>
      </c>
      <c r="F571" s="331">
        <v>46177.0</v>
      </c>
      <c r="G571" s="331">
        <v>46177.0</v>
      </c>
      <c r="H571" s="223" t="s">
        <v>146</v>
      </c>
      <c r="I571" s="136" t="s">
        <v>161</v>
      </c>
      <c r="J571" s="135" t="s">
        <v>34</v>
      </c>
      <c r="K571" s="160"/>
      <c r="L571" s="301">
        <v>0.5</v>
      </c>
      <c r="M571" s="203">
        <v>0.5</v>
      </c>
      <c r="N571" s="160"/>
      <c r="O571" s="160"/>
      <c r="P571" s="160"/>
      <c r="Q571" s="160"/>
      <c r="R571" s="160"/>
      <c r="S571" s="160"/>
      <c r="T571" s="18"/>
      <c r="U571" s="18"/>
      <c r="V571" s="18"/>
      <c r="W571" s="18"/>
      <c r="X571" s="20"/>
      <c r="Y571" s="18"/>
      <c r="Z571" s="18"/>
      <c r="AA571" s="18"/>
    </row>
    <row r="572">
      <c r="A572" s="195" t="s">
        <v>64</v>
      </c>
      <c r="B572" s="298" t="s">
        <v>75</v>
      </c>
      <c r="C572" s="262" t="s">
        <v>1479</v>
      </c>
      <c r="D572" s="262" t="s">
        <v>524</v>
      </c>
      <c r="E572" s="132" t="s">
        <v>53</v>
      </c>
      <c r="F572" s="331">
        <v>46177.0</v>
      </c>
      <c r="G572" s="331">
        <v>46177.0</v>
      </c>
      <c r="H572" s="223" t="s">
        <v>146</v>
      </c>
      <c r="I572" s="136" t="s">
        <v>161</v>
      </c>
      <c r="J572" s="135" t="s">
        <v>34</v>
      </c>
      <c r="K572" s="160"/>
      <c r="L572" s="301">
        <v>0.5</v>
      </c>
      <c r="M572" s="203">
        <v>0.5</v>
      </c>
      <c r="N572" s="160"/>
      <c r="O572" s="160"/>
      <c r="P572" s="160"/>
      <c r="Q572" s="160"/>
      <c r="R572" s="160"/>
      <c r="S572" s="160"/>
      <c r="T572" s="18"/>
      <c r="U572" s="18"/>
      <c r="V572" s="18"/>
      <c r="W572" s="20"/>
      <c r="X572" s="20"/>
      <c r="Y572" s="18"/>
      <c r="Z572" s="18"/>
      <c r="AA572" s="18"/>
    </row>
    <row r="573">
      <c r="A573" s="195" t="s">
        <v>166</v>
      </c>
      <c r="B573" s="224" t="s">
        <v>729</v>
      </c>
      <c r="C573" s="262" t="s">
        <v>1480</v>
      </c>
      <c r="D573" s="229" t="s">
        <v>1481</v>
      </c>
      <c r="E573" s="132" t="s">
        <v>53</v>
      </c>
      <c r="F573" s="331">
        <v>46177.0</v>
      </c>
      <c r="G573" s="331">
        <v>46177.0</v>
      </c>
      <c r="H573" s="223" t="s">
        <v>146</v>
      </c>
      <c r="I573" s="136" t="s">
        <v>161</v>
      </c>
      <c r="J573" s="135" t="s">
        <v>34</v>
      </c>
      <c r="K573" s="160"/>
      <c r="L573" s="301">
        <v>1.0</v>
      </c>
      <c r="M573" s="203">
        <v>1.0</v>
      </c>
      <c r="N573" s="160"/>
      <c r="O573" s="160"/>
      <c r="P573" s="160"/>
      <c r="Q573" s="160"/>
      <c r="R573" s="160"/>
      <c r="S573" s="160"/>
      <c r="T573" s="18"/>
      <c r="U573" s="18"/>
      <c r="V573" s="18"/>
      <c r="W573" s="18"/>
      <c r="X573" s="20"/>
      <c r="Y573" s="18"/>
      <c r="Z573" s="18"/>
      <c r="AA573" s="18"/>
    </row>
    <row r="574">
      <c r="A574" s="195" t="s">
        <v>22</v>
      </c>
      <c r="B574" s="293" t="s">
        <v>1469</v>
      </c>
      <c r="C574" s="262" t="s">
        <v>1482</v>
      </c>
      <c r="D574" s="229" t="s">
        <v>1483</v>
      </c>
      <c r="E574" s="132" t="s">
        <v>53</v>
      </c>
      <c r="F574" s="331">
        <v>46177.0</v>
      </c>
      <c r="G574" s="331">
        <v>46177.0</v>
      </c>
      <c r="H574" s="223" t="s">
        <v>146</v>
      </c>
      <c r="I574" s="136" t="s">
        <v>161</v>
      </c>
      <c r="J574" s="135" t="s">
        <v>34</v>
      </c>
      <c r="K574" s="160"/>
      <c r="L574" s="301">
        <v>0.5</v>
      </c>
      <c r="M574" s="203">
        <v>0.5</v>
      </c>
      <c r="N574" s="160"/>
      <c r="O574" s="160"/>
      <c r="P574" s="160"/>
      <c r="Q574" s="160"/>
      <c r="R574" s="160"/>
      <c r="S574" s="160"/>
      <c r="T574" s="18"/>
      <c r="U574" s="18"/>
      <c r="V574" s="18"/>
      <c r="W574" s="18"/>
      <c r="X574" s="20"/>
      <c r="Y574" s="18"/>
      <c r="Z574" s="18"/>
      <c r="AA574" s="18"/>
    </row>
    <row r="575">
      <c r="A575" s="195" t="s">
        <v>140</v>
      </c>
      <c r="B575" s="318" t="s">
        <v>145</v>
      </c>
      <c r="C575" s="262" t="s">
        <v>1484</v>
      </c>
      <c r="D575" s="229" t="s">
        <v>1485</v>
      </c>
      <c r="E575" s="132" t="s">
        <v>53</v>
      </c>
      <c r="F575" s="331">
        <v>46177.0</v>
      </c>
      <c r="G575" s="331">
        <v>46177.0</v>
      </c>
      <c r="H575" s="223" t="s">
        <v>146</v>
      </c>
      <c r="I575" s="136" t="s">
        <v>161</v>
      </c>
      <c r="J575" s="135" t="s">
        <v>34</v>
      </c>
      <c r="K575" s="160"/>
      <c r="L575" s="301">
        <v>4.0</v>
      </c>
      <c r="M575" s="203">
        <v>3.0</v>
      </c>
      <c r="N575" s="160"/>
      <c r="O575" s="160"/>
      <c r="P575" s="160"/>
      <c r="Q575" s="160"/>
      <c r="R575" s="160"/>
      <c r="S575" s="160"/>
      <c r="T575" s="18"/>
      <c r="U575" s="18"/>
      <c r="V575" s="20"/>
      <c r="W575" s="20"/>
      <c r="X575" s="20"/>
      <c r="Y575" s="18"/>
      <c r="Z575" s="18"/>
      <c r="AA575" s="18"/>
    </row>
    <row r="576">
      <c r="A576" s="195" t="s">
        <v>140</v>
      </c>
      <c r="B576" s="318" t="s">
        <v>145</v>
      </c>
      <c r="C576" s="262" t="s">
        <v>1486</v>
      </c>
      <c r="D576" s="229" t="s">
        <v>1487</v>
      </c>
      <c r="E576" s="132" t="s">
        <v>53</v>
      </c>
      <c r="F576" s="331">
        <v>46177.0</v>
      </c>
      <c r="G576" s="331">
        <v>46177.0</v>
      </c>
      <c r="H576" s="223" t="s">
        <v>146</v>
      </c>
      <c r="I576" s="136" t="s">
        <v>161</v>
      </c>
      <c r="J576" s="135" t="s">
        <v>34</v>
      </c>
      <c r="K576" s="160"/>
      <c r="L576" s="301">
        <v>5.0</v>
      </c>
      <c r="M576" s="203">
        <v>5.0</v>
      </c>
      <c r="N576" s="160"/>
      <c r="O576" s="160"/>
      <c r="P576" s="160"/>
      <c r="Q576" s="160"/>
      <c r="R576" s="160"/>
      <c r="S576" s="160"/>
      <c r="T576" s="18"/>
      <c r="U576" s="18"/>
      <c r="V576" s="20"/>
      <c r="W576" s="20"/>
      <c r="X576" s="20"/>
      <c r="Y576" s="18"/>
      <c r="Z576" s="18"/>
      <c r="AA576" s="18"/>
    </row>
    <row r="577">
      <c r="A577" s="195" t="s">
        <v>166</v>
      </c>
      <c r="B577" s="224" t="s">
        <v>729</v>
      </c>
      <c r="C577" s="262" t="s">
        <v>1488</v>
      </c>
      <c r="D577" s="229" t="s">
        <v>1489</v>
      </c>
      <c r="E577" s="132" t="s">
        <v>53</v>
      </c>
      <c r="F577" s="331">
        <v>46178.0</v>
      </c>
      <c r="G577" s="331">
        <v>46178.0</v>
      </c>
      <c r="H577" s="223" t="s">
        <v>25</v>
      </c>
      <c r="I577" s="136" t="s">
        <v>161</v>
      </c>
      <c r="J577" s="135" t="s">
        <v>34</v>
      </c>
      <c r="K577" s="160"/>
      <c r="L577" s="301">
        <v>0.5</v>
      </c>
      <c r="M577" s="301">
        <v>0.5</v>
      </c>
      <c r="N577" s="160"/>
      <c r="O577" s="160"/>
      <c r="P577" s="160"/>
      <c r="Q577" s="160"/>
      <c r="R577" s="160"/>
      <c r="S577" s="160"/>
      <c r="T577" s="18"/>
      <c r="U577" s="18"/>
      <c r="V577" s="18"/>
      <c r="W577" s="18"/>
      <c r="X577" s="20"/>
      <c r="Y577" s="18"/>
      <c r="Z577" s="18"/>
      <c r="AA577" s="18"/>
    </row>
    <row r="578">
      <c r="A578" s="195" t="s">
        <v>64</v>
      </c>
      <c r="B578" s="236" t="s">
        <v>78</v>
      </c>
      <c r="C578" s="262" t="s">
        <v>1490</v>
      </c>
      <c r="D578" s="229" t="s">
        <v>1491</v>
      </c>
      <c r="E578" s="132" t="s">
        <v>53</v>
      </c>
      <c r="F578" s="331">
        <v>46178.0</v>
      </c>
      <c r="G578" s="331">
        <v>46178.0</v>
      </c>
      <c r="H578" s="223" t="s">
        <v>25</v>
      </c>
      <c r="I578" s="136" t="s">
        <v>161</v>
      </c>
      <c r="J578" s="135" t="s">
        <v>55</v>
      </c>
      <c r="K578" s="160"/>
      <c r="L578" s="301">
        <v>3.0</v>
      </c>
      <c r="M578" s="301">
        <v>3.5</v>
      </c>
      <c r="N578" s="160"/>
      <c r="O578" s="160"/>
      <c r="P578" s="160"/>
      <c r="Q578" s="160"/>
      <c r="R578" s="160"/>
      <c r="S578" s="160"/>
      <c r="T578" s="18"/>
      <c r="U578" s="18"/>
      <c r="V578" s="20"/>
      <c r="W578" s="20"/>
      <c r="X578" s="20"/>
      <c r="Y578" s="18"/>
      <c r="Z578" s="18"/>
      <c r="AA578" s="18"/>
    </row>
    <row r="579">
      <c r="A579" s="195" t="s">
        <v>22</v>
      </c>
      <c r="B579" s="303" t="s">
        <v>38</v>
      </c>
      <c r="C579" s="262" t="s">
        <v>1492</v>
      </c>
      <c r="D579" s="229" t="s">
        <v>1493</v>
      </c>
      <c r="E579" s="132" t="s">
        <v>53</v>
      </c>
      <c r="F579" s="331">
        <v>46178.0</v>
      </c>
      <c r="G579" s="331">
        <v>46178.0</v>
      </c>
      <c r="H579" s="223" t="s">
        <v>25</v>
      </c>
      <c r="I579" s="136" t="s">
        <v>161</v>
      </c>
      <c r="J579" s="135" t="s">
        <v>55</v>
      </c>
      <c r="K579" s="160"/>
      <c r="L579" s="301">
        <v>1.0</v>
      </c>
      <c r="M579" s="301">
        <v>1.0</v>
      </c>
      <c r="N579" s="160"/>
      <c r="O579" s="160"/>
      <c r="P579" s="160"/>
      <c r="Q579" s="160"/>
      <c r="R579" s="160"/>
      <c r="S579" s="160"/>
      <c r="T579" s="18"/>
      <c r="U579" s="18"/>
      <c r="V579" s="20"/>
      <c r="W579" s="20"/>
      <c r="X579" s="20"/>
      <c r="Y579" s="18"/>
      <c r="Z579" s="18"/>
      <c r="AA579" s="18"/>
    </row>
    <row r="580">
      <c r="A580" s="195" t="s">
        <v>22</v>
      </c>
      <c r="B580" s="303" t="s">
        <v>38</v>
      </c>
      <c r="C580" s="262" t="s">
        <v>1494</v>
      </c>
      <c r="D580" s="229" t="s">
        <v>1495</v>
      </c>
      <c r="E580" s="132" t="s">
        <v>53</v>
      </c>
      <c r="F580" s="331">
        <v>46178.0</v>
      </c>
      <c r="G580" s="331">
        <v>46178.0</v>
      </c>
      <c r="H580" s="223" t="s">
        <v>25</v>
      </c>
      <c r="I580" s="136" t="s">
        <v>161</v>
      </c>
      <c r="J580" s="135" t="s">
        <v>34</v>
      </c>
      <c r="K580" s="160"/>
      <c r="L580" s="301">
        <v>2.0</v>
      </c>
      <c r="M580" s="301">
        <v>1.5</v>
      </c>
      <c r="N580" s="160"/>
      <c r="O580" s="160"/>
      <c r="P580" s="160"/>
      <c r="Q580" s="160"/>
      <c r="R580" s="160"/>
      <c r="S580" s="160"/>
      <c r="T580" s="18"/>
      <c r="U580" s="18"/>
      <c r="V580" s="18"/>
      <c r="W580" s="20"/>
      <c r="X580" s="20"/>
      <c r="Y580" s="18"/>
      <c r="Z580" s="18"/>
      <c r="AA580" s="18"/>
    </row>
    <row r="581">
      <c r="A581" s="195" t="s">
        <v>22</v>
      </c>
      <c r="B581" s="303" t="s">
        <v>38</v>
      </c>
      <c r="C581" s="262" t="s">
        <v>1496</v>
      </c>
      <c r="D581" s="229" t="s">
        <v>1497</v>
      </c>
      <c r="E581" s="132" t="s">
        <v>53</v>
      </c>
      <c r="F581" s="331">
        <v>46178.0</v>
      </c>
      <c r="G581" s="331">
        <v>46178.0</v>
      </c>
      <c r="H581" s="223" t="s">
        <v>25</v>
      </c>
      <c r="I581" s="136" t="s">
        <v>161</v>
      </c>
      <c r="J581" s="135" t="s">
        <v>34</v>
      </c>
      <c r="K581" s="160"/>
      <c r="L581" s="301">
        <v>1.0</v>
      </c>
      <c r="M581" s="301">
        <v>1.0</v>
      </c>
      <c r="N581" s="160"/>
      <c r="O581" s="160"/>
      <c r="P581" s="160"/>
      <c r="Q581" s="160"/>
      <c r="R581" s="160"/>
      <c r="S581" s="160"/>
      <c r="T581" s="18"/>
      <c r="U581" s="18"/>
      <c r="V581" s="18"/>
      <c r="W581" s="20"/>
      <c r="X581" s="20"/>
      <c r="Y581" s="18"/>
      <c r="Z581" s="18"/>
      <c r="AA581" s="18"/>
    </row>
    <row r="582">
      <c r="A582" s="195" t="s">
        <v>166</v>
      </c>
      <c r="B582" s="224" t="s">
        <v>729</v>
      </c>
      <c r="C582" s="262" t="s">
        <v>1498</v>
      </c>
      <c r="D582" s="262" t="s">
        <v>1499</v>
      </c>
      <c r="E582" s="132" t="s">
        <v>53</v>
      </c>
      <c r="F582" s="331">
        <v>46178.0</v>
      </c>
      <c r="G582" s="331">
        <v>46178.0</v>
      </c>
      <c r="H582" s="223" t="s">
        <v>146</v>
      </c>
      <c r="I582" s="136" t="s">
        <v>161</v>
      </c>
      <c r="J582" s="135" t="s">
        <v>34</v>
      </c>
      <c r="K582" s="160"/>
      <c r="L582" s="301">
        <v>0.5</v>
      </c>
      <c r="M582" s="301">
        <v>0.5</v>
      </c>
      <c r="N582" s="160"/>
      <c r="O582" s="160"/>
      <c r="P582" s="160"/>
      <c r="Q582" s="160"/>
      <c r="R582" s="160"/>
      <c r="S582" s="160"/>
      <c r="T582" s="18"/>
      <c r="U582" s="18"/>
      <c r="V582" s="18"/>
      <c r="W582" s="18"/>
      <c r="X582" s="20"/>
      <c r="Y582" s="18"/>
      <c r="Z582" s="18"/>
      <c r="AA582" s="18"/>
    </row>
    <row r="583">
      <c r="A583" s="195" t="s">
        <v>64</v>
      </c>
      <c r="B583" s="298" t="s">
        <v>75</v>
      </c>
      <c r="C583" s="262" t="s">
        <v>1500</v>
      </c>
      <c r="D583" s="262" t="s">
        <v>524</v>
      </c>
      <c r="E583" s="132" t="s">
        <v>53</v>
      </c>
      <c r="F583" s="331">
        <v>46178.0</v>
      </c>
      <c r="G583" s="331">
        <v>46178.0</v>
      </c>
      <c r="H583" s="223" t="s">
        <v>146</v>
      </c>
      <c r="I583" s="136" t="s">
        <v>161</v>
      </c>
      <c r="J583" s="135" t="s">
        <v>34</v>
      </c>
      <c r="K583" s="160"/>
      <c r="L583" s="301">
        <v>0.5</v>
      </c>
      <c r="M583" s="301">
        <v>0.5</v>
      </c>
      <c r="N583" s="160"/>
      <c r="O583" s="160"/>
      <c r="P583" s="160"/>
      <c r="Q583" s="160"/>
      <c r="R583" s="160"/>
      <c r="S583" s="160"/>
      <c r="T583" s="18"/>
      <c r="U583" s="18"/>
      <c r="V583" s="18"/>
      <c r="W583" s="20"/>
      <c r="X583" s="20"/>
      <c r="Y583" s="18"/>
      <c r="Z583" s="18"/>
      <c r="AA583" s="18"/>
    </row>
    <row r="584">
      <c r="A584" s="195" t="s">
        <v>166</v>
      </c>
      <c r="B584" s="224" t="s">
        <v>729</v>
      </c>
      <c r="C584" s="262" t="s">
        <v>1501</v>
      </c>
      <c r="D584" s="229" t="s">
        <v>1502</v>
      </c>
      <c r="E584" s="132" t="s">
        <v>53</v>
      </c>
      <c r="F584" s="331">
        <v>46178.0</v>
      </c>
      <c r="G584" s="331">
        <v>46178.0</v>
      </c>
      <c r="H584" s="223" t="s">
        <v>146</v>
      </c>
      <c r="I584" s="136" t="s">
        <v>161</v>
      </c>
      <c r="J584" s="135" t="s">
        <v>34</v>
      </c>
      <c r="K584" s="160"/>
      <c r="L584" s="301">
        <v>0.5</v>
      </c>
      <c r="M584" s="301">
        <v>0.5</v>
      </c>
      <c r="N584" s="160"/>
      <c r="O584" s="160"/>
      <c r="P584" s="160"/>
      <c r="Q584" s="160"/>
      <c r="R584" s="160"/>
      <c r="S584" s="160"/>
      <c r="T584" s="18"/>
      <c r="U584" s="18"/>
      <c r="V584" s="18"/>
      <c r="W584" s="18"/>
      <c r="X584" s="20"/>
      <c r="Y584" s="18"/>
      <c r="Z584" s="18"/>
      <c r="AA584" s="18"/>
    </row>
    <row r="585">
      <c r="A585" s="195" t="s">
        <v>64</v>
      </c>
      <c r="B585" s="298" t="s">
        <v>75</v>
      </c>
      <c r="C585" s="262" t="s">
        <v>1503</v>
      </c>
      <c r="D585" s="229" t="s">
        <v>1504</v>
      </c>
      <c r="E585" s="132" t="s">
        <v>53</v>
      </c>
      <c r="F585" s="331">
        <v>46178.0</v>
      </c>
      <c r="G585" s="331">
        <v>46178.0</v>
      </c>
      <c r="H585" s="223" t="s">
        <v>146</v>
      </c>
      <c r="I585" s="136" t="s">
        <v>161</v>
      </c>
      <c r="J585" s="135" t="s">
        <v>34</v>
      </c>
      <c r="K585" s="160"/>
      <c r="L585" s="301">
        <v>1.0</v>
      </c>
      <c r="M585" s="301">
        <v>1.0</v>
      </c>
      <c r="N585" s="160"/>
      <c r="O585" s="160"/>
      <c r="P585" s="160"/>
      <c r="Q585" s="160"/>
      <c r="R585" s="160"/>
      <c r="S585" s="160"/>
      <c r="T585" s="18"/>
      <c r="U585" s="18"/>
      <c r="V585" s="18"/>
      <c r="W585" s="20"/>
      <c r="X585" s="20"/>
      <c r="Y585" s="18"/>
      <c r="Z585" s="18"/>
      <c r="AA585" s="18"/>
    </row>
    <row r="586">
      <c r="A586" s="195" t="s">
        <v>22</v>
      </c>
      <c r="B586" s="293" t="s">
        <v>1469</v>
      </c>
      <c r="C586" s="262" t="s">
        <v>1505</v>
      </c>
      <c r="D586" s="229" t="s">
        <v>1506</v>
      </c>
      <c r="E586" s="132" t="s">
        <v>53</v>
      </c>
      <c r="F586" s="331">
        <v>46178.0</v>
      </c>
      <c r="G586" s="331">
        <v>46178.0</v>
      </c>
      <c r="H586" s="223" t="s">
        <v>146</v>
      </c>
      <c r="I586" s="136" t="s">
        <v>161</v>
      </c>
      <c r="J586" s="135" t="s">
        <v>34</v>
      </c>
      <c r="K586" s="160"/>
      <c r="L586" s="301">
        <v>0.5</v>
      </c>
      <c r="M586" s="301">
        <v>0.5</v>
      </c>
      <c r="N586" s="160"/>
      <c r="O586" s="160"/>
      <c r="P586" s="160"/>
      <c r="Q586" s="160"/>
      <c r="R586" s="160"/>
      <c r="S586" s="160"/>
      <c r="T586" s="18"/>
      <c r="U586" s="18"/>
      <c r="V586" s="18"/>
      <c r="W586" s="18"/>
      <c r="X586" s="20"/>
      <c r="Y586" s="18"/>
      <c r="Z586" s="18"/>
      <c r="AA586" s="18"/>
    </row>
    <row r="587">
      <c r="A587" s="195" t="s">
        <v>140</v>
      </c>
      <c r="B587" s="318" t="s">
        <v>145</v>
      </c>
      <c r="C587" s="262" t="s">
        <v>1507</v>
      </c>
      <c r="D587" s="229" t="s">
        <v>1508</v>
      </c>
      <c r="E587" s="132" t="s">
        <v>53</v>
      </c>
      <c r="F587" s="331">
        <v>46178.0</v>
      </c>
      <c r="G587" s="331">
        <v>46178.0</v>
      </c>
      <c r="H587" s="223" t="s">
        <v>146</v>
      </c>
      <c r="I587" s="136" t="s">
        <v>161</v>
      </c>
      <c r="J587" s="135" t="s">
        <v>34</v>
      </c>
      <c r="K587" s="160"/>
      <c r="L587" s="301">
        <v>3.0</v>
      </c>
      <c r="M587" s="203">
        <v>3.0</v>
      </c>
      <c r="N587" s="160"/>
      <c r="O587" s="160"/>
      <c r="P587" s="160"/>
      <c r="Q587" s="160"/>
      <c r="R587" s="160"/>
      <c r="S587" s="160"/>
      <c r="T587" s="18"/>
      <c r="U587" s="18"/>
      <c r="V587" s="20"/>
      <c r="W587" s="20"/>
      <c r="X587" s="20"/>
      <c r="Y587" s="18"/>
      <c r="Z587" s="18"/>
      <c r="AA587" s="18"/>
    </row>
    <row r="588">
      <c r="A588" s="195" t="s">
        <v>140</v>
      </c>
      <c r="B588" s="318" t="s">
        <v>145</v>
      </c>
      <c r="C588" s="262" t="s">
        <v>1509</v>
      </c>
      <c r="D588" s="229" t="s">
        <v>1510</v>
      </c>
      <c r="E588" s="132" t="s">
        <v>53</v>
      </c>
      <c r="F588" s="331">
        <v>46178.0</v>
      </c>
      <c r="G588" s="331">
        <v>46178.0</v>
      </c>
      <c r="H588" s="223" t="s">
        <v>146</v>
      </c>
      <c r="I588" s="136" t="s">
        <v>161</v>
      </c>
      <c r="J588" s="135" t="s">
        <v>34</v>
      </c>
      <c r="K588" s="160"/>
      <c r="L588" s="301">
        <v>4.0</v>
      </c>
      <c r="M588" s="203">
        <v>4.5</v>
      </c>
      <c r="N588" s="160"/>
      <c r="O588" s="160"/>
      <c r="P588" s="160"/>
      <c r="Q588" s="160"/>
      <c r="R588" s="160"/>
      <c r="S588" s="160"/>
      <c r="T588" s="18"/>
      <c r="U588" s="18"/>
      <c r="V588" s="20"/>
      <c r="W588" s="20"/>
      <c r="X588" s="20"/>
      <c r="Y588" s="18"/>
      <c r="Z588" s="18"/>
      <c r="AA588" s="18"/>
    </row>
    <row r="589">
      <c r="A589" s="195" t="s">
        <v>64</v>
      </c>
      <c r="B589" s="298" t="s">
        <v>1434</v>
      </c>
      <c r="C589" s="262"/>
      <c r="D589" s="229" t="s">
        <v>1511</v>
      </c>
      <c r="E589" s="132"/>
      <c r="F589" s="331">
        <v>46177.0</v>
      </c>
      <c r="G589" s="331">
        <v>46178.0</v>
      </c>
      <c r="H589" s="223"/>
      <c r="I589" s="136"/>
      <c r="J589" s="172"/>
      <c r="K589" s="160"/>
      <c r="L589" s="301"/>
      <c r="M589" s="203"/>
      <c r="N589" s="160"/>
      <c r="O589" s="160"/>
      <c r="P589" s="160"/>
      <c r="Q589" s="160"/>
      <c r="R589" s="160"/>
      <c r="S589" s="160"/>
      <c r="T589" s="18"/>
      <c r="U589" s="18"/>
      <c r="V589" s="20"/>
      <c r="W589" s="20"/>
      <c r="X589" s="20"/>
      <c r="Y589" s="18"/>
      <c r="Z589" s="18"/>
      <c r="AA589" s="18"/>
    </row>
    <row r="590">
      <c r="A590" s="195" t="s">
        <v>64</v>
      </c>
      <c r="B590" s="298" t="s">
        <v>75</v>
      </c>
      <c r="C590" s="160"/>
      <c r="D590" s="229" t="s">
        <v>1512</v>
      </c>
      <c r="E590" s="132" t="s">
        <v>53</v>
      </c>
      <c r="F590" s="331">
        <v>46181.0</v>
      </c>
      <c r="G590" s="160"/>
      <c r="H590" s="223" t="s">
        <v>79</v>
      </c>
      <c r="I590" s="136" t="s">
        <v>39</v>
      </c>
      <c r="J590" s="172"/>
      <c r="K590" s="160"/>
      <c r="L590" s="172"/>
      <c r="M590" s="203">
        <v>0.0</v>
      </c>
      <c r="N590" s="160"/>
      <c r="O590" s="160"/>
      <c r="P590" s="160"/>
      <c r="Q590" s="160"/>
      <c r="R590" s="160"/>
      <c r="S590" s="160"/>
      <c r="T590" s="18"/>
      <c r="U590" s="18"/>
      <c r="V590" s="20"/>
      <c r="W590" s="20"/>
      <c r="X590" s="20"/>
      <c r="Y590" s="18"/>
      <c r="Z590" s="18"/>
      <c r="AA590" s="18"/>
    </row>
    <row r="591">
      <c r="A591" s="195" t="s">
        <v>166</v>
      </c>
      <c r="B591" s="224" t="s">
        <v>729</v>
      </c>
      <c r="C591" s="262" t="s">
        <v>1513</v>
      </c>
      <c r="D591" s="262" t="s">
        <v>524</v>
      </c>
      <c r="E591" s="132" t="s">
        <v>53</v>
      </c>
      <c r="F591" s="331">
        <v>46181.0</v>
      </c>
      <c r="G591" s="331">
        <v>46181.0</v>
      </c>
      <c r="H591" s="223" t="s">
        <v>146</v>
      </c>
      <c r="I591" s="136" t="s">
        <v>161</v>
      </c>
      <c r="J591" s="135" t="s">
        <v>34</v>
      </c>
      <c r="K591" s="160"/>
      <c r="L591" s="203">
        <v>0.5</v>
      </c>
      <c r="M591" s="203">
        <v>0.5</v>
      </c>
      <c r="N591" s="301">
        <v>0.0</v>
      </c>
      <c r="O591" s="160"/>
      <c r="P591" s="160"/>
      <c r="Q591" s="160"/>
      <c r="R591" s="160"/>
      <c r="S591" s="160"/>
      <c r="T591" s="18"/>
      <c r="U591" s="18"/>
      <c r="V591" s="18"/>
      <c r="W591" s="18"/>
      <c r="X591" s="20"/>
      <c r="Y591" s="18"/>
      <c r="Z591" s="18"/>
      <c r="AA591" s="18"/>
    </row>
    <row r="592">
      <c r="A592" s="195" t="s">
        <v>64</v>
      </c>
      <c r="B592" s="298" t="s">
        <v>75</v>
      </c>
      <c r="C592" s="262" t="s">
        <v>1514</v>
      </c>
      <c r="D592" s="262" t="s">
        <v>524</v>
      </c>
      <c r="E592" s="132" t="s">
        <v>53</v>
      </c>
      <c r="F592" s="331">
        <v>46181.0</v>
      </c>
      <c r="G592" s="331">
        <v>46181.0</v>
      </c>
      <c r="H592" s="223" t="s">
        <v>146</v>
      </c>
      <c r="I592" s="136" t="s">
        <v>161</v>
      </c>
      <c r="J592" s="135" t="s">
        <v>34</v>
      </c>
      <c r="K592" s="160"/>
      <c r="L592" s="203">
        <v>0.5</v>
      </c>
      <c r="M592" s="203">
        <v>0.5</v>
      </c>
      <c r="N592" s="160"/>
      <c r="O592" s="160"/>
      <c r="P592" s="160"/>
      <c r="Q592" s="160"/>
      <c r="R592" s="160"/>
      <c r="S592" s="160"/>
      <c r="T592" s="18"/>
      <c r="U592" s="18"/>
      <c r="V592" s="18"/>
      <c r="W592" s="20"/>
      <c r="X592" s="20"/>
      <c r="Y592" s="18"/>
      <c r="Z592" s="18"/>
      <c r="AA592" s="18"/>
    </row>
    <row r="593">
      <c r="A593" s="195" t="s">
        <v>140</v>
      </c>
      <c r="B593" s="318" t="s">
        <v>145</v>
      </c>
      <c r="C593" s="262" t="s">
        <v>1515</v>
      </c>
      <c r="D593" s="229" t="s">
        <v>1516</v>
      </c>
      <c r="E593" s="132" t="s">
        <v>53</v>
      </c>
      <c r="F593" s="331">
        <v>46181.0</v>
      </c>
      <c r="G593" s="331">
        <v>46181.0</v>
      </c>
      <c r="H593" s="223" t="s">
        <v>146</v>
      </c>
      <c r="I593" s="136" t="s">
        <v>161</v>
      </c>
      <c r="J593" s="135" t="s">
        <v>34</v>
      </c>
      <c r="K593" s="160"/>
      <c r="L593" s="301">
        <v>3.0</v>
      </c>
      <c r="M593" s="203">
        <v>3.0</v>
      </c>
      <c r="N593" s="160"/>
      <c r="O593" s="160"/>
      <c r="P593" s="160"/>
      <c r="Q593" s="160"/>
      <c r="R593" s="160"/>
      <c r="S593" s="160"/>
      <c r="T593" s="18"/>
      <c r="U593" s="18"/>
      <c r="V593" s="20"/>
      <c r="W593" s="20"/>
      <c r="X593" s="20"/>
      <c r="Y593" s="18"/>
      <c r="Z593" s="18"/>
      <c r="AA593" s="18"/>
    </row>
    <row r="594">
      <c r="A594" s="195" t="s">
        <v>140</v>
      </c>
      <c r="B594" s="318" t="s">
        <v>145</v>
      </c>
      <c r="C594" s="262" t="s">
        <v>1517</v>
      </c>
      <c r="D594" s="229" t="s">
        <v>1518</v>
      </c>
      <c r="E594" s="132" t="s">
        <v>53</v>
      </c>
      <c r="F594" s="331">
        <v>46181.0</v>
      </c>
      <c r="G594" s="331">
        <v>46181.0</v>
      </c>
      <c r="H594" s="223" t="s">
        <v>146</v>
      </c>
      <c r="I594" s="136" t="s">
        <v>161</v>
      </c>
      <c r="J594" s="135" t="s">
        <v>34</v>
      </c>
      <c r="K594" s="160"/>
      <c r="L594" s="301">
        <v>3.0</v>
      </c>
      <c r="M594" s="203">
        <v>3.0</v>
      </c>
      <c r="N594" s="160"/>
      <c r="O594" s="160"/>
      <c r="P594" s="160"/>
      <c r="Q594" s="160"/>
      <c r="R594" s="160"/>
      <c r="S594" s="160"/>
      <c r="T594" s="18"/>
      <c r="U594" s="18"/>
      <c r="V594" s="20"/>
      <c r="W594" s="20"/>
      <c r="X594" s="20"/>
      <c r="Y594" s="18"/>
      <c r="Z594" s="18"/>
      <c r="AA594" s="18"/>
    </row>
    <row r="595">
      <c r="A595" s="195" t="s">
        <v>119</v>
      </c>
      <c r="B595" s="224" t="s">
        <v>729</v>
      </c>
      <c r="C595" s="262" t="s">
        <v>1519</v>
      </c>
      <c r="D595" s="229" t="s">
        <v>1520</v>
      </c>
      <c r="E595" s="132" t="s">
        <v>53</v>
      </c>
      <c r="F595" s="331">
        <v>46181.0</v>
      </c>
      <c r="G595" s="331">
        <v>46181.0</v>
      </c>
      <c r="H595" s="223" t="s">
        <v>146</v>
      </c>
      <c r="I595" s="136" t="s">
        <v>161</v>
      </c>
      <c r="J595" s="135" t="s">
        <v>27</v>
      </c>
      <c r="K595" s="156"/>
      <c r="L595" s="301">
        <v>3.0</v>
      </c>
      <c r="M595" s="203">
        <v>3.0</v>
      </c>
      <c r="N595" s="160"/>
      <c r="O595" s="160"/>
      <c r="P595" s="160"/>
      <c r="Q595" s="160"/>
      <c r="R595" s="160"/>
      <c r="S595" s="160"/>
      <c r="T595" s="18"/>
      <c r="U595" s="18"/>
      <c r="V595" s="18"/>
      <c r="W595" s="18"/>
      <c r="X595" s="20"/>
      <c r="Y595" s="18"/>
      <c r="Z595" s="18"/>
      <c r="AA595" s="18"/>
    </row>
    <row r="596">
      <c r="A596" s="195" t="s">
        <v>64</v>
      </c>
      <c r="B596" s="236" t="s">
        <v>78</v>
      </c>
      <c r="C596" s="262" t="s">
        <v>1521</v>
      </c>
      <c r="D596" s="229" t="s">
        <v>1522</v>
      </c>
      <c r="E596" s="132" t="s">
        <v>53</v>
      </c>
      <c r="F596" s="331">
        <v>46182.0</v>
      </c>
      <c r="G596" s="331">
        <v>46182.0</v>
      </c>
      <c r="H596" s="223" t="s">
        <v>25</v>
      </c>
      <c r="I596" s="136" t="s">
        <v>161</v>
      </c>
      <c r="J596" s="135" t="s">
        <v>55</v>
      </c>
      <c r="K596" s="156"/>
      <c r="L596" s="301">
        <v>2.0</v>
      </c>
      <c r="M596" s="203">
        <v>2.0</v>
      </c>
      <c r="N596" s="160"/>
      <c r="O596" s="160"/>
      <c r="P596" s="160"/>
      <c r="Q596" s="160"/>
      <c r="R596" s="160"/>
      <c r="S596" s="160"/>
      <c r="T596" s="18"/>
      <c r="U596" s="18"/>
      <c r="V596" s="20"/>
      <c r="W596" s="20"/>
      <c r="X596" s="20"/>
      <c r="Y596" s="18"/>
      <c r="Z596" s="18"/>
      <c r="AA596" s="18"/>
    </row>
    <row r="597">
      <c r="A597" s="195" t="s">
        <v>64</v>
      </c>
      <c r="B597" s="236" t="s">
        <v>78</v>
      </c>
      <c r="C597" s="262" t="s">
        <v>1523</v>
      </c>
      <c r="D597" s="229" t="s">
        <v>1524</v>
      </c>
      <c r="E597" s="132" t="s">
        <v>53</v>
      </c>
      <c r="F597" s="331">
        <v>46182.0</v>
      </c>
      <c r="G597" s="331">
        <v>46182.0</v>
      </c>
      <c r="H597" s="223" t="s">
        <v>25</v>
      </c>
      <c r="I597" s="136" t="s">
        <v>161</v>
      </c>
      <c r="J597" s="135" t="s">
        <v>55</v>
      </c>
      <c r="K597" s="156"/>
      <c r="L597" s="301">
        <v>2.0</v>
      </c>
      <c r="M597" s="203">
        <v>2.0</v>
      </c>
      <c r="N597" s="160"/>
      <c r="O597" s="160"/>
      <c r="P597" s="160"/>
      <c r="Q597" s="160"/>
      <c r="R597" s="160"/>
      <c r="S597" s="160"/>
      <c r="T597" s="18"/>
      <c r="U597" s="18"/>
      <c r="V597" s="20"/>
      <c r="W597" s="20"/>
      <c r="X597" s="20"/>
      <c r="Y597" s="18"/>
      <c r="Z597" s="18"/>
      <c r="AA597" s="18"/>
    </row>
    <row r="598">
      <c r="A598" s="195" t="s">
        <v>166</v>
      </c>
      <c r="B598" s="224" t="s">
        <v>729</v>
      </c>
      <c r="C598" s="262" t="s">
        <v>1525</v>
      </c>
      <c r="D598" s="262" t="s">
        <v>524</v>
      </c>
      <c r="E598" s="132" t="s">
        <v>53</v>
      </c>
      <c r="F598" s="331">
        <v>46182.0</v>
      </c>
      <c r="G598" s="331">
        <v>46182.0</v>
      </c>
      <c r="H598" s="223" t="s">
        <v>146</v>
      </c>
      <c r="I598" s="136" t="s">
        <v>161</v>
      </c>
      <c r="J598" s="135" t="s">
        <v>34</v>
      </c>
      <c r="K598" s="160"/>
      <c r="L598" s="301">
        <v>0.5</v>
      </c>
      <c r="M598" s="203">
        <v>0.5</v>
      </c>
      <c r="N598" s="160"/>
      <c r="O598" s="160"/>
      <c r="P598" s="160"/>
      <c r="Q598" s="160"/>
      <c r="R598" s="160"/>
      <c r="S598" s="160"/>
      <c r="T598" s="18"/>
      <c r="U598" s="18"/>
      <c r="V598" s="18"/>
      <c r="W598" s="18"/>
      <c r="X598" s="20"/>
      <c r="Y598" s="18"/>
      <c r="Z598" s="18"/>
      <c r="AA598" s="18"/>
    </row>
    <row r="599">
      <c r="A599" s="195" t="s">
        <v>64</v>
      </c>
      <c r="B599" s="298" t="s">
        <v>75</v>
      </c>
      <c r="C599" s="262" t="s">
        <v>1526</v>
      </c>
      <c r="D599" s="262" t="s">
        <v>524</v>
      </c>
      <c r="E599" s="132" t="s">
        <v>53</v>
      </c>
      <c r="F599" s="331">
        <v>46182.0</v>
      </c>
      <c r="G599" s="331">
        <v>46182.0</v>
      </c>
      <c r="H599" s="223" t="s">
        <v>146</v>
      </c>
      <c r="I599" s="136" t="s">
        <v>161</v>
      </c>
      <c r="J599" s="135" t="s">
        <v>34</v>
      </c>
      <c r="K599" s="160"/>
      <c r="L599" s="301">
        <v>0.5</v>
      </c>
      <c r="M599" s="301">
        <v>0.5</v>
      </c>
      <c r="N599" s="160"/>
      <c r="O599" s="160"/>
      <c r="P599" s="160"/>
      <c r="Q599" s="160"/>
      <c r="R599" s="160"/>
      <c r="S599" s="160"/>
      <c r="T599" s="18"/>
      <c r="U599" s="18"/>
      <c r="V599" s="18"/>
      <c r="W599" s="20"/>
      <c r="X599" s="20"/>
      <c r="Y599" s="18"/>
      <c r="Z599" s="18"/>
      <c r="AA599" s="18"/>
    </row>
    <row r="600">
      <c r="A600" s="195" t="s">
        <v>140</v>
      </c>
      <c r="B600" s="318" t="s">
        <v>145</v>
      </c>
      <c r="C600" s="262" t="s">
        <v>1527</v>
      </c>
      <c r="D600" s="229" t="s">
        <v>1528</v>
      </c>
      <c r="E600" s="132" t="s">
        <v>53</v>
      </c>
      <c r="F600" s="331">
        <v>46182.0</v>
      </c>
      <c r="G600" s="331">
        <v>46182.0</v>
      </c>
      <c r="H600" s="223" t="s">
        <v>146</v>
      </c>
      <c r="I600" s="136" t="s">
        <v>161</v>
      </c>
      <c r="J600" s="135" t="s">
        <v>34</v>
      </c>
      <c r="K600" s="160"/>
      <c r="L600" s="301">
        <v>4.0</v>
      </c>
      <c r="M600" s="203">
        <v>4.0</v>
      </c>
      <c r="N600" s="160"/>
      <c r="O600" s="160"/>
      <c r="P600" s="160"/>
      <c r="Q600" s="160"/>
      <c r="R600" s="160"/>
      <c r="S600" s="160"/>
      <c r="T600" s="18"/>
      <c r="U600" s="18"/>
      <c r="V600" s="20"/>
      <c r="W600" s="20"/>
      <c r="X600" s="20"/>
      <c r="Y600" s="18"/>
      <c r="Z600" s="18"/>
      <c r="AA600" s="18"/>
    </row>
    <row r="601">
      <c r="A601" s="195" t="s">
        <v>140</v>
      </c>
      <c r="B601" s="318" t="s">
        <v>145</v>
      </c>
      <c r="C601" s="262" t="s">
        <v>1529</v>
      </c>
      <c r="D601" s="229" t="s">
        <v>1530</v>
      </c>
      <c r="E601" s="132" t="s">
        <v>53</v>
      </c>
      <c r="F601" s="331">
        <v>46182.0</v>
      </c>
      <c r="G601" s="331">
        <v>46182.0</v>
      </c>
      <c r="H601" s="223" t="s">
        <v>146</v>
      </c>
      <c r="I601" s="136" t="s">
        <v>161</v>
      </c>
      <c r="J601" s="135" t="s">
        <v>34</v>
      </c>
      <c r="K601" s="160"/>
      <c r="L601" s="301">
        <v>5.0</v>
      </c>
      <c r="M601" s="203">
        <v>5.5</v>
      </c>
      <c r="N601" s="160"/>
      <c r="O601" s="160"/>
      <c r="P601" s="160"/>
      <c r="Q601" s="160"/>
      <c r="R601" s="160"/>
      <c r="S601" s="160"/>
      <c r="T601" s="18"/>
      <c r="U601" s="18"/>
      <c r="V601" s="20"/>
      <c r="W601" s="20"/>
      <c r="X601" s="20"/>
      <c r="Y601" s="18"/>
      <c r="Z601" s="18"/>
      <c r="AA601" s="18"/>
    </row>
    <row r="602">
      <c r="A602" s="338" t="s">
        <v>1531</v>
      </c>
      <c r="B602" s="317"/>
      <c r="C602" s="262" t="s">
        <v>1532</v>
      </c>
      <c r="D602" s="229" t="s">
        <v>1533</v>
      </c>
      <c r="E602" s="132" t="s">
        <v>53</v>
      </c>
      <c r="F602" s="331">
        <v>46182.0</v>
      </c>
      <c r="G602" s="331">
        <v>46182.0</v>
      </c>
      <c r="H602" s="223" t="s">
        <v>79</v>
      </c>
      <c r="I602" s="136" t="s">
        <v>161</v>
      </c>
      <c r="J602" s="172"/>
      <c r="K602" s="160"/>
      <c r="L602" s="301">
        <v>8.0</v>
      </c>
      <c r="M602" s="203">
        <v>8.0</v>
      </c>
      <c r="N602" s="160"/>
      <c r="O602" s="160"/>
      <c r="P602" s="160"/>
      <c r="Q602" s="160"/>
      <c r="R602" s="160"/>
      <c r="S602" s="160"/>
      <c r="T602" s="18"/>
      <c r="U602" s="18"/>
      <c r="V602" s="18"/>
      <c r="W602" s="18"/>
      <c r="X602" s="20"/>
      <c r="Y602" s="18"/>
      <c r="Z602" s="18"/>
      <c r="AA602" s="18"/>
    </row>
    <row r="603">
      <c r="A603" s="195" t="s">
        <v>22</v>
      </c>
      <c r="B603" s="293" t="s">
        <v>48</v>
      </c>
      <c r="C603" s="262" t="s">
        <v>1534</v>
      </c>
      <c r="D603" s="229" t="s">
        <v>1535</v>
      </c>
      <c r="E603" s="132" t="s">
        <v>53</v>
      </c>
      <c r="F603" s="331">
        <v>46182.0</v>
      </c>
      <c r="G603" s="331">
        <v>46182.0</v>
      </c>
      <c r="H603" s="223" t="s">
        <v>25</v>
      </c>
      <c r="I603" s="136" t="s">
        <v>161</v>
      </c>
      <c r="J603" s="135" t="s">
        <v>55</v>
      </c>
      <c r="K603" s="160"/>
      <c r="L603" s="301">
        <v>4.0</v>
      </c>
      <c r="M603" s="203">
        <v>3.5</v>
      </c>
      <c r="N603" s="160"/>
      <c r="O603" s="160"/>
      <c r="P603" s="160"/>
      <c r="Q603" s="160"/>
      <c r="R603" s="160"/>
      <c r="S603" s="160"/>
      <c r="T603" s="18"/>
      <c r="U603" s="18"/>
      <c r="V603" s="20"/>
      <c r="W603" s="20"/>
      <c r="X603" s="20"/>
      <c r="Y603" s="18"/>
      <c r="Z603" s="18"/>
      <c r="AA603" s="18"/>
    </row>
    <row r="604">
      <c r="A604" s="195" t="s">
        <v>22</v>
      </c>
      <c r="B604" s="293" t="s">
        <v>48</v>
      </c>
      <c r="C604" s="262" t="s">
        <v>1536</v>
      </c>
      <c r="D604" s="229" t="s">
        <v>1537</v>
      </c>
      <c r="E604" s="132" t="s">
        <v>53</v>
      </c>
      <c r="F604" s="331">
        <v>46182.0</v>
      </c>
      <c r="G604" s="331">
        <v>46183.0</v>
      </c>
      <c r="H604" s="223" t="s">
        <v>25</v>
      </c>
      <c r="I604" s="136" t="s">
        <v>161</v>
      </c>
      <c r="J604" s="135" t="s">
        <v>55</v>
      </c>
      <c r="K604" s="160"/>
      <c r="L604" s="301">
        <v>3.0</v>
      </c>
      <c r="M604" s="203">
        <v>2.0</v>
      </c>
      <c r="N604" s="160"/>
      <c r="O604" s="160"/>
      <c r="P604" s="160"/>
      <c r="Q604" s="160"/>
      <c r="R604" s="160"/>
      <c r="S604" s="160"/>
      <c r="T604" s="18"/>
      <c r="U604" s="18"/>
      <c r="V604" s="20"/>
      <c r="W604" s="20"/>
      <c r="X604" s="20"/>
      <c r="Y604" s="18"/>
      <c r="Z604" s="18"/>
      <c r="AA604" s="18"/>
    </row>
    <row r="605">
      <c r="A605" s="195" t="s">
        <v>22</v>
      </c>
      <c r="B605" s="293" t="s">
        <v>48</v>
      </c>
      <c r="C605" s="262" t="s">
        <v>1538</v>
      </c>
      <c r="D605" s="229" t="s">
        <v>1539</v>
      </c>
      <c r="E605" s="132" t="s">
        <v>53</v>
      </c>
      <c r="F605" s="331">
        <v>46183.0</v>
      </c>
      <c r="G605" s="331">
        <v>46183.0</v>
      </c>
      <c r="H605" s="223" t="s">
        <v>25</v>
      </c>
      <c r="I605" s="136" t="s">
        <v>161</v>
      </c>
      <c r="J605" s="135" t="s">
        <v>27</v>
      </c>
      <c r="K605" s="160"/>
      <c r="L605" s="301">
        <v>4.0</v>
      </c>
      <c r="M605" s="203">
        <v>4.5</v>
      </c>
      <c r="N605" s="160"/>
      <c r="O605" s="160"/>
      <c r="P605" s="160"/>
      <c r="Q605" s="160"/>
      <c r="R605" s="160"/>
      <c r="S605" s="160"/>
      <c r="T605" s="18"/>
      <c r="U605" s="18"/>
      <c r="V605" s="20"/>
      <c r="W605" s="20"/>
      <c r="X605" s="20"/>
      <c r="Y605" s="18"/>
      <c r="Z605" s="18"/>
      <c r="AA605" s="18"/>
    </row>
    <row r="606">
      <c r="A606" s="195" t="s">
        <v>22</v>
      </c>
      <c r="B606" s="293" t="s">
        <v>48</v>
      </c>
      <c r="C606" s="262" t="s">
        <v>1538</v>
      </c>
      <c r="D606" s="229" t="s">
        <v>1540</v>
      </c>
      <c r="E606" s="132" t="s">
        <v>53</v>
      </c>
      <c r="F606" s="331">
        <v>46183.0</v>
      </c>
      <c r="G606" s="331">
        <v>46183.0</v>
      </c>
      <c r="H606" s="223" t="s">
        <v>25</v>
      </c>
      <c r="I606" s="136" t="s">
        <v>161</v>
      </c>
      <c r="J606" s="135" t="s">
        <v>27</v>
      </c>
      <c r="K606" s="160"/>
      <c r="L606" s="301">
        <v>1.0</v>
      </c>
      <c r="M606" s="203">
        <v>1.0</v>
      </c>
      <c r="N606" s="160"/>
      <c r="O606" s="160"/>
      <c r="P606" s="160"/>
      <c r="Q606" s="160"/>
      <c r="R606" s="160"/>
      <c r="S606" s="160"/>
      <c r="T606" s="18"/>
      <c r="U606" s="18"/>
      <c r="V606" s="20"/>
      <c r="W606" s="20"/>
      <c r="X606" s="20"/>
      <c r="Y606" s="18"/>
      <c r="Z606" s="18"/>
      <c r="AA606" s="18"/>
    </row>
    <row r="607">
      <c r="A607" s="195" t="s">
        <v>64</v>
      </c>
      <c r="B607" s="236" t="s">
        <v>78</v>
      </c>
      <c r="C607" s="262" t="s">
        <v>1541</v>
      </c>
      <c r="D607" s="229" t="s">
        <v>1542</v>
      </c>
      <c r="E607" s="132" t="s">
        <v>53</v>
      </c>
      <c r="F607" s="331">
        <v>46183.0</v>
      </c>
      <c r="G607" s="331">
        <v>46183.0</v>
      </c>
      <c r="H607" s="223" t="s">
        <v>25</v>
      </c>
      <c r="I607" s="136" t="s">
        <v>161</v>
      </c>
      <c r="J607" s="135" t="s">
        <v>55</v>
      </c>
      <c r="K607" s="156"/>
      <c r="L607" s="301">
        <v>2.0</v>
      </c>
      <c r="M607" s="203">
        <v>2.5</v>
      </c>
      <c r="N607" s="160"/>
      <c r="O607" s="160"/>
      <c r="P607" s="160"/>
      <c r="Q607" s="160"/>
      <c r="R607" s="160"/>
      <c r="S607" s="160"/>
      <c r="T607" s="18"/>
      <c r="U607" s="18"/>
      <c r="V607" s="20"/>
      <c r="W607" s="20"/>
      <c r="X607" s="20"/>
      <c r="Y607" s="18"/>
      <c r="Z607" s="18"/>
      <c r="AA607" s="18"/>
    </row>
    <row r="608">
      <c r="A608" s="195" t="s">
        <v>166</v>
      </c>
      <c r="B608" s="224" t="s">
        <v>729</v>
      </c>
      <c r="C608" s="262" t="s">
        <v>1543</v>
      </c>
      <c r="D608" s="262" t="s">
        <v>524</v>
      </c>
      <c r="E608" s="132" t="s">
        <v>53</v>
      </c>
      <c r="F608" s="331">
        <v>46183.0</v>
      </c>
      <c r="G608" s="331">
        <v>46183.0</v>
      </c>
      <c r="H608" s="223" t="s">
        <v>146</v>
      </c>
      <c r="I608" s="136" t="s">
        <v>161</v>
      </c>
      <c r="J608" s="135" t="s">
        <v>34</v>
      </c>
      <c r="K608" s="160"/>
      <c r="L608" s="301">
        <v>0.5</v>
      </c>
      <c r="M608" s="301">
        <v>0.5</v>
      </c>
      <c r="N608" s="160"/>
      <c r="O608" s="160"/>
      <c r="P608" s="160"/>
      <c r="Q608" s="160"/>
      <c r="R608" s="160"/>
      <c r="S608" s="160"/>
      <c r="T608" s="18"/>
      <c r="U608" s="18"/>
      <c r="V608" s="18"/>
      <c r="W608" s="18"/>
      <c r="X608" s="20"/>
      <c r="Y608" s="18"/>
      <c r="Z608" s="18"/>
      <c r="AA608" s="18"/>
    </row>
    <row r="609">
      <c r="A609" s="195" t="s">
        <v>64</v>
      </c>
      <c r="B609" s="298" t="s">
        <v>75</v>
      </c>
      <c r="C609" s="262" t="s">
        <v>1544</v>
      </c>
      <c r="D609" s="262" t="s">
        <v>524</v>
      </c>
      <c r="E609" s="132" t="s">
        <v>53</v>
      </c>
      <c r="F609" s="331">
        <v>46183.0</v>
      </c>
      <c r="G609" s="331">
        <v>46183.0</v>
      </c>
      <c r="H609" s="223" t="s">
        <v>146</v>
      </c>
      <c r="I609" s="136" t="s">
        <v>161</v>
      </c>
      <c r="J609" s="135" t="s">
        <v>34</v>
      </c>
      <c r="K609" s="160"/>
      <c r="L609" s="301">
        <v>0.5</v>
      </c>
      <c r="M609" s="301">
        <v>0.5</v>
      </c>
      <c r="N609" s="160"/>
      <c r="O609" s="160"/>
      <c r="P609" s="160"/>
      <c r="Q609" s="160"/>
      <c r="R609" s="160"/>
      <c r="S609" s="160"/>
      <c r="T609" s="18"/>
      <c r="U609" s="18"/>
      <c r="V609" s="18"/>
      <c r="W609" s="20"/>
      <c r="X609" s="20"/>
      <c r="Y609" s="18"/>
      <c r="Z609" s="18"/>
      <c r="AA609" s="18"/>
    </row>
    <row r="610">
      <c r="A610" s="195" t="s">
        <v>140</v>
      </c>
      <c r="B610" s="318" t="s">
        <v>145</v>
      </c>
      <c r="C610" s="262" t="s">
        <v>1545</v>
      </c>
      <c r="D610" s="229" t="s">
        <v>1546</v>
      </c>
      <c r="E610" s="132" t="s">
        <v>53</v>
      </c>
      <c r="F610" s="331">
        <v>46183.0</v>
      </c>
      <c r="G610" s="331">
        <v>46183.0</v>
      </c>
      <c r="H610" s="223" t="s">
        <v>146</v>
      </c>
      <c r="I610" s="136" t="s">
        <v>161</v>
      </c>
      <c r="J610" s="135" t="s">
        <v>34</v>
      </c>
      <c r="K610" s="160"/>
      <c r="L610" s="301">
        <v>4.0</v>
      </c>
      <c r="M610" s="301">
        <v>4.0</v>
      </c>
      <c r="N610" s="160"/>
      <c r="O610" s="160"/>
      <c r="P610" s="160"/>
      <c r="Q610" s="160"/>
      <c r="R610" s="160"/>
      <c r="S610" s="160"/>
      <c r="T610" s="18"/>
      <c r="U610" s="18"/>
      <c r="V610" s="20"/>
      <c r="W610" s="20"/>
      <c r="X610" s="20"/>
      <c r="Y610" s="18"/>
      <c r="Z610" s="18"/>
      <c r="AA610" s="18"/>
    </row>
    <row r="611">
      <c r="A611" s="195" t="s">
        <v>140</v>
      </c>
      <c r="B611" s="318" t="s">
        <v>145</v>
      </c>
      <c r="C611" s="262" t="s">
        <v>1547</v>
      </c>
      <c r="D611" s="229" t="s">
        <v>1548</v>
      </c>
      <c r="E611" s="132" t="s">
        <v>53</v>
      </c>
      <c r="F611" s="331">
        <v>46183.0</v>
      </c>
      <c r="G611" s="331">
        <v>46183.0</v>
      </c>
      <c r="H611" s="223" t="s">
        <v>146</v>
      </c>
      <c r="I611" s="136" t="s">
        <v>161</v>
      </c>
      <c r="J611" s="135" t="s">
        <v>34</v>
      </c>
      <c r="K611" s="160"/>
      <c r="L611" s="301">
        <v>5.0</v>
      </c>
      <c r="M611" s="203">
        <v>5.0</v>
      </c>
      <c r="N611" s="160"/>
      <c r="O611" s="160"/>
      <c r="P611" s="160"/>
      <c r="Q611" s="160"/>
      <c r="R611" s="160"/>
      <c r="S611" s="160"/>
      <c r="T611" s="18"/>
      <c r="U611" s="18"/>
      <c r="V611" s="20"/>
      <c r="W611" s="20"/>
      <c r="X611" s="20"/>
      <c r="Y611" s="18"/>
      <c r="Z611" s="18"/>
      <c r="AA611" s="18"/>
    </row>
    <row r="612">
      <c r="A612" s="195" t="s">
        <v>22</v>
      </c>
      <c r="B612" s="293" t="s">
        <v>48</v>
      </c>
      <c r="C612" s="262" t="s">
        <v>1549</v>
      </c>
      <c r="D612" s="229" t="s">
        <v>1550</v>
      </c>
      <c r="E612" s="132" t="s">
        <v>53</v>
      </c>
      <c r="F612" s="331">
        <v>46183.0</v>
      </c>
      <c r="G612" s="331">
        <v>46183.0</v>
      </c>
      <c r="H612" s="223" t="s">
        <v>146</v>
      </c>
      <c r="I612" s="136" t="s">
        <v>161</v>
      </c>
      <c r="J612" s="135" t="s">
        <v>27</v>
      </c>
      <c r="K612" s="160"/>
      <c r="L612" s="301">
        <v>0.5</v>
      </c>
      <c r="M612" s="301">
        <v>0.5</v>
      </c>
      <c r="N612" s="160"/>
      <c r="O612" s="160"/>
      <c r="P612" s="160"/>
      <c r="Q612" s="160"/>
      <c r="R612" s="160"/>
      <c r="S612" s="160"/>
      <c r="T612" s="18"/>
      <c r="U612" s="18"/>
      <c r="V612" s="20"/>
      <c r="W612" s="20"/>
      <c r="X612" s="20"/>
      <c r="Y612" s="18"/>
      <c r="Z612" s="18"/>
      <c r="AA612" s="18"/>
    </row>
    <row r="613">
      <c r="A613" s="195" t="s">
        <v>22</v>
      </c>
      <c r="B613" s="293" t="s">
        <v>48</v>
      </c>
      <c r="C613" s="262" t="s">
        <v>1551</v>
      </c>
      <c r="D613" s="111" t="s">
        <v>1552</v>
      </c>
      <c r="E613" s="132" t="s">
        <v>53</v>
      </c>
      <c r="F613" s="331"/>
      <c r="G613" s="331"/>
      <c r="H613" s="223" t="s">
        <v>25</v>
      </c>
      <c r="I613" s="136" t="s">
        <v>54</v>
      </c>
      <c r="J613" s="135" t="s">
        <v>55</v>
      </c>
      <c r="K613" s="160"/>
      <c r="L613" s="301">
        <v>4.0</v>
      </c>
      <c r="M613" s="203">
        <v>0.0</v>
      </c>
      <c r="N613" s="160"/>
      <c r="O613" s="160"/>
      <c r="P613" s="160"/>
      <c r="Q613" s="160"/>
      <c r="R613" s="160"/>
      <c r="S613" s="160"/>
      <c r="T613" s="18"/>
      <c r="U613" s="18"/>
      <c r="V613" s="20"/>
      <c r="W613" s="20"/>
      <c r="X613" s="20"/>
      <c r="Y613" s="18"/>
      <c r="Z613" s="18"/>
      <c r="AA613" s="18"/>
    </row>
    <row r="614">
      <c r="A614" s="195" t="s">
        <v>22</v>
      </c>
      <c r="B614" s="293" t="s">
        <v>48</v>
      </c>
      <c r="C614" s="262" t="s">
        <v>1553</v>
      </c>
      <c r="D614" s="111" t="s">
        <v>1554</v>
      </c>
      <c r="E614" s="132" t="s">
        <v>53</v>
      </c>
      <c r="F614" s="331"/>
      <c r="G614" s="331"/>
      <c r="H614" s="223" t="s">
        <v>25</v>
      </c>
      <c r="I614" s="136" t="s">
        <v>54</v>
      </c>
      <c r="J614" s="135" t="s">
        <v>55</v>
      </c>
      <c r="K614" s="160"/>
      <c r="L614" s="301">
        <v>6.0</v>
      </c>
      <c r="M614" s="203">
        <v>0.0</v>
      </c>
      <c r="N614" s="160"/>
      <c r="O614" s="160"/>
      <c r="P614" s="160"/>
      <c r="Q614" s="160"/>
      <c r="R614" s="160"/>
      <c r="S614" s="160"/>
      <c r="T614" s="18"/>
      <c r="U614" s="18"/>
      <c r="V614" s="20"/>
      <c r="W614" s="20"/>
      <c r="X614" s="20"/>
      <c r="Y614" s="18"/>
      <c r="Z614" s="18"/>
      <c r="AA614" s="18"/>
    </row>
    <row r="615">
      <c r="A615" s="195" t="s">
        <v>22</v>
      </c>
      <c r="B615" s="293" t="s">
        <v>48</v>
      </c>
      <c r="C615" s="262" t="s">
        <v>1555</v>
      </c>
      <c r="D615" s="111" t="s">
        <v>1556</v>
      </c>
      <c r="E615" s="132" t="s">
        <v>53</v>
      </c>
      <c r="F615" s="331"/>
      <c r="G615" s="331"/>
      <c r="H615" s="223" t="s">
        <v>25</v>
      </c>
      <c r="I615" s="136" t="s">
        <v>54</v>
      </c>
      <c r="J615" s="135" t="s">
        <v>55</v>
      </c>
      <c r="K615" s="160"/>
      <c r="L615" s="301">
        <v>2.0</v>
      </c>
      <c r="M615" s="203">
        <v>0.0</v>
      </c>
      <c r="N615" s="160"/>
      <c r="O615" s="160"/>
      <c r="P615" s="160"/>
      <c r="Q615" s="160"/>
      <c r="R615" s="160"/>
      <c r="S615" s="160"/>
      <c r="T615" s="18"/>
      <c r="U615" s="18"/>
      <c r="V615" s="20"/>
      <c r="W615" s="20"/>
      <c r="X615" s="20"/>
      <c r="Y615" s="18"/>
      <c r="Z615" s="18"/>
      <c r="AA615" s="18"/>
    </row>
    <row r="616">
      <c r="A616" s="195" t="s">
        <v>22</v>
      </c>
      <c r="B616" s="293" t="s">
        <v>48</v>
      </c>
      <c r="C616" s="262" t="s">
        <v>1557</v>
      </c>
      <c r="D616" s="111" t="s">
        <v>1558</v>
      </c>
      <c r="E616" s="132" t="s">
        <v>53</v>
      </c>
      <c r="F616" s="331"/>
      <c r="G616" s="331"/>
      <c r="H616" s="223" t="s">
        <v>25</v>
      </c>
      <c r="I616" s="136" t="s">
        <v>54</v>
      </c>
      <c r="J616" s="135" t="s">
        <v>55</v>
      </c>
      <c r="K616" s="160"/>
      <c r="L616" s="301">
        <v>3.0</v>
      </c>
      <c r="M616" s="203">
        <v>0.0</v>
      </c>
      <c r="N616" s="160"/>
      <c r="O616" s="160"/>
      <c r="P616" s="160"/>
      <c r="Q616" s="160"/>
      <c r="R616" s="160"/>
      <c r="S616" s="160"/>
      <c r="T616" s="18"/>
      <c r="U616" s="18"/>
      <c r="V616" s="20"/>
      <c r="W616" s="20"/>
      <c r="X616" s="20"/>
      <c r="Y616" s="18"/>
      <c r="Z616" s="18"/>
      <c r="AA616" s="18"/>
    </row>
    <row r="617">
      <c r="A617" s="195" t="s">
        <v>64</v>
      </c>
      <c r="B617" s="298" t="s">
        <v>75</v>
      </c>
      <c r="C617" s="262" t="s">
        <v>1551</v>
      </c>
      <c r="D617" s="262" t="s">
        <v>1559</v>
      </c>
      <c r="E617" s="132" t="s">
        <v>53</v>
      </c>
      <c r="F617" s="331">
        <v>46183.0</v>
      </c>
      <c r="G617" s="331">
        <v>46184.0</v>
      </c>
      <c r="H617" s="223" t="s">
        <v>79</v>
      </c>
      <c r="I617" s="136" t="s">
        <v>161</v>
      </c>
      <c r="J617" s="135" t="s">
        <v>34</v>
      </c>
      <c r="K617" s="160"/>
      <c r="L617" s="301">
        <v>20.0</v>
      </c>
      <c r="M617" s="203">
        <v>15.0</v>
      </c>
      <c r="N617" s="156" t="s">
        <v>1560</v>
      </c>
      <c r="O617" s="160"/>
      <c r="P617" s="160"/>
      <c r="Q617" s="313" t="s">
        <v>1561</v>
      </c>
      <c r="R617" s="160"/>
      <c r="S617" s="160"/>
      <c r="T617" s="18"/>
      <c r="U617" s="18"/>
      <c r="V617" s="18"/>
      <c r="W617" s="20"/>
      <c r="X617" s="20"/>
      <c r="Y617" s="18"/>
      <c r="Z617" s="18"/>
      <c r="AA617" s="18"/>
    </row>
    <row r="618">
      <c r="A618" s="195" t="s">
        <v>64</v>
      </c>
      <c r="B618" s="298" t="s">
        <v>113</v>
      </c>
      <c r="C618" s="262" t="s">
        <v>1562</v>
      </c>
      <c r="D618" s="229" t="s">
        <v>1563</v>
      </c>
      <c r="E618" s="132" t="s">
        <v>53</v>
      </c>
      <c r="F618" s="331">
        <v>46184.0</v>
      </c>
      <c r="G618" s="331">
        <v>46184.0</v>
      </c>
      <c r="H618" s="223" t="s">
        <v>25</v>
      </c>
      <c r="I618" s="136" t="s">
        <v>161</v>
      </c>
      <c r="J618" s="135" t="s">
        <v>55</v>
      </c>
      <c r="K618" s="160"/>
      <c r="L618" s="301">
        <v>4.0</v>
      </c>
      <c r="M618" s="203">
        <v>4.0</v>
      </c>
      <c r="N618" s="160"/>
      <c r="O618" s="160"/>
      <c r="P618" s="160"/>
      <c r="Q618" s="160"/>
      <c r="R618" s="160"/>
      <c r="S618" s="160"/>
      <c r="T618" s="18"/>
      <c r="U618" s="18"/>
      <c r="V618" s="20"/>
      <c r="W618" s="20"/>
      <c r="X618" s="20"/>
      <c r="Y618" s="18"/>
      <c r="Z618" s="18"/>
      <c r="AA618" s="18"/>
    </row>
    <row r="619">
      <c r="A619" s="195" t="s">
        <v>64</v>
      </c>
      <c r="B619" s="236" t="s">
        <v>78</v>
      </c>
      <c r="C619" s="262" t="s">
        <v>1564</v>
      </c>
      <c r="D619" s="229" t="s">
        <v>1565</v>
      </c>
      <c r="E619" s="132" t="s">
        <v>53</v>
      </c>
      <c r="F619" s="331">
        <v>46184.0</v>
      </c>
      <c r="G619" s="331">
        <v>46184.0</v>
      </c>
      <c r="H619" s="223" t="s">
        <v>25</v>
      </c>
      <c r="I619" s="136" t="s">
        <v>161</v>
      </c>
      <c r="J619" s="135" t="s">
        <v>55</v>
      </c>
      <c r="K619" s="160"/>
      <c r="L619" s="301">
        <v>3.0</v>
      </c>
      <c r="M619" s="203">
        <v>2.5</v>
      </c>
      <c r="N619" s="160"/>
      <c r="O619" s="160"/>
      <c r="P619" s="160"/>
      <c r="Q619" s="160"/>
      <c r="R619" s="160"/>
      <c r="S619" s="160"/>
      <c r="T619" s="18"/>
      <c r="U619" s="18"/>
      <c r="V619" s="20"/>
      <c r="W619" s="20"/>
      <c r="X619" s="20"/>
      <c r="Y619" s="18"/>
      <c r="Z619" s="18"/>
      <c r="AA619" s="18"/>
    </row>
    <row r="620">
      <c r="A620" s="195" t="s">
        <v>64</v>
      </c>
      <c r="B620" s="236" t="s">
        <v>78</v>
      </c>
      <c r="C620" s="262" t="s">
        <v>1566</v>
      </c>
      <c r="D620" s="229" t="s">
        <v>1567</v>
      </c>
      <c r="E620" s="132" t="s">
        <v>53</v>
      </c>
      <c r="F620" s="331">
        <v>46184.0</v>
      </c>
      <c r="G620" s="331">
        <v>46184.0</v>
      </c>
      <c r="H620" s="223" t="s">
        <v>25</v>
      </c>
      <c r="I620" s="136" t="s">
        <v>161</v>
      </c>
      <c r="J620" s="135" t="s">
        <v>55</v>
      </c>
      <c r="K620" s="160"/>
      <c r="L620" s="301">
        <v>2.0</v>
      </c>
      <c r="M620" s="203">
        <v>2.0</v>
      </c>
      <c r="N620" s="160"/>
      <c r="O620" s="160"/>
      <c r="P620" s="160"/>
      <c r="Q620" s="160"/>
      <c r="R620" s="160"/>
      <c r="S620" s="160"/>
      <c r="T620" s="18"/>
      <c r="U620" s="18"/>
      <c r="V620" s="20"/>
      <c r="W620" s="20"/>
      <c r="X620" s="20"/>
      <c r="Y620" s="18"/>
      <c r="Z620" s="18"/>
      <c r="AA620" s="18"/>
    </row>
    <row r="621">
      <c r="A621" s="195" t="s">
        <v>119</v>
      </c>
      <c r="B621" s="298" t="s">
        <v>120</v>
      </c>
      <c r="C621" s="262" t="s">
        <v>1568</v>
      </c>
      <c r="D621" s="229" t="s">
        <v>1569</v>
      </c>
      <c r="E621" s="132" t="s">
        <v>53</v>
      </c>
      <c r="F621" s="331">
        <v>46184.0</v>
      </c>
      <c r="G621" s="331">
        <v>46184.0</v>
      </c>
      <c r="H621" s="223" t="s">
        <v>25</v>
      </c>
      <c r="I621" s="136" t="s">
        <v>161</v>
      </c>
      <c r="J621" s="135" t="s">
        <v>27</v>
      </c>
      <c r="K621" s="160"/>
      <c r="L621" s="301">
        <v>0.5</v>
      </c>
      <c r="M621" s="203">
        <v>0.5</v>
      </c>
      <c r="N621" s="160"/>
      <c r="O621" s="160"/>
      <c r="P621" s="160"/>
      <c r="Q621" s="160"/>
      <c r="R621" s="160"/>
      <c r="S621" s="160"/>
      <c r="T621" s="18"/>
      <c r="U621" s="18"/>
      <c r="V621" s="20"/>
      <c r="W621" s="20"/>
      <c r="X621" s="20"/>
      <c r="Y621" s="18"/>
      <c r="Z621" s="18"/>
      <c r="AA621" s="18"/>
    </row>
    <row r="622">
      <c r="A622" s="195" t="s">
        <v>166</v>
      </c>
      <c r="B622" s="224" t="s">
        <v>729</v>
      </c>
      <c r="C622" s="262" t="s">
        <v>1570</v>
      </c>
      <c r="D622" s="262" t="s">
        <v>524</v>
      </c>
      <c r="E622" s="132" t="s">
        <v>53</v>
      </c>
      <c r="F622" s="331">
        <v>46184.0</v>
      </c>
      <c r="G622" s="331">
        <v>46184.0</v>
      </c>
      <c r="H622" s="223" t="s">
        <v>146</v>
      </c>
      <c r="I622" s="136" t="s">
        <v>161</v>
      </c>
      <c r="J622" s="135" t="s">
        <v>34</v>
      </c>
      <c r="K622" s="160"/>
      <c r="L622" s="301">
        <v>0.5</v>
      </c>
      <c r="M622" s="301">
        <v>0.5</v>
      </c>
      <c r="N622" s="160"/>
      <c r="O622" s="160"/>
      <c r="P622" s="160"/>
      <c r="Q622" s="160"/>
      <c r="R622" s="160"/>
      <c r="S622" s="160"/>
      <c r="T622" s="18"/>
      <c r="U622" s="18"/>
      <c r="V622" s="18"/>
      <c r="W622" s="18"/>
      <c r="X622" s="20"/>
      <c r="Y622" s="18"/>
      <c r="Z622" s="18"/>
      <c r="AA622" s="18"/>
    </row>
    <row r="623">
      <c r="A623" s="195" t="s">
        <v>64</v>
      </c>
      <c r="B623" s="298" t="s">
        <v>75</v>
      </c>
      <c r="C623" s="262" t="s">
        <v>1571</v>
      </c>
      <c r="D623" s="262" t="s">
        <v>524</v>
      </c>
      <c r="E623" s="132" t="s">
        <v>53</v>
      </c>
      <c r="F623" s="331">
        <v>46184.0</v>
      </c>
      <c r="G623" s="331">
        <v>46184.0</v>
      </c>
      <c r="H623" s="223" t="s">
        <v>146</v>
      </c>
      <c r="I623" s="136" t="s">
        <v>161</v>
      </c>
      <c r="J623" s="135" t="s">
        <v>34</v>
      </c>
      <c r="K623" s="160"/>
      <c r="L623" s="301">
        <v>0.5</v>
      </c>
      <c r="M623" s="301">
        <v>0.5</v>
      </c>
      <c r="N623" s="160"/>
      <c r="O623" s="160"/>
      <c r="P623" s="160"/>
      <c r="Q623" s="160"/>
      <c r="R623" s="160"/>
      <c r="S623" s="160"/>
      <c r="T623" s="18"/>
      <c r="U623" s="18"/>
      <c r="V623" s="18"/>
      <c r="W623" s="20"/>
      <c r="X623" s="20"/>
      <c r="Y623" s="18"/>
      <c r="Z623" s="18"/>
      <c r="AA623" s="18"/>
    </row>
    <row r="624">
      <c r="A624" s="195" t="s">
        <v>140</v>
      </c>
      <c r="B624" s="318" t="s">
        <v>145</v>
      </c>
      <c r="C624" s="262" t="s">
        <v>1572</v>
      </c>
      <c r="D624" s="229" t="s">
        <v>1573</v>
      </c>
      <c r="E624" s="132" t="s">
        <v>53</v>
      </c>
      <c r="F624" s="331">
        <v>46184.0</v>
      </c>
      <c r="G624" s="331">
        <v>46184.0</v>
      </c>
      <c r="H624" s="223" t="s">
        <v>146</v>
      </c>
      <c r="I624" s="136" t="s">
        <v>161</v>
      </c>
      <c r="J624" s="135" t="s">
        <v>34</v>
      </c>
      <c r="K624" s="160"/>
      <c r="L624" s="301">
        <v>4.0</v>
      </c>
      <c r="M624" s="203">
        <v>4.0</v>
      </c>
      <c r="N624" s="160"/>
      <c r="O624" s="160"/>
      <c r="P624" s="160"/>
      <c r="Q624" s="160"/>
      <c r="R624" s="160"/>
      <c r="S624" s="160"/>
      <c r="T624" s="18"/>
      <c r="U624" s="18"/>
      <c r="V624" s="20"/>
      <c r="W624" s="20"/>
      <c r="X624" s="20"/>
      <c r="Y624" s="18"/>
      <c r="Z624" s="18"/>
      <c r="AA624" s="18"/>
    </row>
    <row r="625">
      <c r="A625" s="195" t="s">
        <v>140</v>
      </c>
      <c r="B625" s="318" t="s">
        <v>145</v>
      </c>
      <c r="C625" s="262" t="s">
        <v>1574</v>
      </c>
      <c r="D625" s="229" t="s">
        <v>1575</v>
      </c>
      <c r="E625" s="132" t="s">
        <v>53</v>
      </c>
      <c r="F625" s="331">
        <v>46184.0</v>
      </c>
      <c r="G625" s="331">
        <v>46184.0</v>
      </c>
      <c r="H625" s="223" t="s">
        <v>146</v>
      </c>
      <c r="I625" s="136" t="s">
        <v>161</v>
      </c>
      <c r="J625" s="135" t="s">
        <v>34</v>
      </c>
      <c r="K625" s="160"/>
      <c r="L625" s="301">
        <v>5.0</v>
      </c>
      <c r="M625" s="203">
        <v>5.5</v>
      </c>
      <c r="N625" s="160"/>
      <c r="O625" s="160"/>
      <c r="P625" s="160"/>
      <c r="Q625" s="160"/>
      <c r="R625" s="160"/>
      <c r="S625" s="160"/>
      <c r="T625" s="18"/>
      <c r="U625" s="18"/>
      <c r="V625" s="20"/>
      <c r="W625" s="20"/>
      <c r="X625" s="20"/>
      <c r="Y625" s="18"/>
      <c r="Z625" s="18"/>
      <c r="AA625" s="18"/>
    </row>
    <row r="626">
      <c r="A626" s="195" t="s">
        <v>119</v>
      </c>
      <c r="B626" s="298" t="s">
        <v>120</v>
      </c>
      <c r="C626" s="262" t="s">
        <v>1576</v>
      </c>
      <c r="D626" s="229" t="s">
        <v>1577</v>
      </c>
      <c r="E626" s="132" t="s">
        <v>53</v>
      </c>
      <c r="F626" s="331">
        <v>46178.0</v>
      </c>
      <c r="G626" s="331">
        <v>46178.0</v>
      </c>
      <c r="H626" s="223" t="s">
        <v>33</v>
      </c>
      <c r="I626" s="136" t="s">
        <v>161</v>
      </c>
      <c r="J626" s="135" t="s">
        <v>27</v>
      </c>
      <c r="K626" s="160"/>
      <c r="L626" s="301">
        <v>2.0</v>
      </c>
      <c r="M626" s="301">
        <v>2.0</v>
      </c>
      <c r="N626" s="160"/>
      <c r="O626" s="160"/>
      <c r="P626" s="160"/>
      <c r="Q626" s="160"/>
      <c r="R626" s="160"/>
      <c r="S626" s="160"/>
      <c r="T626" s="18"/>
      <c r="U626" s="18"/>
      <c r="V626" s="20"/>
      <c r="W626" s="20"/>
      <c r="X626" s="20"/>
      <c r="Y626" s="18"/>
      <c r="Z626" s="18"/>
      <c r="AA626" s="18"/>
    </row>
    <row r="627">
      <c r="A627" s="195" t="s">
        <v>119</v>
      </c>
      <c r="B627" s="298" t="s">
        <v>120</v>
      </c>
      <c r="C627" s="262" t="s">
        <v>1578</v>
      </c>
      <c r="D627" s="229" t="s">
        <v>1579</v>
      </c>
      <c r="E627" s="132" t="s">
        <v>53</v>
      </c>
      <c r="F627" s="331">
        <v>46185.0</v>
      </c>
      <c r="G627" s="331">
        <v>46185.0</v>
      </c>
      <c r="H627" s="223" t="s">
        <v>33</v>
      </c>
      <c r="I627" s="136" t="s">
        <v>161</v>
      </c>
      <c r="J627" s="135" t="s">
        <v>27</v>
      </c>
      <c r="K627" s="160"/>
      <c r="L627" s="301">
        <v>2.0</v>
      </c>
      <c r="M627" s="301">
        <v>2.0</v>
      </c>
      <c r="N627" s="160"/>
      <c r="O627" s="160"/>
      <c r="P627" s="160"/>
      <c r="Q627" s="160"/>
      <c r="R627" s="160"/>
      <c r="S627" s="160"/>
      <c r="T627" s="18"/>
      <c r="U627" s="18"/>
      <c r="V627" s="20"/>
      <c r="W627" s="20"/>
      <c r="X627" s="20"/>
      <c r="Y627" s="18"/>
      <c r="Z627" s="18"/>
      <c r="AA627" s="18"/>
    </row>
    <row r="628">
      <c r="A628" s="195" t="s">
        <v>119</v>
      </c>
      <c r="B628" s="298" t="s">
        <v>120</v>
      </c>
      <c r="C628" s="262" t="s">
        <v>1580</v>
      </c>
      <c r="D628" s="229" t="s">
        <v>1581</v>
      </c>
      <c r="E628" s="132" t="s">
        <v>53</v>
      </c>
      <c r="F628" s="331">
        <v>46182.0</v>
      </c>
      <c r="G628" s="331">
        <v>46182.0</v>
      </c>
      <c r="H628" s="223" t="s">
        <v>33</v>
      </c>
      <c r="I628" s="136" t="s">
        <v>161</v>
      </c>
      <c r="J628" s="135" t="s">
        <v>27</v>
      </c>
      <c r="K628" s="160"/>
      <c r="L628" s="301">
        <v>2.0</v>
      </c>
      <c r="M628" s="301">
        <v>2.0</v>
      </c>
      <c r="N628" s="160"/>
      <c r="O628" s="160"/>
      <c r="P628" s="160"/>
      <c r="Q628" s="160"/>
      <c r="R628" s="160"/>
      <c r="S628" s="160"/>
      <c r="T628" s="18"/>
      <c r="U628" s="18"/>
      <c r="V628" s="20"/>
      <c r="W628" s="20"/>
      <c r="X628" s="20"/>
      <c r="Y628" s="18"/>
      <c r="Z628" s="18"/>
      <c r="AA628" s="18"/>
    </row>
    <row r="629">
      <c r="A629" s="195" t="s">
        <v>119</v>
      </c>
      <c r="B629" s="298" t="s">
        <v>120</v>
      </c>
      <c r="C629" s="262" t="s">
        <v>1582</v>
      </c>
      <c r="D629" s="229" t="s">
        <v>1583</v>
      </c>
      <c r="E629" s="132" t="s">
        <v>53</v>
      </c>
      <c r="F629" s="331">
        <v>46182.0</v>
      </c>
      <c r="G629" s="331">
        <v>46182.0</v>
      </c>
      <c r="H629" s="223" t="s">
        <v>33</v>
      </c>
      <c r="I629" s="136" t="s">
        <v>161</v>
      </c>
      <c r="J629" s="135" t="s">
        <v>27</v>
      </c>
      <c r="K629" s="160"/>
      <c r="L629" s="301">
        <v>2.0</v>
      </c>
      <c r="M629" s="301">
        <v>2.0</v>
      </c>
      <c r="N629" s="160"/>
      <c r="O629" s="160"/>
      <c r="P629" s="160"/>
      <c r="Q629" s="160"/>
      <c r="R629" s="160"/>
      <c r="S629" s="160"/>
      <c r="T629" s="18"/>
      <c r="U629" s="18"/>
      <c r="V629" s="20"/>
      <c r="W629" s="20"/>
      <c r="X629" s="20"/>
      <c r="Y629" s="18"/>
      <c r="Z629" s="18"/>
      <c r="AA629" s="18"/>
    </row>
    <row r="630">
      <c r="A630" s="195" t="s">
        <v>119</v>
      </c>
      <c r="B630" s="298" t="s">
        <v>120</v>
      </c>
      <c r="C630" s="262" t="s">
        <v>1584</v>
      </c>
      <c r="D630" s="229" t="s">
        <v>1585</v>
      </c>
      <c r="E630" s="132" t="s">
        <v>53</v>
      </c>
      <c r="F630" s="331">
        <v>46182.0</v>
      </c>
      <c r="G630" s="331">
        <v>46182.0</v>
      </c>
      <c r="H630" s="223" t="s">
        <v>33</v>
      </c>
      <c r="I630" s="136" t="s">
        <v>161</v>
      </c>
      <c r="J630" s="135" t="s">
        <v>27</v>
      </c>
      <c r="K630" s="160"/>
      <c r="L630" s="301">
        <v>2.0</v>
      </c>
      <c r="M630" s="301">
        <v>2.0</v>
      </c>
      <c r="N630" s="160"/>
      <c r="O630" s="160"/>
      <c r="P630" s="160"/>
      <c r="Q630" s="160"/>
      <c r="R630" s="160"/>
      <c r="S630" s="160"/>
      <c r="T630" s="18"/>
      <c r="U630" s="18"/>
      <c r="V630" s="20"/>
      <c r="W630" s="20"/>
      <c r="X630" s="20"/>
      <c r="Y630" s="18"/>
      <c r="Z630" s="18"/>
      <c r="AA630" s="18"/>
    </row>
    <row r="631">
      <c r="A631" s="195" t="s">
        <v>119</v>
      </c>
      <c r="B631" s="298" t="s">
        <v>120</v>
      </c>
      <c r="C631" s="262" t="s">
        <v>1586</v>
      </c>
      <c r="D631" s="229" t="s">
        <v>1587</v>
      </c>
      <c r="E631" s="132" t="s">
        <v>53</v>
      </c>
      <c r="F631" s="331">
        <v>46182.0</v>
      </c>
      <c r="G631" s="331">
        <v>46182.0</v>
      </c>
      <c r="H631" s="223" t="s">
        <v>33</v>
      </c>
      <c r="I631" s="136" t="s">
        <v>161</v>
      </c>
      <c r="J631" s="135" t="s">
        <v>27</v>
      </c>
      <c r="K631" s="160"/>
      <c r="L631" s="301">
        <v>2.0</v>
      </c>
      <c r="M631" s="301">
        <v>2.0</v>
      </c>
      <c r="N631" s="160"/>
      <c r="O631" s="160"/>
      <c r="P631" s="160"/>
      <c r="Q631" s="160"/>
      <c r="R631" s="160"/>
      <c r="S631" s="160"/>
      <c r="T631" s="18"/>
      <c r="U631" s="18"/>
      <c r="V631" s="20"/>
      <c r="W631" s="20"/>
      <c r="X631" s="20"/>
      <c r="Y631" s="18"/>
      <c r="Z631" s="18"/>
      <c r="AA631" s="18"/>
    </row>
    <row r="632">
      <c r="A632" s="195" t="s">
        <v>119</v>
      </c>
      <c r="B632" s="298" t="s">
        <v>120</v>
      </c>
      <c r="C632" s="262" t="s">
        <v>1588</v>
      </c>
      <c r="D632" s="229" t="s">
        <v>1589</v>
      </c>
      <c r="E632" s="132" t="s">
        <v>53</v>
      </c>
      <c r="F632" s="331">
        <v>46182.0</v>
      </c>
      <c r="G632" s="331">
        <v>46182.0</v>
      </c>
      <c r="H632" s="223" t="s">
        <v>33</v>
      </c>
      <c r="I632" s="136" t="s">
        <v>161</v>
      </c>
      <c r="J632" s="135" t="s">
        <v>27</v>
      </c>
      <c r="K632" s="160"/>
      <c r="L632" s="301">
        <v>2.0</v>
      </c>
      <c r="M632" s="301">
        <v>2.0</v>
      </c>
      <c r="N632" s="160"/>
      <c r="O632" s="160"/>
      <c r="P632" s="160"/>
      <c r="Q632" s="160"/>
      <c r="R632" s="160"/>
      <c r="S632" s="160"/>
      <c r="T632" s="18"/>
      <c r="U632" s="18"/>
      <c r="V632" s="20"/>
      <c r="W632" s="20"/>
      <c r="X632" s="20"/>
      <c r="Y632" s="18"/>
      <c r="Z632" s="18"/>
      <c r="AA632" s="18"/>
    </row>
    <row r="633">
      <c r="A633" s="195" t="s">
        <v>119</v>
      </c>
      <c r="B633" s="298" t="s">
        <v>120</v>
      </c>
      <c r="C633" s="262" t="s">
        <v>1590</v>
      </c>
      <c r="D633" s="229" t="s">
        <v>1591</v>
      </c>
      <c r="E633" s="132" t="s">
        <v>53</v>
      </c>
      <c r="F633" s="331">
        <v>46185.0</v>
      </c>
      <c r="G633" s="331">
        <v>46185.0</v>
      </c>
      <c r="H633" s="223" t="s">
        <v>25</v>
      </c>
      <c r="I633" s="136" t="s">
        <v>161</v>
      </c>
      <c r="J633" s="135" t="s">
        <v>55</v>
      </c>
      <c r="K633" s="160"/>
      <c r="L633" s="301">
        <v>0.5</v>
      </c>
      <c r="M633" s="203">
        <v>0.45</v>
      </c>
      <c r="N633" s="160"/>
      <c r="O633" s="160"/>
      <c r="P633" s="160"/>
      <c r="Q633" s="160"/>
      <c r="R633" s="160"/>
      <c r="S633" s="160"/>
      <c r="T633" s="18"/>
      <c r="U633" s="18"/>
      <c r="V633" s="20"/>
      <c r="W633" s="20"/>
      <c r="X633" s="20"/>
      <c r="Y633" s="18"/>
      <c r="Z633" s="18"/>
      <c r="AA633" s="18"/>
    </row>
    <row r="634">
      <c r="A634" s="195" t="s">
        <v>64</v>
      </c>
      <c r="B634" s="298" t="s">
        <v>113</v>
      </c>
      <c r="C634" s="262" t="s">
        <v>1592</v>
      </c>
      <c r="D634" s="229" t="s">
        <v>1563</v>
      </c>
      <c r="E634" s="132" t="s">
        <v>53</v>
      </c>
      <c r="F634" s="331">
        <v>46185.0</v>
      </c>
      <c r="G634" s="331">
        <v>46185.0</v>
      </c>
      <c r="H634" s="223" t="s">
        <v>25</v>
      </c>
      <c r="I634" s="136" t="s">
        <v>161</v>
      </c>
      <c r="J634" s="135" t="s">
        <v>55</v>
      </c>
      <c r="K634" s="160"/>
      <c r="L634" s="301">
        <v>2.0</v>
      </c>
      <c r="M634" s="203">
        <v>2.45</v>
      </c>
      <c r="N634" s="160"/>
      <c r="O634" s="160"/>
      <c r="P634" s="160"/>
      <c r="Q634" s="160"/>
      <c r="R634" s="160"/>
      <c r="S634" s="160"/>
      <c r="T634" s="18"/>
      <c r="U634" s="18"/>
      <c r="V634" s="20"/>
      <c r="W634" s="20"/>
      <c r="X634" s="20"/>
      <c r="Y634" s="18"/>
      <c r="Z634" s="18"/>
      <c r="AA634" s="18"/>
    </row>
    <row r="635">
      <c r="A635" s="195" t="s">
        <v>64</v>
      </c>
      <c r="B635" s="298" t="s">
        <v>75</v>
      </c>
      <c r="C635" s="262" t="s">
        <v>1578</v>
      </c>
      <c r="D635" s="229" t="s">
        <v>1593</v>
      </c>
      <c r="E635" s="132" t="s">
        <v>53</v>
      </c>
      <c r="F635" s="331">
        <v>46185.0</v>
      </c>
      <c r="G635" s="331">
        <v>46185.0</v>
      </c>
      <c r="H635" s="223" t="s">
        <v>25</v>
      </c>
      <c r="I635" s="136" t="s">
        <v>161</v>
      </c>
      <c r="J635" s="135" t="s">
        <v>55</v>
      </c>
      <c r="K635" s="160"/>
      <c r="L635" s="301">
        <v>0.5</v>
      </c>
      <c r="M635" s="203">
        <v>0.5</v>
      </c>
      <c r="N635" s="160"/>
      <c r="O635" s="160"/>
      <c r="P635" s="160"/>
      <c r="Q635" s="160"/>
      <c r="R635" s="160"/>
      <c r="S635" s="160"/>
      <c r="T635" s="18"/>
      <c r="U635" s="18"/>
      <c r="V635" s="20"/>
      <c r="W635" s="20"/>
      <c r="X635" s="20"/>
      <c r="Y635" s="18"/>
      <c r="Z635" s="18"/>
      <c r="AA635" s="18"/>
    </row>
    <row r="636">
      <c r="A636" s="195" t="s">
        <v>166</v>
      </c>
      <c r="B636" s="224" t="s">
        <v>729</v>
      </c>
      <c r="C636" s="262" t="s">
        <v>1580</v>
      </c>
      <c r="D636" s="229" t="s">
        <v>1594</v>
      </c>
      <c r="E636" s="132" t="s">
        <v>53</v>
      </c>
      <c r="F636" s="331">
        <v>46185.0</v>
      </c>
      <c r="G636" s="331">
        <v>46185.0</v>
      </c>
      <c r="H636" s="223" t="s">
        <v>25</v>
      </c>
      <c r="I636" s="136" t="s">
        <v>161</v>
      </c>
      <c r="J636" s="135" t="s">
        <v>27</v>
      </c>
      <c r="K636" s="160"/>
      <c r="L636" s="301">
        <v>3.0</v>
      </c>
      <c r="M636" s="203">
        <v>2.0</v>
      </c>
      <c r="N636" s="160"/>
      <c r="O636" s="160"/>
      <c r="P636" s="160"/>
      <c r="Q636" s="160"/>
      <c r="R636" s="160"/>
      <c r="S636" s="160"/>
      <c r="T636" s="18"/>
      <c r="U636" s="18"/>
      <c r="V636" s="18"/>
      <c r="W636" s="18"/>
      <c r="X636" s="20"/>
      <c r="Y636" s="18"/>
      <c r="Z636" s="18"/>
      <c r="AA636" s="18"/>
    </row>
    <row r="637">
      <c r="A637" s="195" t="s">
        <v>166</v>
      </c>
      <c r="B637" s="224" t="s">
        <v>729</v>
      </c>
      <c r="C637" s="262" t="s">
        <v>1582</v>
      </c>
      <c r="D637" s="262" t="s">
        <v>524</v>
      </c>
      <c r="E637" s="132" t="s">
        <v>53</v>
      </c>
      <c r="F637" s="331">
        <v>46185.0</v>
      </c>
      <c r="G637" s="331">
        <v>46185.0</v>
      </c>
      <c r="H637" s="223" t="s">
        <v>146</v>
      </c>
      <c r="I637" s="136" t="s">
        <v>161</v>
      </c>
      <c r="J637" s="135" t="s">
        <v>34</v>
      </c>
      <c r="K637" s="160"/>
      <c r="L637" s="301">
        <v>0.5</v>
      </c>
      <c r="M637" s="203">
        <v>0.5</v>
      </c>
      <c r="N637" s="160"/>
      <c r="O637" s="160"/>
      <c r="P637" s="160"/>
      <c r="Q637" s="160"/>
      <c r="R637" s="160"/>
      <c r="S637" s="160"/>
      <c r="T637" s="18"/>
      <c r="U637" s="18"/>
      <c r="V637" s="18"/>
      <c r="W637" s="18"/>
      <c r="X637" s="20"/>
      <c r="Y637" s="18"/>
      <c r="Z637" s="18"/>
      <c r="AA637" s="18"/>
    </row>
    <row r="638">
      <c r="A638" s="195" t="s">
        <v>64</v>
      </c>
      <c r="B638" s="298" t="s">
        <v>75</v>
      </c>
      <c r="C638" s="262" t="s">
        <v>1584</v>
      </c>
      <c r="D638" s="262" t="s">
        <v>524</v>
      </c>
      <c r="E638" s="132" t="s">
        <v>53</v>
      </c>
      <c r="F638" s="331">
        <v>46185.0</v>
      </c>
      <c r="G638" s="331">
        <v>46185.0</v>
      </c>
      <c r="H638" s="223" t="s">
        <v>146</v>
      </c>
      <c r="I638" s="136" t="s">
        <v>161</v>
      </c>
      <c r="J638" s="135" t="s">
        <v>34</v>
      </c>
      <c r="K638" s="160"/>
      <c r="L638" s="301">
        <v>0.5</v>
      </c>
      <c r="M638" s="301">
        <v>0.5</v>
      </c>
      <c r="N638" s="160"/>
      <c r="O638" s="160"/>
      <c r="P638" s="160"/>
      <c r="Q638" s="160"/>
      <c r="R638" s="160"/>
      <c r="S638" s="160"/>
      <c r="T638" s="18"/>
      <c r="U638" s="18"/>
      <c r="V638" s="18"/>
      <c r="W638" s="20"/>
      <c r="X638" s="20"/>
      <c r="Y638" s="18"/>
      <c r="Z638" s="18"/>
      <c r="AA638" s="18"/>
    </row>
    <row r="639">
      <c r="A639" s="195" t="s">
        <v>166</v>
      </c>
      <c r="B639" s="224" t="s">
        <v>729</v>
      </c>
      <c r="C639" s="262" t="s">
        <v>1586</v>
      </c>
      <c r="D639" s="229" t="s">
        <v>1502</v>
      </c>
      <c r="E639" s="132" t="s">
        <v>53</v>
      </c>
      <c r="F639" s="331">
        <v>46185.0</v>
      </c>
      <c r="G639" s="331">
        <v>46185.0</v>
      </c>
      <c r="H639" s="223" t="s">
        <v>146</v>
      </c>
      <c r="I639" s="136" t="s">
        <v>161</v>
      </c>
      <c r="J639" s="135" t="s">
        <v>34</v>
      </c>
      <c r="K639" s="160"/>
      <c r="L639" s="301">
        <v>0.5</v>
      </c>
      <c r="M639" s="301">
        <v>0.5</v>
      </c>
      <c r="N639" s="160"/>
      <c r="O639" s="160"/>
      <c r="P639" s="160"/>
      <c r="Q639" s="160"/>
      <c r="R639" s="160"/>
      <c r="S639" s="160"/>
      <c r="T639" s="18"/>
      <c r="U639" s="18"/>
      <c r="V639" s="18"/>
      <c r="W639" s="18"/>
      <c r="X639" s="20"/>
      <c r="Y639" s="18"/>
      <c r="Z639" s="18"/>
      <c r="AA639" s="18"/>
    </row>
    <row r="640">
      <c r="A640" s="195" t="s">
        <v>64</v>
      </c>
      <c r="B640" s="298" t="s">
        <v>75</v>
      </c>
      <c r="C640" s="262" t="s">
        <v>1588</v>
      </c>
      <c r="D640" s="229" t="s">
        <v>1504</v>
      </c>
      <c r="E640" s="132" t="s">
        <v>53</v>
      </c>
      <c r="F640" s="331">
        <v>46185.0</v>
      </c>
      <c r="G640" s="331">
        <v>46185.0</v>
      </c>
      <c r="H640" s="223" t="s">
        <v>146</v>
      </c>
      <c r="I640" s="136" t="s">
        <v>161</v>
      </c>
      <c r="J640" s="135" t="s">
        <v>34</v>
      </c>
      <c r="K640" s="160"/>
      <c r="L640" s="301">
        <v>0.5</v>
      </c>
      <c r="M640" s="203">
        <v>0.5</v>
      </c>
      <c r="N640" s="160"/>
      <c r="O640" s="160"/>
      <c r="P640" s="160"/>
      <c r="Q640" s="160"/>
      <c r="R640" s="160"/>
      <c r="S640" s="160"/>
      <c r="T640" s="18"/>
      <c r="U640" s="18"/>
      <c r="V640" s="18"/>
      <c r="W640" s="20"/>
      <c r="X640" s="20"/>
      <c r="Y640" s="18"/>
      <c r="Z640" s="18"/>
      <c r="AA640" s="18"/>
    </row>
    <row r="641">
      <c r="A641" s="195" t="s">
        <v>140</v>
      </c>
      <c r="B641" s="318" t="s">
        <v>145</v>
      </c>
      <c r="C641" s="262" t="s">
        <v>1595</v>
      </c>
      <c r="D641" s="229" t="s">
        <v>1596</v>
      </c>
      <c r="E641" s="132" t="s">
        <v>53</v>
      </c>
      <c r="F641" s="331">
        <v>46185.0</v>
      </c>
      <c r="G641" s="331">
        <v>46185.0</v>
      </c>
      <c r="H641" s="223" t="s">
        <v>146</v>
      </c>
      <c r="I641" s="136" t="s">
        <v>161</v>
      </c>
      <c r="J641" s="135" t="s">
        <v>34</v>
      </c>
      <c r="K641" s="160"/>
      <c r="L641" s="301">
        <v>4.0</v>
      </c>
      <c r="M641" s="203">
        <v>3.0</v>
      </c>
      <c r="N641" s="160"/>
      <c r="O641" s="160"/>
      <c r="P641" s="160"/>
      <c r="Q641" s="160"/>
      <c r="R641" s="160"/>
      <c r="S641" s="160"/>
      <c r="T641" s="18"/>
      <c r="U641" s="18"/>
      <c r="V641" s="20"/>
      <c r="W641" s="20"/>
      <c r="X641" s="20"/>
      <c r="Y641" s="18"/>
      <c r="Z641" s="18"/>
      <c r="AA641" s="18"/>
    </row>
    <row r="642">
      <c r="A642" s="195" t="s">
        <v>140</v>
      </c>
      <c r="B642" s="318" t="s">
        <v>145</v>
      </c>
      <c r="C642" s="262" t="s">
        <v>1597</v>
      </c>
      <c r="D642" s="229" t="s">
        <v>1598</v>
      </c>
      <c r="E642" s="132" t="s">
        <v>53</v>
      </c>
      <c r="F642" s="331">
        <v>46185.0</v>
      </c>
      <c r="G642" s="331">
        <v>46185.0</v>
      </c>
      <c r="H642" s="223" t="s">
        <v>146</v>
      </c>
      <c r="I642" s="136" t="s">
        <v>161</v>
      </c>
      <c r="J642" s="135" t="s">
        <v>34</v>
      </c>
      <c r="K642" s="160"/>
      <c r="L642" s="301">
        <v>5.0</v>
      </c>
      <c r="M642" s="203">
        <v>5.5</v>
      </c>
      <c r="N642" s="160"/>
      <c r="O642" s="160"/>
      <c r="P642" s="160"/>
      <c r="Q642" s="160"/>
      <c r="R642" s="160"/>
      <c r="S642" s="160"/>
      <c r="T642" s="18"/>
      <c r="U642" s="18"/>
      <c r="V642" s="20"/>
      <c r="W642" s="20"/>
      <c r="X642" s="20"/>
      <c r="Y642" s="18"/>
      <c r="Z642" s="18"/>
      <c r="AA642" s="18"/>
    </row>
    <row r="643">
      <c r="A643" s="195" t="s">
        <v>64</v>
      </c>
      <c r="B643" s="236" t="s">
        <v>78</v>
      </c>
      <c r="C643" s="262" t="s">
        <v>1599</v>
      </c>
      <c r="D643" s="229" t="s">
        <v>1600</v>
      </c>
      <c r="E643" s="132" t="s">
        <v>53</v>
      </c>
      <c r="F643" s="331">
        <v>46188.0</v>
      </c>
      <c r="G643" s="331">
        <v>46188.0</v>
      </c>
      <c r="H643" s="223" t="s">
        <v>25</v>
      </c>
      <c r="I643" s="136" t="s">
        <v>161</v>
      </c>
      <c r="J643" s="135" t="s">
        <v>55</v>
      </c>
      <c r="K643" s="160"/>
      <c r="L643" s="301">
        <v>2.0</v>
      </c>
      <c r="M643" s="203">
        <v>3.0</v>
      </c>
      <c r="N643" s="160"/>
      <c r="O643" s="160"/>
      <c r="P643" s="160"/>
      <c r="Q643" s="160"/>
      <c r="R643" s="160"/>
      <c r="S643" s="160"/>
      <c r="T643" s="18"/>
      <c r="U643" s="18"/>
      <c r="V643" s="20"/>
      <c r="W643" s="20"/>
      <c r="X643" s="20"/>
      <c r="Y643" s="18"/>
      <c r="Z643" s="18"/>
      <c r="AA643" s="18"/>
    </row>
    <row r="644">
      <c r="A644" s="195" t="s">
        <v>166</v>
      </c>
      <c r="B644" s="224" t="s">
        <v>729</v>
      </c>
      <c r="C644" s="262" t="s">
        <v>1601</v>
      </c>
      <c r="D644" s="229" t="s">
        <v>1602</v>
      </c>
      <c r="E644" s="132" t="s">
        <v>53</v>
      </c>
      <c r="F644" s="331">
        <v>46188.0</v>
      </c>
      <c r="G644" s="331">
        <v>46188.0</v>
      </c>
      <c r="H644" s="223" t="s">
        <v>25</v>
      </c>
      <c r="I644" s="136" t="s">
        <v>161</v>
      </c>
      <c r="J644" s="135" t="s">
        <v>34</v>
      </c>
      <c r="K644" s="160"/>
      <c r="L644" s="301">
        <v>2.0</v>
      </c>
      <c r="M644" s="203">
        <v>1.0</v>
      </c>
      <c r="N644" s="160"/>
      <c r="O644" s="160"/>
      <c r="P644" s="160"/>
      <c r="Q644" s="160"/>
      <c r="R644" s="160"/>
      <c r="S644" s="160"/>
      <c r="T644" s="18"/>
      <c r="U644" s="18"/>
      <c r="V644" s="18"/>
      <c r="W644" s="18"/>
      <c r="X644" s="20"/>
      <c r="Y644" s="18"/>
      <c r="Z644" s="18"/>
      <c r="AA644" s="18"/>
    </row>
    <row r="645">
      <c r="A645" s="195" t="s">
        <v>64</v>
      </c>
      <c r="B645" s="298" t="s">
        <v>75</v>
      </c>
      <c r="C645" s="262" t="s">
        <v>1603</v>
      </c>
      <c r="D645" s="229" t="s">
        <v>1604</v>
      </c>
      <c r="E645" s="132" t="s">
        <v>53</v>
      </c>
      <c r="F645" s="331">
        <v>46188.0</v>
      </c>
      <c r="G645" s="331">
        <v>46188.0</v>
      </c>
      <c r="H645" s="223" t="s">
        <v>25</v>
      </c>
      <c r="I645" s="136" t="s">
        <v>161</v>
      </c>
      <c r="J645" s="135" t="s">
        <v>55</v>
      </c>
      <c r="K645" s="160"/>
      <c r="L645" s="301">
        <v>2.0</v>
      </c>
      <c r="M645" s="203">
        <v>0.45</v>
      </c>
      <c r="N645" s="160"/>
      <c r="O645" s="160"/>
      <c r="P645" s="160"/>
      <c r="Q645" s="160"/>
      <c r="R645" s="160"/>
      <c r="S645" s="160"/>
      <c r="T645" s="18"/>
      <c r="U645" s="18"/>
      <c r="V645" s="20"/>
      <c r="W645" s="20"/>
      <c r="X645" s="20"/>
      <c r="Y645" s="18"/>
      <c r="Z645" s="18"/>
      <c r="AA645" s="18"/>
    </row>
    <row r="646">
      <c r="A646" s="195" t="s">
        <v>166</v>
      </c>
      <c r="B646" s="317"/>
      <c r="C646" s="262" t="s">
        <v>1605</v>
      </c>
      <c r="D646" s="229" t="s">
        <v>1606</v>
      </c>
      <c r="E646" s="132" t="s">
        <v>53</v>
      </c>
      <c r="F646" s="331">
        <v>46188.0</v>
      </c>
      <c r="G646" s="331">
        <v>46188.0</v>
      </c>
      <c r="H646" s="223" t="s">
        <v>25</v>
      </c>
      <c r="I646" s="136" t="s">
        <v>161</v>
      </c>
      <c r="J646" s="135" t="s">
        <v>55</v>
      </c>
      <c r="K646" s="160"/>
      <c r="L646" s="301">
        <v>2.0</v>
      </c>
      <c r="M646" s="203">
        <v>1.0</v>
      </c>
      <c r="N646" s="160"/>
      <c r="O646" s="160"/>
      <c r="P646" s="160"/>
      <c r="Q646" s="160"/>
      <c r="R646" s="160"/>
      <c r="S646" s="160"/>
      <c r="T646" s="18"/>
      <c r="U646" s="18"/>
      <c r="V646" s="18"/>
      <c r="W646" s="18"/>
      <c r="X646" s="20"/>
      <c r="Y646" s="18"/>
      <c r="Z646" s="18"/>
      <c r="AA646" s="18"/>
    </row>
    <row r="647">
      <c r="A647" s="195" t="s">
        <v>22</v>
      </c>
      <c r="B647" s="293" t="s">
        <v>48</v>
      </c>
      <c r="C647" s="262" t="s">
        <v>1607</v>
      </c>
      <c r="D647" s="229" t="s">
        <v>1608</v>
      </c>
      <c r="E647" s="132" t="s">
        <v>53</v>
      </c>
      <c r="F647" s="331">
        <v>46188.0</v>
      </c>
      <c r="G647" s="331">
        <v>46188.0</v>
      </c>
      <c r="H647" s="223" t="s">
        <v>25</v>
      </c>
      <c r="I647" s="136" t="s">
        <v>161</v>
      </c>
      <c r="J647" s="135" t="s">
        <v>55</v>
      </c>
      <c r="K647" s="160"/>
      <c r="L647" s="301">
        <v>2.0</v>
      </c>
      <c r="M647" s="203">
        <v>1.5</v>
      </c>
      <c r="N647" s="160"/>
      <c r="O647" s="160"/>
      <c r="P647" s="160"/>
      <c r="Q647" s="160"/>
      <c r="R647" s="160"/>
      <c r="S647" s="160"/>
      <c r="T647" s="18"/>
      <c r="U647" s="18"/>
      <c r="V647" s="20"/>
      <c r="W647" s="20"/>
      <c r="X647" s="20"/>
      <c r="Y647" s="18"/>
      <c r="Z647" s="18"/>
      <c r="AA647" s="18"/>
    </row>
    <row r="648">
      <c r="A648" s="195" t="s">
        <v>140</v>
      </c>
      <c r="B648" s="317"/>
      <c r="C648" s="262" t="s">
        <v>1609</v>
      </c>
      <c r="D648" s="229" t="s">
        <v>1610</v>
      </c>
      <c r="E648" s="132" t="s">
        <v>53</v>
      </c>
      <c r="F648" s="331">
        <v>46188.0</v>
      </c>
      <c r="G648" s="331">
        <v>46188.0</v>
      </c>
      <c r="H648" s="223" t="s">
        <v>25</v>
      </c>
      <c r="I648" s="136" t="s">
        <v>161</v>
      </c>
      <c r="J648" s="135" t="s">
        <v>55</v>
      </c>
      <c r="K648" s="160"/>
      <c r="L648" s="301">
        <v>1.0</v>
      </c>
      <c r="M648" s="203">
        <v>0.5</v>
      </c>
      <c r="N648" s="160"/>
      <c r="O648" s="160"/>
      <c r="P648" s="160"/>
      <c r="Q648" s="160"/>
      <c r="R648" s="160"/>
      <c r="S648" s="160"/>
      <c r="T648" s="18"/>
      <c r="U648" s="18"/>
      <c r="V648" s="18"/>
      <c r="W648" s="18"/>
      <c r="X648" s="20"/>
      <c r="Y648" s="18"/>
      <c r="Z648" s="18"/>
      <c r="AA648" s="18"/>
    </row>
    <row r="649">
      <c r="A649" s="195" t="s">
        <v>166</v>
      </c>
      <c r="B649" s="224" t="s">
        <v>729</v>
      </c>
      <c r="C649" s="262" t="s">
        <v>1611</v>
      </c>
      <c r="D649" s="262" t="s">
        <v>524</v>
      </c>
      <c r="E649" s="132" t="s">
        <v>53</v>
      </c>
      <c r="F649" s="331">
        <v>46188.0</v>
      </c>
      <c r="G649" s="331">
        <v>46188.0</v>
      </c>
      <c r="H649" s="223" t="s">
        <v>146</v>
      </c>
      <c r="I649" s="136" t="s">
        <v>161</v>
      </c>
      <c r="J649" s="135" t="s">
        <v>34</v>
      </c>
      <c r="K649" s="160"/>
      <c r="L649" s="301">
        <v>0.5</v>
      </c>
      <c r="M649" s="301">
        <v>0.5</v>
      </c>
      <c r="N649" s="160"/>
      <c r="O649" s="160"/>
      <c r="P649" s="160"/>
      <c r="Q649" s="160"/>
      <c r="R649" s="160"/>
      <c r="S649" s="160"/>
      <c r="T649" s="18"/>
      <c r="U649" s="18"/>
      <c r="V649" s="18"/>
      <c r="W649" s="18"/>
      <c r="X649" s="20"/>
      <c r="Y649" s="18"/>
      <c r="Z649" s="18"/>
      <c r="AA649" s="18"/>
    </row>
    <row r="650">
      <c r="A650" s="195" t="s">
        <v>64</v>
      </c>
      <c r="B650" s="298" t="s">
        <v>75</v>
      </c>
      <c r="C650" s="262" t="s">
        <v>1612</v>
      </c>
      <c r="D650" s="262" t="s">
        <v>524</v>
      </c>
      <c r="E650" s="132" t="s">
        <v>53</v>
      </c>
      <c r="F650" s="331">
        <v>46188.0</v>
      </c>
      <c r="G650" s="331">
        <v>46188.0</v>
      </c>
      <c r="H650" s="223" t="s">
        <v>146</v>
      </c>
      <c r="I650" s="136" t="s">
        <v>161</v>
      </c>
      <c r="J650" s="135" t="s">
        <v>34</v>
      </c>
      <c r="K650" s="160"/>
      <c r="L650" s="301">
        <v>0.5</v>
      </c>
      <c r="M650" s="301">
        <v>0.5</v>
      </c>
      <c r="N650" s="160"/>
      <c r="O650" s="160"/>
      <c r="P650" s="160"/>
      <c r="Q650" s="160"/>
      <c r="R650" s="160"/>
      <c r="S650" s="160"/>
      <c r="T650" s="18"/>
      <c r="U650" s="18"/>
      <c r="V650" s="18"/>
      <c r="W650" s="20"/>
      <c r="X650" s="20"/>
      <c r="Y650" s="18"/>
      <c r="Z650" s="18"/>
      <c r="AA650" s="18"/>
    </row>
    <row r="651">
      <c r="A651" s="195" t="s">
        <v>140</v>
      </c>
      <c r="B651" s="318" t="s">
        <v>145</v>
      </c>
      <c r="C651" s="262" t="s">
        <v>1613</v>
      </c>
      <c r="D651" s="229" t="s">
        <v>1614</v>
      </c>
      <c r="E651" s="132" t="s">
        <v>53</v>
      </c>
      <c r="F651" s="331">
        <v>46188.0</v>
      </c>
      <c r="G651" s="331">
        <v>46188.0</v>
      </c>
      <c r="H651" s="223" t="s">
        <v>146</v>
      </c>
      <c r="I651" s="136" t="s">
        <v>161</v>
      </c>
      <c r="J651" s="135" t="s">
        <v>34</v>
      </c>
      <c r="K651" s="160"/>
      <c r="L651" s="301">
        <v>4.0</v>
      </c>
      <c r="M651" s="203">
        <v>4.0</v>
      </c>
      <c r="N651" s="160"/>
      <c r="O651" s="160"/>
      <c r="P651" s="160"/>
      <c r="Q651" s="160"/>
      <c r="R651" s="160"/>
      <c r="S651" s="160"/>
      <c r="T651" s="18"/>
      <c r="U651" s="18"/>
      <c r="V651" s="20"/>
      <c r="W651" s="20"/>
      <c r="X651" s="20"/>
      <c r="Y651" s="18"/>
      <c r="Z651" s="18"/>
      <c r="AA651" s="18"/>
    </row>
    <row r="652">
      <c r="A652" s="195" t="s">
        <v>140</v>
      </c>
      <c r="B652" s="318" t="s">
        <v>145</v>
      </c>
      <c r="C652" s="262" t="s">
        <v>1615</v>
      </c>
      <c r="D652" s="229" t="s">
        <v>1616</v>
      </c>
      <c r="E652" s="132" t="s">
        <v>53</v>
      </c>
      <c r="F652" s="331">
        <v>46188.0</v>
      </c>
      <c r="G652" s="331">
        <v>46188.0</v>
      </c>
      <c r="H652" s="223" t="s">
        <v>146</v>
      </c>
      <c r="I652" s="136" t="s">
        <v>161</v>
      </c>
      <c r="J652" s="135" t="s">
        <v>34</v>
      </c>
      <c r="K652" s="160"/>
      <c r="L652" s="301">
        <v>5.0</v>
      </c>
      <c r="M652" s="203">
        <v>5.5</v>
      </c>
      <c r="N652" s="160"/>
      <c r="O652" s="160"/>
      <c r="P652" s="160"/>
      <c r="Q652" s="160"/>
      <c r="R652" s="160"/>
      <c r="S652" s="160"/>
      <c r="T652" s="18"/>
      <c r="U652" s="18"/>
      <c r="V652" s="20"/>
      <c r="W652" s="20"/>
      <c r="X652" s="20"/>
      <c r="Y652" s="18"/>
      <c r="Z652" s="18"/>
      <c r="AA652" s="18"/>
    </row>
    <row r="653">
      <c r="A653" s="195" t="s">
        <v>64</v>
      </c>
      <c r="B653" s="298" t="s">
        <v>75</v>
      </c>
      <c r="C653" s="262" t="s">
        <v>1617</v>
      </c>
      <c r="D653" s="262" t="s">
        <v>1618</v>
      </c>
      <c r="E653" s="132" t="s">
        <v>53</v>
      </c>
      <c r="F653" s="331">
        <v>46188.0</v>
      </c>
      <c r="G653" s="331">
        <v>46188.0</v>
      </c>
      <c r="H653" s="223" t="s">
        <v>79</v>
      </c>
      <c r="I653" s="136" t="s">
        <v>161</v>
      </c>
      <c r="J653" s="135" t="s">
        <v>34</v>
      </c>
      <c r="K653" s="160"/>
      <c r="L653" s="301">
        <v>5.5</v>
      </c>
      <c r="M653" s="203">
        <v>5.5</v>
      </c>
      <c r="N653" s="156" t="s">
        <v>1560</v>
      </c>
      <c r="O653" s="160"/>
      <c r="P653" s="160"/>
      <c r="Q653" s="313" t="s">
        <v>1619</v>
      </c>
      <c r="R653" s="160"/>
      <c r="S653" s="160"/>
      <c r="T653" s="18"/>
      <c r="U653" s="18"/>
      <c r="V653" s="18"/>
      <c r="W653" s="20"/>
      <c r="X653" s="20"/>
      <c r="Y653" s="18"/>
      <c r="Z653" s="18"/>
      <c r="AA653" s="18"/>
    </row>
    <row r="654">
      <c r="A654" s="195" t="s">
        <v>166</v>
      </c>
      <c r="B654" s="298" t="s">
        <v>1620</v>
      </c>
      <c r="C654" s="262" t="s">
        <v>1621</v>
      </c>
      <c r="D654" s="229" t="s">
        <v>1622</v>
      </c>
      <c r="E654" s="132" t="s">
        <v>53</v>
      </c>
      <c r="F654" s="331">
        <v>46189.0</v>
      </c>
      <c r="G654" s="331">
        <v>46191.0</v>
      </c>
      <c r="H654" s="223" t="s">
        <v>79</v>
      </c>
      <c r="I654" s="136" t="s">
        <v>161</v>
      </c>
      <c r="J654" s="135" t="s">
        <v>34</v>
      </c>
      <c r="K654" s="160"/>
      <c r="L654" s="301">
        <v>8.0</v>
      </c>
      <c r="M654" s="203">
        <v>8.0</v>
      </c>
      <c r="N654" s="160"/>
      <c r="O654" s="160"/>
      <c r="P654" s="160"/>
      <c r="Q654" s="160"/>
      <c r="R654" s="160"/>
      <c r="S654" s="160"/>
      <c r="T654" s="18"/>
      <c r="U654" s="18"/>
      <c r="V654" s="18"/>
      <c r="W654" s="18"/>
      <c r="X654" s="20"/>
      <c r="Y654" s="18"/>
      <c r="Z654" s="18"/>
      <c r="AA654" s="18"/>
    </row>
    <row r="655">
      <c r="A655" s="195" t="s">
        <v>119</v>
      </c>
      <c r="B655" s="339" t="s">
        <v>134</v>
      </c>
      <c r="C655" s="262" t="s">
        <v>1623</v>
      </c>
      <c r="D655" s="229" t="s">
        <v>1624</v>
      </c>
      <c r="E655" s="132" t="s">
        <v>53</v>
      </c>
      <c r="F655" s="331">
        <v>46189.0</v>
      </c>
      <c r="G655" s="331">
        <v>46191.0</v>
      </c>
      <c r="H655" s="223" t="s">
        <v>79</v>
      </c>
      <c r="I655" s="136" t="s">
        <v>161</v>
      </c>
      <c r="J655" s="135" t="s">
        <v>34</v>
      </c>
      <c r="K655" s="160"/>
      <c r="L655" s="301">
        <v>8.0</v>
      </c>
      <c r="M655" s="203">
        <v>8.0</v>
      </c>
      <c r="N655" s="160"/>
      <c r="O655" s="160"/>
      <c r="P655" s="160"/>
      <c r="Q655" s="160"/>
      <c r="R655" s="160"/>
      <c r="S655" s="160"/>
      <c r="T655" s="18"/>
      <c r="U655" s="18"/>
      <c r="V655" s="20"/>
      <c r="W655" s="20"/>
      <c r="X655" s="20"/>
      <c r="Y655" s="18"/>
      <c r="Z655" s="18"/>
      <c r="AA655" s="18"/>
    </row>
    <row r="656">
      <c r="A656" s="195" t="s">
        <v>64</v>
      </c>
      <c r="B656" s="236" t="s">
        <v>78</v>
      </c>
      <c r="C656" s="262" t="s">
        <v>1625</v>
      </c>
      <c r="D656" s="229" t="s">
        <v>1626</v>
      </c>
      <c r="E656" s="132" t="s">
        <v>53</v>
      </c>
      <c r="F656" s="331">
        <v>46189.0</v>
      </c>
      <c r="G656" s="331">
        <v>46189.0</v>
      </c>
      <c r="H656" s="223" t="s">
        <v>25</v>
      </c>
      <c r="I656" s="136" t="s">
        <v>161</v>
      </c>
      <c r="J656" s="135" t="s">
        <v>55</v>
      </c>
      <c r="K656" s="160"/>
      <c r="L656" s="301">
        <v>2.0</v>
      </c>
      <c r="M656" s="203">
        <v>2.0</v>
      </c>
      <c r="N656" s="160"/>
      <c r="O656" s="160"/>
      <c r="P656" s="160"/>
      <c r="Q656" s="160"/>
      <c r="R656" s="160"/>
      <c r="S656" s="160"/>
      <c r="T656" s="18"/>
      <c r="U656" s="18"/>
      <c r="V656" s="20"/>
      <c r="W656" s="20"/>
      <c r="X656" s="20"/>
      <c r="Y656" s="18"/>
      <c r="Z656" s="18"/>
      <c r="AA656" s="18"/>
    </row>
    <row r="657">
      <c r="A657" s="195" t="s">
        <v>64</v>
      </c>
      <c r="B657" s="236" t="s">
        <v>78</v>
      </c>
      <c r="C657" s="262" t="s">
        <v>1627</v>
      </c>
      <c r="D657" s="229" t="s">
        <v>1628</v>
      </c>
      <c r="E657" s="132" t="s">
        <v>53</v>
      </c>
      <c r="F657" s="331">
        <v>46189.0</v>
      </c>
      <c r="G657" s="331">
        <v>46189.0</v>
      </c>
      <c r="H657" s="223" t="s">
        <v>25</v>
      </c>
      <c r="I657" s="136" t="s">
        <v>161</v>
      </c>
      <c r="J657" s="135" t="s">
        <v>55</v>
      </c>
      <c r="K657" s="160"/>
      <c r="L657" s="301">
        <v>2.0</v>
      </c>
      <c r="M657" s="203">
        <v>2.5</v>
      </c>
      <c r="N657" s="160"/>
      <c r="O657" s="160"/>
      <c r="P657" s="160"/>
      <c r="Q657" s="160"/>
      <c r="R657" s="160"/>
      <c r="S657" s="160"/>
      <c r="T657" s="18"/>
      <c r="U657" s="18"/>
      <c r="V657" s="20"/>
      <c r="W657" s="20"/>
      <c r="X657" s="20"/>
      <c r="Y657" s="18"/>
      <c r="Z657" s="18"/>
      <c r="AA657" s="18"/>
    </row>
    <row r="658">
      <c r="A658" s="195" t="s">
        <v>166</v>
      </c>
      <c r="B658" s="224" t="s">
        <v>729</v>
      </c>
      <c r="C658" s="262" t="s">
        <v>1629</v>
      </c>
      <c r="D658" s="229" t="s">
        <v>1630</v>
      </c>
      <c r="E658" s="132" t="s">
        <v>53</v>
      </c>
      <c r="F658" s="331">
        <v>46189.0</v>
      </c>
      <c r="G658" s="331">
        <v>46189.0</v>
      </c>
      <c r="H658" s="223" t="s">
        <v>25</v>
      </c>
      <c r="I658" s="136" t="s">
        <v>161</v>
      </c>
      <c r="J658" s="135" t="s">
        <v>27</v>
      </c>
      <c r="K658" s="160"/>
      <c r="L658" s="301">
        <v>0.5</v>
      </c>
      <c r="M658" s="203">
        <v>0.5</v>
      </c>
      <c r="N658" s="160"/>
      <c r="O658" s="160"/>
      <c r="P658" s="160"/>
      <c r="Q658" s="160"/>
      <c r="R658" s="160"/>
      <c r="S658" s="160"/>
      <c r="T658" s="18"/>
      <c r="U658" s="18"/>
      <c r="V658" s="18"/>
      <c r="W658" s="18"/>
      <c r="X658" s="20"/>
      <c r="Y658" s="18"/>
      <c r="Z658" s="18"/>
      <c r="AA658" s="18"/>
    </row>
    <row r="659">
      <c r="A659" s="195" t="s">
        <v>140</v>
      </c>
      <c r="B659" s="317"/>
      <c r="C659" s="262" t="s">
        <v>1631</v>
      </c>
      <c r="D659" s="229" t="s">
        <v>1632</v>
      </c>
      <c r="E659" s="132" t="s">
        <v>53</v>
      </c>
      <c r="F659" s="331">
        <v>46189.0</v>
      </c>
      <c r="G659" s="331">
        <v>46189.0</v>
      </c>
      <c r="H659" s="223" t="s">
        <v>25</v>
      </c>
      <c r="I659" s="136" t="s">
        <v>161</v>
      </c>
      <c r="J659" s="135" t="s">
        <v>55</v>
      </c>
      <c r="K659" s="160"/>
      <c r="L659" s="301">
        <v>2.0</v>
      </c>
      <c r="M659" s="203">
        <v>1.5</v>
      </c>
      <c r="N659" s="160"/>
      <c r="O659" s="160"/>
      <c r="P659" s="160"/>
      <c r="Q659" s="160"/>
      <c r="R659" s="160"/>
      <c r="S659" s="160"/>
      <c r="T659" s="18"/>
      <c r="U659" s="18"/>
      <c r="V659" s="18"/>
      <c r="W659" s="18"/>
      <c r="X659" s="20"/>
      <c r="Y659" s="18"/>
      <c r="Z659" s="18"/>
      <c r="AA659" s="18"/>
    </row>
    <row r="660">
      <c r="A660" s="195" t="s">
        <v>22</v>
      </c>
      <c r="B660" s="293" t="s">
        <v>48</v>
      </c>
      <c r="C660" s="262" t="s">
        <v>1633</v>
      </c>
      <c r="D660" s="229" t="s">
        <v>1634</v>
      </c>
      <c r="E660" s="132" t="s">
        <v>53</v>
      </c>
      <c r="F660" s="331">
        <v>46189.0</v>
      </c>
      <c r="G660" s="331">
        <v>46189.0</v>
      </c>
      <c r="H660" s="223" t="s">
        <v>25</v>
      </c>
      <c r="I660" s="136" t="s">
        <v>161</v>
      </c>
      <c r="J660" s="135" t="s">
        <v>27</v>
      </c>
      <c r="K660" s="160"/>
      <c r="L660" s="301">
        <v>3.0</v>
      </c>
      <c r="M660" s="203">
        <v>2.5</v>
      </c>
      <c r="N660" s="160"/>
      <c r="O660" s="160"/>
      <c r="P660" s="160"/>
      <c r="Q660" s="160"/>
      <c r="R660" s="160"/>
      <c r="S660" s="160"/>
      <c r="T660" s="18"/>
      <c r="U660" s="18"/>
      <c r="V660" s="20"/>
      <c r="W660" s="20"/>
      <c r="X660" s="20"/>
      <c r="Y660" s="18"/>
      <c r="Z660" s="18"/>
      <c r="AA660" s="18"/>
    </row>
    <row r="661">
      <c r="A661" s="195" t="s">
        <v>166</v>
      </c>
      <c r="B661" s="224" t="s">
        <v>729</v>
      </c>
      <c r="C661" s="262" t="s">
        <v>1635</v>
      </c>
      <c r="D661" s="262" t="s">
        <v>524</v>
      </c>
      <c r="E661" s="132" t="s">
        <v>53</v>
      </c>
      <c r="F661" s="331">
        <v>46189.0</v>
      </c>
      <c r="G661" s="331">
        <v>46189.0</v>
      </c>
      <c r="H661" s="223" t="s">
        <v>146</v>
      </c>
      <c r="I661" s="136" t="s">
        <v>161</v>
      </c>
      <c r="J661" s="135" t="s">
        <v>34</v>
      </c>
      <c r="K661" s="160"/>
      <c r="L661" s="301">
        <v>0.5</v>
      </c>
      <c r="M661" s="203">
        <v>0.5</v>
      </c>
      <c r="N661" s="160"/>
      <c r="O661" s="160"/>
      <c r="P661" s="160"/>
      <c r="Q661" s="160"/>
      <c r="R661" s="160"/>
      <c r="S661" s="160"/>
      <c r="T661" s="18"/>
      <c r="U661" s="18"/>
      <c r="V661" s="18"/>
      <c r="W661" s="18"/>
      <c r="X661" s="20"/>
      <c r="Y661" s="18"/>
      <c r="Z661" s="18"/>
      <c r="AA661" s="18"/>
    </row>
    <row r="662">
      <c r="A662" s="195" t="s">
        <v>64</v>
      </c>
      <c r="B662" s="298" t="s">
        <v>75</v>
      </c>
      <c r="C662" s="262" t="s">
        <v>1636</v>
      </c>
      <c r="D662" s="262" t="s">
        <v>524</v>
      </c>
      <c r="E662" s="132" t="s">
        <v>53</v>
      </c>
      <c r="F662" s="331">
        <v>46189.0</v>
      </c>
      <c r="G662" s="331">
        <v>46189.0</v>
      </c>
      <c r="H662" s="223" t="s">
        <v>146</v>
      </c>
      <c r="I662" s="136" t="s">
        <v>161</v>
      </c>
      <c r="J662" s="135" t="s">
        <v>34</v>
      </c>
      <c r="K662" s="160"/>
      <c r="L662" s="301">
        <v>0.5</v>
      </c>
      <c r="M662" s="203">
        <v>0.5</v>
      </c>
      <c r="N662" s="160"/>
      <c r="O662" s="160"/>
      <c r="P662" s="160"/>
      <c r="Q662" s="160"/>
      <c r="R662" s="160"/>
      <c r="S662" s="160"/>
      <c r="T662" s="18"/>
      <c r="U662" s="18"/>
      <c r="V662" s="20"/>
      <c r="W662" s="20"/>
      <c r="X662" s="20"/>
      <c r="Y662" s="18"/>
      <c r="Z662" s="18"/>
      <c r="AA662" s="18"/>
    </row>
    <row r="663">
      <c r="A663" s="195" t="s">
        <v>140</v>
      </c>
      <c r="B663" s="318" t="s">
        <v>145</v>
      </c>
      <c r="C663" s="262" t="s">
        <v>1637</v>
      </c>
      <c r="D663" s="229" t="s">
        <v>1638</v>
      </c>
      <c r="E663" s="132" t="s">
        <v>53</v>
      </c>
      <c r="F663" s="331">
        <v>46189.0</v>
      </c>
      <c r="G663" s="331">
        <v>46189.0</v>
      </c>
      <c r="H663" s="223" t="s">
        <v>146</v>
      </c>
      <c r="I663" s="136" t="s">
        <v>161</v>
      </c>
      <c r="J663" s="135" t="s">
        <v>34</v>
      </c>
      <c r="K663" s="160"/>
      <c r="L663" s="301">
        <v>4.0</v>
      </c>
      <c r="M663" s="203">
        <v>4.0</v>
      </c>
      <c r="N663" s="160"/>
      <c r="O663" s="160"/>
      <c r="P663" s="160"/>
      <c r="Q663" s="160"/>
      <c r="R663" s="160"/>
      <c r="S663" s="160"/>
      <c r="T663" s="18"/>
      <c r="U663" s="18"/>
      <c r="V663" s="20"/>
      <c r="W663" s="20"/>
      <c r="X663" s="20"/>
      <c r="Y663" s="18"/>
      <c r="Z663" s="18"/>
      <c r="AA663" s="18"/>
    </row>
    <row r="664">
      <c r="A664" s="195" t="s">
        <v>140</v>
      </c>
      <c r="B664" s="318" t="s">
        <v>145</v>
      </c>
      <c r="C664" s="262" t="s">
        <v>1639</v>
      </c>
      <c r="D664" s="229" t="s">
        <v>1640</v>
      </c>
      <c r="E664" s="132" t="s">
        <v>53</v>
      </c>
      <c r="F664" s="331">
        <v>46189.0</v>
      </c>
      <c r="G664" s="331">
        <v>46189.0</v>
      </c>
      <c r="H664" s="223" t="s">
        <v>146</v>
      </c>
      <c r="I664" s="136" t="s">
        <v>161</v>
      </c>
      <c r="J664" s="135" t="s">
        <v>34</v>
      </c>
      <c r="K664" s="160"/>
      <c r="L664" s="301">
        <v>5.0</v>
      </c>
      <c r="M664" s="203">
        <v>5.5</v>
      </c>
      <c r="N664" s="160"/>
      <c r="O664" s="160"/>
      <c r="P664" s="160"/>
      <c r="Q664" s="160"/>
      <c r="R664" s="160"/>
      <c r="S664" s="160"/>
      <c r="T664" s="18"/>
      <c r="U664" s="18"/>
      <c r="V664" s="20"/>
      <c r="W664" s="20"/>
      <c r="X664" s="20"/>
      <c r="Y664" s="18"/>
      <c r="Z664" s="18"/>
      <c r="AA664" s="18"/>
    </row>
    <row r="665">
      <c r="A665" s="195" t="s">
        <v>166</v>
      </c>
      <c r="B665" s="340"/>
      <c r="C665" s="262" t="s">
        <v>1641</v>
      </c>
      <c r="D665" s="341" t="s">
        <v>1642</v>
      </c>
      <c r="E665" s="132" t="s">
        <v>53</v>
      </c>
      <c r="F665" s="331">
        <v>46190.0</v>
      </c>
      <c r="G665" s="331">
        <v>46190.0</v>
      </c>
      <c r="H665" s="223" t="s">
        <v>25</v>
      </c>
      <c r="I665" s="136" t="s">
        <v>161</v>
      </c>
      <c r="J665" s="135" t="s">
        <v>34</v>
      </c>
      <c r="K665" s="160"/>
      <c r="L665" s="301">
        <v>5.0</v>
      </c>
      <c r="M665" s="203">
        <v>3.5</v>
      </c>
      <c r="N665" s="160"/>
      <c r="O665" s="160"/>
      <c r="P665" s="160"/>
      <c r="Q665" s="160"/>
      <c r="R665" s="160"/>
      <c r="S665" s="160"/>
      <c r="T665" s="18"/>
      <c r="U665" s="18"/>
      <c r="V665" s="18"/>
      <c r="W665" s="18"/>
      <c r="X665" s="20"/>
      <c r="Y665" s="18"/>
      <c r="Z665" s="18"/>
      <c r="AA665" s="18"/>
    </row>
    <row r="666">
      <c r="A666" s="195" t="s">
        <v>119</v>
      </c>
      <c r="B666" s="224" t="s">
        <v>729</v>
      </c>
      <c r="C666" s="262" t="s">
        <v>1643</v>
      </c>
      <c r="D666" s="341" t="s">
        <v>1644</v>
      </c>
      <c r="E666" s="132" t="s">
        <v>53</v>
      </c>
      <c r="F666" s="331"/>
      <c r="G666" s="331"/>
      <c r="H666" s="223" t="s">
        <v>25</v>
      </c>
      <c r="I666" s="136" t="s">
        <v>54</v>
      </c>
      <c r="J666" s="135" t="s">
        <v>55</v>
      </c>
      <c r="K666" s="160"/>
      <c r="L666" s="172"/>
      <c r="M666" s="203"/>
      <c r="N666" s="160"/>
      <c r="O666" s="160"/>
      <c r="P666" s="160"/>
      <c r="Q666" s="160"/>
      <c r="R666" s="160"/>
      <c r="S666" s="160"/>
      <c r="T666" s="18"/>
      <c r="U666" s="18"/>
      <c r="V666" s="18"/>
      <c r="W666" s="18"/>
      <c r="X666" s="20"/>
      <c r="Y666" s="18"/>
      <c r="Z666" s="18"/>
      <c r="AA666" s="18"/>
    </row>
    <row r="667">
      <c r="A667" s="195" t="s">
        <v>166</v>
      </c>
      <c r="B667" s="111" t="s">
        <v>134</v>
      </c>
      <c r="C667" s="262" t="s">
        <v>1645</v>
      </c>
      <c r="D667" s="342" t="s">
        <v>1646</v>
      </c>
      <c r="E667" s="132" t="s">
        <v>53</v>
      </c>
      <c r="F667" s="331">
        <v>46190.0</v>
      </c>
      <c r="G667" s="331">
        <v>46190.0</v>
      </c>
      <c r="H667" s="223" t="s">
        <v>25</v>
      </c>
      <c r="I667" s="136" t="s">
        <v>161</v>
      </c>
      <c r="J667" s="135" t="s">
        <v>27</v>
      </c>
      <c r="K667" s="160"/>
      <c r="L667" s="301">
        <v>2.0</v>
      </c>
      <c r="M667" s="203">
        <v>1.5</v>
      </c>
      <c r="N667" s="160"/>
      <c r="O667" s="160"/>
      <c r="P667" s="160"/>
      <c r="Q667" s="160"/>
      <c r="R667" s="160"/>
      <c r="S667" s="160"/>
      <c r="T667" s="18"/>
      <c r="U667" s="18"/>
      <c r="V667" s="20"/>
      <c r="W667" s="20"/>
      <c r="X667" s="20"/>
      <c r="Y667" s="18"/>
      <c r="Z667" s="18"/>
      <c r="AA667" s="18"/>
    </row>
    <row r="668">
      <c r="A668" s="195" t="s">
        <v>166</v>
      </c>
      <c r="B668" s="111" t="s">
        <v>134</v>
      </c>
      <c r="C668" s="262" t="s">
        <v>1647</v>
      </c>
      <c r="D668" s="342" t="s">
        <v>1648</v>
      </c>
      <c r="E668" s="132" t="s">
        <v>53</v>
      </c>
      <c r="F668" s="331">
        <v>46190.0</v>
      </c>
      <c r="G668" s="331">
        <v>46190.0</v>
      </c>
      <c r="H668" s="223" t="s">
        <v>25</v>
      </c>
      <c r="I668" s="136" t="s">
        <v>161</v>
      </c>
      <c r="J668" s="135" t="s">
        <v>27</v>
      </c>
      <c r="K668" s="160"/>
      <c r="L668" s="301">
        <v>2.0</v>
      </c>
      <c r="M668" s="203">
        <v>1.0</v>
      </c>
      <c r="N668" s="160"/>
      <c r="O668" s="160"/>
      <c r="P668" s="160"/>
      <c r="Q668" s="160"/>
      <c r="R668" s="160"/>
      <c r="S668" s="160"/>
      <c r="T668" s="18"/>
      <c r="U668" s="18"/>
      <c r="V668" s="20"/>
      <c r="W668" s="20"/>
      <c r="X668" s="20"/>
      <c r="Y668" s="18"/>
      <c r="Z668" s="18"/>
      <c r="AA668" s="18"/>
    </row>
    <row r="669">
      <c r="A669" s="195" t="s">
        <v>119</v>
      </c>
      <c r="B669" s="224" t="s">
        <v>729</v>
      </c>
      <c r="C669" s="262" t="s">
        <v>1649</v>
      </c>
      <c r="D669" s="342" t="s">
        <v>1650</v>
      </c>
      <c r="E669" s="132" t="s">
        <v>53</v>
      </c>
      <c r="F669" s="331">
        <v>46190.0</v>
      </c>
      <c r="G669" s="331">
        <v>46190.0</v>
      </c>
      <c r="H669" s="223" t="s">
        <v>25</v>
      </c>
      <c r="I669" s="136" t="s">
        <v>161</v>
      </c>
      <c r="J669" s="135" t="s">
        <v>27</v>
      </c>
      <c r="K669" s="160"/>
      <c r="L669" s="301">
        <v>0.5</v>
      </c>
      <c r="M669" s="203">
        <v>0.5</v>
      </c>
      <c r="N669" s="160"/>
      <c r="O669" s="160"/>
      <c r="P669" s="160"/>
      <c r="Q669" s="160"/>
      <c r="R669" s="160"/>
      <c r="S669" s="160"/>
      <c r="T669" s="18"/>
      <c r="U669" s="18"/>
      <c r="V669" s="18"/>
      <c r="W669" s="18"/>
      <c r="X669" s="20"/>
      <c r="Y669" s="18"/>
      <c r="Z669" s="18"/>
      <c r="AA669" s="18"/>
    </row>
    <row r="670">
      <c r="A670" s="195" t="s">
        <v>119</v>
      </c>
      <c r="B670" s="224" t="s">
        <v>729</v>
      </c>
      <c r="C670" s="262" t="s">
        <v>1651</v>
      </c>
      <c r="D670" s="342" t="s">
        <v>1652</v>
      </c>
      <c r="E670" s="132" t="s">
        <v>53</v>
      </c>
      <c r="F670" s="331">
        <v>46190.0</v>
      </c>
      <c r="G670" s="331">
        <v>46190.0</v>
      </c>
      <c r="H670" s="223" t="s">
        <v>25</v>
      </c>
      <c r="I670" s="136" t="s">
        <v>161</v>
      </c>
      <c r="J670" s="135" t="s">
        <v>27</v>
      </c>
      <c r="K670" s="160"/>
      <c r="L670" s="301">
        <v>2.0</v>
      </c>
      <c r="M670" s="203">
        <v>1.0</v>
      </c>
      <c r="N670" s="160"/>
      <c r="O670" s="160"/>
      <c r="P670" s="160"/>
      <c r="Q670" s="160"/>
      <c r="R670" s="160"/>
      <c r="S670" s="160"/>
      <c r="T670" s="18"/>
      <c r="U670" s="18"/>
      <c r="V670" s="18"/>
      <c r="W670" s="18"/>
      <c r="X670" s="20"/>
      <c r="Y670" s="18"/>
      <c r="Z670" s="18"/>
      <c r="AA670" s="18"/>
    </row>
    <row r="671">
      <c r="A671" s="195" t="s">
        <v>201</v>
      </c>
      <c r="B671" s="343" t="s">
        <v>1653</v>
      </c>
      <c r="C671" s="262" t="s">
        <v>1654</v>
      </c>
      <c r="D671" s="342" t="s">
        <v>1655</v>
      </c>
      <c r="E671" s="132" t="s">
        <v>53</v>
      </c>
      <c r="F671" s="331">
        <v>46190.0</v>
      </c>
      <c r="G671" s="331">
        <v>46191.0</v>
      </c>
      <c r="H671" s="223" t="s">
        <v>25</v>
      </c>
      <c r="I671" s="136" t="s">
        <v>161</v>
      </c>
      <c r="J671" s="135" t="s">
        <v>34</v>
      </c>
      <c r="K671" s="160"/>
      <c r="L671" s="301">
        <v>2.0</v>
      </c>
      <c r="M671" s="203">
        <v>1.5</v>
      </c>
      <c r="N671" s="160"/>
      <c r="O671" s="160"/>
      <c r="P671" s="160"/>
      <c r="Q671" s="160"/>
      <c r="R671" s="160"/>
      <c r="S671" s="160"/>
      <c r="T671" s="18"/>
      <c r="U671" s="18"/>
      <c r="V671" s="18"/>
      <c r="W671" s="18"/>
      <c r="X671" s="20"/>
      <c r="Y671" s="18"/>
      <c r="Z671" s="18"/>
      <c r="AA671" s="18"/>
    </row>
    <row r="672">
      <c r="A672" s="195" t="s">
        <v>166</v>
      </c>
      <c r="B672" s="224" t="s">
        <v>729</v>
      </c>
      <c r="C672" s="262" t="s">
        <v>1654</v>
      </c>
      <c r="D672" s="262" t="s">
        <v>524</v>
      </c>
      <c r="E672" s="132" t="s">
        <v>53</v>
      </c>
      <c r="F672" s="331">
        <v>46190.0</v>
      </c>
      <c r="G672" s="331">
        <v>46190.0</v>
      </c>
      <c r="H672" s="223" t="s">
        <v>146</v>
      </c>
      <c r="I672" s="136" t="s">
        <v>161</v>
      </c>
      <c r="J672" s="135" t="s">
        <v>34</v>
      </c>
      <c r="K672" s="160"/>
      <c r="L672" s="301">
        <v>0.5</v>
      </c>
      <c r="M672" s="301">
        <v>0.5</v>
      </c>
      <c r="N672" s="160"/>
      <c r="O672" s="160"/>
      <c r="P672" s="160"/>
      <c r="Q672" s="160"/>
      <c r="R672" s="160"/>
      <c r="S672" s="160"/>
      <c r="T672" s="18"/>
      <c r="U672" s="18"/>
      <c r="V672" s="20"/>
      <c r="W672" s="18"/>
      <c r="X672" s="20"/>
      <c r="Y672" s="18"/>
      <c r="Z672" s="18"/>
      <c r="AA672" s="18"/>
    </row>
    <row r="673">
      <c r="A673" s="195" t="s">
        <v>64</v>
      </c>
      <c r="B673" s="298" t="s">
        <v>75</v>
      </c>
      <c r="C673" s="262" t="s">
        <v>1656</v>
      </c>
      <c r="D673" s="262" t="s">
        <v>524</v>
      </c>
      <c r="E673" s="132" t="s">
        <v>53</v>
      </c>
      <c r="F673" s="331">
        <v>46190.0</v>
      </c>
      <c r="G673" s="331">
        <v>46190.0</v>
      </c>
      <c r="H673" s="223" t="s">
        <v>146</v>
      </c>
      <c r="I673" s="136" t="s">
        <v>161</v>
      </c>
      <c r="J673" s="135" t="s">
        <v>34</v>
      </c>
      <c r="K673" s="160"/>
      <c r="L673" s="301">
        <v>0.5</v>
      </c>
      <c r="M673" s="301">
        <v>0.5</v>
      </c>
      <c r="N673" s="160"/>
      <c r="O673" s="160"/>
      <c r="P673" s="160"/>
      <c r="Q673" s="160"/>
      <c r="R673" s="160"/>
      <c r="S673" s="160"/>
      <c r="T673" s="18"/>
      <c r="U673" s="18"/>
      <c r="V673" s="20"/>
      <c r="W673" s="20"/>
      <c r="X673" s="20"/>
      <c r="Y673" s="18"/>
      <c r="Z673" s="18"/>
      <c r="AA673" s="18"/>
    </row>
    <row r="674">
      <c r="A674" s="195" t="s">
        <v>201</v>
      </c>
      <c r="B674" s="224" t="s">
        <v>729</v>
      </c>
      <c r="C674" s="262" t="s">
        <v>1657</v>
      </c>
      <c r="D674" s="344" t="s">
        <v>1658</v>
      </c>
      <c r="E674" s="132" t="s">
        <v>53</v>
      </c>
      <c r="F674" s="331">
        <v>46190.0</v>
      </c>
      <c r="G674" s="331">
        <v>46190.0</v>
      </c>
      <c r="H674" s="223" t="s">
        <v>146</v>
      </c>
      <c r="I674" s="136" t="s">
        <v>161</v>
      </c>
      <c r="J674" s="135" t="s">
        <v>27</v>
      </c>
      <c r="K674" s="160"/>
      <c r="L674" s="301">
        <v>0.5</v>
      </c>
      <c r="M674" s="301">
        <v>0.5</v>
      </c>
      <c r="N674" s="160"/>
      <c r="O674" s="160"/>
      <c r="P674" s="160"/>
      <c r="Q674" s="160"/>
      <c r="R674" s="160"/>
      <c r="S674" s="160"/>
      <c r="T674" s="18"/>
      <c r="U674" s="18"/>
      <c r="V674" s="20"/>
      <c r="W674" s="18"/>
      <c r="X674" s="20"/>
      <c r="Y674" s="18"/>
      <c r="Z674" s="18"/>
      <c r="AA674" s="18"/>
    </row>
    <row r="675">
      <c r="A675" s="195" t="s">
        <v>140</v>
      </c>
      <c r="B675" s="318" t="s">
        <v>145</v>
      </c>
      <c r="C675" s="262" t="s">
        <v>1659</v>
      </c>
      <c r="D675" s="229" t="s">
        <v>1660</v>
      </c>
      <c r="E675" s="132" t="s">
        <v>53</v>
      </c>
      <c r="F675" s="331">
        <v>46190.0</v>
      </c>
      <c r="G675" s="331">
        <v>46190.0</v>
      </c>
      <c r="H675" s="223" t="s">
        <v>146</v>
      </c>
      <c r="I675" s="136" t="s">
        <v>161</v>
      </c>
      <c r="J675" s="135" t="s">
        <v>34</v>
      </c>
      <c r="K675" s="160"/>
      <c r="L675" s="301">
        <v>4.0</v>
      </c>
      <c r="M675" s="203">
        <v>4.0</v>
      </c>
      <c r="N675" s="160"/>
      <c r="O675" s="160"/>
      <c r="P675" s="160"/>
      <c r="Q675" s="160"/>
      <c r="R675" s="160"/>
      <c r="S675" s="160"/>
      <c r="T675" s="18"/>
      <c r="U675" s="18"/>
      <c r="V675" s="20"/>
      <c r="W675" s="20"/>
      <c r="X675" s="20"/>
      <c r="Y675" s="18"/>
      <c r="Z675" s="18"/>
      <c r="AA675" s="18"/>
    </row>
    <row r="676">
      <c r="A676" s="195" t="s">
        <v>140</v>
      </c>
      <c r="B676" s="318" t="s">
        <v>145</v>
      </c>
      <c r="C676" s="262" t="s">
        <v>1661</v>
      </c>
      <c r="D676" s="229" t="s">
        <v>1662</v>
      </c>
      <c r="E676" s="132" t="s">
        <v>53</v>
      </c>
      <c r="F676" s="331">
        <v>46190.0</v>
      </c>
      <c r="G676" s="331">
        <v>46190.0</v>
      </c>
      <c r="H676" s="223" t="s">
        <v>146</v>
      </c>
      <c r="I676" s="136" t="s">
        <v>161</v>
      </c>
      <c r="J676" s="135" t="s">
        <v>34</v>
      </c>
      <c r="K676" s="160"/>
      <c r="L676" s="301">
        <v>5.0</v>
      </c>
      <c r="M676" s="203">
        <v>5.0</v>
      </c>
      <c r="N676" s="160"/>
      <c r="O676" s="160"/>
      <c r="P676" s="160"/>
      <c r="Q676" s="160"/>
      <c r="R676" s="160"/>
      <c r="S676" s="160"/>
      <c r="T676" s="18"/>
      <c r="U676" s="18"/>
      <c r="V676" s="20"/>
      <c r="W676" s="20"/>
      <c r="X676" s="20"/>
      <c r="Y676" s="18"/>
      <c r="Z676" s="18"/>
      <c r="AA676" s="18"/>
    </row>
    <row r="677">
      <c r="A677" s="195" t="s">
        <v>140</v>
      </c>
      <c r="B677" s="345" t="s">
        <v>1663</v>
      </c>
      <c r="C677" s="160"/>
      <c r="D677" s="346" t="s">
        <v>1664</v>
      </c>
      <c r="E677" s="132" t="s">
        <v>53</v>
      </c>
      <c r="F677" s="331">
        <v>46189.0</v>
      </c>
      <c r="G677" s="331">
        <v>46189.0</v>
      </c>
      <c r="H677" s="223" t="s">
        <v>115</v>
      </c>
      <c r="I677" s="136" t="s">
        <v>161</v>
      </c>
      <c r="J677" s="172"/>
      <c r="K677" s="160"/>
      <c r="L677" s="172"/>
      <c r="M677" s="203">
        <v>0.0</v>
      </c>
      <c r="N677" s="160"/>
      <c r="O677" s="160"/>
      <c r="P677" s="160"/>
      <c r="Q677" s="160"/>
      <c r="R677" s="160"/>
      <c r="S677" s="160"/>
      <c r="T677" s="18"/>
      <c r="U677" s="18"/>
      <c r="V677" s="18"/>
      <c r="W677" s="18"/>
      <c r="X677" s="20"/>
      <c r="Y677" s="18"/>
      <c r="Z677" s="18"/>
      <c r="AA677" s="18"/>
    </row>
    <row r="678">
      <c r="A678" s="195" t="s">
        <v>140</v>
      </c>
      <c r="B678" s="347" t="s">
        <v>1665</v>
      </c>
      <c r="C678" s="160"/>
      <c r="D678" s="348" t="s">
        <v>1666</v>
      </c>
      <c r="E678" s="132" t="s">
        <v>53</v>
      </c>
      <c r="F678" s="331">
        <v>46189.0</v>
      </c>
      <c r="G678" s="331">
        <v>46189.0</v>
      </c>
      <c r="H678" s="223" t="s">
        <v>115</v>
      </c>
      <c r="I678" s="136" t="s">
        <v>161</v>
      </c>
      <c r="J678" s="172"/>
      <c r="K678" s="160"/>
      <c r="L678" s="172"/>
      <c r="M678" s="203">
        <v>0.0</v>
      </c>
      <c r="N678" s="160"/>
      <c r="O678" s="160"/>
      <c r="P678" s="160"/>
      <c r="Q678" s="160"/>
      <c r="R678" s="160"/>
      <c r="S678" s="160"/>
      <c r="T678" s="18"/>
      <c r="U678" s="18"/>
      <c r="V678" s="18"/>
      <c r="W678" s="18"/>
      <c r="X678" s="20"/>
      <c r="Y678" s="18"/>
      <c r="Z678" s="18"/>
      <c r="AA678" s="18"/>
    </row>
    <row r="679">
      <c r="A679" s="195" t="s">
        <v>140</v>
      </c>
      <c r="B679" s="349" t="s">
        <v>1667</v>
      </c>
      <c r="C679" s="160"/>
      <c r="D679" s="350" t="s">
        <v>1668</v>
      </c>
      <c r="E679" s="132" t="s">
        <v>53</v>
      </c>
      <c r="F679" s="331">
        <v>46189.0</v>
      </c>
      <c r="G679" s="331">
        <v>46189.0</v>
      </c>
      <c r="H679" s="223" t="s">
        <v>115</v>
      </c>
      <c r="I679" s="136" t="s">
        <v>161</v>
      </c>
      <c r="J679" s="172"/>
      <c r="K679" s="160"/>
      <c r="L679" s="172"/>
      <c r="M679" s="203">
        <v>0.0</v>
      </c>
      <c r="N679" s="160"/>
      <c r="O679" s="160"/>
      <c r="P679" s="160"/>
      <c r="Q679" s="160"/>
      <c r="R679" s="160"/>
      <c r="S679" s="160"/>
      <c r="T679" s="18"/>
      <c r="U679" s="18"/>
      <c r="V679" s="18"/>
      <c r="W679" s="18"/>
      <c r="X679" s="20"/>
      <c r="Y679" s="18"/>
      <c r="Z679" s="18"/>
      <c r="AA679" s="18"/>
    </row>
    <row r="680">
      <c r="A680" s="195" t="s">
        <v>140</v>
      </c>
      <c r="B680" s="347" t="s">
        <v>1669</v>
      </c>
      <c r="C680" s="160"/>
      <c r="D680" s="348" t="s">
        <v>1670</v>
      </c>
      <c r="E680" s="132" t="s">
        <v>53</v>
      </c>
      <c r="F680" s="331">
        <v>46189.0</v>
      </c>
      <c r="G680" s="331">
        <v>46189.0</v>
      </c>
      <c r="H680" s="223" t="s">
        <v>115</v>
      </c>
      <c r="I680" s="136" t="s">
        <v>161</v>
      </c>
      <c r="J680" s="172"/>
      <c r="K680" s="160"/>
      <c r="L680" s="172"/>
      <c r="M680" s="203">
        <v>0.0</v>
      </c>
      <c r="N680" s="160"/>
      <c r="O680" s="160"/>
      <c r="P680" s="160"/>
      <c r="Q680" s="160"/>
      <c r="R680" s="160"/>
      <c r="S680" s="160"/>
      <c r="T680" s="18"/>
      <c r="U680" s="18"/>
      <c r="V680" s="18"/>
      <c r="W680" s="18"/>
      <c r="X680" s="20"/>
      <c r="Y680" s="18"/>
      <c r="Z680" s="18"/>
      <c r="AA680" s="18"/>
    </row>
    <row r="681">
      <c r="A681" s="195" t="s">
        <v>140</v>
      </c>
      <c r="B681" s="349" t="s">
        <v>1671</v>
      </c>
      <c r="C681" s="160"/>
      <c r="D681" s="350" t="s">
        <v>1672</v>
      </c>
      <c r="E681" s="132" t="s">
        <v>53</v>
      </c>
      <c r="F681" s="331">
        <v>46189.0</v>
      </c>
      <c r="G681" s="331">
        <v>46189.0</v>
      </c>
      <c r="H681" s="223" t="s">
        <v>115</v>
      </c>
      <c r="I681" s="136" t="s">
        <v>161</v>
      </c>
      <c r="J681" s="172"/>
      <c r="K681" s="160"/>
      <c r="L681" s="172"/>
      <c r="M681" s="203">
        <v>0.0</v>
      </c>
      <c r="N681" s="160"/>
      <c r="O681" s="160"/>
      <c r="P681" s="160"/>
      <c r="Q681" s="160"/>
      <c r="R681" s="160"/>
      <c r="S681" s="160"/>
      <c r="T681" s="18"/>
      <c r="U681" s="18"/>
      <c r="V681" s="18"/>
      <c r="W681" s="18"/>
      <c r="X681" s="20"/>
      <c r="Y681" s="18"/>
      <c r="Z681" s="18"/>
      <c r="AA681" s="18"/>
    </row>
    <row r="682">
      <c r="A682" s="195" t="s">
        <v>140</v>
      </c>
      <c r="B682" s="347" t="s">
        <v>1673</v>
      </c>
      <c r="C682" s="160"/>
      <c r="D682" s="348" t="s">
        <v>1674</v>
      </c>
      <c r="E682" s="132" t="s">
        <v>53</v>
      </c>
      <c r="F682" s="331">
        <v>46189.0</v>
      </c>
      <c r="G682" s="331">
        <v>46189.0</v>
      </c>
      <c r="H682" s="223" t="s">
        <v>115</v>
      </c>
      <c r="I682" s="136" t="s">
        <v>161</v>
      </c>
      <c r="J682" s="172"/>
      <c r="K682" s="160"/>
      <c r="L682" s="172"/>
      <c r="M682" s="203">
        <v>0.0</v>
      </c>
      <c r="N682" s="160"/>
      <c r="O682" s="160"/>
      <c r="P682" s="160"/>
      <c r="Q682" s="160"/>
      <c r="R682" s="160"/>
      <c r="S682" s="160"/>
      <c r="T682" s="18"/>
      <c r="U682" s="18"/>
      <c r="V682" s="18"/>
      <c r="W682" s="18"/>
      <c r="X682" s="20"/>
      <c r="Y682" s="18"/>
      <c r="Z682" s="18"/>
      <c r="AA682" s="18"/>
    </row>
    <row r="683">
      <c r="A683" s="195" t="s">
        <v>140</v>
      </c>
      <c r="B683" s="349" t="s">
        <v>1675</v>
      </c>
      <c r="C683" s="160"/>
      <c r="D683" s="350" t="s">
        <v>1676</v>
      </c>
      <c r="E683" s="132" t="s">
        <v>53</v>
      </c>
      <c r="F683" s="331">
        <v>46189.0</v>
      </c>
      <c r="G683" s="331">
        <v>46189.0</v>
      </c>
      <c r="H683" s="223" t="s">
        <v>115</v>
      </c>
      <c r="I683" s="136" t="s">
        <v>161</v>
      </c>
      <c r="J683" s="172"/>
      <c r="K683" s="160"/>
      <c r="L683" s="172"/>
      <c r="M683" s="203">
        <v>0.0</v>
      </c>
      <c r="N683" s="160"/>
      <c r="O683" s="160"/>
      <c r="P683" s="160"/>
      <c r="Q683" s="160"/>
      <c r="R683" s="160"/>
      <c r="S683" s="160"/>
      <c r="T683" s="18"/>
      <c r="U683" s="18"/>
      <c r="V683" s="18"/>
      <c r="W683" s="18"/>
      <c r="X683" s="20"/>
      <c r="Y683" s="18"/>
      <c r="Z683" s="18"/>
      <c r="AA683" s="18"/>
    </row>
    <row r="684">
      <c r="A684" s="195" t="s">
        <v>140</v>
      </c>
      <c r="B684" s="347" t="s">
        <v>1677</v>
      </c>
      <c r="C684" s="160"/>
      <c r="D684" s="348" t="s">
        <v>1678</v>
      </c>
      <c r="E684" s="132" t="s">
        <v>53</v>
      </c>
      <c r="F684" s="331">
        <v>46190.0</v>
      </c>
      <c r="G684" s="331">
        <v>46190.0</v>
      </c>
      <c r="H684" s="223" t="s">
        <v>115</v>
      </c>
      <c r="I684" s="136" t="s">
        <v>161</v>
      </c>
      <c r="J684" s="172"/>
      <c r="K684" s="160"/>
      <c r="L684" s="172"/>
      <c r="M684" s="203">
        <v>0.0</v>
      </c>
      <c r="N684" s="160"/>
      <c r="O684" s="160"/>
      <c r="P684" s="160"/>
      <c r="Q684" s="160"/>
      <c r="R684" s="160"/>
      <c r="S684" s="160"/>
      <c r="T684" s="18"/>
      <c r="U684" s="18"/>
      <c r="V684" s="18"/>
      <c r="W684" s="18"/>
      <c r="X684" s="20"/>
      <c r="Y684" s="18"/>
      <c r="Z684" s="18"/>
      <c r="AA684" s="18"/>
    </row>
    <row r="685">
      <c r="A685" s="195" t="s">
        <v>140</v>
      </c>
      <c r="B685" s="349" t="s">
        <v>1679</v>
      </c>
      <c r="C685" s="160"/>
      <c r="D685" s="350" t="s">
        <v>1680</v>
      </c>
      <c r="E685" s="132" t="s">
        <v>53</v>
      </c>
      <c r="F685" s="331">
        <v>46190.0</v>
      </c>
      <c r="G685" s="331">
        <v>46190.0</v>
      </c>
      <c r="H685" s="223" t="s">
        <v>115</v>
      </c>
      <c r="I685" s="136" t="s">
        <v>161</v>
      </c>
      <c r="J685" s="172"/>
      <c r="K685" s="160"/>
      <c r="L685" s="172"/>
      <c r="M685" s="203">
        <v>0.0</v>
      </c>
      <c r="N685" s="160"/>
      <c r="O685" s="160"/>
      <c r="P685" s="160"/>
      <c r="Q685" s="160"/>
      <c r="R685" s="160"/>
      <c r="S685" s="160"/>
      <c r="T685" s="18"/>
      <c r="U685" s="18"/>
      <c r="V685" s="18"/>
      <c r="W685" s="18"/>
      <c r="X685" s="20"/>
      <c r="Y685" s="18"/>
      <c r="Z685" s="18"/>
      <c r="AA685" s="18"/>
    </row>
    <row r="686">
      <c r="A686" s="195" t="s">
        <v>140</v>
      </c>
      <c r="B686" s="347" t="s">
        <v>1681</v>
      </c>
      <c r="C686" s="160"/>
      <c r="D686" s="348" t="s">
        <v>1682</v>
      </c>
      <c r="E686" s="132" t="s">
        <v>53</v>
      </c>
      <c r="F686" s="331">
        <v>46190.0</v>
      </c>
      <c r="G686" s="331">
        <v>46190.0</v>
      </c>
      <c r="H686" s="223" t="s">
        <v>115</v>
      </c>
      <c r="I686" s="136" t="s">
        <v>161</v>
      </c>
      <c r="J686" s="172"/>
      <c r="K686" s="160"/>
      <c r="L686" s="172"/>
      <c r="M686" s="203">
        <v>0.0</v>
      </c>
      <c r="N686" s="160"/>
      <c r="O686" s="160"/>
      <c r="P686" s="160"/>
      <c r="Q686" s="160"/>
      <c r="R686" s="160"/>
      <c r="S686" s="160"/>
      <c r="T686" s="18"/>
      <c r="U686" s="18"/>
      <c r="V686" s="18"/>
      <c r="W686" s="18"/>
      <c r="X686" s="20"/>
      <c r="Y686" s="18"/>
      <c r="Z686" s="18"/>
      <c r="AA686" s="18"/>
    </row>
    <row r="687">
      <c r="A687" s="195" t="s">
        <v>140</v>
      </c>
      <c r="B687" s="349" t="s">
        <v>1683</v>
      </c>
      <c r="C687" s="160"/>
      <c r="D687" s="350" t="s">
        <v>1684</v>
      </c>
      <c r="E687" s="132" t="s">
        <v>53</v>
      </c>
      <c r="F687" s="331">
        <v>46191.0</v>
      </c>
      <c r="G687" s="331">
        <v>46191.0</v>
      </c>
      <c r="H687" s="223" t="s">
        <v>115</v>
      </c>
      <c r="I687" s="136" t="s">
        <v>161</v>
      </c>
      <c r="J687" s="172"/>
      <c r="K687" s="160"/>
      <c r="L687" s="172"/>
      <c r="M687" s="203">
        <v>0.0</v>
      </c>
      <c r="N687" s="160"/>
      <c r="O687" s="160"/>
      <c r="P687" s="160"/>
      <c r="Q687" s="160"/>
      <c r="R687" s="160"/>
      <c r="S687" s="160"/>
      <c r="T687" s="18"/>
      <c r="U687" s="18"/>
      <c r="V687" s="18"/>
      <c r="W687" s="18"/>
      <c r="X687" s="20"/>
      <c r="Y687" s="18"/>
      <c r="Z687" s="18"/>
      <c r="AA687" s="18"/>
    </row>
    <row r="688">
      <c r="A688" s="195" t="s">
        <v>140</v>
      </c>
      <c r="B688" s="347" t="s">
        <v>1685</v>
      </c>
      <c r="C688" s="160"/>
      <c r="D688" s="348" t="s">
        <v>1686</v>
      </c>
      <c r="E688" s="132" t="s">
        <v>53</v>
      </c>
      <c r="F688" s="331">
        <v>46191.0</v>
      </c>
      <c r="G688" s="331">
        <v>46191.0</v>
      </c>
      <c r="H688" s="223" t="s">
        <v>115</v>
      </c>
      <c r="I688" s="136" t="s">
        <v>161</v>
      </c>
      <c r="J688" s="172"/>
      <c r="K688" s="160"/>
      <c r="L688" s="172"/>
      <c r="M688" s="203">
        <v>0.0</v>
      </c>
      <c r="N688" s="160"/>
      <c r="O688" s="160"/>
      <c r="P688" s="160"/>
      <c r="Q688" s="160"/>
      <c r="R688" s="160"/>
      <c r="S688" s="160"/>
      <c r="T688" s="18"/>
      <c r="U688" s="18"/>
      <c r="V688" s="18"/>
      <c r="W688" s="18"/>
      <c r="X688" s="20"/>
      <c r="Y688" s="18"/>
      <c r="Z688" s="18"/>
      <c r="AA688" s="18"/>
    </row>
    <row r="689">
      <c r="A689" s="195" t="s">
        <v>140</v>
      </c>
      <c r="B689" s="349" t="s">
        <v>1687</v>
      </c>
      <c r="C689" s="160"/>
      <c r="D689" s="350" t="s">
        <v>1688</v>
      </c>
      <c r="E689" s="132" t="s">
        <v>53</v>
      </c>
      <c r="F689" s="331">
        <v>46191.0</v>
      </c>
      <c r="G689" s="331">
        <v>46191.0</v>
      </c>
      <c r="H689" s="223" t="s">
        <v>115</v>
      </c>
      <c r="I689" s="136" t="s">
        <v>161</v>
      </c>
      <c r="J689" s="172"/>
      <c r="K689" s="160"/>
      <c r="L689" s="172"/>
      <c r="M689" s="203">
        <v>0.0</v>
      </c>
      <c r="N689" s="160"/>
      <c r="O689" s="160"/>
      <c r="P689" s="160"/>
      <c r="Q689" s="160"/>
      <c r="R689" s="160"/>
      <c r="S689" s="160"/>
      <c r="T689" s="18"/>
      <c r="U689" s="18"/>
      <c r="V689" s="18"/>
      <c r="W689" s="18"/>
      <c r="X689" s="20"/>
      <c r="Y689" s="18"/>
      <c r="Z689" s="18"/>
      <c r="AA689" s="18"/>
    </row>
    <row r="690">
      <c r="A690" s="195" t="s">
        <v>140</v>
      </c>
      <c r="B690" s="347" t="s">
        <v>1663</v>
      </c>
      <c r="C690" s="160"/>
      <c r="D690" s="348" t="s">
        <v>1689</v>
      </c>
      <c r="E690" s="132" t="s">
        <v>53</v>
      </c>
      <c r="F690" s="331">
        <v>46192.0</v>
      </c>
      <c r="G690" s="331">
        <v>46192.0</v>
      </c>
      <c r="H690" s="223" t="s">
        <v>115</v>
      </c>
      <c r="I690" s="160"/>
      <c r="J690" s="172"/>
      <c r="K690" s="160"/>
      <c r="L690" s="172"/>
      <c r="M690" s="203">
        <v>0.0</v>
      </c>
      <c r="N690" s="160"/>
      <c r="O690" s="160"/>
      <c r="P690" s="160"/>
      <c r="Q690" s="160"/>
      <c r="R690" s="160"/>
      <c r="S690" s="160"/>
      <c r="T690" s="18"/>
      <c r="U690" s="18"/>
      <c r="V690" s="18"/>
      <c r="W690" s="18"/>
      <c r="X690" s="20"/>
      <c r="Y690" s="18"/>
      <c r="Z690" s="18"/>
      <c r="AA690" s="18"/>
    </row>
    <row r="691">
      <c r="A691" s="195" t="s">
        <v>140</v>
      </c>
      <c r="B691" s="349" t="s">
        <v>1690</v>
      </c>
      <c r="C691" s="160"/>
      <c r="D691" s="350" t="s">
        <v>1691</v>
      </c>
      <c r="E691" s="132" t="s">
        <v>53</v>
      </c>
      <c r="F691" s="331">
        <v>46192.0</v>
      </c>
      <c r="G691" s="331">
        <v>46192.0</v>
      </c>
      <c r="H691" s="223" t="s">
        <v>115</v>
      </c>
      <c r="I691" s="160"/>
      <c r="J691" s="172"/>
      <c r="K691" s="160"/>
      <c r="L691" s="172"/>
      <c r="M691" s="203">
        <v>0.0</v>
      </c>
      <c r="N691" s="160"/>
      <c r="O691" s="160"/>
      <c r="P691" s="160"/>
      <c r="Q691" s="160"/>
      <c r="R691" s="160"/>
      <c r="S691" s="160"/>
      <c r="T691" s="18"/>
      <c r="U691" s="18"/>
      <c r="V691" s="18"/>
      <c r="W691" s="18"/>
      <c r="X691" s="20"/>
      <c r="Y691" s="18"/>
      <c r="Z691" s="18"/>
      <c r="AA691" s="18"/>
    </row>
    <row r="692">
      <c r="A692" s="195" t="s">
        <v>140</v>
      </c>
      <c r="B692" s="347" t="s">
        <v>1692</v>
      </c>
      <c r="C692" s="160"/>
      <c r="D692" s="348" t="s">
        <v>1693</v>
      </c>
      <c r="E692" s="132" t="s">
        <v>53</v>
      </c>
      <c r="F692" s="331">
        <v>46195.0</v>
      </c>
      <c r="G692" s="331">
        <v>46195.0</v>
      </c>
      <c r="H692" s="223" t="s">
        <v>115</v>
      </c>
      <c r="I692" s="160"/>
      <c r="J692" s="172"/>
      <c r="K692" s="160"/>
      <c r="L692" s="172"/>
      <c r="M692" s="203">
        <v>0.0</v>
      </c>
      <c r="N692" s="160"/>
      <c r="O692" s="160"/>
      <c r="P692" s="160"/>
      <c r="Q692" s="160"/>
      <c r="R692" s="160"/>
      <c r="S692" s="160"/>
      <c r="T692" s="18"/>
      <c r="U692" s="18"/>
      <c r="V692" s="18"/>
      <c r="W692" s="18"/>
      <c r="X692" s="20"/>
      <c r="Y692" s="18"/>
      <c r="Z692" s="18"/>
      <c r="AA692" s="18"/>
    </row>
    <row r="693">
      <c r="A693" s="195" t="s">
        <v>140</v>
      </c>
      <c r="B693" s="349" t="s">
        <v>1694</v>
      </c>
      <c r="C693" s="160"/>
      <c r="D693" s="350" t="s">
        <v>1695</v>
      </c>
      <c r="E693" s="132" t="s">
        <v>53</v>
      </c>
      <c r="F693" s="331">
        <v>46195.0</v>
      </c>
      <c r="G693" s="331">
        <v>46195.0</v>
      </c>
      <c r="H693" s="223" t="s">
        <v>115</v>
      </c>
      <c r="I693" s="160"/>
      <c r="J693" s="172"/>
      <c r="K693" s="160"/>
      <c r="L693" s="172"/>
      <c r="M693" s="203">
        <v>0.0</v>
      </c>
      <c r="N693" s="160"/>
      <c r="O693" s="160"/>
      <c r="P693" s="160"/>
      <c r="Q693" s="160"/>
      <c r="R693" s="160"/>
      <c r="S693" s="160"/>
      <c r="T693" s="18"/>
      <c r="U693" s="18"/>
      <c r="V693" s="18"/>
      <c r="W693" s="18"/>
      <c r="X693" s="20"/>
      <c r="Y693" s="18"/>
      <c r="Z693" s="18"/>
      <c r="AA693" s="18"/>
    </row>
    <row r="694">
      <c r="A694" s="195" t="s">
        <v>140</v>
      </c>
      <c r="B694" s="347" t="s">
        <v>1696</v>
      </c>
      <c r="C694" s="160"/>
      <c r="D694" s="348" t="s">
        <v>1697</v>
      </c>
      <c r="E694" s="132" t="s">
        <v>53</v>
      </c>
      <c r="F694" s="331">
        <v>46196.0</v>
      </c>
      <c r="G694" s="331">
        <v>46196.0</v>
      </c>
      <c r="H694" s="223" t="s">
        <v>115</v>
      </c>
      <c r="I694" s="160"/>
      <c r="J694" s="172"/>
      <c r="K694" s="160"/>
      <c r="L694" s="172"/>
      <c r="M694" s="203">
        <v>0.0</v>
      </c>
      <c r="N694" s="160"/>
      <c r="O694" s="160"/>
      <c r="P694" s="160"/>
      <c r="Q694" s="160"/>
      <c r="R694" s="160"/>
      <c r="S694" s="160"/>
      <c r="T694" s="18"/>
      <c r="U694" s="18"/>
      <c r="V694" s="18"/>
      <c r="W694" s="18"/>
      <c r="X694" s="20"/>
      <c r="Y694" s="18"/>
      <c r="Z694" s="18"/>
      <c r="AA694" s="18"/>
    </row>
    <row r="695">
      <c r="A695" s="195" t="s">
        <v>140</v>
      </c>
      <c r="B695" s="347" t="s">
        <v>1698</v>
      </c>
      <c r="C695" s="160"/>
      <c r="D695" s="348" t="s">
        <v>1699</v>
      </c>
      <c r="E695" s="132" t="s">
        <v>53</v>
      </c>
      <c r="F695" s="351" t="s">
        <v>1700</v>
      </c>
      <c r="G695" s="351" t="s">
        <v>1700</v>
      </c>
      <c r="H695" s="223" t="s">
        <v>115</v>
      </c>
      <c r="I695" s="160"/>
      <c r="J695" s="172"/>
      <c r="K695" s="160"/>
      <c r="L695" s="172"/>
      <c r="M695" s="203">
        <v>0.0</v>
      </c>
      <c r="N695" s="160"/>
      <c r="O695" s="160"/>
      <c r="P695" s="160"/>
      <c r="Q695" s="160"/>
      <c r="R695" s="160"/>
      <c r="S695" s="160"/>
      <c r="T695" s="18"/>
      <c r="U695" s="18"/>
      <c r="V695" s="18"/>
      <c r="W695" s="18"/>
      <c r="X695" s="20"/>
      <c r="Y695" s="18"/>
      <c r="Z695" s="18"/>
      <c r="AA695" s="18"/>
    </row>
    <row r="696">
      <c r="A696" s="195" t="s">
        <v>140</v>
      </c>
      <c r="B696" s="349" t="s">
        <v>1701</v>
      </c>
      <c r="C696" s="160"/>
      <c r="D696" s="350" t="s">
        <v>1702</v>
      </c>
      <c r="E696" s="132" t="s">
        <v>53</v>
      </c>
      <c r="F696" s="351" t="s">
        <v>1700</v>
      </c>
      <c r="G696" s="351" t="s">
        <v>1700</v>
      </c>
      <c r="H696" s="223" t="s">
        <v>115</v>
      </c>
      <c r="I696" s="160"/>
      <c r="J696" s="172"/>
      <c r="K696" s="160"/>
      <c r="L696" s="172"/>
      <c r="M696" s="203">
        <v>0.0</v>
      </c>
      <c r="N696" s="160"/>
      <c r="O696" s="160"/>
      <c r="P696" s="160"/>
      <c r="Q696" s="160"/>
      <c r="R696" s="160"/>
      <c r="S696" s="160"/>
      <c r="T696" s="18"/>
      <c r="U696" s="18"/>
      <c r="V696" s="18"/>
      <c r="W696" s="18"/>
      <c r="X696" s="20"/>
      <c r="Y696" s="18"/>
      <c r="Z696" s="18"/>
      <c r="AA696" s="18"/>
    </row>
    <row r="697">
      <c r="A697" s="195" t="s">
        <v>140</v>
      </c>
      <c r="B697" s="347" t="s">
        <v>1703</v>
      </c>
      <c r="C697" s="160"/>
      <c r="D697" s="348" t="s">
        <v>1704</v>
      </c>
      <c r="E697" s="132" t="s">
        <v>53</v>
      </c>
      <c r="F697" s="351" t="s">
        <v>1700</v>
      </c>
      <c r="G697" s="351" t="s">
        <v>1700</v>
      </c>
      <c r="H697" s="223" t="s">
        <v>115</v>
      </c>
      <c r="I697" s="160"/>
      <c r="J697" s="172"/>
      <c r="K697" s="160"/>
      <c r="L697" s="172"/>
      <c r="M697" s="203">
        <v>0.0</v>
      </c>
      <c r="N697" s="160"/>
      <c r="O697" s="160"/>
      <c r="P697" s="160"/>
      <c r="Q697" s="160"/>
      <c r="R697" s="160"/>
      <c r="S697" s="160"/>
      <c r="T697" s="18"/>
      <c r="U697" s="18"/>
      <c r="V697" s="18"/>
      <c r="W697" s="18"/>
      <c r="X697" s="20"/>
      <c r="Y697" s="18"/>
      <c r="Z697" s="18"/>
      <c r="AA697" s="18"/>
    </row>
    <row r="698">
      <c r="A698" s="195" t="s">
        <v>166</v>
      </c>
      <c r="B698" s="224" t="s">
        <v>729</v>
      </c>
      <c r="C698" s="156" t="s">
        <v>1705</v>
      </c>
      <c r="D698" s="262" t="s">
        <v>524</v>
      </c>
      <c r="E698" s="132" t="s">
        <v>53</v>
      </c>
      <c r="F698" s="331">
        <v>46191.0</v>
      </c>
      <c r="G698" s="331">
        <v>46191.0</v>
      </c>
      <c r="H698" s="223" t="s">
        <v>146</v>
      </c>
      <c r="I698" s="160"/>
      <c r="J698" s="172"/>
      <c r="K698" s="160"/>
      <c r="L698" s="301">
        <v>0.5</v>
      </c>
      <c r="M698" s="301">
        <v>0.5</v>
      </c>
      <c r="N698" s="160"/>
      <c r="O698" s="160"/>
      <c r="P698" s="160"/>
      <c r="Q698" s="160"/>
      <c r="R698" s="160"/>
      <c r="S698" s="160"/>
      <c r="T698" s="18"/>
      <c r="U698" s="18"/>
      <c r="V698" s="18"/>
      <c r="W698" s="18"/>
      <c r="X698" s="20"/>
      <c r="Y698" s="18"/>
      <c r="Z698" s="18"/>
      <c r="AA698" s="18"/>
    </row>
    <row r="699">
      <c r="A699" s="195" t="s">
        <v>64</v>
      </c>
      <c r="B699" s="298" t="s">
        <v>75</v>
      </c>
      <c r="C699" s="156" t="s">
        <v>1706</v>
      </c>
      <c r="D699" s="262" t="s">
        <v>524</v>
      </c>
      <c r="E699" s="132" t="s">
        <v>53</v>
      </c>
      <c r="F699" s="331">
        <v>46191.0</v>
      </c>
      <c r="G699" s="331">
        <v>46191.0</v>
      </c>
      <c r="H699" s="223" t="s">
        <v>146</v>
      </c>
      <c r="I699" s="160"/>
      <c r="J699" s="172"/>
      <c r="K699" s="160"/>
      <c r="L699" s="301">
        <v>0.5</v>
      </c>
      <c r="M699" s="301">
        <v>0.5</v>
      </c>
      <c r="N699" s="160"/>
      <c r="O699" s="160"/>
      <c r="P699" s="160"/>
      <c r="Q699" s="160"/>
      <c r="R699" s="160"/>
      <c r="S699" s="160"/>
      <c r="T699" s="18"/>
      <c r="U699" s="18"/>
      <c r="V699" s="20"/>
      <c r="W699" s="20"/>
      <c r="X699" s="20"/>
      <c r="Y699" s="18"/>
      <c r="Z699" s="18"/>
      <c r="AA699" s="18"/>
    </row>
    <row r="700">
      <c r="A700" s="195" t="s">
        <v>140</v>
      </c>
      <c r="B700" s="318" t="s">
        <v>145</v>
      </c>
      <c r="C700" s="156" t="s">
        <v>1707</v>
      </c>
      <c r="D700" s="229" t="s">
        <v>1708</v>
      </c>
      <c r="E700" s="132" t="s">
        <v>53</v>
      </c>
      <c r="F700" s="331">
        <v>46191.0</v>
      </c>
      <c r="G700" s="331">
        <v>46191.0</v>
      </c>
      <c r="H700" s="223" t="s">
        <v>146</v>
      </c>
      <c r="I700" s="136" t="s">
        <v>161</v>
      </c>
      <c r="J700" s="135" t="s">
        <v>34</v>
      </c>
      <c r="K700" s="160"/>
      <c r="L700" s="301">
        <v>4.0</v>
      </c>
      <c r="M700" s="203">
        <v>4.0</v>
      </c>
      <c r="N700" s="160"/>
      <c r="O700" s="160"/>
      <c r="P700" s="160"/>
      <c r="Q700" s="160"/>
      <c r="R700" s="160"/>
      <c r="S700" s="160"/>
      <c r="T700" s="18"/>
      <c r="U700" s="18"/>
      <c r="V700" s="20"/>
      <c r="W700" s="20"/>
      <c r="X700" s="20"/>
      <c r="Y700" s="18"/>
      <c r="Z700" s="18"/>
      <c r="AA700" s="18"/>
    </row>
    <row r="701">
      <c r="A701" s="195" t="s">
        <v>140</v>
      </c>
      <c r="B701" s="318" t="s">
        <v>145</v>
      </c>
      <c r="C701" s="156" t="s">
        <v>1709</v>
      </c>
      <c r="D701" s="229" t="s">
        <v>1710</v>
      </c>
      <c r="E701" s="132" t="s">
        <v>53</v>
      </c>
      <c r="F701" s="331">
        <v>46191.0</v>
      </c>
      <c r="G701" s="331">
        <v>46191.0</v>
      </c>
      <c r="H701" s="223" t="s">
        <v>146</v>
      </c>
      <c r="I701" s="136" t="s">
        <v>161</v>
      </c>
      <c r="J701" s="135" t="s">
        <v>34</v>
      </c>
      <c r="K701" s="160"/>
      <c r="L701" s="301">
        <v>5.0</v>
      </c>
      <c r="M701" s="203">
        <v>5.5</v>
      </c>
      <c r="N701" s="160"/>
      <c r="O701" s="160"/>
      <c r="P701" s="160"/>
      <c r="Q701" s="160"/>
      <c r="R701" s="160"/>
      <c r="S701" s="160"/>
      <c r="T701" s="18"/>
      <c r="U701" s="18"/>
      <c r="V701" s="20"/>
      <c r="W701" s="20"/>
      <c r="X701" s="20"/>
      <c r="Y701" s="18"/>
      <c r="Z701" s="18"/>
      <c r="AA701" s="18"/>
    </row>
    <row r="702">
      <c r="A702" s="195" t="s">
        <v>119</v>
      </c>
      <c r="B702" s="224" t="s">
        <v>729</v>
      </c>
      <c r="C702" s="156" t="s">
        <v>1711</v>
      </c>
      <c r="D702" s="229" t="s">
        <v>1712</v>
      </c>
      <c r="E702" s="132" t="s">
        <v>53</v>
      </c>
      <c r="F702" s="331">
        <v>46191.0</v>
      </c>
      <c r="G702" s="331">
        <v>46191.0</v>
      </c>
      <c r="H702" s="223" t="s">
        <v>25</v>
      </c>
      <c r="I702" s="136" t="s">
        <v>161</v>
      </c>
      <c r="J702" s="172"/>
      <c r="K702" s="160"/>
      <c r="L702" s="301">
        <v>5.0</v>
      </c>
      <c r="M702" s="203">
        <v>4.0</v>
      </c>
      <c r="N702" s="160"/>
      <c r="O702" s="160"/>
      <c r="P702" s="160"/>
      <c r="Q702" s="160"/>
      <c r="R702" s="160"/>
      <c r="S702" s="160"/>
      <c r="T702" s="18"/>
      <c r="U702" s="18"/>
      <c r="V702" s="18"/>
      <c r="W702" s="18"/>
      <c r="X702" s="20"/>
      <c r="Y702" s="18"/>
      <c r="Z702" s="18"/>
      <c r="AA702" s="18"/>
    </row>
    <row r="703">
      <c r="A703" s="195" t="s">
        <v>201</v>
      </c>
      <c r="B703" s="224" t="s">
        <v>886</v>
      </c>
      <c r="C703" s="156" t="s">
        <v>1713</v>
      </c>
      <c r="D703" s="229" t="s">
        <v>1714</v>
      </c>
      <c r="E703" s="132" t="s">
        <v>53</v>
      </c>
      <c r="F703" s="331">
        <v>46191.0</v>
      </c>
      <c r="G703" s="331">
        <v>46191.0</v>
      </c>
      <c r="H703" s="223" t="s">
        <v>25</v>
      </c>
      <c r="I703" s="136" t="s">
        <v>161</v>
      </c>
      <c r="J703" s="172"/>
      <c r="K703" s="160"/>
      <c r="L703" s="301">
        <v>3.0</v>
      </c>
      <c r="M703" s="203">
        <v>3.0</v>
      </c>
      <c r="N703" s="160"/>
      <c r="O703" s="160"/>
      <c r="P703" s="160"/>
      <c r="Q703" s="160"/>
      <c r="R703" s="160"/>
      <c r="S703" s="160"/>
      <c r="T703" s="18"/>
      <c r="U703" s="18"/>
      <c r="V703" s="18"/>
      <c r="W703" s="18"/>
      <c r="X703" s="20"/>
      <c r="Y703" s="18"/>
      <c r="Z703" s="18"/>
      <c r="AA703" s="18"/>
    </row>
    <row r="704">
      <c r="A704" s="195" t="s">
        <v>119</v>
      </c>
      <c r="B704" s="224" t="s">
        <v>729</v>
      </c>
      <c r="C704" s="156" t="s">
        <v>1715</v>
      </c>
      <c r="D704" s="229" t="s">
        <v>1716</v>
      </c>
      <c r="E704" s="132" t="s">
        <v>53</v>
      </c>
      <c r="F704" s="331">
        <v>46191.0</v>
      </c>
      <c r="G704" s="331">
        <v>46191.0</v>
      </c>
      <c r="H704" s="223" t="s">
        <v>25</v>
      </c>
      <c r="I704" s="136" t="s">
        <v>161</v>
      </c>
      <c r="J704" s="172"/>
      <c r="K704" s="160"/>
      <c r="L704" s="301">
        <v>0.5</v>
      </c>
      <c r="M704" s="203">
        <v>0.5</v>
      </c>
      <c r="N704" s="160"/>
      <c r="O704" s="160"/>
      <c r="P704" s="160"/>
      <c r="Q704" s="160"/>
      <c r="R704" s="160"/>
      <c r="S704" s="160"/>
      <c r="T704" s="18"/>
      <c r="U704" s="18"/>
      <c r="V704" s="18"/>
      <c r="W704" s="18"/>
      <c r="X704" s="20"/>
      <c r="Y704" s="18"/>
      <c r="Z704" s="18"/>
      <c r="AA704" s="18"/>
    </row>
    <row r="705">
      <c r="A705" s="195" t="s">
        <v>64</v>
      </c>
      <c r="B705" s="298" t="s">
        <v>113</v>
      </c>
      <c r="C705" s="156" t="s">
        <v>1717</v>
      </c>
      <c r="D705" s="229" t="s">
        <v>1718</v>
      </c>
      <c r="E705" s="132" t="s">
        <v>53</v>
      </c>
      <c r="F705" s="331">
        <v>46191.0</v>
      </c>
      <c r="G705" s="331">
        <v>46191.0</v>
      </c>
      <c r="H705" s="223" t="s">
        <v>25</v>
      </c>
      <c r="I705" s="136" t="s">
        <v>161</v>
      </c>
      <c r="J705" s="172"/>
      <c r="K705" s="160"/>
      <c r="L705" s="301">
        <v>1.0</v>
      </c>
      <c r="M705" s="203">
        <v>1.5</v>
      </c>
      <c r="N705" s="160"/>
      <c r="O705" s="160"/>
      <c r="P705" s="160"/>
      <c r="Q705" s="160"/>
      <c r="R705" s="160"/>
      <c r="S705" s="160"/>
      <c r="T705" s="18"/>
      <c r="U705" s="18"/>
      <c r="V705" s="20"/>
      <c r="W705" s="20"/>
      <c r="X705" s="20"/>
      <c r="Y705" s="18"/>
      <c r="Z705" s="18"/>
      <c r="AA705" s="18"/>
    </row>
    <row r="706">
      <c r="A706" s="172"/>
      <c r="B706" s="317"/>
      <c r="C706" s="160"/>
      <c r="D706" s="230"/>
      <c r="E706" s="352"/>
      <c r="F706" s="160"/>
      <c r="G706" s="160"/>
      <c r="H706" s="172"/>
      <c r="I706" s="160"/>
      <c r="J706" s="172"/>
      <c r="K706" s="160"/>
      <c r="L706" s="172"/>
      <c r="M706" s="203">
        <v>0.0</v>
      </c>
      <c r="N706" s="160"/>
      <c r="O706" s="160"/>
      <c r="P706" s="160"/>
      <c r="Q706" s="160"/>
      <c r="R706" s="160"/>
      <c r="S706" s="160"/>
      <c r="T706" s="18"/>
      <c r="U706" s="18"/>
      <c r="V706" s="18"/>
      <c r="W706" s="18"/>
      <c r="X706" s="18"/>
      <c r="Y706" s="18"/>
      <c r="Z706" s="18"/>
      <c r="AA706" s="18"/>
    </row>
    <row r="707">
      <c r="A707" s="172"/>
      <c r="B707" s="317"/>
      <c r="C707" s="160"/>
      <c r="D707" s="230"/>
      <c r="E707" s="352"/>
      <c r="F707" s="160"/>
      <c r="G707" s="160"/>
      <c r="H707" s="172"/>
      <c r="I707" s="160"/>
      <c r="J707" s="172"/>
      <c r="K707" s="160"/>
      <c r="L707" s="172"/>
      <c r="M707" s="203">
        <v>0.0</v>
      </c>
      <c r="N707" s="160"/>
      <c r="O707" s="160"/>
      <c r="P707" s="160"/>
      <c r="Q707" s="160"/>
      <c r="R707" s="160"/>
      <c r="S707" s="160"/>
      <c r="T707" s="18"/>
      <c r="U707" s="18"/>
      <c r="V707" s="18"/>
      <c r="W707" s="18"/>
      <c r="X707" s="18"/>
      <c r="Y707" s="18"/>
      <c r="Z707" s="18"/>
      <c r="AA707" s="18"/>
    </row>
    <row r="708">
      <c r="A708" s="172"/>
      <c r="B708" s="317"/>
      <c r="C708" s="160"/>
      <c r="D708" s="230"/>
      <c r="E708" s="352"/>
      <c r="F708" s="160"/>
      <c r="G708" s="160"/>
      <c r="H708" s="172"/>
      <c r="I708" s="160"/>
      <c r="J708" s="172"/>
      <c r="K708" s="160"/>
      <c r="L708" s="172"/>
      <c r="M708" s="203">
        <v>0.0</v>
      </c>
      <c r="N708" s="160"/>
      <c r="O708" s="160"/>
      <c r="P708" s="160"/>
      <c r="Q708" s="160"/>
      <c r="R708" s="160"/>
      <c r="S708" s="160"/>
      <c r="T708" s="18"/>
      <c r="U708" s="18"/>
      <c r="V708" s="18"/>
      <c r="W708" s="18"/>
      <c r="X708" s="18"/>
      <c r="Y708" s="18"/>
      <c r="Z708" s="18"/>
      <c r="AA708" s="18"/>
    </row>
    <row r="709">
      <c r="A709" s="172"/>
      <c r="B709" s="317"/>
      <c r="C709" s="160"/>
      <c r="D709" s="230"/>
      <c r="E709" s="352"/>
      <c r="F709" s="160"/>
      <c r="G709" s="160"/>
      <c r="H709" s="172"/>
      <c r="I709" s="160"/>
      <c r="J709" s="172"/>
      <c r="K709" s="160"/>
      <c r="L709" s="172"/>
      <c r="M709" s="203">
        <v>0.0</v>
      </c>
      <c r="N709" s="160"/>
      <c r="O709" s="160"/>
      <c r="P709" s="160"/>
      <c r="Q709" s="160"/>
      <c r="R709" s="160"/>
      <c r="S709" s="160"/>
      <c r="T709" s="18"/>
      <c r="U709" s="18"/>
      <c r="V709" s="18"/>
      <c r="W709" s="18"/>
      <c r="X709" s="18"/>
      <c r="Y709" s="18"/>
      <c r="Z709" s="18"/>
      <c r="AA709" s="18"/>
    </row>
    <row r="710">
      <c r="A710" s="172"/>
      <c r="B710" s="317"/>
      <c r="C710" s="160"/>
      <c r="D710" s="230"/>
      <c r="E710" s="352"/>
      <c r="F710" s="160"/>
      <c r="G710" s="160"/>
      <c r="H710" s="172"/>
      <c r="I710" s="160"/>
      <c r="J710" s="172"/>
      <c r="K710" s="160"/>
      <c r="L710" s="172"/>
      <c r="M710" s="203">
        <v>0.0</v>
      </c>
      <c r="N710" s="160"/>
      <c r="O710" s="160"/>
      <c r="P710" s="160"/>
      <c r="Q710" s="160"/>
      <c r="R710" s="160"/>
      <c r="S710" s="160"/>
      <c r="T710" s="18"/>
      <c r="U710" s="18"/>
      <c r="V710" s="18"/>
      <c r="W710" s="18"/>
      <c r="X710" s="18"/>
      <c r="Y710" s="18"/>
      <c r="Z710" s="18"/>
      <c r="AA710" s="18"/>
    </row>
    <row r="711">
      <c r="A711" s="172"/>
      <c r="B711" s="317"/>
      <c r="C711" s="160"/>
      <c r="D711" s="230"/>
      <c r="E711" s="352"/>
      <c r="F711" s="160"/>
      <c r="G711" s="160"/>
      <c r="H711" s="172"/>
      <c r="I711" s="160"/>
      <c r="J711" s="172"/>
      <c r="K711" s="160"/>
      <c r="L711" s="172"/>
      <c r="M711" s="203">
        <v>0.0</v>
      </c>
      <c r="N711" s="160"/>
      <c r="O711" s="160"/>
      <c r="P711" s="160"/>
      <c r="Q711" s="160"/>
      <c r="R711" s="160"/>
      <c r="S711" s="160"/>
      <c r="T711" s="18"/>
      <c r="U711" s="18"/>
      <c r="V711" s="18"/>
      <c r="W711" s="18"/>
      <c r="X711" s="18"/>
      <c r="Y711" s="18"/>
      <c r="Z711" s="18"/>
      <c r="AA711" s="18"/>
    </row>
    <row r="712">
      <c r="A712" s="172"/>
      <c r="B712" s="317"/>
      <c r="C712" s="160"/>
      <c r="D712" s="230"/>
      <c r="E712" s="352"/>
      <c r="F712" s="160"/>
      <c r="G712" s="160"/>
      <c r="H712" s="172"/>
      <c r="I712" s="160"/>
      <c r="J712" s="172"/>
      <c r="K712" s="160"/>
      <c r="L712" s="172"/>
      <c r="M712" s="203">
        <v>0.0</v>
      </c>
      <c r="N712" s="160"/>
      <c r="O712" s="160"/>
      <c r="P712" s="160"/>
      <c r="Q712" s="160"/>
      <c r="R712" s="160"/>
      <c r="S712" s="160"/>
      <c r="T712" s="18"/>
      <c r="U712" s="18"/>
      <c r="V712" s="18"/>
      <c r="W712" s="18"/>
      <c r="X712" s="18"/>
      <c r="Y712" s="18"/>
      <c r="Z712" s="18"/>
      <c r="AA712" s="18"/>
    </row>
    <row r="713">
      <c r="A713" s="172"/>
      <c r="B713" s="317"/>
      <c r="C713" s="160"/>
      <c r="D713" s="230"/>
      <c r="E713" s="352"/>
      <c r="F713" s="160"/>
      <c r="G713" s="160"/>
      <c r="H713" s="172"/>
      <c r="I713" s="160"/>
      <c r="J713" s="172"/>
      <c r="K713" s="160"/>
      <c r="L713" s="172"/>
      <c r="M713" s="203">
        <v>0.0</v>
      </c>
      <c r="N713" s="160"/>
      <c r="O713" s="160"/>
      <c r="P713" s="160"/>
      <c r="Q713" s="160"/>
      <c r="R713" s="160"/>
      <c r="S713" s="160"/>
      <c r="T713" s="18"/>
      <c r="U713" s="18"/>
      <c r="V713" s="18"/>
      <c r="W713" s="18"/>
      <c r="X713" s="18"/>
      <c r="Y713" s="18"/>
      <c r="Z713" s="18"/>
      <c r="AA713" s="18"/>
    </row>
  </sheetData>
  <dataValidations>
    <dataValidation type="list" allowBlank="1" showErrorMessage="1" sqref="H459:H467 H523:H705">
      <formula1>Dropdown!$K$2:$K713</formula1>
    </dataValidation>
    <dataValidation type="list" allowBlank="1" showErrorMessage="1" sqref="E508:E512">
      <formula1>Dropdown!$G$2:$G713</formula1>
    </dataValidation>
    <dataValidation type="list" allowBlank="1" showErrorMessage="1" sqref="A2:A26 A32:A33 A36:A45 A48:A63 A66:A67 A69:A75 A78:A90 A92:A98 A101:A103 A106:A157 A159:A163 A166:A177 A180 A182:A183 A185:A231 A233:A256 A258:A264 A266 A269:A270 A273:A274 A276:A316 A319:A362 A367:A374 A377:A378 A380:A427 A429:A477 A479:A524 A526:A601 A603:A705">
      <formula1>Dropdown!$B$2:$B713</formula1>
    </dataValidation>
    <dataValidation type="list" allowBlank="1" showErrorMessage="1" sqref="E2:E507 E513:E705">
      <formula1>Dropdown!$G$2:$G713</formula1>
    </dataValidation>
    <dataValidation type="list" allowBlank="1" showErrorMessage="1" sqref="I477 I508:I512 I532:I536">
      <formula1>Dropdown!$C$2:$C713</formula1>
    </dataValidation>
    <dataValidation type="list" allowBlank="1" showErrorMessage="1" sqref="I2:I199 I201:I202 I206:I210 I215:I263 I265:I476 I478:I507 I513:I531 I537:I689 I700:I705">
      <formula1>Dropdown!$C$2:$C713</formula1>
    </dataValidation>
    <dataValidation type="list" allowBlank="1" showErrorMessage="1" sqref="J2:J478 J482:J588 J591:J601 J603:J676 J700:J701">
      <formula1>Dropdown!$E$2:$E713</formula1>
    </dataValidation>
  </dataValidation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5"/>
    <hyperlink r:id="rId58" ref="Q55"/>
    <hyperlink r:id="rId59" ref="A56"/>
    <hyperlink r:id="rId60" ref="A57"/>
    <hyperlink r:id="rId61" ref="A58"/>
    <hyperlink r:id="rId62" ref="A59"/>
    <hyperlink r:id="rId63" ref="A60"/>
    <hyperlink r:id="rId64" ref="A61"/>
    <hyperlink r:id="rId65" ref="A62"/>
    <hyperlink r:id="rId66" ref="A63"/>
    <hyperlink r:id="rId67" ref="A64"/>
    <hyperlink r:id="rId68" ref="A65"/>
    <hyperlink r:id="rId69" ref="A66"/>
    <hyperlink r:id="rId70" ref="A67"/>
    <hyperlink r:id="rId71" ref="A68"/>
    <hyperlink r:id="rId72" ref="A69"/>
    <hyperlink r:id="rId73" ref="A70"/>
    <hyperlink r:id="rId74" ref="O70"/>
    <hyperlink r:id="rId75" ref="A71"/>
    <hyperlink r:id="rId76" ref="O71"/>
    <hyperlink r:id="rId77" ref="A72"/>
    <hyperlink r:id="rId78" ref="A73"/>
    <hyperlink r:id="rId79" ref="A74"/>
    <hyperlink r:id="rId80" ref="A75"/>
    <hyperlink r:id="rId81" ref="A76"/>
    <hyperlink r:id="rId82" ref="A77"/>
    <hyperlink r:id="rId83" ref="A78"/>
    <hyperlink r:id="rId84" ref="A79"/>
    <hyperlink r:id="rId85" ref="A80"/>
    <hyperlink r:id="rId86" ref="O80"/>
    <hyperlink r:id="rId87" ref="A81"/>
    <hyperlink r:id="rId88" ref="O81"/>
    <hyperlink r:id="rId89" ref="A82"/>
    <hyperlink r:id="rId90" ref="A83"/>
    <hyperlink r:id="rId91" ref="A84"/>
    <hyperlink r:id="rId92" ref="A85"/>
    <hyperlink r:id="rId93" ref="A86"/>
    <hyperlink r:id="rId94" ref="A87"/>
    <hyperlink r:id="rId95" ref="A88"/>
    <hyperlink r:id="rId96" ref="A89"/>
    <hyperlink r:id="rId97" ref="A90"/>
    <hyperlink r:id="rId98" ref="A91"/>
    <hyperlink r:id="rId99" ref="A92"/>
    <hyperlink r:id="rId100" ref="A93"/>
    <hyperlink r:id="rId101" ref="A94"/>
    <hyperlink r:id="rId102" ref="A95"/>
    <hyperlink r:id="rId103" ref="A96"/>
    <hyperlink r:id="rId104" ref="A97"/>
    <hyperlink r:id="rId105" ref="A98"/>
    <hyperlink r:id="rId106" ref="A99"/>
    <hyperlink r:id="rId107" ref="O99"/>
    <hyperlink r:id="rId108" ref="A101"/>
    <hyperlink r:id="rId109" ref="A102"/>
    <hyperlink r:id="rId110" ref="A103"/>
    <hyperlink r:id="rId111" ref="A104"/>
    <hyperlink r:id="rId112" ref="Q104"/>
    <hyperlink r:id="rId113" ref="A105"/>
    <hyperlink r:id="rId114" ref="A106"/>
    <hyperlink r:id="rId115" ref="Q106"/>
    <hyperlink r:id="rId116" ref="A107"/>
    <hyperlink r:id="rId117" ref="Q107"/>
    <hyperlink r:id="rId118" ref="A108"/>
    <hyperlink r:id="rId119" ref="Q108"/>
    <hyperlink r:id="rId120" ref="A109"/>
    <hyperlink r:id="rId121" ref="Q109"/>
    <hyperlink r:id="rId122" ref="A110"/>
    <hyperlink r:id="rId123" ref="A111"/>
    <hyperlink r:id="rId124" ref="A112"/>
    <hyperlink r:id="rId125" ref="A113"/>
    <hyperlink r:id="rId126" ref="A114"/>
    <hyperlink r:id="rId127" ref="A115"/>
    <hyperlink r:id="rId128" ref="A116"/>
    <hyperlink r:id="rId129" ref="A117"/>
    <hyperlink r:id="rId130" ref="Q117"/>
    <hyperlink r:id="rId131" ref="A118"/>
    <hyperlink r:id="rId132" ref="A119"/>
    <hyperlink r:id="rId133" ref="A120"/>
    <hyperlink r:id="rId134" ref="Q120"/>
    <hyperlink r:id="rId135" ref="A121"/>
    <hyperlink r:id="rId136" ref="A122"/>
    <hyperlink r:id="rId137" ref="Q122"/>
    <hyperlink r:id="rId138" ref="A123"/>
    <hyperlink r:id="rId139" ref="Q123"/>
    <hyperlink r:id="rId140" ref="A124"/>
    <hyperlink r:id="rId141" ref="Q124"/>
    <hyperlink r:id="rId142" ref="A125"/>
    <hyperlink r:id="rId143" ref="Q125"/>
    <hyperlink r:id="rId144" ref="A126"/>
    <hyperlink r:id="rId145" ref="Q126"/>
    <hyperlink r:id="rId146" ref="A127"/>
    <hyperlink r:id="rId147" ref="Q127"/>
    <hyperlink r:id="rId148" ref="A128"/>
    <hyperlink r:id="rId149" ref="Q128"/>
    <hyperlink r:id="rId150" ref="A129"/>
    <hyperlink r:id="rId151" ref="Q129"/>
    <hyperlink r:id="rId152" ref="A130"/>
    <hyperlink r:id="rId153" ref="A131"/>
    <hyperlink r:id="rId154" ref="A132"/>
    <hyperlink r:id="rId155" ref="Q132"/>
    <hyperlink r:id="rId156" ref="A133"/>
    <hyperlink r:id="rId157" ref="A134"/>
    <hyperlink r:id="rId158" ref="Q134"/>
    <hyperlink r:id="rId159" ref="A135"/>
    <hyperlink r:id="rId160" ref="A136"/>
    <hyperlink r:id="rId161" ref="Q136"/>
    <hyperlink r:id="rId162" ref="A137"/>
    <hyperlink r:id="rId163" ref="A138"/>
    <hyperlink r:id="rId164" ref="Q138"/>
    <hyperlink r:id="rId165" ref="A139"/>
    <hyperlink r:id="rId166" ref="A140"/>
    <hyperlink r:id="rId167" ref="A141"/>
    <hyperlink r:id="rId168" ref="A142"/>
    <hyperlink r:id="rId169" ref="A143"/>
    <hyperlink r:id="rId170" ref="A144"/>
    <hyperlink r:id="rId171" ref="A145"/>
    <hyperlink r:id="rId172" ref="A146"/>
    <hyperlink r:id="rId173" ref="A147"/>
    <hyperlink r:id="rId174" ref="Q147"/>
    <hyperlink r:id="rId175" ref="A148"/>
    <hyperlink r:id="rId176" ref="A149"/>
    <hyperlink r:id="rId177" ref="Q149"/>
    <hyperlink r:id="rId178" ref="A150"/>
    <hyperlink r:id="rId179" ref="A151"/>
    <hyperlink r:id="rId180" ref="A152"/>
    <hyperlink r:id="rId181" ref="A153"/>
    <hyperlink r:id="rId182" ref="D153"/>
    <hyperlink r:id="rId183" ref="A154"/>
    <hyperlink r:id="rId184" ref="A155"/>
    <hyperlink r:id="rId185" ref="A156"/>
    <hyperlink r:id="rId186" ref="A157"/>
    <hyperlink r:id="rId187" ref="A158"/>
    <hyperlink r:id="rId188" ref="A159"/>
    <hyperlink r:id="rId189" ref="O159"/>
    <hyperlink r:id="rId190" ref="Q159"/>
    <hyperlink r:id="rId191" ref="A160"/>
    <hyperlink r:id="rId192" ref="A161"/>
    <hyperlink r:id="rId193" ref="A162"/>
    <hyperlink r:id="rId194" ref="A163"/>
    <hyperlink r:id="rId195" ref="A164"/>
    <hyperlink r:id="rId196" ref="O164"/>
    <hyperlink r:id="rId197" ref="A165"/>
    <hyperlink r:id="rId198" ref="A166"/>
    <hyperlink r:id="rId199" ref="A167"/>
    <hyperlink r:id="rId200" ref="A168"/>
    <hyperlink r:id="rId201" ref="A169"/>
    <hyperlink r:id="rId202" ref="A170"/>
    <hyperlink r:id="rId203" ref="A171"/>
    <hyperlink r:id="rId204" ref="Q171"/>
    <hyperlink r:id="rId205" ref="A172"/>
    <hyperlink r:id="rId206" ref="A173"/>
    <hyperlink r:id="rId207" ref="A174"/>
    <hyperlink r:id="rId208" ref="A175"/>
    <hyperlink r:id="rId209" ref="A176"/>
    <hyperlink r:id="rId210" ref="A177"/>
    <hyperlink r:id="rId211" ref="A178"/>
    <hyperlink r:id="rId212" ref="A179"/>
    <hyperlink r:id="rId213" ref="A180"/>
    <hyperlink r:id="rId214" ref="A182"/>
    <hyperlink r:id="rId215" ref="A183"/>
    <hyperlink r:id="rId216" ref="A184"/>
    <hyperlink r:id="rId217" ref="A185"/>
    <hyperlink r:id="rId218" ref="A186"/>
    <hyperlink r:id="rId219" ref="A187"/>
    <hyperlink r:id="rId220" ref="A188"/>
    <hyperlink r:id="rId221" ref="A189"/>
    <hyperlink r:id="rId222" ref="A190"/>
    <hyperlink r:id="rId223" ref="A191"/>
    <hyperlink r:id="rId224" ref="A192"/>
    <hyperlink r:id="rId225" ref="A193"/>
    <hyperlink r:id="rId226" ref="A194"/>
    <hyperlink r:id="rId227" ref="A195"/>
    <hyperlink r:id="rId228" ref="A196"/>
    <hyperlink r:id="rId229" ref="A197"/>
    <hyperlink r:id="rId230" ref="A198"/>
    <hyperlink r:id="rId231" ref="A199"/>
    <hyperlink r:id="rId232" ref="A200"/>
    <hyperlink r:id="rId233" ref="A201"/>
    <hyperlink r:id="rId234" ref="A202"/>
    <hyperlink r:id="rId235" ref="A203"/>
    <hyperlink r:id="rId236" ref="Q203"/>
    <hyperlink r:id="rId237" ref="A204"/>
    <hyperlink r:id="rId238" ref="Q204"/>
    <hyperlink r:id="rId239" ref="A205"/>
    <hyperlink r:id="rId240" ref="O205"/>
    <hyperlink r:id="rId241" ref="Q205"/>
    <hyperlink r:id="rId242" ref="A206"/>
    <hyperlink r:id="rId243" ref="A207"/>
    <hyperlink r:id="rId244" ref="A208"/>
    <hyperlink r:id="rId245" ref="A209"/>
    <hyperlink r:id="rId246" ref="O209"/>
    <hyperlink r:id="rId247" ref="A210"/>
    <hyperlink r:id="rId248" ref="A211"/>
    <hyperlink r:id="rId249" ref="Q211"/>
    <hyperlink r:id="rId250" ref="A212"/>
    <hyperlink r:id="rId251" ref="Q212"/>
    <hyperlink r:id="rId252" ref="A213"/>
    <hyperlink r:id="rId253" ref="A214"/>
    <hyperlink r:id="rId254" ref="D214"/>
    <hyperlink r:id="rId255" ref="A215"/>
    <hyperlink r:id="rId256" ref="A216"/>
    <hyperlink r:id="rId257" ref="A217"/>
    <hyperlink r:id="rId258" ref="A218"/>
    <hyperlink r:id="rId259" ref="A219"/>
    <hyperlink r:id="rId260" ref="A220"/>
    <hyperlink r:id="rId261" ref="A221"/>
    <hyperlink r:id="rId262" ref="A222"/>
    <hyperlink r:id="rId263" ref="A223"/>
    <hyperlink r:id="rId264" ref="A224"/>
    <hyperlink r:id="rId265" ref="A225"/>
    <hyperlink r:id="rId266" ref="A226"/>
    <hyperlink r:id="rId267" ref="Q226"/>
    <hyperlink r:id="rId268" ref="A227"/>
    <hyperlink r:id="rId269" ref="A228"/>
    <hyperlink r:id="rId270" ref="A229"/>
    <hyperlink r:id="rId271" ref="A230"/>
    <hyperlink r:id="rId272" ref="A231"/>
    <hyperlink r:id="rId273" ref="A233"/>
    <hyperlink r:id="rId274" ref="A234"/>
    <hyperlink r:id="rId275" ref="A235"/>
    <hyperlink r:id="rId276" ref="A236"/>
    <hyperlink r:id="rId277" ref="A237"/>
    <hyperlink r:id="rId278" ref="A238"/>
    <hyperlink r:id="rId279" ref="A239"/>
    <hyperlink r:id="rId280" ref="A240"/>
    <hyperlink r:id="rId281" ref="A241"/>
    <hyperlink r:id="rId282" ref="A242"/>
    <hyperlink r:id="rId283" ref="A243"/>
    <hyperlink r:id="rId284" ref="A244"/>
    <hyperlink r:id="rId285" ref="A245"/>
    <hyperlink r:id="rId286" ref="A246"/>
    <hyperlink r:id="rId287" ref="A247"/>
    <hyperlink r:id="rId288" ref="A248"/>
    <hyperlink r:id="rId289" ref="A249"/>
    <hyperlink r:id="rId290" ref="A250"/>
    <hyperlink r:id="rId291" ref="A251"/>
    <hyperlink r:id="rId292" ref="A252"/>
    <hyperlink r:id="rId293" ref="A253"/>
    <hyperlink r:id="rId294" ref="A254"/>
    <hyperlink r:id="rId295" ref="A255"/>
    <hyperlink r:id="rId296" ref="A256"/>
    <hyperlink r:id="rId297" ref="A257"/>
    <hyperlink r:id="rId298" ref="A258"/>
    <hyperlink r:id="rId299" ref="A259"/>
    <hyperlink r:id="rId300" ref="A260"/>
    <hyperlink r:id="rId301" ref="A261"/>
    <hyperlink r:id="rId302" ref="A262"/>
    <hyperlink r:id="rId303" ref="A263"/>
    <hyperlink r:id="rId304" ref="A264"/>
    <hyperlink r:id="rId305" ref="A265"/>
    <hyperlink r:id="rId306" ref="A266"/>
    <hyperlink r:id="rId307" ref="A269"/>
    <hyperlink r:id="rId308" ref="A270"/>
    <hyperlink r:id="rId309" ref="D270"/>
    <hyperlink r:id="rId310" ref="A272"/>
    <hyperlink r:id="rId311" ref="A273"/>
    <hyperlink r:id="rId312" ref="A274"/>
    <hyperlink r:id="rId313" ref="A275"/>
    <hyperlink r:id="rId314" ref="A276"/>
    <hyperlink r:id="rId315" ref="A277"/>
    <hyperlink r:id="rId316" ref="A278"/>
    <hyperlink r:id="rId317" ref="A279"/>
    <hyperlink r:id="rId318" ref="A280"/>
    <hyperlink r:id="rId319" ref="A281"/>
    <hyperlink r:id="rId320" ref="A282"/>
    <hyperlink r:id="rId321" ref="A283"/>
    <hyperlink r:id="rId322" ref="A284"/>
    <hyperlink r:id="rId323" ref="A285"/>
    <hyperlink r:id="rId324" ref="A286"/>
    <hyperlink r:id="rId325" ref="A287"/>
    <hyperlink r:id="rId326" ref="A288"/>
    <hyperlink r:id="rId327" ref="A289"/>
    <hyperlink r:id="rId328" ref="A290"/>
    <hyperlink r:id="rId329" ref="A291"/>
    <hyperlink r:id="rId330" ref="A292"/>
    <hyperlink r:id="rId331" ref="A293"/>
    <hyperlink r:id="rId332" ref="A294"/>
    <hyperlink r:id="rId333" ref="A295"/>
    <hyperlink r:id="rId334" ref="A296"/>
    <hyperlink r:id="rId335" ref="A297"/>
    <hyperlink r:id="rId336" ref="A298"/>
    <hyperlink r:id="rId337" ref="A299"/>
    <hyperlink r:id="rId338" ref="A300"/>
    <hyperlink r:id="rId339" ref="A301"/>
    <hyperlink r:id="rId340" ref="A302"/>
    <hyperlink r:id="rId341" ref="A303"/>
    <hyperlink r:id="rId342" ref="A304"/>
    <hyperlink r:id="rId343" ref="A305"/>
    <hyperlink r:id="rId344" ref="A306"/>
    <hyperlink r:id="rId345" ref="A307"/>
    <hyperlink r:id="rId346" ref="A308"/>
    <hyperlink r:id="rId347" ref="A309"/>
    <hyperlink r:id="rId348" location="gid=0" ref="Q309"/>
    <hyperlink r:id="rId349" location="slide=id.p6" ref="R309"/>
    <hyperlink r:id="rId350" ref="A310"/>
    <hyperlink r:id="rId351" ref="A311"/>
    <hyperlink r:id="rId352" ref="A312"/>
    <hyperlink r:id="rId353" ref="A313"/>
    <hyperlink r:id="rId354" ref="A314"/>
    <hyperlink r:id="rId355" ref="A315"/>
    <hyperlink r:id="rId356" ref="A316"/>
    <hyperlink r:id="rId357" ref="A317"/>
    <hyperlink r:id="rId358" ref="A318"/>
    <hyperlink r:id="rId359" ref="A319"/>
    <hyperlink r:id="rId360" ref="A320"/>
    <hyperlink r:id="rId361" ref="A321"/>
    <hyperlink r:id="rId362" ref="A322"/>
    <hyperlink r:id="rId363" ref="A323"/>
    <hyperlink r:id="rId364" ref="A324"/>
    <hyperlink r:id="rId365" ref="A325"/>
    <hyperlink r:id="rId366" ref="Q325"/>
    <hyperlink r:id="rId367" ref="A326"/>
    <hyperlink r:id="rId368" ref="A327"/>
    <hyperlink r:id="rId369" ref="A328"/>
    <hyperlink r:id="rId370" ref="A329"/>
    <hyperlink r:id="rId371" ref="A330"/>
    <hyperlink r:id="rId372" ref="A331"/>
    <hyperlink r:id="rId373" ref="A332"/>
    <hyperlink r:id="rId374" ref="A333"/>
    <hyperlink r:id="rId375" ref="A334"/>
    <hyperlink r:id="rId376" ref="A335"/>
    <hyperlink r:id="rId377" ref="Q335"/>
    <hyperlink r:id="rId378" ref="A336"/>
    <hyperlink r:id="rId379" ref="A337"/>
    <hyperlink r:id="rId380" ref="A338"/>
    <hyperlink r:id="rId381" ref="A339"/>
    <hyperlink r:id="rId382" ref="A340"/>
    <hyperlink r:id="rId383" ref="A341"/>
    <hyperlink r:id="rId384" ref="A342"/>
    <hyperlink r:id="rId385" ref="A343"/>
    <hyperlink r:id="rId386" ref="A344"/>
    <hyperlink r:id="rId387" ref="A345"/>
    <hyperlink r:id="rId388" ref="A346"/>
    <hyperlink r:id="rId389" ref="A347"/>
    <hyperlink r:id="rId390" ref="A348"/>
    <hyperlink r:id="rId391" ref="A349"/>
    <hyperlink r:id="rId392" ref="A350"/>
    <hyperlink r:id="rId393" ref="A351"/>
    <hyperlink r:id="rId394" ref="A352"/>
    <hyperlink r:id="rId395" ref="A353"/>
    <hyperlink r:id="rId396" ref="A354"/>
    <hyperlink r:id="rId397" ref="A355"/>
    <hyperlink r:id="rId398" ref="A356"/>
    <hyperlink r:id="rId399" ref="A357"/>
    <hyperlink r:id="rId400" ref="A358"/>
    <hyperlink r:id="rId401" ref="A359"/>
    <hyperlink r:id="rId402" ref="A360"/>
    <hyperlink r:id="rId403" ref="A361"/>
    <hyperlink r:id="rId404" ref="A362"/>
    <hyperlink r:id="rId405" ref="A367"/>
    <hyperlink r:id="rId406" location="gid=0" ref="D367"/>
    <hyperlink r:id="rId407" ref="A368"/>
    <hyperlink r:id="rId408" ref="A369"/>
    <hyperlink r:id="rId409" ref="A370"/>
    <hyperlink r:id="rId410" ref="A371"/>
    <hyperlink r:id="rId411" location="gid=80366721" ref="Q371"/>
    <hyperlink r:id="rId412" ref="A372"/>
    <hyperlink r:id="rId413" ref="A373"/>
    <hyperlink r:id="rId414" ref="A374"/>
    <hyperlink r:id="rId415" ref="A377"/>
    <hyperlink r:id="rId416" ref="A378"/>
    <hyperlink r:id="rId417" ref="A380"/>
    <hyperlink r:id="rId418" ref="A381"/>
    <hyperlink r:id="rId419" location="gid=0" ref="Q381"/>
    <hyperlink r:id="rId420" ref="A382"/>
    <hyperlink r:id="rId421" ref="A383"/>
    <hyperlink r:id="rId422" ref="A384"/>
    <hyperlink r:id="rId423" ref="A385"/>
    <hyperlink r:id="rId424" ref="A386"/>
    <hyperlink r:id="rId425" ref="Q386"/>
    <hyperlink r:id="rId426" ref="A387"/>
    <hyperlink r:id="rId427" ref="A388"/>
    <hyperlink r:id="rId428" ref="A389"/>
    <hyperlink r:id="rId429" ref="A390"/>
    <hyperlink r:id="rId430" ref="A391"/>
    <hyperlink r:id="rId431" ref="A392"/>
    <hyperlink r:id="rId432" ref="A393"/>
    <hyperlink r:id="rId433" ref="A394"/>
    <hyperlink r:id="rId434" ref="A395"/>
    <hyperlink r:id="rId435" ref="A396"/>
    <hyperlink r:id="rId436" ref="A397"/>
    <hyperlink r:id="rId437" ref="A398"/>
    <hyperlink r:id="rId438" ref="A399"/>
    <hyperlink r:id="rId439" ref="A400"/>
    <hyperlink r:id="rId440" ref="A401"/>
    <hyperlink r:id="rId441" ref="A402"/>
    <hyperlink r:id="rId442" ref="A403"/>
    <hyperlink r:id="rId443" ref="Q403"/>
    <hyperlink r:id="rId444" ref="A404"/>
    <hyperlink r:id="rId445" ref="A405"/>
    <hyperlink r:id="rId446" ref="A406"/>
    <hyperlink r:id="rId447" ref="A407"/>
    <hyperlink r:id="rId448" ref="A408"/>
    <hyperlink r:id="rId449" ref="A409"/>
    <hyperlink r:id="rId450" ref="A410"/>
    <hyperlink r:id="rId451" ref="A411"/>
    <hyperlink r:id="rId452" ref="A412"/>
    <hyperlink r:id="rId453" ref="A413"/>
    <hyperlink r:id="rId454" ref="A414"/>
    <hyperlink r:id="rId455" ref="A415"/>
    <hyperlink r:id="rId456" ref="A416"/>
    <hyperlink r:id="rId457" ref="A417"/>
    <hyperlink r:id="rId458" ref="A418"/>
    <hyperlink r:id="rId459" ref="A419"/>
    <hyperlink r:id="rId460" ref="A420"/>
    <hyperlink r:id="rId461" ref="A421"/>
    <hyperlink r:id="rId462" ref="A422"/>
    <hyperlink r:id="rId463" ref="A423"/>
    <hyperlink r:id="rId464" location="gid=0" ref="Q423"/>
    <hyperlink r:id="rId465" ref="A424"/>
    <hyperlink r:id="rId466" ref="A425"/>
    <hyperlink r:id="rId467" ref="A426"/>
    <hyperlink r:id="rId468" ref="A427"/>
    <hyperlink r:id="rId469" ref="A428"/>
    <hyperlink r:id="rId470" ref="A429"/>
    <hyperlink r:id="rId471" ref="A430"/>
    <hyperlink r:id="rId472" ref="A431"/>
    <hyperlink r:id="rId473" ref="A432"/>
    <hyperlink r:id="rId474" ref="A433"/>
    <hyperlink r:id="rId475" ref="A434"/>
    <hyperlink r:id="rId476" ref="A435"/>
    <hyperlink r:id="rId477" ref="A436"/>
    <hyperlink r:id="rId478" ref="A437"/>
    <hyperlink r:id="rId479" ref="A438"/>
    <hyperlink r:id="rId480" ref="A439"/>
    <hyperlink r:id="rId481" ref="A440"/>
    <hyperlink r:id="rId482" ref="A441"/>
    <hyperlink r:id="rId483" ref="A442"/>
    <hyperlink r:id="rId484" ref="A443"/>
    <hyperlink r:id="rId485" ref="A444"/>
    <hyperlink r:id="rId486" ref="A445"/>
    <hyperlink r:id="rId487" ref="A446"/>
    <hyperlink r:id="rId488" ref="A447"/>
    <hyperlink r:id="rId489" ref="A448"/>
    <hyperlink r:id="rId490" ref="A449"/>
    <hyperlink r:id="rId491" ref="A450"/>
    <hyperlink r:id="rId492" ref="A451"/>
    <hyperlink r:id="rId493" ref="A452"/>
    <hyperlink r:id="rId494" ref="A453"/>
    <hyperlink r:id="rId495" ref="A454"/>
    <hyperlink r:id="rId496" ref="A455"/>
    <hyperlink r:id="rId497" ref="A456"/>
    <hyperlink r:id="rId498" ref="A457"/>
    <hyperlink r:id="rId499" ref="A458"/>
    <hyperlink r:id="rId500" ref="A459"/>
    <hyperlink r:id="rId501" ref="A460"/>
    <hyperlink r:id="rId502" ref="A461"/>
    <hyperlink r:id="rId503" ref="A462"/>
    <hyperlink r:id="rId504" ref="A463"/>
    <hyperlink r:id="rId505" ref="A464"/>
    <hyperlink r:id="rId506" ref="A465"/>
    <hyperlink r:id="rId507" ref="A466"/>
    <hyperlink r:id="rId508" ref="A467"/>
    <hyperlink r:id="rId509" ref="A468"/>
    <hyperlink r:id="rId510" ref="A469"/>
    <hyperlink r:id="rId511" ref="A470"/>
    <hyperlink r:id="rId512" ref="A471"/>
    <hyperlink r:id="rId513" ref="A472"/>
    <hyperlink r:id="rId514" ref="A473"/>
    <hyperlink r:id="rId515" ref="A474"/>
    <hyperlink r:id="rId516" ref="A475"/>
    <hyperlink r:id="rId517" ref="A476"/>
    <hyperlink r:id="rId518" ref="A477"/>
    <hyperlink r:id="rId519" ref="A478"/>
    <hyperlink r:id="rId520" ref="A479"/>
    <hyperlink r:id="rId521" ref="A480"/>
    <hyperlink r:id="rId522" ref="A481"/>
    <hyperlink r:id="rId523" ref="A482"/>
    <hyperlink r:id="rId524" ref="A483"/>
    <hyperlink r:id="rId525" ref="Q483"/>
    <hyperlink r:id="rId526" ref="A484"/>
    <hyperlink r:id="rId527" ref="A485"/>
    <hyperlink r:id="rId528" ref="A486"/>
    <hyperlink r:id="rId529" ref="A487"/>
    <hyperlink r:id="rId530" ref="A488"/>
    <hyperlink r:id="rId531" ref="A489"/>
    <hyperlink r:id="rId532" ref="A490"/>
    <hyperlink r:id="rId533" ref="A491"/>
    <hyperlink r:id="rId534" ref="A492"/>
    <hyperlink r:id="rId535" ref="A493"/>
    <hyperlink r:id="rId536" ref="A494"/>
    <hyperlink r:id="rId537" ref="A495"/>
    <hyperlink r:id="rId538" ref="A496"/>
    <hyperlink r:id="rId539" ref="A497"/>
    <hyperlink r:id="rId540" ref="A498"/>
    <hyperlink r:id="rId541" ref="A499"/>
    <hyperlink r:id="rId542" ref="A500"/>
    <hyperlink r:id="rId543" ref="A501"/>
    <hyperlink r:id="rId544" ref="A502"/>
    <hyperlink r:id="rId545" ref="A503"/>
    <hyperlink r:id="rId546" ref="A504"/>
    <hyperlink r:id="rId547" ref="A505"/>
    <hyperlink r:id="rId548" ref="A506"/>
    <hyperlink r:id="rId549" ref="A507"/>
    <hyperlink r:id="rId550" ref="A508"/>
    <hyperlink r:id="rId551" ref="A509"/>
    <hyperlink r:id="rId552" ref="A510"/>
    <hyperlink r:id="rId553" ref="A511"/>
    <hyperlink r:id="rId554" ref="A512"/>
    <hyperlink r:id="rId555" ref="A513"/>
    <hyperlink r:id="rId556" ref="A514"/>
    <hyperlink r:id="rId557" location="gid=0" ref="Q514"/>
    <hyperlink r:id="rId558" ref="A515"/>
    <hyperlink r:id="rId559" ref="A516"/>
    <hyperlink r:id="rId560" ref="A517"/>
    <hyperlink r:id="rId561" ref="A518"/>
    <hyperlink r:id="rId562" ref="A519"/>
    <hyperlink r:id="rId563" ref="A520"/>
    <hyperlink r:id="rId564" ref="A521"/>
    <hyperlink r:id="rId565" ref="A522"/>
    <hyperlink r:id="rId566" ref="A523"/>
    <hyperlink r:id="rId567" ref="A524"/>
    <hyperlink r:id="rId568" ref="A526"/>
    <hyperlink r:id="rId569" ref="A527"/>
    <hyperlink r:id="rId570" ref="A528"/>
    <hyperlink r:id="rId571" ref="A529"/>
    <hyperlink r:id="rId572" ref="A530"/>
    <hyperlink r:id="rId573" ref="A531"/>
    <hyperlink r:id="rId574" ref="A532"/>
    <hyperlink r:id="rId575" ref="A533"/>
    <hyperlink r:id="rId576" ref="A534"/>
    <hyperlink r:id="rId577" ref="A535"/>
    <hyperlink r:id="rId578" ref="A536"/>
    <hyperlink r:id="rId579" ref="A537"/>
    <hyperlink r:id="rId580" ref="A538"/>
    <hyperlink r:id="rId581" ref="A539"/>
    <hyperlink r:id="rId582" ref="A540"/>
    <hyperlink r:id="rId583" ref="A541"/>
    <hyperlink r:id="rId584" ref="A542"/>
    <hyperlink r:id="rId585" ref="A543"/>
    <hyperlink r:id="rId586" ref="A544"/>
    <hyperlink r:id="rId587" ref="A545"/>
    <hyperlink r:id="rId588" ref="A546"/>
    <hyperlink r:id="rId589" ref="A547"/>
    <hyperlink r:id="rId590" ref="A548"/>
    <hyperlink r:id="rId591" ref="A549"/>
    <hyperlink r:id="rId592" ref="A550"/>
    <hyperlink r:id="rId593" ref="A551"/>
    <hyperlink r:id="rId594" ref="A552"/>
    <hyperlink r:id="rId595" ref="A553"/>
    <hyperlink r:id="rId596" ref="A554"/>
    <hyperlink r:id="rId597" ref="A555"/>
    <hyperlink r:id="rId598" ref="A556"/>
    <hyperlink r:id="rId599" ref="A557"/>
    <hyperlink r:id="rId600" ref="A558"/>
    <hyperlink r:id="rId601" ref="A559"/>
    <hyperlink r:id="rId602" ref="A560"/>
    <hyperlink r:id="rId603" ref="A561"/>
    <hyperlink r:id="rId604" ref="A562"/>
    <hyperlink r:id="rId605" ref="A563"/>
    <hyperlink r:id="rId606" ref="A564"/>
    <hyperlink r:id="rId607" ref="A565"/>
    <hyperlink r:id="rId608" ref="A566"/>
    <hyperlink r:id="rId609" ref="A567"/>
    <hyperlink r:id="rId610" ref="A568"/>
    <hyperlink r:id="rId611" ref="A569"/>
    <hyperlink r:id="rId612" ref="A570"/>
    <hyperlink r:id="rId613" ref="A571"/>
    <hyperlink r:id="rId614" ref="A572"/>
    <hyperlink r:id="rId615" ref="A573"/>
    <hyperlink r:id="rId616" ref="A574"/>
    <hyperlink r:id="rId617" ref="A575"/>
    <hyperlink r:id="rId618" ref="A576"/>
    <hyperlink r:id="rId619" ref="A577"/>
    <hyperlink r:id="rId620" ref="A578"/>
    <hyperlink r:id="rId621" ref="A579"/>
    <hyperlink r:id="rId622" ref="A580"/>
    <hyperlink r:id="rId623" ref="A581"/>
    <hyperlink r:id="rId624" ref="A582"/>
    <hyperlink r:id="rId625" ref="A583"/>
    <hyperlink r:id="rId626" ref="A584"/>
    <hyperlink r:id="rId627" ref="A585"/>
    <hyperlink r:id="rId628" ref="A586"/>
    <hyperlink r:id="rId629" ref="A587"/>
    <hyperlink r:id="rId630" ref="A588"/>
    <hyperlink r:id="rId631" ref="A589"/>
    <hyperlink r:id="rId632" ref="A590"/>
    <hyperlink r:id="rId633" ref="A591"/>
    <hyperlink r:id="rId634" ref="A592"/>
    <hyperlink r:id="rId635" ref="A593"/>
    <hyperlink r:id="rId636" ref="A594"/>
    <hyperlink r:id="rId637" ref="A595"/>
    <hyperlink r:id="rId638" ref="A596"/>
    <hyperlink r:id="rId639" ref="A597"/>
    <hyperlink r:id="rId640" ref="A598"/>
    <hyperlink r:id="rId641" ref="A599"/>
    <hyperlink r:id="rId642" ref="A600"/>
    <hyperlink r:id="rId643" ref="A601"/>
    <hyperlink r:id="rId644" ref="A602"/>
    <hyperlink r:id="rId645" ref="A603"/>
    <hyperlink r:id="rId646" ref="A604"/>
    <hyperlink r:id="rId647" ref="A605"/>
    <hyperlink r:id="rId648" ref="A606"/>
    <hyperlink r:id="rId649" ref="A607"/>
    <hyperlink r:id="rId650" ref="A608"/>
    <hyperlink r:id="rId651" ref="A609"/>
    <hyperlink r:id="rId652" ref="A610"/>
    <hyperlink r:id="rId653" ref="A611"/>
    <hyperlink r:id="rId654" ref="A612"/>
    <hyperlink r:id="rId655" ref="A613"/>
    <hyperlink r:id="rId656" ref="A614"/>
    <hyperlink r:id="rId657" ref="A615"/>
    <hyperlink r:id="rId658" ref="A616"/>
    <hyperlink r:id="rId659" ref="A617"/>
    <hyperlink r:id="rId660" ref="Q617"/>
    <hyperlink r:id="rId661" ref="A618"/>
    <hyperlink r:id="rId662" ref="A619"/>
    <hyperlink r:id="rId663" ref="A620"/>
    <hyperlink r:id="rId664" ref="A621"/>
    <hyperlink r:id="rId665" ref="A622"/>
    <hyperlink r:id="rId666" ref="A623"/>
    <hyperlink r:id="rId667" ref="A624"/>
    <hyperlink r:id="rId668" ref="A625"/>
    <hyperlink r:id="rId669" ref="A626"/>
    <hyperlink r:id="rId670" ref="A627"/>
    <hyperlink r:id="rId671" ref="A628"/>
    <hyperlink r:id="rId672" ref="A629"/>
    <hyperlink r:id="rId673" ref="A630"/>
    <hyperlink r:id="rId674" ref="A631"/>
    <hyperlink r:id="rId675" ref="A632"/>
    <hyperlink r:id="rId676" ref="A633"/>
    <hyperlink r:id="rId677" ref="A634"/>
    <hyperlink r:id="rId678" ref="A635"/>
    <hyperlink r:id="rId679" ref="A636"/>
    <hyperlink r:id="rId680" ref="A637"/>
    <hyperlink r:id="rId681" ref="A638"/>
    <hyperlink r:id="rId682" ref="A639"/>
    <hyperlink r:id="rId683" ref="A640"/>
    <hyperlink r:id="rId684" ref="A641"/>
    <hyperlink r:id="rId685" ref="A642"/>
    <hyperlink r:id="rId686" ref="A643"/>
    <hyperlink r:id="rId687" ref="A644"/>
    <hyperlink r:id="rId688" ref="A645"/>
    <hyperlink r:id="rId689" ref="A646"/>
    <hyperlink r:id="rId690" ref="A647"/>
    <hyperlink r:id="rId691" ref="A648"/>
    <hyperlink r:id="rId692" ref="A649"/>
    <hyperlink r:id="rId693" ref="A650"/>
    <hyperlink r:id="rId694" ref="A651"/>
    <hyperlink r:id="rId695" ref="A652"/>
    <hyperlink r:id="rId696" ref="A653"/>
    <hyperlink r:id="rId697" ref="Q653"/>
    <hyperlink r:id="rId698" ref="A654"/>
    <hyperlink r:id="rId699" ref="A655"/>
    <hyperlink r:id="rId700" ref="A656"/>
    <hyperlink r:id="rId701" ref="A657"/>
    <hyperlink r:id="rId702" ref="A658"/>
    <hyperlink r:id="rId703" ref="A659"/>
    <hyperlink r:id="rId704" ref="A660"/>
    <hyperlink r:id="rId705" ref="A661"/>
    <hyperlink r:id="rId706" ref="A662"/>
    <hyperlink r:id="rId707" ref="A663"/>
    <hyperlink r:id="rId708" ref="A664"/>
    <hyperlink r:id="rId709" ref="A665"/>
    <hyperlink r:id="rId710" ref="A666"/>
    <hyperlink r:id="rId711" ref="A667"/>
    <hyperlink r:id="rId712" ref="A668"/>
    <hyperlink r:id="rId713" ref="A669"/>
    <hyperlink r:id="rId714" ref="A670"/>
    <hyperlink r:id="rId715" ref="A671"/>
    <hyperlink r:id="rId716" ref="A672"/>
    <hyperlink r:id="rId717" ref="A673"/>
    <hyperlink r:id="rId718" ref="A674"/>
    <hyperlink r:id="rId719" ref="A675"/>
    <hyperlink r:id="rId720" ref="A676"/>
    <hyperlink r:id="rId721" ref="A677"/>
    <hyperlink r:id="rId722" ref="A678"/>
    <hyperlink r:id="rId723" ref="A679"/>
    <hyperlink r:id="rId724" ref="A680"/>
    <hyperlink r:id="rId725" ref="A681"/>
    <hyperlink r:id="rId726" ref="A682"/>
    <hyperlink r:id="rId727" ref="A683"/>
    <hyperlink r:id="rId728" ref="A684"/>
    <hyperlink r:id="rId729" ref="A685"/>
    <hyperlink r:id="rId730" ref="A686"/>
    <hyperlink r:id="rId731" ref="A687"/>
    <hyperlink r:id="rId732" ref="A688"/>
    <hyperlink r:id="rId733" ref="A689"/>
    <hyperlink r:id="rId734" ref="A690"/>
    <hyperlink r:id="rId735" ref="A691"/>
    <hyperlink r:id="rId736" ref="A692"/>
    <hyperlink r:id="rId737" ref="A693"/>
    <hyperlink r:id="rId738" ref="A694"/>
    <hyperlink r:id="rId739" ref="A695"/>
    <hyperlink r:id="rId740" ref="A696"/>
    <hyperlink r:id="rId741" ref="A697"/>
    <hyperlink r:id="rId742" ref="A698"/>
    <hyperlink r:id="rId743" ref="A699"/>
    <hyperlink r:id="rId744" ref="A700"/>
    <hyperlink r:id="rId745" ref="A701"/>
    <hyperlink r:id="rId746" ref="A702"/>
    <hyperlink r:id="rId747" ref="A703"/>
    <hyperlink r:id="rId748" ref="A704"/>
    <hyperlink r:id="rId749" ref="A705"/>
  </hyperlinks>
  <drawing r:id="rId750"/>
  <legacyDrawing r:id="rId751"/>
  <tableParts count="23">
    <tablePart r:id="rId775"/>
    <tablePart r:id="rId776"/>
    <tablePart r:id="rId777"/>
    <tablePart r:id="rId778"/>
    <tablePart r:id="rId779"/>
    <tablePart r:id="rId780"/>
    <tablePart r:id="rId781"/>
    <tablePart r:id="rId782"/>
    <tablePart r:id="rId783"/>
    <tablePart r:id="rId784"/>
    <tablePart r:id="rId785"/>
    <tablePart r:id="rId786"/>
    <tablePart r:id="rId787"/>
    <tablePart r:id="rId788"/>
    <tablePart r:id="rId789"/>
    <tablePart r:id="rId790"/>
    <tablePart r:id="rId791"/>
    <tablePart r:id="rId792"/>
    <tablePart r:id="rId793"/>
    <tablePart r:id="rId794"/>
    <tablePart r:id="rId795"/>
    <tablePart r:id="rId796"/>
    <tablePart r:id="rId79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6.13"/>
    <col customWidth="1" min="8" max="8" width="7.5"/>
    <col customWidth="1" min="9" max="9" width="11.13"/>
    <col customWidth="1" min="11" max="11" width="11.25"/>
    <col customWidth="1" min="12" max="12" width="22.75"/>
    <col customWidth="1" min="13" max="13" width="34.75"/>
  </cols>
  <sheetData>
    <row r="1">
      <c r="A1" s="353" t="s">
        <v>1719</v>
      </c>
      <c r="B1" s="353" t="s">
        <v>1720</v>
      </c>
      <c r="C1" s="191" t="s">
        <v>1721</v>
      </c>
      <c r="D1" s="191" t="s">
        <v>1722</v>
      </c>
      <c r="E1" s="194" t="s">
        <v>1723</v>
      </c>
      <c r="F1" s="194" t="s">
        <v>1724</v>
      </c>
      <c r="G1" s="194" t="s">
        <v>1725</v>
      </c>
      <c r="H1" s="191" t="s">
        <v>1726</v>
      </c>
      <c r="I1" s="191" t="s">
        <v>1727</v>
      </c>
      <c r="J1" s="191" t="s">
        <v>1728</v>
      </c>
      <c r="K1" s="194" t="s">
        <v>1729</v>
      </c>
      <c r="L1" s="191" t="s">
        <v>1730</v>
      </c>
      <c r="M1" s="194" t="s">
        <v>1731</v>
      </c>
      <c r="N1" s="191" t="s">
        <v>1732</v>
      </c>
      <c r="O1" s="191" t="s">
        <v>1733</v>
      </c>
      <c r="P1" s="191" t="s">
        <v>1734</v>
      </c>
      <c r="Q1" s="1" t="s">
        <v>1735</v>
      </c>
      <c r="R1" s="191" t="s">
        <v>1736</v>
      </c>
      <c r="S1" s="191" t="s">
        <v>1737</v>
      </c>
    </row>
    <row r="2">
      <c r="A2" s="354" t="s">
        <v>115</v>
      </c>
      <c r="B2" s="354" t="s">
        <v>1738</v>
      </c>
      <c r="C2" s="355">
        <v>46157.0</v>
      </c>
      <c r="D2" s="355">
        <v>46157.0</v>
      </c>
      <c r="E2" s="356">
        <f t="shared" ref="E2:E14" si="1">IF(I2="First Half",0.5,
IF(I2="Second Half",0.5,
NETWORKDAYS(C2,D2)))</f>
        <v>1</v>
      </c>
      <c r="F2" s="357" t="str">
        <f>IFERROR(__xludf.DUMMYFUNCTION("IF(I2=""First Half"",
""First Half - ""&amp;TEXT(C2,""dddd""),
IF(I2=""Second Half"",
""Second Half - ""&amp;TEXT(C2,""dddd""),
TEXTJOIN("", "",TRUE,FILTER(TEXT(SEQUENCE(D2-C2+1,1,C2),""dddd""),WEEKDAY(SEQUENCE(D2-C2+1,1,C2),2)&lt;6))))"),"Friday")</f>
        <v>Friday</v>
      </c>
      <c r="G2" s="357" t="str">
        <f t="array" ref="G2">IF(I2="First Half",
"First Half - "&amp;TEXT(C2,"dddd"),
IF(I2="Second Half",
IF(OR(WEEKDAY(C2)=2,WEEKDAY(D2)=6),
"Saturday, Sunday, Second Half - "&amp;TEXT(C2,"dddd")&amp;", Saturday, Sunday",
"Second Half - "&amp;TEXT(C2,"dddd")),
TEXTJOIN(", ",TRUE,
TEXT(
SEQUENCE(
(D2-C2)+1+
IF(WEEKDAY(C2)=2,2,0)+
IF(WEEKDAY(D2)=6,2,0),
1,
C2-IF(WEEKDAY(C2)=2,2,0)
),
"dddd"))))</f>
        <v>Friday, Saturday, Sunday</v>
      </c>
      <c r="H2" s="356">
        <f t="shared" ref="H2:H14" si="2">IF(I2="First Half",
0.5,
IF(I2="Second Half",
IF(OR(WEEKDAY(C2)=2,WEEKDAY(D2)=6),2.5,0.5),
(D2-C2)+1+
IF(WEEKDAY(C2)=2,2,0)+
IF(WEEKDAY(D2)=6,2,0)))</f>
        <v>3</v>
      </c>
      <c r="I2" s="354" t="s">
        <v>1739</v>
      </c>
      <c r="J2" s="357" t="str">
        <f>IF(Q2="Pending","Waiting Approval",
IF(Q2="Rejected","Rejected",
IF(Q2="Cancelled","Cancelled",
IF(TODAY()&lt;C2,"Upcoming",
IF(AND(TODAY()&gt;=C2,TODAY()&lt;=R2),"In Progress",
IF(TODAY()&gt;R2,"Completed",""))))))</f>
        <v>Completed</v>
      </c>
      <c r="K2" s="358"/>
      <c r="L2" s="359"/>
      <c r="M2" s="360" t="s">
        <v>1740</v>
      </c>
      <c r="N2" s="358"/>
      <c r="O2" s="355">
        <v>46149.0</v>
      </c>
      <c r="P2" s="361" t="s">
        <v>1741</v>
      </c>
      <c r="Q2" s="354" t="s">
        <v>1742</v>
      </c>
      <c r="R2" s="355">
        <v>46149.0</v>
      </c>
      <c r="S2" s="358"/>
      <c r="T2" s="362"/>
      <c r="U2" s="362"/>
      <c r="V2" s="362"/>
      <c r="W2" s="362"/>
      <c r="X2" s="362"/>
      <c r="Y2" s="362"/>
      <c r="Z2" s="362"/>
      <c r="AA2" s="362"/>
      <c r="AB2" s="362"/>
      <c r="AC2" s="362"/>
      <c r="AD2" s="362"/>
      <c r="AE2" s="362"/>
      <c r="AF2" s="362"/>
    </row>
    <row r="3">
      <c r="A3" s="360" t="s">
        <v>79</v>
      </c>
      <c r="B3" s="360" t="s">
        <v>1738</v>
      </c>
      <c r="C3" s="363">
        <v>46160.0</v>
      </c>
      <c r="D3" s="363">
        <v>46164.0</v>
      </c>
      <c r="E3" s="356">
        <f t="shared" si="1"/>
        <v>5</v>
      </c>
      <c r="F3" s="357" t="str">
        <f>IFERROR(__xludf.DUMMYFUNCTION("IF(I3=""First Half"",
""First Half - ""&amp;TEXT(C3,""dddd""),
IF(I3=""Second Half"",
""Second Half - ""&amp;TEXT(C3,""dddd""),
TEXTJOIN("", "",TRUE,FILTER(TEXT(SEQUENCE(D3-C3+1,1,C3),""dddd""),WEEKDAY(SEQUENCE(D3-C3+1,1,C3),2)&lt;6))))"),"Monday, Tuesday, Wednesday, Thursday, Friday")</f>
        <v>Monday, Tuesday, Wednesday, Thursday, Friday</v>
      </c>
      <c r="G3" s="357" t="str">
        <f t="array" ref="G3">IF(I3="First Half",
"First Half - "&amp;TEXT(C3,"dddd"),
IF(I3="Second Half",
IF(OR(WEEKDAY(C3)=2,WEEKDAY(D3)=6),
"Saturday, Sunday, Second Half - "&amp;TEXT(C3,"dddd")&amp;", Saturday, Sunday",
"Second Half - "&amp;TEXT(C3,"dddd")),
TEXTJOIN(", ",TRUE,
TEXT(
SEQUENCE(
(D3-C3)+1+
IF(WEEKDAY(C3)=2,2,0)+
IF(WEEKDAY(D3)=6,2,0),
1,
C3-IF(WEEKDAY(C3)=2,2,0)
),
"dddd"))))</f>
        <v>Saturday, Sunday, Monday, Tuesday, Wednesday, Thursday, Friday, Saturday, Sunday</v>
      </c>
      <c r="H3" s="356">
        <f t="shared" si="2"/>
        <v>9</v>
      </c>
      <c r="I3" s="360" t="s">
        <v>1739</v>
      </c>
      <c r="J3" s="357" t="str">
        <f t="shared" ref="J3:J14" si="3">IF(Q3="Pending","Waiting Approval",
IF(Q3="Rejected","Rejected",
IF(Q3="Cancelled","Cancelled",
IF(TODAY()&lt;C3,"Upcoming",
IF(AND(TODAY()&gt;=C3,TODAY()&lt;=D3),"In Progress",
IF(TODAY()&gt;D3,"Completed",""))))))</f>
        <v>Completed</v>
      </c>
      <c r="K3" s="357"/>
      <c r="L3" s="359"/>
      <c r="M3" s="360" t="s">
        <v>1740</v>
      </c>
      <c r="N3" s="357"/>
      <c r="O3" s="363">
        <v>46136.0</v>
      </c>
      <c r="P3" s="364" t="s">
        <v>1741</v>
      </c>
      <c r="Q3" s="360" t="s">
        <v>33</v>
      </c>
      <c r="R3" s="363">
        <v>46121.0</v>
      </c>
      <c r="S3" s="357"/>
      <c r="T3" s="365"/>
      <c r="U3" s="365"/>
      <c r="V3" s="365"/>
      <c r="W3" s="365"/>
      <c r="X3" s="365"/>
      <c r="Y3" s="365"/>
      <c r="Z3" s="365"/>
      <c r="AA3" s="365"/>
      <c r="AB3" s="365"/>
      <c r="AC3" s="365"/>
      <c r="AD3" s="365"/>
      <c r="AE3" s="365"/>
      <c r="AF3" s="365"/>
    </row>
    <row r="4">
      <c r="A4" s="360" t="s">
        <v>146</v>
      </c>
      <c r="B4" s="360" t="s">
        <v>1743</v>
      </c>
      <c r="C4" s="363">
        <v>46161.0</v>
      </c>
      <c r="D4" s="363">
        <v>46161.0</v>
      </c>
      <c r="E4" s="356">
        <f t="shared" si="1"/>
        <v>0.5</v>
      </c>
      <c r="F4" s="357" t="str">
        <f>IFERROR(__xludf.DUMMYFUNCTION("IF(I4=""First Half"",
""First Half - ""&amp;TEXT(C4,""dddd""),
IF(I4=""Second Half"",
""Second Half - ""&amp;TEXT(C4,""dddd""),
TEXTJOIN("", "",TRUE,FILTER(TEXT(SEQUENCE(D4-C4+1,1,C4),""dddd""),WEEKDAY(SEQUENCE(D4-C4+1,1,C4),2)&lt;6))))"),"Second Half - Tuesday")</f>
        <v>Second Half - Tuesday</v>
      </c>
      <c r="G4" s="357" t="str">
        <f t="array" ref="G4">IF(I4="First Half",
"First Half - "&amp;TEXT(C4,"dddd"),
IF(I4="Second Half",
IF(OR(WEEKDAY(C4)=2,WEEKDAY(D4)=6),
"Saturday, Sunday, Second Half - "&amp;TEXT(C4,"dddd")&amp;", Saturday, Sunday",
"Second Half - "&amp;TEXT(C4,"dddd")),
TEXTJOIN(", ",TRUE,
TEXT(
SEQUENCE(
(D4-C4)+1+
IF(WEEKDAY(C4)=2,2,0)+
IF(WEEKDAY(D4)=6,2,0),
1,
C4-IF(WEEKDAY(C4)=2,2,0)
),
"dddd"))))</f>
        <v>Second Half - Tuesday</v>
      </c>
      <c r="H4" s="356">
        <f t="shared" si="2"/>
        <v>0.5</v>
      </c>
      <c r="I4" s="360" t="s">
        <v>1744</v>
      </c>
      <c r="J4" s="357" t="str">
        <f t="shared" si="3"/>
        <v>Completed</v>
      </c>
      <c r="K4" s="357"/>
      <c r="L4" s="366" t="s">
        <v>1745</v>
      </c>
      <c r="M4" s="360" t="s">
        <v>1740</v>
      </c>
      <c r="N4" s="357"/>
      <c r="O4" s="363">
        <v>46161.0</v>
      </c>
      <c r="P4" s="364" t="s">
        <v>1741</v>
      </c>
      <c r="Q4" s="360" t="s">
        <v>33</v>
      </c>
      <c r="R4" s="363">
        <v>46161.0</v>
      </c>
      <c r="S4" s="357"/>
      <c r="T4" s="365"/>
      <c r="U4" s="365"/>
      <c r="V4" s="365"/>
      <c r="W4" s="365"/>
      <c r="X4" s="365"/>
      <c r="Y4" s="365"/>
      <c r="Z4" s="365"/>
      <c r="AA4" s="365"/>
      <c r="AB4" s="365"/>
      <c r="AC4" s="365"/>
      <c r="AD4" s="365"/>
      <c r="AE4" s="365"/>
      <c r="AF4" s="365"/>
    </row>
    <row r="5">
      <c r="A5" s="360" t="s">
        <v>146</v>
      </c>
      <c r="B5" s="360" t="s">
        <v>1743</v>
      </c>
      <c r="C5" s="363">
        <v>46162.0</v>
      </c>
      <c r="D5" s="363">
        <v>46162.0</v>
      </c>
      <c r="E5" s="356">
        <f t="shared" si="1"/>
        <v>1</v>
      </c>
      <c r="F5" s="357" t="str">
        <f>IFERROR(__xludf.DUMMYFUNCTION("IF(I5=""First Half"",
""First Half - ""&amp;TEXT(C5,""dddd""),
IF(I5=""Second Half"",
""Second Half - ""&amp;TEXT(C5,""dddd""),
TEXTJOIN("", "",TRUE,FILTER(TEXT(SEQUENCE(D5-C5+1,1,C5),""dddd""),WEEKDAY(SEQUENCE(D5-C5+1,1,C5),2)&lt;6))))"),"Wednesday")</f>
        <v>Wednesday</v>
      </c>
      <c r="G5" s="357" t="str">
        <f t="array" ref="G5">IF(I5="First Half",
"First Half - "&amp;TEXT(C5,"dddd"),
IF(I5="Second Half",
IF(OR(WEEKDAY(C5)=2,WEEKDAY(D5)=6),
"Saturday, Sunday, Second Half - "&amp;TEXT(C5,"dddd")&amp;", Saturday, Sunday",
"Second Half - "&amp;TEXT(C5,"dddd")),
TEXTJOIN(", ",TRUE,
TEXT(
SEQUENCE(
(D5-C5)+1+
IF(WEEKDAY(C5)=2,2,0)+
IF(WEEKDAY(D5)=6,2,0),
1,
C5-IF(WEEKDAY(C5)=2,2,0)
),
"dddd"))))</f>
        <v>Wednesday</v>
      </c>
      <c r="H5" s="356">
        <f t="shared" si="2"/>
        <v>1</v>
      </c>
      <c r="I5" s="360" t="s">
        <v>1739</v>
      </c>
      <c r="J5" s="357" t="str">
        <f t="shared" si="3"/>
        <v>Completed</v>
      </c>
      <c r="K5" s="357"/>
      <c r="L5" s="366" t="s">
        <v>1745</v>
      </c>
      <c r="M5" s="360" t="s">
        <v>1740</v>
      </c>
      <c r="N5" s="357"/>
      <c r="O5" s="363">
        <v>46162.0</v>
      </c>
      <c r="P5" s="364" t="s">
        <v>1741</v>
      </c>
      <c r="Q5" s="360" t="s">
        <v>33</v>
      </c>
      <c r="R5" s="363">
        <v>46162.0</v>
      </c>
      <c r="S5" s="358"/>
      <c r="T5" s="362"/>
      <c r="U5" s="362"/>
      <c r="V5" s="362"/>
      <c r="W5" s="362"/>
      <c r="X5" s="362"/>
      <c r="Y5" s="362"/>
      <c r="Z5" s="362"/>
      <c r="AA5" s="362"/>
      <c r="AB5" s="362"/>
      <c r="AC5" s="362"/>
      <c r="AD5" s="362"/>
      <c r="AE5" s="362"/>
      <c r="AF5" s="362"/>
    </row>
    <row r="6">
      <c r="A6" s="360" t="s">
        <v>146</v>
      </c>
      <c r="B6" s="360" t="s">
        <v>1743</v>
      </c>
      <c r="C6" s="363">
        <v>46163.0</v>
      </c>
      <c r="D6" s="363">
        <v>46163.0</v>
      </c>
      <c r="E6" s="356">
        <f t="shared" si="1"/>
        <v>1</v>
      </c>
      <c r="F6" s="357" t="str">
        <f>IFERROR(__xludf.DUMMYFUNCTION("IF(I6=""First Half"",
""First Half - ""&amp;TEXT(C6,""dddd""),
IF(I6=""Second Half"",
""Second Half - ""&amp;TEXT(C6,""dddd""),
TEXTJOIN("", "",TRUE,FILTER(TEXT(SEQUENCE(D6-C6+1,1,C6),""dddd""),WEEKDAY(SEQUENCE(D6-C6+1,1,C6),2)&lt;6))))"),"Thursday")</f>
        <v>Thursday</v>
      </c>
      <c r="G6" s="357" t="str">
        <f t="array" ref="G6">IF(I6="First Half",
"First Half - "&amp;TEXT(C6,"dddd"),
IF(I6="Second Half",
IF(OR(WEEKDAY(C6)=2,WEEKDAY(D6)=6),
"Saturday, Sunday, Second Half - "&amp;TEXT(C6,"dddd")&amp;", Saturday, Sunday",
"Second Half - "&amp;TEXT(C6,"dddd")),
TEXTJOIN(", ",TRUE,
TEXT(
SEQUENCE(
(D6-C6)+1+
IF(WEEKDAY(C6)=2,2,0)+
IF(WEEKDAY(D6)=6,2,0),
1,
C6-IF(WEEKDAY(C6)=2,2,0)
),
"dddd"))))</f>
        <v>Thursday</v>
      </c>
      <c r="H6" s="356">
        <f t="shared" si="2"/>
        <v>1</v>
      </c>
      <c r="I6" s="360" t="s">
        <v>1739</v>
      </c>
      <c r="J6" s="357" t="str">
        <f t="shared" si="3"/>
        <v>Completed</v>
      </c>
      <c r="K6" s="357"/>
      <c r="L6" s="366" t="s">
        <v>1745</v>
      </c>
      <c r="M6" s="360" t="s">
        <v>1740</v>
      </c>
      <c r="N6" s="357"/>
      <c r="O6" s="363">
        <v>46163.0</v>
      </c>
      <c r="P6" s="364" t="s">
        <v>1741</v>
      </c>
      <c r="Q6" s="360" t="s">
        <v>33</v>
      </c>
      <c r="R6" s="363">
        <v>46163.0</v>
      </c>
      <c r="S6" s="358"/>
      <c r="T6" s="362"/>
      <c r="U6" s="362"/>
      <c r="V6" s="362"/>
      <c r="W6" s="362"/>
      <c r="X6" s="362"/>
      <c r="Y6" s="362"/>
      <c r="Z6" s="362"/>
      <c r="AA6" s="362"/>
      <c r="AB6" s="362"/>
      <c r="AC6" s="362"/>
      <c r="AD6" s="362"/>
      <c r="AE6" s="362"/>
      <c r="AF6" s="362"/>
    </row>
    <row r="7">
      <c r="A7" s="360" t="s">
        <v>146</v>
      </c>
      <c r="B7" s="360" t="s">
        <v>1743</v>
      </c>
      <c r="C7" s="363">
        <v>46164.0</v>
      </c>
      <c r="D7" s="363">
        <v>46164.0</v>
      </c>
      <c r="E7" s="356">
        <f t="shared" si="1"/>
        <v>1</v>
      </c>
      <c r="F7" s="357" t="str">
        <f>IFERROR(__xludf.DUMMYFUNCTION("IF(I7=""First Half"",
""First Half - ""&amp;TEXT(C7,""dddd""),
IF(I7=""Second Half"",
""Second Half - ""&amp;TEXT(C7,""dddd""),
TEXTJOIN("", "",TRUE,FILTER(TEXT(SEQUENCE(D7-C7+1,1,C7),""dddd""),WEEKDAY(SEQUENCE(D7-C7+1,1,C7),2)&lt;6))))"),"Friday")</f>
        <v>Friday</v>
      </c>
      <c r="G7" s="357" t="str">
        <f t="array" ref="G7">IF(I7="First Half",
"First Half - "&amp;TEXT(C7,"dddd"),
IF(I7="Second Half",
IF(OR(WEEKDAY(C7)=2,WEEKDAY(D7)=6),
"Saturday, Sunday, Second Half - "&amp;TEXT(C7,"dddd")&amp;", Saturday, Sunday",
"Second Half - "&amp;TEXT(C7,"dddd")),
TEXTJOIN(", ",TRUE,
TEXT(
SEQUENCE(
(D7-C7)+1+
IF(WEEKDAY(C7)=2,2,0)+
IF(WEEKDAY(D7)=6,2,0),
1,
C7-IF(WEEKDAY(C7)=2,2,0)
),
"dddd"))))</f>
        <v>Friday, Saturday, Sunday</v>
      </c>
      <c r="H7" s="356">
        <f t="shared" si="2"/>
        <v>3</v>
      </c>
      <c r="I7" s="360" t="s">
        <v>1739</v>
      </c>
      <c r="J7" s="357" t="str">
        <f t="shared" si="3"/>
        <v>Completed</v>
      </c>
      <c r="K7" s="357"/>
      <c r="L7" s="366" t="s">
        <v>1745</v>
      </c>
      <c r="M7" s="360" t="s">
        <v>1740</v>
      </c>
      <c r="N7" s="357"/>
      <c r="O7" s="363">
        <v>46163.0</v>
      </c>
      <c r="P7" s="364" t="s">
        <v>1741</v>
      </c>
      <c r="Q7" s="360" t="s">
        <v>33</v>
      </c>
      <c r="R7" s="363">
        <v>46163.0</v>
      </c>
      <c r="S7" s="358"/>
      <c r="T7" s="362"/>
      <c r="U7" s="362"/>
      <c r="V7" s="362"/>
      <c r="W7" s="362"/>
      <c r="X7" s="362"/>
      <c r="Y7" s="362"/>
      <c r="Z7" s="362"/>
      <c r="AA7" s="362"/>
      <c r="AB7" s="362"/>
      <c r="AC7" s="362"/>
      <c r="AD7" s="362"/>
      <c r="AE7" s="362"/>
      <c r="AF7" s="362"/>
    </row>
    <row r="8">
      <c r="A8" s="367" t="s">
        <v>146</v>
      </c>
      <c r="B8" s="367" t="s">
        <v>1743</v>
      </c>
      <c r="C8" s="368">
        <v>46167.0</v>
      </c>
      <c r="D8" s="368">
        <v>46171.0</v>
      </c>
      <c r="E8" s="369">
        <f t="shared" si="1"/>
        <v>5</v>
      </c>
      <c r="F8" s="370" t="str">
        <f>IFERROR(__xludf.DUMMYFUNCTION("IF(I8=""First Half"",
""First Half - ""&amp;TEXT(C8,""dddd""),
IF(I8=""Second Half"",
""Second Half - ""&amp;TEXT(C8,""dddd""),
TEXTJOIN("", "",TRUE,FILTER(TEXT(SEQUENCE(D8-C8+1,1,C8),""dddd""),WEEKDAY(SEQUENCE(D8-C8+1,1,C8),2)&lt;6))))"),"Monday, Tuesday, Wednesday, Thursday, Friday")</f>
        <v>Monday, Tuesday, Wednesday, Thursday, Friday</v>
      </c>
      <c r="G8" s="370" t="str">
        <f t="array" ref="G8">IF(I8="First Half",
"First Half - "&amp;TEXT(C8,"dddd"),
IF(I8="Second Half",
IF(OR(WEEKDAY(C8)=2,WEEKDAY(D8)=6),
"Saturday, Sunday, Second Half - "&amp;TEXT(C8,"dddd")&amp;", Saturday, Sunday",
"Second Half - "&amp;TEXT(C8,"dddd")),
TEXTJOIN(", ",TRUE,
TEXT(
SEQUENCE(
(D8-C8)+1+
IF(WEEKDAY(C8)=2,2,0)+
IF(WEEKDAY(D8)=6,2,0),
1,
C8-IF(WEEKDAY(C8)=2,2,0)
),
"dddd"))))</f>
        <v>Saturday, Sunday, Monday, Tuesday, Wednesday, Thursday, Friday, Saturday, Sunday</v>
      </c>
      <c r="H8" s="369">
        <f t="shared" si="2"/>
        <v>9</v>
      </c>
      <c r="I8" s="367" t="s">
        <v>1739</v>
      </c>
      <c r="J8" s="370" t="str">
        <f t="shared" si="3"/>
        <v>Completed</v>
      </c>
      <c r="K8" s="371"/>
      <c r="L8" s="369" t="s">
        <v>1745</v>
      </c>
      <c r="M8" s="367" t="s">
        <v>1740</v>
      </c>
      <c r="N8" s="371"/>
      <c r="O8" s="372">
        <v>46163.0</v>
      </c>
      <c r="P8" s="373" t="s">
        <v>1741</v>
      </c>
      <c r="Q8" s="367" t="s">
        <v>33</v>
      </c>
      <c r="R8" s="372">
        <v>46163.0</v>
      </c>
      <c r="S8" s="371"/>
      <c r="T8" s="374"/>
      <c r="U8" s="374"/>
      <c r="V8" s="374"/>
      <c r="W8" s="374"/>
      <c r="X8" s="374"/>
      <c r="Y8" s="374"/>
      <c r="Z8" s="374"/>
      <c r="AA8" s="374"/>
      <c r="AB8" s="374"/>
      <c r="AC8" s="374"/>
      <c r="AD8" s="374"/>
      <c r="AE8" s="374"/>
      <c r="AF8" s="374"/>
    </row>
    <row r="9">
      <c r="A9" s="360" t="s">
        <v>79</v>
      </c>
      <c r="B9" s="360" t="s">
        <v>1738</v>
      </c>
      <c r="C9" s="363">
        <v>46170.0</v>
      </c>
      <c r="D9" s="363">
        <v>46171.0</v>
      </c>
      <c r="E9" s="356">
        <f t="shared" si="1"/>
        <v>2</v>
      </c>
      <c r="F9" s="357" t="str">
        <f>IFERROR(__xludf.DUMMYFUNCTION("IF(I9=""First Half"",
""First Half - ""&amp;TEXT(C9,""dddd""),
IF(I9=""Second Half"",
""Second Half - ""&amp;TEXT(C9,""dddd""),
TEXTJOIN("", "",TRUE,FILTER(TEXT(SEQUENCE(D9-C9+1,1,C9),""dddd""),WEEKDAY(SEQUENCE(D9-C9+1,1,C9),2)&lt;6))))"),"Thursday, Friday")</f>
        <v>Thursday, Friday</v>
      </c>
      <c r="G9" s="357" t="str">
        <f t="array" ref="G9">IF(I9="First Half",
"First Half - "&amp;TEXT(C9,"dddd"),
IF(I9="Second Half",
IF(OR(WEEKDAY(C9)=2,WEEKDAY(D9)=6),
"Saturday, Sunday, Second Half - "&amp;TEXT(C9,"dddd")&amp;", Saturday, Sunday",
"Second Half - "&amp;TEXT(C9,"dddd")),
TEXTJOIN(", ",TRUE,
TEXT(
SEQUENCE(
(D9-C9)+1+
IF(WEEKDAY(C9)=2,2,0)+
IF(WEEKDAY(D9)=6,2,0),
1,
C9-IF(WEEKDAY(C9)=2,2,0)
),
"dddd"))))</f>
        <v>Thursday, Friday, Saturday, Sunday</v>
      </c>
      <c r="H9" s="356">
        <f t="shared" si="2"/>
        <v>4</v>
      </c>
      <c r="I9" s="360" t="s">
        <v>1739</v>
      </c>
      <c r="J9" s="357" t="str">
        <f t="shared" si="3"/>
        <v>Completed</v>
      </c>
      <c r="K9" s="357"/>
      <c r="L9" s="366" t="s">
        <v>1746</v>
      </c>
      <c r="M9" s="360" t="s">
        <v>1740</v>
      </c>
      <c r="N9" s="357"/>
      <c r="O9" s="363">
        <v>46136.0</v>
      </c>
      <c r="P9" s="364" t="s">
        <v>1741</v>
      </c>
      <c r="Q9" s="360" t="s">
        <v>33</v>
      </c>
      <c r="R9" s="363">
        <v>46121.0</v>
      </c>
      <c r="S9" s="357"/>
      <c r="T9" s="365"/>
      <c r="U9" s="365"/>
      <c r="V9" s="365"/>
      <c r="W9" s="365"/>
      <c r="X9" s="365"/>
      <c r="Y9" s="365"/>
      <c r="Z9" s="365"/>
      <c r="AA9" s="365"/>
      <c r="AB9" s="365"/>
      <c r="AC9" s="365"/>
      <c r="AD9" s="365"/>
      <c r="AE9" s="365"/>
      <c r="AF9" s="365"/>
    </row>
    <row r="10">
      <c r="A10" s="354" t="s">
        <v>115</v>
      </c>
      <c r="B10" s="354" t="s">
        <v>1738</v>
      </c>
      <c r="C10" s="355">
        <v>46171.0</v>
      </c>
      <c r="D10" s="355">
        <v>46171.0</v>
      </c>
      <c r="E10" s="356">
        <f t="shared" si="1"/>
        <v>0.5</v>
      </c>
      <c r="F10" s="357" t="str">
        <f>IFERROR(__xludf.DUMMYFUNCTION("IF(I10=""First Half"",
""First Half - ""&amp;TEXT(C10,""dddd""),
IF(I10=""Second Half"",
""Second Half - ""&amp;TEXT(C10,""dddd""),
TEXTJOIN("", "",TRUE,FILTER(TEXT(SEQUENCE(D10-C10+1,1,C10),""dddd""),WEEKDAY(SEQUENCE(D10-C10+1,1,C10),2)&lt;6))))"),"Second Half - Friday")</f>
        <v>Second Half - Friday</v>
      </c>
      <c r="G10" s="357" t="str">
        <f t="array" ref="G10">IF(I10="First Half",
"First Half - "&amp;TEXT(C10,"dddd"),
IF(I10="Second Half",
IF(OR(WEEKDAY(C10)=2,WEEKDAY(D10)=6),
"Saturday, Sunday, Second Half - "&amp;TEXT(C10,"dddd")&amp;", Saturday, Sunday",
"Second Half - "&amp;TEXT(C10,"dddd")),
TEXTJOIN(", ",TRUE,
TEXT(
SEQUENCE(
(D10-C10)+1+
IF(WEEKDAY(C10)=2,2,0)+
IF(WEEKDAY(D10)=6,2,0),
1,
C10-IF(WEEKDAY(C10)=2,2,0)
),
"dddd"))))</f>
        <v>Saturday, Sunday, Second Half - Friday, Saturday, Sunday</v>
      </c>
      <c r="H10" s="356">
        <f t="shared" si="2"/>
        <v>2.5</v>
      </c>
      <c r="I10" s="360" t="s">
        <v>1744</v>
      </c>
      <c r="J10" s="357" t="str">
        <f t="shared" si="3"/>
        <v>Completed</v>
      </c>
      <c r="K10" s="357"/>
      <c r="L10" s="366" t="s">
        <v>1747</v>
      </c>
      <c r="M10" s="360" t="s">
        <v>1740</v>
      </c>
      <c r="N10" s="357"/>
      <c r="O10" s="363">
        <v>46156.0</v>
      </c>
      <c r="P10" s="364" t="s">
        <v>1741</v>
      </c>
      <c r="Q10" s="360" t="s">
        <v>33</v>
      </c>
      <c r="R10" s="363">
        <v>46171.0</v>
      </c>
      <c r="S10" s="358"/>
      <c r="T10" s="362"/>
      <c r="U10" s="362"/>
      <c r="V10" s="362"/>
      <c r="W10" s="362"/>
      <c r="X10" s="362"/>
      <c r="Y10" s="362"/>
      <c r="Z10" s="362"/>
      <c r="AA10" s="362"/>
      <c r="AB10" s="362"/>
      <c r="AC10" s="362"/>
      <c r="AD10" s="362"/>
      <c r="AE10" s="362"/>
      <c r="AF10" s="362"/>
    </row>
    <row r="11">
      <c r="A11" s="354" t="s">
        <v>25</v>
      </c>
      <c r="B11" s="354" t="s">
        <v>1738</v>
      </c>
      <c r="C11" s="355">
        <v>46174.0</v>
      </c>
      <c r="D11" s="355">
        <v>46174.0</v>
      </c>
      <c r="E11" s="356">
        <f t="shared" si="1"/>
        <v>1</v>
      </c>
      <c r="F11" s="357" t="str">
        <f>IFERROR(__xludf.DUMMYFUNCTION("IF(I11=""First Half"",
""First Half - ""&amp;TEXT(C11,""dddd""),
IF(I11=""Second Half"",
""Second Half - ""&amp;TEXT(C11,""dddd""),
TEXTJOIN("", "",TRUE,FILTER(TEXT(SEQUENCE(D11-C11+1,1,C11),""dddd""),WEEKDAY(SEQUENCE(D11-C11+1,1,C11),2)&lt;6))))"),"Monday")</f>
        <v>Monday</v>
      </c>
      <c r="G11" s="357" t="str">
        <f t="array" ref="G11">IF(I11="First Half",
"First Half - "&amp;TEXT(C11,"dddd"),
IF(I11="Second Half",
IF(OR(WEEKDAY(C11)=2,WEEKDAY(D11)=6),
"Saturday, Sunday, Second Half - "&amp;TEXT(C11,"dddd")&amp;", Saturday, Sunday",
"Second Half - "&amp;TEXT(C11,"dddd")),
TEXTJOIN(", ",TRUE,
TEXT(
SEQUENCE(
(D11-C11)+1+
IF(WEEKDAY(C11)=2,2,0)+
IF(WEEKDAY(D11)=6,2,0),
1,
C11-IF(WEEKDAY(C11)=2,2,0)
),
"dddd"))))</f>
        <v>Saturday, Sunday, Monday</v>
      </c>
      <c r="H11" s="356">
        <f t="shared" si="2"/>
        <v>3</v>
      </c>
      <c r="I11" s="360" t="s">
        <v>1739</v>
      </c>
      <c r="J11" s="357" t="str">
        <f t="shared" si="3"/>
        <v>Completed</v>
      </c>
      <c r="K11" s="357"/>
      <c r="L11" s="366" t="s">
        <v>1748</v>
      </c>
      <c r="M11" s="360" t="s">
        <v>1740</v>
      </c>
      <c r="N11" s="357"/>
      <c r="O11" s="363">
        <v>46156.0</v>
      </c>
      <c r="P11" s="364" t="s">
        <v>1741</v>
      </c>
      <c r="Q11" s="360" t="s">
        <v>33</v>
      </c>
      <c r="R11" s="363">
        <v>46162.0</v>
      </c>
      <c r="S11" s="358"/>
      <c r="T11" s="362"/>
      <c r="U11" s="362"/>
      <c r="V11" s="362"/>
      <c r="W11" s="362"/>
      <c r="X11" s="362"/>
      <c r="Y11" s="362"/>
      <c r="Z11" s="362"/>
      <c r="AA11" s="362"/>
      <c r="AB11" s="362"/>
      <c r="AC11" s="362"/>
      <c r="AD11" s="362"/>
      <c r="AE11" s="362"/>
      <c r="AF11" s="362"/>
    </row>
    <row r="12">
      <c r="A12" s="354" t="s">
        <v>115</v>
      </c>
      <c r="B12" s="354" t="s">
        <v>1738</v>
      </c>
      <c r="C12" s="355">
        <v>46175.0</v>
      </c>
      <c r="D12" s="355">
        <v>46175.0</v>
      </c>
      <c r="E12" s="356">
        <f t="shared" si="1"/>
        <v>0.5</v>
      </c>
      <c r="F12" s="357" t="str">
        <f>IFERROR(__xludf.DUMMYFUNCTION("IF(I12=""First Half"",
""First Half - ""&amp;TEXT(C12,""dddd""),
IF(I12=""Second Half"",
""Second Half - ""&amp;TEXT(C12,""dddd""),
TEXTJOIN("", "",TRUE,FILTER(TEXT(SEQUENCE(D12-C12+1,1,C12),""dddd""),WEEKDAY(SEQUENCE(D12-C12+1,1,C12),2)&lt;6))))"),"Second Half - Tuesday")</f>
        <v>Second Half - Tuesday</v>
      </c>
      <c r="G12" s="357" t="str">
        <f t="array" ref="G12">IF(I12="First Half",
"First Half - "&amp;TEXT(C12,"dddd"),
IF(I12="Second Half",
IF(OR(WEEKDAY(C12)=2,WEEKDAY(D12)=6),
"Saturday, Sunday, Second Half - "&amp;TEXT(C12,"dddd")&amp;", Saturday, Sunday",
"Second Half - "&amp;TEXT(C12,"dddd")),
TEXTJOIN(", ",TRUE,
TEXT(
SEQUENCE(
(D12-C12)+1+
IF(WEEKDAY(C12)=2,2,0)+
IF(WEEKDAY(D12)=6,2,0),
1,
C12-IF(WEEKDAY(C12)=2,2,0)
),
"dddd"))))</f>
        <v>Second Half - Tuesday</v>
      </c>
      <c r="H12" s="356">
        <f t="shared" si="2"/>
        <v>0.5</v>
      </c>
      <c r="I12" s="360" t="s">
        <v>1744</v>
      </c>
      <c r="J12" s="357" t="str">
        <f t="shared" si="3"/>
        <v>Completed</v>
      </c>
      <c r="K12" s="357"/>
      <c r="L12" s="366" t="s">
        <v>1748</v>
      </c>
      <c r="M12" s="360" t="s">
        <v>1740</v>
      </c>
      <c r="N12" s="357"/>
      <c r="O12" s="355">
        <v>46175.0</v>
      </c>
      <c r="P12" s="364" t="s">
        <v>1741</v>
      </c>
      <c r="Q12" s="360" t="s">
        <v>33</v>
      </c>
      <c r="R12" s="355">
        <v>46175.0</v>
      </c>
      <c r="S12" s="358"/>
      <c r="T12" s="362"/>
      <c r="U12" s="362"/>
      <c r="V12" s="362"/>
      <c r="W12" s="362"/>
      <c r="X12" s="362"/>
      <c r="Y12" s="362"/>
      <c r="Z12" s="362"/>
      <c r="AA12" s="362"/>
      <c r="AB12" s="362"/>
      <c r="AC12" s="362"/>
      <c r="AD12" s="362"/>
      <c r="AE12" s="362"/>
      <c r="AF12" s="362"/>
    </row>
    <row r="13">
      <c r="A13" s="354" t="s">
        <v>115</v>
      </c>
      <c r="B13" s="354" t="s">
        <v>1738</v>
      </c>
      <c r="C13" s="355">
        <v>46176.0</v>
      </c>
      <c r="D13" s="355">
        <v>46176.0</v>
      </c>
      <c r="E13" s="356">
        <f t="shared" si="1"/>
        <v>1</v>
      </c>
      <c r="F13" s="357" t="str">
        <f>IFERROR(__xludf.DUMMYFUNCTION("IF(I13=""First Half"",
""First Half - ""&amp;TEXT(C13,""dddd""),
IF(I13=""Second Half"",
""Second Half - ""&amp;TEXT(C13,""dddd""),
TEXTJOIN("", "",TRUE,FILTER(TEXT(SEQUENCE(D13-C13+1,1,C13),""dddd""),WEEKDAY(SEQUENCE(D13-C13+1,1,C13),2)&lt;6))))"),"Wednesday")</f>
        <v>Wednesday</v>
      </c>
      <c r="G13" s="357" t="str">
        <f t="array" ref="G13">IF(I13="First Half",
"First Half - "&amp;TEXT(C13,"dddd"),
IF(I13="Second Half",
IF(OR(WEEKDAY(C13)=2,WEEKDAY(D13)=6),
"Saturday, Sunday, Second Half - "&amp;TEXT(C13,"dddd")&amp;", Saturday, Sunday",
"Second Half - "&amp;TEXT(C13,"dddd")),
TEXTJOIN(", ",TRUE,
TEXT(
SEQUENCE(
(D13-C13)+1+
IF(WEEKDAY(C13)=2,2,0)+
IF(WEEKDAY(D13)=6,2,0),
1,
C13-IF(WEEKDAY(C13)=2,2,0)
),
"dddd"))))</f>
        <v>Wednesday</v>
      </c>
      <c r="H13" s="356">
        <f t="shared" si="2"/>
        <v>1</v>
      </c>
      <c r="I13" s="360" t="s">
        <v>1739</v>
      </c>
      <c r="J13" s="357" t="str">
        <f t="shared" si="3"/>
        <v>Completed</v>
      </c>
      <c r="K13" s="357"/>
      <c r="L13" s="366" t="s">
        <v>1748</v>
      </c>
      <c r="M13" s="360" t="s">
        <v>1740</v>
      </c>
      <c r="N13" s="357"/>
      <c r="O13" s="355">
        <v>46175.0</v>
      </c>
      <c r="P13" s="364" t="s">
        <v>1741</v>
      </c>
      <c r="Q13" s="360" t="s">
        <v>33</v>
      </c>
      <c r="R13" s="355">
        <v>46175.0</v>
      </c>
      <c r="S13" s="358"/>
      <c r="T13" s="362"/>
      <c r="U13" s="362"/>
      <c r="V13" s="362"/>
      <c r="W13" s="362"/>
      <c r="X13" s="362"/>
      <c r="Y13" s="362"/>
      <c r="Z13" s="362"/>
      <c r="AA13" s="362"/>
      <c r="AB13" s="362"/>
      <c r="AC13" s="362"/>
      <c r="AD13" s="362"/>
      <c r="AE13" s="362"/>
      <c r="AF13" s="362"/>
    </row>
    <row r="14">
      <c r="A14" s="354" t="s">
        <v>25</v>
      </c>
      <c r="B14" s="354" t="s">
        <v>1738</v>
      </c>
      <c r="C14" s="355">
        <v>46181.0</v>
      </c>
      <c r="D14" s="355">
        <v>46181.0</v>
      </c>
      <c r="E14" s="356">
        <f t="shared" si="1"/>
        <v>1</v>
      </c>
      <c r="F14" s="357" t="str">
        <f>IFERROR(__xludf.DUMMYFUNCTION("IF(I14=""First Half"",
""First Half - ""&amp;TEXT(C14,""dddd""),
IF(I14=""Second Half"",
""Second Half - ""&amp;TEXT(C14,""dddd""),
TEXTJOIN("", "",TRUE,FILTER(TEXT(SEQUENCE(D14-C14+1,1,C14),""dddd""),WEEKDAY(SEQUENCE(D14-C14+1,1,C14),2)&lt;6))))"),"Monday")</f>
        <v>Monday</v>
      </c>
      <c r="G14" s="357" t="str">
        <f t="array" ref="G14">IF(I14="First Half",
"First Half - "&amp;TEXT(C14,"dddd"),
IF(I14="Second Half",
IF(OR(WEEKDAY(C14)=2,WEEKDAY(D14)=6),
"Saturday, Sunday, Second Half - "&amp;TEXT(C14,"dddd")&amp;", Saturday, Sunday",
"Second Half - "&amp;TEXT(C14,"dddd")),
TEXTJOIN(", ",TRUE,
TEXT(
SEQUENCE(
(D14-C14)+1+
IF(WEEKDAY(C14)=2,2,0)+
IF(WEEKDAY(D14)=6,2,0),
1,
C14-IF(WEEKDAY(C14)=2,2,0)
),
"dddd"))))</f>
        <v>Saturday, Sunday, Monday</v>
      </c>
      <c r="H14" s="356">
        <f t="shared" si="2"/>
        <v>3</v>
      </c>
      <c r="I14" s="360" t="s">
        <v>1739</v>
      </c>
      <c r="J14" s="357" t="str">
        <f t="shared" si="3"/>
        <v>Completed</v>
      </c>
      <c r="K14" s="357"/>
      <c r="L14" s="366" t="s">
        <v>1749</v>
      </c>
      <c r="M14" s="360" t="s">
        <v>1740</v>
      </c>
      <c r="N14" s="357"/>
      <c r="O14" s="363">
        <v>46177.0</v>
      </c>
      <c r="P14" s="364" t="s">
        <v>1741</v>
      </c>
      <c r="Q14" s="360" t="s">
        <v>33</v>
      </c>
      <c r="R14" s="363">
        <v>46177.0</v>
      </c>
      <c r="S14" s="358"/>
      <c r="T14" s="375"/>
      <c r="U14" s="375"/>
      <c r="V14" s="375"/>
      <c r="W14" s="375"/>
      <c r="X14" s="375"/>
      <c r="Y14" s="375"/>
      <c r="Z14" s="375"/>
      <c r="AA14" s="375"/>
      <c r="AB14" s="375"/>
      <c r="AC14" s="375"/>
      <c r="AD14" s="375"/>
      <c r="AE14" s="375"/>
      <c r="AF14" s="375"/>
    </row>
    <row r="15">
      <c r="A15" s="360"/>
      <c r="B15" s="360"/>
      <c r="C15" s="363"/>
      <c r="D15" s="363"/>
      <c r="E15" s="356"/>
      <c r="F15" s="357"/>
      <c r="G15" s="357"/>
      <c r="H15" s="356"/>
      <c r="I15" s="360"/>
      <c r="J15" s="357"/>
      <c r="K15" s="357"/>
      <c r="L15" s="376"/>
      <c r="M15" s="360"/>
      <c r="N15" s="357"/>
      <c r="O15" s="363"/>
      <c r="P15" s="364"/>
      <c r="Q15" s="360"/>
      <c r="R15" s="363"/>
      <c r="S15" s="377"/>
      <c r="T15" s="375"/>
      <c r="U15" s="375"/>
      <c r="V15" s="375"/>
      <c r="W15" s="375"/>
      <c r="X15" s="375"/>
      <c r="Y15" s="375"/>
      <c r="Z15" s="375"/>
      <c r="AA15" s="375"/>
      <c r="AB15" s="375"/>
      <c r="AC15" s="375"/>
      <c r="AD15" s="375"/>
      <c r="AE15" s="375"/>
      <c r="AF15" s="375"/>
    </row>
    <row r="16">
      <c r="A16" s="360"/>
      <c r="B16" s="360"/>
      <c r="C16" s="363"/>
      <c r="D16" s="363"/>
      <c r="E16" s="356"/>
      <c r="F16" s="357"/>
      <c r="G16" s="357"/>
      <c r="H16" s="356"/>
      <c r="I16" s="360"/>
      <c r="J16" s="357"/>
      <c r="K16" s="357"/>
      <c r="L16" s="376"/>
      <c r="M16" s="360"/>
      <c r="N16" s="357"/>
      <c r="O16" s="363"/>
      <c r="P16" s="364"/>
      <c r="Q16" s="360"/>
      <c r="R16" s="363"/>
      <c r="S16" s="377"/>
      <c r="T16" s="375"/>
      <c r="U16" s="375"/>
      <c r="V16" s="375"/>
      <c r="W16" s="375"/>
      <c r="X16" s="375"/>
      <c r="Y16" s="375"/>
      <c r="Z16" s="375"/>
      <c r="AA16" s="375"/>
      <c r="AB16" s="375"/>
      <c r="AC16" s="375"/>
      <c r="AD16" s="375"/>
      <c r="AE16" s="375"/>
      <c r="AF16" s="375"/>
    </row>
    <row r="17">
      <c r="A17" s="360"/>
      <c r="B17" s="360"/>
      <c r="C17" s="363"/>
      <c r="D17" s="363"/>
      <c r="E17" s="356"/>
      <c r="F17" s="357"/>
      <c r="G17" s="357"/>
      <c r="H17" s="356"/>
      <c r="I17" s="360"/>
      <c r="J17" s="357"/>
      <c r="K17" s="357"/>
      <c r="L17" s="376"/>
      <c r="M17" s="360"/>
      <c r="N17" s="357"/>
      <c r="O17" s="363"/>
      <c r="P17" s="364"/>
      <c r="Q17" s="360"/>
      <c r="R17" s="363"/>
      <c r="S17" s="377"/>
      <c r="T17" s="375"/>
      <c r="U17" s="375"/>
      <c r="V17" s="375"/>
      <c r="W17" s="375"/>
      <c r="X17" s="375"/>
      <c r="Y17" s="375"/>
      <c r="Z17" s="375"/>
      <c r="AA17" s="375"/>
      <c r="AB17" s="375"/>
      <c r="AC17" s="375"/>
      <c r="AD17" s="375"/>
      <c r="AE17" s="375"/>
      <c r="AF17" s="375"/>
    </row>
    <row r="18">
      <c r="A18" s="360"/>
      <c r="B18" s="360"/>
      <c r="C18" s="363"/>
      <c r="D18" s="363"/>
      <c r="E18" s="356"/>
      <c r="F18" s="357"/>
      <c r="G18" s="357"/>
      <c r="H18" s="356"/>
      <c r="I18" s="360"/>
      <c r="J18" s="357"/>
      <c r="K18" s="357"/>
      <c r="L18" s="376"/>
      <c r="M18" s="360"/>
      <c r="N18" s="357"/>
      <c r="O18" s="363"/>
      <c r="P18" s="364"/>
      <c r="Q18" s="360"/>
      <c r="R18" s="363"/>
      <c r="S18" s="377"/>
      <c r="T18" s="375"/>
      <c r="U18" s="375"/>
      <c r="V18" s="375"/>
      <c r="W18" s="375"/>
      <c r="X18" s="375"/>
      <c r="Y18" s="375"/>
      <c r="Z18" s="375"/>
      <c r="AA18" s="375"/>
      <c r="AB18" s="375"/>
      <c r="AC18" s="375"/>
      <c r="AD18" s="375"/>
      <c r="AE18" s="375"/>
      <c r="AF18" s="375"/>
    </row>
    <row r="19">
      <c r="A19" s="360"/>
      <c r="B19" s="360"/>
      <c r="C19" s="363"/>
      <c r="D19" s="363"/>
      <c r="E19" s="356"/>
      <c r="F19" s="357"/>
      <c r="G19" s="357"/>
      <c r="H19" s="356"/>
      <c r="I19" s="360"/>
      <c r="J19" s="357"/>
      <c r="K19" s="357"/>
      <c r="L19" s="376"/>
      <c r="M19" s="360"/>
      <c r="N19" s="357"/>
      <c r="O19" s="363"/>
      <c r="P19" s="364"/>
      <c r="Q19" s="360"/>
      <c r="R19" s="363"/>
      <c r="S19" s="377"/>
      <c r="T19" s="375"/>
      <c r="U19" s="375"/>
      <c r="V19" s="375"/>
      <c r="W19" s="375"/>
      <c r="X19" s="375"/>
      <c r="Y19" s="375"/>
      <c r="Z19" s="375"/>
      <c r="AA19" s="375"/>
      <c r="AB19" s="375"/>
      <c r="AC19" s="375"/>
      <c r="AD19" s="375"/>
      <c r="AE19" s="375"/>
      <c r="AF19" s="375"/>
    </row>
    <row r="20">
      <c r="A20" s="360"/>
      <c r="B20" s="360"/>
      <c r="C20" s="363"/>
      <c r="D20" s="363"/>
      <c r="E20" s="356"/>
      <c r="F20" s="357"/>
      <c r="G20" s="357"/>
      <c r="H20" s="356"/>
      <c r="I20" s="360"/>
      <c r="J20" s="357"/>
      <c r="K20" s="357"/>
      <c r="L20" s="376"/>
      <c r="M20" s="360"/>
      <c r="N20" s="357"/>
      <c r="O20" s="363"/>
      <c r="P20" s="364"/>
      <c r="Q20" s="360"/>
      <c r="R20" s="363"/>
      <c r="S20" s="377"/>
      <c r="T20" s="375"/>
      <c r="U20" s="375"/>
      <c r="V20" s="375"/>
      <c r="W20" s="375"/>
      <c r="X20" s="375"/>
      <c r="Y20" s="375"/>
      <c r="Z20" s="375"/>
      <c r="AA20" s="375"/>
      <c r="AB20" s="375"/>
      <c r="AC20" s="375"/>
      <c r="AD20" s="375"/>
      <c r="AE20" s="375"/>
      <c r="AF20" s="375"/>
    </row>
    <row r="21">
      <c r="A21" s="360"/>
      <c r="B21" s="360"/>
      <c r="C21" s="363"/>
      <c r="D21" s="363"/>
      <c r="E21" s="356"/>
      <c r="F21" s="357"/>
      <c r="G21" s="357"/>
      <c r="H21" s="356"/>
      <c r="I21" s="360"/>
      <c r="J21" s="357"/>
      <c r="K21" s="357"/>
      <c r="L21" s="376"/>
      <c r="M21" s="360"/>
      <c r="N21" s="357"/>
      <c r="O21" s="363"/>
      <c r="P21" s="364"/>
      <c r="Q21" s="360"/>
      <c r="R21" s="363"/>
      <c r="S21" s="377"/>
      <c r="T21" s="375"/>
      <c r="U21" s="375"/>
      <c r="V21" s="375"/>
      <c r="W21" s="375"/>
      <c r="X21" s="375"/>
      <c r="Y21" s="375"/>
      <c r="Z21" s="375"/>
      <c r="AA21" s="375"/>
      <c r="AB21" s="375"/>
      <c r="AC21" s="375"/>
      <c r="AD21" s="375"/>
      <c r="AE21" s="375"/>
      <c r="AF21" s="375"/>
    </row>
    <row r="22">
      <c r="A22" s="360"/>
      <c r="B22" s="360"/>
      <c r="C22" s="363"/>
      <c r="D22" s="363"/>
      <c r="E22" s="356"/>
      <c r="F22" s="357"/>
      <c r="G22" s="357"/>
      <c r="H22" s="356"/>
      <c r="I22" s="360"/>
      <c r="J22" s="357"/>
      <c r="K22" s="357"/>
      <c r="L22" s="376"/>
      <c r="M22" s="360"/>
      <c r="N22" s="357"/>
      <c r="O22" s="363"/>
      <c r="P22" s="364"/>
      <c r="Q22" s="360"/>
      <c r="R22" s="363"/>
      <c r="S22" s="377"/>
      <c r="T22" s="375"/>
      <c r="U22" s="375"/>
      <c r="V22" s="375"/>
      <c r="W22" s="375"/>
      <c r="X22" s="375"/>
      <c r="Y22" s="375"/>
      <c r="Z22" s="375"/>
      <c r="AA22" s="375"/>
      <c r="AB22" s="375"/>
      <c r="AC22" s="375"/>
      <c r="AD22" s="375"/>
      <c r="AE22" s="375"/>
      <c r="AF22" s="375"/>
    </row>
    <row r="23">
      <c r="A23" s="360"/>
      <c r="B23" s="360"/>
      <c r="C23" s="363"/>
      <c r="D23" s="363"/>
      <c r="E23" s="356"/>
      <c r="F23" s="357"/>
      <c r="G23" s="357"/>
      <c r="H23" s="356"/>
      <c r="I23" s="360"/>
      <c r="J23" s="357"/>
      <c r="K23" s="357"/>
      <c r="L23" s="376"/>
      <c r="M23" s="360"/>
      <c r="N23" s="357"/>
      <c r="O23" s="363"/>
      <c r="P23" s="364"/>
      <c r="Q23" s="360"/>
      <c r="R23" s="363"/>
      <c r="S23" s="377"/>
      <c r="T23" s="375"/>
      <c r="U23" s="375"/>
      <c r="V23" s="375"/>
      <c r="W23" s="375"/>
      <c r="X23" s="375"/>
      <c r="Y23" s="375"/>
      <c r="Z23" s="375"/>
      <c r="AA23" s="375"/>
      <c r="AB23" s="375"/>
      <c r="AC23" s="375"/>
      <c r="AD23" s="375"/>
      <c r="AE23" s="375"/>
      <c r="AF23" s="375"/>
    </row>
    <row r="24">
      <c r="A24" s="360"/>
      <c r="B24" s="360"/>
      <c r="C24" s="363"/>
      <c r="D24" s="363"/>
      <c r="E24" s="356"/>
      <c r="F24" s="357"/>
      <c r="G24" s="357"/>
      <c r="H24" s="356"/>
      <c r="I24" s="360"/>
      <c r="J24" s="357"/>
      <c r="K24" s="357"/>
      <c r="L24" s="376"/>
      <c r="M24" s="360"/>
      <c r="N24" s="357"/>
      <c r="O24" s="363"/>
      <c r="P24" s="364"/>
      <c r="Q24" s="360"/>
      <c r="R24" s="363"/>
      <c r="S24" s="377"/>
      <c r="T24" s="375"/>
      <c r="U24" s="375"/>
      <c r="V24" s="375"/>
      <c r="W24" s="375"/>
      <c r="X24" s="375"/>
      <c r="Y24" s="375"/>
      <c r="Z24" s="375"/>
      <c r="AA24" s="375"/>
      <c r="AB24" s="375"/>
      <c r="AC24" s="375"/>
      <c r="AD24" s="375"/>
      <c r="AE24" s="375"/>
      <c r="AF24" s="375"/>
    </row>
    <row r="25">
      <c r="A25" s="360"/>
      <c r="B25" s="360"/>
      <c r="C25" s="363"/>
      <c r="D25" s="363"/>
      <c r="E25" s="356"/>
      <c r="F25" s="357"/>
      <c r="G25" s="357"/>
      <c r="H25" s="356"/>
      <c r="I25" s="360"/>
      <c r="J25" s="357"/>
      <c r="K25" s="357"/>
      <c r="L25" s="376"/>
      <c r="M25" s="360"/>
      <c r="N25" s="357"/>
      <c r="O25" s="363"/>
      <c r="P25" s="364"/>
      <c r="Q25" s="360"/>
      <c r="R25" s="363"/>
      <c r="S25" s="377"/>
      <c r="T25" s="375"/>
      <c r="U25" s="375"/>
      <c r="V25" s="375"/>
      <c r="W25" s="375"/>
      <c r="X25" s="375"/>
      <c r="Y25" s="375"/>
      <c r="Z25" s="375"/>
      <c r="AA25" s="375"/>
      <c r="AB25" s="375"/>
      <c r="AC25" s="375"/>
      <c r="AD25" s="375"/>
      <c r="AE25" s="375"/>
      <c r="AF25" s="375"/>
    </row>
    <row r="26">
      <c r="A26" s="360"/>
      <c r="B26" s="360"/>
      <c r="C26" s="363"/>
      <c r="D26" s="363"/>
      <c r="E26" s="356"/>
      <c r="F26" s="357"/>
      <c r="G26" s="357"/>
      <c r="H26" s="356"/>
      <c r="I26" s="360"/>
      <c r="J26" s="357"/>
      <c r="K26" s="357"/>
      <c r="L26" s="376"/>
      <c r="M26" s="360"/>
      <c r="N26" s="357"/>
      <c r="O26" s="363"/>
      <c r="P26" s="364"/>
      <c r="Q26" s="360"/>
      <c r="R26" s="363"/>
      <c r="S26" s="377"/>
      <c r="T26" s="375"/>
      <c r="U26" s="375"/>
      <c r="V26" s="375"/>
      <c r="W26" s="375"/>
      <c r="X26" s="375"/>
      <c r="Y26" s="375"/>
      <c r="Z26" s="375"/>
      <c r="AA26" s="375"/>
      <c r="AB26" s="375"/>
      <c r="AC26" s="375"/>
      <c r="AD26" s="375"/>
      <c r="AE26" s="375"/>
      <c r="AF26" s="375"/>
    </row>
    <row r="27">
      <c r="A27" s="360"/>
      <c r="B27" s="360"/>
      <c r="C27" s="363"/>
      <c r="D27" s="363"/>
      <c r="E27" s="356"/>
      <c r="F27" s="357"/>
      <c r="G27" s="357"/>
      <c r="H27" s="356"/>
      <c r="I27" s="360"/>
      <c r="J27" s="357"/>
      <c r="K27" s="357"/>
      <c r="L27" s="376"/>
      <c r="M27" s="360"/>
      <c r="N27" s="357"/>
      <c r="O27" s="363"/>
      <c r="P27" s="364"/>
      <c r="Q27" s="360"/>
      <c r="R27" s="363"/>
      <c r="S27" s="377"/>
      <c r="T27" s="375"/>
      <c r="U27" s="375"/>
      <c r="V27" s="375"/>
      <c r="W27" s="375"/>
      <c r="X27" s="375"/>
      <c r="Y27" s="375"/>
      <c r="Z27" s="375"/>
      <c r="AA27" s="375"/>
      <c r="AB27" s="375"/>
      <c r="AC27" s="375"/>
      <c r="AD27" s="375"/>
      <c r="AE27" s="375"/>
      <c r="AF27" s="375"/>
    </row>
    <row r="28">
      <c r="A28" s="360"/>
      <c r="B28" s="360"/>
      <c r="C28" s="363"/>
      <c r="D28" s="363"/>
      <c r="E28" s="356"/>
      <c r="F28" s="357"/>
      <c r="G28" s="357"/>
      <c r="H28" s="356"/>
      <c r="I28" s="360"/>
      <c r="J28" s="357"/>
      <c r="K28" s="357"/>
      <c r="L28" s="376"/>
      <c r="M28" s="360"/>
      <c r="N28" s="357"/>
      <c r="O28" s="363"/>
      <c r="P28" s="364"/>
      <c r="Q28" s="360"/>
      <c r="R28" s="363"/>
      <c r="S28" s="377"/>
      <c r="T28" s="375"/>
      <c r="U28" s="375"/>
      <c r="V28" s="375"/>
      <c r="W28" s="375"/>
      <c r="X28" s="375"/>
      <c r="Y28" s="375"/>
      <c r="Z28" s="375"/>
      <c r="AA28" s="375"/>
      <c r="AB28" s="375"/>
      <c r="AC28" s="375"/>
      <c r="AD28" s="375"/>
      <c r="AE28" s="375"/>
      <c r="AF28" s="375"/>
    </row>
    <row r="29">
      <c r="A29" s="360"/>
      <c r="B29" s="360"/>
      <c r="C29" s="363"/>
      <c r="D29" s="363"/>
      <c r="E29" s="356"/>
      <c r="F29" s="357"/>
      <c r="G29" s="357"/>
      <c r="H29" s="356"/>
      <c r="I29" s="360"/>
      <c r="J29" s="357"/>
      <c r="K29" s="357"/>
      <c r="L29" s="376"/>
      <c r="M29" s="360"/>
      <c r="N29" s="357"/>
      <c r="O29" s="363"/>
      <c r="P29" s="364"/>
      <c r="Q29" s="360"/>
      <c r="R29" s="363"/>
      <c r="S29" s="377"/>
      <c r="T29" s="375"/>
      <c r="U29" s="375"/>
      <c r="V29" s="375"/>
      <c r="W29" s="375"/>
      <c r="X29" s="375"/>
      <c r="Y29" s="375"/>
      <c r="Z29" s="375"/>
      <c r="AA29" s="375"/>
      <c r="AB29" s="375"/>
      <c r="AC29" s="375"/>
      <c r="AD29" s="375"/>
      <c r="AE29" s="375"/>
      <c r="AF29" s="375"/>
    </row>
    <row r="30">
      <c r="A30" s="360"/>
      <c r="B30" s="360"/>
      <c r="C30" s="363"/>
      <c r="D30" s="363"/>
      <c r="E30" s="356"/>
      <c r="F30" s="357"/>
      <c r="G30" s="357"/>
      <c r="H30" s="356"/>
      <c r="I30" s="360"/>
      <c r="J30" s="357"/>
      <c r="K30" s="357"/>
      <c r="L30" s="376"/>
      <c r="M30" s="360"/>
      <c r="N30" s="357"/>
      <c r="O30" s="363"/>
      <c r="P30" s="364"/>
      <c r="Q30" s="360"/>
      <c r="R30" s="363"/>
      <c r="S30" s="377"/>
      <c r="T30" s="375"/>
      <c r="U30" s="375"/>
      <c r="V30" s="375"/>
      <c r="W30" s="375"/>
      <c r="X30" s="375"/>
      <c r="Y30" s="375"/>
      <c r="Z30" s="375"/>
      <c r="AA30" s="375"/>
      <c r="AB30" s="375"/>
      <c r="AC30" s="375"/>
      <c r="AD30" s="375"/>
      <c r="AE30" s="375"/>
      <c r="AF30" s="375"/>
    </row>
    <row r="31">
      <c r="A31" s="360"/>
      <c r="B31" s="360"/>
      <c r="C31" s="363"/>
      <c r="D31" s="363"/>
      <c r="E31" s="356"/>
      <c r="F31" s="357"/>
      <c r="G31" s="357"/>
      <c r="H31" s="356"/>
      <c r="I31" s="360"/>
      <c r="J31" s="357"/>
      <c r="K31" s="357"/>
      <c r="L31" s="376"/>
      <c r="M31" s="360"/>
      <c r="N31" s="357"/>
      <c r="O31" s="363"/>
      <c r="P31" s="364"/>
      <c r="Q31" s="360"/>
      <c r="R31" s="363"/>
      <c r="S31" s="377"/>
      <c r="T31" s="375"/>
      <c r="U31" s="375"/>
      <c r="V31" s="375"/>
      <c r="W31" s="375"/>
      <c r="X31" s="375"/>
      <c r="Y31" s="375"/>
      <c r="Z31" s="375"/>
      <c r="AA31" s="375"/>
      <c r="AB31" s="375"/>
      <c r="AC31" s="375"/>
      <c r="AD31" s="375"/>
      <c r="AE31" s="375"/>
      <c r="AF31" s="375"/>
    </row>
    <row r="32">
      <c r="A32" s="360"/>
      <c r="B32" s="360"/>
      <c r="C32" s="363"/>
      <c r="D32" s="363"/>
      <c r="E32" s="356"/>
      <c r="F32" s="357"/>
      <c r="G32" s="357"/>
      <c r="H32" s="356"/>
      <c r="I32" s="360"/>
      <c r="J32" s="357"/>
      <c r="K32" s="357"/>
      <c r="L32" s="376"/>
      <c r="M32" s="360"/>
      <c r="N32" s="357"/>
      <c r="O32" s="363"/>
      <c r="P32" s="364"/>
      <c r="Q32" s="360"/>
      <c r="R32" s="363"/>
      <c r="S32" s="377"/>
      <c r="T32" s="375"/>
      <c r="U32" s="375"/>
      <c r="V32" s="375"/>
      <c r="W32" s="375"/>
      <c r="X32" s="375"/>
      <c r="Y32" s="375"/>
      <c r="Z32" s="375"/>
      <c r="AA32" s="375"/>
      <c r="AB32" s="375"/>
      <c r="AC32" s="375"/>
      <c r="AD32" s="375"/>
      <c r="AE32" s="375"/>
      <c r="AF32" s="375"/>
    </row>
    <row r="33">
      <c r="A33" s="360"/>
      <c r="B33" s="360"/>
      <c r="C33" s="363"/>
      <c r="D33" s="363"/>
      <c r="E33" s="356"/>
      <c r="F33" s="357"/>
      <c r="G33" s="357"/>
      <c r="H33" s="356"/>
      <c r="I33" s="360"/>
      <c r="J33" s="357"/>
      <c r="K33" s="357"/>
      <c r="L33" s="376"/>
      <c r="M33" s="360"/>
      <c r="N33" s="357"/>
      <c r="O33" s="363"/>
      <c r="P33" s="364"/>
      <c r="Q33" s="360"/>
      <c r="R33" s="363"/>
      <c r="S33" s="377"/>
      <c r="T33" s="375"/>
      <c r="U33" s="375"/>
      <c r="V33" s="375"/>
      <c r="W33" s="375"/>
      <c r="X33" s="375"/>
      <c r="Y33" s="375"/>
      <c r="Z33" s="375"/>
      <c r="AA33" s="375"/>
      <c r="AB33" s="375"/>
      <c r="AC33" s="375"/>
      <c r="AD33" s="375"/>
      <c r="AE33" s="375"/>
      <c r="AF33" s="375"/>
    </row>
    <row r="34">
      <c r="A34" s="360"/>
      <c r="B34" s="360"/>
      <c r="C34" s="363"/>
      <c r="D34" s="363"/>
      <c r="E34" s="356"/>
      <c r="F34" s="357"/>
      <c r="G34" s="357"/>
      <c r="H34" s="356"/>
      <c r="I34" s="360"/>
      <c r="J34" s="357"/>
      <c r="K34" s="357"/>
      <c r="L34" s="376"/>
      <c r="M34" s="360"/>
      <c r="N34" s="357"/>
      <c r="O34" s="363"/>
      <c r="P34" s="364"/>
      <c r="Q34" s="360"/>
      <c r="R34" s="363"/>
      <c r="S34" s="377"/>
      <c r="T34" s="375"/>
      <c r="U34" s="375"/>
      <c r="V34" s="375"/>
      <c r="W34" s="375"/>
      <c r="X34" s="375"/>
      <c r="Y34" s="375"/>
      <c r="Z34" s="375"/>
      <c r="AA34" s="375"/>
      <c r="AB34" s="375"/>
      <c r="AC34" s="375"/>
      <c r="AD34" s="375"/>
      <c r="AE34" s="375"/>
      <c r="AF34" s="375"/>
    </row>
    <row r="35">
      <c r="A35" s="360"/>
      <c r="B35" s="360"/>
      <c r="C35" s="363"/>
      <c r="D35" s="363"/>
      <c r="E35" s="356"/>
      <c r="F35" s="357"/>
      <c r="G35" s="357"/>
      <c r="H35" s="356"/>
      <c r="I35" s="360"/>
      <c r="J35" s="357"/>
      <c r="K35" s="357"/>
      <c r="L35" s="376"/>
      <c r="M35" s="360"/>
      <c r="N35" s="357"/>
      <c r="O35" s="363"/>
      <c r="P35" s="364"/>
      <c r="Q35" s="360"/>
      <c r="R35" s="363"/>
      <c r="S35" s="377"/>
      <c r="T35" s="375"/>
      <c r="U35" s="375"/>
      <c r="V35" s="375"/>
      <c r="W35" s="375"/>
      <c r="X35" s="375"/>
      <c r="Y35" s="375"/>
      <c r="Z35" s="375"/>
      <c r="AA35" s="375"/>
      <c r="AB35" s="375"/>
      <c r="AC35" s="375"/>
      <c r="AD35" s="375"/>
      <c r="AE35" s="375"/>
      <c r="AF35" s="375"/>
    </row>
    <row r="36">
      <c r="A36" s="360"/>
      <c r="B36" s="360"/>
      <c r="C36" s="363"/>
      <c r="D36" s="363"/>
      <c r="E36" s="356"/>
      <c r="F36" s="357"/>
      <c r="G36" s="357"/>
      <c r="H36" s="356"/>
      <c r="I36" s="360"/>
      <c r="J36" s="357"/>
      <c r="K36" s="357"/>
      <c r="L36" s="376"/>
      <c r="M36" s="360"/>
      <c r="N36" s="357"/>
      <c r="O36" s="363"/>
      <c r="P36" s="364"/>
      <c r="Q36" s="360"/>
      <c r="R36" s="363"/>
      <c r="S36" s="377"/>
      <c r="T36" s="375"/>
      <c r="U36" s="375"/>
      <c r="V36" s="375"/>
      <c r="W36" s="375"/>
      <c r="X36" s="375"/>
      <c r="Y36" s="375"/>
      <c r="Z36" s="375"/>
      <c r="AA36" s="375"/>
      <c r="AB36" s="375"/>
      <c r="AC36" s="375"/>
      <c r="AD36" s="375"/>
      <c r="AE36" s="375"/>
      <c r="AF36" s="375"/>
    </row>
    <row r="37">
      <c r="A37" s="360"/>
      <c r="B37" s="360"/>
      <c r="C37" s="363"/>
      <c r="D37" s="363"/>
      <c r="E37" s="356"/>
      <c r="F37" s="357"/>
      <c r="G37" s="357"/>
      <c r="H37" s="356"/>
      <c r="I37" s="360"/>
      <c r="J37" s="357"/>
      <c r="K37" s="357"/>
      <c r="L37" s="376"/>
      <c r="M37" s="360"/>
      <c r="N37" s="357"/>
      <c r="O37" s="363"/>
      <c r="P37" s="364"/>
      <c r="Q37" s="360"/>
      <c r="R37" s="363"/>
      <c r="S37" s="377"/>
      <c r="T37" s="375"/>
      <c r="U37" s="375"/>
      <c r="V37" s="375"/>
      <c r="W37" s="375"/>
      <c r="X37" s="375"/>
      <c r="Y37" s="375"/>
      <c r="Z37" s="375"/>
      <c r="AA37" s="375"/>
      <c r="AB37" s="375"/>
      <c r="AC37" s="375"/>
      <c r="AD37" s="375"/>
      <c r="AE37" s="375"/>
      <c r="AF37" s="375"/>
    </row>
    <row r="38">
      <c r="A38" s="360"/>
      <c r="B38" s="360"/>
      <c r="C38" s="363"/>
      <c r="D38" s="363"/>
      <c r="E38" s="356"/>
      <c r="F38" s="357"/>
      <c r="G38" s="357"/>
      <c r="H38" s="356"/>
      <c r="I38" s="360"/>
      <c r="J38" s="357"/>
      <c r="K38" s="357"/>
      <c r="L38" s="376"/>
      <c r="M38" s="360"/>
      <c r="N38" s="357"/>
      <c r="O38" s="363"/>
      <c r="P38" s="364"/>
      <c r="Q38" s="360"/>
      <c r="R38" s="363"/>
      <c r="S38" s="377"/>
      <c r="T38" s="375"/>
      <c r="U38" s="375"/>
      <c r="V38" s="375"/>
      <c r="W38" s="375"/>
      <c r="X38" s="375"/>
      <c r="Y38" s="375"/>
      <c r="Z38" s="375"/>
      <c r="AA38" s="375"/>
      <c r="AB38" s="375"/>
      <c r="AC38" s="375"/>
      <c r="AD38" s="375"/>
      <c r="AE38" s="375"/>
      <c r="AF38" s="375"/>
    </row>
    <row r="39">
      <c r="A39" s="360"/>
      <c r="B39" s="360"/>
      <c r="C39" s="363"/>
      <c r="D39" s="363"/>
      <c r="E39" s="356"/>
      <c r="F39" s="357"/>
      <c r="G39" s="357"/>
      <c r="H39" s="356"/>
      <c r="I39" s="360"/>
      <c r="J39" s="357"/>
      <c r="K39" s="357"/>
      <c r="L39" s="376"/>
      <c r="M39" s="360"/>
      <c r="N39" s="357"/>
      <c r="O39" s="363"/>
      <c r="P39" s="364"/>
      <c r="Q39" s="360"/>
      <c r="R39" s="363"/>
      <c r="S39" s="377"/>
      <c r="T39" s="375"/>
      <c r="U39" s="375"/>
      <c r="V39" s="375"/>
      <c r="W39" s="375"/>
      <c r="X39" s="375"/>
      <c r="Y39" s="375"/>
      <c r="Z39" s="375"/>
      <c r="AA39" s="375"/>
      <c r="AB39" s="375"/>
      <c r="AC39" s="375"/>
      <c r="AD39" s="375"/>
      <c r="AE39" s="375"/>
      <c r="AF39" s="375"/>
    </row>
    <row r="40">
      <c r="A40" s="360"/>
      <c r="B40" s="360"/>
      <c r="C40" s="363"/>
      <c r="D40" s="363"/>
      <c r="E40" s="356"/>
      <c r="F40" s="357"/>
      <c r="G40" s="357"/>
      <c r="H40" s="356"/>
      <c r="I40" s="360"/>
      <c r="J40" s="357"/>
      <c r="K40" s="357"/>
      <c r="L40" s="376"/>
      <c r="M40" s="360"/>
      <c r="N40" s="357"/>
      <c r="O40" s="363"/>
      <c r="P40" s="364"/>
      <c r="Q40" s="360"/>
      <c r="R40" s="363"/>
      <c r="S40" s="377"/>
      <c r="T40" s="375"/>
      <c r="U40" s="375"/>
      <c r="V40" s="375"/>
      <c r="W40" s="375"/>
      <c r="X40" s="375"/>
      <c r="Y40" s="375"/>
      <c r="Z40" s="375"/>
      <c r="AA40" s="375"/>
      <c r="AB40" s="375"/>
      <c r="AC40" s="375"/>
      <c r="AD40" s="375"/>
      <c r="AE40" s="375"/>
      <c r="AF40" s="375"/>
    </row>
    <row r="41">
      <c r="A41" s="360"/>
      <c r="B41" s="360"/>
      <c r="C41" s="363"/>
      <c r="D41" s="363"/>
      <c r="E41" s="356"/>
      <c r="F41" s="357"/>
      <c r="G41" s="357"/>
      <c r="H41" s="356"/>
      <c r="I41" s="360"/>
      <c r="J41" s="357"/>
      <c r="K41" s="357"/>
      <c r="L41" s="376"/>
      <c r="M41" s="360"/>
      <c r="N41" s="357"/>
      <c r="O41" s="363"/>
      <c r="P41" s="364"/>
      <c r="Q41" s="360"/>
      <c r="R41" s="363"/>
      <c r="S41" s="377"/>
      <c r="T41" s="375"/>
      <c r="U41" s="375"/>
      <c r="V41" s="375"/>
      <c r="W41" s="375"/>
      <c r="X41" s="375"/>
      <c r="Y41" s="375"/>
      <c r="Z41" s="375"/>
      <c r="AA41" s="375"/>
      <c r="AB41" s="375"/>
      <c r="AC41" s="375"/>
      <c r="AD41" s="375"/>
      <c r="AE41" s="375"/>
      <c r="AF41" s="375"/>
    </row>
    <row r="42">
      <c r="A42" s="360"/>
      <c r="B42" s="360"/>
      <c r="C42" s="363"/>
      <c r="D42" s="363"/>
      <c r="E42" s="356"/>
      <c r="F42" s="357"/>
      <c r="G42" s="357"/>
      <c r="H42" s="356"/>
      <c r="I42" s="360"/>
      <c r="J42" s="357"/>
      <c r="K42" s="357"/>
      <c r="L42" s="376"/>
      <c r="M42" s="360"/>
      <c r="N42" s="357"/>
      <c r="O42" s="363"/>
      <c r="P42" s="364"/>
      <c r="Q42" s="360"/>
      <c r="R42" s="363"/>
      <c r="S42" s="377"/>
      <c r="T42" s="375"/>
      <c r="U42" s="375"/>
      <c r="V42" s="375"/>
      <c r="W42" s="375"/>
      <c r="X42" s="375"/>
      <c r="Y42" s="375"/>
      <c r="Z42" s="375"/>
      <c r="AA42" s="375"/>
      <c r="AB42" s="375"/>
      <c r="AC42" s="375"/>
      <c r="AD42" s="375"/>
      <c r="AE42" s="375"/>
      <c r="AF42" s="375"/>
    </row>
    <row r="43">
      <c r="A43" s="360"/>
      <c r="B43" s="360"/>
      <c r="C43" s="363"/>
      <c r="D43" s="363"/>
      <c r="E43" s="356"/>
      <c r="F43" s="357"/>
      <c r="G43" s="357"/>
      <c r="H43" s="356"/>
      <c r="I43" s="360"/>
      <c r="J43" s="357"/>
      <c r="K43" s="357"/>
      <c r="L43" s="376"/>
      <c r="M43" s="360"/>
      <c r="N43" s="357"/>
      <c r="O43" s="363"/>
      <c r="P43" s="364"/>
      <c r="Q43" s="360"/>
      <c r="R43" s="363"/>
      <c r="S43" s="377"/>
      <c r="T43" s="375"/>
      <c r="U43" s="375"/>
      <c r="V43" s="375"/>
      <c r="W43" s="375"/>
      <c r="X43" s="375"/>
      <c r="Y43" s="375"/>
      <c r="Z43" s="375"/>
      <c r="AA43" s="375"/>
      <c r="AB43" s="375"/>
      <c r="AC43" s="375"/>
      <c r="AD43" s="375"/>
      <c r="AE43" s="375"/>
      <c r="AF43" s="375"/>
    </row>
    <row r="44">
      <c r="A44" s="360"/>
      <c r="B44" s="360"/>
      <c r="C44" s="363"/>
      <c r="D44" s="363"/>
      <c r="E44" s="356"/>
      <c r="F44" s="357"/>
      <c r="G44" s="357"/>
      <c r="H44" s="356"/>
      <c r="I44" s="360"/>
      <c r="J44" s="357"/>
      <c r="K44" s="357"/>
      <c r="L44" s="376"/>
      <c r="M44" s="360"/>
      <c r="N44" s="357"/>
      <c r="O44" s="363"/>
      <c r="P44" s="364"/>
      <c r="Q44" s="360"/>
      <c r="R44" s="363"/>
      <c r="S44" s="377"/>
      <c r="T44" s="375"/>
      <c r="U44" s="375"/>
      <c r="V44" s="375"/>
      <c r="W44" s="375"/>
      <c r="X44" s="375"/>
      <c r="Y44" s="375"/>
      <c r="Z44" s="375"/>
      <c r="AA44" s="375"/>
      <c r="AB44" s="375"/>
      <c r="AC44" s="375"/>
      <c r="AD44" s="375"/>
      <c r="AE44" s="375"/>
      <c r="AF44" s="375"/>
    </row>
    <row r="45">
      <c r="A45" s="360"/>
      <c r="B45" s="360"/>
      <c r="C45" s="363"/>
      <c r="D45" s="363"/>
      <c r="E45" s="356"/>
      <c r="F45" s="357"/>
      <c r="G45" s="357"/>
      <c r="H45" s="356"/>
      <c r="I45" s="360"/>
      <c r="J45" s="357"/>
      <c r="K45" s="357"/>
      <c r="L45" s="376"/>
      <c r="M45" s="360"/>
      <c r="N45" s="357"/>
      <c r="O45" s="363"/>
      <c r="P45" s="364"/>
      <c r="Q45" s="360"/>
      <c r="R45" s="363"/>
      <c r="S45" s="377"/>
      <c r="T45" s="375"/>
      <c r="U45" s="375"/>
      <c r="V45" s="375"/>
      <c r="W45" s="375"/>
      <c r="X45" s="375"/>
      <c r="Y45" s="375"/>
      <c r="Z45" s="375"/>
      <c r="AA45" s="375"/>
      <c r="AB45" s="375"/>
      <c r="AC45" s="375"/>
      <c r="AD45" s="375"/>
      <c r="AE45" s="375"/>
      <c r="AF45" s="375"/>
    </row>
    <row r="46">
      <c r="A46" s="360"/>
      <c r="B46" s="360"/>
      <c r="C46" s="363"/>
      <c r="D46" s="363"/>
      <c r="E46" s="356"/>
      <c r="F46" s="357"/>
      <c r="G46" s="357"/>
      <c r="H46" s="356"/>
      <c r="I46" s="360"/>
      <c r="J46" s="357"/>
      <c r="K46" s="357"/>
      <c r="L46" s="376"/>
      <c r="M46" s="360"/>
      <c r="N46" s="357"/>
      <c r="O46" s="363"/>
      <c r="P46" s="364"/>
      <c r="Q46" s="360"/>
      <c r="R46" s="363"/>
      <c r="S46" s="377"/>
      <c r="T46" s="375"/>
      <c r="U46" s="375"/>
      <c r="V46" s="375"/>
      <c r="W46" s="375"/>
      <c r="X46" s="375"/>
      <c r="Y46" s="375"/>
      <c r="Z46" s="375"/>
      <c r="AA46" s="375"/>
      <c r="AB46" s="375"/>
      <c r="AC46" s="375"/>
      <c r="AD46" s="375"/>
      <c r="AE46" s="375"/>
      <c r="AF46" s="375"/>
    </row>
    <row r="47">
      <c r="A47" s="360"/>
      <c r="B47" s="360"/>
      <c r="C47" s="363"/>
      <c r="D47" s="363"/>
      <c r="E47" s="356"/>
      <c r="F47" s="357"/>
      <c r="G47" s="357"/>
      <c r="H47" s="356"/>
      <c r="I47" s="360"/>
      <c r="J47" s="357"/>
      <c r="K47" s="357"/>
      <c r="L47" s="376"/>
      <c r="M47" s="360"/>
      <c r="N47" s="357"/>
      <c r="O47" s="363"/>
      <c r="P47" s="364"/>
      <c r="Q47" s="360"/>
      <c r="R47" s="363"/>
      <c r="S47" s="377"/>
      <c r="T47" s="375"/>
      <c r="U47" s="375"/>
      <c r="V47" s="375"/>
      <c r="W47" s="375"/>
      <c r="X47" s="375"/>
      <c r="Y47" s="375"/>
      <c r="Z47" s="375"/>
      <c r="AA47" s="375"/>
      <c r="AB47" s="375"/>
      <c r="AC47" s="375"/>
      <c r="AD47" s="375"/>
      <c r="AE47" s="375"/>
      <c r="AF47" s="375"/>
    </row>
    <row r="48">
      <c r="A48" s="360"/>
      <c r="B48" s="360"/>
      <c r="C48" s="363"/>
      <c r="D48" s="363"/>
      <c r="E48" s="356"/>
      <c r="F48" s="357"/>
      <c r="G48" s="357"/>
      <c r="H48" s="356"/>
      <c r="I48" s="360"/>
      <c r="J48" s="357"/>
      <c r="K48" s="357"/>
      <c r="L48" s="376"/>
      <c r="M48" s="360"/>
      <c r="N48" s="357"/>
      <c r="O48" s="363"/>
      <c r="P48" s="364"/>
      <c r="Q48" s="360"/>
      <c r="R48" s="363"/>
      <c r="S48" s="377"/>
      <c r="T48" s="375"/>
      <c r="U48" s="375"/>
      <c r="V48" s="375"/>
      <c r="W48" s="375"/>
      <c r="X48" s="375"/>
      <c r="Y48" s="375"/>
      <c r="Z48" s="375"/>
      <c r="AA48" s="375"/>
      <c r="AB48" s="375"/>
      <c r="AC48" s="375"/>
      <c r="AD48" s="375"/>
      <c r="AE48" s="375"/>
      <c r="AF48" s="375"/>
    </row>
    <row r="49">
      <c r="A49" s="360"/>
      <c r="B49" s="360"/>
      <c r="C49" s="363"/>
      <c r="D49" s="363"/>
      <c r="E49" s="356"/>
      <c r="F49" s="357"/>
      <c r="G49" s="357"/>
      <c r="H49" s="356"/>
      <c r="I49" s="360"/>
      <c r="J49" s="357"/>
      <c r="K49" s="357"/>
      <c r="L49" s="376"/>
      <c r="M49" s="360"/>
      <c r="N49" s="357"/>
      <c r="O49" s="363"/>
      <c r="P49" s="364"/>
      <c r="Q49" s="360"/>
      <c r="R49" s="363"/>
      <c r="S49" s="377"/>
      <c r="T49" s="375"/>
      <c r="U49" s="375"/>
      <c r="V49" s="375"/>
      <c r="W49" s="375"/>
      <c r="X49" s="375"/>
      <c r="Y49" s="375"/>
      <c r="Z49" s="375"/>
      <c r="AA49" s="375"/>
      <c r="AB49" s="375"/>
      <c r="AC49" s="375"/>
      <c r="AD49" s="375"/>
      <c r="AE49" s="375"/>
      <c r="AF49" s="375"/>
    </row>
    <row r="50">
      <c r="A50" s="360"/>
      <c r="B50" s="360"/>
      <c r="C50" s="363"/>
      <c r="D50" s="363"/>
      <c r="E50" s="356"/>
      <c r="F50" s="357"/>
      <c r="G50" s="357"/>
      <c r="H50" s="356"/>
      <c r="I50" s="360"/>
      <c r="J50" s="357"/>
      <c r="K50" s="357"/>
      <c r="L50" s="376"/>
      <c r="M50" s="360"/>
      <c r="N50" s="357"/>
      <c r="O50" s="363"/>
      <c r="P50" s="364"/>
      <c r="Q50" s="360"/>
      <c r="R50" s="363"/>
      <c r="S50" s="377"/>
      <c r="T50" s="375"/>
      <c r="U50" s="375"/>
      <c r="V50" s="375"/>
      <c r="W50" s="375"/>
      <c r="X50" s="375"/>
      <c r="Y50" s="375"/>
      <c r="Z50" s="375"/>
      <c r="AA50" s="375"/>
      <c r="AB50" s="375"/>
      <c r="AC50" s="375"/>
      <c r="AD50" s="375"/>
      <c r="AE50" s="375"/>
      <c r="AF50" s="375"/>
    </row>
    <row r="51">
      <c r="A51" s="360"/>
      <c r="B51" s="360"/>
      <c r="C51" s="363"/>
      <c r="D51" s="363"/>
      <c r="E51" s="356"/>
      <c r="F51" s="357"/>
      <c r="G51" s="357"/>
      <c r="H51" s="356"/>
      <c r="I51" s="360"/>
      <c r="J51" s="357"/>
      <c r="K51" s="357"/>
      <c r="L51" s="376"/>
      <c r="M51" s="360"/>
      <c r="N51" s="357"/>
      <c r="O51" s="363"/>
      <c r="P51" s="364"/>
      <c r="Q51" s="360"/>
      <c r="R51" s="363"/>
      <c r="S51" s="377"/>
      <c r="T51" s="375"/>
      <c r="U51" s="375"/>
      <c r="V51" s="375"/>
      <c r="W51" s="375"/>
      <c r="X51" s="375"/>
      <c r="Y51" s="375"/>
      <c r="Z51" s="375"/>
      <c r="AA51" s="375"/>
      <c r="AB51" s="375"/>
      <c r="AC51" s="375"/>
      <c r="AD51" s="375"/>
      <c r="AE51" s="375"/>
      <c r="AF51" s="375"/>
    </row>
    <row r="52">
      <c r="A52" s="360"/>
      <c r="B52" s="360"/>
      <c r="C52" s="363"/>
      <c r="D52" s="363"/>
      <c r="E52" s="356"/>
      <c r="F52" s="357"/>
      <c r="G52" s="357"/>
      <c r="H52" s="356"/>
      <c r="I52" s="360"/>
      <c r="J52" s="357"/>
      <c r="K52" s="357"/>
      <c r="L52" s="376"/>
      <c r="M52" s="360"/>
      <c r="N52" s="357"/>
      <c r="O52" s="363"/>
      <c r="P52" s="364"/>
      <c r="Q52" s="360"/>
      <c r="R52" s="363"/>
      <c r="S52" s="377"/>
      <c r="T52" s="375"/>
      <c r="U52" s="375"/>
      <c r="V52" s="375"/>
      <c r="W52" s="375"/>
      <c r="X52" s="375"/>
      <c r="Y52" s="375"/>
      <c r="Z52" s="375"/>
      <c r="AA52" s="375"/>
      <c r="AB52" s="375"/>
      <c r="AC52" s="375"/>
      <c r="AD52" s="375"/>
      <c r="AE52" s="375"/>
      <c r="AF52" s="375"/>
    </row>
    <row r="53">
      <c r="A53" s="360"/>
      <c r="B53" s="360"/>
      <c r="C53" s="363"/>
      <c r="D53" s="363"/>
      <c r="E53" s="356"/>
      <c r="F53" s="357"/>
      <c r="G53" s="357"/>
      <c r="H53" s="356"/>
      <c r="I53" s="360"/>
      <c r="J53" s="357"/>
      <c r="K53" s="357"/>
      <c r="L53" s="376"/>
      <c r="M53" s="360"/>
      <c r="N53" s="357"/>
      <c r="O53" s="363"/>
      <c r="P53" s="364"/>
      <c r="Q53" s="360"/>
      <c r="R53" s="363"/>
      <c r="S53" s="377"/>
      <c r="T53" s="375"/>
      <c r="U53" s="375"/>
      <c r="V53" s="375"/>
      <c r="W53" s="375"/>
      <c r="X53" s="375"/>
      <c r="Y53" s="375"/>
      <c r="Z53" s="375"/>
      <c r="AA53" s="375"/>
      <c r="AB53" s="375"/>
      <c r="AC53" s="375"/>
      <c r="AD53" s="375"/>
      <c r="AE53" s="375"/>
      <c r="AF53" s="375"/>
    </row>
    <row r="54">
      <c r="A54" s="360"/>
      <c r="B54" s="360"/>
      <c r="C54" s="363"/>
      <c r="D54" s="363"/>
      <c r="E54" s="356"/>
      <c r="F54" s="357"/>
      <c r="G54" s="357"/>
      <c r="H54" s="356"/>
      <c r="I54" s="360"/>
      <c r="J54" s="357"/>
      <c r="K54" s="357"/>
      <c r="L54" s="376"/>
      <c r="M54" s="360"/>
      <c r="N54" s="357"/>
      <c r="O54" s="363"/>
      <c r="P54" s="364"/>
      <c r="Q54" s="360"/>
      <c r="R54" s="363"/>
      <c r="S54" s="377"/>
      <c r="T54" s="375"/>
      <c r="U54" s="375"/>
      <c r="V54" s="375"/>
      <c r="W54" s="375"/>
      <c r="X54" s="375"/>
      <c r="Y54" s="375"/>
      <c r="Z54" s="375"/>
      <c r="AA54" s="375"/>
      <c r="AB54" s="375"/>
      <c r="AC54" s="375"/>
      <c r="AD54" s="375"/>
      <c r="AE54" s="375"/>
      <c r="AF54" s="375"/>
    </row>
    <row r="55">
      <c r="A55" s="360"/>
      <c r="B55" s="360"/>
      <c r="C55" s="363"/>
      <c r="D55" s="363"/>
      <c r="E55" s="356"/>
      <c r="F55" s="357"/>
      <c r="G55" s="357"/>
      <c r="H55" s="356"/>
      <c r="I55" s="360"/>
      <c r="J55" s="357"/>
      <c r="K55" s="357"/>
      <c r="L55" s="376"/>
      <c r="M55" s="360"/>
      <c r="N55" s="357"/>
      <c r="O55" s="363"/>
      <c r="P55" s="364"/>
      <c r="Q55" s="360"/>
      <c r="R55" s="363"/>
      <c r="S55" s="377"/>
      <c r="T55" s="375"/>
      <c r="U55" s="375"/>
      <c r="V55" s="375"/>
      <c r="W55" s="375"/>
      <c r="X55" s="375"/>
      <c r="Y55" s="375"/>
      <c r="Z55" s="375"/>
      <c r="AA55" s="375"/>
      <c r="AB55" s="375"/>
      <c r="AC55" s="375"/>
      <c r="AD55" s="375"/>
      <c r="AE55" s="375"/>
      <c r="AF55" s="375"/>
    </row>
    <row r="56">
      <c r="A56" s="360"/>
      <c r="B56" s="360"/>
      <c r="C56" s="363"/>
      <c r="D56" s="363"/>
      <c r="E56" s="356"/>
      <c r="F56" s="357"/>
      <c r="G56" s="357"/>
      <c r="H56" s="356"/>
      <c r="I56" s="360"/>
      <c r="J56" s="357"/>
      <c r="K56" s="357"/>
      <c r="L56" s="376"/>
      <c r="M56" s="360"/>
      <c r="N56" s="357"/>
      <c r="O56" s="363"/>
      <c r="P56" s="364"/>
      <c r="Q56" s="360"/>
      <c r="R56" s="363"/>
      <c r="S56" s="377"/>
      <c r="T56" s="375"/>
      <c r="U56" s="375"/>
      <c r="V56" s="375"/>
      <c r="W56" s="375"/>
      <c r="X56" s="375"/>
      <c r="Y56" s="375"/>
      <c r="Z56" s="375"/>
      <c r="AA56" s="375"/>
      <c r="AB56" s="375"/>
      <c r="AC56" s="375"/>
      <c r="AD56" s="375"/>
      <c r="AE56" s="375"/>
      <c r="AF56" s="375"/>
    </row>
    <row r="57">
      <c r="A57" s="360"/>
      <c r="B57" s="360"/>
      <c r="C57" s="363"/>
      <c r="D57" s="363"/>
      <c r="E57" s="356"/>
      <c r="F57" s="357"/>
      <c r="G57" s="357"/>
      <c r="H57" s="356"/>
      <c r="I57" s="360"/>
      <c r="J57" s="357"/>
      <c r="K57" s="357"/>
      <c r="L57" s="376"/>
      <c r="M57" s="360"/>
      <c r="N57" s="357"/>
      <c r="O57" s="363"/>
      <c r="P57" s="364"/>
      <c r="Q57" s="360"/>
      <c r="R57" s="363"/>
      <c r="S57" s="377"/>
      <c r="T57" s="375"/>
      <c r="U57" s="375"/>
      <c r="V57" s="375"/>
      <c r="W57" s="375"/>
      <c r="X57" s="375"/>
      <c r="Y57" s="375"/>
      <c r="Z57" s="375"/>
      <c r="AA57" s="375"/>
      <c r="AB57" s="375"/>
      <c r="AC57" s="375"/>
      <c r="AD57" s="375"/>
      <c r="AE57" s="375"/>
      <c r="AF57" s="375"/>
    </row>
    <row r="58">
      <c r="A58" s="360"/>
      <c r="B58" s="360"/>
      <c r="C58" s="363"/>
      <c r="D58" s="363"/>
      <c r="E58" s="356"/>
      <c r="F58" s="357"/>
      <c r="G58" s="357"/>
      <c r="H58" s="356"/>
      <c r="I58" s="360"/>
      <c r="J58" s="357"/>
      <c r="K58" s="357"/>
      <c r="L58" s="376"/>
      <c r="M58" s="360"/>
      <c r="N58" s="357"/>
      <c r="O58" s="363"/>
      <c r="P58" s="364"/>
      <c r="Q58" s="360"/>
      <c r="R58" s="363"/>
      <c r="S58" s="377"/>
      <c r="T58" s="375"/>
      <c r="U58" s="375"/>
      <c r="V58" s="375"/>
      <c r="W58" s="375"/>
      <c r="X58" s="375"/>
      <c r="Y58" s="375"/>
      <c r="Z58" s="375"/>
      <c r="AA58" s="375"/>
      <c r="AB58" s="375"/>
      <c r="AC58" s="375"/>
      <c r="AD58" s="375"/>
      <c r="AE58" s="375"/>
      <c r="AF58" s="375"/>
    </row>
    <row r="59">
      <c r="A59" s="360"/>
      <c r="B59" s="360"/>
      <c r="C59" s="363"/>
      <c r="D59" s="363"/>
      <c r="E59" s="356"/>
      <c r="F59" s="357"/>
      <c r="G59" s="357"/>
      <c r="H59" s="356"/>
      <c r="I59" s="360"/>
      <c r="J59" s="357"/>
      <c r="K59" s="357"/>
      <c r="L59" s="376"/>
      <c r="M59" s="360"/>
      <c r="N59" s="357"/>
      <c r="O59" s="363"/>
      <c r="P59" s="364"/>
      <c r="Q59" s="360"/>
      <c r="R59" s="363"/>
      <c r="S59" s="377"/>
      <c r="T59" s="375"/>
      <c r="U59" s="375"/>
      <c r="V59" s="375"/>
      <c r="W59" s="375"/>
      <c r="X59" s="375"/>
      <c r="Y59" s="375"/>
      <c r="Z59" s="375"/>
      <c r="AA59" s="375"/>
      <c r="AB59" s="375"/>
      <c r="AC59" s="375"/>
      <c r="AD59" s="375"/>
      <c r="AE59" s="375"/>
      <c r="AF59" s="375"/>
    </row>
    <row r="60">
      <c r="A60" s="360"/>
      <c r="B60" s="360"/>
      <c r="C60" s="363"/>
      <c r="D60" s="363"/>
      <c r="E60" s="356"/>
      <c r="F60" s="357"/>
      <c r="G60" s="357"/>
      <c r="H60" s="356"/>
      <c r="I60" s="360"/>
      <c r="J60" s="357"/>
      <c r="K60" s="357"/>
      <c r="L60" s="376"/>
      <c r="M60" s="360"/>
      <c r="N60" s="357"/>
      <c r="O60" s="363"/>
      <c r="P60" s="364"/>
      <c r="Q60" s="360"/>
      <c r="R60" s="363"/>
      <c r="S60" s="377"/>
      <c r="T60" s="375"/>
      <c r="U60" s="375"/>
      <c r="V60" s="375"/>
      <c r="W60" s="375"/>
      <c r="X60" s="375"/>
      <c r="Y60" s="375"/>
      <c r="Z60" s="375"/>
      <c r="AA60" s="375"/>
      <c r="AB60" s="375"/>
      <c r="AC60" s="375"/>
      <c r="AD60" s="375"/>
      <c r="AE60" s="375"/>
      <c r="AF60" s="375"/>
    </row>
    <row r="61">
      <c r="A61" s="360"/>
      <c r="B61" s="360"/>
      <c r="C61" s="363"/>
      <c r="D61" s="363"/>
      <c r="E61" s="356"/>
      <c r="F61" s="357"/>
      <c r="G61" s="357"/>
      <c r="H61" s="356"/>
      <c r="I61" s="360"/>
      <c r="J61" s="357"/>
      <c r="K61" s="357"/>
      <c r="L61" s="376"/>
      <c r="M61" s="360"/>
      <c r="N61" s="357"/>
      <c r="O61" s="363"/>
      <c r="P61" s="364"/>
      <c r="Q61" s="360"/>
      <c r="R61" s="363"/>
      <c r="S61" s="377"/>
      <c r="T61" s="375"/>
      <c r="U61" s="375"/>
      <c r="V61" s="375"/>
      <c r="W61" s="375"/>
      <c r="X61" s="375"/>
      <c r="Y61" s="375"/>
      <c r="Z61" s="375"/>
      <c r="AA61" s="375"/>
      <c r="AB61" s="375"/>
      <c r="AC61" s="375"/>
      <c r="AD61" s="375"/>
      <c r="AE61" s="375"/>
      <c r="AF61" s="375"/>
    </row>
    <row r="62">
      <c r="A62" s="360"/>
      <c r="B62" s="360"/>
      <c r="C62" s="363"/>
      <c r="D62" s="363"/>
      <c r="E62" s="356"/>
      <c r="F62" s="357"/>
      <c r="G62" s="357"/>
      <c r="H62" s="356"/>
      <c r="I62" s="360"/>
      <c r="J62" s="357"/>
      <c r="K62" s="357"/>
      <c r="L62" s="376"/>
      <c r="M62" s="360"/>
      <c r="N62" s="357"/>
      <c r="O62" s="363"/>
      <c r="P62" s="364"/>
      <c r="Q62" s="360"/>
      <c r="R62" s="363"/>
      <c r="S62" s="377"/>
      <c r="T62" s="375"/>
      <c r="U62" s="375"/>
      <c r="V62" s="375"/>
      <c r="W62" s="375"/>
      <c r="X62" s="375"/>
      <c r="Y62" s="375"/>
      <c r="Z62" s="375"/>
      <c r="AA62" s="375"/>
      <c r="AB62" s="375"/>
      <c r="AC62" s="375"/>
      <c r="AD62" s="375"/>
      <c r="AE62" s="375"/>
      <c r="AF62" s="375"/>
    </row>
    <row r="63">
      <c r="A63" s="360"/>
      <c r="B63" s="360"/>
      <c r="C63" s="363"/>
      <c r="D63" s="363"/>
      <c r="E63" s="356"/>
      <c r="F63" s="357"/>
      <c r="G63" s="357"/>
      <c r="H63" s="356"/>
      <c r="I63" s="360"/>
      <c r="J63" s="357"/>
      <c r="K63" s="357"/>
      <c r="L63" s="376"/>
      <c r="M63" s="360"/>
      <c r="N63" s="357"/>
      <c r="O63" s="363"/>
      <c r="P63" s="364"/>
      <c r="Q63" s="360"/>
      <c r="R63" s="363"/>
      <c r="S63" s="377"/>
      <c r="T63" s="375"/>
      <c r="U63" s="375"/>
      <c r="V63" s="375"/>
      <c r="W63" s="375"/>
      <c r="X63" s="375"/>
      <c r="Y63" s="375"/>
      <c r="Z63" s="375"/>
      <c r="AA63" s="375"/>
      <c r="AB63" s="375"/>
      <c r="AC63" s="375"/>
      <c r="AD63" s="375"/>
      <c r="AE63" s="375"/>
      <c r="AF63" s="375"/>
    </row>
    <row r="64">
      <c r="A64" s="360"/>
      <c r="B64" s="360"/>
      <c r="C64" s="363"/>
      <c r="D64" s="363"/>
      <c r="E64" s="356"/>
      <c r="F64" s="357"/>
      <c r="G64" s="357"/>
      <c r="H64" s="356"/>
      <c r="I64" s="360"/>
      <c r="J64" s="357"/>
      <c r="K64" s="357"/>
      <c r="L64" s="376"/>
      <c r="M64" s="360"/>
      <c r="N64" s="357"/>
      <c r="O64" s="363"/>
      <c r="P64" s="364"/>
      <c r="Q64" s="360"/>
      <c r="R64" s="363"/>
      <c r="S64" s="377"/>
      <c r="T64" s="375"/>
      <c r="U64" s="375"/>
      <c r="V64" s="375"/>
      <c r="W64" s="375"/>
      <c r="X64" s="375"/>
      <c r="Y64" s="375"/>
      <c r="Z64" s="375"/>
      <c r="AA64" s="375"/>
      <c r="AB64" s="375"/>
      <c r="AC64" s="375"/>
      <c r="AD64" s="375"/>
      <c r="AE64" s="375"/>
      <c r="AF64" s="375"/>
    </row>
    <row r="65">
      <c r="A65" s="360"/>
      <c r="B65" s="360"/>
      <c r="C65" s="363"/>
      <c r="D65" s="363"/>
      <c r="E65" s="356"/>
      <c r="F65" s="357"/>
      <c r="G65" s="357"/>
      <c r="H65" s="356"/>
      <c r="I65" s="360"/>
      <c r="J65" s="357"/>
      <c r="K65" s="357"/>
      <c r="L65" s="376"/>
      <c r="M65" s="360"/>
      <c r="N65" s="357"/>
      <c r="O65" s="363"/>
      <c r="P65" s="364"/>
      <c r="Q65" s="360"/>
      <c r="R65" s="363"/>
      <c r="S65" s="377"/>
      <c r="T65" s="375"/>
      <c r="U65" s="375"/>
      <c r="V65" s="375"/>
      <c r="W65" s="375"/>
      <c r="X65" s="375"/>
      <c r="Y65" s="375"/>
      <c r="Z65" s="375"/>
      <c r="AA65" s="375"/>
      <c r="AB65" s="375"/>
      <c r="AC65" s="375"/>
      <c r="AD65" s="375"/>
      <c r="AE65" s="375"/>
      <c r="AF65" s="375"/>
    </row>
    <row r="66">
      <c r="A66" s="360"/>
      <c r="B66" s="360"/>
      <c r="C66" s="363"/>
      <c r="D66" s="363"/>
      <c r="E66" s="356"/>
      <c r="F66" s="357"/>
      <c r="G66" s="357"/>
      <c r="H66" s="356"/>
      <c r="I66" s="360"/>
      <c r="J66" s="357"/>
      <c r="K66" s="357"/>
      <c r="L66" s="376"/>
      <c r="M66" s="360"/>
      <c r="N66" s="357"/>
      <c r="O66" s="363"/>
      <c r="P66" s="364"/>
      <c r="Q66" s="360"/>
      <c r="R66" s="363"/>
      <c r="S66" s="377"/>
      <c r="T66" s="375"/>
      <c r="U66" s="375"/>
      <c r="V66" s="375"/>
      <c r="W66" s="375"/>
      <c r="X66" s="375"/>
      <c r="Y66" s="375"/>
      <c r="Z66" s="375"/>
      <c r="AA66" s="375"/>
      <c r="AB66" s="375"/>
      <c r="AC66" s="375"/>
      <c r="AD66" s="375"/>
      <c r="AE66" s="375"/>
      <c r="AF66" s="375"/>
    </row>
    <row r="67">
      <c r="A67" s="360"/>
      <c r="B67" s="360"/>
      <c r="C67" s="363"/>
      <c r="D67" s="363"/>
      <c r="E67" s="356"/>
      <c r="F67" s="357"/>
      <c r="G67" s="357"/>
      <c r="H67" s="356"/>
      <c r="I67" s="360"/>
      <c r="J67" s="357"/>
      <c r="K67" s="357"/>
      <c r="L67" s="376"/>
      <c r="M67" s="360"/>
      <c r="N67" s="357"/>
      <c r="O67" s="363"/>
      <c r="P67" s="364"/>
      <c r="Q67" s="360"/>
      <c r="R67" s="363"/>
      <c r="S67" s="377"/>
      <c r="T67" s="375"/>
      <c r="U67" s="375"/>
      <c r="V67" s="375"/>
      <c r="W67" s="375"/>
      <c r="X67" s="375"/>
      <c r="Y67" s="375"/>
      <c r="Z67" s="375"/>
      <c r="AA67" s="375"/>
      <c r="AB67" s="375"/>
      <c r="AC67" s="375"/>
      <c r="AD67" s="375"/>
      <c r="AE67" s="375"/>
      <c r="AF67" s="375"/>
    </row>
    <row r="68">
      <c r="A68" s="360"/>
      <c r="B68" s="360"/>
      <c r="C68" s="363"/>
      <c r="D68" s="363"/>
      <c r="E68" s="356"/>
      <c r="F68" s="357"/>
      <c r="G68" s="357"/>
      <c r="H68" s="356"/>
      <c r="I68" s="360"/>
      <c r="J68" s="357"/>
      <c r="K68" s="357"/>
      <c r="L68" s="376"/>
      <c r="M68" s="360"/>
      <c r="N68" s="357"/>
      <c r="O68" s="363"/>
      <c r="P68" s="364"/>
      <c r="Q68" s="360"/>
      <c r="R68" s="363"/>
      <c r="S68" s="377"/>
      <c r="T68" s="375"/>
      <c r="U68" s="375"/>
      <c r="V68" s="375"/>
      <c r="W68" s="375"/>
      <c r="X68" s="375"/>
      <c r="Y68" s="375"/>
      <c r="Z68" s="375"/>
      <c r="AA68" s="375"/>
      <c r="AB68" s="375"/>
      <c r="AC68" s="375"/>
      <c r="AD68" s="375"/>
      <c r="AE68" s="375"/>
      <c r="AF68" s="375"/>
    </row>
    <row r="69">
      <c r="A69" s="360"/>
      <c r="B69" s="360"/>
      <c r="C69" s="363"/>
      <c r="D69" s="363"/>
      <c r="E69" s="356"/>
      <c r="F69" s="357"/>
      <c r="G69" s="357"/>
      <c r="H69" s="356"/>
      <c r="I69" s="360"/>
      <c r="J69" s="357"/>
      <c r="K69" s="357"/>
      <c r="L69" s="376"/>
      <c r="M69" s="360"/>
      <c r="N69" s="357"/>
      <c r="O69" s="363"/>
      <c r="P69" s="364"/>
      <c r="Q69" s="360"/>
      <c r="R69" s="363"/>
      <c r="S69" s="377"/>
      <c r="T69" s="375"/>
      <c r="U69" s="375"/>
      <c r="V69" s="375"/>
      <c r="W69" s="375"/>
      <c r="X69" s="375"/>
      <c r="Y69" s="375"/>
      <c r="Z69" s="375"/>
      <c r="AA69" s="375"/>
      <c r="AB69" s="375"/>
      <c r="AC69" s="375"/>
      <c r="AD69" s="375"/>
      <c r="AE69" s="375"/>
      <c r="AF69" s="375"/>
    </row>
    <row r="70">
      <c r="A70" s="360"/>
      <c r="B70" s="360"/>
      <c r="C70" s="363"/>
      <c r="D70" s="363"/>
      <c r="E70" s="356"/>
      <c r="F70" s="357"/>
      <c r="G70" s="357"/>
      <c r="H70" s="356"/>
      <c r="I70" s="360"/>
      <c r="J70" s="357"/>
      <c r="K70" s="357"/>
      <c r="L70" s="376"/>
      <c r="M70" s="360"/>
      <c r="N70" s="357"/>
      <c r="O70" s="363"/>
      <c r="P70" s="364"/>
      <c r="Q70" s="360"/>
      <c r="R70" s="363"/>
      <c r="S70" s="377"/>
      <c r="T70" s="375"/>
      <c r="U70" s="375"/>
      <c r="V70" s="375"/>
      <c r="W70" s="375"/>
      <c r="X70" s="375"/>
      <c r="Y70" s="375"/>
      <c r="Z70" s="375"/>
      <c r="AA70" s="375"/>
      <c r="AB70" s="375"/>
      <c r="AC70" s="375"/>
      <c r="AD70" s="375"/>
      <c r="AE70" s="375"/>
      <c r="AF70" s="375"/>
    </row>
    <row r="71">
      <c r="A71" s="360"/>
      <c r="B71" s="360"/>
      <c r="C71" s="363"/>
      <c r="D71" s="363"/>
      <c r="E71" s="356"/>
      <c r="F71" s="357"/>
      <c r="G71" s="357"/>
      <c r="H71" s="356"/>
      <c r="I71" s="360"/>
      <c r="J71" s="357"/>
      <c r="K71" s="357"/>
      <c r="L71" s="376"/>
      <c r="M71" s="360"/>
      <c r="N71" s="357"/>
      <c r="O71" s="363"/>
      <c r="P71" s="364"/>
      <c r="Q71" s="360"/>
      <c r="R71" s="363"/>
      <c r="S71" s="377"/>
      <c r="T71" s="375"/>
      <c r="U71" s="375"/>
      <c r="V71" s="375"/>
      <c r="W71" s="375"/>
      <c r="X71" s="375"/>
      <c r="Y71" s="375"/>
      <c r="Z71" s="375"/>
      <c r="AA71" s="375"/>
      <c r="AB71" s="375"/>
      <c r="AC71" s="375"/>
      <c r="AD71" s="375"/>
      <c r="AE71" s="375"/>
      <c r="AF71" s="375"/>
    </row>
    <row r="72">
      <c r="A72" s="360"/>
      <c r="B72" s="360"/>
      <c r="C72" s="363"/>
      <c r="D72" s="363"/>
      <c r="E72" s="356"/>
      <c r="F72" s="357"/>
      <c r="G72" s="357"/>
      <c r="H72" s="356"/>
      <c r="I72" s="360"/>
      <c r="J72" s="357"/>
      <c r="K72" s="357"/>
      <c r="L72" s="376"/>
      <c r="M72" s="360"/>
      <c r="N72" s="357"/>
      <c r="O72" s="363"/>
      <c r="P72" s="364"/>
      <c r="Q72" s="360"/>
      <c r="R72" s="363"/>
      <c r="S72" s="377"/>
      <c r="T72" s="375"/>
      <c r="U72" s="375"/>
      <c r="V72" s="375"/>
      <c r="W72" s="375"/>
      <c r="X72" s="375"/>
      <c r="Y72" s="375"/>
      <c r="Z72" s="375"/>
      <c r="AA72" s="375"/>
      <c r="AB72" s="375"/>
      <c r="AC72" s="375"/>
      <c r="AD72" s="375"/>
      <c r="AE72" s="375"/>
      <c r="AF72" s="375"/>
    </row>
    <row r="73">
      <c r="A73" s="360"/>
      <c r="B73" s="360"/>
      <c r="C73" s="363"/>
      <c r="D73" s="363"/>
      <c r="E73" s="356"/>
      <c r="F73" s="357"/>
      <c r="G73" s="357"/>
      <c r="H73" s="356"/>
      <c r="I73" s="360"/>
      <c r="J73" s="357"/>
      <c r="K73" s="357"/>
      <c r="L73" s="376"/>
      <c r="M73" s="360"/>
      <c r="N73" s="357"/>
      <c r="O73" s="363"/>
      <c r="P73" s="364"/>
      <c r="Q73" s="360"/>
      <c r="R73" s="363"/>
      <c r="S73" s="377"/>
      <c r="T73" s="375"/>
      <c r="U73" s="375"/>
      <c r="V73" s="375"/>
      <c r="W73" s="375"/>
      <c r="X73" s="375"/>
      <c r="Y73" s="375"/>
      <c r="Z73" s="375"/>
      <c r="AA73" s="375"/>
      <c r="AB73" s="375"/>
      <c r="AC73" s="375"/>
      <c r="AD73" s="375"/>
      <c r="AE73" s="375"/>
      <c r="AF73" s="375"/>
    </row>
    <row r="74">
      <c r="A74" s="360"/>
      <c r="B74" s="360"/>
      <c r="C74" s="363"/>
      <c r="D74" s="363"/>
      <c r="E74" s="356"/>
      <c r="F74" s="357"/>
      <c r="G74" s="357"/>
      <c r="H74" s="356"/>
      <c r="I74" s="360"/>
      <c r="J74" s="357"/>
      <c r="K74" s="357"/>
      <c r="L74" s="376"/>
      <c r="M74" s="360"/>
      <c r="N74" s="357"/>
      <c r="O74" s="363"/>
      <c r="P74" s="364"/>
      <c r="Q74" s="360"/>
      <c r="R74" s="363"/>
      <c r="S74" s="377"/>
      <c r="T74" s="375"/>
      <c r="U74" s="375"/>
      <c r="V74" s="375"/>
      <c r="W74" s="375"/>
      <c r="X74" s="375"/>
      <c r="Y74" s="375"/>
      <c r="Z74" s="375"/>
      <c r="AA74" s="375"/>
      <c r="AB74" s="375"/>
      <c r="AC74" s="375"/>
      <c r="AD74" s="375"/>
      <c r="AE74" s="375"/>
      <c r="AF74" s="375"/>
    </row>
    <row r="75">
      <c r="A75" s="360"/>
      <c r="B75" s="360"/>
      <c r="C75" s="363"/>
      <c r="D75" s="363"/>
      <c r="E75" s="356"/>
      <c r="F75" s="357"/>
      <c r="G75" s="357"/>
      <c r="H75" s="356"/>
      <c r="I75" s="360"/>
      <c r="J75" s="357"/>
      <c r="K75" s="357"/>
      <c r="L75" s="376"/>
      <c r="M75" s="360"/>
      <c r="N75" s="357"/>
      <c r="O75" s="363"/>
      <c r="P75" s="364"/>
      <c r="Q75" s="360"/>
      <c r="R75" s="363"/>
      <c r="S75" s="377"/>
      <c r="T75" s="375"/>
      <c r="U75" s="375"/>
      <c r="V75" s="375"/>
      <c r="W75" s="375"/>
      <c r="X75" s="375"/>
      <c r="Y75" s="375"/>
      <c r="Z75" s="375"/>
      <c r="AA75" s="375"/>
      <c r="AB75" s="375"/>
      <c r="AC75" s="375"/>
      <c r="AD75" s="375"/>
      <c r="AE75" s="375"/>
      <c r="AF75" s="375"/>
    </row>
    <row r="76">
      <c r="A76" s="360"/>
      <c r="B76" s="360"/>
      <c r="C76" s="363"/>
      <c r="D76" s="363"/>
      <c r="E76" s="356"/>
      <c r="F76" s="357"/>
      <c r="G76" s="357"/>
      <c r="H76" s="356"/>
      <c r="I76" s="360"/>
      <c r="J76" s="357"/>
      <c r="K76" s="357"/>
      <c r="L76" s="376"/>
      <c r="M76" s="360"/>
      <c r="N76" s="357"/>
      <c r="O76" s="363"/>
      <c r="P76" s="364"/>
      <c r="Q76" s="360"/>
      <c r="R76" s="363"/>
      <c r="S76" s="377"/>
      <c r="T76" s="375"/>
      <c r="U76" s="375"/>
      <c r="V76" s="375"/>
      <c r="W76" s="375"/>
      <c r="X76" s="375"/>
      <c r="Y76" s="375"/>
      <c r="Z76" s="375"/>
      <c r="AA76" s="375"/>
      <c r="AB76" s="375"/>
      <c r="AC76" s="375"/>
      <c r="AD76" s="375"/>
      <c r="AE76" s="375"/>
      <c r="AF76" s="375"/>
    </row>
    <row r="77">
      <c r="A77" s="360"/>
      <c r="B77" s="360"/>
      <c r="C77" s="363"/>
      <c r="D77" s="363"/>
      <c r="E77" s="356"/>
      <c r="F77" s="357"/>
      <c r="G77" s="357"/>
      <c r="H77" s="356"/>
      <c r="I77" s="360"/>
      <c r="J77" s="357"/>
      <c r="K77" s="357"/>
      <c r="L77" s="376"/>
      <c r="M77" s="360"/>
      <c r="N77" s="357"/>
      <c r="O77" s="363"/>
      <c r="P77" s="364"/>
      <c r="Q77" s="360"/>
      <c r="R77" s="363"/>
      <c r="S77" s="377"/>
      <c r="T77" s="375"/>
      <c r="U77" s="375"/>
      <c r="V77" s="375"/>
      <c r="W77" s="375"/>
      <c r="X77" s="375"/>
      <c r="Y77" s="375"/>
      <c r="Z77" s="375"/>
      <c r="AA77" s="375"/>
      <c r="AB77" s="375"/>
      <c r="AC77" s="375"/>
      <c r="AD77" s="375"/>
      <c r="AE77" s="375"/>
      <c r="AF77" s="375"/>
    </row>
    <row r="78">
      <c r="A78" s="360"/>
      <c r="B78" s="360"/>
      <c r="C78" s="363"/>
      <c r="D78" s="363"/>
      <c r="E78" s="356"/>
      <c r="F78" s="357"/>
      <c r="G78" s="357"/>
      <c r="H78" s="356"/>
      <c r="I78" s="360"/>
      <c r="J78" s="357"/>
      <c r="K78" s="357"/>
      <c r="L78" s="376"/>
      <c r="M78" s="360"/>
      <c r="N78" s="357"/>
      <c r="O78" s="363"/>
      <c r="P78" s="364"/>
      <c r="Q78" s="360"/>
      <c r="R78" s="363"/>
      <c r="S78" s="377"/>
      <c r="T78" s="375"/>
      <c r="U78" s="375"/>
      <c r="V78" s="375"/>
      <c r="W78" s="375"/>
      <c r="X78" s="375"/>
      <c r="Y78" s="375"/>
      <c r="Z78" s="375"/>
      <c r="AA78" s="375"/>
      <c r="AB78" s="375"/>
      <c r="AC78" s="375"/>
      <c r="AD78" s="375"/>
      <c r="AE78" s="375"/>
      <c r="AF78" s="375"/>
    </row>
    <row r="79">
      <c r="A79" s="360"/>
      <c r="B79" s="360"/>
      <c r="C79" s="377"/>
      <c r="D79" s="377"/>
      <c r="E79" s="356"/>
      <c r="F79" s="377"/>
      <c r="G79" s="377"/>
      <c r="H79" s="356" t="str">
        <f t="shared" ref="H79:H94" si="4">IF(TRIM(I79)="Half Day",((D79-C79)+1)-0.5,IF(TRIM(I79)="Full Day",(D79-C79)+1,""))</f>
        <v/>
      </c>
      <c r="I79" s="360"/>
      <c r="J79" s="377"/>
      <c r="K79" s="377"/>
      <c r="L79" s="378"/>
      <c r="M79" s="377"/>
      <c r="N79" s="377"/>
      <c r="O79" s="377"/>
      <c r="P79" s="364"/>
      <c r="Q79" s="360"/>
      <c r="R79" s="377"/>
      <c r="S79" s="377"/>
      <c r="T79" s="375"/>
      <c r="U79" s="375"/>
      <c r="V79" s="375"/>
      <c r="W79" s="375"/>
      <c r="X79" s="375"/>
      <c r="Y79" s="375"/>
      <c r="Z79" s="375"/>
      <c r="AA79" s="375"/>
      <c r="AB79" s="375"/>
      <c r="AC79" s="375"/>
      <c r="AD79" s="375"/>
      <c r="AE79" s="375"/>
      <c r="AF79" s="375"/>
    </row>
    <row r="80">
      <c r="A80" s="360"/>
      <c r="B80" s="360"/>
      <c r="C80" s="377"/>
      <c r="D80" s="377"/>
      <c r="E80" s="356"/>
      <c r="F80" s="377"/>
      <c r="G80" s="377"/>
      <c r="H80" s="356" t="str">
        <f t="shared" si="4"/>
        <v/>
      </c>
      <c r="I80" s="360"/>
      <c r="J80" s="377"/>
      <c r="K80" s="377"/>
      <c r="L80" s="378"/>
      <c r="M80" s="377"/>
      <c r="N80" s="377"/>
      <c r="O80" s="377"/>
      <c r="P80" s="364"/>
      <c r="Q80" s="360"/>
      <c r="R80" s="377"/>
      <c r="S80" s="377"/>
      <c r="T80" s="375"/>
      <c r="U80" s="375"/>
      <c r="V80" s="375"/>
      <c r="W80" s="375"/>
      <c r="X80" s="375"/>
      <c r="Y80" s="375"/>
      <c r="Z80" s="375"/>
      <c r="AA80" s="375"/>
      <c r="AB80" s="375"/>
      <c r="AC80" s="375"/>
      <c r="AD80" s="375"/>
      <c r="AE80" s="375"/>
      <c r="AF80" s="375"/>
    </row>
    <row r="81">
      <c r="A81" s="360"/>
      <c r="B81" s="360"/>
      <c r="C81" s="377"/>
      <c r="D81" s="377"/>
      <c r="E81" s="356"/>
      <c r="F81" s="377"/>
      <c r="G81" s="377"/>
      <c r="H81" s="356" t="str">
        <f t="shared" si="4"/>
        <v/>
      </c>
      <c r="I81" s="360"/>
      <c r="J81" s="377"/>
      <c r="K81" s="377"/>
      <c r="L81" s="378"/>
      <c r="M81" s="377"/>
      <c r="N81" s="377"/>
      <c r="O81" s="377"/>
      <c r="P81" s="364"/>
      <c r="Q81" s="360"/>
      <c r="R81" s="377"/>
      <c r="S81" s="377"/>
      <c r="T81" s="375"/>
      <c r="U81" s="375"/>
      <c r="V81" s="375"/>
      <c r="W81" s="375"/>
      <c r="X81" s="375"/>
      <c r="Y81" s="375"/>
      <c r="Z81" s="375"/>
      <c r="AA81" s="375"/>
      <c r="AB81" s="375"/>
      <c r="AC81" s="375"/>
      <c r="AD81" s="375"/>
      <c r="AE81" s="375"/>
      <c r="AF81" s="375"/>
    </row>
    <row r="82">
      <c r="A82" s="360"/>
      <c r="B82" s="360"/>
      <c r="C82" s="377"/>
      <c r="D82" s="377"/>
      <c r="E82" s="356"/>
      <c r="F82" s="377"/>
      <c r="G82" s="377"/>
      <c r="H82" s="356" t="str">
        <f t="shared" si="4"/>
        <v/>
      </c>
      <c r="I82" s="360"/>
      <c r="J82" s="377"/>
      <c r="K82" s="377"/>
      <c r="L82" s="378"/>
      <c r="M82" s="377"/>
      <c r="N82" s="377"/>
      <c r="O82" s="377"/>
      <c r="P82" s="364"/>
      <c r="Q82" s="360"/>
      <c r="R82" s="377"/>
      <c r="S82" s="377"/>
      <c r="T82" s="375"/>
      <c r="U82" s="375"/>
      <c r="V82" s="375"/>
      <c r="W82" s="375"/>
      <c r="X82" s="375"/>
      <c r="Y82" s="375"/>
      <c r="Z82" s="375"/>
      <c r="AA82" s="375"/>
      <c r="AB82" s="375"/>
      <c r="AC82" s="375"/>
      <c r="AD82" s="375"/>
      <c r="AE82" s="375"/>
      <c r="AF82" s="375"/>
    </row>
    <row r="83">
      <c r="A83" s="360"/>
      <c r="B83" s="360"/>
      <c r="C83" s="377"/>
      <c r="D83" s="377"/>
      <c r="E83" s="356"/>
      <c r="F83" s="377"/>
      <c r="G83" s="377"/>
      <c r="H83" s="356" t="str">
        <f t="shared" si="4"/>
        <v/>
      </c>
      <c r="I83" s="360"/>
      <c r="J83" s="377"/>
      <c r="K83" s="377"/>
      <c r="L83" s="378"/>
      <c r="M83" s="377"/>
      <c r="N83" s="377"/>
      <c r="O83" s="377"/>
      <c r="P83" s="364"/>
      <c r="Q83" s="360"/>
      <c r="R83" s="377"/>
      <c r="S83" s="377"/>
      <c r="T83" s="375"/>
      <c r="U83" s="375"/>
      <c r="V83" s="375"/>
      <c r="W83" s="375"/>
      <c r="X83" s="375"/>
      <c r="Y83" s="375"/>
      <c r="Z83" s="375"/>
      <c r="AA83" s="375"/>
      <c r="AB83" s="375"/>
      <c r="AC83" s="375"/>
      <c r="AD83" s="375"/>
      <c r="AE83" s="375"/>
      <c r="AF83" s="375"/>
    </row>
    <row r="84">
      <c r="A84" s="360"/>
      <c r="B84" s="360"/>
      <c r="C84" s="377"/>
      <c r="D84" s="377"/>
      <c r="E84" s="356"/>
      <c r="F84" s="377"/>
      <c r="G84" s="377"/>
      <c r="H84" s="356" t="str">
        <f t="shared" si="4"/>
        <v/>
      </c>
      <c r="I84" s="360"/>
      <c r="J84" s="377"/>
      <c r="K84" s="377"/>
      <c r="L84" s="378"/>
      <c r="M84" s="377"/>
      <c r="N84" s="377"/>
      <c r="O84" s="377"/>
      <c r="P84" s="364"/>
      <c r="Q84" s="360"/>
      <c r="R84" s="377"/>
      <c r="S84" s="377"/>
      <c r="T84" s="375"/>
      <c r="U84" s="375"/>
      <c r="V84" s="375"/>
      <c r="W84" s="375"/>
      <c r="X84" s="375"/>
      <c r="Y84" s="375"/>
      <c r="Z84" s="375"/>
      <c r="AA84" s="375"/>
      <c r="AB84" s="375"/>
      <c r="AC84" s="375"/>
      <c r="AD84" s="375"/>
      <c r="AE84" s="375"/>
      <c r="AF84" s="375"/>
    </row>
    <row r="85">
      <c r="A85" s="360"/>
      <c r="B85" s="360"/>
      <c r="C85" s="377"/>
      <c r="D85" s="377"/>
      <c r="E85" s="356"/>
      <c r="F85" s="377"/>
      <c r="G85" s="377"/>
      <c r="H85" s="356" t="str">
        <f t="shared" si="4"/>
        <v/>
      </c>
      <c r="I85" s="360"/>
      <c r="J85" s="377"/>
      <c r="K85" s="377"/>
      <c r="L85" s="378"/>
      <c r="M85" s="377"/>
      <c r="N85" s="377"/>
      <c r="O85" s="377"/>
      <c r="P85" s="364"/>
      <c r="Q85" s="360"/>
      <c r="R85" s="377"/>
      <c r="S85" s="377"/>
      <c r="T85" s="375"/>
      <c r="U85" s="375"/>
      <c r="V85" s="375"/>
      <c r="W85" s="375"/>
      <c r="X85" s="375"/>
      <c r="Y85" s="375"/>
      <c r="Z85" s="375"/>
      <c r="AA85" s="375"/>
      <c r="AB85" s="375"/>
      <c r="AC85" s="375"/>
      <c r="AD85" s="375"/>
      <c r="AE85" s="375"/>
      <c r="AF85" s="375"/>
    </row>
    <row r="86">
      <c r="A86" s="360"/>
      <c r="B86" s="360"/>
      <c r="C86" s="377"/>
      <c r="D86" s="377"/>
      <c r="E86" s="356"/>
      <c r="F86" s="377"/>
      <c r="G86" s="377"/>
      <c r="H86" s="356" t="str">
        <f t="shared" si="4"/>
        <v/>
      </c>
      <c r="I86" s="360"/>
      <c r="J86" s="377"/>
      <c r="K86" s="377"/>
      <c r="L86" s="378"/>
      <c r="M86" s="377"/>
      <c r="N86" s="377"/>
      <c r="O86" s="377"/>
      <c r="P86" s="364"/>
      <c r="Q86" s="360"/>
      <c r="R86" s="377"/>
      <c r="S86" s="377"/>
      <c r="T86" s="375"/>
      <c r="U86" s="375"/>
      <c r="V86" s="375"/>
      <c r="W86" s="375"/>
      <c r="X86" s="375"/>
      <c r="Y86" s="375"/>
      <c r="Z86" s="375"/>
      <c r="AA86" s="375"/>
      <c r="AB86" s="375"/>
      <c r="AC86" s="375"/>
      <c r="AD86" s="375"/>
      <c r="AE86" s="375"/>
      <c r="AF86" s="375"/>
    </row>
    <row r="87">
      <c r="A87" s="360"/>
      <c r="B87" s="360"/>
      <c r="C87" s="377"/>
      <c r="D87" s="377"/>
      <c r="E87" s="356"/>
      <c r="F87" s="377"/>
      <c r="G87" s="377"/>
      <c r="H87" s="356" t="str">
        <f t="shared" si="4"/>
        <v/>
      </c>
      <c r="I87" s="360"/>
      <c r="J87" s="377"/>
      <c r="K87" s="377"/>
      <c r="L87" s="378"/>
      <c r="M87" s="377"/>
      <c r="N87" s="377"/>
      <c r="O87" s="377"/>
      <c r="P87" s="364"/>
      <c r="Q87" s="360"/>
      <c r="R87" s="377"/>
      <c r="S87" s="377"/>
      <c r="T87" s="375"/>
      <c r="U87" s="375"/>
      <c r="V87" s="375"/>
      <c r="W87" s="375"/>
      <c r="X87" s="375"/>
      <c r="Y87" s="375"/>
      <c r="Z87" s="375"/>
      <c r="AA87" s="375"/>
      <c r="AB87" s="375"/>
      <c r="AC87" s="375"/>
      <c r="AD87" s="375"/>
      <c r="AE87" s="375"/>
      <c r="AF87" s="375"/>
    </row>
    <row r="88">
      <c r="A88" s="360"/>
      <c r="B88" s="360"/>
      <c r="C88" s="377"/>
      <c r="D88" s="377"/>
      <c r="E88" s="356"/>
      <c r="F88" s="377"/>
      <c r="G88" s="377"/>
      <c r="H88" s="356" t="str">
        <f t="shared" si="4"/>
        <v/>
      </c>
      <c r="I88" s="360"/>
      <c r="J88" s="377"/>
      <c r="K88" s="377"/>
      <c r="L88" s="378"/>
      <c r="M88" s="377"/>
      <c r="N88" s="377"/>
      <c r="O88" s="377"/>
      <c r="P88" s="364"/>
      <c r="Q88" s="360"/>
      <c r="R88" s="377"/>
      <c r="S88" s="377"/>
      <c r="T88" s="375"/>
      <c r="U88" s="375"/>
      <c r="V88" s="375"/>
      <c r="W88" s="375"/>
      <c r="X88" s="375"/>
      <c r="Y88" s="375"/>
      <c r="Z88" s="375"/>
      <c r="AA88" s="375"/>
      <c r="AB88" s="375"/>
      <c r="AC88" s="375"/>
      <c r="AD88" s="375"/>
      <c r="AE88" s="375"/>
      <c r="AF88" s="375"/>
    </row>
    <row r="89">
      <c r="A89" s="360"/>
      <c r="B89" s="360"/>
      <c r="C89" s="377"/>
      <c r="D89" s="377"/>
      <c r="E89" s="356"/>
      <c r="F89" s="377"/>
      <c r="G89" s="377"/>
      <c r="H89" s="356" t="str">
        <f t="shared" si="4"/>
        <v/>
      </c>
      <c r="I89" s="360"/>
      <c r="J89" s="377"/>
      <c r="K89" s="377"/>
      <c r="L89" s="378"/>
      <c r="M89" s="377"/>
      <c r="N89" s="377"/>
      <c r="O89" s="377"/>
      <c r="P89" s="364"/>
      <c r="Q89" s="360"/>
      <c r="R89" s="377"/>
      <c r="S89" s="377"/>
      <c r="T89" s="375"/>
      <c r="U89" s="375"/>
      <c r="V89" s="375"/>
      <c r="W89" s="375"/>
      <c r="X89" s="375"/>
      <c r="Y89" s="375"/>
      <c r="Z89" s="375"/>
      <c r="AA89" s="375"/>
      <c r="AB89" s="375"/>
      <c r="AC89" s="375"/>
      <c r="AD89" s="375"/>
      <c r="AE89" s="375"/>
      <c r="AF89" s="375"/>
    </row>
    <row r="90">
      <c r="A90" s="360"/>
      <c r="B90" s="360"/>
      <c r="C90" s="377"/>
      <c r="D90" s="377"/>
      <c r="E90" s="356"/>
      <c r="F90" s="377"/>
      <c r="G90" s="377"/>
      <c r="H90" s="356" t="str">
        <f t="shared" si="4"/>
        <v/>
      </c>
      <c r="I90" s="360"/>
      <c r="J90" s="377"/>
      <c r="K90" s="377"/>
      <c r="L90" s="378"/>
      <c r="M90" s="377"/>
      <c r="N90" s="377"/>
      <c r="O90" s="377"/>
      <c r="P90" s="364"/>
      <c r="Q90" s="360"/>
      <c r="R90" s="377"/>
      <c r="S90" s="377"/>
      <c r="T90" s="375"/>
      <c r="U90" s="375"/>
      <c r="V90" s="375"/>
      <c r="W90" s="375"/>
      <c r="X90" s="375"/>
      <c r="Y90" s="375"/>
      <c r="Z90" s="375"/>
      <c r="AA90" s="375"/>
      <c r="AB90" s="375"/>
      <c r="AC90" s="375"/>
      <c r="AD90" s="375"/>
      <c r="AE90" s="375"/>
      <c r="AF90" s="375"/>
    </row>
    <row r="91">
      <c r="A91" s="360"/>
      <c r="B91" s="360"/>
      <c r="C91" s="377"/>
      <c r="D91" s="377"/>
      <c r="E91" s="356"/>
      <c r="F91" s="377"/>
      <c r="G91" s="377"/>
      <c r="H91" s="356" t="str">
        <f t="shared" si="4"/>
        <v/>
      </c>
      <c r="I91" s="360"/>
      <c r="J91" s="377"/>
      <c r="K91" s="377"/>
      <c r="L91" s="378"/>
      <c r="M91" s="377"/>
      <c r="N91" s="377"/>
      <c r="O91" s="377"/>
      <c r="P91" s="364"/>
      <c r="Q91" s="360"/>
      <c r="R91" s="377"/>
      <c r="S91" s="377"/>
      <c r="T91" s="375"/>
      <c r="U91" s="375"/>
      <c r="V91" s="375"/>
      <c r="W91" s="375"/>
      <c r="X91" s="375"/>
      <c r="Y91" s="375"/>
      <c r="Z91" s="375"/>
      <c r="AA91" s="375"/>
      <c r="AB91" s="375"/>
      <c r="AC91" s="375"/>
      <c r="AD91" s="375"/>
      <c r="AE91" s="375"/>
      <c r="AF91" s="375"/>
    </row>
    <row r="92">
      <c r="A92" s="360"/>
      <c r="B92" s="360"/>
      <c r="C92" s="377"/>
      <c r="D92" s="377"/>
      <c r="E92" s="356"/>
      <c r="F92" s="377"/>
      <c r="G92" s="377"/>
      <c r="H92" s="356" t="str">
        <f t="shared" si="4"/>
        <v/>
      </c>
      <c r="I92" s="360"/>
      <c r="J92" s="377"/>
      <c r="K92" s="377"/>
      <c r="L92" s="378"/>
      <c r="M92" s="377"/>
      <c r="N92" s="377"/>
      <c r="O92" s="377"/>
      <c r="P92" s="364"/>
      <c r="Q92" s="360"/>
      <c r="R92" s="377"/>
      <c r="S92" s="377"/>
      <c r="T92" s="375"/>
      <c r="U92" s="375"/>
      <c r="V92" s="375"/>
      <c r="W92" s="375"/>
      <c r="X92" s="375"/>
      <c r="Y92" s="375"/>
      <c r="Z92" s="375"/>
      <c r="AA92" s="375"/>
      <c r="AB92" s="375"/>
      <c r="AC92" s="375"/>
      <c r="AD92" s="375"/>
      <c r="AE92" s="375"/>
      <c r="AF92" s="375"/>
    </row>
    <row r="93">
      <c r="A93" s="360"/>
      <c r="B93" s="360"/>
      <c r="C93" s="377"/>
      <c r="D93" s="377"/>
      <c r="E93" s="356"/>
      <c r="F93" s="377"/>
      <c r="G93" s="377"/>
      <c r="H93" s="356" t="str">
        <f t="shared" si="4"/>
        <v/>
      </c>
      <c r="I93" s="360"/>
      <c r="J93" s="377"/>
      <c r="K93" s="377"/>
      <c r="L93" s="378"/>
      <c r="M93" s="377"/>
      <c r="N93" s="377"/>
      <c r="O93" s="377"/>
      <c r="P93" s="364"/>
      <c r="Q93" s="360"/>
      <c r="R93" s="377"/>
      <c r="S93" s="377"/>
      <c r="T93" s="375"/>
      <c r="U93" s="375"/>
      <c r="V93" s="375"/>
      <c r="W93" s="375"/>
      <c r="X93" s="375"/>
      <c r="Y93" s="375"/>
      <c r="Z93" s="375"/>
      <c r="AA93" s="375"/>
      <c r="AB93" s="375"/>
      <c r="AC93" s="375"/>
      <c r="AD93" s="375"/>
      <c r="AE93" s="375"/>
      <c r="AF93" s="375"/>
    </row>
    <row r="94">
      <c r="A94" s="360"/>
      <c r="B94" s="360"/>
      <c r="C94" s="377"/>
      <c r="D94" s="377"/>
      <c r="E94" s="356"/>
      <c r="F94" s="377"/>
      <c r="G94" s="377"/>
      <c r="H94" s="356" t="str">
        <f t="shared" si="4"/>
        <v/>
      </c>
      <c r="I94" s="360"/>
      <c r="J94" s="377"/>
      <c r="K94" s="377"/>
      <c r="L94" s="378"/>
      <c r="M94" s="377"/>
      <c r="N94" s="377"/>
      <c r="O94" s="377"/>
      <c r="P94" s="364"/>
      <c r="Q94" s="360"/>
      <c r="R94" s="377"/>
      <c r="S94" s="377"/>
      <c r="T94" s="375"/>
      <c r="U94" s="375"/>
      <c r="V94" s="375"/>
      <c r="W94" s="375"/>
      <c r="X94" s="375"/>
      <c r="Y94" s="375"/>
      <c r="Z94" s="375"/>
      <c r="AA94" s="375"/>
      <c r="AB94" s="375"/>
      <c r="AC94" s="375"/>
      <c r="AD94" s="375"/>
      <c r="AE94" s="375"/>
      <c r="AF94" s="375"/>
    </row>
    <row r="95">
      <c r="A95" s="360"/>
      <c r="B95" s="360"/>
      <c r="C95" s="377"/>
      <c r="D95" s="377"/>
      <c r="E95" s="378"/>
      <c r="F95" s="377"/>
      <c r="G95" s="377"/>
      <c r="H95" s="378"/>
      <c r="I95" s="360"/>
      <c r="J95" s="377"/>
      <c r="K95" s="377"/>
      <c r="L95" s="378"/>
      <c r="M95" s="377"/>
      <c r="N95" s="377"/>
      <c r="O95" s="377"/>
      <c r="P95" s="364"/>
      <c r="Q95" s="360"/>
      <c r="R95" s="377"/>
      <c r="S95" s="377"/>
      <c r="T95" s="375"/>
      <c r="U95" s="375"/>
      <c r="V95" s="375"/>
      <c r="W95" s="375"/>
      <c r="X95" s="375"/>
      <c r="Y95" s="375"/>
      <c r="Z95" s="375"/>
      <c r="AA95" s="375"/>
      <c r="AB95" s="375"/>
      <c r="AC95" s="375"/>
      <c r="AD95" s="375"/>
      <c r="AE95" s="375"/>
      <c r="AF95" s="375"/>
    </row>
    <row r="96">
      <c r="A96" s="360"/>
      <c r="B96" s="360"/>
      <c r="C96" s="377"/>
      <c r="D96" s="377"/>
      <c r="E96" s="378"/>
      <c r="F96" s="377"/>
      <c r="G96" s="377"/>
      <c r="H96" s="378"/>
      <c r="I96" s="360"/>
      <c r="J96" s="377"/>
      <c r="K96" s="377"/>
      <c r="L96" s="378"/>
      <c r="M96" s="377"/>
      <c r="N96" s="377"/>
      <c r="O96" s="377"/>
      <c r="P96" s="364"/>
      <c r="Q96" s="360"/>
      <c r="R96" s="377"/>
      <c r="S96" s="377"/>
      <c r="T96" s="375"/>
      <c r="U96" s="375"/>
      <c r="V96" s="375"/>
      <c r="W96" s="375"/>
      <c r="X96" s="375"/>
      <c r="Y96" s="375"/>
      <c r="Z96" s="375"/>
      <c r="AA96" s="375"/>
      <c r="AB96" s="375"/>
      <c r="AC96" s="375"/>
      <c r="AD96" s="375"/>
      <c r="AE96" s="375"/>
      <c r="AF96" s="375"/>
    </row>
    <row r="97">
      <c r="A97" s="360"/>
      <c r="B97" s="360"/>
      <c r="C97" s="377"/>
      <c r="D97" s="377"/>
      <c r="E97" s="378"/>
      <c r="F97" s="377"/>
      <c r="G97" s="377"/>
      <c r="H97" s="378"/>
      <c r="I97" s="360"/>
      <c r="J97" s="377"/>
      <c r="K97" s="377"/>
      <c r="L97" s="378"/>
      <c r="M97" s="377"/>
      <c r="N97" s="377"/>
      <c r="O97" s="377"/>
      <c r="P97" s="364"/>
      <c r="Q97" s="360"/>
      <c r="R97" s="377"/>
      <c r="S97" s="377"/>
      <c r="T97" s="375"/>
      <c r="U97" s="375"/>
      <c r="V97" s="375"/>
      <c r="W97" s="375"/>
      <c r="X97" s="375"/>
      <c r="Y97" s="375"/>
      <c r="Z97" s="375"/>
      <c r="AA97" s="375"/>
      <c r="AB97" s="375"/>
      <c r="AC97" s="375"/>
      <c r="AD97" s="375"/>
      <c r="AE97" s="375"/>
      <c r="AF97" s="375"/>
    </row>
    <row r="98">
      <c r="A98" s="360"/>
      <c r="B98" s="360"/>
      <c r="C98" s="377"/>
      <c r="D98" s="377"/>
      <c r="E98" s="378"/>
      <c r="F98" s="377"/>
      <c r="G98" s="377"/>
      <c r="H98" s="378"/>
      <c r="I98" s="360"/>
      <c r="J98" s="377"/>
      <c r="K98" s="377"/>
      <c r="L98" s="378"/>
      <c r="M98" s="377"/>
      <c r="N98" s="377"/>
      <c r="O98" s="377"/>
      <c r="P98" s="364"/>
      <c r="Q98" s="360"/>
      <c r="R98" s="377"/>
      <c r="S98" s="377"/>
      <c r="T98" s="375"/>
      <c r="U98" s="375"/>
      <c r="V98" s="375"/>
      <c r="W98" s="375"/>
      <c r="X98" s="375"/>
      <c r="Y98" s="375"/>
      <c r="Z98" s="375"/>
      <c r="AA98" s="375"/>
      <c r="AB98" s="375"/>
      <c r="AC98" s="375"/>
      <c r="AD98" s="375"/>
      <c r="AE98" s="375"/>
      <c r="AF98" s="375"/>
    </row>
    <row r="99">
      <c r="A99" s="360"/>
      <c r="B99" s="360"/>
      <c r="C99" s="377"/>
      <c r="D99" s="377"/>
      <c r="E99" s="378"/>
      <c r="F99" s="377"/>
      <c r="G99" s="377"/>
      <c r="H99" s="378"/>
      <c r="I99" s="360"/>
      <c r="J99" s="377"/>
      <c r="K99" s="377"/>
      <c r="L99" s="378"/>
      <c r="M99" s="377"/>
      <c r="N99" s="377"/>
      <c r="O99" s="377"/>
      <c r="P99" s="364"/>
      <c r="Q99" s="360"/>
      <c r="R99" s="377"/>
      <c r="S99" s="377"/>
      <c r="T99" s="375"/>
      <c r="U99" s="375"/>
      <c r="V99" s="375"/>
      <c r="W99" s="375"/>
      <c r="X99" s="375"/>
      <c r="Y99" s="375"/>
      <c r="Z99" s="375"/>
      <c r="AA99" s="375"/>
      <c r="AB99" s="375"/>
      <c r="AC99" s="375"/>
      <c r="AD99" s="375"/>
      <c r="AE99" s="375"/>
      <c r="AF99" s="375"/>
    </row>
    <row r="100">
      <c r="A100" s="360"/>
      <c r="B100" s="360"/>
      <c r="C100" s="377"/>
      <c r="D100" s="377"/>
      <c r="E100" s="378"/>
      <c r="F100" s="377"/>
      <c r="G100" s="377"/>
      <c r="H100" s="378"/>
      <c r="I100" s="360"/>
      <c r="J100" s="377"/>
      <c r="K100" s="377"/>
      <c r="L100" s="378"/>
      <c r="M100" s="377"/>
      <c r="N100" s="377"/>
      <c r="O100" s="377"/>
      <c r="P100" s="364"/>
      <c r="Q100" s="360"/>
      <c r="R100" s="377"/>
      <c r="S100" s="377"/>
      <c r="T100" s="375"/>
      <c r="U100" s="375"/>
      <c r="V100" s="375"/>
      <c r="W100" s="375"/>
      <c r="X100" s="375"/>
      <c r="Y100" s="375"/>
      <c r="Z100" s="375"/>
      <c r="AA100" s="375"/>
      <c r="AB100" s="375"/>
      <c r="AC100" s="375"/>
      <c r="AD100" s="375"/>
      <c r="AE100" s="375"/>
      <c r="AF100" s="375"/>
    </row>
    <row r="101">
      <c r="A101" s="360"/>
      <c r="B101" s="360"/>
      <c r="C101" s="377"/>
      <c r="D101" s="377"/>
      <c r="E101" s="378"/>
      <c r="F101" s="377"/>
      <c r="G101" s="377"/>
      <c r="H101" s="378"/>
      <c r="I101" s="360"/>
      <c r="J101" s="377"/>
      <c r="K101" s="377"/>
      <c r="L101" s="378"/>
      <c r="M101" s="377"/>
      <c r="N101" s="377"/>
      <c r="O101" s="377"/>
      <c r="P101" s="364"/>
      <c r="Q101" s="360"/>
      <c r="R101" s="377"/>
      <c r="S101" s="377"/>
      <c r="T101" s="375"/>
      <c r="U101" s="375"/>
      <c r="V101" s="375"/>
      <c r="W101" s="375"/>
      <c r="X101" s="375"/>
      <c r="Y101" s="375"/>
      <c r="Z101" s="375"/>
      <c r="AA101" s="375"/>
      <c r="AB101" s="375"/>
      <c r="AC101" s="375"/>
      <c r="AD101" s="375"/>
      <c r="AE101" s="375"/>
      <c r="AF101" s="375"/>
    </row>
    <row r="102">
      <c r="A102" s="360"/>
      <c r="B102" s="360"/>
      <c r="C102" s="377"/>
      <c r="D102" s="377"/>
      <c r="E102" s="378"/>
      <c r="F102" s="377"/>
      <c r="G102" s="377"/>
      <c r="H102" s="378"/>
      <c r="I102" s="360"/>
      <c r="J102" s="377"/>
      <c r="K102" s="377"/>
      <c r="L102" s="378"/>
      <c r="M102" s="377"/>
      <c r="N102" s="377"/>
      <c r="O102" s="377"/>
      <c r="P102" s="364"/>
      <c r="Q102" s="360"/>
      <c r="R102" s="377"/>
      <c r="S102" s="377"/>
      <c r="T102" s="375"/>
      <c r="U102" s="375"/>
      <c r="V102" s="375"/>
      <c r="W102" s="375"/>
      <c r="X102" s="375"/>
      <c r="Y102" s="375"/>
      <c r="Z102" s="375"/>
      <c r="AA102" s="375"/>
      <c r="AB102" s="375"/>
      <c r="AC102" s="375"/>
      <c r="AD102" s="375"/>
      <c r="AE102" s="375"/>
      <c r="AF102" s="375"/>
    </row>
    <row r="103">
      <c r="A103" s="360"/>
      <c r="B103" s="360"/>
      <c r="C103" s="377"/>
      <c r="D103" s="377"/>
      <c r="E103" s="378"/>
      <c r="F103" s="377"/>
      <c r="G103" s="377"/>
      <c r="H103" s="378"/>
      <c r="I103" s="360"/>
      <c r="J103" s="377"/>
      <c r="K103" s="377"/>
      <c r="L103" s="378"/>
      <c r="M103" s="377"/>
      <c r="N103" s="377"/>
      <c r="O103" s="377"/>
      <c r="P103" s="364"/>
      <c r="Q103" s="360"/>
      <c r="R103" s="377"/>
      <c r="S103" s="377"/>
      <c r="T103" s="375"/>
      <c r="U103" s="375"/>
      <c r="V103" s="375"/>
      <c r="W103" s="375"/>
      <c r="X103" s="375"/>
      <c r="Y103" s="375"/>
      <c r="Z103" s="375"/>
      <c r="AA103" s="375"/>
      <c r="AB103" s="375"/>
      <c r="AC103" s="375"/>
      <c r="AD103" s="375"/>
      <c r="AE103" s="375"/>
      <c r="AF103" s="375"/>
    </row>
    <row r="104">
      <c r="A104" s="360"/>
      <c r="B104" s="360"/>
      <c r="C104" s="377"/>
      <c r="D104" s="377"/>
      <c r="E104" s="378"/>
      <c r="F104" s="377"/>
      <c r="G104" s="377"/>
      <c r="H104" s="378"/>
      <c r="I104" s="360"/>
      <c r="J104" s="377"/>
      <c r="K104" s="377"/>
      <c r="L104" s="378"/>
      <c r="M104" s="377"/>
      <c r="N104" s="377"/>
      <c r="O104" s="377"/>
      <c r="P104" s="364"/>
      <c r="Q104" s="360"/>
      <c r="R104" s="377"/>
      <c r="S104" s="377"/>
      <c r="T104" s="375"/>
      <c r="U104" s="375"/>
      <c r="V104" s="375"/>
      <c r="W104" s="375"/>
      <c r="X104" s="375"/>
      <c r="Y104" s="375"/>
      <c r="Z104" s="375"/>
      <c r="AA104" s="375"/>
      <c r="AB104" s="375"/>
      <c r="AC104" s="375"/>
      <c r="AD104" s="375"/>
      <c r="AE104" s="375"/>
      <c r="AF104" s="375"/>
    </row>
    <row r="105">
      <c r="A105" s="360"/>
      <c r="B105" s="360"/>
      <c r="C105" s="377"/>
      <c r="D105" s="377"/>
      <c r="E105" s="378"/>
      <c r="F105" s="377"/>
      <c r="G105" s="377"/>
      <c r="H105" s="378"/>
      <c r="I105" s="360"/>
      <c r="J105" s="377"/>
      <c r="K105" s="377"/>
      <c r="L105" s="378"/>
      <c r="M105" s="377"/>
      <c r="N105" s="377"/>
      <c r="O105" s="377"/>
      <c r="P105" s="364"/>
      <c r="Q105" s="360"/>
      <c r="R105" s="377"/>
      <c r="S105" s="377"/>
      <c r="T105" s="375"/>
      <c r="U105" s="375"/>
      <c r="V105" s="375"/>
      <c r="W105" s="375"/>
      <c r="X105" s="375"/>
      <c r="Y105" s="375"/>
      <c r="Z105" s="375"/>
      <c r="AA105" s="375"/>
      <c r="AB105" s="375"/>
      <c r="AC105" s="375"/>
      <c r="AD105" s="375"/>
      <c r="AE105" s="375"/>
      <c r="AF105" s="375"/>
    </row>
    <row r="106">
      <c r="A106" s="360"/>
      <c r="B106" s="360"/>
      <c r="C106" s="377"/>
      <c r="D106" s="377"/>
      <c r="E106" s="378"/>
      <c r="F106" s="377"/>
      <c r="G106" s="377"/>
      <c r="H106" s="378"/>
      <c r="I106" s="360"/>
      <c r="J106" s="377"/>
      <c r="K106" s="377"/>
      <c r="L106" s="378"/>
      <c r="M106" s="377"/>
      <c r="N106" s="377"/>
      <c r="O106" s="377"/>
      <c r="P106" s="364"/>
      <c r="Q106" s="360"/>
      <c r="R106" s="377"/>
      <c r="S106" s="377"/>
      <c r="T106" s="375"/>
      <c r="U106" s="375"/>
      <c r="V106" s="375"/>
      <c r="W106" s="375"/>
      <c r="X106" s="375"/>
      <c r="Y106" s="375"/>
      <c r="Z106" s="375"/>
      <c r="AA106" s="375"/>
      <c r="AB106" s="375"/>
      <c r="AC106" s="375"/>
      <c r="AD106" s="375"/>
      <c r="AE106" s="375"/>
      <c r="AF106" s="375"/>
    </row>
    <row r="107">
      <c r="A107" s="360"/>
      <c r="B107" s="360"/>
      <c r="C107" s="377"/>
      <c r="D107" s="377"/>
      <c r="E107" s="378"/>
      <c r="F107" s="377"/>
      <c r="G107" s="377"/>
      <c r="H107" s="378"/>
      <c r="I107" s="360"/>
      <c r="J107" s="377"/>
      <c r="K107" s="377"/>
      <c r="L107" s="378"/>
      <c r="M107" s="377"/>
      <c r="N107" s="377"/>
      <c r="O107" s="377"/>
      <c r="P107" s="364"/>
      <c r="Q107" s="360"/>
      <c r="R107" s="377"/>
      <c r="S107" s="377"/>
      <c r="T107" s="375"/>
      <c r="U107" s="375"/>
      <c r="V107" s="375"/>
      <c r="W107" s="375"/>
      <c r="X107" s="375"/>
      <c r="Y107" s="375"/>
      <c r="Z107" s="375"/>
      <c r="AA107" s="375"/>
      <c r="AB107" s="375"/>
      <c r="AC107" s="375"/>
      <c r="AD107" s="375"/>
      <c r="AE107" s="375"/>
      <c r="AF107" s="375"/>
    </row>
    <row r="108">
      <c r="A108" s="360"/>
      <c r="B108" s="360"/>
      <c r="C108" s="377"/>
      <c r="D108" s="377"/>
      <c r="E108" s="378"/>
      <c r="F108" s="377"/>
      <c r="G108" s="377"/>
      <c r="H108" s="378"/>
      <c r="I108" s="360"/>
      <c r="J108" s="377"/>
      <c r="K108" s="377"/>
      <c r="L108" s="378"/>
      <c r="M108" s="377"/>
      <c r="N108" s="377"/>
      <c r="O108" s="377"/>
      <c r="P108" s="364"/>
      <c r="Q108" s="360"/>
      <c r="R108" s="377"/>
      <c r="S108" s="377"/>
      <c r="T108" s="375"/>
      <c r="U108" s="375"/>
      <c r="V108" s="375"/>
      <c r="W108" s="375"/>
      <c r="X108" s="375"/>
      <c r="Y108" s="375"/>
      <c r="Z108" s="375"/>
      <c r="AA108" s="375"/>
      <c r="AB108" s="375"/>
      <c r="AC108" s="375"/>
      <c r="AD108" s="375"/>
      <c r="AE108" s="375"/>
      <c r="AF108" s="375"/>
    </row>
    <row r="109">
      <c r="A109" s="360"/>
      <c r="B109" s="360"/>
      <c r="C109" s="377"/>
      <c r="D109" s="377"/>
      <c r="E109" s="378"/>
      <c r="F109" s="377"/>
      <c r="G109" s="377"/>
      <c r="H109" s="378"/>
      <c r="I109" s="360"/>
      <c r="J109" s="377"/>
      <c r="K109" s="377"/>
      <c r="L109" s="378"/>
      <c r="M109" s="377"/>
      <c r="N109" s="377"/>
      <c r="O109" s="377"/>
      <c r="P109" s="364"/>
      <c r="Q109" s="360"/>
      <c r="R109" s="377"/>
      <c r="S109" s="377"/>
      <c r="T109" s="375"/>
      <c r="U109" s="375"/>
      <c r="V109" s="375"/>
      <c r="W109" s="375"/>
      <c r="X109" s="375"/>
      <c r="Y109" s="375"/>
      <c r="Z109" s="375"/>
      <c r="AA109" s="375"/>
      <c r="AB109" s="375"/>
      <c r="AC109" s="375"/>
      <c r="AD109" s="375"/>
      <c r="AE109" s="375"/>
      <c r="AF109" s="375"/>
    </row>
    <row r="110">
      <c r="A110" s="360"/>
      <c r="B110" s="360"/>
      <c r="C110" s="377"/>
      <c r="D110" s="377"/>
      <c r="E110" s="378"/>
      <c r="F110" s="377"/>
      <c r="G110" s="377"/>
      <c r="H110" s="378"/>
      <c r="I110" s="360"/>
      <c r="J110" s="377"/>
      <c r="K110" s="377"/>
      <c r="L110" s="378"/>
      <c r="M110" s="377"/>
      <c r="N110" s="377"/>
      <c r="O110" s="377"/>
      <c r="P110" s="364"/>
      <c r="Q110" s="360"/>
      <c r="R110" s="377"/>
      <c r="S110" s="377"/>
      <c r="T110" s="375"/>
      <c r="U110" s="375"/>
      <c r="V110" s="375"/>
      <c r="W110" s="375"/>
      <c r="X110" s="375"/>
      <c r="Y110" s="375"/>
      <c r="Z110" s="375"/>
      <c r="AA110" s="375"/>
      <c r="AB110" s="375"/>
      <c r="AC110" s="375"/>
      <c r="AD110" s="375"/>
      <c r="AE110" s="375"/>
      <c r="AF110" s="375"/>
    </row>
    <row r="111">
      <c r="A111" s="360"/>
      <c r="B111" s="360"/>
      <c r="C111" s="377"/>
      <c r="D111" s="377"/>
      <c r="E111" s="378"/>
      <c r="F111" s="377"/>
      <c r="G111" s="377"/>
      <c r="H111" s="378"/>
      <c r="I111" s="360"/>
      <c r="J111" s="377"/>
      <c r="K111" s="377"/>
      <c r="L111" s="378"/>
      <c r="M111" s="377"/>
      <c r="N111" s="377"/>
      <c r="O111" s="377"/>
      <c r="P111" s="364"/>
      <c r="Q111" s="360"/>
      <c r="R111" s="377"/>
      <c r="S111" s="377"/>
      <c r="T111" s="375"/>
      <c r="U111" s="375"/>
      <c r="V111" s="375"/>
      <c r="W111" s="375"/>
      <c r="X111" s="375"/>
      <c r="Y111" s="375"/>
      <c r="Z111" s="375"/>
      <c r="AA111" s="375"/>
      <c r="AB111" s="375"/>
      <c r="AC111" s="375"/>
      <c r="AD111" s="375"/>
      <c r="AE111" s="375"/>
      <c r="AF111" s="375"/>
    </row>
    <row r="112">
      <c r="A112" s="360"/>
      <c r="B112" s="360"/>
      <c r="C112" s="377"/>
      <c r="D112" s="377"/>
      <c r="E112" s="378"/>
      <c r="F112" s="377"/>
      <c r="G112" s="377"/>
      <c r="H112" s="378"/>
      <c r="I112" s="360"/>
      <c r="J112" s="377"/>
      <c r="K112" s="377"/>
      <c r="L112" s="378"/>
      <c r="M112" s="377"/>
      <c r="N112" s="377"/>
      <c r="O112" s="377"/>
      <c r="P112" s="364"/>
      <c r="Q112" s="360"/>
      <c r="R112" s="377"/>
      <c r="S112" s="377"/>
      <c r="T112" s="375"/>
      <c r="U112" s="375"/>
      <c r="V112" s="375"/>
      <c r="W112" s="375"/>
      <c r="X112" s="375"/>
      <c r="Y112" s="375"/>
      <c r="Z112" s="375"/>
      <c r="AA112" s="375"/>
      <c r="AB112" s="375"/>
      <c r="AC112" s="375"/>
      <c r="AD112" s="375"/>
      <c r="AE112" s="375"/>
      <c r="AF112" s="375"/>
    </row>
    <row r="113">
      <c r="A113" s="360"/>
      <c r="B113" s="360"/>
      <c r="C113" s="377"/>
      <c r="D113" s="377"/>
      <c r="E113" s="378"/>
      <c r="F113" s="377"/>
      <c r="G113" s="377"/>
      <c r="H113" s="378"/>
      <c r="I113" s="360"/>
      <c r="J113" s="377"/>
      <c r="K113" s="377"/>
      <c r="L113" s="378"/>
      <c r="M113" s="377"/>
      <c r="N113" s="377"/>
      <c r="O113" s="377"/>
      <c r="P113" s="364"/>
      <c r="Q113" s="360"/>
      <c r="R113" s="377"/>
      <c r="S113" s="377"/>
      <c r="T113" s="375"/>
      <c r="U113" s="375"/>
      <c r="V113" s="375"/>
      <c r="W113" s="375"/>
      <c r="X113" s="375"/>
      <c r="Y113" s="375"/>
      <c r="Z113" s="375"/>
      <c r="AA113" s="375"/>
      <c r="AB113" s="375"/>
      <c r="AC113" s="375"/>
      <c r="AD113" s="375"/>
      <c r="AE113" s="375"/>
      <c r="AF113" s="375"/>
    </row>
    <row r="114">
      <c r="A114" s="360"/>
      <c r="B114" s="360"/>
      <c r="C114" s="377"/>
      <c r="D114" s="377"/>
      <c r="E114" s="378"/>
      <c r="F114" s="377"/>
      <c r="G114" s="377"/>
      <c r="H114" s="378"/>
      <c r="I114" s="360"/>
      <c r="J114" s="377"/>
      <c r="K114" s="377"/>
      <c r="L114" s="378"/>
      <c r="M114" s="377"/>
      <c r="N114" s="377"/>
      <c r="O114" s="377"/>
      <c r="P114" s="364"/>
      <c r="Q114" s="360"/>
      <c r="R114" s="377"/>
      <c r="S114" s="377"/>
      <c r="T114" s="375"/>
      <c r="U114" s="375"/>
      <c r="V114" s="375"/>
      <c r="W114" s="375"/>
      <c r="X114" s="375"/>
      <c r="Y114" s="375"/>
      <c r="Z114" s="375"/>
      <c r="AA114" s="375"/>
      <c r="AB114" s="375"/>
      <c r="AC114" s="375"/>
      <c r="AD114" s="375"/>
      <c r="AE114" s="375"/>
      <c r="AF114" s="375"/>
    </row>
    <row r="115">
      <c r="A115" s="360"/>
      <c r="B115" s="360"/>
      <c r="C115" s="377"/>
      <c r="D115" s="377"/>
      <c r="E115" s="378"/>
      <c r="F115" s="377"/>
      <c r="G115" s="377"/>
      <c r="H115" s="378"/>
      <c r="I115" s="360"/>
      <c r="J115" s="377"/>
      <c r="K115" s="377"/>
      <c r="L115" s="378"/>
      <c r="M115" s="377"/>
      <c r="N115" s="377"/>
      <c r="O115" s="377"/>
      <c r="P115" s="364"/>
      <c r="Q115" s="360"/>
      <c r="R115" s="377"/>
      <c r="S115" s="377"/>
      <c r="T115" s="375"/>
      <c r="U115" s="375"/>
      <c r="V115" s="375"/>
      <c r="W115" s="375"/>
      <c r="X115" s="375"/>
      <c r="Y115" s="375"/>
      <c r="Z115" s="375"/>
      <c r="AA115" s="375"/>
      <c r="AB115" s="375"/>
      <c r="AC115" s="375"/>
      <c r="AD115" s="375"/>
      <c r="AE115" s="375"/>
      <c r="AF115" s="375"/>
    </row>
    <row r="116">
      <c r="A116" s="360"/>
      <c r="B116" s="360"/>
      <c r="C116" s="377"/>
      <c r="D116" s="377"/>
      <c r="E116" s="378"/>
      <c r="F116" s="377"/>
      <c r="G116" s="377"/>
      <c r="H116" s="378"/>
      <c r="I116" s="360"/>
      <c r="J116" s="377"/>
      <c r="K116" s="377"/>
      <c r="L116" s="378"/>
      <c r="M116" s="377"/>
      <c r="N116" s="377"/>
      <c r="O116" s="377"/>
      <c r="P116" s="364"/>
      <c r="Q116" s="360"/>
      <c r="R116" s="377"/>
      <c r="S116" s="377"/>
      <c r="T116" s="375"/>
      <c r="U116" s="375"/>
      <c r="V116" s="375"/>
      <c r="W116" s="375"/>
      <c r="X116" s="375"/>
      <c r="Y116" s="375"/>
      <c r="Z116" s="375"/>
      <c r="AA116" s="375"/>
      <c r="AB116" s="375"/>
      <c r="AC116" s="375"/>
      <c r="AD116" s="375"/>
      <c r="AE116" s="375"/>
      <c r="AF116" s="375"/>
    </row>
    <row r="117">
      <c r="A117" s="360"/>
      <c r="B117" s="360"/>
      <c r="C117" s="377"/>
      <c r="D117" s="377"/>
      <c r="E117" s="378"/>
      <c r="F117" s="377"/>
      <c r="G117" s="377"/>
      <c r="H117" s="378"/>
      <c r="I117" s="360"/>
      <c r="J117" s="377"/>
      <c r="K117" s="377"/>
      <c r="L117" s="378"/>
      <c r="M117" s="377"/>
      <c r="N117" s="377"/>
      <c r="O117" s="377"/>
      <c r="P117" s="364"/>
      <c r="Q117" s="360"/>
      <c r="R117" s="377"/>
      <c r="S117" s="377"/>
      <c r="T117" s="375"/>
      <c r="U117" s="375"/>
      <c r="V117" s="375"/>
      <c r="W117" s="375"/>
      <c r="X117" s="375"/>
      <c r="Y117" s="375"/>
      <c r="Z117" s="375"/>
      <c r="AA117" s="375"/>
      <c r="AB117" s="375"/>
      <c r="AC117" s="375"/>
      <c r="AD117" s="375"/>
      <c r="AE117" s="375"/>
      <c r="AF117" s="375"/>
    </row>
    <row r="118">
      <c r="A118" s="360"/>
      <c r="B118" s="360"/>
      <c r="C118" s="377"/>
      <c r="D118" s="377"/>
      <c r="E118" s="378"/>
      <c r="F118" s="377"/>
      <c r="G118" s="377"/>
      <c r="H118" s="378"/>
      <c r="I118" s="360"/>
      <c r="J118" s="377"/>
      <c r="K118" s="377"/>
      <c r="L118" s="378"/>
      <c r="M118" s="377"/>
      <c r="N118" s="377"/>
      <c r="O118" s="377"/>
      <c r="P118" s="364"/>
      <c r="Q118" s="360"/>
      <c r="R118" s="377"/>
      <c r="S118" s="377"/>
      <c r="T118" s="375"/>
      <c r="U118" s="375"/>
      <c r="V118" s="375"/>
      <c r="W118" s="375"/>
      <c r="X118" s="375"/>
      <c r="Y118" s="375"/>
      <c r="Z118" s="375"/>
      <c r="AA118" s="375"/>
      <c r="AB118" s="375"/>
      <c r="AC118" s="375"/>
      <c r="AD118" s="375"/>
      <c r="AE118" s="375"/>
      <c r="AF118" s="375"/>
    </row>
    <row r="119">
      <c r="A119" s="360"/>
      <c r="B119" s="360"/>
      <c r="C119" s="377"/>
      <c r="D119" s="377"/>
      <c r="E119" s="378"/>
      <c r="F119" s="377"/>
      <c r="G119" s="377"/>
      <c r="H119" s="378"/>
      <c r="I119" s="360"/>
      <c r="J119" s="377"/>
      <c r="K119" s="377"/>
      <c r="L119" s="378"/>
      <c r="M119" s="377"/>
      <c r="N119" s="377"/>
      <c r="O119" s="377"/>
      <c r="P119" s="364"/>
      <c r="Q119" s="360"/>
      <c r="R119" s="377"/>
      <c r="S119" s="377"/>
      <c r="T119" s="375"/>
      <c r="U119" s="375"/>
      <c r="V119" s="375"/>
      <c r="W119" s="375"/>
      <c r="X119" s="375"/>
      <c r="Y119" s="375"/>
      <c r="Z119" s="375"/>
      <c r="AA119" s="375"/>
      <c r="AB119" s="375"/>
      <c r="AC119" s="375"/>
      <c r="AD119" s="375"/>
      <c r="AE119" s="375"/>
      <c r="AF119" s="375"/>
    </row>
    <row r="120">
      <c r="A120" s="360"/>
      <c r="B120" s="360"/>
      <c r="C120" s="377"/>
      <c r="D120" s="377"/>
      <c r="E120" s="378"/>
      <c r="F120" s="377"/>
      <c r="G120" s="377"/>
      <c r="H120" s="378"/>
      <c r="I120" s="360"/>
      <c r="J120" s="377"/>
      <c r="K120" s="377"/>
      <c r="L120" s="378"/>
      <c r="M120" s="377"/>
      <c r="N120" s="377"/>
      <c r="O120" s="377"/>
      <c r="P120" s="364"/>
      <c r="Q120" s="360"/>
      <c r="R120" s="377"/>
      <c r="S120" s="377"/>
      <c r="T120" s="375"/>
      <c r="U120" s="375"/>
      <c r="V120" s="375"/>
      <c r="W120" s="375"/>
      <c r="X120" s="375"/>
      <c r="Y120" s="375"/>
      <c r="Z120" s="375"/>
      <c r="AA120" s="375"/>
      <c r="AB120" s="375"/>
      <c r="AC120" s="375"/>
      <c r="AD120" s="375"/>
      <c r="AE120" s="375"/>
      <c r="AF120" s="375"/>
    </row>
    <row r="121">
      <c r="A121" s="360"/>
      <c r="B121" s="360"/>
      <c r="C121" s="377"/>
      <c r="D121" s="377"/>
      <c r="E121" s="378"/>
      <c r="F121" s="377"/>
      <c r="G121" s="377"/>
      <c r="H121" s="378"/>
      <c r="I121" s="360"/>
      <c r="J121" s="377"/>
      <c r="K121" s="377"/>
      <c r="L121" s="378"/>
      <c r="M121" s="377"/>
      <c r="N121" s="377"/>
      <c r="O121" s="377"/>
      <c r="P121" s="364"/>
      <c r="Q121" s="360"/>
      <c r="R121" s="377"/>
      <c r="S121" s="377"/>
      <c r="T121" s="375"/>
      <c r="U121" s="375"/>
      <c r="V121" s="375"/>
      <c r="W121" s="375"/>
      <c r="X121" s="375"/>
      <c r="Y121" s="375"/>
      <c r="Z121" s="375"/>
      <c r="AA121" s="375"/>
      <c r="AB121" s="375"/>
      <c r="AC121" s="375"/>
      <c r="AD121" s="375"/>
      <c r="AE121" s="375"/>
      <c r="AF121" s="375"/>
    </row>
    <row r="122">
      <c r="A122" s="360"/>
      <c r="B122" s="360"/>
      <c r="C122" s="377"/>
      <c r="D122" s="377"/>
      <c r="E122" s="378"/>
      <c r="F122" s="377"/>
      <c r="G122" s="377"/>
      <c r="H122" s="378"/>
      <c r="I122" s="360"/>
      <c r="J122" s="377"/>
      <c r="K122" s="377"/>
      <c r="L122" s="378"/>
      <c r="M122" s="377"/>
      <c r="N122" s="377"/>
      <c r="O122" s="377"/>
      <c r="P122" s="364"/>
      <c r="Q122" s="360"/>
      <c r="R122" s="377"/>
      <c r="S122" s="377"/>
      <c r="T122" s="375"/>
      <c r="U122" s="375"/>
      <c r="V122" s="375"/>
      <c r="W122" s="375"/>
      <c r="X122" s="375"/>
      <c r="Y122" s="375"/>
      <c r="Z122" s="375"/>
      <c r="AA122" s="375"/>
      <c r="AB122" s="375"/>
      <c r="AC122" s="375"/>
      <c r="AD122" s="375"/>
      <c r="AE122" s="375"/>
      <c r="AF122" s="375"/>
    </row>
    <row r="123">
      <c r="A123" s="360"/>
      <c r="B123" s="360"/>
      <c r="C123" s="377"/>
      <c r="D123" s="377"/>
      <c r="E123" s="378"/>
      <c r="F123" s="377"/>
      <c r="G123" s="377"/>
      <c r="H123" s="378"/>
      <c r="I123" s="360"/>
      <c r="J123" s="377"/>
      <c r="K123" s="377"/>
      <c r="L123" s="378"/>
      <c r="M123" s="377"/>
      <c r="N123" s="377"/>
      <c r="O123" s="377"/>
      <c r="P123" s="364"/>
      <c r="Q123" s="360"/>
      <c r="R123" s="377"/>
      <c r="S123" s="377"/>
      <c r="T123" s="375"/>
      <c r="U123" s="375"/>
      <c r="V123" s="375"/>
      <c r="W123" s="375"/>
      <c r="X123" s="375"/>
      <c r="Y123" s="375"/>
      <c r="Z123" s="375"/>
      <c r="AA123" s="375"/>
      <c r="AB123" s="375"/>
      <c r="AC123" s="375"/>
      <c r="AD123" s="375"/>
      <c r="AE123" s="375"/>
      <c r="AF123" s="375"/>
    </row>
    <row r="124">
      <c r="A124" s="360"/>
      <c r="B124" s="360"/>
      <c r="C124" s="377"/>
      <c r="D124" s="377"/>
      <c r="E124" s="378"/>
      <c r="F124" s="377"/>
      <c r="G124" s="377"/>
      <c r="H124" s="378"/>
      <c r="I124" s="360"/>
      <c r="J124" s="377"/>
      <c r="K124" s="377"/>
      <c r="L124" s="378"/>
      <c r="M124" s="377"/>
      <c r="N124" s="377"/>
      <c r="O124" s="377"/>
      <c r="P124" s="364"/>
      <c r="Q124" s="360"/>
      <c r="R124" s="377"/>
      <c r="S124" s="377"/>
      <c r="T124" s="375"/>
      <c r="U124" s="375"/>
      <c r="V124" s="375"/>
      <c r="W124" s="375"/>
      <c r="X124" s="375"/>
      <c r="Y124" s="375"/>
      <c r="Z124" s="375"/>
      <c r="AA124" s="375"/>
      <c r="AB124" s="375"/>
      <c r="AC124" s="375"/>
      <c r="AD124" s="375"/>
      <c r="AE124" s="375"/>
      <c r="AF124" s="375"/>
    </row>
    <row r="125">
      <c r="A125" s="360"/>
      <c r="B125" s="360"/>
      <c r="C125" s="377"/>
      <c r="D125" s="377"/>
      <c r="E125" s="378"/>
      <c r="F125" s="377"/>
      <c r="G125" s="377"/>
      <c r="H125" s="378"/>
      <c r="I125" s="360"/>
      <c r="J125" s="377"/>
      <c r="K125" s="377"/>
      <c r="L125" s="378"/>
      <c r="M125" s="377"/>
      <c r="N125" s="377"/>
      <c r="O125" s="377"/>
      <c r="P125" s="364"/>
      <c r="Q125" s="360"/>
      <c r="R125" s="377"/>
      <c r="S125" s="377"/>
      <c r="T125" s="375"/>
      <c r="U125" s="375"/>
      <c r="V125" s="375"/>
      <c r="W125" s="375"/>
      <c r="X125" s="375"/>
      <c r="Y125" s="375"/>
      <c r="Z125" s="375"/>
      <c r="AA125" s="375"/>
      <c r="AB125" s="375"/>
      <c r="AC125" s="375"/>
      <c r="AD125" s="375"/>
      <c r="AE125" s="375"/>
      <c r="AF125" s="375"/>
    </row>
    <row r="126">
      <c r="A126" s="360"/>
      <c r="B126" s="360"/>
      <c r="C126" s="377"/>
      <c r="D126" s="377"/>
      <c r="E126" s="378"/>
      <c r="F126" s="377"/>
      <c r="G126" s="377"/>
      <c r="H126" s="378"/>
      <c r="I126" s="360"/>
      <c r="J126" s="377"/>
      <c r="K126" s="377"/>
      <c r="L126" s="378"/>
      <c r="M126" s="377"/>
      <c r="N126" s="377"/>
      <c r="O126" s="377"/>
      <c r="P126" s="364"/>
      <c r="Q126" s="360"/>
      <c r="R126" s="377"/>
      <c r="S126" s="377"/>
      <c r="T126" s="375"/>
      <c r="U126" s="375"/>
      <c r="V126" s="375"/>
      <c r="W126" s="375"/>
      <c r="X126" s="375"/>
      <c r="Y126" s="375"/>
      <c r="Z126" s="375"/>
      <c r="AA126" s="375"/>
      <c r="AB126" s="375"/>
      <c r="AC126" s="375"/>
      <c r="AD126" s="375"/>
      <c r="AE126" s="375"/>
      <c r="AF126" s="375"/>
    </row>
    <row r="127">
      <c r="A127" s="360"/>
      <c r="B127" s="360"/>
      <c r="C127" s="377"/>
      <c r="D127" s="377"/>
      <c r="E127" s="378"/>
      <c r="F127" s="377"/>
      <c r="G127" s="377"/>
      <c r="H127" s="378"/>
      <c r="I127" s="360"/>
      <c r="J127" s="377"/>
      <c r="K127" s="377"/>
      <c r="L127" s="378"/>
      <c r="M127" s="377"/>
      <c r="N127" s="377"/>
      <c r="O127" s="377"/>
      <c r="P127" s="364"/>
      <c r="Q127" s="360"/>
      <c r="R127" s="377"/>
      <c r="S127" s="377"/>
      <c r="T127" s="375"/>
      <c r="U127" s="375"/>
      <c r="V127" s="375"/>
      <c r="W127" s="375"/>
      <c r="X127" s="375"/>
      <c r="Y127" s="375"/>
      <c r="Z127" s="375"/>
      <c r="AA127" s="375"/>
      <c r="AB127" s="375"/>
      <c r="AC127" s="375"/>
      <c r="AD127" s="375"/>
      <c r="AE127" s="375"/>
      <c r="AF127" s="375"/>
    </row>
    <row r="128">
      <c r="A128" s="360"/>
      <c r="B128" s="360"/>
      <c r="C128" s="377"/>
      <c r="D128" s="377"/>
      <c r="E128" s="378"/>
      <c r="F128" s="377"/>
      <c r="G128" s="377"/>
      <c r="H128" s="378"/>
      <c r="I128" s="360"/>
      <c r="J128" s="377"/>
      <c r="K128" s="377"/>
      <c r="L128" s="378"/>
      <c r="M128" s="377"/>
      <c r="N128" s="377"/>
      <c r="O128" s="377"/>
      <c r="P128" s="364"/>
      <c r="Q128" s="360"/>
      <c r="R128" s="377"/>
      <c r="S128" s="377"/>
      <c r="T128" s="375"/>
      <c r="U128" s="375"/>
      <c r="V128" s="375"/>
      <c r="W128" s="375"/>
      <c r="X128" s="375"/>
      <c r="Y128" s="375"/>
      <c r="Z128" s="375"/>
      <c r="AA128" s="375"/>
      <c r="AB128" s="375"/>
      <c r="AC128" s="375"/>
      <c r="AD128" s="375"/>
      <c r="AE128" s="375"/>
      <c r="AF128" s="375"/>
    </row>
    <row r="129">
      <c r="A129" s="360"/>
      <c r="B129" s="360"/>
      <c r="C129" s="377"/>
      <c r="D129" s="377"/>
      <c r="E129" s="378"/>
      <c r="F129" s="377"/>
      <c r="G129" s="377"/>
      <c r="H129" s="378"/>
      <c r="I129" s="360"/>
      <c r="J129" s="377"/>
      <c r="K129" s="377"/>
      <c r="L129" s="378"/>
      <c r="M129" s="377"/>
      <c r="N129" s="377"/>
      <c r="O129" s="377"/>
      <c r="P129" s="364"/>
      <c r="Q129" s="360"/>
      <c r="R129" s="377"/>
      <c r="S129" s="377"/>
      <c r="T129" s="375"/>
      <c r="U129" s="375"/>
      <c r="V129" s="375"/>
      <c r="W129" s="375"/>
      <c r="X129" s="375"/>
      <c r="Y129" s="375"/>
      <c r="Z129" s="375"/>
      <c r="AA129" s="375"/>
      <c r="AB129" s="375"/>
      <c r="AC129" s="375"/>
      <c r="AD129" s="375"/>
      <c r="AE129" s="375"/>
      <c r="AF129" s="375"/>
    </row>
    <row r="130">
      <c r="A130" s="360"/>
      <c r="B130" s="360"/>
      <c r="C130" s="377"/>
      <c r="D130" s="377"/>
      <c r="E130" s="378"/>
      <c r="F130" s="377"/>
      <c r="G130" s="377"/>
      <c r="H130" s="378"/>
      <c r="I130" s="360"/>
      <c r="J130" s="377"/>
      <c r="K130" s="377"/>
      <c r="L130" s="378"/>
      <c r="M130" s="377"/>
      <c r="N130" s="377"/>
      <c r="O130" s="377"/>
      <c r="P130" s="364"/>
      <c r="Q130" s="360"/>
      <c r="R130" s="377"/>
      <c r="S130" s="377"/>
      <c r="T130" s="375"/>
      <c r="U130" s="375"/>
      <c r="V130" s="375"/>
      <c r="W130" s="375"/>
      <c r="X130" s="375"/>
      <c r="Y130" s="375"/>
      <c r="Z130" s="375"/>
      <c r="AA130" s="375"/>
      <c r="AB130" s="375"/>
      <c r="AC130" s="375"/>
      <c r="AD130" s="375"/>
      <c r="AE130" s="375"/>
      <c r="AF130" s="375"/>
    </row>
    <row r="131">
      <c r="A131" s="360"/>
      <c r="B131" s="360"/>
      <c r="C131" s="377"/>
      <c r="D131" s="377"/>
      <c r="E131" s="378"/>
      <c r="F131" s="377"/>
      <c r="G131" s="377"/>
      <c r="H131" s="378"/>
      <c r="I131" s="360"/>
      <c r="J131" s="377"/>
      <c r="K131" s="377"/>
      <c r="L131" s="378"/>
      <c r="M131" s="377"/>
      <c r="N131" s="377"/>
      <c r="O131" s="377"/>
      <c r="P131" s="364"/>
      <c r="Q131" s="360"/>
      <c r="R131" s="377"/>
      <c r="S131" s="377"/>
      <c r="T131" s="375"/>
      <c r="U131" s="375"/>
      <c r="V131" s="375"/>
      <c r="W131" s="375"/>
      <c r="X131" s="375"/>
      <c r="Y131" s="375"/>
      <c r="Z131" s="375"/>
      <c r="AA131" s="375"/>
      <c r="AB131" s="375"/>
      <c r="AC131" s="375"/>
      <c r="AD131" s="375"/>
      <c r="AE131" s="375"/>
      <c r="AF131" s="375"/>
    </row>
    <row r="132">
      <c r="A132" s="360"/>
      <c r="B132" s="360"/>
      <c r="C132" s="377"/>
      <c r="D132" s="377"/>
      <c r="E132" s="378"/>
      <c r="F132" s="377"/>
      <c r="G132" s="377"/>
      <c r="H132" s="378"/>
      <c r="I132" s="360"/>
      <c r="J132" s="377"/>
      <c r="K132" s="377"/>
      <c r="L132" s="378"/>
      <c r="M132" s="377"/>
      <c r="N132" s="377"/>
      <c r="O132" s="377"/>
      <c r="P132" s="364"/>
      <c r="Q132" s="360"/>
      <c r="R132" s="377"/>
      <c r="S132" s="377"/>
      <c r="T132" s="375"/>
      <c r="U132" s="375"/>
      <c r="V132" s="375"/>
      <c r="W132" s="375"/>
      <c r="X132" s="375"/>
      <c r="Y132" s="375"/>
      <c r="Z132" s="375"/>
      <c r="AA132" s="375"/>
      <c r="AB132" s="375"/>
      <c r="AC132" s="375"/>
      <c r="AD132" s="375"/>
      <c r="AE132" s="375"/>
      <c r="AF132" s="375"/>
    </row>
    <row r="133">
      <c r="A133" s="360"/>
      <c r="B133" s="360"/>
      <c r="C133" s="377"/>
      <c r="D133" s="377"/>
      <c r="E133" s="378"/>
      <c r="F133" s="377"/>
      <c r="G133" s="377"/>
      <c r="H133" s="378"/>
      <c r="I133" s="360"/>
      <c r="J133" s="377"/>
      <c r="K133" s="377"/>
      <c r="L133" s="378"/>
      <c r="M133" s="377"/>
      <c r="N133" s="377"/>
      <c r="O133" s="377"/>
      <c r="P133" s="364"/>
      <c r="Q133" s="360"/>
      <c r="R133" s="377"/>
      <c r="S133" s="377"/>
      <c r="T133" s="375"/>
      <c r="U133" s="375"/>
      <c r="V133" s="375"/>
      <c r="W133" s="375"/>
      <c r="X133" s="375"/>
      <c r="Y133" s="375"/>
      <c r="Z133" s="375"/>
      <c r="AA133" s="375"/>
      <c r="AB133" s="375"/>
      <c r="AC133" s="375"/>
      <c r="AD133" s="375"/>
      <c r="AE133" s="375"/>
      <c r="AF133" s="375"/>
    </row>
    <row r="134">
      <c r="A134" s="360"/>
      <c r="B134" s="360"/>
      <c r="C134" s="377"/>
      <c r="D134" s="377"/>
      <c r="E134" s="378"/>
      <c r="F134" s="377"/>
      <c r="G134" s="377"/>
      <c r="H134" s="378"/>
      <c r="I134" s="360"/>
      <c r="J134" s="377"/>
      <c r="K134" s="377"/>
      <c r="L134" s="378"/>
      <c r="M134" s="377"/>
      <c r="N134" s="377"/>
      <c r="O134" s="377"/>
      <c r="P134" s="364"/>
      <c r="Q134" s="360"/>
      <c r="R134" s="377"/>
      <c r="S134" s="377"/>
      <c r="T134" s="375"/>
      <c r="U134" s="375"/>
      <c r="V134" s="375"/>
      <c r="W134" s="375"/>
      <c r="X134" s="375"/>
      <c r="Y134" s="375"/>
      <c r="Z134" s="375"/>
      <c r="AA134" s="375"/>
      <c r="AB134" s="375"/>
      <c r="AC134" s="375"/>
      <c r="AD134" s="375"/>
      <c r="AE134" s="375"/>
      <c r="AF134" s="375"/>
    </row>
    <row r="135">
      <c r="A135" s="360"/>
      <c r="B135" s="360"/>
      <c r="C135" s="377"/>
      <c r="D135" s="377"/>
      <c r="E135" s="378"/>
      <c r="F135" s="377"/>
      <c r="G135" s="377"/>
      <c r="H135" s="378"/>
      <c r="I135" s="360"/>
      <c r="J135" s="377"/>
      <c r="K135" s="377"/>
      <c r="L135" s="378"/>
      <c r="M135" s="377"/>
      <c r="N135" s="377"/>
      <c r="O135" s="377"/>
      <c r="P135" s="364"/>
      <c r="Q135" s="360"/>
      <c r="R135" s="377"/>
      <c r="S135" s="377"/>
      <c r="T135" s="375"/>
      <c r="U135" s="375"/>
      <c r="V135" s="375"/>
      <c r="W135" s="375"/>
      <c r="X135" s="375"/>
      <c r="Y135" s="375"/>
      <c r="Z135" s="375"/>
      <c r="AA135" s="375"/>
      <c r="AB135" s="375"/>
      <c r="AC135" s="375"/>
      <c r="AD135" s="375"/>
      <c r="AE135" s="375"/>
      <c r="AF135" s="375"/>
    </row>
    <row r="136">
      <c r="A136" s="360"/>
      <c r="B136" s="360"/>
      <c r="C136" s="377"/>
      <c r="D136" s="377"/>
      <c r="E136" s="378"/>
      <c r="F136" s="377"/>
      <c r="G136" s="377"/>
      <c r="H136" s="378"/>
      <c r="I136" s="360"/>
      <c r="J136" s="377"/>
      <c r="K136" s="377"/>
      <c r="L136" s="378"/>
      <c r="M136" s="377"/>
      <c r="N136" s="377"/>
      <c r="O136" s="377"/>
      <c r="P136" s="364"/>
      <c r="Q136" s="360"/>
      <c r="R136" s="377"/>
      <c r="S136" s="377"/>
      <c r="T136" s="375"/>
      <c r="U136" s="375"/>
      <c r="V136" s="375"/>
      <c r="W136" s="375"/>
      <c r="X136" s="375"/>
      <c r="Y136" s="375"/>
      <c r="Z136" s="375"/>
      <c r="AA136" s="375"/>
      <c r="AB136" s="375"/>
      <c r="AC136" s="375"/>
      <c r="AD136" s="375"/>
      <c r="AE136" s="375"/>
      <c r="AF136" s="375"/>
    </row>
    <row r="137">
      <c r="A137" s="360"/>
      <c r="B137" s="360"/>
      <c r="C137" s="377"/>
      <c r="D137" s="377"/>
      <c r="E137" s="378"/>
      <c r="F137" s="377"/>
      <c r="G137" s="377"/>
      <c r="H137" s="378"/>
      <c r="I137" s="360"/>
      <c r="J137" s="377"/>
      <c r="K137" s="377"/>
      <c r="L137" s="378"/>
      <c r="M137" s="377"/>
      <c r="N137" s="377"/>
      <c r="O137" s="377"/>
      <c r="P137" s="364"/>
      <c r="Q137" s="360"/>
      <c r="R137" s="377"/>
      <c r="S137" s="377"/>
      <c r="T137" s="375"/>
      <c r="U137" s="375"/>
      <c r="V137" s="375"/>
      <c r="W137" s="375"/>
      <c r="X137" s="375"/>
      <c r="Y137" s="375"/>
      <c r="Z137" s="375"/>
      <c r="AA137" s="375"/>
      <c r="AB137" s="375"/>
      <c r="AC137" s="375"/>
      <c r="AD137" s="375"/>
      <c r="AE137" s="375"/>
      <c r="AF137" s="375"/>
    </row>
    <row r="138">
      <c r="A138" s="360"/>
      <c r="B138" s="360"/>
      <c r="C138" s="377"/>
      <c r="D138" s="377"/>
      <c r="E138" s="378"/>
      <c r="F138" s="377"/>
      <c r="G138" s="377"/>
      <c r="H138" s="378"/>
      <c r="I138" s="360"/>
      <c r="J138" s="377"/>
      <c r="K138" s="377"/>
      <c r="L138" s="378"/>
      <c r="M138" s="377"/>
      <c r="N138" s="377"/>
      <c r="O138" s="377"/>
      <c r="P138" s="364"/>
      <c r="Q138" s="360"/>
      <c r="R138" s="377"/>
      <c r="S138" s="377"/>
      <c r="T138" s="375"/>
      <c r="U138" s="375"/>
      <c r="V138" s="375"/>
      <c r="W138" s="375"/>
      <c r="X138" s="375"/>
      <c r="Y138" s="375"/>
      <c r="Z138" s="375"/>
      <c r="AA138" s="375"/>
      <c r="AB138" s="375"/>
      <c r="AC138" s="375"/>
      <c r="AD138" s="375"/>
      <c r="AE138" s="375"/>
      <c r="AF138" s="375"/>
    </row>
    <row r="139">
      <c r="A139" s="360"/>
      <c r="B139" s="360"/>
      <c r="C139" s="377"/>
      <c r="D139" s="377"/>
      <c r="E139" s="378"/>
      <c r="F139" s="377"/>
      <c r="G139" s="377"/>
      <c r="H139" s="378"/>
      <c r="I139" s="360"/>
      <c r="J139" s="377"/>
      <c r="K139" s="377"/>
      <c r="L139" s="378"/>
      <c r="M139" s="377"/>
      <c r="N139" s="377"/>
      <c r="O139" s="377"/>
      <c r="P139" s="364"/>
      <c r="Q139" s="360"/>
      <c r="R139" s="377"/>
      <c r="S139" s="377"/>
      <c r="T139" s="375"/>
      <c r="U139" s="375"/>
      <c r="V139" s="375"/>
      <c r="W139" s="375"/>
      <c r="X139" s="375"/>
      <c r="Y139" s="375"/>
      <c r="Z139" s="375"/>
      <c r="AA139" s="375"/>
      <c r="AB139" s="375"/>
      <c r="AC139" s="375"/>
      <c r="AD139" s="375"/>
      <c r="AE139" s="375"/>
      <c r="AF139" s="375"/>
    </row>
    <row r="140">
      <c r="A140" s="360"/>
      <c r="B140" s="360"/>
      <c r="C140" s="377"/>
      <c r="D140" s="377"/>
      <c r="E140" s="378"/>
      <c r="F140" s="377"/>
      <c r="G140" s="377"/>
      <c r="H140" s="378"/>
      <c r="I140" s="360"/>
      <c r="J140" s="377"/>
      <c r="K140" s="377"/>
      <c r="L140" s="378"/>
      <c r="M140" s="377"/>
      <c r="N140" s="377"/>
      <c r="O140" s="377"/>
      <c r="P140" s="364"/>
      <c r="Q140" s="360"/>
      <c r="R140" s="377"/>
      <c r="S140" s="377"/>
      <c r="T140" s="375"/>
      <c r="U140" s="375"/>
      <c r="V140" s="375"/>
      <c r="W140" s="375"/>
      <c r="X140" s="375"/>
      <c r="Y140" s="375"/>
      <c r="Z140" s="375"/>
      <c r="AA140" s="375"/>
      <c r="AB140" s="375"/>
      <c r="AC140" s="375"/>
      <c r="AD140" s="375"/>
      <c r="AE140" s="375"/>
      <c r="AF140" s="375"/>
    </row>
    <row r="141">
      <c r="A141" s="360"/>
      <c r="B141" s="360"/>
      <c r="C141" s="377"/>
      <c r="D141" s="377"/>
      <c r="E141" s="378"/>
      <c r="F141" s="377"/>
      <c r="G141" s="377"/>
      <c r="H141" s="378"/>
      <c r="I141" s="360"/>
      <c r="J141" s="377"/>
      <c r="K141" s="377"/>
      <c r="L141" s="378"/>
      <c r="M141" s="377"/>
      <c r="N141" s="377"/>
      <c r="O141" s="377"/>
      <c r="P141" s="364"/>
      <c r="Q141" s="360"/>
      <c r="R141" s="377"/>
      <c r="S141" s="377"/>
      <c r="T141" s="375"/>
      <c r="U141" s="375"/>
      <c r="V141" s="375"/>
      <c r="W141" s="375"/>
      <c r="X141" s="375"/>
      <c r="Y141" s="375"/>
      <c r="Z141" s="375"/>
      <c r="AA141" s="375"/>
      <c r="AB141" s="375"/>
      <c r="AC141" s="375"/>
      <c r="AD141" s="375"/>
      <c r="AE141" s="375"/>
      <c r="AF141" s="375"/>
    </row>
    <row r="142">
      <c r="A142" s="360"/>
      <c r="B142" s="360"/>
      <c r="C142" s="377"/>
      <c r="D142" s="377"/>
      <c r="E142" s="378"/>
      <c r="F142" s="377"/>
      <c r="G142" s="377"/>
      <c r="H142" s="378"/>
      <c r="I142" s="360"/>
      <c r="J142" s="377"/>
      <c r="K142" s="377"/>
      <c r="L142" s="378"/>
      <c r="M142" s="377"/>
      <c r="N142" s="377"/>
      <c r="O142" s="377"/>
      <c r="P142" s="364"/>
      <c r="Q142" s="360"/>
      <c r="R142" s="377"/>
      <c r="S142" s="377"/>
      <c r="T142" s="375"/>
      <c r="U142" s="375"/>
      <c r="V142" s="375"/>
      <c r="W142" s="375"/>
      <c r="X142" s="375"/>
      <c r="Y142" s="375"/>
      <c r="Z142" s="375"/>
      <c r="AA142" s="375"/>
      <c r="AB142" s="375"/>
      <c r="AC142" s="375"/>
      <c r="AD142" s="375"/>
      <c r="AE142" s="375"/>
      <c r="AF142" s="375"/>
    </row>
    <row r="143">
      <c r="A143" s="360"/>
      <c r="B143" s="360"/>
      <c r="C143" s="377"/>
      <c r="D143" s="377"/>
      <c r="E143" s="378"/>
      <c r="F143" s="377"/>
      <c r="G143" s="377"/>
      <c r="H143" s="378"/>
      <c r="I143" s="360"/>
      <c r="J143" s="377"/>
      <c r="K143" s="377"/>
      <c r="L143" s="378"/>
      <c r="M143" s="377"/>
      <c r="N143" s="377"/>
      <c r="O143" s="377"/>
      <c r="P143" s="364"/>
      <c r="Q143" s="360"/>
      <c r="R143" s="377"/>
      <c r="S143" s="377"/>
      <c r="T143" s="375"/>
      <c r="U143" s="375"/>
      <c r="V143" s="375"/>
      <c r="W143" s="375"/>
      <c r="X143" s="375"/>
      <c r="Y143" s="375"/>
      <c r="Z143" s="375"/>
      <c r="AA143" s="375"/>
      <c r="AB143" s="375"/>
      <c r="AC143" s="375"/>
      <c r="AD143" s="375"/>
      <c r="AE143" s="375"/>
      <c r="AF143" s="375"/>
    </row>
    <row r="144">
      <c r="A144" s="360"/>
      <c r="B144" s="360"/>
      <c r="C144" s="377"/>
      <c r="D144" s="377"/>
      <c r="E144" s="378"/>
      <c r="F144" s="377"/>
      <c r="G144" s="377"/>
      <c r="H144" s="378"/>
      <c r="I144" s="360"/>
      <c r="J144" s="377"/>
      <c r="K144" s="377"/>
      <c r="L144" s="378"/>
      <c r="M144" s="377"/>
      <c r="N144" s="377"/>
      <c r="O144" s="377"/>
      <c r="P144" s="364"/>
      <c r="Q144" s="360"/>
      <c r="R144" s="377"/>
      <c r="S144" s="377"/>
      <c r="T144" s="375"/>
      <c r="U144" s="375"/>
      <c r="V144" s="375"/>
      <c r="W144" s="375"/>
      <c r="X144" s="375"/>
      <c r="Y144" s="375"/>
      <c r="Z144" s="375"/>
      <c r="AA144" s="375"/>
      <c r="AB144" s="375"/>
      <c r="AC144" s="375"/>
      <c r="AD144" s="375"/>
      <c r="AE144" s="375"/>
      <c r="AF144" s="375"/>
    </row>
    <row r="145">
      <c r="A145" s="360"/>
      <c r="B145" s="360"/>
      <c r="C145" s="377"/>
      <c r="D145" s="377"/>
      <c r="E145" s="378"/>
      <c r="F145" s="377"/>
      <c r="G145" s="377"/>
      <c r="H145" s="378"/>
      <c r="I145" s="360"/>
      <c r="J145" s="377"/>
      <c r="K145" s="377"/>
      <c r="L145" s="378"/>
      <c r="M145" s="377"/>
      <c r="N145" s="377"/>
      <c r="O145" s="377"/>
      <c r="P145" s="364"/>
      <c r="Q145" s="360"/>
      <c r="R145" s="377"/>
      <c r="S145" s="377"/>
      <c r="T145" s="375"/>
      <c r="U145" s="375"/>
      <c r="V145" s="375"/>
      <c r="W145" s="375"/>
      <c r="X145" s="375"/>
      <c r="Y145" s="375"/>
      <c r="Z145" s="375"/>
      <c r="AA145" s="375"/>
      <c r="AB145" s="375"/>
      <c r="AC145" s="375"/>
      <c r="AD145" s="375"/>
      <c r="AE145" s="375"/>
      <c r="AF145" s="375"/>
    </row>
    <row r="146">
      <c r="A146" s="360"/>
      <c r="B146" s="360"/>
      <c r="C146" s="377"/>
      <c r="D146" s="377"/>
      <c r="E146" s="378"/>
      <c r="F146" s="377"/>
      <c r="G146" s="377"/>
      <c r="H146" s="378"/>
      <c r="I146" s="360"/>
      <c r="J146" s="377"/>
      <c r="K146" s="377"/>
      <c r="L146" s="378"/>
      <c r="M146" s="377"/>
      <c r="N146" s="377"/>
      <c r="O146" s="377"/>
      <c r="P146" s="364"/>
      <c r="Q146" s="360"/>
      <c r="R146" s="377"/>
      <c r="S146" s="377"/>
      <c r="T146" s="375"/>
      <c r="U146" s="375"/>
      <c r="V146" s="375"/>
      <c r="W146" s="375"/>
      <c r="X146" s="375"/>
      <c r="Y146" s="375"/>
      <c r="Z146" s="375"/>
      <c r="AA146" s="375"/>
      <c r="AB146" s="375"/>
      <c r="AC146" s="375"/>
      <c r="AD146" s="375"/>
      <c r="AE146" s="375"/>
      <c r="AF146" s="375"/>
    </row>
    <row r="147">
      <c r="A147" s="360"/>
      <c r="B147" s="360"/>
      <c r="C147" s="377"/>
      <c r="D147" s="377"/>
      <c r="E147" s="378"/>
      <c r="F147" s="377"/>
      <c r="G147" s="377"/>
      <c r="H147" s="378"/>
      <c r="I147" s="360"/>
      <c r="J147" s="377"/>
      <c r="K147" s="377"/>
      <c r="L147" s="378"/>
      <c r="M147" s="377"/>
      <c r="N147" s="377"/>
      <c r="O147" s="377"/>
      <c r="P147" s="364"/>
      <c r="Q147" s="360"/>
      <c r="R147" s="377"/>
      <c r="S147" s="377"/>
      <c r="T147" s="375"/>
      <c r="U147" s="375"/>
      <c r="V147" s="375"/>
      <c r="W147" s="375"/>
      <c r="X147" s="375"/>
      <c r="Y147" s="375"/>
      <c r="Z147" s="375"/>
      <c r="AA147" s="375"/>
      <c r="AB147" s="375"/>
      <c r="AC147" s="375"/>
      <c r="AD147" s="375"/>
      <c r="AE147" s="375"/>
      <c r="AF147" s="375"/>
    </row>
    <row r="148">
      <c r="A148" s="360"/>
      <c r="B148" s="360"/>
      <c r="C148" s="377"/>
      <c r="D148" s="377"/>
      <c r="E148" s="378"/>
      <c r="F148" s="377"/>
      <c r="G148" s="377"/>
      <c r="H148" s="378"/>
      <c r="I148" s="360"/>
      <c r="J148" s="377"/>
      <c r="K148" s="377"/>
      <c r="L148" s="378"/>
      <c r="M148" s="377"/>
      <c r="N148" s="377"/>
      <c r="O148" s="377"/>
      <c r="P148" s="364"/>
      <c r="Q148" s="360"/>
      <c r="R148" s="377"/>
      <c r="S148" s="377"/>
      <c r="T148" s="375"/>
      <c r="U148" s="375"/>
      <c r="V148" s="375"/>
      <c r="W148" s="375"/>
      <c r="X148" s="375"/>
      <c r="Y148" s="375"/>
      <c r="Z148" s="375"/>
      <c r="AA148" s="375"/>
      <c r="AB148" s="375"/>
      <c r="AC148" s="375"/>
      <c r="AD148" s="375"/>
      <c r="AE148" s="375"/>
      <c r="AF148" s="375"/>
    </row>
    <row r="149">
      <c r="A149" s="360"/>
      <c r="B149" s="360"/>
      <c r="C149" s="377"/>
      <c r="D149" s="377"/>
      <c r="E149" s="378"/>
      <c r="F149" s="377"/>
      <c r="G149" s="377"/>
      <c r="H149" s="378"/>
      <c r="I149" s="360"/>
      <c r="J149" s="377"/>
      <c r="K149" s="377"/>
      <c r="L149" s="378"/>
      <c r="M149" s="377"/>
      <c r="N149" s="377"/>
      <c r="O149" s="377"/>
      <c r="P149" s="364"/>
      <c r="Q149" s="360"/>
      <c r="R149" s="377"/>
      <c r="S149" s="377"/>
      <c r="T149" s="375"/>
      <c r="U149" s="375"/>
      <c r="V149" s="375"/>
      <c r="W149" s="375"/>
      <c r="X149" s="375"/>
      <c r="Y149" s="375"/>
      <c r="Z149" s="375"/>
      <c r="AA149" s="375"/>
      <c r="AB149" s="375"/>
      <c r="AC149" s="375"/>
      <c r="AD149" s="375"/>
      <c r="AE149" s="375"/>
      <c r="AF149" s="375"/>
    </row>
    <row r="150">
      <c r="A150" s="360"/>
      <c r="B150" s="360"/>
      <c r="C150" s="377"/>
      <c r="D150" s="377"/>
      <c r="E150" s="378"/>
      <c r="F150" s="377"/>
      <c r="G150" s="377"/>
      <c r="H150" s="378"/>
      <c r="I150" s="360"/>
      <c r="J150" s="377"/>
      <c r="K150" s="377"/>
      <c r="L150" s="378"/>
      <c r="M150" s="377"/>
      <c r="N150" s="377"/>
      <c r="O150" s="377"/>
      <c r="P150" s="364"/>
      <c r="Q150" s="360"/>
      <c r="R150" s="377"/>
      <c r="S150" s="377"/>
      <c r="T150" s="375"/>
      <c r="U150" s="375"/>
      <c r="V150" s="375"/>
      <c r="W150" s="375"/>
      <c r="X150" s="375"/>
      <c r="Y150" s="375"/>
      <c r="Z150" s="375"/>
      <c r="AA150" s="375"/>
      <c r="AB150" s="375"/>
      <c r="AC150" s="375"/>
      <c r="AD150" s="375"/>
      <c r="AE150" s="375"/>
      <c r="AF150" s="375"/>
    </row>
    <row r="151">
      <c r="A151" s="360"/>
      <c r="B151" s="360"/>
      <c r="C151" s="377"/>
      <c r="D151" s="377"/>
      <c r="E151" s="378"/>
      <c r="F151" s="377"/>
      <c r="G151" s="377"/>
      <c r="H151" s="378"/>
      <c r="I151" s="360"/>
      <c r="J151" s="377"/>
      <c r="K151" s="377"/>
      <c r="L151" s="378"/>
      <c r="M151" s="377"/>
      <c r="N151" s="377"/>
      <c r="O151" s="377"/>
      <c r="P151" s="364"/>
      <c r="Q151" s="360"/>
      <c r="R151" s="377"/>
      <c r="S151" s="377"/>
      <c r="T151" s="375"/>
      <c r="U151" s="375"/>
      <c r="V151" s="375"/>
      <c r="W151" s="375"/>
      <c r="X151" s="375"/>
      <c r="Y151" s="375"/>
      <c r="Z151" s="375"/>
      <c r="AA151" s="375"/>
      <c r="AB151" s="375"/>
      <c r="AC151" s="375"/>
      <c r="AD151" s="375"/>
      <c r="AE151" s="375"/>
      <c r="AF151" s="375"/>
    </row>
    <row r="152">
      <c r="A152" s="360"/>
      <c r="B152" s="360"/>
      <c r="C152" s="377"/>
      <c r="D152" s="377"/>
      <c r="E152" s="378"/>
      <c r="F152" s="377"/>
      <c r="G152" s="377"/>
      <c r="H152" s="378"/>
      <c r="I152" s="360"/>
      <c r="J152" s="377"/>
      <c r="K152" s="377"/>
      <c r="L152" s="378"/>
      <c r="M152" s="377"/>
      <c r="N152" s="377"/>
      <c r="O152" s="377"/>
      <c r="P152" s="364"/>
      <c r="Q152" s="360"/>
      <c r="R152" s="377"/>
      <c r="S152" s="377"/>
      <c r="T152" s="375"/>
      <c r="U152" s="375"/>
      <c r="V152" s="375"/>
      <c r="W152" s="375"/>
      <c r="X152" s="375"/>
      <c r="Y152" s="375"/>
      <c r="Z152" s="375"/>
      <c r="AA152" s="375"/>
      <c r="AB152" s="375"/>
      <c r="AC152" s="375"/>
      <c r="AD152" s="375"/>
      <c r="AE152" s="375"/>
      <c r="AF152" s="375"/>
    </row>
    <row r="153">
      <c r="A153" s="360"/>
      <c r="B153" s="360"/>
      <c r="C153" s="377"/>
      <c r="D153" s="377"/>
      <c r="E153" s="378"/>
      <c r="F153" s="377"/>
      <c r="G153" s="377"/>
      <c r="H153" s="378"/>
      <c r="I153" s="360"/>
      <c r="J153" s="377"/>
      <c r="K153" s="377"/>
      <c r="L153" s="378"/>
      <c r="M153" s="377"/>
      <c r="N153" s="377"/>
      <c r="O153" s="377"/>
      <c r="P153" s="364"/>
      <c r="Q153" s="360"/>
      <c r="R153" s="377"/>
      <c r="S153" s="377"/>
      <c r="T153" s="375"/>
      <c r="U153" s="375"/>
      <c r="V153" s="375"/>
      <c r="W153" s="375"/>
      <c r="X153" s="375"/>
      <c r="Y153" s="375"/>
      <c r="Z153" s="375"/>
      <c r="AA153" s="375"/>
      <c r="AB153" s="375"/>
      <c r="AC153" s="375"/>
      <c r="AD153" s="375"/>
      <c r="AE153" s="375"/>
      <c r="AF153" s="375"/>
    </row>
    <row r="154">
      <c r="A154" s="360"/>
      <c r="B154" s="360"/>
      <c r="C154" s="377"/>
      <c r="D154" s="377"/>
      <c r="E154" s="378"/>
      <c r="F154" s="377"/>
      <c r="G154" s="377"/>
      <c r="H154" s="378"/>
      <c r="I154" s="360"/>
      <c r="J154" s="377"/>
      <c r="K154" s="377"/>
      <c r="L154" s="378"/>
      <c r="M154" s="377"/>
      <c r="N154" s="377"/>
      <c r="O154" s="377"/>
      <c r="P154" s="364"/>
      <c r="Q154" s="360"/>
      <c r="R154" s="377"/>
      <c r="S154" s="377"/>
      <c r="T154" s="375"/>
      <c r="U154" s="375"/>
      <c r="V154" s="375"/>
      <c r="W154" s="375"/>
      <c r="X154" s="375"/>
      <c r="Y154" s="375"/>
      <c r="Z154" s="375"/>
      <c r="AA154" s="375"/>
      <c r="AB154" s="375"/>
      <c r="AC154" s="375"/>
      <c r="AD154" s="375"/>
      <c r="AE154" s="375"/>
      <c r="AF154" s="375"/>
    </row>
    <row r="155">
      <c r="A155" s="360"/>
      <c r="B155" s="360"/>
      <c r="C155" s="377"/>
      <c r="D155" s="377"/>
      <c r="E155" s="378"/>
      <c r="F155" s="377"/>
      <c r="G155" s="377"/>
      <c r="H155" s="378"/>
      <c r="I155" s="360"/>
      <c r="J155" s="377"/>
      <c r="K155" s="377"/>
      <c r="L155" s="378"/>
      <c r="M155" s="377"/>
      <c r="N155" s="377"/>
      <c r="O155" s="377"/>
      <c r="P155" s="364"/>
      <c r="Q155" s="360"/>
      <c r="R155" s="377"/>
      <c r="S155" s="377"/>
      <c r="T155" s="375"/>
      <c r="U155" s="375"/>
      <c r="V155" s="375"/>
      <c r="W155" s="375"/>
      <c r="X155" s="375"/>
      <c r="Y155" s="375"/>
      <c r="Z155" s="375"/>
      <c r="AA155" s="375"/>
      <c r="AB155" s="375"/>
      <c r="AC155" s="375"/>
      <c r="AD155" s="375"/>
      <c r="AE155" s="375"/>
      <c r="AF155" s="375"/>
    </row>
    <row r="156">
      <c r="A156" s="360"/>
      <c r="B156" s="360"/>
      <c r="C156" s="377"/>
      <c r="D156" s="377"/>
      <c r="E156" s="378"/>
      <c r="F156" s="377"/>
      <c r="G156" s="377"/>
      <c r="H156" s="378"/>
      <c r="I156" s="360"/>
      <c r="J156" s="377"/>
      <c r="K156" s="377"/>
      <c r="L156" s="378"/>
      <c r="M156" s="377"/>
      <c r="N156" s="377"/>
      <c r="O156" s="377"/>
      <c r="P156" s="364"/>
      <c r="Q156" s="360"/>
      <c r="R156" s="377"/>
      <c r="S156" s="377"/>
      <c r="T156" s="375"/>
      <c r="U156" s="375"/>
      <c r="V156" s="375"/>
      <c r="W156" s="375"/>
      <c r="X156" s="375"/>
      <c r="Y156" s="375"/>
      <c r="Z156" s="375"/>
      <c r="AA156" s="375"/>
      <c r="AB156" s="375"/>
      <c r="AC156" s="375"/>
      <c r="AD156" s="375"/>
      <c r="AE156" s="375"/>
      <c r="AF156" s="375"/>
    </row>
    <row r="157">
      <c r="A157" s="360"/>
      <c r="B157" s="360"/>
      <c r="C157" s="377"/>
      <c r="D157" s="377"/>
      <c r="E157" s="378"/>
      <c r="F157" s="377"/>
      <c r="G157" s="377"/>
      <c r="H157" s="378"/>
      <c r="I157" s="360"/>
      <c r="J157" s="377"/>
      <c r="K157" s="377"/>
      <c r="L157" s="378"/>
      <c r="M157" s="377"/>
      <c r="N157" s="377"/>
      <c r="O157" s="377"/>
      <c r="P157" s="364"/>
      <c r="Q157" s="360"/>
      <c r="R157" s="377"/>
      <c r="S157" s="377"/>
      <c r="T157" s="375"/>
      <c r="U157" s="375"/>
      <c r="V157" s="375"/>
      <c r="W157" s="375"/>
      <c r="X157" s="375"/>
      <c r="Y157" s="375"/>
      <c r="Z157" s="375"/>
      <c r="AA157" s="375"/>
      <c r="AB157" s="375"/>
      <c r="AC157" s="375"/>
      <c r="AD157" s="375"/>
      <c r="AE157" s="375"/>
      <c r="AF157" s="375"/>
    </row>
    <row r="158">
      <c r="A158" s="360"/>
      <c r="B158" s="360"/>
      <c r="C158" s="377"/>
      <c r="D158" s="377"/>
      <c r="E158" s="378"/>
      <c r="F158" s="377"/>
      <c r="G158" s="377"/>
      <c r="H158" s="378"/>
      <c r="I158" s="360"/>
      <c r="J158" s="377"/>
      <c r="K158" s="377"/>
      <c r="L158" s="378"/>
      <c r="M158" s="377"/>
      <c r="N158" s="377"/>
      <c r="O158" s="377"/>
      <c r="P158" s="364"/>
      <c r="Q158" s="360"/>
      <c r="R158" s="377"/>
      <c r="S158" s="377"/>
      <c r="T158" s="375"/>
      <c r="U158" s="375"/>
      <c r="V158" s="375"/>
      <c r="W158" s="375"/>
      <c r="X158" s="375"/>
      <c r="Y158" s="375"/>
      <c r="Z158" s="375"/>
      <c r="AA158" s="375"/>
      <c r="AB158" s="375"/>
      <c r="AC158" s="375"/>
      <c r="AD158" s="375"/>
      <c r="AE158" s="375"/>
      <c r="AF158" s="375"/>
    </row>
    <row r="159">
      <c r="A159" s="360"/>
      <c r="B159" s="360"/>
      <c r="C159" s="377"/>
      <c r="D159" s="377"/>
      <c r="E159" s="378"/>
      <c r="F159" s="377"/>
      <c r="G159" s="377"/>
      <c r="H159" s="378"/>
      <c r="I159" s="360"/>
      <c r="J159" s="377"/>
      <c r="K159" s="377"/>
      <c r="L159" s="378"/>
      <c r="M159" s="377"/>
      <c r="N159" s="377"/>
      <c r="O159" s="377"/>
      <c r="P159" s="364"/>
      <c r="Q159" s="360"/>
      <c r="R159" s="377"/>
      <c r="S159" s="377"/>
      <c r="T159" s="375"/>
      <c r="U159" s="375"/>
      <c r="V159" s="375"/>
      <c r="W159" s="375"/>
      <c r="X159" s="375"/>
      <c r="Y159" s="375"/>
      <c r="Z159" s="375"/>
      <c r="AA159" s="375"/>
      <c r="AB159" s="375"/>
      <c r="AC159" s="375"/>
      <c r="AD159" s="375"/>
      <c r="AE159" s="375"/>
      <c r="AF159" s="375"/>
    </row>
    <row r="160">
      <c r="A160" s="360"/>
      <c r="B160" s="360"/>
      <c r="C160" s="377"/>
      <c r="D160" s="377"/>
      <c r="E160" s="378"/>
      <c r="F160" s="377"/>
      <c r="G160" s="377"/>
      <c r="H160" s="378"/>
      <c r="I160" s="360"/>
      <c r="J160" s="377"/>
      <c r="K160" s="377"/>
      <c r="L160" s="378"/>
      <c r="M160" s="377"/>
      <c r="N160" s="377"/>
      <c r="O160" s="377"/>
      <c r="P160" s="364"/>
      <c r="Q160" s="360"/>
      <c r="R160" s="377"/>
      <c r="S160" s="377"/>
      <c r="T160" s="375"/>
      <c r="U160" s="375"/>
      <c r="V160" s="375"/>
      <c r="W160" s="375"/>
      <c r="X160" s="375"/>
      <c r="Y160" s="375"/>
      <c r="Z160" s="375"/>
      <c r="AA160" s="375"/>
      <c r="AB160" s="375"/>
      <c r="AC160" s="375"/>
      <c r="AD160" s="375"/>
      <c r="AE160" s="375"/>
      <c r="AF160" s="375"/>
    </row>
    <row r="161">
      <c r="A161" s="360"/>
      <c r="B161" s="360"/>
      <c r="C161" s="377"/>
      <c r="D161" s="377"/>
      <c r="E161" s="378"/>
      <c r="F161" s="377"/>
      <c r="G161" s="377"/>
      <c r="H161" s="378"/>
      <c r="I161" s="360"/>
      <c r="J161" s="377"/>
      <c r="K161" s="377"/>
      <c r="L161" s="378"/>
      <c r="M161" s="377"/>
      <c r="N161" s="377"/>
      <c r="O161" s="377"/>
      <c r="P161" s="364"/>
      <c r="Q161" s="360"/>
      <c r="R161" s="377"/>
      <c r="S161" s="377"/>
      <c r="T161" s="375"/>
      <c r="U161" s="375"/>
      <c r="V161" s="375"/>
      <c r="W161" s="375"/>
      <c r="X161" s="375"/>
      <c r="Y161" s="375"/>
      <c r="Z161" s="375"/>
      <c r="AA161" s="375"/>
      <c r="AB161" s="375"/>
      <c r="AC161" s="375"/>
      <c r="AD161" s="375"/>
      <c r="AE161" s="375"/>
      <c r="AF161" s="375"/>
    </row>
    <row r="162">
      <c r="A162" s="360"/>
      <c r="B162" s="360"/>
      <c r="C162" s="377"/>
      <c r="D162" s="377"/>
      <c r="E162" s="378"/>
      <c r="F162" s="377"/>
      <c r="G162" s="377"/>
      <c r="H162" s="378"/>
      <c r="I162" s="360"/>
      <c r="J162" s="377"/>
      <c r="K162" s="377"/>
      <c r="L162" s="378"/>
      <c r="M162" s="377"/>
      <c r="N162" s="377"/>
      <c r="O162" s="377"/>
      <c r="P162" s="364"/>
      <c r="Q162" s="360"/>
      <c r="R162" s="377"/>
      <c r="S162" s="377"/>
      <c r="T162" s="375"/>
      <c r="U162" s="375"/>
      <c r="V162" s="375"/>
      <c r="W162" s="375"/>
      <c r="X162" s="375"/>
      <c r="Y162" s="375"/>
      <c r="Z162" s="375"/>
      <c r="AA162" s="375"/>
      <c r="AB162" s="375"/>
      <c r="AC162" s="375"/>
      <c r="AD162" s="375"/>
      <c r="AE162" s="375"/>
      <c r="AF162" s="375"/>
    </row>
    <row r="163">
      <c r="A163" s="360"/>
      <c r="B163" s="360"/>
      <c r="C163" s="377"/>
      <c r="D163" s="377"/>
      <c r="E163" s="378"/>
      <c r="F163" s="377"/>
      <c r="G163" s="377"/>
      <c r="H163" s="378"/>
      <c r="I163" s="360"/>
      <c r="J163" s="377"/>
      <c r="K163" s="377"/>
      <c r="L163" s="378"/>
      <c r="M163" s="377"/>
      <c r="N163" s="377"/>
      <c r="O163" s="377"/>
      <c r="P163" s="364"/>
      <c r="Q163" s="360"/>
      <c r="R163" s="377"/>
      <c r="S163" s="377"/>
      <c r="T163" s="375"/>
      <c r="U163" s="375"/>
      <c r="V163" s="375"/>
      <c r="W163" s="375"/>
      <c r="X163" s="375"/>
      <c r="Y163" s="375"/>
      <c r="Z163" s="375"/>
      <c r="AA163" s="375"/>
      <c r="AB163" s="375"/>
      <c r="AC163" s="375"/>
      <c r="AD163" s="375"/>
      <c r="AE163" s="375"/>
      <c r="AF163" s="375"/>
    </row>
    <row r="164">
      <c r="A164" s="360"/>
      <c r="B164" s="360"/>
      <c r="C164" s="377"/>
      <c r="D164" s="377"/>
      <c r="E164" s="378"/>
      <c r="F164" s="377"/>
      <c r="G164" s="377"/>
      <c r="H164" s="378"/>
      <c r="I164" s="360"/>
      <c r="J164" s="377"/>
      <c r="K164" s="377"/>
      <c r="L164" s="378"/>
      <c r="M164" s="377"/>
      <c r="N164" s="377"/>
      <c r="O164" s="377"/>
      <c r="P164" s="364"/>
      <c r="Q164" s="360"/>
      <c r="R164" s="377"/>
      <c r="S164" s="377"/>
      <c r="T164" s="375"/>
      <c r="U164" s="375"/>
      <c r="V164" s="375"/>
      <c r="W164" s="375"/>
      <c r="X164" s="375"/>
      <c r="Y164" s="375"/>
      <c r="Z164" s="375"/>
      <c r="AA164" s="375"/>
      <c r="AB164" s="375"/>
      <c r="AC164" s="375"/>
      <c r="AD164" s="375"/>
      <c r="AE164" s="375"/>
      <c r="AF164" s="375"/>
    </row>
    <row r="165">
      <c r="A165" s="360"/>
      <c r="B165" s="360"/>
      <c r="C165" s="377"/>
      <c r="D165" s="377"/>
      <c r="E165" s="378"/>
      <c r="F165" s="377"/>
      <c r="G165" s="377"/>
      <c r="H165" s="378"/>
      <c r="I165" s="360"/>
      <c r="J165" s="377"/>
      <c r="K165" s="377"/>
      <c r="L165" s="378"/>
      <c r="M165" s="377"/>
      <c r="N165" s="377"/>
      <c r="O165" s="377"/>
      <c r="P165" s="364"/>
      <c r="Q165" s="360"/>
      <c r="R165" s="377"/>
      <c r="S165" s="377"/>
      <c r="T165" s="375"/>
      <c r="U165" s="375"/>
      <c r="V165" s="375"/>
      <c r="W165" s="375"/>
      <c r="X165" s="375"/>
      <c r="Y165" s="375"/>
      <c r="Z165" s="375"/>
      <c r="AA165" s="375"/>
      <c r="AB165" s="375"/>
      <c r="AC165" s="375"/>
      <c r="AD165" s="375"/>
      <c r="AE165" s="375"/>
      <c r="AF165" s="375"/>
    </row>
    <row r="166">
      <c r="A166" s="360"/>
      <c r="B166" s="360"/>
      <c r="C166" s="377"/>
      <c r="D166" s="377"/>
      <c r="E166" s="378"/>
      <c r="F166" s="377"/>
      <c r="G166" s="377"/>
      <c r="H166" s="378"/>
      <c r="I166" s="360"/>
      <c r="J166" s="377"/>
      <c r="K166" s="377"/>
      <c r="L166" s="378"/>
      <c r="M166" s="377"/>
      <c r="N166" s="377"/>
      <c r="O166" s="377"/>
      <c r="P166" s="364"/>
      <c r="Q166" s="360"/>
      <c r="R166" s="377"/>
      <c r="S166" s="377"/>
      <c r="T166" s="375"/>
      <c r="U166" s="375"/>
      <c r="V166" s="375"/>
      <c r="W166" s="375"/>
      <c r="X166" s="375"/>
      <c r="Y166" s="375"/>
      <c r="Z166" s="375"/>
      <c r="AA166" s="375"/>
      <c r="AB166" s="375"/>
      <c r="AC166" s="375"/>
      <c r="AD166" s="375"/>
      <c r="AE166" s="375"/>
      <c r="AF166" s="375"/>
    </row>
    <row r="167">
      <c r="A167" s="360"/>
      <c r="B167" s="360"/>
      <c r="C167" s="377"/>
      <c r="D167" s="377"/>
      <c r="E167" s="378"/>
      <c r="F167" s="377"/>
      <c r="G167" s="377"/>
      <c r="H167" s="378"/>
      <c r="I167" s="360"/>
      <c r="J167" s="377"/>
      <c r="K167" s="377"/>
      <c r="L167" s="378"/>
      <c r="M167" s="377"/>
      <c r="N167" s="377"/>
      <c r="O167" s="377"/>
      <c r="P167" s="364"/>
      <c r="Q167" s="360"/>
      <c r="R167" s="377"/>
      <c r="S167" s="377"/>
      <c r="T167" s="375"/>
      <c r="U167" s="375"/>
      <c r="V167" s="375"/>
      <c r="W167" s="375"/>
      <c r="X167" s="375"/>
      <c r="Y167" s="375"/>
      <c r="Z167" s="375"/>
      <c r="AA167" s="375"/>
      <c r="AB167" s="375"/>
      <c r="AC167" s="375"/>
      <c r="AD167" s="375"/>
      <c r="AE167" s="375"/>
      <c r="AF167" s="375"/>
    </row>
    <row r="168">
      <c r="A168" s="360"/>
      <c r="B168" s="360"/>
      <c r="C168" s="377"/>
      <c r="D168" s="377"/>
      <c r="E168" s="378"/>
      <c r="F168" s="377"/>
      <c r="G168" s="377"/>
      <c r="H168" s="378"/>
      <c r="I168" s="360"/>
      <c r="J168" s="377"/>
      <c r="K168" s="377"/>
      <c r="L168" s="378"/>
      <c r="M168" s="377"/>
      <c r="N168" s="377"/>
      <c r="O168" s="377"/>
      <c r="P168" s="364"/>
      <c r="Q168" s="360"/>
      <c r="R168" s="377"/>
      <c r="S168" s="377"/>
      <c r="T168" s="375"/>
      <c r="U168" s="375"/>
      <c r="V168" s="375"/>
      <c r="W168" s="375"/>
      <c r="X168" s="375"/>
      <c r="Y168" s="375"/>
      <c r="Z168" s="375"/>
      <c r="AA168" s="375"/>
      <c r="AB168" s="375"/>
      <c r="AC168" s="375"/>
      <c r="AD168" s="375"/>
      <c r="AE168" s="375"/>
      <c r="AF168" s="375"/>
    </row>
    <row r="169">
      <c r="A169" s="360"/>
      <c r="B169" s="360"/>
      <c r="C169" s="377"/>
      <c r="D169" s="377"/>
      <c r="E169" s="378"/>
      <c r="F169" s="377"/>
      <c r="G169" s="377"/>
      <c r="H169" s="378"/>
      <c r="I169" s="360"/>
      <c r="J169" s="377"/>
      <c r="K169" s="377"/>
      <c r="L169" s="378"/>
      <c r="M169" s="377"/>
      <c r="N169" s="377"/>
      <c r="O169" s="377"/>
      <c r="P169" s="364"/>
      <c r="Q169" s="360"/>
      <c r="R169" s="377"/>
      <c r="S169" s="377"/>
      <c r="T169" s="375"/>
      <c r="U169" s="375"/>
      <c r="V169" s="375"/>
      <c r="W169" s="375"/>
      <c r="X169" s="375"/>
      <c r="Y169" s="375"/>
      <c r="Z169" s="375"/>
      <c r="AA169" s="375"/>
      <c r="AB169" s="375"/>
      <c r="AC169" s="375"/>
      <c r="AD169" s="375"/>
      <c r="AE169" s="375"/>
      <c r="AF169" s="375"/>
    </row>
    <row r="170">
      <c r="A170" s="360"/>
      <c r="B170" s="360"/>
      <c r="C170" s="377"/>
      <c r="D170" s="377"/>
      <c r="E170" s="378"/>
      <c r="F170" s="377"/>
      <c r="G170" s="377"/>
      <c r="H170" s="378"/>
      <c r="I170" s="360"/>
      <c r="J170" s="377"/>
      <c r="K170" s="377"/>
      <c r="L170" s="378"/>
      <c r="M170" s="377"/>
      <c r="N170" s="377"/>
      <c r="O170" s="377"/>
      <c r="P170" s="364"/>
      <c r="Q170" s="360"/>
      <c r="R170" s="377"/>
      <c r="S170" s="377"/>
      <c r="T170" s="375"/>
      <c r="U170" s="375"/>
      <c r="V170" s="375"/>
      <c r="W170" s="375"/>
      <c r="X170" s="375"/>
      <c r="Y170" s="375"/>
      <c r="Z170" s="375"/>
      <c r="AA170" s="375"/>
      <c r="AB170" s="375"/>
      <c r="AC170" s="375"/>
      <c r="AD170" s="375"/>
      <c r="AE170" s="375"/>
      <c r="AF170" s="375"/>
    </row>
    <row r="171">
      <c r="A171" s="360"/>
      <c r="B171" s="360"/>
      <c r="C171" s="377"/>
      <c r="D171" s="377"/>
      <c r="E171" s="378"/>
      <c r="F171" s="377"/>
      <c r="G171" s="377"/>
      <c r="H171" s="378"/>
      <c r="I171" s="360"/>
      <c r="J171" s="377"/>
      <c r="K171" s="377"/>
      <c r="L171" s="378"/>
      <c r="M171" s="377"/>
      <c r="N171" s="377"/>
      <c r="O171" s="377"/>
      <c r="P171" s="364"/>
      <c r="Q171" s="360"/>
      <c r="R171" s="377"/>
      <c r="S171" s="377"/>
      <c r="T171" s="375"/>
      <c r="U171" s="375"/>
      <c r="V171" s="375"/>
      <c r="W171" s="375"/>
      <c r="X171" s="375"/>
      <c r="Y171" s="375"/>
      <c r="Z171" s="375"/>
      <c r="AA171" s="375"/>
      <c r="AB171" s="375"/>
      <c r="AC171" s="375"/>
      <c r="AD171" s="375"/>
      <c r="AE171" s="375"/>
      <c r="AF171" s="375"/>
    </row>
    <row r="172">
      <c r="A172" s="360"/>
      <c r="B172" s="360"/>
      <c r="C172" s="377"/>
      <c r="D172" s="377"/>
      <c r="E172" s="378"/>
      <c r="F172" s="377"/>
      <c r="G172" s="377"/>
      <c r="H172" s="378"/>
      <c r="I172" s="360"/>
      <c r="J172" s="377"/>
      <c r="K172" s="377"/>
      <c r="L172" s="378"/>
      <c r="M172" s="377"/>
      <c r="N172" s="377"/>
      <c r="O172" s="377"/>
      <c r="P172" s="364"/>
      <c r="Q172" s="360"/>
      <c r="R172" s="377"/>
      <c r="S172" s="377"/>
      <c r="T172" s="375"/>
      <c r="U172" s="375"/>
      <c r="V172" s="375"/>
      <c r="W172" s="375"/>
      <c r="X172" s="375"/>
      <c r="Y172" s="375"/>
      <c r="Z172" s="375"/>
      <c r="AA172" s="375"/>
      <c r="AB172" s="375"/>
      <c r="AC172" s="375"/>
      <c r="AD172" s="375"/>
      <c r="AE172" s="375"/>
      <c r="AF172" s="375"/>
    </row>
    <row r="173">
      <c r="A173" s="360"/>
      <c r="B173" s="360"/>
      <c r="C173" s="377"/>
      <c r="D173" s="377"/>
      <c r="E173" s="378"/>
      <c r="F173" s="377"/>
      <c r="G173" s="377"/>
      <c r="H173" s="378"/>
      <c r="I173" s="360"/>
      <c r="J173" s="377"/>
      <c r="K173" s="377"/>
      <c r="L173" s="378"/>
      <c r="M173" s="377"/>
      <c r="N173" s="377"/>
      <c r="O173" s="377"/>
      <c r="P173" s="364"/>
      <c r="Q173" s="360"/>
      <c r="R173" s="377"/>
      <c r="S173" s="377"/>
      <c r="T173" s="375"/>
      <c r="U173" s="375"/>
      <c r="V173" s="375"/>
      <c r="W173" s="375"/>
      <c r="X173" s="375"/>
      <c r="Y173" s="375"/>
      <c r="Z173" s="375"/>
      <c r="AA173" s="375"/>
      <c r="AB173" s="375"/>
      <c r="AC173" s="375"/>
      <c r="AD173" s="375"/>
      <c r="AE173" s="375"/>
      <c r="AF173" s="375"/>
    </row>
    <row r="174">
      <c r="A174" s="360"/>
      <c r="B174" s="360"/>
      <c r="C174" s="377"/>
      <c r="D174" s="377"/>
      <c r="E174" s="378"/>
      <c r="F174" s="377"/>
      <c r="G174" s="377"/>
      <c r="H174" s="378"/>
      <c r="I174" s="360"/>
      <c r="J174" s="377"/>
      <c r="K174" s="377"/>
      <c r="L174" s="378"/>
      <c r="M174" s="377"/>
      <c r="N174" s="377"/>
      <c r="O174" s="377"/>
      <c r="P174" s="364"/>
      <c r="Q174" s="360"/>
      <c r="R174" s="377"/>
      <c r="S174" s="377"/>
      <c r="T174" s="375"/>
      <c r="U174" s="375"/>
      <c r="V174" s="375"/>
      <c r="W174" s="375"/>
      <c r="X174" s="375"/>
      <c r="Y174" s="375"/>
      <c r="Z174" s="375"/>
      <c r="AA174" s="375"/>
      <c r="AB174" s="375"/>
      <c r="AC174" s="375"/>
      <c r="AD174" s="375"/>
      <c r="AE174" s="375"/>
      <c r="AF174" s="375"/>
    </row>
    <row r="175">
      <c r="A175" s="360"/>
      <c r="B175" s="360"/>
      <c r="C175" s="377"/>
      <c r="D175" s="377"/>
      <c r="E175" s="378"/>
      <c r="F175" s="377"/>
      <c r="G175" s="377"/>
      <c r="H175" s="378"/>
      <c r="I175" s="360"/>
      <c r="J175" s="377"/>
      <c r="K175" s="377"/>
      <c r="L175" s="378"/>
      <c r="M175" s="377"/>
      <c r="N175" s="377"/>
      <c r="O175" s="377"/>
      <c r="P175" s="364"/>
      <c r="Q175" s="360"/>
      <c r="R175" s="377"/>
      <c r="S175" s="377"/>
      <c r="T175" s="375"/>
      <c r="U175" s="375"/>
      <c r="V175" s="375"/>
      <c r="W175" s="375"/>
      <c r="X175" s="375"/>
      <c r="Y175" s="375"/>
      <c r="Z175" s="375"/>
      <c r="AA175" s="375"/>
      <c r="AB175" s="375"/>
      <c r="AC175" s="375"/>
      <c r="AD175" s="375"/>
      <c r="AE175" s="375"/>
      <c r="AF175" s="375"/>
    </row>
    <row r="176">
      <c r="A176" s="360"/>
      <c r="B176" s="360"/>
      <c r="C176" s="377"/>
      <c r="D176" s="377"/>
      <c r="E176" s="378"/>
      <c r="F176" s="377"/>
      <c r="G176" s="377"/>
      <c r="H176" s="378"/>
      <c r="I176" s="360"/>
      <c r="J176" s="377"/>
      <c r="K176" s="377"/>
      <c r="L176" s="378"/>
      <c r="M176" s="377"/>
      <c r="N176" s="377"/>
      <c r="O176" s="377"/>
      <c r="P176" s="364"/>
      <c r="Q176" s="360"/>
      <c r="R176" s="377"/>
      <c r="S176" s="377"/>
      <c r="T176" s="375"/>
      <c r="U176" s="375"/>
      <c r="V176" s="375"/>
      <c r="W176" s="375"/>
      <c r="X176" s="375"/>
      <c r="Y176" s="375"/>
      <c r="Z176" s="375"/>
      <c r="AA176" s="375"/>
      <c r="AB176" s="375"/>
      <c r="AC176" s="375"/>
      <c r="AD176" s="375"/>
      <c r="AE176" s="375"/>
      <c r="AF176" s="375"/>
    </row>
    <row r="177">
      <c r="A177" s="360"/>
      <c r="B177" s="360"/>
      <c r="C177" s="377"/>
      <c r="D177" s="377"/>
      <c r="E177" s="378"/>
      <c r="F177" s="377"/>
      <c r="G177" s="377"/>
      <c r="H177" s="378"/>
      <c r="I177" s="360"/>
      <c r="J177" s="377"/>
      <c r="K177" s="377"/>
      <c r="L177" s="378"/>
      <c r="M177" s="377"/>
      <c r="N177" s="377"/>
      <c r="O177" s="377"/>
      <c r="P177" s="364"/>
      <c r="Q177" s="360"/>
      <c r="R177" s="377"/>
      <c r="S177" s="377"/>
      <c r="T177" s="375"/>
      <c r="U177" s="375"/>
      <c r="V177" s="375"/>
      <c r="W177" s="375"/>
      <c r="X177" s="375"/>
      <c r="Y177" s="375"/>
      <c r="Z177" s="375"/>
      <c r="AA177" s="375"/>
      <c r="AB177" s="375"/>
      <c r="AC177" s="375"/>
      <c r="AD177" s="375"/>
      <c r="AE177" s="375"/>
      <c r="AF177" s="375"/>
    </row>
    <row r="178">
      <c r="A178" s="360"/>
      <c r="B178" s="360"/>
      <c r="C178" s="377"/>
      <c r="D178" s="377"/>
      <c r="E178" s="378"/>
      <c r="F178" s="377"/>
      <c r="G178" s="377"/>
      <c r="H178" s="378"/>
      <c r="I178" s="360"/>
      <c r="J178" s="377"/>
      <c r="K178" s="377"/>
      <c r="L178" s="378"/>
      <c r="M178" s="377"/>
      <c r="N178" s="377"/>
      <c r="O178" s="377"/>
      <c r="P178" s="364"/>
      <c r="Q178" s="360"/>
      <c r="R178" s="377"/>
      <c r="S178" s="377"/>
      <c r="T178" s="375"/>
      <c r="U178" s="375"/>
      <c r="V178" s="375"/>
      <c r="W178" s="375"/>
      <c r="X178" s="375"/>
      <c r="Y178" s="375"/>
      <c r="Z178" s="375"/>
      <c r="AA178" s="375"/>
      <c r="AB178" s="375"/>
      <c r="AC178" s="375"/>
      <c r="AD178" s="375"/>
      <c r="AE178" s="375"/>
      <c r="AF178" s="375"/>
    </row>
    <row r="179">
      <c r="A179" s="360"/>
      <c r="B179" s="360"/>
      <c r="C179" s="377"/>
      <c r="D179" s="377"/>
      <c r="E179" s="378"/>
      <c r="F179" s="377"/>
      <c r="G179" s="377"/>
      <c r="H179" s="378"/>
      <c r="I179" s="360"/>
      <c r="J179" s="377"/>
      <c r="K179" s="377"/>
      <c r="L179" s="378"/>
      <c r="M179" s="377"/>
      <c r="N179" s="377"/>
      <c r="O179" s="377"/>
      <c r="P179" s="364"/>
      <c r="Q179" s="360"/>
      <c r="R179" s="377"/>
      <c r="S179" s="377"/>
      <c r="T179" s="375"/>
      <c r="U179" s="375"/>
      <c r="V179" s="375"/>
      <c r="W179" s="375"/>
      <c r="X179" s="375"/>
      <c r="Y179" s="375"/>
      <c r="Z179" s="375"/>
      <c r="AA179" s="375"/>
      <c r="AB179" s="375"/>
      <c r="AC179" s="375"/>
      <c r="AD179" s="375"/>
      <c r="AE179" s="375"/>
      <c r="AF179" s="375"/>
    </row>
    <row r="180">
      <c r="A180" s="360"/>
      <c r="B180" s="360"/>
      <c r="C180" s="377"/>
      <c r="D180" s="377"/>
      <c r="E180" s="378"/>
      <c r="F180" s="377"/>
      <c r="G180" s="377"/>
      <c r="H180" s="378"/>
      <c r="I180" s="360"/>
      <c r="J180" s="377"/>
      <c r="K180" s="377"/>
      <c r="L180" s="378"/>
      <c r="M180" s="377"/>
      <c r="N180" s="377"/>
      <c r="O180" s="377"/>
      <c r="P180" s="364"/>
      <c r="Q180" s="360"/>
      <c r="R180" s="377"/>
      <c r="S180" s="377"/>
      <c r="T180" s="375"/>
      <c r="U180" s="375"/>
      <c r="V180" s="375"/>
      <c r="W180" s="375"/>
      <c r="X180" s="375"/>
      <c r="Y180" s="375"/>
      <c r="Z180" s="375"/>
      <c r="AA180" s="375"/>
      <c r="AB180" s="375"/>
      <c r="AC180" s="375"/>
      <c r="AD180" s="375"/>
      <c r="AE180" s="375"/>
      <c r="AF180" s="375"/>
    </row>
    <row r="181">
      <c r="A181" s="360"/>
      <c r="B181" s="360"/>
      <c r="C181" s="377"/>
      <c r="D181" s="377"/>
      <c r="E181" s="378"/>
      <c r="F181" s="377"/>
      <c r="G181" s="377"/>
      <c r="H181" s="378"/>
      <c r="I181" s="360"/>
      <c r="J181" s="377"/>
      <c r="K181" s="377"/>
      <c r="L181" s="378"/>
      <c r="M181" s="377"/>
      <c r="N181" s="377"/>
      <c r="O181" s="377"/>
      <c r="P181" s="364"/>
      <c r="Q181" s="360"/>
      <c r="R181" s="377"/>
      <c r="S181" s="377"/>
      <c r="T181" s="375"/>
      <c r="U181" s="375"/>
      <c r="V181" s="375"/>
      <c r="W181" s="375"/>
      <c r="X181" s="375"/>
      <c r="Y181" s="375"/>
      <c r="Z181" s="375"/>
      <c r="AA181" s="375"/>
      <c r="AB181" s="375"/>
      <c r="AC181" s="375"/>
      <c r="AD181" s="375"/>
      <c r="AE181" s="375"/>
      <c r="AF181" s="375"/>
    </row>
    <row r="182">
      <c r="A182" s="360"/>
      <c r="B182" s="360"/>
      <c r="C182" s="377"/>
      <c r="D182" s="377"/>
      <c r="E182" s="378"/>
      <c r="F182" s="377"/>
      <c r="G182" s="377"/>
      <c r="H182" s="378"/>
      <c r="I182" s="360"/>
      <c r="J182" s="377"/>
      <c r="K182" s="377"/>
      <c r="L182" s="378"/>
      <c r="M182" s="377"/>
      <c r="N182" s="377"/>
      <c r="O182" s="377"/>
      <c r="P182" s="364"/>
      <c r="Q182" s="360"/>
      <c r="R182" s="377"/>
      <c r="S182" s="377"/>
      <c r="T182" s="375"/>
      <c r="U182" s="375"/>
      <c r="V182" s="375"/>
      <c r="W182" s="375"/>
      <c r="X182" s="375"/>
      <c r="Y182" s="375"/>
      <c r="Z182" s="375"/>
      <c r="AA182" s="375"/>
      <c r="AB182" s="375"/>
      <c r="AC182" s="375"/>
      <c r="AD182" s="375"/>
      <c r="AE182" s="375"/>
      <c r="AF182" s="375"/>
    </row>
    <row r="183">
      <c r="A183" s="360"/>
      <c r="B183" s="360"/>
      <c r="C183" s="377"/>
      <c r="D183" s="377"/>
      <c r="E183" s="378"/>
      <c r="F183" s="377"/>
      <c r="G183" s="377"/>
      <c r="H183" s="378"/>
      <c r="I183" s="360"/>
      <c r="J183" s="377"/>
      <c r="K183" s="377"/>
      <c r="L183" s="378"/>
      <c r="M183" s="377"/>
      <c r="N183" s="377"/>
      <c r="O183" s="377"/>
      <c r="P183" s="364"/>
      <c r="Q183" s="360"/>
      <c r="R183" s="377"/>
      <c r="S183" s="377"/>
      <c r="T183" s="375"/>
      <c r="U183" s="375"/>
      <c r="V183" s="375"/>
      <c r="W183" s="375"/>
      <c r="X183" s="375"/>
      <c r="Y183" s="375"/>
      <c r="Z183" s="375"/>
      <c r="AA183" s="375"/>
      <c r="AB183" s="375"/>
      <c r="AC183" s="375"/>
      <c r="AD183" s="375"/>
      <c r="AE183" s="375"/>
      <c r="AF183" s="375"/>
    </row>
    <row r="184">
      <c r="A184" s="360"/>
      <c r="B184" s="360"/>
      <c r="C184" s="377"/>
      <c r="D184" s="377"/>
      <c r="E184" s="378"/>
      <c r="F184" s="377"/>
      <c r="G184" s="377"/>
      <c r="H184" s="378"/>
      <c r="I184" s="360"/>
      <c r="J184" s="377"/>
      <c r="K184" s="377"/>
      <c r="L184" s="378"/>
      <c r="M184" s="377"/>
      <c r="N184" s="377"/>
      <c r="O184" s="377"/>
      <c r="P184" s="364"/>
      <c r="Q184" s="360"/>
      <c r="R184" s="377"/>
      <c r="S184" s="377"/>
      <c r="T184" s="375"/>
      <c r="U184" s="375"/>
      <c r="V184" s="375"/>
      <c r="W184" s="375"/>
      <c r="X184" s="375"/>
      <c r="Y184" s="375"/>
      <c r="Z184" s="375"/>
      <c r="AA184" s="375"/>
      <c r="AB184" s="375"/>
      <c r="AC184" s="375"/>
      <c r="AD184" s="375"/>
      <c r="AE184" s="375"/>
      <c r="AF184" s="375"/>
    </row>
    <row r="185">
      <c r="A185" s="360"/>
      <c r="B185" s="360"/>
      <c r="C185" s="377"/>
      <c r="D185" s="377"/>
      <c r="E185" s="378"/>
      <c r="F185" s="377"/>
      <c r="G185" s="377"/>
      <c r="H185" s="378"/>
      <c r="I185" s="360"/>
      <c r="J185" s="377"/>
      <c r="K185" s="377"/>
      <c r="L185" s="378"/>
      <c r="M185" s="377"/>
      <c r="N185" s="377"/>
      <c r="O185" s="377"/>
      <c r="P185" s="364"/>
      <c r="Q185" s="360"/>
      <c r="R185" s="377"/>
      <c r="S185" s="377"/>
      <c r="T185" s="375"/>
      <c r="U185" s="375"/>
      <c r="V185" s="375"/>
      <c r="W185" s="375"/>
      <c r="X185" s="375"/>
      <c r="Y185" s="375"/>
      <c r="Z185" s="375"/>
      <c r="AA185" s="375"/>
      <c r="AB185" s="375"/>
      <c r="AC185" s="375"/>
      <c r="AD185" s="375"/>
      <c r="AE185" s="375"/>
      <c r="AF185" s="375"/>
    </row>
    <row r="186">
      <c r="A186" s="360"/>
      <c r="B186" s="360"/>
      <c r="C186" s="377"/>
      <c r="D186" s="377"/>
      <c r="E186" s="378"/>
      <c r="F186" s="377"/>
      <c r="G186" s="377"/>
      <c r="H186" s="378"/>
      <c r="I186" s="360"/>
      <c r="J186" s="377"/>
      <c r="K186" s="377"/>
      <c r="L186" s="378"/>
      <c r="M186" s="377"/>
      <c r="N186" s="377"/>
      <c r="O186" s="377"/>
      <c r="P186" s="364"/>
      <c r="Q186" s="360"/>
      <c r="R186" s="377"/>
      <c r="S186" s="377"/>
      <c r="T186" s="375"/>
      <c r="U186" s="375"/>
      <c r="V186" s="375"/>
      <c r="W186" s="375"/>
      <c r="X186" s="375"/>
      <c r="Y186" s="375"/>
      <c r="Z186" s="375"/>
      <c r="AA186" s="375"/>
      <c r="AB186" s="375"/>
      <c r="AC186" s="375"/>
      <c r="AD186" s="375"/>
      <c r="AE186" s="375"/>
      <c r="AF186" s="375"/>
    </row>
    <row r="187">
      <c r="A187" s="360"/>
      <c r="B187" s="360"/>
      <c r="C187" s="377"/>
      <c r="D187" s="377"/>
      <c r="E187" s="378"/>
      <c r="F187" s="377"/>
      <c r="G187" s="377"/>
      <c r="H187" s="378"/>
      <c r="I187" s="360"/>
      <c r="J187" s="377"/>
      <c r="K187" s="377"/>
      <c r="L187" s="378"/>
      <c r="M187" s="377"/>
      <c r="N187" s="377"/>
      <c r="O187" s="377"/>
      <c r="P187" s="364"/>
      <c r="Q187" s="360"/>
      <c r="R187" s="377"/>
      <c r="S187" s="377"/>
      <c r="T187" s="375"/>
      <c r="U187" s="375"/>
      <c r="V187" s="375"/>
      <c r="W187" s="375"/>
      <c r="X187" s="375"/>
      <c r="Y187" s="375"/>
      <c r="Z187" s="375"/>
      <c r="AA187" s="375"/>
      <c r="AB187" s="375"/>
      <c r="AC187" s="375"/>
      <c r="AD187" s="375"/>
      <c r="AE187" s="375"/>
      <c r="AF187" s="375"/>
    </row>
    <row r="188">
      <c r="A188" s="360"/>
      <c r="B188" s="360"/>
      <c r="C188" s="377"/>
      <c r="D188" s="377"/>
      <c r="E188" s="378"/>
      <c r="F188" s="377"/>
      <c r="G188" s="377"/>
      <c r="H188" s="378"/>
      <c r="I188" s="360"/>
      <c r="J188" s="377"/>
      <c r="K188" s="377"/>
      <c r="L188" s="378"/>
      <c r="M188" s="377"/>
      <c r="N188" s="377"/>
      <c r="O188" s="377"/>
      <c r="P188" s="364"/>
      <c r="Q188" s="360"/>
      <c r="R188" s="377"/>
      <c r="S188" s="377"/>
      <c r="T188" s="375"/>
      <c r="U188" s="375"/>
      <c r="V188" s="375"/>
      <c r="W188" s="375"/>
      <c r="X188" s="375"/>
      <c r="Y188" s="375"/>
      <c r="Z188" s="375"/>
      <c r="AA188" s="375"/>
      <c r="AB188" s="375"/>
      <c r="AC188" s="375"/>
      <c r="AD188" s="375"/>
      <c r="AE188" s="375"/>
      <c r="AF188" s="375"/>
    </row>
    <row r="189">
      <c r="A189" s="360"/>
      <c r="B189" s="360"/>
      <c r="C189" s="377"/>
      <c r="D189" s="377"/>
      <c r="E189" s="378"/>
      <c r="F189" s="377"/>
      <c r="G189" s="377"/>
      <c r="H189" s="378"/>
      <c r="I189" s="360"/>
      <c r="J189" s="377"/>
      <c r="K189" s="377"/>
      <c r="L189" s="378"/>
      <c r="M189" s="377"/>
      <c r="N189" s="377"/>
      <c r="O189" s="377"/>
      <c r="P189" s="364"/>
      <c r="Q189" s="360"/>
      <c r="R189" s="377"/>
      <c r="S189" s="377"/>
      <c r="T189" s="375"/>
      <c r="U189" s="375"/>
      <c r="V189" s="375"/>
      <c r="W189" s="375"/>
      <c r="X189" s="375"/>
      <c r="Y189" s="375"/>
      <c r="Z189" s="375"/>
      <c r="AA189" s="375"/>
      <c r="AB189" s="375"/>
      <c r="AC189" s="375"/>
      <c r="AD189" s="375"/>
      <c r="AE189" s="375"/>
      <c r="AF189" s="375"/>
    </row>
    <row r="190">
      <c r="A190" s="360"/>
      <c r="B190" s="360"/>
      <c r="C190" s="377"/>
      <c r="D190" s="377"/>
      <c r="E190" s="378"/>
      <c r="F190" s="377"/>
      <c r="G190" s="377"/>
      <c r="H190" s="378"/>
      <c r="I190" s="360"/>
      <c r="J190" s="377"/>
      <c r="K190" s="377"/>
      <c r="L190" s="378"/>
      <c r="M190" s="377"/>
      <c r="N190" s="377"/>
      <c r="O190" s="377"/>
      <c r="P190" s="364"/>
      <c r="Q190" s="360"/>
      <c r="R190" s="377"/>
      <c r="S190" s="377"/>
      <c r="T190" s="375"/>
      <c r="U190" s="375"/>
      <c r="V190" s="375"/>
      <c r="W190" s="375"/>
      <c r="X190" s="375"/>
      <c r="Y190" s="375"/>
      <c r="Z190" s="375"/>
      <c r="AA190" s="375"/>
      <c r="AB190" s="375"/>
      <c r="AC190" s="375"/>
      <c r="AD190" s="375"/>
      <c r="AE190" s="375"/>
      <c r="AF190" s="375"/>
    </row>
    <row r="191">
      <c r="A191" s="360"/>
      <c r="B191" s="360"/>
      <c r="C191" s="377"/>
      <c r="D191" s="377"/>
      <c r="E191" s="378"/>
      <c r="F191" s="377"/>
      <c r="G191" s="377"/>
      <c r="H191" s="378"/>
      <c r="I191" s="360"/>
      <c r="J191" s="377"/>
      <c r="K191" s="377"/>
      <c r="L191" s="378"/>
      <c r="M191" s="377"/>
      <c r="N191" s="377"/>
      <c r="O191" s="377"/>
      <c r="P191" s="364"/>
      <c r="Q191" s="360"/>
      <c r="R191" s="377"/>
      <c r="S191" s="377"/>
      <c r="T191" s="375"/>
      <c r="U191" s="375"/>
      <c r="V191" s="375"/>
      <c r="W191" s="375"/>
      <c r="X191" s="375"/>
      <c r="Y191" s="375"/>
      <c r="Z191" s="375"/>
      <c r="AA191" s="375"/>
      <c r="AB191" s="375"/>
      <c r="AC191" s="375"/>
      <c r="AD191" s="375"/>
      <c r="AE191" s="375"/>
      <c r="AF191" s="375"/>
    </row>
    <row r="192">
      <c r="A192" s="360"/>
      <c r="B192" s="360"/>
      <c r="C192" s="377"/>
      <c r="D192" s="377"/>
      <c r="E192" s="378"/>
      <c r="F192" s="377"/>
      <c r="G192" s="377"/>
      <c r="H192" s="378"/>
      <c r="I192" s="360"/>
      <c r="J192" s="377"/>
      <c r="K192" s="377"/>
      <c r="L192" s="378"/>
      <c r="M192" s="377"/>
      <c r="N192" s="377"/>
      <c r="O192" s="377"/>
      <c r="P192" s="364"/>
      <c r="Q192" s="360"/>
      <c r="R192" s="377"/>
      <c r="S192" s="377"/>
      <c r="T192" s="375"/>
      <c r="U192" s="375"/>
      <c r="V192" s="375"/>
      <c r="W192" s="375"/>
      <c r="X192" s="375"/>
      <c r="Y192" s="375"/>
      <c r="Z192" s="375"/>
      <c r="AA192" s="375"/>
      <c r="AB192" s="375"/>
      <c r="AC192" s="375"/>
      <c r="AD192" s="375"/>
      <c r="AE192" s="375"/>
      <c r="AF192" s="375"/>
    </row>
    <row r="193">
      <c r="A193" s="360"/>
      <c r="B193" s="360"/>
      <c r="C193" s="377"/>
      <c r="D193" s="377"/>
      <c r="E193" s="378"/>
      <c r="F193" s="377"/>
      <c r="G193" s="377"/>
      <c r="H193" s="378"/>
      <c r="I193" s="360"/>
      <c r="J193" s="377"/>
      <c r="K193" s="377"/>
      <c r="L193" s="378"/>
      <c r="M193" s="377"/>
      <c r="N193" s="377"/>
      <c r="O193" s="377"/>
      <c r="P193" s="364"/>
      <c r="Q193" s="360"/>
      <c r="R193" s="377"/>
      <c r="S193" s="377"/>
      <c r="T193" s="375"/>
      <c r="U193" s="375"/>
      <c r="V193" s="375"/>
      <c r="W193" s="375"/>
      <c r="X193" s="375"/>
      <c r="Y193" s="375"/>
      <c r="Z193" s="375"/>
      <c r="AA193" s="375"/>
      <c r="AB193" s="375"/>
      <c r="AC193" s="375"/>
      <c r="AD193" s="375"/>
      <c r="AE193" s="375"/>
      <c r="AF193" s="375"/>
    </row>
    <row r="194">
      <c r="A194" s="360"/>
      <c r="B194" s="360"/>
      <c r="C194" s="377"/>
      <c r="D194" s="377"/>
      <c r="E194" s="378"/>
      <c r="F194" s="377"/>
      <c r="G194" s="377"/>
      <c r="H194" s="378"/>
      <c r="I194" s="360"/>
      <c r="J194" s="377"/>
      <c r="K194" s="377"/>
      <c r="L194" s="378"/>
      <c r="M194" s="377"/>
      <c r="N194" s="377"/>
      <c r="O194" s="377"/>
      <c r="P194" s="364"/>
      <c r="Q194" s="360"/>
      <c r="R194" s="377"/>
      <c r="S194" s="377"/>
      <c r="T194" s="375"/>
      <c r="U194" s="375"/>
      <c r="V194" s="375"/>
      <c r="W194" s="375"/>
      <c r="X194" s="375"/>
      <c r="Y194" s="375"/>
      <c r="Z194" s="375"/>
      <c r="AA194" s="375"/>
      <c r="AB194" s="375"/>
      <c r="AC194" s="375"/>
      <c r="AD194" s="375"/>
      <c r="AE194" s="375"/>
      <c r="AF194" s="375"/>
    </row>
    <row r="195">
      <c r="A195" s="360"/>
      <c r="B195" s="360"/>
      <c r="C195" s="377"/>
      <c r="D195" s="377"/>
      <c r="E195" s="378"/>
      <c r="F195" s="377"/>
      <c r="G195" s="377"/>
      <c r="H195" s="378"/>
      <c r="I195" s="360"/>
      <c r="J195" s="377"/>
      <c r="K195" s="377"/>
      <c r="L195" s="378"/>
      <c r="M195" s="377"/>
      <c r="N195" s="377"/>
      <c r="O195" s="377"/>
      <c r="P195" s="364"/>
      <c r="Q195" s="360"/>
      <c r="R195" s="377"/>
      <c r="S195" s="377"/>
      <c r="T195" s="375"/>
      <c r="U195" s="375"/>
      <c r="V195" s="375"/>
      <c r="W195" s="375"/>
      <c r="X195" s="375"/>
      <c r="Y195" s="375"/>
      <c r="Z195" s="375"/>
      <c r="AA195" s="375"/>
      <c r="AB195" s="375"/>
      <c r="AC195" s="375"/>
      <c r="AD195" s="375"/>
      <c r="AE195" s="375"/>
      <c r="AF195" s="375"/>
    </row>
    <row r="196">
      <c r="A196" s="360"/>
      <c r="B196" s="360"/>
      <c r="C196" s="377"/>
      <c r="D196" s="377"/>
      <c r="E196" s="378"/>
      <c r="F196" s="377"/>
      <c r="G196" s="377"/>
      <c r="H196" s="378"/>
      <c r="I196" s="360"/>
      <c r="J196" s="377"/>
      <c r="K196" s="377"/>
      <c r="L196" s="378"/>
      <c r="M196" s="377"/>
      <c r="N196" s="377"/>
      <c r="O196" s="377"/>
      <c r="P196" s="364"/>
      <c r="Q196" s="360"/>
      <c r="R196" s="377"/>
      <c r="S196" s="377"/>
      <c r="T196" s="375"/>
      <c r="U196" s="375"/>
      <c r="V196" s="375"/>
      <c r="W196" s="375"/>
      <c r="X196" s="375"/>
      <c r="Y196" s="375"/>
      <c r="Z196" s="375"/>
      <c r="AA196" s="375"/>
      <c r="AB196" s="375"/>
      <c r="AC196" s="375"/>
      <c r="AD196" s="375"/>
      <c r="AE196" s="375"/>
      <c r="AF196" s="375"/>
    </row>
    <row r="197">
      <c r="A197" s="360"/>
      <c r="B197" s="360"/>
      <c r="C197" s="377"/>
      <c r="D197" s="377"/>
      <c r="E197" s="378"/>
      <c r="F197" s="377"/>
      <c r="G197" s="377"/>
      <c r="H197" s="378"/>
      <c r="I197" s="360"/>
      <c r="J197" s="377"/>
      <c r="K197" s="377"/>
      <c r="L197" s="378"/>
      <c r="M197" s="377"/>
      <c r="N197" s="377"/>
      <c r="O197" s="377"/>
      <c r="P197" s="364"/>
      <c r="Q197" s="360"/>
      <c r="R197" s="377"/>
      <c r="S197" s="377"/>
      <c r="T197" s="375"/>
      <c r="U197" s="375"/>
      <c r="V197" s="375"/>
      <c r="W197" s="375"/>
      <c r="X197" s="375"/>
      <c r="Y197" s="375"/>
      <c r="Z197" s="375"/>
      <c r="AA197" s="375"/>
      <c r="AB197" s="375"/>
      <c r="AC197" s="375"/>
      <c r="AD197" s="375"/>
      <c r="AE197" s="375"/>
      <c r="AF197" s="375"/>
    </row>
    <row r="198">
      <c r="A198" s="360"/>
      <c r="B198" s="360"/>
      <c r="C198" s="377"/>
      <c r="D198" s="377"/>
      <c r="E198" s="378"/>
      <c r="F198" s="377"/>
      <c r="G198" s="377"/>
      <c r="H198" s="378"/>
      <c r="I198" s="360"/>
      <c r="J198" s="377"/>
      <c r="K198" s="377"/>
      <c r="L198" s="378"/>
      <c r="M198" s="377"/>
      <c r="N198" s="377"/>
      <c r="O198" s="377"/>
      <c r="P198" s="364"/>
      <c r="Q198" s="360"/>
      <c r="R198" s="377"/>
      <c r="S198" s="377"/>
      <c r="T198" s="375"/>
      <c r="U198" s="375"/>
      <c r="V198" s="375"/>
      <c r="W198" s="375"/>
      <c r="X198" s="375"/>
      <c r="Y198" s="375"/>
      <c r="Z198" s="375"/>
      <c r="AA198" s="375"/>
      <c r="AB198" s="375"/>
      <c r="AC198" s="375"/>
      <c r="AD198" s="375"/>
      <c r="AE198" s="375"/>
      <c r="AF198" s="375"/>
    </row>
    <row r="199">
      <c r="A199" s="360"/>
      <c r="B199" s="360"/>
      <c r="C199" s="377"/>
      <c r="D199" s="377"/>
      <c r="E199" s="378"/>
      <c r="F199" s="377"/>
      <c r="G199" s="377"/>
      <c r="H199" s="378"/>
      <c r="I199" s="360"/>
      <c r="J199" s="377"/>
      <c r="K199" s="377"/>
      <c r="L199" s="378"/>
      <c r="M199" s="377"/>
      <c r="N199" s="377"/>
      <c r="O199" s="377"/>
      <c r="P199" s="364"/>
      <c r="Q199" s="360"/>
      <c r="R199" s="377"/>
      <c r="S199" s="377"/>
      <c r="T199" s="375"/>
      <c r="U199" s="375"/>
      <c r="V199" s="375"/>
      <c r="W199" s="375"/>
      <c r="X199" s="375"/>
      <c r="Y199" s="375"/>
      <c r="Z199" s="375"/>
      <c r="AA199" s="375"/>
      <c r="AB199" s="375"/>
      <c r="AC199" s="375"/>
      <c r="AD199" s="375"/>
      <c r="AE199" s="375"/>
      <c r="AF199" s="375"/>
    </row>
    <row r="200">
      <c r="A200" s="360"/>
      <c r="B200" s="360"/>
      <c r="C200" s="377"/>
      <c r="D200" s="377"/>
      <c r="E200" s="378"/>
      <c r="F200" s="377"/>
      <c r="G200" s="377"/>
      <c r="H200" s="378"/>
      <c r="I200" s="360"/>
      <c r="J200" s="377"/>
      <c r="K200" s="377"/>
      <c r="L200" s="378"/>
      <c r="M200" s="377"/>
      <c r="N200" s="377"/>
      <c r="O200" s="377"/>
      <c r="P200" s="364"/>
      <c r="Q200" s="360"/>
      <c r="R200" s="377"/>
      <c r="S200" s="377"/>
      <c r="T200" s="375"/>
      <c r="U200" s="375"/>
      <c r="V200" s="375"/>
      <c r="W200" s="375"/>
      <c r="X200" s="375"/>
      <c r="Y200" s="375"/>
      <c r="Z200" s="375"/>
      <c r="AA200" s="375"/>
      <c r="AB200" s="375"/>
      <c r="AC200" s="375"/>
      <c r="AD200" s="375"/>
      <c r="AE200" s="375"/>
      <c r="AF200" s="375"/>
    </row>
    <row r="201">
      <c r="A201" s="360"/>
      <c r="B201" s="360"/>
      <c r="C201" s="377"/>
      <c r="D201" s="377"/>
      <c r="E201" s="378"/>
      <c r="F201" s="377"/>
      <c r="G201" s="377"/>
      <c r="H201" s="378"/>
      <c r="I201" s="360"/>
      <c r="J201" s="377"/>
      <c r="K201" s="377"/>
      <c r="L201" s="378"/>
      <c r="M201" s="377"/>
      <c r="N201" s="377"/>
      <c r="O201" s="377"/>
      <c r="P201" s="364"/>
      <c r="Q201" s="360"/>
      <c r="R201" s="377"/>
      <c r="S201" s="377"/>
      <c r="T201" s="375"/>
      <c r="U201" s="375"/>
      <c r="V201" s="375"/>
      <c r="W201" s="375"/>
      <c r="X201" s="375"/>
      <c r="Y201" s="375"/>
      <c r="Z201" s="375"/>
      <c r="AA201" s="375"/>
      <c r="AB201" s="375"/>
      <c r="AC201" s="375"/>
      <c r="AD201" s="375"/>
      <c r="AE201" s="375"/>
      <c r="AF201" s="375"/>
    </row>
    <row r="202">
      <c r="A202" s="360"/>
      <c r="B202" s="360"/>
      <c r="C202" s="377"/>
      <c r="D202" s="377"/>
      <c r="E202" s="378"/>
      <c r="F202" s="377"/>
      <c r="G202" s="377"/>
      <c r="H202" s="378"/>
      <c r="I202" s="360"/>
      <c r="J202" s="377"/>
      <c r="K202" s="377"/>
      <c r="L202" s="378"/>
      <c r="M202" s="377"/>
      <c r="N202" s="377"/>
      <c r="O202" s="377"/>
      <c r="P202" s="364"/>
      <c r="Q202" s="360"/>
      <c r="R202" s="377"/>
      <c r="S202" s="377"/>
      <c r="T202" s="375"/>
      <c r="U202" s="375"/>
      <c r="V202" s="375"/>
      <c r="W202" s="375"/>
      <c r="X202" s="375"/>
      <c r="Y202" s="375"/>
      <c r="Z202" s="375"/>
      <c r="AA202" s="375"/>
      <c r="AB202" s="375"/>
      <c r="AC202" s="375"/>
      <c r="AD202" s="375"/>
      <c r="AE202" s="375"/>
      <c r="AF202" s="375"/>
    </row>
    <row r="203">
      <c r="A203" s="360"/>
      <c r="B203" s="360"/>
      <c r="C203" s="377"/>
      <c r="D203" s="377"/>
      <c r="E203" s="378"/>
      <c r="F203" s="377"/>
      <c r="G203" s="377"/>
      <c r="H203" s="378"/>
      <c r="I203" s="360"/>
      <c r="J203" s="377"/>
      <c r="K203" s="377"/>
      <c r="L203" s="378"/>
      <c r="M203" s="377"/>
      <c r="N203" s="377"/>
      <c r="O203" s="377"/>
      <c r="P203" s="364"/>
      <c r="Q203" s="360"/>
      <c r="R203" s="377"/>
      <c r="S203" s="377"/>
      <c r="T203" s="375"/>
      <c r="U203" s="375"/>
      <c r="V203" s="375"/>
      <c r="W203" s="375"/>
      <c r="X203" s="375"/>
      <c r="Y203" s="375"/>
      <c r="Z203" s="375"/>
      <c r="AA203" s="375"/>
      <c r="AB203" s="375"/>
      <c r="AC203" s="375"/>
      <c r="AD203" s="375"/>
      <c r="AE203" s="375"/>
      <c r="AF203" s="375"/>
    </row>
    <row r="204">
      <c r="A204" s="360"/>
      <c r="B204" s="360"/>
      <c r="C204" s="377"/>
      <c r="D204" s="377"/>
      <c r="E204" s="378"/>
      <c r="F204" s="377"/>
      <c r="G204" s="377"/>
      <c r="H204" s="378"/>
      <c r="I204" s="360"/>
      <c r="J204" s="377"/>
      <c r="K204" s="377"/>
      <c r="L204" s="378"/>
      <c r="M204" s="377"/>
      <c r="N204" s="377"/>
      <c r="O204" s="377"/>
      <c r="P204" s="364"/>
      <c r="Q204" s="360"/>
      <c r="R204" s="377"/>
      <c r="S204" s="377"/>
      <c r="T204" s="375"/>
      <c r="U204" s="375"/>
      <c r="V204" s="375"/>
      <c r="W204" s="375"/>
      <c r="X204" s="375"/>
      <c r="Y204" s="375"/>
      <c r="Z204" s="375"/>
      <c r="AA204" s="375"/>
      <c r="AB204" s="375"/>
      <c r="AC204" s="375"/>
      <c r="AD204" s="375"/>
      <c r="AE204" s="375"/>
      <c r="AF204" s="375"/>
    </row>
    <row r="205">
      <c r="A205" s="360"/>
      <c r="B205" s="360"/>
      <c r="C205" s="377"/>
      <c r="D205" s="377"/>
      <c r="E205" s="378"/>
      <c r="F205" s="377"/>
      <c r="G205" s="377"/>
      <c r="H205" s="378"/>
      <c r="I205" s="360"/>
      <c r="J205" s="377"/>
      <c r="K205" s="377"/>
      <c r="L205" s="378"/>
      <c r="M205" s="377"/>
      <c r="N205" s="377"/>
      <c r="O205" s="377"/>
      <c r="P205" s="364"/>
      <c r="Q205" s="360"/>
      <c r="R205" s="377"/>
      <c r="S205" s="377"/>
      <c r="T205" s="375"/>
      <c r="U205" s="375"/>
      <c r="V205" s="375"/>
      <c r="W205" s="375"/>
      <c r="X205" s="375"/>
      <c r="Y205" s="375"/>
      <c r="Z205" s="375"/>
      <c r="AA205" s="375"/>
      <c r="AB205" s="375"/>
      <c r="AC205" s="375"/>
      <c r="AD205" s="375"/>
      <c r="AE205" s="375"/>
      <c r="AF205" s="375"/>
    </row>
    <row r="206">
      <c r="A206" s="360"/>
      <c r="B206" s="360"/>
      <c r="C206" s="377"/>
      <c r="D206" s="377"/>
      <c r="E206" s="378"/>
      <c r="F206" s="377"/>
      <c r="G206" s="377"/>
      <c r="H206" s="378"/>
      <c r="I206" s="360"/>
      <c r="J206" s="377"/>
      <c r="K206" s="377"/>
      <c r="L206" s="378"/>
      <c r="M206" s="377"/>
      <c r="N206" s="377"/>
      <c r="O206" s="377"/>
      <c r="P206" s="364"/>
      <c r="Q206" s="360"/>
      <c r="R206" s="377"/>
      <c r="S206" s="377"/>
      <c r="T206" s="375"/>
      <c r="U206" s="375"/>
      <c r="V206" s="375"/>
      <c r="W206" s="375"/>
      <c r="X206" s="375"/>
      <c r="Y206" s="375"/>
      <c r="Z206" s="375"/>
      <c r="AA206" s="375"/>
      <c r="AB206" s="375"/>
      <c r="AC206" s="375"/>
      <c r="AD206" s="375"/>
      <c r="AE206" s="375"/>
      <c r="AF206" s="375"/>
    </row>
    <row r="207">
      <c r="A207" s="360"/>
      <c r="B207" s="360"/>
      <c r="C207" s="377"/>
      <c r="D207" s="377"/>
      <c r="E207" s="378"/>
      <c r="F207" s="377"/>
      <c r="G207" s="377"/>
      <c r="H207" s="378"/>
      <c r="I207" s="360"/>
      <c r="J207" s="377"/>
      <c r="K207" s="377"/>
      <c r="L207" s="378"/>
      <c r="M207" s="377"/>
      <c r="N207" s="377"/>
      <c r="O207" s="377"/>
      <c r="P207" s="364"/>
      <c r="Q207" s="360"/>
      <c r="R207" s="377"/>
      <c r="S207" s="377"/>
      <c r="T207" s="375"/>
      <c r="U207" s="375"/>
      <c r="V207" s="375"/>
      <c r="W207" s="375"/>
      <c r="X207" s="375"/>
      <c r="Y207" s="375"/>
      <c r="Z207" s="375"/>
      <c r="AA207" s="375"/>
      <c r="AB207" s="375"/>
      <c r="AC207" s="375"/>
      <c r="AD207" s="375"/>
      <c r="AE207" s="375"/>
      <c r="AF207" s="375"/>
    </row>
    <row r="208">
      <c r="A208" s="360"/>
      <c r="B208" s="360"/>
      <c r="C208" s="377"/>
      <c r="D208" s="377"/>
      <c r="E208" s="378"/>
      <c r="F208" s="377"/>
      <c r="G208" s="377"/>
      <c r="H208" s="378"/>
      <c r="I208" s="360"/>
      <c r="J208" s="377"/>
      <c r="K208" s="377"/>
      <c r="L208" s="378"/>
      <c r="M208" s="377"/>
      <c r="N208" s="377"/>
      <c r="O208" s="377"/>
      <c r="P208" s="364"/>
      <c r="Q208" s="360"/>
      <c r="R208" s="377"/>
      <c r="S208" s="377"/>
      <c r="T208" s="375"/>
      <c r="U208" s="375"/>
      <c r="V208" s="375"/>
      <c r="W208" s="375"/>
      <c r="X208" s="375"/>
      <c r="Y208" s="375"/>
      <c r="Z208" s="375"/>
      <c r="AA208" s="375"/>
      <c r="AB208" s="375"/>
      <c r="AC208" s="375"/>
      <c r="AD208" s="375"/>
      <c r="AE208" s="375"/>
      <c r="AF208" s="375"/>
    </row>
    <row r="209">
      <c r="A209" s="360"/>
      <c r="B209" s="360"/>
      <c r="C209" s="377"/>
      <c r="D209" s="377"/>
      <c r="E209" s="378"/>
      <c r="F209" s="377"/>
      <c r="G209" s="377"/>
      <c r="H209" s="378"/>
      <c r="I209" s="360"/>
      <c r="J209" s="377"/>
      <c r="K209" s="377"/>
      <c r="L209" s="378"/>
      <c r="M209" s="377"/>
      <c r="N209" s="377"/>
      <c r="O209" s="377"/>
      <c r="P209" s="364"/>
      <c r="Q209" s="360"/>
      <c r="R209" s="377"/>
      <c r="S209" s="377"/>
      <c r="T209" s="375"/>
      <c r="U209" s="375"/>
      <c r="V209" s="375"/>
      <c r="W209" s="375"/>
      <c r="X209" s="375"/>
      <c r="Y209" s="375"/>
      <c r="Z209" s="375"/>
      <c r="AA209" s="375"/>
      <c r="AB209" s="375"/>
      <c r="AC209" s="375"/>
      <c r="AD209" s="375"/>
      <c r="AE209" s="375"/>
      <c r="AF209" s="375"/>
    </row>
    <row r="210">
      <c r="A210" s="360"/>
      <c r="B210" s="360"/>
      <c r="C210" s="377"/>
      <c r="D210" s="377"/>
      <c r="E210" s="378"/>
      <c r="F210" s="377"/>
      <c r="G210" s="377"/>
      <c r="H210" s="378"/>
      <c r="I210" s="360"/>
      <c r="J210" s="377"/>
      <c r="K210" s="377"/>
      <c r="L210" s="378"/>
      <c r="M210" s="377"/>
      <c r="N210" s="377"/>
      <c r="O210" s="377"/>
      <c r="P210" s="364"/>
      <c r="Q210" s="360"/>
      <c r="R210" s="377"/>
      <c r="S210" s="377"/>
      <c r="T210" s="375"/>
      <c r="U210" s="375"/>
      <c r="V210" s="375"/>
      <c r="W210" s="375"/>
      <c r="X210" s="375"/>
      <c r="Y210" s="375"/>
      <c r="Z210" s="375"/>
      <c r="AA210" s="375"/>
      <c r="AB210" s="375"/>
      <c r="AC210" s="375"/>
      <c r="AD210" s="375"/>
      <c r="AE210" s="375"/>
      <c r="AF210" s="375"/>
    </row>
    <row r="211">
      <c r="A211" s="360"/>
      <c r="B211" s="360"/>
      <c r="C211" s="377"/>
      <c r="D211" s="377"/>
      <c r="E211" s="378"/>
      <c r="F211" s="377"/>
      <c r="G211" s="377"/>
      <c r="H211" s="378"/>
      <c r="I211" s="360"/>
      <c r="J211" s="377"/>
      <c r="K211" s="377"/>
      <c r="L211" s="378"/>
      <c r="M211" s="377"/>
      <c r="N211" s="377"/>
      <c r="O211" s="377"/>
      <c r="P211" s="364"/>
      <c r="Q211" s="360"/>
      <c r="R211" s="377"/>
      <c r="S211" s="377"/>
      <c r="T211" s="375"/>
      <c r="U211" s="375"/>
      <c r="V211" s="375"/>
      <c r="W211" s="375"/>
      <c r="X211" s="375"/>
      <c r="Y211" s="375"/>
      <c r="Z211" s="375"/>
      <c r="AA211" s="375"/>
      <c r="AB211" s="375"/>
      <c r="AC211" s="375"/>
      <c r="AD211" s="375"/>
      <c r="AE211" s="375"/>
      <c r="AF211" s="375"/>
    </row>
    <row r="212">
      <c r="A212" s="360"/>
      <c r="B212" s="360"/>
      <c r="C212" s="377"/>
      <c r="D212" s="377"/>
      <c r="E212" s="378"/>
      <c r="F212" s="377"/>
      <c r="G212" s="377"/>
      <c r="H212" s="378"/>
      <c r="I212" s="360"/>
      <c r="J212" s="377"/>
      <c r="K212" s="377"/>
      <c r="L212" s="378"/>
      <c r="M212" s="377"/>
      <c r="N212" s="377"/>
      <c r="O212" s="377"/>
      <c r="P212" s="364"/>
      <c r="Q212" s="360"/>
      <c r="R212" s="377"/>
      <c r="S212" s="377"/>
      <c r="T212" s="375"/>
      <c r="U212" s="375"/>
      <c r="V212" s="375"/>
      <c r="W212" s="375"/>
      <c r="X212" s="375"/>
      <c r="Y212" s="375"/>
      <c r="Z212" s="375"/>
      <c r="AA212" s="375"/>
      <c r="AB212" s="375"/>
      <c r="AC212" s="375"/>
      <c r="AD212" s="375"/>
      <c r="AE212" s="375"/>
      <c r="AF212" s="375"/>
    </row>
    <row r="213">
      <c r="A213" s="360"/>
      <c r="B213" s="360"/>
      <c r="C213" s="377"/>
      <c r="D213" s="377"/>
      <c r="E213" s="378"/>
      <c r="F213" s="377"/>
      <c r="G213" s="377"/>
      <c r="H213" s="378"/>
      <c r="I213" s="360"/>
      <c r="J213" s="377"/>
      <c r="K213" s="377"/>
      <c r="L213" s="378"/>
      <c r="M213" s="377"/>
      <c r="N213" s="377"/>
      <c r="O213" s="377"/>
      <c r="P213" s="364"/>
      <c r="Q213" s="360"/>
      <c r="R213" s="377"/>
      <c r="S213" s="377"/>
      <c r="T213" s="375"/>
      <c r="U213" s="375"/>
      <c r="V213" s="375"/>
      <c r="W213" s="375"/>
      <c r="X213" s="375"/>
      <c r="Y213" s="375"/>
      <c r="Z213" s="375"/>
      <c r="AA213" s="375"/>
      <c r="AB213" s="375"/>
      <c r="AC213" s="375"/>
      <c r="AD213" s="375"/>
      <c r="AE213" s="375"/>
      <c r="AF213" s="375"/>
    </row>
    <row r="214">
      <c r="A214" s="360"/>
      <c r="B214" s="360"/>
      <c r="C214" s="377"/>
      <c r="D214" s="377"/>
      <c r="E214" s="378"/>
      <c r="F214" s="377"/>
      <c r="G214" s="377"/>
      <c r="H214" s="378"/>
      <c r="I214" s="360"/>
      <c r="J214" s="377"/>
      <c r="K214" s="377"/>
      <c r="L214" s="378"/>
      <c r="M214" s="377"/>
      <c r="N214" s="377"/>
      <c r="O214" s="377"/>
      <c r="P214" s="364"/>
      <c r="Q214" s="360"/>
      <c r="R214" s="377"/>
      <c r="S214" s="377"/>
      <c r="T214" s="375"/>
      <c r="U214" s="375"/>
      <c r="V214" s="375"/>
      <c r="W214" s="375"/>
      <c r="X214" s="375"/>
      <c r="Y214" s="375"/>
      <c r="Z214" s="375"/>
      <c r="AA214" s="375"/>
      <c r="AB214" s="375"/>
      <c r="AC214" s="375"/>
      <c r="AD214" s="375"/>
      <c r="AE214" s="375"/>
      <c r="AF214" s="375"/>
    </row>
    <row r="215">
      <c r="A215" s="360"/>
      <c r="B215" s="360"/>
      <c r="C215" s="377"/>
      <c r="D215" s="377"/>
      <c r="E215" s="378"/>
      <c r="F215" s="377"/>
      <c r="G215" s="377"/>
      <c r="H215" s="378"/>
      <c r="I215" s="360"/>
      <c r="J215" s="377"/>
      <c r="K215" s="377"/>
      <c r="L215" s="378"/>
      <c r="M215" s="377"/>
      <c r="N215" s="377"/>
      <c r="O215" s="377"/>
      <c r="P215" s="364"/>
      <c r="Q215" s="360"/>
      <c r="R215" s="377"/>
      <c r="S215" s="377"/>
      <c r="T215" s="375"/>
      <c r="U215" s="375"/>
      <c r="V215" s="375"/>
      <c r="W215" s="375"/>
      <c r="X215" s="375"/>
      <c r="Y215" s="375"/>
      <c r="Z215" s="375"/>
      <c r="AA215" s="375"/>
      <c r="AB215" s="375"/>
      <c r="AC215" s="375"/>
      <c r="AD215" s="375"/>
      <c r="AE215" s="375"/>
      <c r="AF215" s="375"/>
    </row>
    <row r="216">
      <c r="A216" s="360"/>
      <c r="B216" s="360"/>
      <c r="C216" s="377"/>
      <c r="D216" s="377"/>
      <c r="E216" s="378"/>
      <c r="F216" s="377"/>
      <c r="G216" s="377"/>
      <c r="H216" s="378"/>
      <c r="I216" s="360"/>
      <c r="J216" s="377"/>
      <c r="K216" s="377"/>
      <c r="L216" s="378"/>
      <c r="M216" s="377"/>
      <c r="N216" s="377"/>
      <c r="O216" s="377"/>
      <c r="P216" s="364"/>
      <c r="Q216" s="360"/>
      <c r="R216" s="377"/>
      <c r="S216" s="377"/>
      <c r="T216" s="375"/>
      <c r="U216" s="375"/>
      <c r="V216" s="375"/>
      <c r="W216" s="375"/>
      <c r="X216" s="375"/>
      <c r="Y216" s="375"/>
      <c r="Z216" s="375"/>
      <c r="AA216" s="375"/>
      <c r="AB216" s="375"/>
      <c r="AC216" s="375"/>
      <c r="AD216" s="375"/>
      <c r="AE216" s="375"/>
      <c r="AF216" s="375"/>
    </row>
    <row r="217">
      <c r="A217" s="360"/>
      <c r="B217" s="360"/>
      <c r="C217" s="377"/>
      <c r="D217" s="377"/>
      <c r="E217" s="378"/>
      <c r="F217" s="377"/>
      <c r="G217" s="377"/>
      <c r="H217" s="378"/>
      <c r="I217" s="360"/>
      <c r="J217" s="377"/>
      <c r="K217" s="377"/>
      <c r="L217" s="378"/>
      <c r="M217" s="377"/>
      <c r="N217" s="377"/>
      <c r="O217" s="377"/>
      <c r="P217" s="364"/>
      <c r="Q217" s="360"/>
      <c r="R217" s="377"/>
      <c r="S217" s="377"/>
      <c r="T217" s="375"/>
      <c r="U217" s="375"/>
      <c r="V217" s="375"/>
      <c r="W217" s="375"/>
      <c r="X217" s="375"/>
      <c r="Y217" s="375"/>
      <c r="Z217" s="375"/>
      <c r="AA217" s="375"/>
      <c r="AB217" s="375"/>
      <c r="AC217" s="375"/>
      <c r="AD217" s="375"/>
      <c r="AE217" s="375"/>
      <c r="AF217" s="375"/>
    </row>
    <row r="218">
      <c r="A218" s="360"/>
      <c r="B218" s="360"/>
      <c r="C218" s="377"/>
      <c r="D218" s="377"/>
      <c r="E218" s="378"/>
      <c r="F218" s="377"/>
      <c r="G218" s="377"/>
      <c r="H218" s="378"/>
      <c r="I218" s="360"/>
      <c r="J218" s="377"/>
      <c r="K218" s="377"/>
      <c r="L218" s="378"/>
      <c r="M218" s="377"/>
      <c r="N218" s="377"/>
      <c r="O218" s="377"/>
      <c r="P218" s="364"/>
      <c r="Q218" s="360"/>
      <c r="R218" s="377"/>
      <c r="S218" s="377"/>
      <c r="T218" s="375"/>
      <c r="U218" s="375"/>
      <c r="V218" s="375"/>
      <c r="W218" s="375"/>
      <c r="X218" s="375"/>
      <c r="Y218" s="375"/>
      <c r="Z218" s="375"/>
      <c r="AA218" s="375"/>
      <c r="AB218" s="375"/>
      <c r="AC218" s="375"/>
      <c r="AD218" s="375"/>
      <c r="AE218" s="375"/>
      <c r="AF218" s="375"/>
    </row>
    <row r="219">
      <c r="A219" s="360"/>
      <c r="B219" s="360"/>
      <c r="C219" s="377"/>
      <c r="D219" s="377"/>
      <c r="E219" s="378"/>
      <c r="F219" s="377"/>
      <c r="G219" s="377"/>
      <c r="H219" s="378"/>
      <c r="I219" s="360"/>
      <c r="J219" s="377"/>
      <c r="K219" s="377"/>
      <c r="L219" s="378"/>
      <c r="M219" s="377"/>
      <c r="N219" s="377"/>
      <c r="O219" s="377"/>
      <c r="P219" s="364"/>
      <c r="Q219" s="360"/>
      <c r="R219" s="377"/>
      <c r="S219" s="377"/>
      <c r="T219" s="375"/>
      <c r="U219" s="375"/>
      <c r="V219" s="375"/>
      <c r="W219" s="375"/>
      <c r="X219" s="375"/>
      <c r="Y219" s="375"/>
      <c r="Z219" s="375"/>
      <c r="AA219" s="375"/>
      <c r="AB219" s="375"/>
      <c r="AC219" s="375"/>
      <c r="AD219" s="375"/>
      <c r="AE219" s="375"/>
      <c r="AF219" s="375"/>
    </row>
    <row r="220">
      <c r="A220" s="360"/>
      <c r="B220" s="360"/>
      <c r="C220" s="377"/>
      <c r="D220" s="377"/>
      <c r="E220" s="378"/>
      <c r="F220" s="377"/>
      <c r="G220" s="377"/>
      <c r="H220" s="378"/>
      <c r="I220" s="360"/>
      <c r="J220" s="377"/>
      <c r="K220" s="377"/>
      <c r="L220" s="378"/>
      <c r="M220" s="377"/>
      <c r="N220" s="377"/>
      <c r="O220" s="377"/>
      <c r="P220" s="364"/>
      <c r="Q220" s="360"/>
      <c r="R220" s="377"/>
      <c r="S220" s="377"/>
      <c r="T220" s="375"/>
      <c r="U220" s="375"/>
      <c r="V220" s="375"/>
      <c r="W220" s="375"/>
      <c r="X220" s="375"/>
      <c r="Y220" s="375"/>
      <c r="Z220" s="375"/>
      <c r="AA220" s="375"/>
      <c r="AB220" s="375"/>
      <c r="AC220" s="375"/>
      <c r="AD220" s="375"/>
      <c r="AE220" s="375"/>
      <c r="AF220" s="375"/>
    </row>
    <row r="221">
      <c r="A221" s="360"/>
      <c r="B221" s="360"/>
      <c r="C221" s="377"/>
      <c r="D221" s="377"/>
      <c r="E221" s="378"/>
      <c r="F221" s="377"/>
      <c r="G221" s="377"/>
      <c r="H221" s="378"/>
      <c r="I221" s="360"/>
      <c r="J221" s="377"/>
      <c r="K221" s="377"/>
      <c r="L221" s="378"/>
      <c r="M221" s="377"/>
      <c r="N221" s="377"/>
      <c r="O221" s="377"/>
      <c r="P221" s="364"/>
      <c r="Q221" s="360"/>
      <c r="R221" s="377"/>
      <c r="S221" s="377"/>
      <c r="T221" s="375"/>
      <c r="U221" s="375"/>
      <c r="V221" s="375"/>
      <c r="W221" s="375"/>
      <c r="X221" s="375"/>
      <c r="Y221" s="375"/>
      <c r="Z221" s="375"/>
      <c r="AA221" s="375"/>
      <c r="AB221" s="375"/>
      <c r="AC221" s="375"/>
      <c r="AD221" s="375"/>
      <c r="AE221" s="375"/>
      <c r="AF221" s="375"/>
    </row>
    <row r="222">
      <c r="A222" s="360"/>
      <c r="B222" s="360"/>
      <c r="C222" s="377"/>
      <c r="D222" s="377"/>
      <c r="E222" s="378"/>
      <c r="F222" s="377"/>
      <c r="G222" s="377"/>
      <c r="H222" s="378"/>
      <c r="I222" s="360"/>
      <c r="J222" s="377"/>
      <c r="K222" s="377"/>
      <c r="L222" s="378"/>
      <c r="M222" s="377"/>
      <c r="N222" s="377"/>
      <c r="O222" s="377"/>
      <c r="P222" s="364"/>
      <c r="Q222" s="360"/>
      <c r="R222" s="377"/>
      <c r="S222" s="377"/>
      <c r="T222" s="375"/>
      <c r="U222" s="375"/>
      <c r="V222" s="375"/>
      <c r="W222" s="375"/>
      <c r="X222" s="375"/>
      <c r="Y222" s="375"/>
      <c r="Z222" s="375"/>
      <c r="AA222" s="375"/>
      <c r="AB222" s="375"/>
      <c r="AC222" s="375"/>
      <c r="AD222" s="375"/>
      <c r="AE222" s="375"/>
      <c r="AF222" s="375"/>
    </row>
    <row r="223">
      <c r="A223" s="360"/>
      <c r="B223" s="360"/>
      <c r="C223" s="377"/>
      <c r="D223" s="377"/>
      <c r="E223" s="378"/>
      <c r="F223" s="377"/>
      <c r="G223" s="377"/>
      <c r="H223" s="378"/>
      <c r="I223" s="360"/>
      <c r="J223" s="377"/>
      <c r="K223" s="377"/>
      <c r="L223" s="378"/>
      <c r="M223" s="377"/>
      <c r="N223" s="377"/>
      <c r="O223" s="377"/>
      <c r="P223" s="364"/>
      <c r="Q223" s="360"/>
      <c r="R223" s="377"/>
      <c r="S223" s="377"/>
      <c r="T223" s="375"/>
      <c r="U223" s="375"/>
      <c r="V223" s="375"/>
      <c r="W223" s="375"/>
      <c r="X223" s="375"/>
      <c r="Y223" s="375"/>
      <c r="Z223" s="375"/>
      <c r="AA223" s="375"/>
      <c r="AB223" s="375"/>
      <c r="AC223" s="375"/>
      <c r="AD223" s="375"/>
      <c r="AE223" s="375"/>
      <c r="AF223" s="375"/>
    </row>
    <row r="224">
      <c r="A224" s="360"/>
      <c r="B224" s="360"/>
      <c r="C224" s="377"/>
      <c r="D224" s="377"/>
      <c r="E224" s="378"/>
      <c r="F224" s="377"/>
      <c r="G224" s="377"/>
      <c r="H224" s="378"/>
      <c r="I224" s="360"/>
      <c r="J224" s="377"/>
      <c r="K224" s="377"/>
      <c r="L224" s="378"/>
      <c r="M224" s="377"/>
      <c r="N224" s="377"/>
      <c r="O224" s="377"/>
      <c r="P224" s="364"/>
      <c r="Q224" s="360"/>
      <c r="R224" s="377"/>
      <c r="S224" s="377"/>
      <c r="T224" s="375"/>
      <c r="U224" s="375"/>
      <c r="V224" s="375"/>
      <c r="W224" s="375"/>
      <c r="X224" s="375"/>
      <c r="Y224" s="375"/>
      <c r="Z224" s="375"/>
      <c r="AA224" s="375"/>
      <c r="AB224" s="375"/>
      <c r="AC224" s="375"/>
      <c r="AD224" s="375"/>
      <c r="AE224" s="375"/>
      <c r="AF224" s="375"/>
    </row>
    <row r="225">
      <c r="A225" s="360"/>
      <c r="B225" s="360"/>
      <c r="C225" s="377"/>
      <c r="D225" s="377"/>
      <c r="E225" s="378"/>
      <c r="F225" s="377"/>
      <c r="G225" s="377"/>
      <c r="H225" s="378"/>
      <c r="I225" s="360"/>
      <c r="J225" s="377"/>
      <c r="K225" s="377"/>
      <c r="L225" s="378"/>
      <c r="M225" s="377"/>
      <c r="N225" s="377"/>
      <c r="O225" s="377"/>
      <c r="P225" s="364"/>
      <c r="Q225" s="360"/>
      <c r="R225" s="377"/>
      <c r="S225" s="377"/>
      <c r="T225" s="375"/>
      <c r="U225" s="375"/>
      <c r="V225" s="375"/>
      <c r="W225" s="375"/>
      <c r="X225" s="375"/>
      <c r="Y225" s="375"/>
      <c r="Z225" s="375"/>
      <c r="AA225" s="375"/>
      <c r="AB225" s="375"/>
      <c r="AC225" s="375"/>
      <c r="AD225" s="375"/>
      <c r="AE225" s="375"/>
      <c r="AF225" s="375"/>
    </row>
    <row r="226">
      <c r="A226" s="360"/>
      <c r="B226" s="360"/>
      <c r="C226" s="377"/>
      <c r="D226" s="377"/>
      <c r="E226" s="378"/>
      <c r="F226" s="377"/>
      <c r="G226" s="377"/>
      <c r="H226" s="378"/>
      <c r="I226" s="360"/>
      <c r="J226" s="377"/>
      <c r="K226" s="377"/>
      <c r="L226" s="378"/>
      <c r="M226" s="377"/>
      <c r="N226" s="377"/>
      <c r="O226" s="377"/>
      <c r="P226" s="364"/>
      <c r="Q226" s="360"/>
      <c r="R226" s="377"/>
      <c r="S226" s="377"/>
      <c r="T226" s="375"/>
      <c r="U226" s="375"/>
      <c r="V226" s="375"/>
      <c r="W226" s="375"/>
      <c r="X226" s="375"/>
      <c r="Y226" s="375"/>
      <c r="Z226" s="375"/>
      <c r="AA226" s="375"/>
      <c r="AB226" s="375"/>
      <c r="AC226" s="375"/>
      <c r="AD226" s="375"/>
      <c r="AE226" s="375"/>
      <c r="AF226" s="375"/>
    </row>
    <row r="227">
      <c r="A227" s="360"/>
      <c r="B227" s="360"/>
      <c r="C227" s="377"/>
      <c r="D227" s="377"/>
      <c r="E227" s="378"/>
      <c r="F227" s="377"/>
      <c r="G227" s="377"/>
      <c r="H227" s="378"/>
      <c r="I227" s="360"/>
      <c r="J227" s="377"/>
      <c r="K227" s="377"/>
      <c r="L227" s="378"/>
      <c r="M227" s="377"/>
      <c r="N227" s="377"/>
      <c r="O227" s="377"/>
      <c r="P227" s="364"/>
      <c r="Q227" s="360"/>
      <c r="R227" s="377"/>
      <c r="S227" s="377"/>
      <c r="T227" s="375"/>
      <c r="U227" s="375"/>
      <c r="V227" s="375"/>
      <c r="W227" s="375"/>
      <c r="X227" s="375"/>
      <c r="Y227" s="375"/>
      <c r="Z227" s="375"/>
      <c r="AA227" s="375"/>
      <c r="AB227" s="375"/>
      <c r="AC227" s="375"/>
      <c r="AD227" s="375"/>
      <c r="AE227" s="375"/>
      <c r="AF227" s="375"/>
    </row>
    <row r="228">
      <c r="A228" s="360"/>
      <c r="B228" s="360"/>
      <c r="C228" s="377"/>
      <c r="D228" s="377"/>
      <c r="E228" s="378"/>
      <c r="F228" s="377"/>
      <c r="G228" s="377"/>
      <c r="H228" s="378"/>
      <c r="I228" s="360"/>
      <c r="J228" s="377"/>
      <c r="K228" s="377"/>
      <c r="L228" s="378"/>
      <c r="M228" s="377"/>
      <c r="N228" s="377"/>
      <c r="O228" s="377"/>
      <c r="P228" s="364"/>
      <c r="Q228" s="360"/>
      <c r="R228" s="377"/>
      <c r="S228" s="377"/>
      <c r="T228" s="375"/>
      <c r="U228" s="375"/>
      <c r="V228" s="375"/>
      <c r="W228" s="375"/>
      <c r="X228" s="375"/>
      <c r="Y228" s="375"/>
      <c r="Z228" s="375"/>
      <c r="AA228" s="375"/>
      <c r="AB228" s="375"/>
      <c r="AC228" s="375"/>
      <c r="AD228" s="375"/>
      <c r="AE228" s="375"/>
      <c r="AF228" s="375"/>
    </row>
    <row r="229">
      <c r="A229" s="360"/>
      <c r="B229" s="360"/>
      <c r="C229" s="377"/>
      <c r="D229" s="377"/>
      <c r="E229" s="378"/>
      <c r="F229" s="377"/>
      <c r="G229" s="377"/>
      <c r="H229" s="378"/>
      <c r="I229" s="360"/>
      <c r="J229" s="377"/>
      <c r="K229" s="377"/>
      <c r="L229" s="378"/>
      <c r="M229" s="377"/>
      <c r="N229" s="377"/>
      <c r="O229" s="377"/>
      <c r="P229" s="364"/>
      <c r="Q229" s="360"/>
      <c r="R229" s="377"/>
      <c r="S229" s="377"/>
      <c r="T229" s="375"/>
      <c r="U229" s="375"/>
      <c r="V229" s="375"/>
      <c r="W229" s="375"/>
      <c r="X229" s="375"/>
      <c r="Y229" s="375"/>
      <c r="Z229" s="375"/>
      <c r="AA229" s="375"/>
      <c r="AB229" s="375"/>
      <c r="AC229" s="375"/>
      <c r="AD229" s="375"/>
      <c r="AE229" s="375"/>
      <c r="AF229" s="375"/>
    </row>
    <row r="230">
      <c r="A230" s="360"/>
      <c r="B230" s="360"/>
      <c r="C230" s="377"/>
      <c r="D230" s="377"/>
      <c r="E230" s="378"/>
      <c r="F230" s="377"/>
      <c r="G230" s="377"/>
      <c r="H230" s="378"/>
      <c r="I230" s="360"/>
      <c r="J230" s="377"/>
      <c r="K230" s="377"/>
      <c r="L230" s="378"/>
      <c r="M230" s="377"/>
      <c r="N230" s="377"/>
      <c r="O230" s="377"/>
      <c r="P230" s="364"/>
      <c r="Q230" s="360"/>
      <c r="R230" s="377"/>
      <c r="S230" s="377"/>
      <c r="T230" s="375"/>
      <c r="U230" s="375"/>
      <c r="V230" s="375"/>
      <c r="W230" s="375"/>
      <c r="X230" s="375"/>
      <c r="Y230" s="375"/>
      <c r="Z230" s="375"/>
      <c r="AA230" s="375"/>
      <c r="AB230" s="375"/>
      <c r="AC230" s="375"/>
      <c r="AD230" s="375"/>
      <c r="AE230" s="375"/>
      <c r="AF230" s="375"/>
    </row>
    <row r="231">
      <c r="A231" s="360"/>
      <c r="B231" s="360"/>
      <c r="C231" s="377"/>
      <c r="D231" s="377"/>
      <c r="E231" s="378"/>
      <c r="F231" s="377"/>
      <c r="G231" s="377"/>
      <c r="H231" s="378"/>
      <c r="I231" s="360"/>
      <c r="J231" s="377"/>
      <c r="K231" s="377"/>
      <c r="L231" s="378"/>
      <c r="M231" s="377"/>
      <c r="N231" s="377"/>
      <c r="O231" s="377"/>
      <c r="P231" s="364"/>
      <c r="Q231" s="360"/>
      <c r="R231" s="377"/>
      <c r="S231" s="377"/>
      <c r="T231" s="375"/>
      <c r="U231" s="375"/>
      <c r="V231" s="375"/>
      <c r="W231" s="375"/>
      <c r="X231" s="375"/>
      <c r="Y231" s="375"/>
      <c r="Z231" s="375"/>
      <c r="AA231" s="375"/>
      <c r="AB231" s="375"/>
      <c r="AC231" s="375"/>
      <c r="AD231" s="375"/>
      <c r="AE231" s="375"/>
      <c r="AF231" s="375"/>
    </row>
    <row r="232">
      <c r="A232" s="360"/>
      <c r="B232" s="360"/>
      <c r="C232" s="377"/>
      <c r="D232" s="377"/>
      <c r="E232" s="378"/>
      <c r="F232" s="377"/>
      <c r="G232" s="377"/>
      <c r="H232" s="378"/>
      <c r="I232" s="360"/>
      <c r="J232" s="377"/>
      <c r="K232" s="377"/>
      <c r="L232" s="378"/>
      <c r="M232" s="377"/>
      <c r="N232" s="377"/>
      <c r="O232" s="377"/>
      <c r="P232" s="364"/>
      <c r="Q232" s="360"/>
      <c r="R232" s="377"/>
      <c r="S232" s="377"/>
      <c r="T232" s="375"/>
      <c r="U232" s="375"/>
      <c r="V232" s="375"/>
      <c r="W232" s="375"/>
      <c r="X232" s="375"/>
      <c r="Y232" s="375"/>
      <c r="Z232" s="375"/>
      <c r="AA232" s="375"/>
      <c r="AB232" s="375"/>
      <c r="AC232" s="375"/>
      <c r="AD232" s="375"/>
      <c r="AE232" s="375"/>
      <c r="AF232" s="375"/>
    </row>
    <row r="233">
      <c r="A233" s="360"/>
      <c r="B233" s="360"/>
      <c r="C233" s="377"/>
      <c r="D233" s="377"/>
      <c r="E233" s="378"/>
      <c r="F233" s="377"/>
      <c r="G233" s="377"/>
      <c r="H233" s="378"/>
      <c r="I233" s="360"/>
      <c r="J233" s="377"/>
      <c r="K233" s="377"/>
      <c r="L233" s="378"/>
      <c r="M233" s="377"/>
      <c r="N233" s="377"/>
      <c r="O233" s="377"/>
      <c r="P233" s="364"/>
      <c r="Q233" s="360"/>
      <c r="R233" s="377"/>
      <c r="S233" s="377"/>
      <c r="T233" s="375"/>
      <c r="U233" s="375"/>
      <c r="V233" s="375"/>
      <c r="W233" s="375"/>
      <c r="X233" s="375"/>
      <c r="Y233" s="375"/>
      <c r="Z233" s="375"/>
      <c r="AA233" s="375"/>
      <c r="AB233" s="375"/>
      <c r="AC233" s="375"/>
      <c r="AD233" s="375"/>
      <c r="AE233" s="375"/>
      <c r="AF233" s="375"/>
    </row>
    <row r="234">
      <c r="A234" s="360"/>
      <c r="B234" s="360"/>
      <c r="C234" s="377"/>
      <c r="D234" s="377"/>
      <c r="E234" s="378"/>
      <c r="F234" s="377"/>
      <c r="G234" s="377"/>
      <c r="H234" s="378"/>
      <c r="I234" s="360"/>
      <c r="J234" s="377"/>
      <c r="K234" s="377"/>
      <c r="L234" s="378"/>
      <c r="M234" s="377"/>
      <c r="N234" s="377"/>
      <c r="O234" s="377"/>
      <c r="P234" s="364"/>
      <c r="Q234" s="360"/>
      <c r="R234" s="377"/>
      <c r="S234" s="377"/>
      <c r="T234" s="375"/>
      <c r="U234" s="375"/>
      <c r="V234" s="375"/>
      <c r="W234" s="375"/>
      <c r="X234" s="375"/>
      <c r="Y234" s="375"/>
      <c r="Z234" s="375"/>
      <c r="AA234" s="375"/>
      <c r="AB234" s="375"/>
      <c r="AC234" s="375"/>
      <c r="AD234" s="375"/>
      <c r="AE234" s="375"/>
      <c r="AF234" s="375"/>
    </row>
    <row r="235">
      <c r="A235" s="360"/>
      <c r="B235" s="360"/>
      <c r="C235" s="377"/>
      <c r="D235" s="377"/>
      <c r="E235" s="378"/>
      <c r="F235" s="377"/>
      <c r="G235" s="377"/>
      <c r="H235" s="378"/>
      <c r="I235" s="360"/>
      <c r="J235" s="377"/>
      <c r="K235" s="377"/>
      <c r="L235" s="378"/>
      <c r="M235" s="377"/>
      <c r="N235" s="377"/>
      <c r="O235" s="377"/>
      <c r="P235" s="364"/>
      <c r="Q235" s="360"/>
      <c r="R235" s="377"/>
      <c r="S235" s="377"/>
      <c r="T235" s="375"/>
      <c r="U235" s="375"/>
      <c r="V235" s="375"/>
      <c r="W235" s="375"/>
      <c r="X235" s="375"/>
      <c r="Y235" s="375"/>
      <c r="Z235" s="375"/>
      <c r="AA235" s="375"/>
      <c r="AB235" s="375"/>
      <c r="AC235" s="375"/>
      <c r="AD235" s="375"/>
      <c r="AE235" s="375"/>
      <c r="AF235" s="375"/>
    </row>
    <row r="236">
      <c r="A236" s="360"/>
      <c r="B236" s="360"/>
      <c r="C236" s="377"/>
      <c r="D236" s="377"/>
      <c r="E236" s="378"/>
      <c r="F236" s="377"/>
      <c r="G236" s="377"/>
      <c r="H236" s="378"/>
      <c r="I236" s="360"/>
      <c r="J236" s="377"/>
      <c r="K236" s="377"/>
      <c r="L236" s="378"/>
      <c r="M236" s="377"/>
      <c r="N236" s="377"/>
      <c r="O236" s="377"/>
      <c r="P236" s="364"/>
      <c r="Q236" s="360"/>
      <c r="R236" s="377"/>
      <c r="S236" s="377"/>
      <c r="T236" s="375"/>
      <c r="U236" s="375"/>
      <c r="V236" s="375"/>
      <c r="W236" s="375"/>
      <c r="X236" s="375"/>
      <c r="Y236" s="375"/>
      <c r="Z236" s="375"/>
      <c r="AA236" s="375"/>
      <c r="AB236" s="375"/>
      <c r="AC236" s="375"/>
      <c r="AD236" s="375"/>
      <c r="AE236" s="375"/>
      <c r="AF236" s="375"/>
    </row>
    <row r="237">
      <c r="A237" s="360"/>
      <c r="B237" s="360"/>
      <c r="C237" s="377"/>
      <c r="D237" s="377"/>
      <c r="E237" s="378"/>
      <c r="F237" s="377"/>
      <c r="G237" s="377"/>
      <c r="H237" s="378"/>
      <c r="I237" s="360"/>
      <c r="J237" s="377"/>
      <c r="K237" s="377"/>
      <c r="L237" s="378"/>
      <c r="M237" s="377"/>
      <c r="N237" s="377"/>
      <c r="O237" s="377"/>
      <c r="P237" s="364"/>
      <c r="Q237" s="360"/>
      <c r="R237" s="377"/>
      <c r="S237" s="377"/>
      <c r="T237" s="375"/>
      <c r="U237" s="375"/>
      <c r="V237" s="375"/>
      <c r="W237" s="375"/>
      <c r="X237" s="375"/>
      <c r="Y237" s="375"/>
      <c r="Z237" s="375"/>
      <c r="AA237" s="375"/>
      <c r="AB237" s="375"/>
      <c r="AC237" s="375"/>
      <c r="AD237" s="375"/>
      <c r="AE237" s="375"/>
      <c r="AF237" s="375"/>
    </row>
    <row r="238">
      <c r="A238" s="360"/>
      <c r="B238" s="360"/>
      <c r="C238" s="377"/>
      <c r="D238" s="377"/>
      <c r="E238" s="378"/>
      <c r="F238" s="377"/>
      <c r="G238" s="377"/>
      <c r="H238" s="378"/>
      <c r="I238" s="360"/>
      <c r="J238" s="377"/>
      <c r="K238" s="377"/>
      <c r="L238" s="378"/>
      <c r="M238" s="377"/>
      <c r="N238" s="377"/>
      <c r="O238" s="377"/>
      <c r="P238" s="364"/>
      <c r="Q238" s="360"/>
      <c r="R238" s="377"/>
      <c r="S238" s="377"/>
      <c r="T238" s="375"/>
      <c r="U238" s="375"/>
      <c r="V238" s="375"/>
      <c r="W238" s="375"/>
      <c r="X238" s="375"/>
      <c r="Y238" s="375"/>
      <c r="Z238" s="375"/>
      <c r="AA238" s="375"/>
      <c r="AB238" s="375"/>
      <c r="AC238" s="375"/>
      <c r="AD238" s="375"/>
      <c r="AE238" s="375"/>
      <c r="AF238" s="375"/>
    </row>
    <row r="239">
      <c r="A239" s="360"/>
      <c r="B239" s="360"/>
      <c r="C239" s="377"/>
      <c r="D239" s="377"/>
      <c r="E239" s="378"/>
      <c r="F239" s="377"/>
      <c r="G239" s="377"/>
      <c r="H239" s="378"/>
      <c r="I239" s="360"/>
      <c r="J239" s="377"/>
      <c r="K239" s="377"/>
      <c r="L239" s="378"/>
      <c r="M239" s="377"/>
      <c r="N239" s="377"/>
      <c r="O239" s="377"/>
      <c r="P239" s="364"/>
      <c r="Q239" s="360"/>
      <c r="R239" s="377"/>
      <c r="S239" s="377"/>
      <c r="T239" s="375"/>
      <c r="U239" s="375"/>
      <c r="V239" s="375"/>
      <c r="W239" s="375"/>
      <c r="X239" s="375"/>
      <c r="Y239" s="375"/>
      <c r="Z239" s="375"/>
      <c r="AA239" s="375"/>
      <c r="AB239" s="375"/>
      <c r="AC239" s="375"/>
      <c r="AD239" s="375"/>
      <c r="AE239" s="375"/>
      <c r="AF239" s="375"/>
    </row>
    <row r="240">
      <c r="A240" s="360"/>
      <c r="B240" s="360"/>
      <c r="C240" s="377"/>
      <c r="D240" s="377"/>
      <c r="E240" s="378"/>
      <c r="F240" s="377"/>
      <c r="G240" s="377"/>
      <c r="H240" s="378"/>
      <c r="I240" s="360"/>
      <c r="J240" s="377"/>
      <c r="K240" s="377"/>
      <c r="L240" s="378"/>
      <c r="M240" s="377"/>
      <c r="N240" s="377"/>
      <c r="O240" s="377"/>
      <c r="P240" s="364"/>
      <c r="Q240" s="360"/>
      <c r="R240" s="377"/>
      <c r="S240" s="377"/>
      <c r="T240" s="375"/>
      <c r="U240" s="375"/>
      <c r="V240" s="375"/>
      <c r="W240" s="375"/>
      <c r="X240" s="375"/>
      <c r="Y240" s="375"/>
      <c r="Z240" s="375"/>
      <c r="AA240" s="375"/>
      <c r="AB240" s="375"/>
      <c r="AC240" s="375"/>
      <c r="AD240" s="375"/>
      <c r="AE240" s="375"/>
      <c r="AF240" s="375"/>
    </row>
    <row r="241">
      <c r="A241" s="360"/>
      <c r="B241" s="360"/>
      <c r="C241" s="377"/>
      <c r="D241" s="377"/>
      <c r="E241" s="378"/>
      <c r="F241" s="377"/>
      <c r="G241" s="377"/>
      <c r="H241" s="378"/>
      <c r="I241" s="360"/>
      <c r="J241" s="377"/>
      <c r="K241" s="377"/>
      <c r="L241" s="378"/>
      <c r="M241" s="377"/>
      <c r="N241" s="377"/>
      <c r="O241" s="377"/>
      <c r="P241" s="364"/>
      <c r="Q241" s="360"/>
      <c r="R241" s="377"/>
      <c r="S241" s="377"/>
      <c r="T241" s="375"/>
      <c r="U241" s="375"/>
      <c r="V241" s="375"/>
      <c r="W241" s="375"/>
      <c r="X241" s="375"/>
      <c r="Y241" s="375"/>
      <c r="Z241" s="375"/>
      <c r="AA241" s="375"/>
      <c r="AB241" s="375"/>
      <c r="AC241" s="375"/>
      <c r="AD241" s="375"/>
      <c r="AE241" s="375"/>
      <c r="AF241" s="375"/>
    </row>
    <row r="242">
      <c r="A242" s="360"/>
      <c r="B242" s="360"/>
      <c r="C242" s="377"/>
      <c r="D242" s="377"/>
      <c r="E242" s="378"/>
      <c r="F242" s="377"/>
      <c r="G242" s="377"/>
      <c r="H242" s="378"/>
      <c r="I242" s="360"/>
      <c r="J242" s="377"/>
      <c r="K242" s="377"/>
      <c r="L242" s="378"/>
      <c r="M242" s="377"/>
      <c r="N242" s="377"/>
      <c r="O242" s="377"/>
      <c r="P242" s="364"/>
      <c r="Q242" s="360"/>
      <c r="R242" s="377"/>
      <c r="S242" s="377"/>
      <c r="T242" s="375"/>
      <c r="U242" s="375"/>
      <c r="V242" s="375"/>
      <c r="W242" s="375"/>
      <c r="X242" s="375"/>
      <c r="Y242" s="375"/>
      <c r="Z242" s="375"/>
      <c r="AA242" s="375"/>
      <c r="AB242" s="375"/>
      <c r="AC242" s="375"/>
      <c r="AD242" s="375"/>
      <c r="AE242" s="375"/>
      <c r="AF242" s="375"/>
    </row>
    <row r="243">
      <c r="A243" s="360"/>
      <c r="B243" s="360"/>
      <c r="C243" s="377"/>
      <c r="D243" s="377"/>
      <c r="E243" s="378"/>
      <c r="F243" s="377"/>
      <c r="G243" s="377"/>
      <c r="H243" s="378"/>
      <c r="I243" s="360"/>
      <c r="J243" s="377"/>
      <c r="K243" s="377"/>
      <c r="L243" s="378"/>
      <c r="M243" s="377"/>
      <c r="N243" s="377"/>
      <c r="O243" s="377"/>
      <c r="P243" s="364"/>
      <c r="Q243" s="360"/>
      <c r="R243" s="377"/>
      <c r="S243" s="377"/>
      <c r="T243" s="375"/>
      <c r="U243" s="375"/>
      <c r="V243" s="375"/>
      <c r="W243" s="375"/>
      <c r="X243" s="375"/>
      <c r="Y243" s="375"/>
      <c r="Z243" s="375"/>
      <c r="AA243" s="375"/>
      <c r="AB243" s="375"/>
      <c r="AC243" s="375"/>
      <c r="AD243" s="375"/>
      <c r="AE243" s="375"/>
      <c r="AF243" s="375"/>
    </row>
    <row r="244">
      <c r="A244" s="360"/>
      <c r="B244" s="360"/>
      <c r="C244" s="377"/>
      <c r="D244" s="377"/>
      <c r="E244" s="378"/>
      <c r="F244" s="377"/>
      <c r="G244" s="377"/>
      <c r="H244" s="378"/>
      <c r="I244" s="360"/>
      <c r="J244" s="377"/>
      <c r="K244" s="377"/>
      <c r="L244" s="378"/>
      <c r="M244" s="377"/>
      <c r="N244" s="377"/>
      <c r="O244" s="377"/>
      <c r="P244" s="364"/>
      <c r="Q244" s="360"/>
      <c r="R244" s="377"/>
      <c r="S244" s="377"/>
      <c r="T244" s="375"/>
      <c r="U244" s="375"/>
      <c r="V244" s="375"/>
      <c r="W244" s="375"/>
      <c r="X244" s="375"/>
      <c r="Y244" s="375"/>
      <c r="Z244" s="375"/>
      <c r="AA244" s="375"/>
      <c r="AB244" s="375"/>
      <c r="AC244" s="375"/>
      <c r="AD244" s="375"/>
      <c r="AE244" s="375"/>
      <c r="AF244" s="375"/>
    </row>
    <row r="245">
      <c r="A245" s="360"/>
      <c r="B245" s="360"/>
      <c r="C245" s="377"/>
      <c r="D245" s="377"/>
      <c r="E245" s="378"/>
      <c r="F245" s="377"/>
      <c r="G245" s="377"/>
      <c r="H245" s="378"/>
      <c r="I245" s="360"/>
      <c r="J245" s="377"/>
      <c r="K245" s="377"/>
      <c r="L245" s="378"/>
      <c r="M245" s="377"/>
      <c r="N245" s="377"/>
      <c r="O245" s="377"/>
      <c r="P245" s="364"/>
      <c r="Q245" s="360"/>
      <c r="R245" s="377"/>
      <c r="S245" s="377"/>
      <c r="T245" s="375"/>
      <c r="U245" s="375"/>
      <c r="V245" s="375"/>
      <c r="W245" s="375"/>
      <c r="X245" s="375"/>
      <c r="Y245" s="375"/>
      <c r="Z245" s="375"/>
      <c r="AA245" s="375"/>
      <c r="AB245" s="375"/>
      <c r="AC245" s="375"/>
      <c r="AD245" s="375"/>
      <c r="AE245" s="375"/>
      <c r="AF245" s="375"/>
    </row>
    <row r="246">
      <c r="A246" s="360"/>
      <c r="B246" s="360"/>
      <c r="C246" s="377"/>
      <c r="D246" s="377"/>
      <c r="E246" s="378"/>
      <c r="F246" s="377"/>
      <c r="G246" s="377"/>
      <c r="H246" s="378"/>
      <c r="I246" s="360"/>
      <c r="J246" s="377"/>
      <c r="K246" s="377"/>
      <c r="L246" s="378"/>
      <c r="M246" s="377"/>
      <c r="N246" s="377"/>
      <c r="O246" s="377"/>
      <c r="P246" s="364"/>
      <c r="Q246" s="360"/>
      <c r="R246" s="377"/>
      <c r="S246" s="377"/>
      <c r="T246" s="375"/>
      <c r="U246" s="375"/>
      <c r="V246" s="375"/>
      <c r="W246" s="375"/>
      <c r="X246" s="375"/>
      <c r="Y246" s="375"/>
      <c r="Z246" s="375"/>
      <c r="AA246" s="375"/>
      <c r="AB246" s="375"/>
      <c r="AC246" s="375"/>
      <c r="AD246" s="375"/>
      <c r="AE246" s="375"/>
      <c r="AF246" s="375"/>
    </row>
    <row r="247">
      <c r="A247" s="360"/>
      <c r="B247" s="360"/>
      <c r="C247" s="377"/>
      <c r="D247" s="377"/>
      <c r="E247" s="378"/>
      <c r="F247" s="377"/>
      <c r="G247" s="377"/>
      <c r="H247" s="378"/>
      <c r="I247" s="360"/>
      <c r="J247" s="377"/>
      <c r="K247" s="377"/>
      <c r="L247" s="378"/>
      <c r="M247" s="377"/>
      <c r="N247" s="377"/>
      <c r="O247" s="377"/>
      <c r="P247" s="364"/>
      <c r="Q247" s="360"/>
      <c r="R247" s="377"/>
      <c r="S247" s="377"/>
      <c r="T247" s="375"/>
      <c r="U247" s="375"/>
      <c r="V247" s="375"/>
      <c r="W247" s="375"/>
      <c r="X247" s="375"/>
      <c r="Y247" s="375"/>
      <c r="Z247" s="375"/>
      <c r="AA247" s="375"/>
      <c r="AB247" s="375"/>
      <c r="AC247" s="375"/>
      <c r="AD247" s="375"/>
      <c r="AE247" s="375"/>
      <c r="AF247" s="375"/>
    </row>
    <row r="248">
      <c r="A248" s="360"/>
      <c r="B248" s="360"/>
      <c r="C248" s="377"/>
      <c r="D248" s="377"/>
      <c r="E248" s="378"/>
      <c r="F248" s="377"/>
      <c r="G248" s="377"/>
      <c r="H248" s="378"/>
      <c r="I248" s="360"/>
      <c r="J248" s="377"/>
      <c r="K248" s="377"/>
      <c r="L248" s="378"/>
      <c r="M248" s="377"/>
      <c r="N248" s="377"/>
      <c r="O248" s="377"/>
      <c r="P248" s="364"/>
      <c r="Q248" s="360"/>
      <c r="R248" s="377"/>
      <c r="S248" s="377"/>
      <c r="T248" s="375"/>
      <c r="U248" s="375"/>
      <c r="V248" s="375"/>
      <c r="W248" s="375"/>
      <c r="X248" s="375"/>
      <c r="Y248" s="375"/>
      <c r="Z248" s="375"/>
      <c r="AA248" s="375"/>
      <c r="AB248" s="375"/>
      <c r="AC248" s="375"/>
      <c r="AD248" s="375"/>
      <c r="AE248" s="375"/>
      <c r="AF248" s="375"/>
    </row>
    <row r="249">
      <c r="A249" s="360"/>
      <c r="B249" s="360"/>
      <c r="C249" s="377"/>
      <c r="D249" s="377"/>
      <c r="E249" s="378"/>
      <c r="F249" s="377"/>
      <c r="G249" s="377"/>
      <c r="H249" s="378"/>
      <c r="I249" s="360"/>
      <c r="J249" s="377"/>
      <c r="K249" s="377"/>
      <c r="L249" s="378"/>
      <c r="M249" s="377"/>
      <c r="N249" s="377"/>
      <c r="O249" s="377"/>
      <c r="P249" s="364"/>
      <c r="Q249" s="360"/>
      <c r="R249" s="377"/>
      <c r="S249" s="377"/>
      <c r="T249" s="375"/>
      <c r="U249" s="375"/>
      <c r="V249" s="375"/>
      <c r="W249" s="375"/>
      <c r="X249" s="375"/>
      <c r="Y249" s="375"/>
      <c r="Z249" s="375"/>
      <c r="AA249" s="375"/>
      <c r="AB249" s="375"/>
      <c r="AC249" s="375"/>
      <c r="AD249" s="375"/>
      <c r="AE249" s="375"/>
      <c r="AF249" s="375"/>
    </row>
    <row r="250">
      <c r="A250" s="360"/>
      <c r="B250" s="360"/>
      <c r="C250" s="377"/>
      <c r="D250" s="377"/>
      <c r="E250" s="378"/>
      <c r="F250" s="377"/>
      <c r="G250" s="377"/>
      <c r="H250" s="378"/>
      <c r="I250" s="360"/>
      <c r="J250" s="377"/>
      <c r="K250" s="377"/>
      <c r="L250" s="378"/>
      <c r="M250" s="377"/>
      <c r="N250" s="377"/>
      <c r="O250" s="377"/>
      <c r="P250" s="364"/>
      <c r="Q250" s="360"/>
      <c r="R250" s="377"/>
      <c r="S250" s="377"/>
      <c r="T250" s="375"/>
      <c r="U250" s="375"/>
      <c r="V250" s="375"/>
      <c r="W250" s="375"/>
      <c r="X250" s="375"/>
      <c r="Y250" s="375"/>
      <c r="Z250" s="375"/>
      <c r="AA250" s="375"/>
      <c r="AB250" s="375"/>
      <c r="AC250" s="375"/>
      <c r="AD250" s="375"/>
      <c r="AE250" s="375"/>
      <c r="AF250" s="375"/>
    </row>
    <row r="251">
      <c r="A251" s="360"/>
      <c r="B251" s="360"/>
      <c r="C251" s="377"/>
      <c r="D251" s="377"/>
      <c r="E251" s="378"/>
      <c r="F251" s="377"/>
      <c r="G251" s="377"/>
      <c r="H251" s="378"/>
      <c r="I251" s="360"/>
      <c r="J251" s="377"/>
      <c r="K251" s="377"/>
      <c r="L251" s="378"/>
      <c r="M251" s="377"/>
      <c r="N251" s="377"/>
      <c r="O251" s="377"/>
      <c r="P251" s="364"/>
      <c r="Q251" s="360"/>
      <c r="R251" s="377"/>
      <c r="S251" s="377"/>
      <c r="T251" s="375"/>
      <c r="U251" s="375"/>
      <c r="V251" s="375"/>
      <c r="W251" s="375"/>
      <c r="X251" s="375"/>
      <c r="Y251" s="375"/>
      <c r="Z251" s="375"/>
      <c r="AA251" s="375"/>
      <c r="AB251" s="375"/>
      <c r="AC251" s="375"/>
      <c r="AD251" s="375"/>
      <c r="AE251" s="375"/>
      <c r="AF251" s="375"/>
    </row>
    <row r="252">
      <c r="A252" s="360"/>
      <c r="B252" s="360"/>
      <c r="C252" s="377"/>
      <c r="D252" s="377"/>
      <c r="E252" s="378"/>
      <c r="F252" s="377"/>
      <c r="G252" s="377"/>
      <c r="H252" s="378"/>
      <c r="I252" s="360"/>
      <c r="J252" s="377"/>
      <c r="K252" s="377"/>
      <c r="L252" s="378"/>
      <c r="M252" s="377"/>
      <c r="N252" s="377"/>
      <c r="O252" s="377"/>
      <c r="P252" s="364"/>
      <c r="Q252" s="360"/>
      <c r="R252" s="377"/>
      <c r="S252" s="377"/>
      <c r="T252" s="375"/>
      <c r="U252" s="375"/>
      <c r="V252" s="375"/>
      <c r="W252" s="375"/>
      <c r="X252" s="375"/>
      <c r="Y252" s="375"/>
      <c r="Z252" s="375"/>
      <c r="AA252" s="375"/>
      <c r="AB252" s="375"/>
      <c r="AC252" s="375"/>
      <c r="AD252" s="375"/>
      <c r="AE252" s="375"/>
      <c r="AF252" s="375"/>
    </row>
    <row r="253">
      <c r="A253" s="360"/>
      <c r="B253" s="360"/>
      <c r="C253" s="377"/>
      <c r="D253" s="377"/>
      <c r="E253" s="378"/>
      <c r="F253" s="377"/>
      <c r="G253" s="377"/>
      <c r="H253" s="378"/>
      <c r="I253" s="360"/>
      <c r="J253" s="377"/>
      <c r="K253" s="377"/>
      <c r="L253" s="378"/>
      <c r="M253" s="377"/>
      <c r="N253" s="377"/>
      <c r="O253" s="377"/>
      <c r="P253" s="364"/>
      <c r="Q253" s="360"/>
      <c r="R253" s="377"/>
      <c r="S253" s="377"/>
      <c r="T253" s="375"/>
      <c r="U253" s="375"/>
      <c r="V253" s="375"/>
      <c r="W253" s="375"/>
      <c r="X253" s="375"/>
      <c r="Y253" s="375"/>
      <c r="Z253" s="375"/>
      <c r="AA253" s="375"/>
      <c r="AB253" s="375"/>
      <c r="AC253" s="375"/>
      <c r="AD253" s="375"/>
      <c r="AE253" s="375"/>
      <c r="AF253" s="375"/>
    </row>
    <row r="254">
      <c r="A254" s="360"/>
      <c r="B254" s="360"/>
      <c r="C254" s="377"/>
      <c r="D254" s="377"/>
      <c r="E254" s="378"/>
      <c r="F254" s="377"/>
      <c r="G254" s="377"/>
      <c r="H254" s="378"/>
      <c r="I254" s="360"/>
      <c r="J254" s="377"/>
      <c r="K254" s="377"/>
      <c r="L254" s="378"/>
      <c r="M254" s="377"/>
      <c r="N254" s="377"/>
      <c r="O254" s="377"/>
      <c r="P254" s="364"/>
      <c r="Q254" s="360"/>
      <c r="R254" s="377"/>
      <c r="S254" s="377"/>
      <c r="T254" s="375"/>
      <c r="U254" s="375"/>
      <c r="V254" s="375"/>
      <c r="W254" s="375"/>
      <c r="X254" s="375"/>
      <c r="Y254" s="375"/>
      <c r="Z254" s="375"/>
      <c r="AA254" s="375"/>
      <c r="AB254" s="375"/>
      <c r="AC254" s="375"/>
      <c r="AD254" s="375"/>
      <c r="AE254" s="375"/>
      <c r="AF254" s="375"/>
    </row>
    <row r="255">
      <c r="A255" s="360"/>
      <c r="B255" s="360"/>
      <c r="C255" s="377"/>
      <c r="D255" s="377"/>
      <c r="E255" s="378"/>
      <c r="F255" s="377"/>
      <c r="G255" s="377"/>
      <c r="H255" s="378"/>
      <c r="I255" s="360"/>
      <c r="J255" s="377"/>
      <c r="K255" s="377"/>
      <c r="L255" s="378"/>
      <c r="M255" s="377"/>
      <c r="N255" s="377"/>
      <c r="O255" s="377"/>
      <c r="P255" s="364"/>
      <c r="Q255" s="360"/>
      <c r="R255" s="377"/>
      <c r="S255" s="377"/>
      <c r="T255" s="375"/>
      <c r="U255" s="375"/>
      <c r="V255" s="375"/>
      <c r="W255" s="375"/>
      <c r="X255" s="375"/>
      <c r="Y255" s="375"/>
      <c r="Z255" s="375"/>
      <c r="AA255" s="375"/>
      <c r="AB255" s="375"/>
      <c r="AC255" s="375"/>
      <c r="AD255" s="375"/>
      <c r="AE255" s="375"/>
      <c r="AF255" s="375"/>
    </row>
    <row r="256">
      <c r="A256" s="360"/>
      <c r="B256" s="360"/>
      <c r="C256" s="377"/>
      <c r="D256" s="377"/>
      <c r="E256" s="378"/>
      <c r="F256" s="377"/>
      <c r="G256" s="377"/>
      <c r="H256" s="378"/>
      <c r="I256" s="360"/>
      <c r="J256" s="377"/>
      <c r="K256" s="377"/>
      <c r="L256" s="378"/>
      <c r="M256" s="377"/>
      <c r="N256" s="377"/>
      <c r="O256" s="377"/>
      <c r="P256" s="364"/>
      <c r="Q256" s="360"/>
      <c r="R256" s="377"/>
      <c r="S256" s="377"/>
      <c r="T256" s="375"/>
      <c r="U256" s="375"/>
      <c r="V256" s="375"/>
      <c r="W256" s="375"/>
      <c r="X256" s="375"/>
      <c r="Y256" s="375"/>
      <c r="Z256" s="375"/>
      <c r="AA256" s="375"/>
      <c r="AB256" s="375"/>
      <c r="AC256" s="375"/>
      <c r="AD256" s="375"/>
      <c r="AE256" s="375"/>
      <c r="AF256" s="375"/>
    </row>
    <row r="257">
      <c r="A257" s="360"/>
      <c r="B257" s="360"/>
      <c r="C257" s="377"/>
      <c r="D257" s="377"/>
      <c r="E257" s="378"/>
      <c r="F257" s="377"/>
      <c r="G257" s="377"/>
      <c r="H257" s="378"/>
      <c r="I257" s="360"/>
      <c r="J257" s="377"/>
      <c r="K257" s="377"/>
      <c r="L257" s="378"/>
      <c r="M257" s="377"/>
      <c r="N257" s="377"/>
      <c r="O257" s="377"/>
      <c r="P257" s="364"/>
      <c r="Q257" s="360"/>
      <c r="R257" s="377"/>
      <c r="S257" s="377"/>
      <c r="T257" s="375"/>
      <c r="U257" s="375"/>
      <c r="V257" s="375"/>
      <c r="W257" s="375"/>
      <c r="X257" s="375"/>
      <c r="Y257" s="375"/>
      <c r="Z257" s="375"/>
      <c r="AA257" s="375"/>
      <c r="AB257" s="375"/>
      <c r="AC257" s="375"/>
      <c r="AD257" s="375"/>
      <c r="AE257" s="375"/>
      <c r="AF257" s="375"/>
    </row>
    <row r="258">
      <c r="A258" s="360"/>
      <c r="B258" s="360"/>
      <c r="C258" s="377"/>
      <c r="D258" s="377"/>
      <c r="E258" s="378"/>
      <c r="F258" s="377"/>
      <c r="G258" s="377"/>
      <c r="H258" s="378"/>
      <c r="I258" s="360"/>
      <c r="J258" s="377"/>
      <c r="K258" s="377"/>
      <c r="L258" s="378"/>
      <c r="M258" s="377"/>
      <c r="N258" s="377"/>
      <c r="O258" s="377"/>
      <c r="P258" s="364"/>
      <c r="Q258" s="360"/>
      <c r="R258" s="377"/>
      <c r="S258" s="377"/>
      <c r="T258" s="375"/>
      <c r="U258" s="375"/>
      <c r="V258" s="375"/>
      <c r="W258" s="375"/>
      <c r="X258" s="375"/>
      <c r="Y258" s="375"/>
      <c r="Z258" s="375"/>
      <c r="AA258" s="375"/>
      <c r="AB258" s="375"/>
      <c r="AC258" s="375"/>
      <c r="AD258" s="375"/>
      <c r="AE258" s="375"/>
      <c r="AF258" s="375"/>
    </row>
    <row r="259">
      <c r="A259" s="360"/>
      <c r="B259" s="360"/>
      <c r="C259" s="377"/>
      <c r="D259" s="377"/>
      <c r="E259" s="378"/>
      <c r="F259" s="377"/>
      <c r="G259" s="377"/>
      <c r="H259" s="378"/>
      <c r="I259" s="360"/>
      <c r="J259" s="377"/>
      <c r="K259" s="377"/>
      <c r="L259" s="378"/>
      <c r="M259" s="377"/>
      <c r="N259" s="377"/>
      <c r="O259" s="377"/>
      <c r="P259" s="364"/>
      <c r="Q259" s="360"/>
      <c r="R259" s="377"/>
      <c r="S259" s="377"/>
      <c r="T259" s="375"/>
      <c r="U259" s="375"/>
      <c r="V259" s="375"/>
      <c r="W259" s="375"/>
      <c r="X259" s="375"/>
      <c r="Y259" s="375"/>
      <c r="Z259" s="375"/>
      <c r="AA259" s="375"/>
      <c r="AB259" s="375"/>
      <c r="AC259" s="375"/>
      <c r="AD259" s="375"/>
      <c r="AE259" s="375"/>
      <c r="AF259" s="375"/>
    </row>
    <row r="260">
      <c r="A260" s="360"/>
      <c r="B260" s="360"/>
      <c r="C260" s="377"/>
      <c r="D260" s="377"/>
      <c r="E260" s="378"/>
      <c r="F260" s="377"/>
      <c r="G260" s="377"/>
      <c r="H260" s="378"/>
      <c r="I260" s="360"/>
      <c r="J260" s="377"/>
      <c r="K260" s="377"/>
      <c r="L260" s="378"/>
      <c r="M260" s="377"/>
      <c r="N260" s="377"/>
      <c r="O260" s="377"/>
      <c r="P260" s="364"/>
      <c r="Q260" s="360"/>
      <c r="R260" s="377"/>
      <c r="S260" s="377"/>
      <c r="T260" s="375"/>
      <c r="U260" s="375"/>
      <c r="V260" s="375"/>
      <c r="W260" s="375"/>
      <c r="X260" s="375"/>
      <c r="Y260" s="375"/>
      <c r="Z260" s="375"/>
      <c r="AA260" s="375"/>
      <c r="AB260" s="375"/>
      <c r="AC260" s="375"/>
      <c r="AD260" s="375"/>
      <c r="AE260" s="375"/>
      <c r="AF260" s="375"/>
    </row>
    <row r="261">
      <c r="A261" s="360"/>
      <c r="B261" s="360"/>
      <c r="C261" s="377"/>
      <c r="D261" s="377"/>
      <c r="E261" s="378"/>
      <c r="F261" s="377"/>
      <c r="G261" s="377"/>
      <c r="H261" s="378"/>
      <c r="I261" s="360"/>
      <c r="J261" s="377"/>
      <c r="K261" s="377"/>
      <c r="L261" s="378"/>
      <c r="M261" s="377"/>
      <c r="N261" s="377"/>
      <c r="O261" s="377"/>
      <c r="P261" s="364"/>
      <c r="Q261" s="360"/>
      <c r="R261" s="377"/>
      <c r="S261" s="377"/>
      <c r="T261" s="375"/>
      <c r="U261" s="375"/>
      <c r="V261" s="375"/>
      <c r="W261" s="375"/>
      <c r="X261" s="375"/>
      <c r="Y261" s="375"/>
      <c r="Z261" s="375"/>
      <c r="AA261" s="375"/>
      <c r="AB261" s="375"/>
      <c r="AC261" s="375"/>
      <c r="AD261" s="375"/>
      <c r="AE261" s="375"/>
      <c r="AF261" s="375"/>
    </row>
    <row r="262">
      <c r="A262" s="360"/>
      <c r="B262" s="360"/>
      <c r="C262" s="377"/>
      <c r="D262" s="377"/>
      <c r="E262" s="378"/>
      <c r="F262" s="377"/>
      <c r="G262" s="377"/>
      <c r="H262" s="378"/>
      <c r="I262" s="360"/>
      <c r="J262" s="377"/>
      <c r="K262" s="377"/>
      <c r="L262" s="378"/>
      <c r="M262" s="377"/>
      <c r="N262" s="377"/>
      <c r="O262" s="377"/>
      <c r="P262" s="364"/>
      <c r="Q262" s="360"/>
      <c r="R262" s="377"/>
      <c r="S262" s="377"/>
      <c r="T262" s="375"/>
      <c r="U262" s="375"/>
      <c r="V262" s="375"/>
      <c r="W262" s="375"/>
      <c r="X262" s="375"/>
      <c r="Y262" s="375"/>
      <c r="Z262" s="375"/>
      <c r="AA262" s="375"/>
      <c r="AB262" s="375"/>
      <c r="AC262" s="375"/>
      <c r="AD262" s="375"/>
      <c r="AE262" s="375"/>
      <c r="AF262" s="375"/>
    </row>
    <row r="263">
      <c r="A263" s="360"/>
      <c r="B263" s="360"/>
      <c r="C263" s="377"/>
      <c r="D263" s="377"/>
      <c r="E263" s="378"/>
      <c r="F263" s="377"/>
      <c r="G263" s="377"/>
      <c r="H263" s="378"/>
      <c r="I263" s="360"/>
      <c r="J263" s="377"/>
      <c r="K263" s="377"/>
      <c r="L263" s="378"/>
      <c r="M263" s="377"/>
      <c r="N263" s="377"/>
      <c r="O263" s="377"/>
      <c r="P263" s="364"/>
      <c r="Q263" s="360"/>
      <c r="R263" s="377"/>
      <c r="S263" s="377"/>
      <c r="T263" s="375"/>
      <c r="U263" s="375"/>
      <c r="V263" s="375"/>
      <c r="W263" s="375"/>
      <c r="X263" s="375"/>
      <c r="Y263" s="375"/>
      <c r="Z263" s="375"/>
      <c r="AA263" s="375"/>
      <c r="AB263" s="375"/>
      <c r="AC263" s="375"/>
      <c r="AD263" s="375"/>
      <c r="AE263" s="375"/>
      <c r="AF263" s="375"/>
    </row>
    <row r="264">
      <c r="A264" s="360"/>
      <c r="B264" s="360"/>
      <c r="C264" s="377"/>
      <c r="D264" s="377"/>
      <c r="E264" s="378"/>
      <c r="F264" s="377"/>
      <c r="G264" s="377"/>
      <c r="H264" s="378"/>
      <c r="I264" s="360"/>
      <c r="J264" s="377"/>
      <c r="K264" s="377"/>
      <c r="L264" s="378"/>
      <c r="M264" s="377"/>
      <c r="N264" s="377"/>
      <c r="O264" s="377"/>
      <c r="P264" s="364"/>
      <c r="Q264" s="360"/>
      <c r="R264" s="377"/>
      <c r="S264" s="377"/>
      <c r="T264" s="375"/>
      <c r="U264" s="375"/>
      <c r="V264" s="375"/>
      <c r="W264" s="375"/>
      <c r="X264" s="375"/>
      <c r="Y264" s="375"/>
      <c r="Z264" s="375"/>
      <c r="AA264" s="375"/>
      <c r="AB264" s="375"/>
      <c r="AC264" s="375"/>
      <c r="AD264" s="375"/>
      <c r="AE264" s="375"/>
      <c r="AF264" s="375"/>
    </row>
    <row r="265">
      <c r="A265" s="360"/>
      <c r="B265" s="360"/>
      <c r="C265" s="377"/>
      <c r="D265" s="377"/>
      <c r="E265" s="378"/>
      <c r="F265" s="377"/>
      <c r="G265" s="377"/>
      <c r="H265" s="378"/>
      <c r="I265" s="360"/>
      <c r="J265" s="377"/>
      <c r="K265" s="377"/>
      <c r="L265" s="378"/>
      <c r="M265" s="377"/>
      <c r="N265" s="377"/>
      <c r="O265" s="377"/>
      <c r="P265" s="364"/>
      <c r="Q265" s="360"/>
      <c r="R265" s="377"/>
      <c r="S265" s="377"/>
      <c r="T265" s="375"/>
      <c r="U265" s="375"/>
      <c r="V265" s="375"/>
      <c r="W265" s="375"/>
      <c r="X265" s="375"/>
      <c r="Y265" s="375"/>
      <c r="Z265" s="375"/>
      <c r="AA265" s="375"/>
      <c r="AB265" s="375"/>
      <c r="AC265" s="375"/>
      <c r="AD265" s="375"/>
      <c r="AE265" s="375"/>
      <c r="AF265" s="375"/>
    </row>
    <row r="266">
      <c r="A266" s="360"/>
      <c r="B266" s="360"/>
      <c r="C266" s="377"/>
      <c r="D266" s="377"/>
      <c r="E266" s="378"/>
      <c r="F266" s="377"/>
      <c r="G266" s="377"/>
      <c r="H266" s="378"/>
      <c r="I266" s="360"/>
      <c r="J266" s="377"/>
      <c r="K266" s="377"/>
      <c r="L266" s="378"/>
      <c r="M266" s="377"/>
      <c r="N266" s="377"/>
      <c r="O266" s="377"/>
      <c r="P266" s="364"/>
      <c r="Q266" s="360"/>
      <c r="R266" s="377"/>
      <c r="S266" s="377"/>
      <c r="T266" s="375"/>
      <c r="U266" s="375"/>
      <c r="V266" s="375"/>
      <c r="W266" s="375"/>
      <c r="X266" s="375"/>
      <c r="Y266" s="375"/>
      <c r="Z266" s="375"/>
      <c r="AA266" s="375"/>
      <c r="AB266" s="375"/>
      <c r="AC266" s="375"/>
      <c r="AD266" s="375"/>
      <c r="AE266" s="375"/>
      <c r="AF266" s="375"/>
    </row>
    <row r="267">
      <c r="A267" s="360"/>
      <c r="B267" s="360"/>
      <c r="C267" s="377"/>
      <c r="D267" s="377"/>
      <c r="E267" s="378"/>
      <c r="F267" s="377"/>
      <c r="G267" s="377"/>
      <c r="H267" s="378"/>
      <c r="I267" s="360"/>
      <c r="J267" s="377"/>
      <c r="K267" s="377"/>
      <c r="L267" s="378"/>
      <c r="M267" s="377"/>
      <c r="N267" s="377"/>
      <c r="O267" s="377"/>
      <c r="P267" s="364"/>
      <c r="Q267" s="360"/>
      <c r="R267" s="377"/>
      <c r="S267" s="377"/>
      <c r="T267" s="375"/>
      <c r="U267" s="375"/>
      <c r="V267" s="375"/>
      <c r="W267" s="375"/>
      <c r="X267" s="375"/>
      <c r="Y267" s="375"/>
      <c r="Z267" s="375"/>
      <c r="AA267" s="375"/>
      <c r="AB267" s="375"/>
      <c r="AC267" s="375"/>
      <c r="AD267" s="375"/>
      <c r="AE267" s="375"/>
      <c r="AF267" s="375"/>
    </row>
    <row r="268">
      <c r="A268" s="360"/>
      <c r="B268" s="360"/>
      <c r="C268" s="377"/>
      <c r="D268" s="377"/>
      <c r="E268" s="378"/>
      <c r="F268" s="377"/>
      <c r="G268" s="377"/>
      <c r="H268" s="378"/>
      <c r="I268" s="360"/>
      <c r="J268" s="377"/>
      <c r="K268" s="377"/>
      <c r="L268" s="378"/>
      <c r="M268" s="377"/>
      <c r="N268" s="377"/>
      <c r="O268" s="377"/>
      <c r="P268" s="364"/>
      <c r="Q268" s="360"/>
      <c r="R268" s="377"/>
      <c r="S268" s="377"/>
      <c r="T268" s="375"/>
      <c r="U268" s="375"/>
      <c r="V268" s="375"/>
      <c r="W268" s="375"/>
      <c r="X268" s="375"/>
      <c r="Y268" s="375"/>
      <c r="Z268" s="375"/>
      <c r="AA268" s="375"/>
      <c r="AB268" s="375"/>
      <c r="AC268" s="375"/>
      <c r="AD268" s="375"/>
      <c r="AE268" s="375"/>
      <c r="AF268" s="375"/>
    </row>
    <row r="269">
      <c r="A269" s="360"/>
      <c r="B269" s="360"/>
      <c r="C269" s="377"/>
      <c r="D269" s="377"/>
      <c r="E269" s="378"/>
      <c r="F269" s="377"/>
      <c r="G269" s="377"/>
      <c r="H269" s="378"/>
      <c r="I269" s="360"/>
      <c r="J269" s="377"/>
      <c r="K269" s="377"/>
      <c r="L269" s="378"/>
      <c r="M269" s="377"/>
      <c r="N269" s="377"/>
      <c r="O269" s="377"/>
      <c r="P269" s="364"/>
      <c r="Q269" s="360"/>
      <c r="R269" s="377"/>
      <c r="S269" s="377"/>
      <c r="T269" s="375"/>
      <c r="U269" s="375"/>
      <c r="V269" s="375"/>
      <c r="W269" s="375"/>
      <c r="X269" s="375"/>
      <c r="Y269" s="375"/>
      <c r="Z269" s="375"/>
      <c r="AA269" s="375"/>
      <c r="AB269" s="375"/>
      <c r="AC269" s="375"/>
      <c r="AD269" s="375"/>
      <c r="AE269" s="375"/>
      <c r="AF269" s="375"/>
    </row>
    <row r="270">
      <c r="A270" s="360"/>
      <c r="B270" s="360"/>
      <c r="C270" s="377"/>
      <c r="D270" s="377"/>
      <c r="E270" s="378"/>
      <c r="F270" s="377"/>
      <c r="G270" s="377"/>
      <c r="H270" s="378"/>
      <c r="I270" s="360"/>
      <c r="J270" s="377"/>
      <c r="K270" s="377"/>
      <c r="L270" s="378"/>
      <c r="M270" s="377"/>
      <c r="N270" s="377"/>
      <c r="O270" s="377"/>
      <c r="P270" s="364"/>
      <c r="Q270" s="360"/>
      <c r="R270" s="377"/>
      <c r="S270" s="377"/>
      <c r="T270" s="375"/>
      <c r="U270" s="375"/>
      <c r="V270" s="375"/>
      <c r="W270" s="375"/>
      <c r="X270" s="375"/>
      <c r="Y270" s="375"/>
      <c r="Z270" s="375"/>
      <c r="AA270" s="375"/>
      <c r="AB270" s="375"/>
      <c r="AC270" s="375"/>
      <c r="AD270" s="375"/>
      <c r="AE270" s="375"/>
      <c r="AF270" s="375"/>
    </row>
    <row r="271">
      <c r="A271" s="360"/>
      <c r="B271" s="360"/>
      <c r="C271" s="377"/>
      <c r="D271" s="377"/>
      <c r="E271" s="378"/>
      <c r="F271" s="377"/>
      <c r="G271" s="377"/>
      <c r="H271" s="378"/>
      <c r="I271" s="360"/>
      <c r="J271" s="377"/>
      <c r="K271" s="377"/>
      <c r="L271" s="378"/>
      <c r="M271" s="377"/>
      <c r="N271" s="377"/>
      <c r="O271" s="377"/>
      <c r="P271" s="364"/>
      <c r="Q271" s="360"/>
      <c r="R271" s="377"/>
      <c r="S271" s="377"/>
      <c r="T271" s="375"/>
      <c r="U271" s="375"/>
      <c r="V271" s="375"/>
      <c r="W271" s="375"/>
      <c r="X271" s="375"/>
      <c r="Y271" s="375"/>
      <c r="Z271" s="375"/>
      <c r="AA271" s="375"/>
      <c r="AB271" s="375"/>
      <c r="AC271" s="375"/>
      <c r="AD271" s="375"/>
      <c r="AE271" s="375"/>
      <c r="AF271" s="375"/>
    </row>
    <row r="272">
      <c r="A272" s="360"/>
      <c r="B272" s="360"/>
      <c r="C272" s="377"/>
      <c r="D272" s="377"/>
      <c r="E272" s="378"/>
      <c r="F272" s="377"/>
      <c r="G272" s="377"/>
      <c r="H272" s="378"/>
      <c r="I272" s="360"/>
      <c r="J272" s="377"/>
      <c r="K272" s="377"/>
      <c r="L272" s="378"/>
      <c r="M272" s="377"/>
      <c r="N272" s="377"/>
      <c r="O272" s="377"/>
      <c r="P272" s="364"/>
      <c r="Q272" s="360"/>
      <c r="R272" s="377"/>
      <c r="S272" s="377"/>
      <c r="T272" s="375"/>
      <c r="U272" s="375"/>
      <c r="V272" s="375"/>
      <c r="W272" s="375"/>
      <c r="X272" s="375"/>
      <c r="Y272" s="375"/>
      <c r="Z272" s="375"/>
      <c r="AA272" s="375"/>
      <c r="AB272" s="375"/>
      <c r="AC272" s="375"/>
      <c r="AD272" s="375"/>
      <c r="AE272" s="375"/>
      <c r="AF272" s="375"/>
    </row>
    <row r="273">
      <c r="A273" s="360"/>
      <c r="B273" s="360"/>
      <c r="C273" s="377"/>
      <c r="D273" s="377"/>
      <c r="E273" s="378"/>
      <c r="F273" s="377"/>
      <c r="G273" s="377"/>
      <c r="H273" s="378"/>
      <c r="I273" s="360"/>
      <c r="J273" s="377"/>
      <c r="K273" s="377"/>
      <c r="L273" s="378"/>
      <c r="M273" s="377"/>
      <c r="N273" s="377"/>
      <c r="O273" s="377"/>
      <c r="P273" s="364"/>
      <c r="Q273" s="360"/>
      <c r="R273" s="377"/>
      <c r="S273" s="377"/>
      <c r="T273" s="375"/>
      <c r="U273" s="375"/>
      <c r="V273" s="375"/>
      <c r="W273" s="375"/>
      <c r="X273" s="375"/>
      <c r="Y273" s="375"/>
      <c r="Z273" s="375"/>
      <c r="AA273" s="375"/>
      <c r="AB273" s="375"/>
      <c r="AC273" s="375"/>
      <c r="AD273" s="375"/>
      <c r="AE273" s="375"/>
      <c r="AF273" s="375"/>
    </row>
    <row r="274">
      <c r="A274" s="360"/>
      <c r="B274" s="360"/>
      <c r="C274" s="377"/>
      <c r="D274" s="377"/>
      <c r="E274" s="378"/>
      <c r="F274" s="377"/>
      <c r="G274" s="377"/>
      <c r="H274" s="378"/>
      <c r="I274" s="360"/>
      <c r="J274" s="377"/>
      <c r="K274" s="377"/>
      <c r="L274" s="378"/>
      <c r="M274" s="377"/>
      <c r="N274" s="377"/>
      <c r="O274" s="377"/>
      <c r="P274" s="364"/>
      <c r="Q274" s="360"/>
      <c r="R274" s="377"/>
      <c r="S274" s="377"/>
      <c r="T274" s="375"/>
      <c r="U274" s="375"/>
      <c r="V274" s="375"/>
      <c r="W274" s="375"/>
      <c r="X274" s="375"/>
      <c r="Y274" s="375"/>
      <c r="Z274" s="375"/>
      <c r="AA274" s="375"/>
      <c r="AB274" s="375"/>
      <c r="AC274" s="375"/>
      <c r="AD274" s="375"/>
      <c r="AE274" s="375"/>
      <c r="AF274" s="375"/>
    </row>
    <row r="275">
      <c r="A275" s="360"/>
      <c r="B275" s="360"/>
      <c r="C275" s="377"/>
      <c r="D275" s="377"/>
      <c r="E275" s="378"/>
      <c r="F275" s="377"/>
      <c r="G275" s="377"/>
      <c r="H275" s="378"/>
      <c r="I275" s="360"/>
      <c r="J275" s="377"/>
      <c r="K275" s="377"/>
      <c r="L275" s="378"/>
      <c r="M275" s="377"/>
      <c r="N275" s="377"/>
      <c r="O275" s="377"/>
      <c r="P275" s="364"/>
      <c r="Q275" s="360"/>
      <c r="R275" s="377"/>
      <c r="S275" s="377"/>
      <c r="T275" s="375"/>
      <c r="U275" s="375"/>
      <c r="V275" s="375"/>
      <c r="W275" s="375"/>
      <c r="X275" s="375"/>
      <c r="Y275" s="375"/>
      <c r="Z275" s="375"/>
      <c r="AA275" s="375"/>
      <c r="AB275" s="375"/>
      <c r="AC275" s="375"/>
      <c r="AD275" s="375"/>
      <c r="AE275" s="375"/>
      <c r="AF275" s="375"/>
    </row>
    <row r="276">
      <c r="A276" s="360"/>
      <c r="B276" s="360"/>
      <c r="C276" s="377"/>
      <c r="D276" s="377"/>
      <c r="E276" s="378"/>
      <c r="F276" s="377"/>
      <c r="G276" s="377"/>
      <c r="H276" s="378"/>
      <c r="I276" s="360"/>
      <c r="J276" s="377"/>
      <c r="K276" s="377"/>
      <c r="L276" s="378"/>
      <c r="M276" s="377"/>
      <c r="N276" s="377"/>
      <c r="O276" s="377"/>
      <c r="P276" s="364"/>
      <c r="Q276" s="360"/>
      <c r="R276" s="377"/>
      <c r="S276" s="377"/>
      <c r="T276" s="375"/>
      <c r="U276" s="375"/>
      <c r="V276" s="375"/>
      <c r="W276" s="375"/>
      <c r="X276" s="375"/>
      <c r="Y276" s="375"/>
      <c r="Z276" s="375"/>
      <c r="AA276" s="375"/>
      <c r="AB276" s="375"/>
      <c r="AC276" s="375"/>
      <c r="AD276" s="375"/>
      <c r="AE276" s="375"/>
      <c r="AF276" s="375"/>
    </row>
    <row r="277">
      <c r="A277" s="360"/>
      <c r="B277" s="360"/>
      <c r="C277" s="377"/>
      <c r="D277" s="377"/>
      <c r="E277" s="378"/>
      <c r="F277" s="377"/>
      <c r="G277" s="377"/>
      <c r="H277" s="378"/>
      <c r="I277" s="360"/>
      <c r="J277" s="377"/>
      <c r="K277" s="377"/>
      <c r="L277" s="378"/>
      <c r="M277" s="377"/>
      <c r="N277" s="377"/>
      <c r="O277" s="377"/>
      <c r="P277" s="364"/>
      <c r="Q277" s="360"/>
      <c r="R277" s="377"/>
      <c r="S277" s="377"/>
      <c r="T277" s="375"/>
      <c r="U277" s="375"/>
      <c r="V277" s="375"/>
      <c r="W277" s="375"/>
      <c r="X277" s="375"/>
      <c r="Y277" s="375"/>
      <c r="Z277" s="375"/>
      <c r="AA277" s="375"/>
      <c r="AB277" s="375"/>
      <c r="AC277" s="375"/>
      <c r="AD277" s="375"/>
      <c r="AE277" s="375"/>
      <c r="AF277" s="375"/>
    </row>
    <row r="278">
      <c r="A278" s="360"/>
      <c r="B278" s="360"/>
      <c r="C278" s="377"/>
      <c r="D278" s="377"/>
      <c r="E278" s="378"/>
      <c r="F278" s="377"/>
      <c r="G278" s="377"/>
      <c r="H278" s="378"/>
      <c r="I278" s="360"/>
      <c r="J278" s="377"/>
      <c r="K278" s="377"/>
      <c r="L278" s="378"/>
      <c r="M278" s="377"/>
      <c r="N278" s="377"/>
      <c r="O278" s="377"/>
      <c r="P278" s="364"/>
      <c r="Q278" s="360"/>
      <c r="R278" s="377"/>
      <c r="S278" s="377"/>
      <c r="T278" s="375"/>
      <c r="U278" s="375"/>
      <c r="V278" s="375"/>
      <c r="W278" s="375"/>
      <c r="X278" s="375"/>
      <c r="Y278" s="375"/>
      <c r="Z278" s="375"/>
      <c r="AA278" s="375"/>
      <c r="AB278" s="375"/>
      <c r="AC278" s="375"/>
      <c r="AD278" s="375"/>
      <c r="AE278" s="375"/>
      <c r="AF278" s="375"/>
    </row>
    <row r="279">
      <c r="A279" s="360"/>
      <c r="B279" s="360"/>
      <c r="C279" s="377"/>
      <c r="D279" s="377"/>
      <c r="E279" s="378"/>
      <c r="F279" s="377"/>
      <c r="G279" s="377"/>
      <c r="H279" s="378"/>
      <c r="I279" s="360"/>
      <c r="J279" s="377"/>
      <c r="K279" s="377"/>
      <c r="L279" s="378"/>
      <c r="M279" s="377"/>
      <c r="N279" s="377"/>
      <c r="O279" s="377"/>
      <c r="P279" s="364"/>
      <c r="Q279" s="360"/>
      <c r="R279" s="377"/>
      <c r="S279" s="377"/>
      <c r="T279" s="375"/>
      <c r="U279" s="375"/>
      <c r="V279" s="375"/>
      <c r="W279" s="375"/>
      <c r="X279" s="375"/>
      <c r="Y279" s="375"/>
      <c r="Z279" s="375"/>
      <c r="AA279" s="375"/>
      <c r="AB279" s="375"/>
      <c r="AC279" s="375"/>
      <c r="AD279" s="375"/>
      <c r="AE279" s="375"/>
      <c r="AF279" s="375"/>
    </row>
    <row r="280">
      <c r="A280" s="360"/>
      <c r="B280" s="360"/>
      <c r="C280" s="377"/>
      <c r="D280" s="377"/>
      <c r="E280" s="378"/>
      <c r="F280" s="377"/>
      <c r="G280" s="377"/>
      <c r="H280" s="378"/>
      <c r="I280" s="360"/>
      <c r="J280" s="377"/>
      <c r="K280" s="377"/>
      <c r="L280" s="378"/>
      <c r="M280" s="377"/>
      <c r="N280" s="377"/>
      <c r="O280" s="377"/>
      <c r="P280" s="364"/>
      <c r="Q280" s="360"/>
      <c r="R280" s="377"/>
      <c r="S280" s="377"/>
      <c r="T280" s="375"/>
      <c r="U280" s="375"/>
      <c r="V280" s="375"/>
      <c r="W280" s="375"/>
      <c r="X280" s="375"/>
      <c r="Y280" s="375"/>
      <c r="Z280" s="375"/>
      <c r="AA280" s="375"/>
      <c r="AB280" s="375"/>
      <c r="AC280" s="375"/>
      <c r="AD280" s="375"/>
      <c r="AE280" s="375"/>
      <c r="AF280" s="375"/>
    </row>
    <row r="281">
      <c r="A281" s="360"/>
      <c r="B281" s="360"/>
      <c r="C281" s="377"/>
      <c r="D281" s="377"/>
      <c r="E281" s="378"/>
      <c r="F281" s="377"/>
      <c r="G281" s="377"/>
      <c r="H281" s="378"/>
      <c r="I281" s="360"/>
      <c r="J281" s="377"/>
      <c r="K281" s="377"/>
      <c r="L281" s="378"/>
      <c r="M281" s="377"/>
      <c r="N281" s="377"/>
      <c r="O281" s="377"/>
      <c r="P281" s="364"/>
      <c r="Q281" s="360"/>
      <c r="R281" s="377"/>
      <c r="S281" s="377"/>
      <c r="T281" s="375"/>
      <c r="U281" s="375"/>
      <c r="V281" s="375"/>
      <c r="W281" s="375"/>
      <c r="X281" s="375"/>
      <c r="Y281" s="375"/>
      <c r="Z281" s="375"/>
      <c r="AA281" s="375"/>
      <c r="AB281" s="375"/>
      <c r="AC281" s="375"/>
      <c r="AD281" s="375"/>
      <c r="AE281" s="375"/>
      <c r="AF281" s="375"/>
    </row>
    <row r="282">
      <c r="A282" s="360"/>
      <c r="B282" s="360"/>
      <c r="C282" s="377"/>
      <c r="D282" s="377"/>
      <c r="E282" s="378"/>
      <c r="F282" s="377"/>
      <c r="G282" s="377"/>
      <c r="H282" s="378"/>
      <c r="I282" s="360"/>
      <c r="J282" s="377"/>
      <c r="K282" s="377"/>
      <c r="L282" s="378"/>
      <c r="M282" s="377"/>
      <c r="N282" s="377"/>
      <c r="O282" s="377"/>
      <c r="P282" s="364"/>
      <c r="Q282" s="360"/>
      <c r="R282" s="377"/>
      <c r="S282" s="377"/>
      <c r="T282" s="375"/>
      <c r="U282" s="375"/>
      <c r="V282" s="375"/>
      <c r="W282" s="375"/>
      <c r="X282" s="375"/>
      <c r="Y282" s="375"/>
      <c r="Z282" s="375"/>
      <c r="AA282" s="375"/>
      <c r="AB282" s="375"/>
      <c r="AC282" s="375"/>
      <c r="AD282" s="375"/>
      <c r="AE282" s="375"/>
      <c r="AF282" s="375"/>
    </row>
    <row r="283">
      <c r="A283" s="360"/>
      <c r="B283" s="360"/>
      <c r="C283" s="377"/>
      <c r="D283" s="377"/>
      <c r="E283" s="378"/>
      <c r="F283" s="377"/>
      <c r="G283" s="377"/>
      <c r="H283" s="378"/>
      <c r="I283" s="360"/>
      <c r="J283" s="377"/>
      <c r="K283" s="377"/>
      <c r="L283" s="378"/>
      <c r="M283" s="377"/>
      <c r="N283" s="377"/>
      <c r="O283" s="377"/>
      <c r="P283" s="364"/>
      <c r="Q283" s="360"/>
      <c r="R283" s="377"/>
      <c r="S283" s="377"/>
      <c r="T283" s="375"/>
      <c r="U283" s="375"/>
      <c r="V283" s="375"/>
      <c r="W283" s="375"/>
      <c r="X283" s="375"/>
      <c r="Y283" s="375"/>
      <c r="Z283" s="375"/>
      <c r="AA283" s="375"/>
      <c r="AB283" s="375"/>
      <c r="AC283" s="375"/>
      <c r="AD283" s="375"/>
      <c r="AE283" s="375"/>
      <c r="AF283" s="375"/>
    </row>
    <row r="284">
      <c r="A284" s="360"/>
      <c r="B284" s="360"/>
      <c r="C284" s="377"/>
      <c r="D284" s="377"/>
      <c r="E284" s="378"/>
      <c r="F284" s="377"/>
      <c r="G284" s="377"/>
      <c r="H284" s="378"/>
      <c r="I284" s="360"/>
      <c r="J284" s="377"/>
      <c r="K284" s="377"/>
      <c r="L284" s="378"/>
      <c r="M284" s="377"/>
      <c r="N284" s="377"/>
      <c r="O284" s="377"/>
      <c r="P284" s="364"/>
      <c r="Q284" s="360"/>
      <c r="R284" s="377"/>
      <c r="S284" s="377"/>
      <c r="T284" s="375"/>
      <c r="U284" s="375"/>
      <c r="V284" s="375"/>
      <c r="W284" s="375"/>
      <c r="X284" s="375"/>
      <c r="Y284" s="375"/>
      <c r="Z284" s="375"/>
      <c r="AA284" s="375"/>
      <c r="AB284" s="375"/>
      <c r="AC284" s="375"/>
      <c r="AD284" s="375"/>
      <c r="AE284" s="375"/>
      <c r="AF284" s="375"/>
    </row>
    <row r="285">
      <c r="A285" s="360"/>
      <c r="B285" s="360"/>
      <c r="C285" s="377"/>
      <c r="D285" s="377"/>
      <c r="E285" s="378"/>
      <c r="F285" s="377"/>
      <c r="G285" s="377"/>
      <c r="H285" s="378"/>
      <c r="I285" s="360"/>
      <c r="J285" s="377"/>
      <c r="K285" s="377"/>
      <c r="L285" s="378"/>
      <c r="M285" s="377"/>
      <c r="N285" s="377"/>
      <c r="O285" s="377"/>
      <c r="P285" s="364"/>
      <c r="Q285" s="360"/>
      <c r="R285" s="377"/>
      <c r="S285" s="377"/>
      <c r="T285" s="375"/>
      <c r="U285" s="375"/>
      <c r="V285" s="375"/>
      <c r="W285" s="375"/>
      <c r="X285" s="375"/>
      <c r="Y285" s="375"/>
      <c r="Z285" s="375"/>
      <c r="AA285" s="375"/>
      <c r="AB285" s="375"/>
      <c r="AC285" s="375"/>
      <c r="AD285" s="375"/>
      <c r="AE285" s="375"/>
      <c r="AF285" s="375"/>
    </row>
    <row r="286">
      <c r="A286" s="360"/>
      <c r="B286" s="360"/>
      <c r="C286" s="377"/>
      <c r="D286" s="377"/>
      <c r="E286" s="378"/>
      <c r="F286" s="377"/>
      <c r="G286" s="377"/>
      <c r="H286" s="378"/>
      <c r="I286" s="360"/>
      <c r="J286" s="377"/>
      <c r="K286" s="377"/>
      <c r="L286" s="378"/>
      <c r="M286" s="377"/>
      <c r="N286" s="377"/>
      <c r="O286" s="377"/>
      <c r="P286" s="364"/>
      <c r="Q286" s="360"/>
      <c r="R286" s="377"/>
      <c r="S286" s="377"/>
      <c r="T286" s="375"/>
      <c r="U286" s="375"/>
      <c r="V286" s="375"/>
      <c r="W286" s="375"/>
      <c r="X286" s="375"/>
      <c r="Y286" s="375"/>
      <c r="Z286" s="375"/>
      <c r="AA286" s="375"/>
      <c r="AB286" s="375"/>
      <c r="AC286" s="375"/>
      <c r="AD286" s="375"/>
      <c r="AE286" s="375"/>
      <c r="AF286" s="375"/>
    </row>
    <row r="287">
      <c r="A287" s="360"/>
      <c r="B287" s="360"/>
      <c r="C287" s="377"/>
      <c r="D287" s="377"/>
      <c r="E287" s="378"/>
      <c r="F287" s="377"/>
      <c r="G287" s="377"/>
      <c r="H287" s="378"/>
      <c r="I287" s="360"/>
      <c r="J287" s="377"/>
      <c r="K287" s="377"/>
      <c r="L287" s="378"/>
      <c r="M287" s="377"/>
      <c r="N287" s="377"/>
      <c r="O287" s="377"/>
      <c r="P287" s="364"/>
      <c r="Q287" s="360"/>
      <c r="R287" s="377"/>
      <c r="S287" s="377"/>
      <c r="T287" s="375"/>
      <c r="U287" s="375"/>
      <c r="V287" s="375"/>
      <c r="W287" s="375"/>
      <c r="X287" s="375"/>
      <c r="Y287" s="375"/>
      <c r="Z287" s="375"/>
      <c r="AA287" s="375"/>
      <c r="AB287" s="375"/>
      <c r="AC287" s="375"/>
      <c r="AD287" s="375"/>
      <c r="AE287" s="375"/>
      <c r="AF287" s="375"/>
    </row>
    <row r="288">
      <c r="A288" s="360"/>
      <c r="B288" s="360"/>
      <c r="C288" s="377"/>
      <c r="D288" s="377"/>
      <c r="E288" s="378"/>
      <c r="F288" s="377"/>
      <c r="G288" s="377"/>
      <c r="H288" s="378"/>
      <c r="I288" s="360"/>
      <c r="J288" s="377"/>
      <c r="K288" s="377"/>
      <c r="L288" s="378"/>
      <c r="M288" s="377"/>
      <c r="N288" s="377"/>
      <c r="O288" s="377"/>
      <c r="P288" s="364"/>
      <c r="Q288" s="360"/>
      <c r="R288" s="377"/>
      <c r="S288" s="377"/>
      <c r="T288" s="375"/>
      <c r="U288" s="375"/>
      <c r="V288" s="375"/>
      <c r="W288" s="375"/>
      <c r="X288" s="375"/>
      <c r="Y288" s="375"/>
      <c r="Z288" s="375"/>
      <c r="AA288" s="375"/>
      <c r="AB288" s="375"/>
      <c r="AC288" s="375"/>
      <c r="AD288" s="375"/>
      <c r="AE288" s="375"/>
      <c r="AF288" s="375"/>
    </row>
    <row r="289">
      <c r="A289" s="360"/>
      <c r="B289" s="360"/>
      <c r="C289" s="377"/>
      <c r="D289" s="377"/>
      <c r="E289" s="378"/>
      <c r="F289" s="377"/>
      <c r="G289" s="377"/>
      <c r="H289" s="378"/>
      <c r="I289" s="360"/>
      <c r="J289" s="377"/>
      <c r="K289" s="377"/>
      <c r="L289" s="378"/>
      <c r="M289" s="377"/>
      <c r="N289" s="377"/>
      <c r="O289" s="377"/>
      <c r="P289" s="364"/>
      <c r="Q289" s="360"/>
      <c r="R289" s="377"/>
      <c r="S289" s="377"/>
      <c r="T289" s="375"/>
      <c r="U289" s="375"/>
      <c r="V289" s="375"/>
      <c r="W289" s="375"/>
      <c r="X289" s="375"/>
      <c r="Y289" s="375"/>
      <c r="Z289" s="375"/>
      <c r="AA289" s="375"/>
      <c r="AB289" s="375"/>
      <c r="AC289" s="375"/>
      <c r="AD289" s="375"/>
      <c r="AE289" s="375"/>
      <c r="AF289" s="375"/>
    </row>
    <row r="290">
      <c r="A290" s="360"/>
      <c r="B290" s="360"/>
      <c r="C290" s="377"/>
      <c r="D290" s="377"/>
      <c r="E290" s="378"/>
      <c r="F290" s="377"/>
      <c r="G290" s="377"/>
      <c r="H290" s="378"/>
      <c r="I290" s="360"/>
      <c r="J290" s="377"/>
      <c r="K290" s="377"/>
      <c r="L290" s="378"/>
      <c r="M290" s="377"/>
      <c r="N290" s="377"/>
      <c r="O290" s="377"/>
      <c r="P290" s="364"/>
      <c r="Q290" s="360"/>
      <c r="R290" s="377"/>
      <c r="S290" s="377"/>
      <c r="T290" s="375"/>
      <c r="U290" s="375"/>
      <c r="V290" s="375"/>
      <c r="W290" s="375"/>
      <c r="X290" s="375"/>
      <c r="Y290" s="375"/>
      <c r="Z290" s="375"/>
      <c r="AA290" s="375"/>
      <c r="AB290" s="375"/>
      <c r="AC290" s="375"/>
      <c r="AD290" s="375"/>
      <c r="AE290" s="375"/>
      <c r="AF290" s="375"/>
    </row>
    <row r="291">
      <c r="A291" s="360"/>
      <c r="B291" s="360"/>
      <c r="C291" s="377"/>
      <c r="D291" s="377"/>
      <c r="E291" s="378"/>
      <c r="F291" s="377"/>
      <c r="G291" s="377"/>
      <c r="H291" s="378"/>
      <c r="I291" s="360"/>
      <c r="J291" s="377"/>
      <c r="K291" s="377"/>
      <c r="L291" s="378"/>
      <c r="M291" s="377"/>
      <c r="N291" s="377"/>
      <c r="O291" s="377"/>
      <c r="P291" s="364"/>
      <c r="Q291" s="360"/>
      <c r="R291" s="377"/>
      <c r="S291" s="377"/>
      <c r="T291" s="375"/>
      <c r="U291" s="375"/>
      <c r="V291" s="375"/>
      <c r="W291" s="375"/>
      <c r="X291" s="375"/>
      <c r="Y291" s="375"/>
      <c r="Z291" s="375"/>
      <c r="AA291" s="375"/>
      <c r="AB291" s="375"/>
      <c r="AC291" s="375"/>
      <c r="AD291" s="375"/>
      <c r="AE291" s="375"/>
      <c r="AF291" s="375"/>
    </row>
    <row r="292">
      <c r="A292" s="360"/>
      <c r="B292" s="360"/>
      <c r="C292" s="377"/>
      <c r="D292" s="377"/>
      <c r="E292" s="378"/>
      <c r="F292" s="377"/>
      <c r="G292" s="377"/>
      <c r="H292" s="378"/>
      <c r="I292" s="360"/>
      <c r="J292" s="377"/>
      <c r="K292" s="377"/>
      <c r="L292" s="378"/>
      <c r="M292" s="377"/>
      <c r="N292" s="377"/>
      <c r="O292" s="377"/>
      <c r="P292" s="364"/>
      <c r="Q292" s="360"/>
      <c r="R292" s="377"/>
      <c r="S292" s="377"/>
      <c r="T292" s="375"/>
      <c r="U292" s="375"/>
      <c r="V292" s="375"/>
      <c r="W292" s="375"/>
      <c r="X292" s="375"/>
      <c r="Y292" s="375"/>
      <c r="Z292" s="375"/>
      <c r="AA292" s="375"/>
      <c r="AB292" s="375"/>
      <c r="AC292" s="375"/>
      <c r="AD292" s="375"/>
      <c r="AE292" s="375"/>
      <c r="AF292" s="375"/>
    </row>
    <row r="293">
      <c r="A293" s="360"/>
      <c r="B293" s="360"/>
      <c r="C293" s="377"/>
      <c r="D293" s="377"/>
      <c r="E293" s="378"/>
      <c r="F293" s="377"/>
      <c r="G293" s="377"/>
      <c r="H293" s="378"/>
      <c r="I293" s="360"/>
      <c r="J293" s="377"/>
      <c r="K293" s="377"/>
      <c r="L293" s="378"/>
      <c r="M293" s="377"/>
      <c r="N293" s="377"/>
      <c r="O293" s="377"/>
      <c r="P293" s="364"/>
      <c r="Q293" s="360"/>
      <c r="R293" s="377"/>
      <c r="S293" s="377"/>
      <c r="T293" s="375"/>
      <c r="U293" s="375"/>
      <c r="V293" s="375"/>
      <c r="W293" s="375"/>
      <c r="X293" s="375"/>
      <c r="Y293" s="375"/>
      <c r="Z293" s="375"/>
      <c r="AA293" s="375"/>
      <c r="AB293" s="375"/>
      <c r="AC293" s="375"/>
      <c r="AD293" s="375"/>
      <c r="AE293" s="375"/>
      <c r="AF293" s="375"/>
    </row>
    <row r="294">
      <c r="A294" s="360"/>
      <c r="B294" s="360"/>
      <c r="C294" s="377"/>
      <c r="D294" s="377"/>
      <c r="E294" s="378"/>
      <c r="F294" s="377"/>
      <c r="G294" s="377"/>
      <c r="H294" s="378"/>
      <c r="I294" s="360"/>
      <c r="J294" s="377"/>
      <c r="K294" s="377"/>
      <c r="L294" s="378"/>
      <c r="M294" s="377"/>
      <c r="N294" s="377"/>
      <c r="O294" s="377"/>
      <c r="P294" s="364"/>
      <c r="Q294" s="360"/>
      <c r="R294" s="377"/>
      <c r="S294" s="377"/>
      <c r="T294" s="375"/>
      <c r="U294" s="375"/>
      <c r="V294" s="375"/>
      <c r="W294" s="375"/>
      <c r="X294" s="375"/>
      <c r="Y294" s="375"/>
      <c r="Z294" s="375"/>
      <c r="AA294" s="375"/>
      <c r="AB294" s="375"/>
      <c r="AC294" s="375"/>
      <c r="AD294" s="375"/>
      <c r="AE294" s="375"/>
      <c r="AF294" s="375"/>
    </row>
    <row r="295">
      <c r="A295" s="360"/>
      <c r="B295" s="360"/>
      <c r="C295" s="377"/>
      <c r="D295" s="377"/>
      <c r="E295" s="378"/>
      <c r="F295" s="377"/>
      <c r="G295" s="377"/>
      <c r="H295" s="378"/>
      <c r="I295" s="360"/>
      <c r="J295" s="377"/>
      <c r="K295" s="377"/>
      <c r="L295" s="378"/>
      <c r="M295" s="377"/>
      <c r="N295" s="377"/>
      <c r="O295" s="377"/>
      <c r="P295" s="364"/>
      <c r="Q295" s="360"/>
      <c r="R295" s="377"/>
      <c r="S295" s="377"/>
      <c r="T295" s="375"/>
      <c r="U295" s="375"/>
      <c r="V295" s="375"/>
      <c r="W295" s="375"/>
      <c r="X295" s="375"/>
      <c r="Y295" s="375"/>
      <c r="Z295" s="375"/>
      <c r="AA295" s="375"/>
      <c r="AB295" s="375"/>
      <c r="AC295" s="375"/>
      <c r="AD295" s="375"/>
      <c r="AE295" s="375"/>
      <c r="AF295" s="375"/>
    </row>
    <row r="296">
      <c r="A296" s="360"/>
      <c r="B296" s="360"/>
      <c r="C296" s="377"/>
      <c r="D296" s="377"/>
      <c r="E296" s="378"/>
      <c r="F296" s="377"/>
      <c r="G296" s="377"/>
      <c r="H296" s="378"/>
      <c r="I296" s="360"/>
      <c r="J296" s="377"/>
      <c r="K296" s="377"/>
      <c r="L296" s="378"/>
      <c r="M296" s="377"/>
      <c r="N296" s="377"/>
      <c r="O296" s="377"/>
      <c r="P296" s="364"/>
      <c r="Q296" s="360"/>
      <c r="R296" s="377"/>
      <c r="S296" s="377"/>
      <c r="T296" s="375"/>
      <c r="U296" s="375"/>
      <c r="V296" s="375"/>
      <c r="W296" s="375"/>
      <c r="X296" s="375"/>
      <c r="Y296" s="375"/>
      <c r="Z296" s="375"/>
      <c r="AA296" s="375"/>
      <c r="AB296" s="375"/>
      <c r="AC296" s="375"/>
      <c r="AD296" s="375"/>
      <c r="AE296" s="375"/>
      <c r="AF296" s="375"/>
    </row>
    <row r="297">
      <c r="A297" s="360"/>
      <c r="B297" s="360"/>
      <c r="C297" s="377"/>
      <c r="D297" s="377"/>
      <c r="E297" s="378"/>
      <c r="F297" s="377"/>
      <c r="G297" s="377"/>
      <c r="H297" s="378"/>
      <c r="I297" s="360"/>
      <c r="J297" s="377"/>
      <c r="K297" s="377"/>
      <c r="L297" s="378"/>
      <c r="M297" s="377"/>
      <c r="N297" s="377"/>
      <c r="O297" s="377"/>
      <c r="P297" s="364"/>
      <c r="Q297" s="360"/>
      <c r="R297" s="377"/>
      <c r="S297" s="377"/>
      <c r="T297" s="375"/>
      <c r="U297" s="375"/>
      <c r="V297" s="375"/>
      <c r="W297" s="375"/>
      <c r="X297" s="375"/>
      <c r="Y297" s="375"/>
      <c r="Z297" s="375"/>
      <c r="AA297" s="375"/>
      <c r="AB297" s="375"/>
      <c r="AC297" s="375"/>
      <c r="AD297" s="375"/>
      <c r="AE297" s="375"/>
      <c r="AF297" s="375"/>
    </row>
    <row r="298">
      <c r="A298" s="360"/>
      <c r="B298" s="360"/>
      <c r="C298" s="377"/>
      <c r="D298" s="377"/>
      <c r="E298" s="378"/>
      <c r="F298" s="377"/>
      <c r="G298" s="377"/>
      <c r="H298" s="378"/>
      <c r="I298" s="360"/>
      <c r="J298" s="377"/>
      <c r="K298" s="377"/>
      <c r="L298" s="378"/>
      <c r="M298" s="377"/>
      <c r="N298" s="377"/>
      <c r="O298" s="377"/>
      <c r="P298" s="364"/>
      <c r="Q298" s="360"/>
      <c r="R298" s="377"/>
      <c r="S298" s="377"/>
      <c r="T298" s="375"/>
      <c r="U298" s="375"/>
      <c r="V298" s="375"/>
      <c r="W298" s="375"/>
      <c r="X298" s="375"/>
      <c r="Y298" s="375"/>
      <c r="Z298" s="375"/>
      <c r="AA298" s="375"/>
      <c r="AB298" s="375"/>
      <c r="AC298" s="375"/>
      <c r="AD298" s="375"/>
      <c r="AE298" s="375"/>
      <c r="AF298" s="375"/>
    </row>
    <row r="299">
      <c r="A299" s="360"/>
      <c r="B299" s="360"/>
      <c r="C299" s="377"/>
      <c r="D299" s="377"/>
      <c r="E299" s="378"/>
      <c r="F299" s="377"/>
      <c r="G299" s="377"/>
      <c r="H299" s="378"/>
      <c r="I299" s="360"/>
      <c r="J299" s="377"/>
      <c r="K299" s="377"/>
      <c r="L299" s="378"/>
      <c r="M299" s="377"/>
      <c r="N299" s="377"/>
      <c r="O299" s="377"/>
      <c r="P299" s="364"/>
      <c r="Q299" s="360"/>
      <c r="R299" s="377"/>
      <c r="S299" s="377"/>
      <c r="T299" s="375"/>
      <c r="U299" s="375"/>
      <c r="V299" s="375"/>
      <c r="W299" s="375"/>
      <c r="X299" s="375"/>
      <c r="Y299" s="375"/>
      <c r="Z299" s="375"/>
      <c r="AA299" s="375"/>
      <c r="AB299" s="375"/>
      <c r="AC299" s="375"/>
      <c r="AD299" s="375"/>
      <c r="AE299" s="375"/>
      <c r="AF299" s="375"/>
    </row>
    <row r="300">
      <c r="A300" s="360"/>
      <c r="B300" s="360"/>
      <c r="C300" s="377"/>
      <c r="D300" s="377"/>
      <c r="E300" s="378"/>
      <c r="F300" s="377"/>
      <c r="G300" s="377"/>
      <c r="H300" s="378"/>
      <c r="I300" s="360"/>
      <c r="J300" s="377"/>
      <c r="K300" s="377"/>
      <c r="L300" s="378"/>
      <c r="M300" s="377"/>
      <c r="N300" s="377"/>
      <c r="O300" s="377"/>
      <c r="P300" s="364"/>
      <c r="Q300" s="360"/>
      <c r="R300" s="377"/>
      <c r="S300" s="377"/>
      <c r="T300" s="375"/>
      <c r="U300" s="375"/>
      <c r="V300" s="375"/>
      <c r="W300" s="375"/>
      <c r="X300" s="375"/>
      <c r="Y300" s="375"/>
      <c r="Z300" s="375"/>
      <c r="AA300" s="375"/>
      <c r="AB300" s="375"/>
      <c r="AC300" s="375"/>
      <c r="AD300" s="375"/>
      <c r="AE300" s="375"/>
      <c r="AF300" s="375"/>
    </row>
    <row r="301">
      <c r="A301" s="360"/>
      <c r="B301" s="360"/>
      <c r="C301" s="377"/>
      <c r="D301" s="377"/>
      <c r="E301" s="378"/>
      <c r="F301" s="377"/>
      <c r="G301" s="377"/>
      <c r="H301" s="378"/>
      <c r="I301" s="360"/>
      <c r="J301" s="377"/>
      <c r="K301" s="377"/>
      <c r="L301" s="378"/>
      <c r="M301" s="377"/>
      <c r="N301" s="377"/>
      <c r="O301" s="377"/>
      <c r="P301" s="364"/>
      <c r="Q301" s="360"/>
      <c r="R301" s="377"/>
      <c r="S301" s="377"/>
      <c r="T301" s="375"/>
      <c r="U301" s="375"/>
      <c r="V301" s="375"/>
      <c r="W301" s="375"/>
      <c r="X301" s="375"/>
      <c r="Y301" s="375"/>
      <c r="Z301" s="375"/>
      <c r="AA301" s="375"/>
      <c r="AB301" s="375"/>
      <c r="AC301" s="375"/>
      <c r="AD301" s="375"/>
      <c r="AE301" s="375"/>
      <c r="AF301" s="375"/>
    </row>
    <row r="302">
      <c r="A302" s="360"/>
      <c r="B302" s="360"/>
      <c r="C302" s="377"/>
      <c r="D302" s="377"/>
      <c r="E302" s="378"/>
      <c r="F302" s="377"/>
      <c r="G302" s="377"/>
      <c r="H302" s="378"/>
      <c r="I302" s="360"/>
      <c r="J302" s="377"/>
      <c r="K302" s="377"/>
      <c r="L302" s="378"/>
      <c r="M302" s="377"/>
      <c r="N302" s="377"/>
      <c r="O302" s="377"/>
      <c r="P302" s="364"/>
      <c r="Q302" s="360"/>
      <c r="R302" s="377"/>
      <c r="S302" s="377"/>
      <c r="T302" s="375"/>
      <c r="U302" s="375"/>
      <c r="V302" s="375"/>
      <c r="W302" s="375"/>
      <c r="X302" s="375"/>
      <c r="Y302" s="375"/>
      <c r="Z302" s="375"/>
      <c r="AA302" s="375"/>
      <c r="AB302" s="375"/>
      <c r="AC302" s="375"/>
      <c r="AD302" s="375"/>
      <c r="AE302" s="375"/>
      <c r="AF302" s="375"/>
    </row>
    <row r="303">
      <c r="A303" s="360"/>
      <c r="B303" s="360"/>
      <c r="C303" s="377"/>
      <c r="D303" s="377"/>
      <c r="E303" s="378"/>
      <c r="F303" s="377"/>
      <c r="G303" s="377"/>
      <c r="H303" s="378"/>
      <c r="I303" s="360"/>
      <c r="J303" s="377"/>
      <c r="K303" s="377"/>
      <c r="L303" s="378"/>
      <c r="M303" s="377"/>
      <c r="N303" s="377"/>
      <c r="O303" s="377"/>
      <c r="P303" s="364"/>
      <c r="Q303" s="360"/>
      <c r="R303" s="377"/>
      <c r="S303" s="377"/>
      <c r="T303" s="375"/>
      <c r="U303" s="375"/>
      <c r="V303" s="375"/>
      <c r="W303" s="375"/>
      <c r="X303" s="375"/>
      <c r="Y303" s="375"/>
      <c r="Z303" s="375"/>
      <c r="AA303" s="375"/>
      <c r="AB303" s="375"/>
      <c r="AC303" s="375"/>
      <c r="AD303" s="375"/>
      <c r="AE303" s="375"/>
      <c r="AF303" s="375"/>
    </row>
    <row r="304">
      <c r="A304" s="360"/>
      <c r="B304" s="360"/>
      <c r="C304" s="377"/>
      <c r="D304" s="377"/>
      <c r="E304" s="378"/>
      <c r="F304" s="377"/>
      <c r="G304" s="377"/>
      <c r="H304" s="378"/>
      <c r="I304" s="360"/>
      <c r="J304" s="377"/>
      <c r="K304" s="377"/>
      <c r="L304" s="378"/>
      <c r="M304" s="377"/>
      <c r="N304" s="377"/>
      <c r="O304" s="377"/>
      <c r="P304" s="364"/>
      <c r="Q304" s="360"/>
      <c r="R304" s="377"/>
      <c r="S304" s="377"/>
      <c r="T304" s="375"/>
      <c r="U304" s="375"/>
      <c r="V304" s="375"/>
      <c r="W304" s="375"/>
      <c r="X304" s="375"/>
      <c r="Y304" s="375"/>
      <c r="Z304" s="375"/>
      <c r="AA304" s="375"/>
      <c r="AB304" s="375"/>
      <c r="AC304" s="375"/>
      <c r="AD304" s="375"/>
      <c r="AE304" s="375"/>
      <c r="AF304" s="375"/>
    </row>
    <row r="305">
      <c r="A305" s="360"/>
      <c r="B305" s="360"/>
      <c r="C305" s="377"/>
      <c r="D305" s="377"/>
      <c r="E305" s="378"/>
      <c r="F305" s="377"/>
      <c r="G305" s="377"/>
      <c r="H305" s="378"/>
      <c r="I305" s="360"/>
      <c r="J305" s="377"/>
      <c r="K305" s="377"/>
      <c r="L305" s="378"/>
      <c r="M305" s="377"/>
      <c r="N305" s="377"/>
      <c r="O305" s="377"/>
      <c r="P305" s="364"/>
      <c r="Q305" s="360"/>
      <c r="R305" s="377"/>
      <c r="S305" s="377"/>
      <c r="T305" s="375"/>
      <c r="U305" s="375"/>
      <c r="V305" s="375"/>
      <c r="W305" s="375"/>
      <c r="X305" s="375"/>
      <c r="Y305" s="375"/>
      <c r="Z305" s="375"/>
      <c r="AA305" s="375"/>
      <c r="AB305" s="375"/>
      <c r="AC305" s="375"/>
      <c r="AD305" s="375"/>
      <c r="AE305" s="375"/>
      <c r="AF305" s="375"/>
    </row>
    <row r="306">
      <c r="A306" s="360"/>
      <c r="B306" s="360"/>
      <c r="C306" s="377"/>
      <c r="D306" s="377"/>
      <c r="E306" s="378"/>
      <c r="F306" s="377"/>
      <c r="G306" s="377"/>
      <c r="H306" s="378"/>
      <c r="I306" s="360"/>
      <c r="J306" s="377"/>
      <c r="K306" s="377"/>
      <c r="L306" s="378"/>
      <c r="M306" s="377"/>
      <c r="N306" s="377"/>
      <c r="O306" s="377"/>
      <c r="P306" s="364"/>
      <c r="Q306" s="360"/>
      <c r="R306" s="377"/>
      <c r="S306" s="377"/>
      <c r="T306" s="375"/>
      <c r="U306" s="375"/>
      <c r="V306" s="375"/>
      <c r="W306" s="375"/>
      <c r="X306" s="375"/>
      <c r="Y306" s="375"/>
      <c r="Z306" s="375"/>
      <c r="AA306" s="375"/>
      <c r="AB306" s="375"/>
      <c r="AC306" s="375"/>
      <c r="AD306" s="375"/>
      <c r="AE306" s="375"/>
      <c r="AF306" s="375"/>
    </row>
    <row r="307">
      <c r="A307" s="360"/>
      <c r="B307" s="360"/>
      <c r="C307" s="377"/>
      <c r="D307" s="377"/>
      <c r="E307" s="378"/>
      <c r="F307" s="377"/>
      <c r="G307" s="377"/>
      <c r="H307" s="378"/>
      <c r="I307" s="360"/>
      <c r="J307" s="377"/>
      <c r="K307" s="377"/>
      <c r="L307" s="378"/>
      <c r="M307" s="377"/>
      <c r="N307" s="377"/>
      <c r="O307" s="377"/>
      <c r="P307" s="364"/>
      <c r="Q307" s="360"/>
      <c r="R307" s="377"/>
      <c r="S307" s="377"/>
      <c r="T307" s="375"/>
      <c r="U307" s="375"/>
      <c r="V307" s="375"/>
      <c r="W307" s="375"/>
      <c r="X307" s="375"/>
      <c r="Y307" s="375"/>
      <c r="Z307" s="375"/>
      <c r="AA307" s="375"/>
      <c r="AB307" s="375"/>
      <c r="AC307" s="375"/>
      <c r="AD307" s="375"/>
      <c r="AE307" s="375"/>
      <c r="AF307" s="375"/>
    </row>
    <row r="308">
      <c r="A308" s="360"/>
      <c r="B308" s="360"/>
      <c r="C308" s="377"/>
      <c r="D308" s="377"/>
      <c r="E308" s="378"/>
      <c r="F308" s="377"/>
      <c r="G308" s="377"/>
      <c r="H308" s="378"/>
      <c r="I308" s="360"/>
      <c r="J308" s="377"/>
      <c r="K308" s="377"/>
      <c r="L308" s="378"/>
      <c r="M308" s="377"/>
      <c r="N308" s="377"/>
      <c r="O308" s="377"/>
      <c r="P308" s="364"/>
      <c r="Q308" s="360"/>
      <c r="R308" s="377"/>
      <c r="S308" s="377"/>
      <c r="T308" s="375"/>
      <c r="U308" s="375"/>
      <c r="V308" s="375"/>
      <c r="W308" s="375"/>
      <c r="X308" s="375"/>
      <c r="Y308" s="375"/>
      <c r="Z308" s="375"/>
      <c r="AA308" s="375"/>
      <c r="AB308" s="375"/>
      <c r="AC308" s="375"/>
      <c r="AD308" s="375"/>
      <c r="AE308" s="375"/>
      <c r="AF308" s="375"/>
    </row>
    <row r="309">
      <c r="A309" s="360"/>
      <c r="B309" s="360"/>
      <c r="C309" s="377"/>
      <c r="D309" s="377"/>
      <c r="E309" s="378"/>
      <c r="F309" s="377"/>
      <c r="G309" s="377"/>
      <c r="H309" s="378"/>
      <c r="I309" s="360"/>
      <c r="J309" s="377"/>
      <c r="K309" s="377"/>
      <c r="L309" s="378"/>
      <c r="M309" s="377"/>
      <c r="N309" s="377"/>
      <c r="O309" s="377"/>
      <c r="P309" s="364"/>
      <c r="Q309" s="360"/>
      <c r="R309" s="377"/>
      <c r="S309" s="377"/>
      <c r="T309" s="375"/>
      <c r="U309" s="375"/>
      <c r="V309" s="375"/>
      <c r="W309" s="375"/>
      <c r="X309" s="375"/>
      <c r="Y309" s="375"/>
      <c r="Z309" s="375"/>
      <c r="AA309" s="375"/>
      <c r="AB309" s="375"/>
      <c r="AC309" s="375"/>
      <c r="AD309" s="375"/>
      <c r="AE309" s="375"/>
      <c r="AF309" s="375"/>
    </row>
    <row r="310">
      <c r="A310" s="360"/>
      <c r="B310" s="360"/>
      <c r="C310" s="377"/>
      <c r="D310" s="377"/>
      <c r="E310" s="378"/>
      <c r="F310" s="377"/>
      <c r="G310" s="377"/>
      <c r="H310" s="378"/>
      <c r="I310" s="360"/>
      <c r="J310" s="377"/>
      <c r="K310" s="377"/>
      <c r="L310" s="378"/>
      <c r="M310" s="377"/>
      <c r="N310" s="377"/>
      <c r="O310" s="377"/>
      <c r="P310" s="364"/>
      <c r="Q310" s="360"/>
      <c r="R310" s="377"/>
      <c r="S310" s="377"/>
      <c r="T310" s="375"/>
      <c r="U310" s="375"/>
      <c r="V310" s="375"/>
      <c r="W310" s="375"/>
      <c r="X310" s="375"/>
      <c r="Y310" s="375"/>
      <c r="Z310" s="375"/>
      <c r="AA310" s="375"/>
      <c r="AB310" s="375"/>
      <c r="AC310" s="375"/>
      <c r="AD310" s="375"/>
      <c r="AE310" s="375"/>
      <c r="AF310" s="375"/>
    </row>
    <row r="311">
      <c r="A311" s="360"/>
      <c r="B311" s="360"/>
      <c r="C311" s="377"/>
      <c r="D311" s="377"/>
      <c r="E311" s="378"/>
      <c r="F311" s="377"/>
      <c r="G311" s="377"/>
      <c r="H311" s="378"/>
      <c r="I311" s="360"/>
      <c r="J311" s="377"/>
      <c r="K311" s="377"/>
      <c r="L311" s="378"/>
      <c r="M311" s="377"/>
      <c r="N311" s="377"/>
      <c r="O311" s="377"/>
      <c r="P311" s="364"/>
      <c r="Q311" s="360"/>
      <c r="R311" s="377"/>
      <c r="S311" s="377"/>
      <c r="T311" s="375"/>
      <c r="U311" s="375"/>
      <c r="V311" s="375"/>
      <c r="W311" s="375"/>
      <c r="X311" s="375"/>
      <c r="Y311" s="375"/>
      <c r="Z311" s="375"/>
      <c r="AA311" s="375"/>
      <c r="AB311" s="375"/>
      <c r="AC311" s="375"/>
      <c r="AD311" s="375"/>
      <c r="AE311" s="375"/>
      <c r="AF311" s="375"/>
    </row>
    <row r="312">
      <c r="A312" s="360"/>
      <c r="B312" s="360"/>
      <c r="C312" s="377"/>
      <c r="D312" s="377"/>
      <c r="E312" s="378"/>
      <c r="F312" s="377"/>
      <c r="G312" s="377"/>
      <c r="H312" s="378"/>
      <c r="I312" s="360"/>
      <c r="J312" s="377"/>
      <c r="K312" s="377"/>
      <c r="L312" s="378"/>
      <c r="M312" s="377"/>
      <c r="N312" s="377"/>
      <c r="O312" s="377"/>
      <c r="P312" s="364"/>
      <c r="Q312" s="360"/>
      <c r="R312" s="377"/>
      <c r="S312" s="377"/>
      <c r="T312" s="375"/>
      <c r="U312" s="375"/>
      <c r="V312" s="375"/>
      <c r="W312" s="375"/>
      <c r="X312" s="375"/>
      <c r="Y312" s="375"/>
      <c r="Z312" s="375"/>
      <c r="AA312" s="375"/>
      <c r="AB312" s="375"/>
      <c r="AC312" s="375"/>
      <c r="AD312" s="375"/>
      <c r="AE312" s="375"/>
      <c r="AF312" s="375"/>
    </row>
    <row r="313">
      <c r="A313" s="360"/>
      <c r="B313" s="360"/>
      <c r="C313" s="377"/>
      <c r="D313" s="377"/>
      <c r="E313" s="378"/>
      <c r="F313" s="377"/>
      <c r="G313" s="377"/>
      <c r="H313" s="378"/>
      <c r="I313" s="360"/>
      <c r="J313" s="377"/>
      <c r="K313" s="377"/>
      <c r="L313" s="378"/>
      <c r="M313" s="377"/>
      <c r="N313" s="377"/>
      <c r="O313" s="377"/>
      <c r="P313" s="364"/>
      <c r="Q313" s="360"/>
      <c r="R313" s="377"/>
      <c r="S313" s="377"/>
      <c r="T313" s="375"/>
      <c r="U313" s="375"/>
      <c r="V313" s="375"/>
      <c r="W313" s="375"/>
      <c r="X313" s="375"/>
      <c r="Y313" s="375"/>
      <c r="Z313" s="375"/>
      <c r="AA313" s="375"/>
      <c r="AB313" s="375"/>
      <c r="AC313" s="375"/>
      <c r="AD313" s="375"/>
      <c r="AE313" s="375"/>
      <c r="AF313" s="375"/>
    </row>
    <row r="314">
      <c r="A314" s="360"/>
      <c r="B314" s="360"/>
      <c r="C314" s="377"/>
      <c r="D314" s="377"/>
      <c r="E314" s="378"/>
      <c r="F314" s="377"/>
      <c r="G314" s="377"/>
      <c r="H314" s="378"/>
      <c r="I314" s="360"/>
      <c r="J314" s="377"/>
      <c r="K314" s="377"/>
      <c r="L314" s="378"/>
      <c r="M314" s="377"/>
      <c r="N314" s="377"/>
      <c r="O314" s="377"/>
      <c r="P314" s="364"/>
      <c r="Q314" s="360"/>
      <c r="R314" s="377"/>
      <c r="S314" s="377"/>
      <c r="T314" s="375"/>
      <c r="U314" s="375"/>
      <c r="V314" s="375"/>
      <c r="W314" s="375"/>
      <c r="X314" s="375"/>
      <c r="Y314" s="375"/>
      <c r="Z314" s="375"/>
      <c r="AA314" s="375"/>
      <c r="AB314" s="375"/>
      <c r="AC314" s="375"/>
      <c r="AD314" s="375"/>
      <c r="AE314" s="375"/>
      <c r="AF314" s="375"/>
    </row>
    <row r="315">
      <c r="A315" s="360"/>
      <c r="B315" s="360"/>
      <c r="C315" s="377"/>
      <c r="D315" s="377"/>
      <c r="E315" s="378"/>
      <c r="F315" s="377"/>
      <c r="G315" s="377"/>
      <c r="H315" s="378"/>
      <c r="I315" s="360"/>
      <c r="J315" s="377"/>
      <c r="K315" s="377"/>
      <c r="L315" s="378"/>
      <c r="M315" s="377"/>
      <c r="N315" s="377"/>
      <c r="O315" s="377"/>
      <c r="P315" s="364"/>
      <c r="Q315" s="360"/>
      <c r="R315" s="377"/>
      <c r="S315" s="377"/>
      <c r="T315" s="375"/>
      <c r="U315" s="375"/>
      <c r="V315" s="375"/>
      <c r="W315" s="375"/>
      <c r="X315" s="375"/>
      <c r="Y315" s="375"/>
      <c r="Z315" s="375"/>
      <c r="AA315" s="375"/>
      <c r="AB315" s="375"/>
      <c r="AC315" s="375"/>
      <c r="AD315" s="375"/>
      <c r="AE315" s="375"/>
      <c r="AF315" s="375"/>
    </row>
    <row r="316">
      <c r="A316" s="360"/>
      <c r="B316" s="360"/>
      <c r="C316" s="377"/>
      <c r="D316" s="377"/>
      <c r="E316" s="378"/>
      <c r="F316" s="377"/>
      <c r="G316" s="377"/>
      <c r="H316" s="378"/>
      <c r="I316" s="360"/>
      <c r="J316" s="377"/>
      <c r="K316" s="377"/>
      <c r="L316" s="378"/>
      <c r="M316" s="377"/>
      <c r="N316" s="377"/>
      <c r="O316" s="377"/>
      <c r="P316" s="364"/>
      <c r="Q316" s="360"/>
      <c r="R316" s="377"/>
      <c r="S316" s="377"/>
      <c r="T316" s="375"/>
      <c r="U316" s="375"/>
      <c r="V316" s="375"/>
      <c r="W316" s="375"/>
      <c r="X316" s="375"/>
      <c r="Y316" s="375"/>
      <c r="Z316" s="375"/>
      <c r="AA316" s="375"/>
      <c r="AB316" s="375"/>
      <c r="AC316" s="375"/>
      <c r="AD316" s="375"/>
      <c r="AE316" s="375"/>
      <c r="AF316" s="375"/>
    </row>
    <row r="317">
      <c r="A317" s="360"/>
      <c r="B317" s="360"/>
      <c r="C317" s="377"/>
      <c r="D317" s="377"/>
      <c r="E317" s="378"/>
      <c r="F317" s="377"/>
      <c r="G317" s="377"/>
      <c r="H317" s="378"/>
      <c r="I317" s="360"/>
      <c r="J317" s="377"/>
      <c r="K317" s="377"/>
      <c r="L317" s="378"/>
      <c r="M317" s="377"/>
      <c r="N317" s="377"/>
      <c r="O317" s="377"/>
      <c r="P317" s="364"/>
      <c r="Q317" s="360"/>
      <c r="R317" s="377"/>
      <c r="S317" s="377"/>
      <c r="T317" s="375"/>
      <c r="U317" s="375"/>
      <c r="V317" s="375"/>
      <c r="W317" s="375"/>
      <c r="X317" s="375"/>
      <c r="Y317" s="375"/>
      <c r="Z317" s="375"/>
      <c r="AA317" s="375"/>
      <c r="AB317" s="375"/>
      <c r="AC317" s="375"/>
      <c r="AD317" s="375"/>
      <c r="AE317" s="375"/>
      <c r="AF317" s="375"/>
    </row>
    <row r="318">
      <c r="A318" s="360"/>
      <c r="B318" s="360"/>
      <c r="C318" s="377"/>
      <c r="D318" s="377"/>
      <c r="E318" s="378"/>
      <c r="F318" s="377"/>
      <c r="G318" s="377"/>
      <c r="H318" s="378"/>
      <c r="I318" s="360"/>
      <c r="J318" s="377"/>
      <c r="K318" s="377"/>
      <c r="L318" s="378"/>
      <c r="M318" s="377"/>
      <c r="N318" s="377"/>
      <c r="O318" s="377"/>
      <c r="P318" s="364"/>
      <c r="Q318" s="360"/>
      <c r="R318" s="377"/>
      <c r="S318" s="377"/>
      <c r="T318" s="375"/>
      <c r="U318" s="375"/>
      <c r="V318" s="375"/>
      <c r="W318" s="375"/>
      <c r="X318" s="375"/>
      <c r="Y318" s="375"/>
      <c r="Z318" s="375"/>
      <c r="AA318" s="375"/>
      <c r="AB318" s="375"/>
      <c r="AC318" s="375"/>
      <c r="AD318" s="375"/>
      <c r="AE318" s="375"/>
      <c r="AF318" s="375"/>
    </row>
    <row r="319">
      <c r="A319" s="360"/>
      <c r="B319" s="360"/>
      <c r="C319" s="377"/>
      <c r="D319" s="377"/>
      <c r="E319" s="378"/>
      <c r="F319" s="377"/>
      <c r="G319" s="377"/>
      <c r="H319" s="378"/>
      <c r="I319" s="360"/>
      <c r="J319" s="377"/>
      <c r="K319" s="377"/>
      <c r="L319" s="378"/>
      <c r="M319" s="377"/>
      <c r="N319" s="377"/>
      <c r="O319" s="377"/>
      <c r="P319" s="364"/>
      <c r="Q319" s="360"/>
      <c r="R319" s="377"/>
      <c r="S319" s="377"/>
      <c r="T319" s="375"/>
      <c r="U319" s="375"/>
      <c r="V319" s="375"/>
      <c r="W319" s="375"/>
      <c r="X319" s="375"/>
      <c r="Y319" s="375"/>
      <c r="Z319" s="375"/>
      <c r="AA319" s="375"/>
      <c r="AB319" s="375"/>
      <c r="AC319" s="375"/>
      <c r="AD319" s="375"/>
      <c r="AE319" s="375"/>
      <c r="AF319" s="375"/>
    </row>
    <row r="320">
      <c r="A320" s="360"/>
      <c r="B320" s="360"/>
      <c r="C320" s="377"/>
      <c r="D320" s="377"/>
      <c r="E320" s="378"/>
      <c r="F320" s="377"/>
      <c r="G320" s="377"/>
      <c r="H320" s="378"/>
      <c r="I320" s="360"/>
      <c r="J320" s="377"/>
      <c r="K320" s="377"/>
      <c r="L320" s="378"/>
      <c r="M320" s="377"/>
      <c r="N320" s="377"/>
      <c r="O320" s="377"/>
      <c r="P320" s="364"/>
      <c r="Q320" s="360"/>
      <c r="R320" s="377"/>
      <c r="S320" s="377"/>
      <c r="T320" s="375"/>
      <c r="U320" s="375"/>
      <c r="V320" s="375"/>
      <c r="W320" s="375"/>
      <c r="X320" s="375"/>
      <c r="Y320" s="375"/>
      <c r="Z320" s="375"/>
      <c r="AA320" s="375"/>
      <c r="AB320" s="375"/>
      <c r="AC320" s="375"/>
      <c r="AD320" s="375"/>
      <c r="AE320" s="375"/>
      <c r="AF320" s="375"/>
    </row>
    <row r="321">
      <c r="A321" s="360"/>
      <c r="B321" s="360"/>
      <c r="C321" s="377"/>
      <c r="D321" s="377"/>
      <c r="E321" s="378"/>
      <c r="F321" s="377"/>
      <c r="G321" s="377"/>
      <c r="H321" s="378"/>
      <c r="I321" s="360"/>
      <c r="J321" s="377"/>
      <c r="K321" s="377"/>
      <c r="L321" s="378"/>
      <c r="M321" s="377"/>
      <c r="N321" s="377"/>
      <c r="O321" s="377"/>
      <c r="P321" s="364"/>
      <c r="Q321" s="360"/>
      <c r="R321" s="377"/>
      <c r="S321" s="377"/>
      <c r="T321" s="375"/>
      <c r="U321" s="375"/>
      <c r="V321" s="375"/>
      <c r="W321" s="375"/>
      <c r="X321" s="375"/>
      <c r="Y321" s="375"/>
      <c r="Z321" s="375"/>
      <c r="AA321" s="375"/>
      <c r="AB321" s="375"/>
      <c r="AC321" s="375"/>
      <c r="AD321" s="375"/>
      <c r="AE321" s="375"/>
      <c r="AF321" s="375"/>
    </row>
    <row r="322">
      <c r="A322" s="360"/>
      <c r="B322" s="360"/>
      <c r="C322" s="377"/>
      <c r="D322" s="377"/>
      <c r="E322" s="378"/>
      <c r="F322" s="377"/>
      <c r="G322" s="377"/>
      <c r="H322" s="378"/>
      <c r="I322" s="360"/>
      <c r="J322" s="377"/>
      <c r="K322" s="377"/>
      <c r="L322" s="378"/>
      <c r="M322" s="377"/>
      <c r="N322" s="377"/>
      <c r="O322" s="377"/>
      <c r="P322" s="364"/>
      <c r="Q322" s="360"/>
      <c r="R322" s="377"/>
      <c r="S322" s="377"/>
      <c r="T322" s="375"/>
      <c r="U322" s="375"/>
      <c r="V322" s="375"/>
      <c r="W322" s="375"/>
      <c r="X322" s="375"/>
      <c r="Y322" s="375"/>
      <c r="Z322" s="375"/>
      <c r="AA322" s="375"/>
      <c r="AB322" s="375"/>
      <c r="AC322" s="375"/>
      <c r="AD322" s="375"/>
      <c r="AE322" s="375"/>
      <c r="AF322" s="375"/>
    </row>
    <row r="323">
      <c r="A323" s="360"/>
      <c r="B323" s="360"/>
      <c r="C323" s="377"/>
      <c r="D323" s="377"/>
      <c r="E323" s="378"/>
      <c r="F323" s="377"/>
      <c r="G323" s="377"/>
      <c r="H323" s="378"/>
      <c r="I323" s="360"/>
      <c r="J323" s="377"/>
      <c r="K323" s="377"/>
      <c r="L323" s="378"/>
      <c r="M323" s="377"/>
      <c r="N323" s="377"/>
      <c r="O323" s="377"/>
      <c r="P323" s="364"/>
      <c r="Q323" s="360"/>
      <c r="R323" s="377"/>
      <c r="S323" s="377"/>
      <c r="T323" s="375"/>
      <c r="U323" s="375"/>
      <c r="V323" s="375"/>
      <c r="W323" s="375"/>
      <c r="X323" s="375"/>
      <c r="Y323" s="375"/>
      <c r="Z323" s="375"/>
      <c r="AA323" s="375"/>
      <c r="AB323" s="375"/>
      <c r="AC323" s="375"/>
      <c r="AD323" s="375"/>
      <c r="AE323" s="375"/>
      <c r="AF323" s="375"/>
    </row>
    <row r="324">
      <c r="A324" s="360"/>
      <c r="B324" s="360"/>
      <c r="C324" s="377"/>
      <c r="D324" s="377"/>
      <c r="E324" s="378"/>
      <c r="F324" s="377"/>
      <c r="G324" s="377"/>
      <c r="H324" s="378"/>
      <c r="I324" s="360"/>
      <c r="J324" s="377"/>
      <c r="K324" s="377"/>
      <c r="L324" s="378"/>
      <c r="M324" s="377"/>
      <c r="N324" s="377"/>
      <c r="O324" s="377"/>
      <c r="P324" s="364"/>
      <c r="Q324" s="360"/>
      <c r="R324" s="377"/>
      <c r="S324" s="377"/>
      <c r="T324" s="375"/>
      <c r="U324" s="375"/>
      <c r="V324" s="375"/>
      <c r="W324" s="375"/>
      <c r="X324" s="375"/>
      <c r="Y324" s="375"/>
      <c r="Z324" s="375"/>
      <c r="AA324" s="375"/>
      <c r="AB324" s="375"/>
      <c r="AC324" s="375"/>
      <c r="AD324" s="375"/>
      <c r="AE324" s="375"/>
      <c r="AF324" s="375"/>
    </row>
    <row r="325">
      <c r="A325" s="360"/>
      <c r="B325" s="360"/>
      <c r="C325" s="377"/>
      <c r="D325" s="377"/>
      <c r="E325" s="378"/>
      <c r="F325" s="377"/>
      <c r="G325" s="377"/>
      <c r="H325" s="378"/>
      <c r="I325" s="360"/>
      <c r="J325" s="377"/>
      <c r="K325" s="377"/>
      <c r="L325" s="378"/>
      <c r="M325" s="377"/>
      <c r="N325" s="377"/>
      <c r="O325" s="377"/>
      <c r="P325" s="364"/>
      <c r="Q325" s="360"/>
      <c r="R325" s="377"/>
      <c r="S325" s="377"/>
      <c r="T325" s="375"/>
      <c r="U325" s="375"/>
      <c r="V325" s="375"/>
      <c r="W325" s="375"/>
      <c r="X325" s="375"/>
      <c r="Y325" s="375"/>
      <c r="Z325" s="375"/>
      <c r="AA325" s="375"/>
      <c r="AB325" s="375"/>
      <c r="AC325" s="375"/>
      <c r="AD325" s="375"/>
      <c r="AE325" s="375"/>
      <c r="AF325" s="375"/>
    </row>
    <row r="326">
      <c r="A326" s="360"/>
      <c r="B326" s="360"/>
      <c r="C326" s="377"/>
      <c r="D326" s="377"/>
      <c r="E326" s="378"/>
      <c r="F326" s="377"/>
      <c r="G326" s="377"/>
      <c r="H326" s="378"/>
      <c r="I326" s="360"/>
      <c r="J326" s="377"/>
      <c r="K326" s="377"/>
      <c r="L326" s="378"/>
      <c r="M326" s="377"/>
      <c r="N326" s="377"/>
      <c r="O326" s="377"/>
      <c r="P326" s="364"/>
      <c r="Q326" s="360"/>
      <c r="R326" s="377"/>
      <c r="S326" s="377"/>
      <c r="T326" s="375"/>
      <c r="U326" s="375"/>
      <c r="V326" s="375"/>
      <c r="W326" s="375"/>
      <c r="X326" s="375"/>
      <c r="Y326" s="375"/>
      <c r="Z326" s="375"/>
      <c r="AA326" s="375"/>
      <c r="AB326" s="375"/>
      <c r="AC326" s="375"/>
      <c r="AD326" s="375"/>
      <c r="AE326" s="375"/>
      <c r="AF326" s="375"/>
    </row>
    <row r="327">
      <c r="A327" s="360"/>
      <c r="B327" s="360"/>
      <c r="C327" s="377"/>
      <c r="D327" s="377"/>
      <c r="E327" s="378"/>
      <c r="F327" s="377"/>
      <c r="G327" s="377"/>
      <c r="H327" s="378"/>
      <c r="I327" s="360"/>
      <c r="J327" s="377"/>
      <c r="K327" s="377"/>
      <c r="L327" s="378"/>
      <c r="M327" s="377"/>
      <c r="N327" s="377"/>
      <c r="O327" s="377"/>
      <c r="P327" s="364"/>
      <c r="Q327" s="360"/>
      <c r="R327" s="377"/>
      <c r="S327" s="377"/>
      <c r="T327" s="375"/>
      <c r="U327" s="375"/>
      <c r="V327" s="375"/>
      <c r="W327" s="375"/>
      <c r="X327" s="375"/>
      <c r="Y327" s="375"/>
      <c r="Z327" s="375"/>
      <c r="AA327" s="375"/>
      <c r="AB327" s="375"/>
      <c r="AC327" s="375"/>
      <c r="AD327" s="375"/>
      <c r="AE327" s="375"/>
      <c r="AF327" s="375"/>
    </row>
    <row r="328">
      <c r="A328" s="360"/>
      <c r="B328" s="360"/>
      <c r="C328" s="377"/>
      <c r="D328" s="377"/>
      <c r="E328" s="378"/>
      <c r="F328" s="377"/>
      <c r="G328" s="377"/>
      <c r="H328" s="378"/>
      <c r="I328" s="360"/>
      <c r="J328" s="377"/>
      <c r="K328" s="377"/>
      <c r="L328" s="378"/>
      <c r="M328" s="377"/>
      <c r="N328" s="377"/>
      <c r="O328" s="377"/>
      <c r="P328" s="364"/>
      <c r="Q328" s="360"/>
      <c r="R328" s="377"/>
      <c r="S328" s="377"/>
      <c r="T328" s="375"/>
      <c r="U328" s="375"/>
      <c r="V328" s="375"/>
      <c r="W328" s="375"/>
      <c r="X328" s="375"/>
      <c r="Y328" s="375"/>
      <c r="Z328" s="375"/>
      <c r="AA328" s="375"/>
      <c r="AB328" s="375"/>
      <c r="AC328" s="375"/>
      <c r="AD328" s="375"/>
      <c r="AE328" s="375"/>
      <c r="AF328" s="375"/>
    </row>
    <row r="329">
      <c r="A329" s="360"/>
      <c r="B329" s="360"/>
      <c r="C329" s="377"/>
      <c r="D329" s="377"/>
      <c r="E329" s="378"/>
      <c r="F329" s="377"/>
      <c r="G329" s="377"/>
      <c r="H329" s="378"/>
      <c r="I329" s="360"/>
      <c r="J329" s="377"/>
      <c r="K329" s="377"/>
      <c r="L329" s="378"/>
      <c r="M329" s="377"/>
      <c r="N329" s="377"/>
      <c r="O329" s="377"/>
      <c r="P329" s="364"/>
      <c r="Q329" s="360"/>
      <c r="R329" s="377"/>
      <c r="S329" s="377"/>
      <c r="T329" s="375"/>
      <c r="U329" s="375"/>
      <c r="V329" s="375"/>
      <c r="W329" s="375"/>
      <c r="X329" s="375"/>
      <c r="Y329" s="375"/>
      <c r="Z329" s="375"/>
      <c r="AA329" s="375"/>
      <c r="AB329" s="375"/>
      <c r="AC329" s="375"/>
      <c r="AD329" s="375"/>
      <c r="AE329" s="375"/>
      <c r="AF329" s="375"/>
    </row>
    <row r="330">
      <c r="A330" s="360"/>
      <c r="B330" s="360"/>
      <c r="C330" s="377"/>
      <c r="D330" s="377"/>
      <c r="E330" s="378"/>
      <c r="F330" s="377"/>
      <c r="G330" s="377"/>
      <c r="H330" s="378"/>
      <c r="I330" s="360"/>
      <c r="J330" s="377"/>
      <c r="K330" s="377"/>
      <c r="L330" s="378"/>
      <c r="M330" s="377"/>
      <c r="N330" s="377"/>
      <c r="O330" s="377"/>
      <c r="P330" s="364"/>
      <c r="Q330" s="360"/>
      <c r="R330" s="377"/>
      <c r="S330" s="377"/>
      <c r="T330" s="375"/>
      <c r="U330" s="375"/>
      <c r="V330" s="375"/>
      <c r="W330" s="375"/>
      <c r="X330" s="375"/>
      <c r="Y330" s="375"/>
      <c r="Z330" s="375"/>
      <c r="AA330" s="375"/>
      <c r="AB330" s="375"/>
      <c r="AC330" s="375"/>
      <c r="AD330" s="375"/>
      <c r="AE330" s="375"/>
      <c r="AF330" s="375"/>
    </row>
    <row r="331">
      <c r="A331" s="360"/>
      <c r="B331" s="360"/>
      <c r="C331" s="377"/>
      <c r="D331" s="377"/>
      <c r="E331" s="378"/>
      <c r="F331" s="377"/>
      <c r="G331" s="377"/>
      <c r="H331" s="378"/>
      <c r="I331" s="360"/>
      <c r="J331" s="377"/>
      <c r="K331" s="377"/>
      <c r="L331" s="378"/>
      <c r="M331" s="377"/>
      <c r="N331" s="377"/>
      <c r="O331" s="377"/>
      <c r="P331" s="364"/>
      <c r="Q331" s="360"/>
      <c r="R331" s="377"/>
      <c r="S331" s="377"/>
      <c r="T331" s="375"/>
      <c r="U331" s="375"/>
      <c r="V331" s="375"/>
      <c r="W331" s="375"/>
      <c r="X331" s="375"/>
      <c r="Y331" s="375"/>
      <c r="Z331" s="375"/>
      <c r="AA331" s="375"/>
      <c r="AB331" s="375"/>
      <c r="AC331" s="375"/>
      <c r="AD331" s="375"/>
      <c r="AE331" s="375"/>
      <c r="AF331" s="375"/>
    </row>
    <row r="332">
      <c r="A332" s="360"/>
      <c r="B332" s="360"/>
      <c r="C332" s="377"/>
      <c r="D332" s="377"/>
      <c r="E332" s="378"/>
      <c r="F332" s="377"/>
      <c r="G332" s="377"/>
      <c r="H332" s="378"/>
      <c r="I332" s="360"/>
      <c r="J332" s="377"/>
      <c r="K332" s="377"/>
      <c r="L332" s="378"/>
      <c r="M332" s="377"/>
      <c r="N332" s="377"/>
      <c r="O332" s="377"/>
      <c r="P332" s="364"/>
      <c r="Q332" s="360"/>
      <c r="R332" s="377"/>
      <c r="S332" s="377"/>
      <c r="T332" s="375"/>
      <c r="U332" s="375"/>
      <c r="V332" s="375"/>
      <c r="W332" s="375"/>
      <c r="X332" s="375"/>
      <c r="Y332" s="375"/>
      <c r="Z332" s="375"/>
      <c r="AA332" s="375"/>
      <c r="AB332" s="375"/>
      <c r="AC332" s="375"/>
      <c r="AD332" s="375"/>
      <c r="AE332" s="375"/>
      <c r="AF332" s="375"/>
    </row>
    <row r="333">
      <c r="A333" s="360"/>
      <c r="B333" s="360"/>
      <c r="C333" s="377"/>
      <c r="D333" s="377"/>
      <c r="E333" s="378"/>
      <c r="F333" s="377"/>
      <c r="G333" s="377"/>
      <c r="H333" s="378"/>
      <c r="I333" s="360"/>
      <c r="J333" s="377"/>
      <c r="K333" s="377"/>
      <c r="L333" s="378"/>
      <c r="M333" s="377"/>
      <c r="N333" s="377"/>
      <c r="O333" s="377"/>
      <c r="P333" s="364"/>
      <c r="Q333" s="360"/>
      <c r="R333" s="377"/>
      <c r="S333" s="377"/>
      <c r="T333" s="375"/>
      <c r="U333" s="375"/>
      <c r="V333" s="375"/>
      <c r="W333" s="375"/>
      <c r="X333" s="375"/>
      <c r="Y333" s="375"/>
      <c r="Z333" s="375"/>
      <c r="AA333" s="375"/>
      <c r="AB333" s="375"/>
      <c r="AC333" s="375"/>
      <c r="AD333" s="375"/>
      <c r="AE333" s="375"/>
      <c r="AF333" s="375"/>
    </row>
    <row r="334">
      <c r="A334" s="360"/>
      <c r="B334" s="360"/>
      <c r="C334" s="377"/>
      <c r="D334" s="377"/>
      <c r="E334" s="378"/>
      <c r="F334" s="377"/>
      <c r="G334" s="377"/>
      <c r="H334" s="378"/>
      <c r="I334" s="360"/>
      <c r="J334" s="377"/>
      <c r="K334" s="377"/>
      <c r="L334" s="378"/>
      <c r="M334" s="377"/>
      <c r="N334" s="377"/>
      <c r="O334" s="377"/>
      <c r="P334" s="364"/>
      <c r="Q334" s="360"/>
      <c r="R334" s="377"/>
      <c r="S334" s="377"/>
      <c r="T334" s="375"/>
      <c r="U334" s="375"/>
      <c r="V334" s="375"/>
      <c r="W334" s="375"/>
      <c r="X334" s="375"/>
      <c r="Y334" s="375"/>
      <c r="Z334" s="375"/>
      <c r="AA334" s="375"/>
      <c r="AB334" s="375"/>
      <c r="AC334" s="375"/>
      <c r="AD334" s="375"/>
      <c r="AE334" s="375"/>
      <c r="AF334" s="375"/>
    </row>
    <row r="335">
      <c r="A335" s="360"/>
      <c r="B335" s="360"/>
      <c r="C335" s="377"/>
      <c r="D335" s="377"/>
      <c r="E335" s="378"/>
      <c r="F335" s="377"/>
      <c r="G335" s="377"/>
      <c r="H335" s="378"/>
      <c r="I335" s="360"/>
      <c r="J335" s="377"/>
      <c r="K335" s="377"/>
      <c r="L335" s="378"/>
      <c r="M335" s="377"/>
      <c r="N335" s="377"/>
      <c r="O335" s="377"/>
      <c r="P335" s="364"/>
      <c r="Q335" s="360"/>
      <c r="R335" s="377"/>
      <c r="S335" s="377"/>
      <c r="T335" s="375"/>
      <c r="U335" s="375"/>
      <c r="V335" s="375"/>
      <c r="W335" s="375"/>
      <c r="X335" s="375"/>
      <c r="Y335" s="375"/>
      <c r="Z335" s="375"/>
      <c r="AA335" s="375"/>
      <c r="AB335" s="375"/>
      <c r="AC335" s="375"/>
      <c r="AD335" s="375"/>
      <c r="AE335" s="375"/>
      <c r="AF335" s="375"/>
    </row>
    <row r="336">
      <c r="A336" s="360"/>
      <c r="B336" s="360"/>
      <c r="C336" s="377"/>
      <c r="D336" s="377"/>
      <c r="E336" s="378"/>
      <c r="F336" s="377"/>
      <c r="G336" s="377"/>
      <c r="H336" s="378"/>
      <c r="I336" s="360"/>
      <c r="J336" s="377"/>
      <c r="K336" s="377"/>
      <c r="L336" s="378"/>
      <c r="M336" s="377"/>
      <c r="N336" s="377"/>
      <c r="O336" s="377"/>
      <c r="P336" s="364"/>
      <c r="Q336" s="360"/>
      <c r="R336" s="377"/>
      <c r="S336" s="377"/>
      <c r="T336" s="375"/>
      <c r="U336" s="375"/>
      <c r="V336" s="375"/>
      <c r="W336" s="375"/>
      <c r="X336" s="375"/>
      <c r="Y336" s="375"/>
      <c r="Z336" s="375"/>
      <c r="AA336" s="375"/>
      <c r="AB336" s="375"/>
      <c r="AC336" s="375"/>
      <c r="AD336" s="375"/>
      <c r="AE336" s="375"/>
      <c r="AF336" s="375"/>
    </row>
    <row r="337">
      <c r="A337" s="360"/>
      <c r="B337" s="360"/>
      <c r="C337" s="377"/>
      <c r="D337" s="377"/>
      <c r="E337" s="378"/>
      <c r="F337" s="377"/>
      <c r="G337" s="377"/>
      <c r="H337" s="378"/>
      <c r="I337" s="360"/>
      <c r="J337" s="377"/>
      <c r="K337" s="377"/>
      <c r="L337" s="378"/>
      <c r="M337" s="377"/>
      <c r="N337" s="377"/>
      <c r="O337" s="377"/>
      <c r="P337" s="364"/>
      <c r="Q337" s="360"/>
      <c r="R337" s="377"/>
      <c r="S337" s="377"/>
      <c r="T337" s="375"/>
      <c r="U337" s="375"/>
      <c r="V337" s="375"/>
      <c r="W337" s="375"/>
      <c r="X337" s="375"/>
      <c r="Y337" s="375"/>
      <c r="Z337" s="375"/>
      <c r="AA337" s="375"/>
      <c r="AB337" s="375"/>
      <c r="AC337" s="375"/>
      <c r="AD337" s="375"/>
      <c r="AE337" s="375"/>
      <c r="AF337" s="375"/>
    </row>
    <row r="338">
      <c r="A338" s="360"/>
      <c r="B338" s="360"/>
      <c r="C338" s="377"/>
      <c r="D338" s="377"/>
      <c r="E338" s="378"/>
      <c r="F338" s="377"/>
      <c r="G338" s="377"/>
      <c r="H338" s="378"/>
      <c r="I338" s="360"/>
      <c r="J338" s="377"/>
      <c r="K338" s="377"/>
      <c r="L338" s="378"/>
      <c r="M338" s="377"/>
      <c r="N338" s="377"/>
      <c r="O338" s="377"/>
      <c r="P338" s="364"/>
      <c r="Q338" s="360"/>
      <c r="R338" s="377"/>
      <c r="S338" s="377"/>
      <c r="T338" s="375"/>
      <c r="U338" s="375"/>
      <c r="V338" s="375"/>
      <c r="W338" s="375"/>
      <c r="X338" s="375"/>
      <c r="Y338" s="375"/>
      <c r="Z338" s="375"/>
      <c r="AA338" s="375"/>
      <c r="AB338" s="375"/>
      <c r="AC338" s="375"/>
      <c r="AD338" s="375"/>
      <c r="AE338" s="375"/>
      <c r="AF338" s="375"/>
    </row>
    <row r="339">
      <c r="A339" s="360"/>
      <c r="B339" s="360"/>
      <c r="C339" s="377"/>
      <c r="D339" s="377"/>
      <c r="E339" s="378"/>
      <c r="F339" s="377"/>
      <c r="G339" s="377"/>
      <c r="H339" s="378"/>
      <c r="I339" s="360"/>
      <c r="J339" s="377"/>
      <c r="K339" s="377"/>
      <c r="L339" s="378"/>
      <c r="M339" s="377"/>
      <c r="N339" s="377"/>
      <c r="O339" s="377"/>
      <c r="P339" s="364"/>
      <c r="Q339" s="360"/>
      <c r="R339" s="377"/>
      <c r="S339" s="377"/>
      <c r="T339" s="375"/>
      <c r="U339" s="375"/>
      <c r="V339" s="375"/>
      <c r="W339" s="375"/>
      <c r="X339" s="375"/>
      <c r="Y339" s="375"/>
      <c r="Z339" s="375"/>
      <c r="AA339" s="375"/>
      <c r="AB339" s="375"/>
      <c r="AC339" s="375"/>
      <c r="AD339" s="375"/>
      <c r="AE339" s="375"/>
      <c r="AF339" s="375"/>
    </row>
    <row r="340">
      <c r="A340" s="360"/>
      <c r="B340" s="360"/>
      <c r="C340" s="377"/>
      <c r="D340" s="377"/>
      <c r="E340" s="378"/>
      <c r="F340" s="377"/>
      <c r="G340" s="377"/>
      <c r="H340" s="378"/>
      <c r="I340" s="360"/>
      <c r="J340" s="377"/>
      <c r="K340" s="377"/>
      <c r="L340" s="378"/>
      <c r="M340" s="377"/>
      <c r="N340" s="377"/>
      <c r="O340" s="377"/>
      <c r="P340" s="364"/>
      <c r="Q340" s="360"/>
      <c r="R340" s="377"/>
      <c r="S340" s="377"/>
      <c r="T340" s="375"/>
      <c r="U340" s="375"/>
      <c r="V340" s="375"/>
      <c r="W340" s="375"/>
      <c r="X340" s="375"/>
      <c r="Y340" s="375"/>
      <c r="Z340" s="375"/>
      <c r="AA340" s="375"/>
      <c r="AB340" s="375"/>
      <c r="AC340" s="375"/>
      <c r="AD340" s="375"/>
      <c r="AE340" s="375"/>
      <c r="AF340" s="375"/>
    </row>
    <row r="341">
      <c r="A341" s="360"/>
      <c r="B341" s="360"/>
      <c r="C341" s="377"/>
      <c r="D341" s="377"/>
      <c r="E341" s="378"/>
      <c r="F341" s="377"/>
      <c r="G341" s="377"/>
      <c r="H341" s="378"/>
      <c r="I341" s="360"/>
      <c r="J341" s="377"/>
      <c r="K341" s="377"/>
      <c r="L341" s="378"/>
      <c r="M341" s="377"/>
      <c r="N341" s="377"/>
      <c r="O341" s="377"/>
      <c r="P341" s="364"/>
      <c r="Q341" s="360"/>
      <c r="R341" s="377"/>
      <c r="S341" s="377"/>
      <c r="T341" s="375"/>
      <c r="U341" s="375"/>
      <c r="V341" s="375"/>
      <c r="W341" s="375"/>
      <c r="X341" s="375"/>
      <c r="Y341" s="375"/>
      <c r="Z341" s="375"/>
      <c r="AA341" s="375"/>
      <c r="AB341" s="375"/>
      <c r="AC341" s="375"/>
      <c r="AD341" s="375"/>
      <c r="AE341" s="375"/>
      <c r="AF341" s="375"/>
    </row>
    <row r="342">
      <c r="A342" s="360"/>
      <c r="B342" s="360"/>
      <c r="C342" s="377"/>
      <c r="D342" s="377"/>
      <c r="E342" s="378"/>
      <c r="F342" s="377"/>
      <c r="G342" s="377"/>
      <c r="H342" s="378"/>
      <c r="I342" s="360"/>
      <c r="J342" s="377"/>
      <c r="K342" s="377"/>
      <c r="L342" s="378"/>
      <c r="M342" s="377"/>
      <c r="N342" s="377"/>
      <c r="O342" s="377"/>
      <c r="P342" s="364"/>
      <c r="Q342" s="360"/>
      <c r="R342" s="377"/>
      <c r="S342" s="377"/>
      <c r="T342" s="375"/>
      <c r="U342" s="375"/>
      <c r="V342" s="375"/>
      <c r="W342" s="375"/>
      <c r="X342" s="375"/>
      <c r="Y342" s="375"/>
      <c r="Z342" s="375"/>
      <c r="AA342" s="375"/>
      <c r="AB342" s="375"/>
      <c r="AC342" s="375"/>
      <c r="AD342" s="375"/>
      <c r="AE342" s="375"/>
      <c r="AF342" s="375"/>
    </row>
    <row r="343">
      <c r="A343" s="360"/>
      <c r="B343" s="360"/>
      <c r="C343" s="377"/>
      <c r="D343" s="377"/>
      <c r="E343" s="378"/>
      <c r="F343" s="377"/>
      <c r="G343" s="377"/>
      <c r="H343" s="378"/>
      <c r="I343" s="360"/>
      <c r="J343" s="377"/>
      <c r="K343" s="377"/>
      <c r="L343" s="378"/>
      <c r="M343" s="377"/>
      <c r="N343" s="377"/>
      <c r="O343" s="377"/>
      <c r="P343" s="364"/>
      <c r="Q343" s="360"/>
      <c r="R343" s="377"/>
      <c r="S343" s="377"/>
      <c r="T343" s="375"/>
      <c r="U343" s="375"/>
      <c r="V343" s="375"/>
      <c r="W343" s="375"/>
      <c r="X343" s="375"/>
      <c r="Y343" s="375"/>
      <c r="Z343" s="375"/>
      <c r="AA343" s="375"/>
      <c r="AB343" s="375"/>
      <c r="AC343" s="375"/>
      <c r="AD343" s="375"/>
      <c r="AE343" s="375"/>
      <c r="AF343" s="375"/>
    </row>
    <row r="344">
      <c r="A344" s="360"/>
      <c r="B344" s="360"/>
      <c r="C344" s="377"/>
      <c r="D344" s="377"/>
      <c r="E344" s="378"/>
      <c r="F344" s="377"/>
      <c r="G344" s="377"/>
      <c r="H344" s="378"/>
      <c r="I344" s="360"/>
      <c r="J344" s="377"/>
      <c r="K344" s="377"/>
      <c r="L344" s="378"/>
      <c r="M344" s="377"/>
      <c r="N344" s="377"/>
      <c r="O344" s="377"/>
      <c r="P344" s="364"/>
      <c r="Q344" s="360"/>
      <c r="R344" s="377"/>
      <c r="S344" s="377"/>
      <c r="T344" s="375"/>
      <c r="U344" s="375"/>
      <c r="V344" s="375"/>
      <c r="W344" s="375"/>
      <c r="X344" s="375"/>
      <c r="Y344" s="375"/>
      <c r="Z344" s="375"/>
      <c r="AA344" s="375"/>
      <c r="AB344" s="375"/>
      <c r="AC344" s="375"/>
      <c r="AD344" s="375"/>
      <c r="AE344" s="375"/>
      <c r="AF344" s="375"/>
    </row>
    <row r="345">
      <c r="A345" s="360"/>
      <c r="B345" s="360"/>
      <c r="C345" s="377"/>
      <c r="D345" s="377"/>
      <c r="E345" s="378"/>
      <c r="F345" s="377"/>
      <c r="G345" s="377"/>
      <c r="H345" s="378"/>
      <c r="I345" s="360"/>
      <c r="J345" s="377"/>
      <c r="K345" s="377"/>
      <c r="L345" s="378"/>
      <c r="M345" s="377"/>
      <c r="N345" s="377"/>
      <c r="O345" s="377"/>
      <c r="P345" s="364"/>
      <c r="Q345" s="360"/>
      <c r="R345" s="377"/>
      <c r="S345" s="377"/>
      <c r="T345" s="375"/>
      <c r="U345" s="375"/>
      <c r="V345" s="375"/>
      <c r="W345" s="375"/>
      <c r="X345" s="375"/>
      <c r="Y345" s="375"/>
      <c r="Z345" s="375"/>
      <c r="AA345" s="375"/>
      <c r="AB345" s="375"/>
      <c r="AC345" s="375"/>
      <c r="AD345" s="375"/>
      <c r="AE345" s="375"/>
      <c r="AF345" s="375"/>
    </row>
    <row r="346">
      <c r="A346" s="360"/>
      <c r="B346" s="360"/>
      <c r="C346" s="377"/>
      <c r="D346" s="377"/>
      <c r="E346" s="378"/>
      <c r="F346" s="377"/>
      <c r="G346" s="377"/>
      <c r="H346" s="378"/>
      <c r="I346" s="360"/>
      <c r="J346" s="377"/>
      <c r="K346" s="377"/>
      <c r="L346" s="378"/>
      <c r="M346" s="377"/>
      <c r="N346" s="377"/>
      <c r="O346" s="377"/>
      <c r="P346" s="364"/>
      <c r="Q346" s="360"/>
      <c r="R346" s="377"/>
      <c r="S346" s="377"/>
      <c r="T346" s="375"/>
      <c r="U346" s="375"/>
      <c r="V346" s="375"/>
      <c r="W346" s="375"/>
      <c r="X346" s="375"/>
      <c r="Y346" s="375"/>
      <c r="Z346" s="375"/>
      <c r="AA346" s="375"/>
      <c r="AB346" s="375"/>
      <c r="AC346" s="375"/>
      <c r="AD346" s="375"/>
      <c r="AE346" s="375"/>
      <c r="AF346" s="375"/>
    </row>
    <row r="347">
      <c r="A347" s="360"/>
      <c r="B347" s="360"/>
      <c r="C347" s="377"/>
      <c r="D347" s="377"/>
      <c r="E347" s="378"/>
      <c r="F347" s="377"/>
      <c r="G347" s="377"/>
      <c r="H347" s="378"/>
      <c r="I347" s="360"/>
      <c r="J347" s="377"/>
      <c r="K347" s="377"/>
      <c r="L347" s="378"/>
      <c r="M347" s="377"/>
      <c r="N347" s="377"/>
      <c r="O347" s="377"/>
      <c r="P347" s="364"/>
      <c r="Q347" s="360"/>
      <c r="R347" s="377"/>
      <c r="S347" s="377"/>
      <c r="T347" s="375"/>
      <c r="U347" s="375"/>
      <c r="V347" s="375"/>
      <c r="W347" s="375"/>
      <c r="X347" s="375"/>
      <c r="Y347" s="375"/>
      <c r="Z347" s="375"/>
      <c r="AA347" s="375"/>
      <c r="AB347" s="375"/>
      <c r="AC347" s="375"/>
      <c r="AD347" s="375"/>
      <c r="AE347" s="375"/>
      <c r="AF347" s="375"/>
    </row>
    <row r="348">
      <c r="A348" s="360"/>
      <c r="B348" s="360"/>
      <c r="C348" s="377"/>
      <c r="D348" s="377"/>
      <c r="E348" s="378"/>
      <c r="F348" s="377"/>
      <c r="G348" s="377"/>
      <c r="H348" s="378"/>
      <c r="I348" s="360"/>
      <c r="J348" s="377"/>
      <c r="K348" s="377"/>
      <c r="L348" s="378"/>
      <c r="M348" s="377"/>
      <c r="N348" s="377"/>
      <c r="O348" s="377"/>
      <c r="P348" s="364"/>
      <c r="Q348" s="360"/>
      <c r="R348" s="377"/>
      <c r="S348" s="377"/>
      <c r="T348" s="375"/>
      <c r="U348" s="375"/>
      <c r="V348" s="375"/>
      <c r="W348" s="375"/>
      <c r="X348" s="375"/>
      <c r="Y348" s="375"/>
      <c r="Z348" s="375"/>
      <c r="AA348" s="375"/>
      <c r="AB348" s="375"/>
      <c r="AC348" s="375"/>
      <c r="AD348" s="375"/>
      <c r="AE348" s="375"/>
      <c r="AF348" s="375"/>
    </row>
    <row r="349">
      <c r="A349" s="360"/>
      <c r="B349" s="360"/>
      <c r="C349" s="377"/>
      <c r="D349" s="377"/>
      <c r="E349" s="378"/>
      <c r="F349" s="377"/>
      <c r="G349" s="377"/>
      <c r="H349" s="378"/>
      <c r="I349" s="360"/>
      <c r="J349" s="377"/>
      <c r="K349" s="377"/>
      <c r="L349" s="378"/>
      <c r="M349" s="377"/>
      <c r="N349" s="377"/>
      <c r="O349" s="377"/>
      <c r="P349" s="364"/>
      <c r="Q349" s="360"/>
      <c r="R349" s="377"/>
      <c r="S349" s="377"/>
      <c r="T349" s="375"/>
      <c r="U349" s="375"/>
      <c r="V349" s="375"/>
      <c r="W349" s="375"/>
      <c r="X349" s="375"/>
      <c r="Y349" s="375"/>
      <c r="Z349" s="375"/>
      <c r="AA349" s="375"/>
      <c r="AB349" s="375"/>
      <c r="AC349" s="375"/>
      <c r="AD349" s="375"/>
      <c r="AE349" s="375"/>
      <c r="AF349" s="375"/>
    </row>
    <row r="350">
      <c r="A350" s="360"/>
      <c r="B350" s="360"/>
      <c r="C350" s="377"/>
      <c r="D350" s="377"/>
      <c r="E350" s="378"/>
      <c r="F350" s="377"/>
      <c r="G350" s="377"/>
      <c r="H350" s="378"/>
      <c r="I350" s="360"/>
      <c r="J350" s="377"/>
      <c r="K350" s="377"/>
      <c r="L350" s="378"/>
      <c r="M350" s="377"/>
      <c r="N350" s="377"/>
      <c r="O350" s="377"/>
      <c r="P350" s="364"/>
      <c r="Q350" s="360"/>
      <c r="R350" s="377"/>
      <c r="S350" s="377"/>
      <c r="T350" s="375"/>
      <c r="U350" s="375"/>
      <c r="V350" s="375"/>
      <c r="W350" s="375"/>
      <c r="X350" s="375"/>
      <c r="Y350" s="375"/>
      <c r="Z350" s="375"/>
      <c r="AA350" s="375"/>
      <c r="AB350" s="375"/>
      <c r="AC350" s="375"/>
      <c r="AD350" s="375"/>
      <c r="AE350" s="375"/>
      <c r="AF350" s="375"/>
    </row>
    <row r="351">
      <c r="A351" s="360"/>
      <c r="B351" s="360"/>
      <c r="C351" s="377"/>
      <c r="D351" s="377"/>
      <c r="E351" s="378"/>
      <c r="F351" s="377"/>
      <c r="G351" s="377"/>
      <c r="H351" s="378"/>
      <c r="I351" s="360"/>
      <c r="J351" s="377"/>
      <c r="K351" s="377"/>
      <c r="L351" s="378"/>
      <c r="M351" s="377"/>
      <c r="N351" s="377"/>
      <c r="O351" s="377"/>
      <c r="P351" s="364"/>
      <c r="Q351" s="360"/>
      <c r="R351" s="377"/>
      <c r="S351" s="377"/>
      <c r="T351" s="375"/>
      <c r="U351" s="375"/>
      <c r="V351" s="375"/>
      <c r="W351" s="375"/>
      <c r="X351" s="375"/>
      <c r="Y351" s="375"/>
      <c r="Z351" s="375"/>
      <c r="AA351" s="375"/>
      <c r="AB351" s="375"/>
      <c r="AC351" s="375"/>
      <c r="AD351" s="375"/>
      <c r="AE351" s="375"/>
      <c r="AF351" s="375"/>
    </row>
    <row r="352">
      <c r="A352" s="360"/>
      <c r="B352" s="360"/>
      <c r="C352" s="377"/>
      <c r="D352" s="377"/>
      <c r="E352" s="378"/>
      <c r="F352" s="377"/>
      <c r="G352" s="377"/>
      <c r="H352" s="378"/>
      <c r="I352" s="360"/>
      <c r="J352" s="377"/>
      <c r="K352" s="377"/>
      <c r="L352" s="378"/>
      <c r="M352" s="377"/>
      <c r="N352" s="377"/>
      <c r="O352" s="377"/>
      <c r="P352" s="364"/>
      <c r="Q352" s="360"/>
      <c r="R352" s="377"/>
      <c r="S352" s="377"/>
      <c r="T352" s="375"/>
      <c r="U352" s="375"/>
      <c r="V352" s="375"/>
      <c r="W352" s="375"/>
      <c r="X352" s="375"/>
      <c r="Y352" s="375"/>
      <c r="Z352" s="375"/>
      <c r="AA352" s="375"/>
      <c r="AB352" s="375"/>
      <c r="AC352" s="375"/>
      <c r="AD352" s="375"/>
      <c r="AE352" s="375"/>
      <c r="AF352" s="375"/>
    </row>
    <row r="353">
      <c r="A353" s="360"/>
      <c r="B353" s="360"/>
      <c r="C353" s="377"/>
      <c r="D353" s="377"/>
      <c r="E353" s="378"/>
      <c r="F353" s="377"/>
      <c r="G353" s="377"/>
      <c r="H353" s="378"/>
      <c r="I353" s="360"/>
      <c r="J353" s="377"/>
      <c r="K353" s="377"/>
      <c r="L353" s="378"/>
      <c r="M353" s="377"/>
      <c r="N353" s="377"/>
      <c r="O353" s="377"/>
      <c r="P353" s="364"/>
      <c r="Q353" s="360"/>
      <c r="R353" s="377"/>
      <c r="S353" s="377"/>
      <c r="T353" s="375"/>
      <c r="U353" s="375"/>
      <c r="V353" s="375"/>
      <c r="W353" s="375"/>
      <c r="X353" s="375"/>
      <c r="Y353" s="375"/>
      <c r="Z353" s="375"/>
      <c r="AA353" s="375"/>
      <c r="AB353" s="375"/>
      <c r="AC353" s="375"/>
      <c r="AD353" s="375"/>
      <c r="AE353" s="375"/>
      <c r="AF353" s="375"/>
    </row>
    <row r="354">
      <c r="A354" s="360"/>
      <c r="B354" s="360"/>
      <c r="C354" s="377"/>
      <c r="D354" s="377"/>
      <c r="E354" s="378"/>
      <c r="F354" s="377"/>
      <c r="G354" s="377"/>
      <c r="H354" s="378"/>
      <c r="I354" s="360"/>
      <c r="J354" s="377"/>
      <c r="K354" s="377"/>
      <c r="L354" s="378"/>
      <c r="M354" s="377"/>
      <c r="N354" s="377"/>
      <c r="O354" s="377"/>
      <c r="P354" s="364"/>
      <c r="Q354" s="360"/>
      <c r="R354" s="377"/>
      <c r="S354" s="377"/>
      <c r="T354" s="375"/>
      <c r="U354" s="375"/>
      <c r="V354" s="375"/>
      <c r="W354" s="375"/>
      <c r="X354" s="375"/>
      <c r="Y354" s="375"/>
      <c r="Z354" s="375"/>
      <c r="AA354" s="375"/>
      <c r="AB354" s="375"/>
      <c r="AC354" s="375"/>
      <c r="AD354" s="375"/>
      <c r="AE354" s="375"/>
      <c r="AF354" s="375"/>
    </row>
    <row r="355">
      <c r="A355" s="360"/>
      <c r="B355" s="360"/>
      <c r="C355" s="377"/>
      <c r="D355" s="377"/>
      <c r="E355" s="378"/>
      <c r="F355" s="377"/>
      <c r="G355" s="377"/>
      <c r="H355" s="378"/>
      <c r="I355" s="360"/>
      <c r="J355" s="377"/>
      <c r="K355" s="377"/>
      <c r="L355" s="378"/>
      <c r="M355" s="377"/>
      <c r="N355" s="377"/>
      <c r="O355" s="377"/>
      <c r="P355" s="364"/>
      <c r="Q355" s="360"/>
      <c r="R355" s="377"/>
      <c r="S355" s="377"/>
      <c r="T355" s="375"/>
      <c r="U355" s="375"/>
      <c r="V355" s="375"/>
      <c r="W355" s="375"/>
      <c r="X355" s="375"/>
      <c r="Y355" s="375"/>
      <c r="Z355" s="375"/>
      <c r="AA355" s="375"/>
      <c r="AB355" s="375"/>
      <c r="AC355" s="375"/>
      <c r="AD355" s="375"/>
      <c r="AE355" s="375"/>
      <c r="AF355" s="375"/>
    </row>
    <row r="356">
      <c r="A356" s="360"/>
      <c r="B356" s="360"/>
      <c r="C356" s="377"/>
      <c r="D356" s="377"/>
      <c r="E356" s="378"/>
      <c r="F356" s="377"/>
      <c r="G356" s="377"/>
      <c r="H356" s="378"/>
      <c r="I356" s="360"/>
      <c r="J356" s="377"/>
      <c r="K356" s="377"/>
      <c r="L356" s="378"/>
      <c r="M356" s="377"/>
      <c r="N356" s="377"/>
      <c r="O356" s="377"/>
      <c r="P356" s="364"/>
      <c r="Q356" s="360"/>
      <c r="R356" s="377"/>
      <c r="S356" s="377"/>
      <c r="T356" s="375"/>
      <c r="U356" s="375"/>
      <c r="V356" s="375"/>
      <c r="W356" s="375"/>
      <c r="X356" s="375"/>
      <c r="Y356" s="375"/>
      <c r="Z356" s="375"/>
      <c r="AA356" s="375"/>
      <c r="AB356" s="375"/>
      <c r="AC356" s="375"/>
      <c r="AD356" s="375"/>
      <c r="AE356" s="375"/>
      <c r="AF356" s="375"/>
    </row>
    <row r="357">
      <c r="A357" s="360"/>
      <c r="B357" s="360"/>
      <c r="C357" s="377"/>
      <c r="D357" s="377"/>
      <c r="E357" s="378"/>
      <c r="F357" s="377"/>
      <c r="G357" s="377"/>
      <c r="H357" s="378"/>
      <c r="I357" s="360"/>
      <c r="J357" s="377"/>
      <c r="K357" s="377"/>
      <c r="L357" s="378"/>
      <c r="M357" s="377"/>
      <c r="N357" s="377"/>
      <c r="O357" s="377"/>
      <c r="P357" s="364"/>
      <c r="Q357" s="360"/>
      <c r="R357" s="377"/>
      <c r="S357" s="377"/>
      <c r="T357" s="375"/>
      <c r="U357" s="375"/>
      <c r="V357" s="375"/>
      <c r="W357" s="375"/>
      <c r="X357" s="375"/>
      <c r="Y357" s="375"/>
      <c r="Z357" s="375"/>
      <c r="AA357" s="375"/>
      <c r="AB357" s="375"/>
      <c r="AC357" s="375"/>
      <c r="AD357" s="375"/>
      <c r="AE357" s="375"/>
      <c r="AF357" s="375"/>
    </row>
    <row r="358">
      <c r="A358" s="360"/>
      <c r="B358" s="360"/>
      <c r="C358" s="377"/>
      <c r="D358" s="377"/>
      <c r="E358" s="378"/>
      <c r="F358" s="377"/>
      <c r="G358" s="377"/>
      <c r="H358" s="378"/>
      <c r="I358" s="360"/>
      <c r="J358" s="377"/>
      <c r="K358" s="377"/>
      <c r="L358" s="378"/>
      <c r="M358" s="377"/>
      <c r="N358" s="377"/>
      <c r="O358" s="377"/>
      <c r="P358" s="364"/>
      <c r="Q358" s="360"/>
      <c r="R358" s="377"/>
      <c r="S358" s="377"/>
      <c r="T358" s="375"/>
      <c r="U358" s="375"/>
      <c r="V358" s="375"/>
      <c r="W358" s="375"/>
      <c r="X358" s="375"/>
      <c r="Y358" s="375"/>
      <c r="Z358" s="375"/>
      <c r="AA358" s="375"/>
      <c r="AB358" s="375"/>
      <c r="AC358" s="375"/>
      <c r="AD358" s="375"/>
      <c r="AE358" s="375"/>
      <c r="AF358" s="375"/>
    </row>
    <row r="359">
      <c r="A359" s="360"/>
      <c r="B359" s="360"/>
      <c r="C359" s="377"/>
      <c r="D359" s="377"/>
      <c r="E359" s="378"/>
      <c r="F359" s="377"/>
      <c r="G359" s="377"/>
      <c r="H359" s="378"/>
      <c r="I359" s="360"/>
      <c r="J359" s="377"/>
      <c r="K359" s="377"/>
      <c r="L359" s="378"/>
      <c r="M359" s="377"/>
      <c r="N359" s="377"/>
      <c r="O359" s="377"/>
      <c r="P359" s="364"/>
      <c r="Q359" s="360"/>
      <c r="R359" s="377"/>
      <c r="S359" s="377"/>
      <c r="T359" s="375"/>
      <c r="U359" s="375"/>
      <c r="V359" s="375"/>
      <c r="W359" s="375"/>
      <c r="X359" s="375"/>
      <c r="Y359" s="375"/>
      <c r="Z359" s="375"/>
      <c r="AA359" s="375"/>
      <c r="AB359" s="375"/>
      <c r="AC359" s="375"/>
      <c r="AD359" s="375"/>
      <c r="AE359" s="375"/>
      <c r="AF359" s="375"/>
    </row>
    <row r="360">
      <c r="A360" s="360"/>
      <c r="B360" s="360"/>
      <c r="C360" s="377"/>
      <c r="D360" s="377"/>
      <c r="E360" s="378"/>
      <c r="F360" s="377"/>
      <c r="G360" s="377"/>
      <c r="H360" s="378"/>
      <c r="I360" s="360"/>
      <c r="J360" s="377"/>
      <c r="K360" s="377"/>
      <c r="L360" s="378"/>
      <c r="M360" s="377"/>
      <c r="N360" s="377"/>
      <c r="O360" s="377"/>
      <c r="P360" s="364"/>
      <c r="Q360" s="360"/>
      <c r="R360" s="377"/>
      <c r="S360" s="377"/>
      <c r="T360" s="375"/>
      <c r="U360" s="375"/>
      <c r="V360" s="375"/>
      <c r="W360" s="375"/>
      <c r="X360" s="375"/>
      <c r="Y360" s="375"/>
      <c r="Z360" s="375"/>
      <c r="AA360" s="375"/>
      <c r="AB360" s="375"/>
      <c r="AC360" s="375"/>
      <c r="AD360" s="375"/>
      <c r="AE360" s="375"/>
      <c r="AF360" s="375"/>
    </row>
    <row r="361">
      <c r="A361" s="360"/>
      <c r="B361" s="360"/>
      <c r="C361" s="377"/>
      <c r="D361" s="377"/>
      <c r="E361" s="378"/>
      <c r="F361" s="377"/>
      <c r="G361" s="377"/>
      <c r="H361" s="378"/>
      <c r="I361" s="360"/>
      <c r="J361" s="377"/>
      <c r="K361" s="377"/>
      <c r="L361" s="378"/>
      <c r="M361" s="377"/>
      <c r="N361" s="377"/>
      <c r="O361" s="377"/>
      <c r="P361" s="364"/>
      <c r="Q361" s="360"/>
      <c r="R361" s="377"/>
      <c r="S361" s="377"/>
      <c r="T361" s="375"/>
      <c r="U361" s="375"/>
      <c r="V361" s="375"/>
      <c r="W361" s="375"/>
      <c r="X361" s="375"/>
      <c r="Y361" s="375"/>
      <c r="Z361" s="375"/>
      <c r="AA361" s="375"/>
      <c r="AB361" s="375"/>
      <c r="AC361" s="375"/>
      <c r="AD361" s="375"/>
      <c r="AE361" s="375"/>
      <c r="AF361" s="375"/>
    </row>
    <row r="362">
      <c r="A362" s="360"/>
      <c r="B362" s="360"/>
      <c r="C362" s="377"/>
      <c r="D362" s="377"/>
      <c r="E362" s="378"/>
      <c r="F362" s="377"/>
      <c r="G362" s="377"/>
      <c r="H362" s="378"/>
      <c r="I362" s="360"/>
      <c r="J362" s="377"/>
      <c r="K362" s="377"/>
      <c r="L362" s="378"/>
      <c r="M362" s="377"/>
      <c r="N362" s="377"/>
      <c r="O362" s="377"/>
      <c r="P362" s="364"/>
      <c r="Q362" s="360"/>
      <c r="R362" s="377"/>
      <c r="S362" s="377"/>
      <c r="T362" s="375"/>
      <c r="U362" s="375"/>
      <c r="V362" s="375"/>
      <c r="W362" s="375"/>
      <c r="X362" s="375"/>
      <c r="Y362" s="375"/>
      <c r="Z362" s="375"/>
      <c r="AA362" s="375"/>
      <c r="AB362" s="375"/>
      <c r="AC362" s="375"/>
      <c r="AD362" s="375"/>
      <c r="AE362" s="375"/>
      <c r="AF362" s="375"/>
    </row>
    <row r="363">
      <c r="A363" s="360"/>
      <c r="B363" s="360"/>
      <c r="C363" s="377"/>
      <c r="D363" s="377"/>
      <c r="E363" s="378"/>
      <c r="F363" s="377"/>
      <c r="G363" s="377"/>
      <c r="H363" s="378"/>
      <c r="I363" s="360"/>
      <c r="J363" s="377"/>
      <c r="K363" s="377"/>
      <c r="L363" s="378"/>
      <c r="M363" s="377"/>
      <c r="N363" s="377"/>
      <c r="O363" s="377"/>
      <c r="P363" s="364"/>
      <c r="Q363" s="360"/>
      <c r="R363" s="377"/>
      <c r="S363" s="377"/>
      <c r="T363" s="375"/>
      <c r="U363" s="375"/>
      <c r="V363" s="375"/>
      <c r="W363" s="375"/>
      <c r="X363" s="375"/>
      <c r="Y363" s="375"/>
      <c r="Z363" s="375"/>
      <c r="AA363" s="375"/>
      <c r="AB363" s="375"/>
      <c r="AC363" s="375"/>
      <c r="AD363" s="375"/>
      <c r="AE363" s="375"/>
      <c r="AF363" s="375"/>
    </row>
    <row r="364">
      <c r="A364" s="360"/>
      <c r="B364" s="360"/>
      <c r="C364" s="377"/>
      <c r="D364" s="377"/>
      <c r="E364" s="378"/>
      <c r="F364" s="377"/>
      <c r="G364" s="377"/>
      <c r="H364" s="378"/>
      <c r="I364" s="360"/>
      <c r="J364" s="377"/>
      <c r="K364" s="377"/>
      <c r="L364" s="378"/>
      <c r="M364" s="377"/>
      <c r="N364" s="377"/>
      <c r="O364" s="377"/>
      <c r="P364" s="364"/>
      <c r="Q364" s="360"/>
      <c r="R364" s="377"/>
      <c r="S364" s="377"/>
      <c r="T364" s="375"/>
      <c r="U364" s="375"/>
      <c r="V364" s="375"/>
      <c r="W364" s="375"/>
      <c r="X364" s="375"/>
      <c r="Y364" s="375"/>
      <c r="Z364" s="375"/>
      <c r="AA364" s="375"/>
      <c r="AB364" s="375"/>
      <c r="AC364" s="375"/>
      <c r="AD364" s="375"/>
      <c r="AE364" s="375"/>
      <c r="AF364" s="375"/>
    </row>
    <row r="365">
      <c r="A365" s="360"/>
      <c r="B365" s="360"/>
      <c r="C365" s="377"/>
      <c r="D365" s="377"/>
      <c r="E365" s="378"/>
      <c r="F365" s="377"/>
      <c r="G365" s="377"/>
      <c r="H365" s="378"/>
      <c r="I365" s="360"/>
      <c r="J365" s="377"/>
      <c r="K365" s="377"/>
      <c r="L365" s="378"/>
      <c r="M365" s="377"/>
      <c r="N365" s="377"/>
      <c r="O365" s="377"/>
      <c r="P365" s="364"/>
      <c r="Q365" s="360"/>
      <c r="R365" s="377"/>
      <c r="S365" s="377"/>
      <c r="T365" s="375"/>
      <c r="U365" s="375"/>
      <c r="V365" s="375"/>
      <c r="W365" s="375"/>
      <c r="X365" s="375"/>
      <c r="Y365" s="375"/>
      <c r="Z365" s="375"/>
      <c r="AA365" s="375"/>
      <c r="AB365" s="375"/>
      <c r="AC365" s="375"/>
      <c r="AD365" s="375"/>
      <c r="AE365" s="375"/>
      <c r="AF365" s="375"/>
    </row>
    <row r="366">
      <c r="A366" s="360"/>
      <c r="B366" s="360"/>
      <c r="C366" s="377"/>
      <c r="D366" s="377"/>
      <c r="E366" s="378"/>
      <c r="F366" s="377"/>
      <c r="G366" s="377"/>
      <c r="H366" s="378"/>
      <c r="I366" s="360"/>
      <c r="J366" s="377"/>
      <c r="K366" s="377"/>
      <c r="L366" s="378"/>
      <c r="M366" s="377"/>
      <c r="N366" s="377"/>
      <c r="O366" s="377"/>
      <c r="P366" s="364"/>
      <c r="Q366" s="360"/>
      <c r="R366" s="377"/>
      <c r="S366" s="377"/>
      <c r="T366" s="375"/>
      <c r="U366" s="375"/>
      <c r="V366" s="375"/>
      <c r="W366" s="375"/>
      <c r="X366" s="375"/>
      <c r="Y366" s="375"/>
      <c r="Z366" s="375"/>
      <c r="AA366" s="375"/>
      <c r="AB366" s="375"/>
      <c r="AC366" s="375"/>
      <c r="AD366" s="375"/>
      <c r="AE366" s="375"/>
      <c r="AF366" s="375"/>
    </row>
    <row r="367">
      <c r="A367" s="360"/>
      <c r="B367" s="360"/>
      <c r="C367" s="377"/>
      <c r="D367" s="377"/>
      <c r="E367" s="378"/>
      <c r="F367" s="377"/>
      <c r="G367" s="377"/>
      <c r="H367" s="378"/>
      <c r="I367" s="360"/>
      <c r="J367" s="377"/>
      <c r="K367" s="377"/>
      <c r="L367" s="378"/>
      <c r="M367" s="377"/>
      <c r="N367" s="377"/>
      <c r="O367" s="377"/>
      <c r="P367" s="364"/>
      <c r="Q367" s="360"/>
      <c r="R367" s="377"/>
      <c r="S367" s="377"/>
      <c r="T367" s="375"/>
      <c r="U367" s="375"/>
      <c r="V367" s="375"/>
      <c r="W367" s="375"/>
      <c r="X367" s="375"/>
      <c r="Y367" s="375"/>
      <c r="Z367" s="375"/>
      <c r="AA367" s="375"/>
      <c r="AB367" s="375"/>
      <c r="AC367" s="375"/>
      <c r="AD367" s="375"/>
      <c r="AE367" s="375"/>
      <c r="AF367" s="375"/>
    </row>
    <row r="368">
      <c r="A368" s="360"/>
      <c r="B368" s="360"/>
      <c r="C368" s="377"/>
      <c r="D368" s="377"/>
      <c r="E368" s="378"/>
      <c r="F368" s="377"/>
      <c r="G368" s="377"/>
      <c r="H368" s="378"/>
      <c r="I368" s="360"/>
      <c r="J368" s="377"/>
      <c r="K368" s="377"/>
      <c r="L368" s="378"/>
      <c r="M368" s="377"/>
      <c r="N368" s="377"/>
      <c r="O368" s="377"/>
      <c r="P368" s="364"/>
      <c r="Q368" s="360"/>
      <c r="R368" s="377"/>
      <c r="S368" s="377"/>
      <c r="T368" s="375"/>
      <c r="U368" s="375"/>
      <c r="V368" s="375"/>
      <c r="W368" s="375"/>
      <c r="X368" s="375"/>
      <c r="Y368" s="375"/>
      <c r="Z368" s="375"/>
      <c r="AA368" s="375"/>
      <c r="AB368" s="375"/>
      <c r="AC368" s="375"/>
      <c r="AD368" s="375"/>
      <c r="AE368" s="375"/>
      <c r="AF368" s="375"/>
    </row>
    <row r="369">
      <c r="A369" s="360"/>
      <c r="B369" s="360"/>
      <c r="C369" s="377"/>
      <c r="D369" s="377"/>
      <c r="E369" s="378"/>
      <c r="F369" s="377"/>
      <c r="G369" s="377"/>
      <c r="H369" s="378"/>
      <c r="I369" s="360"/>
      <c r="J369" s="377"/>
      <c r="K369" s="377"/>
      <c r="L369" s="378"/>
      <c r="M369" s="377"/>
      <c r="N369" s="377"/>
      <c r="O369" s="377"/>
      <c r="P369" s="364"/>
      <c r="Q369" s="360"/>
      <c r="R369" s="377"/>
      <c r="S369" s="377"/>
      <c r="T369" s="375"/>
      <c r="U369" s="375"/>
      <c r="V369" s="375"/>
      <c r="W369" s="375"/>
      <c r="X369" s="375"/>
      <c r="Y369" s="375"/>
      <c r="Z369" s="375"/>
      <c r="AA369" s="375"/>
      <c r="AB369" s="375"/>
      <c r="AC369" s="375"/>
      <c r="AD369" s="375"/>
      <c r="AE369" s="375"/>
      <c r="AF369" s="375"/>
    </row>
    <row r="370">
      <c r="A370" s="360"/>
      <c r="B370" s="360"/>
      <c r="C370" s="377"/>
      <c r="D370" s="377"/>
      <c r="E370" s="378"/>
      <c r="F370" s="377"/>
      <c r="G370" s="377"/>
      <c r="H370" s="378"/>
      <c r="I370" s="360"/>
      <c r="J370" s="377"/>
      <c r="K370" s="377"/>
      <c r="L370" s="378"/>
      <c r="M370" s="377"/>
      <c r="N370" s="377"/>
      <c r="O370" s="377"/>
      <c r="P370" s="364"/>
      <c r="Q370" s="360"/>
      <c r="R370" s="377"/>
      <c r="S370" s="377"/>
      <c r="T370" s="375"/>
      <c r="U370" s="375"/>
      <c r="V370" s="375"/>
      <c r="W370" s="375"/>
      <c r="X370" s="375"/>
      <c r="Y370" s="375"/>
      <c r="Z370" s="375"/>
      <c r="AA370" s="375"/>
      <c r="AB370" s="375"/>
      <c r="AC370" s="375"/>
      <c r="AD370" s="375"/>
      <c r="AE370" s="375"/>
      <c r="AF370" s="375"/>
    </row>
    <row r="371">
      <c r="A371" s="360"/>
      <c r="B371" s="360"/>
      <c r="C371" s="377"/>
      <c r="D371" s="377"/>
      <c r="E371" s="378"/>
      <c r="F371" s="377"/>
      <c r="G371" s="377"/>
      <c r="H371" s="378"/>
      <c r="I371" s="360"/>
      <c r="J371" s="377"/>
      <c r="K371" s="377"/>
      <c r="L371" s="378"/>
      <c r="M371" s="377"/>
      <c r="N371" s="377"/>
      <c r="O371" s="377"/>
      <c r="P371" s="364"/>
      <c r="Q371" s="360"/>
      <c r="R371" s="377"/>
      <c r="S371" s="377"/>
      <c r="T371" s="375"/>
      <c r="U371" s="375"/>
      <c r="V371" s="375"/>
      <c r="W371" s="375"/>
      <c r="X371" s="375"/>
      <c r="Y371" s="375"/>
      <c r="Z371" s="375"/>
      <c r="AA371" s="375"/>
      <c r="AB371" s="375"/>
      <c r="AC371" s="375"/>
      <c r="AD371" s="375"/>
      <c r="AE371" s="375"/>
      <c r="AF371" s="375"/>
    </row>
    <row r="372">
      <c r="A372" s="360"/>
      <c r="B372" s="360"/>
      <c r="C372" s="377"/>
      <c r="D372" s="377"/>
      <c r="E372" s="378"/>
      <c r="F372" s="377"/>
      <c r="G372" s="377"/>
      <c r="H372" s="378"/>
      <c r="I372" s="360"/>
      <c r="J372" s="377"/>
      <c r="K372" s="377"/>
      <c r="L372" s="378"/>
      <c r="M372" s="377"/>
      <c r="N372" s="377"/>
      <c r="O372" s="377"/>
      <c r="P372" s="364"/>
      <c r="Q372" s="360"/>
      <c r="R372" s="377"/>
      <c r="S372" s="377"/>
      <c r="T372" s="375"/>
      <c r="U372" s="375"/>
      <c r="V372" s="375"/>
      <c r="W372" s="375"/>
      <c r="X372" s="375"/>
      <c r="Y372" s="375"/>
      <c r="Z372" s="375"/>
      <c r="AA372" s="375"/>
      <c r="AB372" s="375"/>
      <c r="AC372" s="375"/>
      <c r="AD372" s="375"/>
      <c r="AE372" s="375"/>
      <c r="AF372" s="375"/>
    </row>
    <row r="373">
      <c r="A373" s="360"/>
      <c r="B373" s="360"/>
      <c r="C373" s="377"/>
      <c r="D373" s="377"/>
      <c r="E373" s="378"/>
      <c r="F373" s="377"/>
      <c r="G373" s="377"/>
      <c r="H373" s="378"/>
      <c r="I373" s="360"/>
      <c r="J373" s="377"/>
      <c r="K373" s="377"/>
      <c r="L373" s="378"/>
      <c r="M373" s="377"/>
      <c r="N373" s="377"/>
      <c r="O373" s="377"/>
      <c r="P373" s="364"/>
      <c r="Q373" s="360"/>
      <c r="R373" s="377"/>
      <c r="S373" s="377"/>
      <c r="T373" s="375"/>
      <c r="U373" s="375"/>
      <c r="V373" s="375"/>
      <c r="W373" s="375"/>
      <c r="X373" s="375"/>
      <c r="Y373" s="375"/>
      <c r="Z373" s="375"/>
      <c r="AA373" s="375"/>
      <c r="AB373" s="375"/>
      <c r="AC373" s="375"/>
      <c r="AD373" s="375"/>
      <c r="AE373" s="375"/>
      <c r="AF373" s="375"/>
    </row>
    <row r="374">
      <c r="A374" s="360"/>
      <c r="B374" s="360"/>
      <c r="C374" s="377"/>
      <c r="D374" s="377"/>
      <c r="E374" s="378"/>
      <c r="F374" s="377"/>
      <c r="G374" s="377"/>
      <c r="H374" s="378"/>
      <c r="I374" s="360"/>
      <c r="J374" s="377"/>
      <c r="K374" s="377"/>
      <c r="L374" s="378"/>
      <c r="M374" s="377"/>
      <c r="N374" s="377"/>
      <c r="O374" s="377"/>
      <c r="P374" s="364"/>
      <c r="Q374" s="360"/>
      <c r="R374" s="377"/>
      <c r="S374" s="377"/>
      <c r="T374" s="375"/>
      <c r="U374" s="375"/>
      <c r="V374" s="375"/>
      <c r="W374" s="375"/>
      <c r="X374" s="375"/>
      <c r="Y374" s="375"/>
      <c r="Z374" s="375"/>
      <c r="AA374" s="375"/>
      <c r="AB374" s="375"/>
      <c r="AC374" s="375"/>
      <c r="AD374" s="375"/>
      <c r="AE374" s="375"/>
      <c r="AF374" s="375"/>
    </row>
    <row r="375">
      <c r="A375" s="360"/>
      <c r="B375" s="360"/>
      <c r="C375" s="377"/>
      <c r="D375" s="377"/>
      <c r="E375" s="378"/>
      <c r="F375" s="377"/>
      <c r="G375" s="377"/>
      <c r="H375" s="378"/>
      <c r="I375" s="360"/>
      <c r="J375" s="377"/>
      <c r="K375" s="377"/>
      <c r="L375" s="378"/>
      <c r="M375" s="377"/>
      <c r="N375" s="377"/>
      <c r="O375" s="377"/>
      <c r="P375" s="364"/>
      <c r="Q375" s="360"/>
      <c r="R375" s="377"/>
      <c r="S375" s="377"/>
      <c r="T375" s="375"/>
      <c r="U375" s="375"/>
      <c r="V375" s="375"/>
      <c r="W375" s="375"/>
      <c r="X375" s="375"/>
      <c r="Y375" s="375"/>
      <c r="Z375" s="375"/>
      <c r="AA375" s="375"/>
      <c r="AB375" s="375"/>
      <c r="AC375" s="375"/>
      <c r="AD375" s="375"/>
      <c r="AE375" s="375"/>
      <c r="AF375" s="375"/>
    </row>
    <row r="376">
      <c r="A376" s="360"/>
      <c r="B376" s="360"/>
      <c r="C376" s="377"/>
      <c r="D376" s="377"/>
      <c r="E376" s="378"/>
      <c r="F376" s="377"/>
      <c r="G376" s="377"/>
      <c r="H376" s="378"/>
      <c r="I376" s="360"/>
      <c r="J376" s="377"/>
      <c r="K376" s="377"/>
      <c r="L376" s="378"/>
      <c r="M376" s="377"/>
      <c r="N376" s="377"/>
      <c r="O376" s="377"/>
      <c r="P376" s="364"/>
      <c r="Q376" s="360"/>
      <c r="R376" s="377"/>
      <c r="S376" s="377"/>
      <c r="T376" s="375"/>
      <c r="U376" s="375"/>
      <c r="V376" s="375"/>
      <c r="W376" s="375"/>
      <c r="X376" s="375"/>
      <c r="Y376" s="375"/>
      <c r="Z376" s="375"/>
      <c r="AA376" s="375"/>
      <c r="AB376" s="375"/>
      <c r="AC376" s="375"/>
      <c r="AD376" s="375"/>
      <c r="AE376" s="375"/>
      <c r="AF376" s="375"/>
    </row>
    <row r="377">
      <c r="A377" s="360"/>
      <c r="B377" s="360"/>
      <c r="C377" s="377"/>
      <c r="D377" s="377"/>
      <c r="E377" s="378"/>
      <c r="F377" s="377"/>
      <c r="G377" s="377"/>
      <c r="H377" s="378"/>
      <c r="I377" s="360"/>
      <c r="J377" s="377"/>
      <c r="K377" s="377"/>
      <c r="L377" s="378"/>
      <c r="M377" s="377"/>
      <c r="N377" s="377"/>
      <c r="O377" s="377"/>
      <c r="P377" s="364"/>
      <c r="Q377" s="360"/>
      <c r="R377" s="377"/>
      <c r="S377" s="377"/>
      <c r="T377" s="375"/>
      <c r="U377" s="375"/>
      <c r="V377" s="375"/>
      <c r="W377" s="375"/>
      <c r="X377" s="375"/>
      <c r="Y377" s="375"/>
      <c r="Z377" s="375"/>
      <c r="AA377" s="375"/>
      <c r="AB377" s="375"/>
      <c r="AC377" s="375"/>
      <c r="AD377" s="375"/>
      <c r="AE377" s="375"/>
      <c r="AF377" s="375"/>
    </row>
    <row r="378">
      <c r="A378" s="360"/>
      <c r="B378" s="360"/>
      <c r="C378" s="377"/>
      <c r="D378" s="377"/>
      <c r="E378" s="378"/>
      <c r="F378" s="377"/>
      <c r="G378" s="377"/>
      <c r="H378" s="378"/>
      <c r="I378" s="360"/>
      <c r="J378" s="377"/>
      <c r="K378" s="377"/>
      <c r="L378" s="378"/>
      <c r="M378" s="377"/>
      <c r="N378" s="377"/>
      <c r="O378" s="377"/>
      <c r="P378" s="364"/>
      <c r="Q378" s="360"/>
      <c r="R378" s="377"/>
      <c r="S378" s="377"/>
      <c r="T378" s="375"/>
      <c r="U378" s="375"/>
      <c r="V378" s="375"/>
      <c r="W378" s="375"/>
      <c r="X378" s="375"/>
      <c r="Y378" s="375"/>
      <c r="Z378" s="375"/>
      <c r="AA378" s="375"/>
      <c r="AB378" s="375"/>
      <c r="AC378" s="375"/>
      <c r="AD378" s="375"/>
      <c r="AE378" s="375"/>
      <c r="AF378" s="375"/>
    </row>
    <row r="379">
      <c r="A379" s="360"/>
      <c r="B379" s="360"/>
      <c r="C379" s="377"/>
      <c r="D379" s="377"/>
      <c r="E379" s="378"/>
      <c r="F379" s="377"/>
      <c r="G379" s="377"/>
      <c r="H379" s="378"/>
      <c r="I379" s="360"/>
      <c r="J379" s="377"/>
      <c r="K379" s="377"/>
      <c r="L379" s="378"/>
      <c r="M379" s="377"/>
      <c r="N379" s="377"/>
      <c r="O379" s="377"/>
      <c r="P379" s="364"/>
      <c r="Q379" s="360"/>
      <c r="R379" s="377"/>
      <c r="S379" s="377"/>
      <c r="T379" s="375"/>
      <c r="U379" s="375"/>
      <c r="V379" s="375"/>
      <c r="W379" s="375"/>
      <c r="X379" s="375"/>
      <c r="Y379" s="375"/>
      <c r="Z379" s="375"/>
      <c r="AA379" s="375"/>
      <c r="AB379" s="375"/>
      <c r="AC379" s="375"/>
      <c r="AD379" s="375"/>
      <c r="AE379" s="375"/>
      <c r="AF379" s="375"/>
    </row>
    <row r="380">
      <c r="A380" s="360"/>
      <c r="B380" s="360"/>
      <c r="C380" s="377"/>
      <c r="D380" s="377"/>
      <c r="E380" s="378"/>
      <c r="F380" s="377"/>
      <c r="G380" s="377"/>
      <c r="H380" s="378"/>
      <c r="I380" s="360"/>
      <c r="J380" s="377"/>
      <c r="K380" s="377"/>
      <c r="L380" s="378"/>
      <c r="M380" s="377"/>
      <c r="N380" s="377"/>
      <c r="O380" s="377"/>
      <c r="P380" s="364"/>
      <c r="Q380" s="360"/>
      <c r="R380" s="377"/>
      <c r="S380" s="377"/>
      <c r="T380" s="375"/>
      <c r="U380" s="375"/>
      <c r="V380" s="375"/>
      <c r="W380" s="375"/>
      <c r="X380" s="375"/>
      <c r="Y380" s="375"/>
      <c r="Z380" s="375"/>
      <c r="AA380" s="375"/>
      <c r="AB380" s="375"/>
      <c r="AC380" s="375"/>
      <c r="AD380" s="375"/>
      <c r="AE380" s="375"/>
      <c r="AF380" s="375"/>
    </row>
    <row r="381">
      <c r="A381" s="360"/>
      <c r="B381" s="360"/>
      <c r="C381" s="377"/>
      <c r="D381" s="377"/>
      <c r="E381" s="378"/>
      <c r="F381" s="377"/>
      <c r="G381" s="377"/>
      <c r="H381" s="378"/>
      <c r="I381" s="360"/>
      <c r="J381" s="377"/>
      <c r="K381" s="377"/>
      <c r="L381" s="378"/>
      <c r="M381" s="377"/>
      <c r="N381" s="377"/>
      <c r="O381" s="377"/>
      <c r="P381" s="364"/>
      <c r="Q381" s="360"/>
      <c r="R381" s="377"/>
      <c r="S381" s="377"/>
      <c r="T381" s="375"/>
      <c r="U381" s="375"/>
      <c r="V381" s="375"/>
      <c r="W381" s="375"/>
      <c r="X381" s="375"/>
      <c r="Y381" s="375"/>
      <c r="Z381" s="375"/>
      <c r="AA381" s="375"/>
      <c r="AB381" s="375"/>
      <c r="AC381" s="375"/>
      <c r="AD381" s="375"/>
      <c r="AE381" s="375"/>
      <c r="AF381" s="375"/>
    </row>
    <row r="382">
      <c r="A382" s="360"/>
      <c r="B382" s="360"/>
      <c r="C382" s="377"/>
      <c r="D382" s="377"/>
      <c r="E382" s="378"/>
      <c r="F382" s="377"/>
      <c r="G382" s="377"/>
      <c r="H382" s="378"/>
      <c r="I382" s="360"/>
      <c r="J382" s="377"/>
      <c r="K382" s="377"/>
      <c r="L382" s="378"/>
      <c r="M382" s="377"/>
      <c r="N382" s="377"/>
      <c r="O382" s="377"/>
      <c r="P382" s="364"/>
      <c r="Q382" s="360"/>
      <c r="R382" s="377"/>
      <c r="S382" s="377"/>
      <c r="T382" s="375"/>
      <c r="U382" s="375"/>
      <c r="V382" s="375"/>
      <c r="W382" s="375"/>
      <c r="X382" s="375"/>
      <c r="Y382" s="375"/>
      <c r="Z382" s="375"/>
      <c r="AA382" s="375"/>
      <c r="AB382" s="375"/>
      <c r="AC382" s="375"/>
      <c r="AD382" s="375"/>
      <c r="AE382" s="375"/>
      <c r="AF382" s="375"/>
    </row>
    <row r="383">
      <c r="A383" s="360"/>
      <c r="B383" s="360"/>
      <c r="C383" s="377"/>
      <c r="D383" s="377"/>
      <c r="E383" s="378"/>
      <c r="F383" s="377"/>
      <c r="G383" s="377"/>
      <c r="H383" s="378"/>
      <c r="I383" s="360"/>
      <c r="J383" s="377"/>
      <c r="K383" s="377"/>
      <c r="L383" s="378"/>
      <c r="M383" s="377"/>
      <c r="N383" s="377"/>
      <c r="O383" s="377"/>
      <c r="P383" s="364"/>
      <c r="Q383" s="360"/>
      <c r="R383" s="377"/>
      <c r="S383" s="377"/>
      <c r="T383" s="375"/>
      <c r="U383" s="375"/>
      <c r="V383" s="375"/>
      <c r="W383" s="375"/>
      <c r="X383" s="375"/>
      <c r="Y383" s="375"/>
      <c r="Z383" s="375"/>
      <c r="AA383" s="375"/>
      <c r="AB383" s="375"/>
      <c r="AC383" s="375"/>
      <c r="AD383" s="375"/>
      <c r="AE383" s="375"/>
      <c r="AF383" s="375"/>
    </row>
    <row r="384">
      <c r="A384" s="360"/>
      <c r="B384" s="360"/>
      <c r="C384" s="377"/>
      <c r="D384" s="377"/>
      <c r="E384" s="378"/>
      <c r="F384" s="377"/>
      <c r="G384" s="377"/>
      <c r="H384" s="378"/>
      <c r="I384" s="360"/>
      <c r="J384" s="377"/>
      <c r="K384" s="377"/>
      <c r="L384" s="378"/>
      <c r="M384" s="377"/>
      <c r="N384" s="377"/>
      <c r="O384" s="377"/>
      <c r="P384" s="364"/>
      <c r="Q384" s="360"/>
      <c r="R384" s="377"/>
      <c r="S384" s="377"/>
      <c r="T384" s="375"/>
      <c r="U384" s="375"/>
      <c r="V384" s="375"/>
      <c r="W384" s="375"/>
      <c r="X384" s="375"/>
      <c r="Y384" s="375"/>
      <c r="Z384" s="375"/>
      <c r="AA384" s="375"/>
      <c r="AB384" s="375"/>
      <c r="AC384" s="375"/>
      <c r="AD384" s="375"/>
      <c r="AE384" s="375"/>
      <c r="AF384" s="375"/>
    </row>
    <row r="385">
      <c r="A385" s="360"/>
      <c r="B385" s="360"/>
      <c r="C385" s="377"/>
      <c r="D385" s="377"/>
      <c r="E385" s="378"/>
      <c r="F385" s="377"/>
      <c r="G385" s="377"/>
      <c r="H385" s="378"/>
      <c r="I385" s="360"/>
      <c r="J385" s="377"/>
      <c r="K385" s="377"/>
      <c r="L385" s="378"/>
      <c r="M385" s="377"/>
      <c r="N385" s="377"/>
      <c r="O385" s="377"/>
      <c r="P385" s="364"/>
      <c r="Q385" s="360"/>
      <c r="R385" s="377"/>
      <c r="S385" s="377"/>
      <c r="T385" s="375"/>
      <c r="U385" s="375"/>
      <c r="V385" s="375"/>
      <c r="W385" s="375"/>
      <c r="X385" s="375"/>
      <c r="Y385" s="375"/>
      <c r="Z385" s="375"/>
      <c r="AA385" s="375"/>
      <c r="AB385" s="375"/>
      <c r="AC385" s="375"/>
      <c r="AD385" s="375"/>
      <c r="AE385" s="375"/>
      <c r="AF385" s="375"/>
    </row>
    <row r="386">
      <c r="A386" s="360"/>
      <c r="B386" s="360"/>
      <c r="C386" s="377"/>
      <c r="D386" s="377"/>
      <c r="E386" s="378"/>
      <c r="F386" s="377"/>
      <c r="G386" s="377"/>
      <c r="H386" s="378"/>
      <c r="I386" s="360"/>
      <c r="J386" s="377"/>
      <c r="K386" s="377"/>
      <c r="L386" s="378"/>
      <c r="M386" s="377"/>
      <c r="N386" s="377"/>
      <c r="O386" s="377"/>
      <c r="P386" s="364"/>
      <c r="Q386" s="360"/>
      <c r="R386" s="377"/>
      <c r="S386" s="377"/>
      <c r="T386" s="375"/>
      <c r="U386" s="375"/>
      <c r="V386" s="375"/>
      <c r="W386" s="375"/>
      <c r="X386" s="375"/>
      <c r="Y386" s="375"/>
      <c r="Z386" s="375"/>
      <c r="AA386" s="375"/>
      <c r="AB386" s="375"/>
      <c r="AC386" s="375"/>
      <c r="AD386" s="375"/>
      <c r="AE386" s="375"/>
      <c r="AF386" s="375"/>
    </row>
    <row r="387">
      <c r="A387" s="360"/>
      <c r="B387" s="360"/>
      <c r="C387" s="377"/>
      <c r="D387" s="377"/>
      <c r="E387" s="378"/>
      <c r="F387" s="377"/>
      <c r="G387" s="377"/>
      <c r="H387" s="378"/>
      <c r="I387" s="360"/>
      <c r="J387" s="377"/>
      <c r="K387" s="377"/>
      <c r="L387" s="378"/>
      <c r="M387" s="377"/>
      <c r="N387" s="377"/>
      <c r="O387" s="377"/>
      <c r="P387" s="364"/>
      <c r="Q387" s="360"/>
      <c r="R387" s="377"/>
      <c r="S387" s="377"/>
      <c r="T387" s="375"/>
      <c r="U387" s="375"/>
      <c r="V387" s="375"/>
      <c r="W387" s="375"/>
      <c r="X387" s="375"/>
      <c r="Y387" s="375"/>
      <c r="Z387" s="375"/>
      <c r="AA387" s="375"/>
      <c r="AB387" s="375"/>
      <c r="AC387" s="375"/>
      <c r="AD387" s="375"/>
      <c r="AE387" s="375"/>
      <c r="AF387" s="375"/>
    </row>
    <row r="388">
      <c r="A388" s="360"/>
      <c r="B388" s="360"/>
      <c r="C388" s="377"/>
      <c r="D388" s="377"/>
      <c r="E388" s="378"/>
      <c r="F388" s="377"/>
      <c r="G388" s="377"/>
      <c r="H388" s="378"/>
      <c r="I388" s="360"/>
      <c r="J388" s="377"/>
      <c r="K388" s="377"/>
      <c r="L388" s="378"/>
      <c r="M388" s="377"/>
      <c r="N388" s="377"/>
      <c r="O388" s="377"/>
      <c r="P388" s="364"/>
      <c r="Q388" s="360"/>
      <c r="R388" s="377"/>
      <c r="S388" s="377"/>
      <c r="T388" s="375"/>
      <c r="U388" s="375"/>
      <c r="V388" s="375"/>
      <c r="W388" s="375"/>
      <c r="X388" s="375"/>
      <c r="Y388" s="375"/>
      <c r="Z388" s="375"/>
      <c r="AA388" s="375"/>
      <c r="AB388" s="375"/>
      <c r="AC388" s="375"/>
      <c r="AD388" s="375"/>
      <c r="AE388" s="375"/>
      <c r="AF388" s="375"/>
    </row>
    <row r="389">
      <c r="A389" s="360"/>
      <c r="B389" s="360"/>
      <c r="C389" s="377"/>
      <c r="D389" s="377"/>
      <c r="E389" s="378"/>
      <c r="F389" s="377"/>
      <c r="G389" s="377"/>
      <c r="H389" s="378"/>
      <c r="I389" s="360"/>
      <c r="J389" s="377"/>
      <c r="K389" s="377"/>
      <c r="L389" s="378"/>
      <c r="M389" s="377"/>
      <c r="N389" s="377"/>
      <c r="O389" s="377"/>
      <c r="P389" s="364"/>
      <c r="Q389" s="360"/>
      <c r="R389" s="377"/>
      <c r="S389" s="377"/>
      <c r="T389" s="375"/>
      <c r="U389" s="375"/>
      <c r="V389" s="375"/>
      <c r="W389" s="375"/>
      <c r="X389" s="375"/>
      <c r="Y389" s="375"/>
      <c r="Z389" s="375"/>
      <c r="AA389" s="375"/>
      <c r="AB389" s="375"/>
      <c r="AC389" s="375"/>
      <c r="AD389" s="375"/>
      <c r="AE389" s="375"/>
      <c r="AF389" s="375"/>
    </row>
    <row r="390">
      <c r="A390" s="360"/>
      <c r="B390" s="360"/>
      <c r="C390" s="377"/>
      <c r="D390" s="377"/>
      <c r="E390" s="378"/>
      <c r="F390" s="377"/>
      <c r="G390" s="377"/>
      <c r="H390" s="378"/>
      <c r="I390" s="360"/>
      <c r="J390" s="377"/>
      <c r="K390" s="377"/>
      <c r="L390" s="378"/>
      <c r="M390" s="377"/>
      <c r="N390" s="377"/>
      <c r="O390" s="377"/>
      <c r="P390" s="364"/>
      <c r="Q390" s="360"/>
      <c r="R390" s="377"/>
      <c r="S390" s="377"/>
      <c r="T390" s="375"/>
      <c r="U390" s="375"/>
      <c r="V390" s="375"/>
      <c r="W390" s="375"/>
      <c r="X390" s="375"/>
      <c r="Y390" s="375"/>
      <c r="Z390" s="375"/>
      <c r="AA390" s="375"/>
      <c r="AB390" s="375"/>
      <c r="AC390" s="375"/>
      <c r="AD390" s="375"/>
      <c r="AE390" s="375"/>
      <c r="AF390" s="375"/>
    </row>
    <row r="391">
      <c r="A391" s="360"/>
      <c r="B391" s="360"/>
      <c r="C391" s="377"/>
      <c r="D391" s="377"/>
      <c r="E391" s="378"/>
      <c r="F391" s="377"/>
      <c r="G391" s="377"/>
      <c r="H391" s="378"/>
      <c r="I391" s="360"/>
      <c r="J391" s="377"/>
      <c r="K391" s="377"/>
      <c r="L391" s="378"/>
      <c r="M391" s="377"/>
      <c r="N391" s="377"/>
      <c r="O391" s="377"/>
      <c r="P391" s="364"/>
      <c r="Q391" s="360"/>
      <c r="R391" s="377"/>
      <c r="S391" s="377"/>
      <c r="T391" s="375"/>
      <c r="U391" s="375"/>
      <c r="V391" s="375"/>
      <c r="W391" s="375"/>
      <c r="X391" s="375"/>
      <c r="Y391" s="375"/>
      <c r="Z391" s="375"/>
      <c r="AA391" s="375"/>
      <c r="AB391" s="375"/>
      <c r="AC391" s="375"/>
      <c r="AD391" s="375"/>
      <c r="AE391" s="375"/>
      <c r="AF391" s="375"/>
    </row>
    <row r="392">
      <c r="A392" s="360"/>
      <c r="B392" s="360"/>
      <c r="C392" s="377"/>
      <c r="D392" s="377"/>
      <c r="E392" s="378"/>
      <c r="F392" s="377"/>
      <c r="G392" s="377"/>
      <c r="H392" s="378"/>
      <c r="I392" s="360"/>
      <c r="J392" s="377"/>
      <c r="K392" s="377"/>
      <c r="L392" s="378"/>
      <c r="M392" s="377"/>
      <c r="N392" s="377"/>
      <c r="O392" s="377"/>
      <c r="P392" s="364"/>
      <c r="Q392" s="360"/>
      <c r="R392" s="377"/>
      <c r="S392" s="377"/>
      <c r="T392" s="375"/>
      <c r="U392" s="375"/>
      <c r="V392" s="375"/>
      <c r="W392" s="375"/>
      <c r="X392" s="375"/>
      <c r="Y392" s="375"/>
      <c r="Z392" s="375"/>
      <c r="AA392" s="375"/>
      <c r="AB392" s="375"/>
      <c r="AC392" s="375"/>
      <c r="AD392" s="375"/>
      <c r="AE392" s="375"/>
      <c r="AF392" s="375"/>
    </row>
    <row r="393">
      <c r="A393" s="360"/>
      <c r="B393" s="360"/>
      <c r="C393" s="377"/>
      <c r="D393" s="377"/>
      <c r="E393" s="378"/>
      <c r="F393" s="377"/>
      <c r="G393" s="377"/>
      <c r="H393" s="378"/>
      <c r="I393" s="360"/>
      <c r="J393" s="377"/>
      <c r="K393" s="377"/>
      <c r="L393" s="378"/>
      <c r="M393" s="377"/>
      <c r="N393" s="377"/>
      <c r="O393" s="377"/>
      <c r="P393" s="364"/>
      <c r="Q393" s="360"/>
      <c r="R393" s="377"/>
      <c r="S393" s="377"/>
      <c r="T393" s="375"/>
      <c r="U393" s="375"/>
      <c r="V393" s="375"/>
      <c r="W393" s="375"/>
      <c r="X393" s="375"/>
      <c r="Y393" s="375"/>
      <c r="Z393" s="375"/>
      <c r="AA393" s="375"/>
      <c r="AB393" s="375"/>
      <c r="AC393" s="375"/>
      <c r="AD393" s="375"/>
      <c r="AE393" s="375"/>
      <c r="AF393" s="375"/>
    </row>
    <row r="394">
      <c r="A394" s="360"/>
      <c r="B394" s="360"/>
      <c r="C394" s="377"/>
      <c r="D394" s="377"/>
      <c r="E394" s="378"/>
      <c r="F394" s="377"/>
      <c r="G394" s="377"/>
      <c r="H394" s="378"/>
      <c r="I394" s="360"/>
      <c r="J394" s="377"/>
      <c r="K394" s="377"/>
      <c r="L394" s="378"/>
      <c r="M394" s="377"/>
      <c r="N394" s="377"/>
      <c r="O394" s="377"/>
      <c r="P394" s="364"/>
      <c r="Q394" s="360"/>
      <c r="R394" s="377"/>
      <c r="S394" s="377"/>
      <c r="T394" s="375"/>
      <c r="U394" s="375"/>
      <c r="V394" s="375"/>
      <c r="W394" s="375"/>
      <c r="X394" s="375"/>
      <c r="Y394" s="375"/>
      <c r="Z394" s="375"/>
      <c r="AA394" s="375"/>
      <c r="AB394" s="375"/>
      <c r="AC394" s="375"/>
      <c r="AD394" s="375"/>
      <c r="AE394" s="375"/>
      <c r="AF394" s="375"/>
    </row>
    <row r="395">
      <c r="A395" s="360"/>
      <c r="B395" s="360"/>
      <c r="C395" s="377"/>
      <c r="D395" s="377"/>
      <c r="E395" s="378"/>
      <c r="F395" s="377"/>
      <c r="G395" s="377"/>
      <c r="H395" s="378"/>
      <c r="I395" s="360"/>
      <c r="J395" s="377"/>
      <c r="K395" s="377"/>
      <c r="L395" s="378"/>
      <c r="M395" s="377"/>
      <c r="N395" s="377"/>
      <c r="O395" s="377"/>
      <c r="P395" s="364"/>
      <c r="Q395" s="360"/>
      <c r="R395" s="377"/>
      <c r="S395" s="377"/>
      <c r="T395" s="375"/>
      <c r="U395" s="375"/>
      <c r="V395" s="375"/>
      <c r="W395" s="375"/>
      <c r="X395" s="375"/>
      <c r="Y395" s="375"/>
      <c r="Z395" s="375"/>
      <c r="AA395" s="375"/>
      <c r="AB395" s="375"/>
      <c r="AC395" s="375"/>
      <c r="AD395" s="375"/>
      <c r="AE395" s="375"/>
      <c r="AF395" s="375"/>
    </row>
    <row r="396">
      <c r="A396" s="360"/>
      <c r="B396" s="360"/>
      <c r="C396" s="377"/>
      <c r="D396" s="377"/>
      <c r="E396" s="378"/>
      <c r="F396" s="377"/>
      <c r="G396" s="377"/>
      <c r="H396" s="378"/>
      <c r="I396" s="360"/>
      <c r="J396" s="377"/>
      <c r="K396" s="377"/>
      <c r="L396" s="378"/>
      <c r="M396" s="377"/>
      <c r="N396" s="377"/>
      <c r="O396" s="377"/>
      <c r="P396" s="364"/>
      <c r="Q396" s="360"/>
      <c r="R396" s="377"/>
      <c r="S396" s="377"/>
      <c r="T396" s="375"/>
      <c r="U396" s="375"/>
      <c r="V396" s="375"/>
      <c r="W396" s="375"/>
      <c r="X396" s="375"/>
      <c r="Y396" s="375"/>
      <c r="Z396" s="375"/>
      <c r="AA396" s="375"/>
      <c r="AB396" s="375"/>
      <c r="AC396" s="375"/>
      <c r="AD396" s="375"/>
      <c r="AE396" s="375"/>
      <c r="AF396" s="375"/>
    </row>
    <row r="397">
      <c r="A397" s="360"/>
      <c r="B397" s="360"/>
      <c r="C397" s="377"/>
      <c r="D397" s="377"/>
      <c r="E397" s="378"/>
      <c r="F397" s="377"/>
      <c r="G397" s="377"/>
      <c r="H397" s="378"/>
      <c r="I397" s="360"/>
      <c r="J397" s="377"/>
      <c r="K397" s="377"/>
      <c r="L397" s="378"/>
      <c r="M397" s="377"/>
      <c r="N397" s="377"/>
      <c r="O397" s="377"/>
      <c r="P397" s="364"/>
      <c r="Q397" s="360"/>
      <c r="R397" s="377"/>
      <c r="S397" s="377"/>
      <c r="T397" s="375"/>
      <c r="U397" s="375"/>
      <c r="V397" s="375"/>
      <c r="W397" s="375"/>
      <c r="X397" s="375"/>
      <c r="Y397" s="375"/>
      <c r="Z397" s="375"/>
      <c r="AA397" s="375"/>
      <c r="AB397" s="375"/>
      <c r="AC397" s="375"/>
      <c r="AD397" s="375"/>
      <c r="AE397" s="375"/>
      <c r="AF397" s="375"/>
    </row>
    <row r="398">
      <c r="A398" s="360"/>
      <c r="B398" s="360"/>
      <c r="C398" s="377"/>
      <c r="D398" s="377"/>
      <c r="E398" s="378"/>
      <c r="F398" s="377"/>
      <c r="G398" s="377"/>
      <c r="H398" s="378"/>
      <c r="I398" s="360"/>
      <c r="J398" s="377"/>
      <c r="K398" s="377"/>
      <c r="L398" s="378"/>
      <c r="M398" s="377"/>
      <c r="N398" s="377"/>
      <c r="O398" s="377"/>
      <c r="P398" s="364"/>
      <c r="Q398" s="360"/>
      <c r="R398" s="377"/>
      <c r="S398" s="377"/>
      <c r="T398" s="375"/>
      <c r="U398" s="375"/>
      <c r="V398" s="375"/>
      <c r="W398" s="375"/>
      <c r="X398" s="375"/>
      <c r="Y398" s="375"/>
      <c r="Z398" s="375"/>
      <c r="AA398" s="375"/>
      <c r="AB398" s="375"/>
      <c r="AC398" s="375"/>
      <c r="AD398" s="375"/>
      <c r="AE398" s="375"/>
      <c r="AF398" s="375"/>
    </row>
    <row r="399">
      <c r="A399" s="360"/>
      <c r="B399" s="360"/>
      <c r="C399" s="377"/>
      <c r="D399" s="377"/>
      <c r="E399" s="378"/>
      <c r="F399" s="377"/>
      <c r="G399" s="377"/>
      <c r="H399" s="378"/>
      <c r="I399" s="360"/>
      <c r="J399" s="377"/>
      <c r="K399" s="377"/>
      <c r="L399" s="378"/>
      <c r="M399" s="377"/>
      <c r="N399" s="377"/>
      <c r="O399" s="377"/>
      <c r="P399" s="364"/>
      <c r="Q399" s="360"/>
      <c r="R399" s="377"/>
      <c r="S399" s="377"/>
      <c r="T399" s="375"/>
      <c r="U399" s="375"/>
      <c r="V399" s="375"/>
      <c r="W399" s="375"/>
      <c r="X399" s="375"/>
      <c r="Y399" s="375"/>
      <c r="Z399" s="375"/>
      <c r="AA399" s="375"/>
      <c r="AB399" s="375"/>
      <c r="AC399" s="375"/>
      <c r="AD399" s="375"/>
      <c r="AE399" s="375"/>
      <c r="AF399" s="375"/>
    </row>
    <row r="400">
      <c r="A400" s="360"/>
      <c r="B400" s="360"/>
      <c r="C400" s="377"/>
      <c r="D400" s="377"/>
      <c r="E400" s="378"/>
      <c r="F400" s="377"/>
      <c r="G400" s="377"/>
      <c r="H400" s="378"/>
      <c r="I400" s="360"/>
      <c r="J400" s="377"/>
      <c r="K400" s="377"/>
      <c r="L400" s="378"/>
      <c r="M400" s="377"/>
      <c r="N400" s="377"/>
      <c r="O400" s="377"/>
      <c r="P400" s="364"/>
      <c r="Q400" s="360"/>
      <c r="R400" s="377"/>
      <c r="S400" s="377"/>
      <c r="T400" s="375"/>
      <c r="U400" s="375"/>
      <c r="V400" s="375"/>
      <c r="W400" s="375"/>
      <c r="X400" s="375"/>
      <c r="Y400" s="375"/>
      <c r="Z400" s="375"/>
      <c r="AA400" s="375"/>
      <c r="AB400" s="375"/>
      <c r="AC400" s="375"/>
      <c r="AD400" s="375"/>
      <c r="AE400" s="375"/>
      <c r="AF400" s="375"/>
    </row>
    <row r="401">
      <c r="A401" s="360"/>
      <c r="B401" s="360"/>
      <c r="C401" s="377"/>
      <c r="D401" s="377"/>
      <c r="E401" s="378"/>
      <c r="F401" s="377"/>
      <c r="G401" s="377"/>
      <c r="H401" s="378"/>
      <c r="I401" s="360"/>
      <c r="J401" s="377"/>
      <c r="K401" s="377"/>
      <c r="L401" s="378"/>
      <c r="M401" s="377"/>
      <c r="N401" s="377"/>
      <c r="O401" s="377"/>
      <c r="P401" s="364"/>
      <c r="Q401" s="360"/>
      <c r="R401" s="377"/>
      <c r="S401" s="377"/>
      <c r="T401" s="375"/>
      <c r="U401" s="375"/>
      <c r="V401" s="375"/>
      <c r="W401" s="375"/>
      <c r="X401" s="375"/>
      <c r="Y401" s="375"/>
      <c r="Z401" s="375"/>
      <c r="AA401" s="375"/>
      <c r="AB401" s="375"/>
      <c r="AC401" s="375"/>
      <c r="AD401" s="375"/>
      <c r="AE401" s="375"/>
      <c r="AF401" s="375"/>
    </row>
    <row r="402">
      <c r="A402" s="360"/>
      <c r="B402" s="360"/>
      <c r="C402" s="377"/>
      <c r="D402" s="377"/>
      <c r="E402" s="378"/>
      <c r="F402" s="377"/>
      <c r="G402" s="377"/>
      <c r="H402" s="378"/>
      <c r="I402" s="360"/>
      <c r="J402" s="377"/>
      <c r="K402" s="377"/>
      <c r="L402" s="378"/>
      <c r="M402" s="377"/>
      <c r="N402" s="377"/>
      <c r="O402" s="377"/>
      <c r="P402" s="364"/>
      <c r="Q402" s="360"/>
      <c r="R402" s="377"/>
      <c r="S402" s="377"/>
      <c r="T402" s="375"/>
      <c r="U402" s="375"/>
      <c r="V402" s="375"/>
      <c r="W402" s="375"/>
      <c r="X402" s="375"/>
      <c r="Y402" s="375"/>
      <c r="Z402" s="375"/>
      <c r="AA402" s="375"/>
      <c r="AB402" s="375"/>
      <c r="AC402" s="375"/>
      <c r="AD402" s="375"/>
      <c r="AE402" s="375"/>
      <c r="AF402" s="375"/>
    </row>
    <row r="403">
      <c r="A403" s="360"/>
      <c r="B403" s="360"/>
      <c r="C403" s="377"/>
      <c r="D403" s="377"/>
      <c r="E403" s="378"/>
      <c r="F403" s="377"/>
      <c r="G403" s="377"/>
      <c r="H403" s="378"/>
      <c r="I403" s="360"/>
      <c r="J403" s="377"/>
      <c r="K403" s="377"/>
      <c r="L403" s="378"/>
      <c r="M403" s="377"/>
      <c r="N403" s="377"/>
      <c r="O403" s="377"/>
      <c r="P403" s="364"/>
      <c r="Q403" s="360"/>
      <c r="R403" s="377"/>
      <c r="S403" s="377"/>
      <c r="T403" s="375"/>
      <c r="U403" s="375"/>
      <c r="V403" s="375"/>
      <c r="W403" s="375"/>
      <c r="X403" s="375"/>
      <c r="Y403" s="375"/>
      <c r="Z403" s="375"/>
      <c r="AA403" s="375"/>
      <c r="AB403" s="375"/>
      <c r="AC403" s="375"/>
      <c r="AD403" s="375"/>
      <c r="AE403" s="375"/>
      <c r="AF403" s="375"/>
    </row>
    <row r="404">
      <c r="A404" s="360"/>
      <c r="B404" s="360"/>
      <c r="C404" s="377"/>
      <c r="D404" s="377"/>
      <c r="E404" s="378"/>
      <c r="F404" s="377"/>
      <c r="G404" s="377"/>
      <c r="H404" s="378"/>
      <c r="I404" s="360"/>
      <c r="J404" s="377"/>
      <c r="K404" s="377"/>
      <c r="L404" s="378"/>
      <c r="M404" s="377"/>
      <c r="N404" s="377"/>
      <c r="O404" s="377"/>
      <c r="P404" s="364"/>
      <c r="Q404" s="360"/>
      <c r="R404" s="377"/>
      <c r="S404" s="377"/>
      <c r="T404" s="375"/>
      <c r="U404" s="375"/>
      <c r="V404" s="375"/>
      <c r="W404" s="375"/>
      <c r="X404" s="375"/>
      <c r="Y404" s="375"/>
      <c r="Z404" s="375"/>
      <c r="AA404" s="375"/>
      <c r="AB404" s="375"/>
      <c r="AC404" s="375"/>
      <c r="AD404" s="375"/>
      <c r="AE404" s="375"/>
      <c r="AF404" s="375"/>
    </row>
    <row r="405">
      <c r="A405" s="360"/>
      <c r="B405" s="360"/>
      <c r="C405" s="377"/>
      <c r="D405" s="377"/>
      <c r="E405" s="378"/>
      <c r="F405" s="377"/>
      <c r="G405" s="377"/>
      <c r="H405" s="378"/>
      <c r="I405" s="360"/>
      <c r="J405" s="377"/>
      <c r="K405" s="377"/>
      <c r="L405" s="378"/>
      <c r="M405" s="377"/>
      <c r="N405" s="377"/>
      <c r="O405" s="377"/>
      <c r="P405" s="364"/>
      <c r="Q405" s="360"/>
      <c r="R405" s="377"/>
      <c r="S405" s="377"/>
      <c r="T405" s="375"/>
      <c r="U405" s="375"/>
      <c r="V405" s="375"/>
      <c r="W405" s="375"/>
      <c r="X405" s="375"/>
      <c r="Y405" s="375"/>
      <c r="Z405" s="375"/>
      <c r="AA405" s="375"/>
      <c r="AB405" s="375"/>
      <c r="AC405" s="375"/>
      <c r="AD405" s="375"/>
      <c r="AE405" s="375"/>
      <c r="AF405" s="375"/>
    </row>
    <row r="406">
      <c r="A406" s="360"/>
      <c r="B406" s="360"/>
      <c r="C406" s="377"/>
      <c r="D406" s="377"/>
      <c r="E406" s="378"/>
      <c r="F406" s="377"/>
      <c r="G406" s="377"/>
      <c r="H406" s="378"/>
      <c r="I406" s="360"/>
      <c r="J406" s="377"/>
      <c r="K406" s="377"/>
      <c r="L406" s="378"/>
      <c r="M406" s="377"/>
      <c r="N406" s="377"/>
      <c r="O406" s="377"/>
      <c r="P406" s="364"/>
      <c r="Q406" s="360"/>
      <c r="R406" s="377"/>
      <c r="S406" s="377"/>
      <c r="T406" s="375"/>
      <c r="U406" s="375"/>
      <c r="V406" s="375"/>
      <c r="W406" s="375"/>
      <c r="X406" s="375"/>
      <c r="Y406" s="375"/>
      <c r="Z406" s="375"/>
      <c r="AA406" s="375"/>
      <c r="AB406" s="375"/>
      <c r="AC406" s="375"/>
      <c r="AD406" s="375"/>
      <c r="AE406" s="375"/>
      <c r="AF406" s="375"/>
    </row>
    <row r="407">
      <c r="A407" s="360"/>
      <c r="B407" s="360"/>
      <c r="C407" s="377"/>
      <c r="D407" s="377"/>
      <c r="E407" s="378"/>
      <c r="F407" s="377"/>
      <c r="G407" s="377"/>
      <c r="H407" s="378"/>
      <c r="I407" s="360"/>
      <c r="J407" s="377"/>
      <c r="K407" s="377"/>
      <c r="L407" s="378"/>
      <c r="M407" s="377"/>
      <c r="N407" s="377"/>
      <c r="O407" s="377"/>
      <c r="P407" s="364"/>
      <c r="Q407" s="360"/>
      <c r="R407" s="377"/>
      <c r="S407" s="377"/>
      <c r="T407" s="375"/>
      <c r="U407" s="375"/>
      <c r="V407" s="375"/>
      <c r="W407" s="375"/>
      <c r="X407" s="375"/>
      <c r="Y407" s="375"/>
      <c r="Z407" s="375"/>
      <c r="AA407" s="375"/>
      <c r="AB407" s="375"/>
      <c r="AC407" s="375"/>
      <c r="AD407" s="375"/>
      <c r="AE407" s="375"/>
      <c r="AF407" s="375"/>
    </row>
    <row r="408">
      <c r="A408" s="360"/>
      <c r="B408" s="360"/>
      <c r="C408" s="377"/>
      <c r="D408" s="377"/>
      <c r="E408" s="378"/>
      <c r="F408" s="377"/>
      <c r="G408" s="377"/>
      <c r="H408" s="378"/>
      <c r="I408" s="360"/>
      <c r="J408" s="377"/>
      <c r="K408" s="377"/>
      <c r="L408" s="378"/>
      <c r="M408" s="377"/>
      <c r="N408" s="377"/>
      <c r="O408" s="377"/>
      <c r="P408" s="364"/>
      <c r="Q408" s="360"/>
      <c r="R408" s="377"/>
      <c r="S408" s="377"/>
      <c r="T408" s="375"/>
      <c r="U408" s="375"/>
      <c r="V408" s="375"/>
      <c r="W408" s="375"/>
      <c r="X408" s="375"/>
      <c r="Y408" s="375"/>
      <c r="Z408" s="375"/>
      <c r="AA408" s="375"/>
      <c r="AB408" s="375"/>
      <c r="AC408" s="375"/>
      <c r="AD408" s="375"/>
      <c r="AE408" s="375"/>
      <c r="AF408" s="375"/>
    </row>
    <row r="409">
      <c r="A409" s="360"/>
      <c r="B409" s="360"/>
      <c r="C409" s="377"/>
      <c r="D409" s="377"/>
      <c r="E409" s="378"/>
      <c r="F409" s="377"/>
      <c r="G409" s="377"/>
      <c r="H409" s="378"/>
      <c r="I409" s="360"/>
      <c r="J409" s="377"/>
      <c r="K409" s="377"/>
      <c r="L409" s="378"/>
      <c r="M409" s="377"/>
      <c r="N409" s="377"/>
      <c r="O409" s="377"/>
      <c r="P409" s="364"/>
      <c r="Q409" s="360"/>
      <c r="R409" s="377"/>
      <c r="S409" s="377"/>
      <c r="T409" s="375"/>
      <c r="U409" s="375"/>
      <c r="V409" s="375"/>
      <c r="W409" s="375"/>
      <c r="X409" s="375"/>
      <c r="Y409" s="375"/>
      <c r="Z409" s="375"/>
      <c r="AA409" s="375"/>
      <c r="AB409" s="375"/>
      <c r="AC409" s="375"/>
      <c r="AD409" s="375"/>
      <c r="AE409" s="375"/>
      <c r="AF409" s="375"/>
    </row>
    <row r="410">
      <c r="A410" s="360"/>
      <c r="B410" s="360"/>
      <c r="C410" s="377"/>
      <c r="D410" s="377"/>
      <c r="E410" s="378"/>
      <c r="F410" s="377"/>
      <c r="G410" s="377"/>
      <c r="H410" s="378"/>
      <c r="I410" s="360"/>
      <c r="J410" s="377"/>
      <c r="K410" s="377"/>
      <c r="L410" s="378"/>
      <c r="M410" s="377"/>
      <c r="N410" s="377"/>
      <c r="O410" s="377"/>
      <c r="P410" s="364"/>
      <c r="Q410" s="360"/>
      <c r="R410" s="377"/>
      <c r="S410" s="377"/>
      <c r="T410" s="375"/>
      <c r="U410" s="375"/>
      <c r="V410" s="375"/>
      <c r="W410" s="375"/>
      <c r="X410" s="375"/>
      <c r="Y410" s="375"/>
      <c r="Z410" s="375"/>
      <c r="AA410" s="375"/>
      <c r="AB410" s="375"/>
      <c r="AC410" s="375"/>
      <c r="AD410" s="375"/>
      <c r="AE410" s="375"/>
      <c r="AF410" s="375"/>
    </row>
    <row r="411">
      <c r="A411" s="360"/>
      <c r="B411" s="360"/>
      <c r="C411" s="377"/>
      <c r="D411" s="377"/>
      <c r="E411" s="378"/>
      <c r="F411" s="377"/>
      <c r="G411" s="377"/>
      <c r="H411" s="378"/>
      <c r="I411" s="360"/>
      <c r="J411" s="377"/>
      <c r="K411" s="377"/>
      <c r="L411" s="378"/>
      <c r="M411" s="377"/>
      <c r="N411" s="377"/>
      <c r="O411" s="377"/>
      <c r="P411" s="364"/>
      <c r="Q411" s="360"/>
      <c r="R411" s="377"/>
      <c r="S411" s="377"/>
      <c r="T411" s="375"/>
      <c r="U411" s="375"/>
      <c r="V411" s="375"/>
      <c r="W411" s="375"/>
      <c r="X411" s="375"/>
      <c r="Y411" s="375"/>
      <c r="Z411" s="375"/>
      <c r="AA411" s="375"/>
      <c r="AB411" s="375"/>
      <c r="AC411" s="375"/>
      <c r="AD411" s="375"/>
      <c r="AE411" s="375"/>
      <c r="AF411" s="375"/>
    </row>
    <row r="412">
      <c r="A412" s="360"/>
      <c r="B412" s="360"/>
      <c r="C412" s="377"/>
      <c r="D412" s="377"/>
      <c r="E412" s="378"/>
      <c r="F412" s="377"/>
      <c r="G412" s="377"/>
      <c r="H412" s="378"/>
      <c r="I412" s="360"/>
      <c r="J412" s="377"/>
      <c r="K412" s="377"/>
      <c r="L412" s="378"/>
      <c r="M412" s="377"/>
      <c r="N412" s="377"/>
      <c r="O412" s="377"/>
      <c r="P412" s="364"/>
      <c r="Q412" s="360"/>
      <c r="R412" s="377"/>
      <c r="S412" s="377"/>
      <c r="T412" s="375"/>
      <c r="U412" s="375"/>
      <c r="V412" s="375"/>
      <c r="W412" s="375"/>
      <c r="X412" s="375"/>
      <c r="Y412" s="375"/>
      <c r="Z412" s="375"/>
      <c r="AA412" s="375"/>
      <c r="AB412" s="375"/>
      <c r="AC412" s="375"/>
      <c r="AD412" s="375"/>
      <c r="AE412" s="375"/>
      <c r="AF412" s="375"/>
    </row>
    <row r="413">
      <c r="A413" s="360"/>
      <c r="B413" s="360"/>
      <c r="C413" s="377"/>
      <c r="D413" s="377"/>
      <c r="E413" s="378"/>
      <c r="F413" s="377"/>
      <c r="G413" s="377"/>
      <c r="H413" s="378"/>
      <c r="I413" s="360"/>
      <c r="J413" s="377"/>
      <c r="K413" s="377"/>
      <c r="L413" s="378"/>
      <c r="M413" s="377"/>
      <c r="N413" s="377"/>
      <c r="O413" s="377"/>
      <c r="P413" s="364"/>
      <c r="Q413" s="360"/>
      <c r="R413" s="377"/>
      <c r="S413" s="377"/>
      <c r="T413" s="375"/>
      <c r="U413" s="375"/>
      <c r="V413" s="375"/>
      <c r="W413" s="375"/>
      <c r="X413" s="375"/>
      <c r="Y413" s="375"/>
      <c r="Z413" s="375"/>
      <c r="AA413" s="375"/>
      <c r="AB413" s="375"/>
      <c r="AC413" s="375"/>
      <c r="AD413" s="375"/>
      <c r="AE413" s="375"/>
      <c r="AF413" s="375"/>
    </row>
    <row r="414">
      <c r="A414" s="360"/>
      <c r="B414" s="360"/>
      <c r="C414" s="377"/>
      <c r="D414" s="377"/>
      <c r="E414" s="378"/>
      <c r="F414" s="377"/>
      <c r="G414" s="377"/>
      <c r="H414" s="378"/>
      <c r="I414" s="360"/>
      <c r="J414" s="377"/>
      <c r="K414" s="377"/>
      <c r="L414" s="378"/>
      <c r="M414" s="377"/>
      <c r="N414" s="377"/>
      <c r="O414" s="377"/>
      <c r="P414" s="364"/>
      <c r="Q414" s="360"/>
      <c r="R414" s="377"/>
      <c r="S414" s="377"/>
      <c r="T414" s="375"/>
      <c r="U414" s="375"/>
      <c r="V414" s="375"/>
      <c r="W414" s="375"/>
      <c r="X414" s="375"/>
      <c r="Y414" s="375"/>
      <c r="Z414" s="375"/>
      <c r="AA414" s="375"/>
      <c r="AB414" s="375"/>
      <c r="AC414" s="375"/>
      <c r="AD414" s="375"/>
      <c r="AE414" s="375"/>
      <c r="AF414" s="375"/>
    </row>
    <row r="415">
      <c r="A415" s="360"/>
      <c r="B415" s="360"/>
      <c r="C415" s="377"/>
      <c r="D415" s="377"/>
      <c r="E415" s="378"/>
      <c r="F415" s="377"/>
      <c r="G415" s="377"/>
      <c r="H415" s="378"/>
      <c r="I415" s="360"/>
      <c r="J415" s="377"/>
      <c r="K415" s="377"/>
      <c r="L415" s="378"/>
      <c r="M415" s="377"/>
      <c r="N415" s="377"/>
      <c r="O415" s="377"/>
      <c r="P415" s="364"/>
      <c r="Q415" s="360"/>
      <c r="R415" s="377"/>
      <c r="S415" s="377"/>
      <c r="T415" s="375"/>
      <c r="U415" s="375"/>
      <c r="V415" s="375"/>
      <c r="W415" s="375"/>
      <c r="X415" s="375"/>
      <c r="Y415" s="375"/>
      <c r="Z415" s="375"/>
      <c r="AA415" s="375"/>
      <c r="AB415" s="375"/>
      <c r="AC415" s="375"/>
      <c r="AD415" s="375"/>
      <c r="AE415" s="375"/>
      <c r="AF415" s="375"/>
    </row>
    <row r="416">
      <c r="A416" s="360"/>
      <c r="B416" s="360"/>
      <c r="C416" s="377"/>
      <c r="D416" s="377"/>
      <c r="E416" s="378"/>
      <c r="F416" s="377"/>
      <c r="G416" s="377"/>
      <c r="H416" s="378"/>
      <c r="I416" s="360"/>
      <c r="J416" s="377"/>
      <c r="K416" s="377"/>
      <c r="L416" s="378"/>
      <c r="M416" s="377"/>
      <c r="N416" s="377"/>
      <c r="O416" s="377"/>
      <c r="P416" s="364"/>
      <c r="Q416" s="360"/>
      <c r="R416" s="377"/>
      <c r="S416" s="377"/>
      <c r="T416" s="375"/>
      <c r="U416" s="375"/>
      <c r="V416" s="375"/>
      <c r="W416" s="375"/>
      <c r="X416" s="375"/>
      <c r="Y416" s="375"/>
      <c r="Z416" s="375"/>
      <c r="AA416" s="375"/>
      <c r="AB416" s="375"/>
      <c r="AC416" s="375"/>
      <c r="AD416" s="375"/>
      <c r="AE416" s="375"/>
      <c r="AF416" s="375"/>
    </row>
    <row r="417">
      <c r="A417" s="360"/>
      <c r="B417" s="360"/>
      <c r="C417" s="377"/>
      <c r="D417" s="377"/>
      <c r="E417" s="378"/>
      <c r="F417" s="377"/>
      <c r="G417" s="377"/>
      <c r="H417" s="378"/>
      <c r="I417" s="360"/>
      <c r="J417" s="377"/>
      <c r="K417" s="377"/>
      <c r="L417" s="378"/>
      <c r="M417" s="377"/>
      <c r="N417" s="377"/>
      <c r="O417" s="377"/>
      <c r="P417" s="364"/>
      <c r="Q417" s="360"/>
      <c r="R417" s="377"/>
      <c r="S417" s="377"/>
      <c r="T417" s="375"/>
      <c r="U417" s="375"/>
      <c r="V417" s="375"/>
      <c r="W417" s="375"/>
      <c r="X417" s="375"/>
      <c r="Y417" s="375"/>
      <c r="Z417" s="375"/>
      <c r="AA417" s="375"/>
      <c r="AB417" s="375"/>
      <c r="AC417" s="375"/>
      <c r="AD417" s="375"/>
      <c r="AE417" s="375"/>
      <c r="AF417" s="375"/>
    </row>
    <row r="418">
      <c r="A418" s="360"/>
      <c r="B418" s="360"/>
      <c r="C418" s="377"/>
      <c r="D418" s="377"/>
      <c r="E418" s="378"/>
      <c r="F418" s="377"/>
      <c r="G418" s="377"/>
      <c r="H418" s="378"/>
      <c r="I418" s="360"/>
      <c r="J418" s="377"/>
      <c r="K418" s="377"/>
      <c r="L418" s="378"/>
      <c r="M418" s="377"/>
      <c r="N418" s="377"/>
      <c r="O418" s="377"/>
      <c r="P418" s="364"/>
      <c r="Q418" s="360"/>
      <c r="R418" s="377"/>
      <c r="S418" s="377"/>
      <c r="T418" s="375"/>
      <c r="U418" s="375"/>
      <c r="V418" s="375"/>
      <c r="W418" s="375"/>
      <c r="X418" s="375"/>
      <c r="Y418" s="375"/>
      <c r="Z418" s="375"/>
      <c r="AA418" s="375"/>
      <c r="AB418" s="375"/>
      <c r="AC418" s="375"/>
      <c r="AD418" s="375"/>
      <c r="AE418" s="375"/>
      <c r="AF418" s="375"/>
    </row>
    <row r="419">
      <c r="A419" s="360"/>
      <c r="B419" s="360"/>
      <c r="C419" s="377"/>
      <c r="D419" s="377"/>
      <c r="E419" s="378"/>
      <c r="F419" s="377"/>
      <c r="G419" s="377"/>
      <c r="H419" s="378"/>
      <c r="I419" s="360"/>
      <c r="J419" s="377"/>
      <c r="K419" s="377"/>
      <c r="L419" s="378"/>
      <c r="M419" s="377"/>
      <c r="N419" s="377"/>
      <c r="O419" s="377"/>
      <c r="P419" s="364"/>
      <c r="Q419" s="360"/>
      <c r="R419" s="377"/>
      <c r="S419" s="377"/>
      <c r="T419" s="375"/>
      <c r="U419" s="375"/>
      <c r="V419" s="375"/>
      <c r="W419" s="375"/>
      <c r="X419" s="375"/>
      <c r="Y419" s="375"/>
      <c r="Z419" s="375"/>
      <c r="AA419" s="375"/>
      <c r="AB419" s="375"/>
      <c r="AC419" s="375"/>
      <c r="AD419" s="375"/>
      <c r="AE419" s="375"/>
      <c r="AF419" s="375"/>
    </row>
    <row r="420">
      <c r="A420" s="360"/>
      <c r="B420" s="360"/>
      <c r="C420" s="377"/>
      <c r="D420" s="377"/>
      <c r="E420" s="378"/>
      <c r="F420" s="377"/>
      <c r="G420" s="377"/>
      <c r="H420" s="378"/>
      <c r="I420" s="360"/>
      <c r="J420" s="377"/>
      <c r="K420" s="377"/>
      <c r="L420" s="378"/>
      <c r="M420" s="377"/>
      <c r="N420" s="377"/>
      <c r="O420" s="377"/>
      <c r="P420" s="364"/>
      <c r="Q420" s="360"/>
      <c r="R420" s="377"/>
      <c r="S420" s="377"/>
      <c r="T420" s="375"/>
      <c r="U420" s="375"/>
      <c r="V420" s="375"/>
      <c r="W420" s="375"/>
      <c r="X420" s="375"/>
      <c r="Y420" s="375"/>
      <c r="Z420" s="375"/>
      <c r="AA420" s="375"/>
      <c r="AB420" s="375"/>
      <c r="AC420" s="375"/>
      <c r="AD420" s="375"/>
      <c r="AE420" s="375"/>
      <c r="AF420" s="375"/>
    </row>
    <row r="421">
      <c r="A421" s="360"/>
      <c r="B421" s="360"/>
      <c r="C421" s="377"/>
      <c r="D421" s="377"/>
      <c r="E421" s="378"/>
      <c r="F421" s="377"/>
      <c r="G421" s="377"/>
      <c r="H421" s="378"/>
      <c r="I421" s="360"/>
      <c r="J421" s="377"/>
      <c r="K421" s="377"/>
      <c r="L421" s="378"/>
      <c r="M421" s="377"/>
      <c r="N421" s="377"/>
      <c r="O421" s="377"/>
      <c r="P421" s="364"/>
      <c r="Q421" s="360"/>
      <c r="R421" s="377"/>
      <c r="S421" s="377"/>
      <c r="T421" s="375"/>
      <c r="U421" s="375"/>
      <c r="V421" s="375"/>
      <c r="W421" s="375"/>
      <c r="X421" s="375"/>
      <c r="Y421" s="375"/>
      <c r="Z421" s="375"/>
      <c r="AA421" s="375"/>
      <c r="AB421" s="375"/>
      <c r="AC421" s="375"/>
      <c r="AD421" s="375"/>
      <c r="AE421" s="375"/>
      <c r="AF421" s="375"/>
    </row>
    <row r="422">
      <c r="A422" s="360"/>
      <c r="B422" s="360"/>
      <c r="C422" s="377"/>
      <c r="D422" s="377"/>
      <c r="E422" s="378"/>
      <c r="F422" s="377"/>
      <c r="G422" s="377"/>
      <c r="H422" s="378"/>
      <c r="I422" s="360"/>
      <c r="J422" s="377"/>
      <c r="K422" s="377"/>
      <c r="L422" s="378"/>
      <c r="M422" s="377"/>
      <c r="N422" s="377"/>
      <c r="O422" s="377"/>
      <c r="P422" s="364"/>
      <c r="Q422" s="360"/>
      <c r="R422" s="377"/>
      <c r="S422" s="377"/>
      <c r="T422" s="375"/>
      <c r="U422" s="375"/>
      <c r="V422" s="375"/>
      <c r="W422" s="375"/>
      <c r="X422" s="375"/>
      <c r="Y422" s="375"/>
      <c r="Z422" s="375"/>
      <c r="AA422" s="375"/>
      <c r="AB422" s="375"/>
      <c r="AC422" s="375"/>
      <c r="AD422" s="375"/>
      <c r="AE422" s="375"/>
      <c r="AF422" s="375"/>
    </row>
    <row r="423">
      <c r="A423" s="360"/>
      <c r="B423" s="360"/>
      <c r="C423" s="377"/>
      <c r="D423" s="377"/>
      <c r="E423" s="378"/>
      <c r="F423" s="377"/>
      <c r="G423" s="377"/>
      <c r="H423" s="378"/>
      <c r="I423" s="360"/>
      <c r="J423" s="377"/>
      <c r="K423" s="377"/>
      <c r="L423" s="378"/>
      <c r="M423" s="377"/>
      <c r="N423" s="377"/>
      <c r="O423" s="377"/>
      <c r="P423" s="364"/>
      <c r="Q423" s="360"/>
      <c r="R423" s="377"/>
      <c r="S423" s="377"/>
      <c r="T423" s="375"/>
      <c r="U423" s="375"/>
      <c r="V423" s="375"/>
      <c r="W423" s="375"/>
      <c r="X423" s="375"/>
      <c r="Y423" s="375"/>
      <c r="Z423" s="375"/>
      <c r="AA423" s="375"/>
      <c r="AB423" s="375"/>
      <c r="AC423" s="375"/>
      <c r="AD423" s="375"/>
      <c r="AE423" s="375"/>
      <c r="AF423" s="375"/>
    </row>
    <row r="424">
      <c r="A424" s="360"/>
      <c r="B424" s="360"/>
      <c r="C424" s="377"/>
      <c r="D424" s="377"/>
      <c r="E424" s="378"/>
      <c r="F424" s="377"/>
      <c r="G424" s="377"/>
      <c r="H424" s="378"/>
      <c r="I424" s="360"/>
      <c r="J424" s="377"/>
      <c r="K424" s="377"/>
      <c r="L424" s="378"/>
      <c r="M424" s="377"/>
      <c r="N424" s="377"/>
      <c r="O424" s="377"/>
      <c r="P424" s="364"/>
      <c r="Q424" s="360"/>
      <c r="R424" s="377"/>
      <c r="S424" s="377"/>
      <c r="T424" s="375"/>
      <c r="U424" s="375"/>
      <c r="V424" s="375"/>
      <c r="W424" s="375"/>
      <c r="X424" s="375"/>
      <c r="Y424" s="375"/>
      <c r="Z424" s="375"/>
      <c r="AA424" s="375"/>
      <c r="AB424" s="375"/>
      <c r="AC424" s="375"/>
      <c r="AD424" s="375"/>
      <c r="AE424" s="375"/>
      <c r="AF424" s="375"/>
    </row>
    <row r="425">
      <c r="A425" s="360"/>
      <c r="B425" s="360"/>
      <c r="C425" s="377"/>
      <c r="D425" s="377"/>
      <c r="E425" s="378"/>
      <c r="F425" s="377"/>
      <c r="G425" s="377"/>
      <c r="H425" s="378"/>
      <c r="I425" s="360"/>
      <c r="J425" s="377"/>
      <c r="K425" s="377"/>
      <c r="L425" s="378"/>
      <c r="M425" s="377"/>
      <c r="N425" s="377"/>
      <c r="O425" s="377"/>
      <c r="P425" s="364"/>
      <c r="Q425" s="360"/>
      <c r="R425" s="377"/>
      <c r="S425" s="377"/>
      <c r="T425" s="375"/>
      <c r="U425" s="375"/>
      <c r="V425" s="375"/>
      <c r="W425" s="375"/>
      <c r="X425" s="375"/>
      <c r="Y425" s="375"/>
      <c r="Z425" s="375"/>
      <c r="AA425" s="375"/>
      <c r="AB425" s="375"/>
      <c r="AC425" s="375"/>
      <c r="AD425" s="375"/>
      <c r="AE425" s="375"/>
      <c r="AF425" s="375"/>
    </row>
    <row r="426">
      <c r="A426" s="360"/>
      <c r="B426" s="360"/>
      <c r="C426" s="377"/>
      <c r="D426" s="377"/>
      <c r="E426" s="378"/>
      <c r="F426" s="377"/>
      <c r="G426" s="377"/>
      <c r="H426" s="378"/>
      <c r="I426" s="360"/>
      <c r="J426" s="377"/>
      <c r="K426" s="377"/>
      <c r="L426" s="378"/>
      <c r="M426" s="377"/>
      <c r="N426" s="377"/>
      <c r="O426" s="377"/>
      <c r="P426" s="364"/>
      <c r="Q426" s="360"/>
      <c r="R426" s="377"/>
      <c r="S426" s="377"/>
      <c r="T426" s="375"/>
      <c r="U426" s="375"/>
      <c r="V426" s="375"/>
      <c r="W426" s="375"/>
      <c r="X426" s="375"/>
      <c r="Y426" s="375"/>
      <c r="Z426" s="375"/>
      <c r="AA426" s="375"/>
      <c r="AB426" s="375"/>
      <c r="AC426" s="375"/>
      <c r="AD426" s="375"/>
      <c r="AE426" s="375"/>
      <c r="AF426" s="375"/>
    </row>
    <row r="427">
      <c r="A427" s="360"/>
      <c r="B427" s="360"/>
      <c r="C427" s="377"/>
      <c r="D427" s="377"/>
      <c r="E427" s="378"/>
      <c r="F427" s="377"/>
      <c r="G427" s="377"/>
      <c r="H427" s="378"/>
      <c r="I427" s="360"/>
      <c r="J427" s="377"/>
      <c r="K427" s="377"/>
      <c r="L427" s="378"/>
      <c r="M427" s="377"/>
      <c r="N427" s="377"/>
      <c r="O427" s="377"/>
      <c r="P427" s="364"/>
      <c r="Q427" s="360"/>
      <c r="R427" s="377"/>
      <c r="S427" s="377"/>
      <c r="T427" s="375"/>
      <c r="U427" s="375"/>
      <c r="V427" s="375"/>
      <c r="W427" s="375"/>
      <c r="X427" s="375"/>
      <c r="Y427" s="375"/>
      <c r="Z427" s="375"/>
      <c r="AA427" s="375"/>
      <c r="AB427" s="375"/>
      <c r="AC427" s="375"/>
      <c r="AD427" s="375"/>
      <c r="AE427" s="375"/>
      <c r="AF427" s="375"/>
    </row>
    <row r="428">
      <c r="A428" s="360"/>
      <c r="B428" s="360"/>
      <c r="C428" s="377"/>
      <c r="D428" s="377"/>
      <c r="E428" s="378"/>
      <c r="F428" s="377"/>
      <c r="G428" s="377"/>
      <c r="H428" s="378"/>
      <c r="I428" s="360"/>
      <c r="J428" s="377"/>
      <c r="K428" s="377"/>
      <c r="L428" s="378"/>
      <c r="M428" s="377"/>
      <c r="N428" s="377"/>
      <c r="O428" s="377"/>
      <c r="P428" s="364"/>
      <c r="Q428" s="360"/>
      <c r="R428" s="377"/>
      <c r="S428" s="377"/>
      <c r="T428" s="375"/>
      <c r="U428" s="375"/>
      <c r="V428" s="375"/>
      <c r="W428" s="375"/>
      <c r="X428" s="375"/>
      <c r="Y428" s="375"/>
      <c r="Z428" s="375"/>
      <c r="AA428" s="375"/>
      <c r="AB428" s="375"/>
      <c r="AC428" s="375"/>
      <c r="AD428" s="375"/>
      <c r="AE428" s="375"/>
      <c r="AF428" s="375"/>
    </row>
    <row r="429">
      <c r="A429" s="360"/>
      <c r="B429" s="360"/>
      <c r="C429" s="377"/>
      <c r="D429" s="377"/>
      <c r="E429" s="378"/>
      <c r="F429" s="377"/>
      <c r="G429" s="377"/>
      <c r="H429" s="378"/>
      <c r="I429" s="360"/>
      <c r="J429" s="377"/>
      <c r="K429" s="377"/>
      <c r="L429" s="378"/>
      <c r="M429" s="377"/>
      <c r="N429" s="377"/>
      <c r="O429" s="377"/>
      <c r="P429" s="364"/>
      <c r="Q429" s="360"/>
      <c r="R429" s="377"/>
      <c r="S429" s="377"/>
      <c r="T429" s="375"/>
      <c r="U429" s="375"/>
      <c r="V429" s="375"/>
      <c r="W429" s="375"/>
      <c r="X429" s="375"/>
      <c r="Y429" s="375"/>
      <c r="Z429" s="375"/>
      <c r="AA429" s="375"/>
      <c r="AB429" s="375"/>
      <c r="AC429" s="375"/>
      <c r="AD429" s="375"/>
      <c r="AE429" s="375"/>
      <c r="AF429" s="375"/>
    </row>
    <row r="430">
      <c r="A430" s="360"/>
      <c r="B430" s="360"/>
      <c r="C430" s="377"/>
      <c r="D430" s="377"/>
      <c r="E430" s="378"/>
      <c r="F430" s="377"/>
      <c r="G430" s="377"/>
      <c r="H430" s="378"/>
      <c r="I430" s="360"/>
      <c r="J430" s="377"/>
      <c r="K430" s="377"/>
      <c r="L430" s="378"/>
      <c r="M430" s="377"/>
      <c r="N430" s="377"/>
      <c r="O430" s="377"/>
      <c r="P430" s="364"/>
      <c r="Q430" s="360"/>
      <c r="R430" s="377"/>
      <c r="S430" s="377"/>
      <c r="T430" s="375"/>
      <c r="U430" s="375"/>
      <c r="V430" s="375"/>
      <c r="W430" s="375"/>
      <c r="X430" s="375"/>
      <c r="Y430" s="375"/>
      <c r="Z430" s="375"/>
      <c r="AA430" s="375"/>
      <c r="AB430" s="375"/>
      <c r="AC430" s="375"/>
      <c r="AD430" s="375"/>
      <c r="AE430" s="375"/>
      <c r="AF430" s="375"/>
    </row>
    <row r="431">
      <c r="A431" s="360"/>
      <c r="B431" s="360"/>
      <c r="C431" s="377"/>
      <c r="D431" s="377"/>
      <c r="E431" s="378"/>
      <c r="F431" s="377"/>
      <c r="G431" s="377"/>
      <c r="H431" s="378"/>
      <c r="I431" s="360"/>
      <c r="J431" s="377"/>
      <c r="K431" s="377"/>
      <c r="L431" s="378"/>
      <c r="M431" s="377"/>
      <c r="N431" s="377"/>
      <c r="O431" s="377"/>
      <c r="P431" s="364"/>
      <c r="Q431" s="360"/>
      <c r="R431" s="377"/>
      <c r="S431" s="377"/>
      <c r="T431" s="375"/>
      <c r="U431" s="375"/>
      <c r="V431" s="375"/>
      <c r="W431" s="375"/>
      <c r="X431" s="375"/>
      <c r="Y431" s="375"/>
      <c r="Z431" s="375"/>
      <c r="AA431" s="375"/>
      <c r="AB431" s="375"/>
      <c r="AC431" s="375"/>
      <c r="AD431" s="375"/>
      <c r="AE431" s="375"/>
      <c r="AF431" s="375"/>
    </row>
    <row r="432">
      <c r="A432" s="360"/>
      <c r="B432" s="360"/>
      <c r="C432" s="377"/>
      <c r="D432" s="377"/>
      <c r="E432" s="378"/>
      <c r="F432" s="377"/>
      <c r="G432" s="377"/>
      <c r="H432" s="378"/>
      <c r="I432" s="360"/>
      <c r="J432" s="377"/>
      <c r="K432" s="377"/>
      <c r="L432" s="378"/>
      <c r="M432" s="377"/>
      <c r="N432" s="377"/>
      <c r="O432" s="377"/>
      <c r="P432" s="364"/>
      <c r="Q432" s="360"/>
      <c r="R432" s="377"/>
      <c r="S432" s="377"/>
      <c r="T432" s="375"/>
      <c r="U432" s="375"/>
      <c r="V432" s="375"/>
      <c r="W432" s="375"/>
      <c r="X432" s="375"/>
      <c r="Y432" s="375"/>
      <c r="Z432" s="375"/>
      <c r="AA432" s="375"/>
      <c r="AB432" s="375"/>
      <c r="AC432" s="375"/>
      <c r="AD432" s="375"/>
      <c r="AE432" s="375"/>
      <c r="AF432" s="375"/>
    </row>
    <row r="433">
      <c r="A433" s="360"/>
      <c r="B433" s="360"/>
      <c r="C433" s="377"/>
      <c r="D433" s="377"/>
      <c r="E433" s="378"/>
      <c r="F433" s="377"/>
      <c r="G433" s="377"/>
      <c r="H433" s="378"/>
      <c r="I433" s="360"/>
      <c r="J433" s="377"/>
      <c r="K433" s="377"/>
      <c r="L433" s="378"/>
      <c r="M433" s="377"/>
      <c r="N433" s="377"/>
      <c r="O433" s="377"/>
      <c r="P433" s="364"/>
      <c r="Q433" s="360"/>
      <c r="R433" s="377"/>
      <c r="S433" s="377"/>
      <c r="T433" s="375"/>
      <c r="U433" s="375"/>
      <c r="V433" s="375"/>
      <c r="W433" s="375"/>
      <c r="X433" s="375"/>
      <c r="Y433" s="375"/>
      <c r="Z433" s="375"/>
      <c r="AA433" s="375"/>
      <c r="AB433" s="375"/>
      <c r="AC433" s="375"/>
      <c r="AD433" s="375"/>
      <c r="AE433" s="375"/>
      <c r="AF433" s="375"/>
    </row>
    <row r="434">
      <c r="A434" s="360"/>
      <c r="B434" s="360"/>
      <c r="C434" s="377"/>
      <c r="D434" s="377"/>
      <c r="E434" s="378"/>
      <c r="F434" s="377"/>
      <c r="G434" s="377"/>
      <c r="H434" s="378"/>
      <c r="I434" s="360"/>
      <c r="J434" s="377"/>
      <c r="K434" s="377"/>
      <c r="L434" s="378"/>
      <c r="M434" s="377"/>
      <c r="N434" s="377"/>
      <c r="O434" s="377"/>
      <c r="P434" s="364"/>
      <c r="Q434" s="360"/>
      <c r="R434" s="377"/>
      <c r="S434" s="377"/>
      <c r="T434" s="375"/>
      <c r="U434" s="375"/>
      <c r="V434" s="375"/>
      <c r="W434" s="375"/>
      <c r="X434" s="375"/>
      <c r="Y434" s="375"/>
      <c r="Z434" s="375"/>
      <c r="AA434" s="375"/>
      <c r="AB434" s="375"/>
      <c r="AC434" s="375"/>
      <c r="AD434" s="375"/>
      <c r="AE434" s="375"/>
      <c r="AF434" s="375"/>
    </row>
    <row r="435">
      <c r="A435" s="360"/>
      <c r="B435" s="360"/>
      <c r="C435" s="377"/>
      <c r="D435" s="377"/>
      <c r="E435" s="378"/>
      <c r="F435" s="377"/>
      <c r="G435" s="377"/>
      <c r="H435" s="378"/>
      <c r="I435" s="360"/>
      <c r="J435" s="377"/>
      <c r="K435" s="377"/>
      <c r="L435" s="378"/>
      <c r="M435" s="377"/>
      <c r="N435" s="377"/>
      <c r="O435" s="377"/>
      <c r="P435" s="364"/>
      <c r="Q435" s="360"/>
      <c r="R435" s="377"/>
      <c r="S435" s="377"/>
      <c r="T435" s="375"/>
      <c r="U435" s="375"/>
      <c r="V435" s="375"/>
      <c r="W435" s="375"/>
      <c r="X435" s="375"/>
      <c r="Y435" s="375"/>
      <c r="Z435" s="375"/>
      <c r="AA435" s="375"/>
      <c r="AB435" s="375"/>
      <c r="AC435" s="375"/>
      <c r="AD435" s="375"/>
      <c r="AE435" s="375"/>
      <c r="AF435" s="375"/>
    </row>
    <row r="436">
      <c r="A436" s="360"/>
      <c r="B436" s="360"/>
      <c r="C436" s="377"/>
      <c r="D436" s="377"/>
      <c r="E436" s="378"/>
      <c r="F436" s="377"/>
      <c r="G436" s="377"/>
      <c r="H436" s="378"/>
      <c r="I436" s="360"/>
      <c r="J436" s="377"/>
      <c r="K436" s="377"/>
      <c r="L436" s="378"/>
      <c r="M436" s="377"/>
      <c r="N436" s="377"/>
      <c r="O436" s="377"/>
      <c r="P436" s="364"/>
      <c r="Q436" s="360"/>
      <c r="R436" s="377"/>
      <c r="S436" s="377"/>
      <c r="T436" s="375"/>
      <c r="U436" s="375"/>
      <c r="V436" s="375"/>
      <c r="W436" s="375"/>
      <c r="X436" s="375"/>
      <c r="Y436" s="375"/>
      <c r="Z436" s="375"/>
      <c r="AA436" s="375"/>
      <c r="AB436" s="375"/>
      <c r="AC436" s="375"/>
      <c r="AD436" s="375"/>
      <c r="AE436" s="375"/>
      <c r="AF436" s="375"/>
    </row>
    <row r="437">
      <c r="A437" s="360"/>
      <c r="B437" s="360"/>
      <c r="C437" s="377"/>
      <c r="D437" s="377"/>
      <c r="E437" s="378"/>
      <c r="F437" s="377"/>
      <c r="G437" s="377"/>
      <c r="H437" s="378"/>
      <c r="I437" s="360"/>
      <c r="J437" s="377"/>
      <c r="K437" s="377"/>
      <c r="L437" s="378"/>
      <c r="M437" s="377"/>
      <c r="N437" s="377"/>
      <c r="O437" s="377"/>
      <c r="P437" s="364"/>
      <c r="Q437" s="360"/>
      <c r="R437" s="377"/>
      <c r="S437" s="377"/>
      <c r="T437" s="375"/>
      <c r="U437" s="375"/>
      <c r="V437" s="375"/>
      <c r="W437" s="375"/>
      <c r="X437" s="375"/>
      <c r="Y437" s="375"/>
      <c r="Z437" s="375"/>
      <c r="AA437" s="375"/>
      <c r="AB437" s="375"/>
      <c r="AC437" s="375"/>
      <c r="AD437" s="375"/>
      <c r="AE437" s="375"/>
      <c r="AF437" s="375"/>
    </row>
    <row r="438">
      <c r="A438" s="360"/>
      <c r="B438" s="360"/>
      <c r="C438" s="377"/>
      <c r="D438" s="377"/>
      <c r="E438" s="378"/>
      <c r="F438" s="377"/>
      <c r="G438" s="377"/>
      <c r="H438" s="378"/>
      <c r="I438" s="360"/>
      <c r="J438" s="377"/>
      <c r="K438" s="377"/>
      <c r="L438" s="378"/>
      <c r="M438" s="377"/>
      <c r="N438" s="377"/>
      <c r="O438" s="377"/>
      <c r="P438" s="364"/>
      <c r="Q438" s="360"/>
      <c r="R438" s="377"/>
      <c r="S438" s="377"/>
      <c r="T438" s="375"/>
      <c r="U438" s="375"/>
      <c r="V438" s="375"/>
      <c r="W438" s="375"/>
      <c r="X438" s="375"/>
      <c r="Y438" s="375"/>
      <c r="Z438" s="375"/>
      <c r="AA438" s="375"/>
      <c r="AB438" s="375"/>
      <c r="AC438" s="375"/>
      <c r="AD438" s="375"/>
      <c r="AE438" s="375"/>
      <c r="AF438" s="375"/>
    </row>
    <row r="439">
      <c r="A439" s="360"/>
      <c r="B439" s="360"/>
      <c r="C439" s="377"/>
      <c r="D439" s="377"/>
      <c r="E439" s="378"/>
      <c r="F439" s="377"/>
      <c r="G439" s="377"/>
      <c r="H439" s="378"/>
      <c r="I439" s="360"/>
      <c r="J439" s="377"/>
      <c r="K439" s="377"/>
      <c r="L439" s="378"/>
      <c r="M439" s="377"/>
      <c r="N439" s="377"/>
      <c r="O439" s="377"/>
      <c r="P439" s="364"/>
      <c r="Q439" s="360"/>
      <c r="R439" s="377"/>
      <c r="S439" s="377"/>
      <c r="T439" s="375"/>
      <c r="U439" s="375"/>
      <c r="V439" s="375"/>
      <c r="W439" s="375"/>
      <c r="X439" s="375"/>
      <c r="Y439" s="375"/>
      <c r="Z439" s="375"/>
      <c r="AA439" s="375"/>
      <c r="AB439" s="375"/>
      <c r="AC439" s="375"/>
      <c r="AD439" s="375"/>
      <c r="AE439" s="375"/>
      <c r="AF439" s="375"/>
    </row>
    <row r="440">
      <c r="A440" s="360"/>
      <c r="B440" s="360"/>
      <c r="C440" s="377"/>
      <c r="D440" s="377"/>
      <c r="E440" s="378"/>
      <c r="F440" s="377"/>
      <c r="G440" s="377"/>
      <c r="H440" s="378"/>
      <c r="I440" s="360"/>
      <c r="J440" s="377"/>
      <c r="K440" s="377"/>
      <c r="L440" s="378"/>
      <c r="M440" s="377"/>
      <c r="N440" s="377"/>
      <c r="O440" s="377"/>
      <c r="P440" s="364"/>
      <c r="Q440" s="360"/>
      <c r="R440" s="377"/>
      <c r="S440" s="377"/>
      <c r="T440" s="375"/>
      <c r="U440" s="375"/>
      <c r="V440" s="375"/>
      <c r="W440" s="375"/>
      <c r="X440" s="375"/>
      <c r="Y440" s="375"/>
      <c r="Z440" s="375"/>
      <c r="AA440" s="375"/>
      <c r="AB440" s="375"/>
      <c r="AC440" s="375"/>
      <c r="AD440" s="375"/>
      <c r="AE440" s="375"/>
      <c r="AF440" s="375"/>
    </row>
    <row r="441">
      <c r="A441" s="360"/>
      <c r="B441" s="360"/>
      <c r="C441" s="377"/>
      <c r="D441" s="377"/>
      <c r="E441" s="378"/>
      <c r="F441" s="377"/>
      <c r="G441" s="377"/>
      <c r="H441" s="378"/>
      <c r="I441" s="360"/>
      <c r="J441" s="377"/>
      <c r="K441" s="377"/>
      <c r="L441" s="378"/>
      <c r="M441" s="377"/>
      <c r="N441" s="377"/>
      <c r="O441" s="377"/>
      <c r="P441" s="364"/>
      <c r="Q441" s="360"/>
      <c r="R441" s="377"/>
      <c r="S441" s="377"/>
      <c r="T441" s="375"/>
      <c r="U441" s="375"/>
      <c r="V441" s="375"/>
      <c r="W441" s="375"/>
      <c r="X441" s="375"/>
      <c r="Y441" s="375"/>
      <c r="Z441" s="375"/>
      <c r="AA441" s="375"/>
      <c r="AB441" s="375"/>
      <c r="AC441" s="375"/>
      <c r="AD441" s="375"/>
      <c r="AE441" s="375"/>
      <c r="AF441" s="375"/>
    </row>
    <row r="442">
      <c r="A442" s="360"/>
      <c r="B442" s="360"/>
      <c r="C442" s="377"/>
      <c r="D442" s="377"/>
      <c r="E442" s="378"/>
      <c r="F442" s="377"/>
      <c r="G442" s="377"/>
      <c r="H442" s="378"/>
      <c r="I442" s="360"/>
      <c r="J442" s="377"/>
      <c r="K442" s="377"/>
      <c r="L442" s="378"/>
      <c r="M442" s="377"/>
      <c r="N442" s="377"/>
      <c r="O442" s="377"/>
      <c r="P442" s="364"/>
      <c r="Q442" s="360"/>
      <c r="R442" s="377"/>
      <c r="S442" s="377"/>
      <c r="T442" s="375"/>
      <c r="U442" s="375"/>
      <c r="V442" s="375"/>
      <c r="W442" s="375"/>
      <c r="X442" s="375"/>
      <c r="Y442" s="375"/>
      <c r="Z442" s="375"/>
      <c r="AA442" s="375"/>
      <c r="AB442" s="375"/>
      <c r="AC442" s="375"/>
      <c r="AD442" s="375"/>
      <c r="AE442" s="375"/>
      <c r="AF442" s="375"/>
    </row>
    <row r="443">
      <c r="A443" s="360"/>
      <c r="B443" s="360"/>
      <c r="C443" s="377"/>
      <c r="D443" s="377"/>
      <c r="E443" s="378"/>
      <c r="F443" s="377"/>
      <c r="G443" s="377"/>
      <c r="H443" s="378"/>
      <c r="I443" s="360"/>
      <c r="J443" s="377"/>
      <c r="K443" s="377"/>
      <c r="L443" s="378"/>
      <c r="M443" s="377"/>
      <c r="N443" s="377"/>
      <c r="O443" s="377"/>
      <c r="P443" s="364"/>
      <c r="Q443" s="360"/>
      <c r="R443" s="377"/>
      <c r="S443" s="377"/>
      <c r="T443" s="375"/>
      <c r="U443" s="375"/>
      <c r="V443" s="375"/>
      <c r="W443" s="375"/>
      <c r="X443" s="375"/>
      <c r="Y443" s="375"/>
      <c r="Z443" s="375"/>
      <c r="AA443" s="375"/>
      <c r="AB443" s="375"/>
      <c r="AC443" s="375"/>
      <c r="AD443" s="375"/>
      <c r="AE443" s="375"/>
      <c r="AF443" s="375"/>
    </row>
    <row r="444">
      <c r="A444" s="360"/>
      <c r="B444" s="360"/>
      <c r="C444" s="377"/>
      <c r="D444" s="377"/>
      <c r="E444" s="378"/>
      <c r="F444" s="377"/>
      <c r="G444" s="377"/>
      <c r="H444" s="378"/>
      <c r="I444" s="360"/>
      <c r="J444" s="377"/>
      <c r="K444" s="377"/>
      <c r="L444" s="378"/>
      <c r="M444" s="377"/>
      <c r="N444" s="377"/>
      <c r="O444" s="377"/>
      <c r="P444" s="364"/>
      <c r="Q444" s="360"/>
      <c r="R444" s="377"/>
      <c r="S444" s="377"/>
      <c r="T444" s="375"/>
      <c r="U444" s="375"/>
      <c r="V444" s="375"/>
      <c r="W444" s="375"/>
      <c r="X444" s="375"/>
      <c r="Y444" s="375"/>
      <c r="Z444" s="375"/>
      <c r="AA444" s="375"/>
      <c r="AB444" s="375"/>
      <c r="AC444" s="375"/>
      <c r="AD444" s="375"/>
      <c r="AE444" s="375"/>
      <c r="AF444" s="375"/>
    </row>
    <row r="445">
      <c r="A445" s="360"/>
      <c r="B445" s="360"/>
      <c r="C445" s="377"/>
      <c r="D445" s="377"/>
      <c r="E445" s="378"/>
      <c r="F445" s="377"/>
      <c r="G445" s="377"/>
      <c r="H445" s="378"/>
      <c r="I445" s="360"/>
      <c r="J445" s="377"/>
      <c r="K445" s="377"/>
      <c r="L445" s="378"/>
      <c r="M445" s="377"/>
      <c r="N445" s="377"/>
      <c r="O445" s="377"/>
      <c r="P445" s="364"/>
      <c r="Q445" s="360"/>
      <c r="R445" s="377"/>
      <c r="S445" s="377"/>
      <c r="T445" s="375"/>
      <c r="U445" s="375"/>
      <c r="V445" s="375"/>
      <c r="W445" s="375"/>
      <c r="X445" s="375"/>
      <c r="Y445" s="375"/>
      <c r="Z445" s="375"/>
      <c r="AA445" s="375"/>
      <c r="AB445" s="375"/>
      <c r="AC445" s="375"/>
      <c r="AD445" s="375"/>
      <c r="AE445" s="375"/>
      <c r="AF445" s="375"/>
    </row>
    <row r="446">
      <c r="A446" s="360"/>
      <c r="B446" s="360"/>
      <c r="C446" s="377"/>
      <c r="D446" s="377"/>
      <c r="E446" s="378"/>
      <c r="F446" s="377"/>
      <c r="G446" s="377"/>
      <c r="H446" s="378"/>
      <c r="I446" s="360"/>
      <c r="J446" s="377"/>
      <c r="K446" s="377"/>
      <c r="L446" s="378"/>
      <c r="M446" s="377"/>
      <c r="N446" s="377"/>
      <c r="O446" s="377"/>
      <c r="P446" s="364"/>
      <c r="Q446" s="360"/>
      <c r="R446" s="377"/>
      <c r="S446" s="377"/>
      <c r="T446" s="375"/>
      <c r="U446" s="375"/>
      <c r="V446" s="375"/>
      <c r="W446" s="375"/>
      <c r="X446" s="375"/>
      <c r="Y446" s="375"/>
      <c r="Z446" s="375"/>
      <c r="AA446" s="375"/>
      <c r="AB446" s="375"/>
      <c r="AC446" s="375"/>
      <c r="AD446" s="375"/>
      <c r="AE446" s="375"/>
      <c r="AF446" s="375"/>
    </row>
    <row r="447">
      <c r="A447" s="360"/>
      <c r="B447" s="360"/>
      <c r="C447" s="377"/>
      <c r="D447" s="377"/>
      <c r="E447" s="378"/>
      <c r="F447" s="377"/>
      <c r="G447" s="377"/>
      <c r="H447" s="378"/>
      <c r="I447" s="360"/>
      <c r="J447" s="377"/>
      <c r="K447" s="377"/>
      <c r="L447" s="378"/>
      <c r="M447" s="377"/>
      <c r="N447" s="377"/>
      <c r="O447" s="377"/>
      <c r="P447" s="364"/>
      <c r="Q447" s="360"/>
      <c r="R447" s="377"/>
      <c r="S447" s="377"/>
      <c r="T447" s="375"/>
      <c r="U447" s="375"/>
      <c r="V447" s="375"/>
      <c r="W447" s="375"/>
      <c r="X447" s="375"/>
      <c r="Y447" s="375"/>
      <c r="Z447" s="375"/>
      <c r="AA447" s="375"/>
      <c r="AB447" s="375"/>
      <c r="AC447" s="375"/>
      <c r="AD447" s="375"/>
      <c r="AE447" s="375"/>
      <c r="AF447" s="375"/>
    </row>
    <row r="448">
      <c r="A448" s="360"/>
      <c r="B448" s="360"/>
      <c r="C448" s="377"/>
      <c r="D448" s="377"/>
      <c r="E448" s="378"/>
      <c r="F448" s="377"/>
      <c r="G448" s="377"/>
      <c r="H448" s="378"/>
      <c r="I448" s="360"/>
      <c r="J448" s="377"/>
      <c r="K448" s="377"/>
      <c r="L448" s="378"/>
      <c r="M448" s="377"/>
      <c r="N448" s="377"/>
      <c r="O448" s="377"/>
      <c r="P448" s="364"/>
      <c r="Q448" s="360"/>
      <c r="R448" s="377"/>
      <c r="S448" s="377"/>
      <c r="T448" s="375"/>
      <c r="U448" s="375"/>
      <c r="V448" s="375"/>
      <c r="W448" s="375"/>
      <c r="X448" s="375"/>
      <c r="Y448" s="375"/>
      <c r="Z448" s="375"/>
      <c r="AA448" s="375"/>
      <c r="AB448" s="375"/>
      <c r="AC448" s="375"/>
      <c r="AD448" s="375"/>
      <c r="AE448" s="375"/>
      <c r="AF448" s="375"/>
    </row>
    <row r="449">
      <c r="A449" s="360"/>
      <c r="B449" s="360"/>
      <c r="C449" s="377"/>
      <c r="D449" s="377"/>
      <c r="E449" s="378"/>
      <c r="F449" s="377"/>
      <c r="G449" s="377"/>
      <c r="H449" s="378"/>
      <c r="I449" s="360"/>
      <c r="J449" s="377"/>
      <c r="K449" s="377"/>
      <c r="L449" s="378"/>
      <c r="M449" s="377"/>
      <c r="N449" s="377"/>
      <c r="O449" s="377"/>
      <c r="P449" s="364"/>
      <c r="Q449" s="360"/>
      <c r="R449" s="377"/>
      <c r="S449" s="377"/>
      <c r="T449" s="375"/>
      <c r="U449" s="375"/>
      <c r="V449" s="375"/>
      <c r="W449" s="375"/>
      <c r="X449" s="375"/>
      <c r="Y449" s="375"/>
      <c r="Z449" s="375"/>
      <c r="AA449" s="375"/>
      <c r="AB449" s="375"/>
      <c r="AC449" s="375"/>
      <c r="AD449" s="375"/>
      <c r="AE449" s="375"/>
      <c r="AF449" s="375"/>
    </row>
    <row r="450">
      <c r="A450" s="360"/>
      <c r="B450" s="360"/>
      <c r="C450" s="377"/>
      <c r="D450" s="377"/>
      <c r="E450" s="378"/>
      <c r="F450" s="377"/>
      <c r="G450" s="377"/>
      <c r="H450" s="378"/>
      <c r="I450" s="360"/>
      <c r="J450" s="377"/>
      <c r="K450" s="377"/>
      <c r="L450" s="378"/>
      <c r="M450" s="377"/>
      <c r="N450" s="377"/>
      <c r="O450" s="377"/>
      <c r="P450" s="364"/>
      <c r="Q450" s="360"/>
      <c r="R450" s="377"/>
      <c r="S450" s="377"/>
      <c r="T450" s="375"/>
      <c r="U450" s="375"/>
      <c r="V450" s="375"/>
      <c r="W450" s="375"/>
      <c r="X450" s="375"/>
      <c r="Y450" s="375"/>
      <c r="Z450" s="375"/>
      <c r="AA450" s="375"/>
      <c r="AB450" s="375"/>
      <c r="AC450" s="375"/>
      <c r="AD450" s="375"/>
      <c r="AE450" s="375"/>
      <c r="AF450" s="375"/>
    </row>
    <row r="451">
      <c r="A451" s="360"/>
      <c r="B451" s="360"/>
      <c r="C451" s="377"/>
      <c r="D451" s="377"/>
      <c r="E451" s="378"/>
      <c r="F451" s="377"/>
      <c r="G451" s="377"/>
      <c r="H451" s="378"/>
      <c r="I451" s="360"/>
      <c r="J451" s="377"/>
      <c r="K451" s="377"/>
      <c r="L451" s="378"/>
      <c r="M451" s="377"/>
      <c r="N451" s="377"/>
      <c r="O451" s="377"/>
      <c r="P451" s="364"/>
      <c r="Q451" s="360"/>
      <c r="R451" s="377"/>
      <c r="S451" s="377"/>
      <c r="T451" s="375"/>
      <c r="U451" s="375"/>
      <c r="V451" s="375"/>
      <c r="W451" s="375"/>
      <c r="X451" s="375"/>
      <c r="Y451" s="375"/>
      <c r="Z451" s="375"/>
      <c r="AA451" s="375"/>
      <c r="AB451" s="375"/>
      <c r="AC451" s="375"/>
      <c r="AD451" s="375"/>
      <c r="AE451" s="375"/>
      <c r="AF451" s="375"/>
    </row>
    <row r="452">
      <c r="A452" s="360"/>
      <c r="B452" s="360"/>
      <c r="C452" s="377"/>
      <c r="D452" s="377"/>
      <c r="E452" s="378"/>
      <c r="F452" s="377"/>
      <c r="G452" s="377"/>
      <c r="H452" s="378"/>
      <c r="I452" s="360"/>
      <c r="J452" s="377"/>
      <c r="K452" s="377"/>
      <c r="L452" s="378"/>
      <c r="M452" s="377"/>
      <c r="N452" s="377"/>
      <c r="O452" s="377"/>
      <c r="P452" s="364"/>
      <c r="Q452" s="360"/>
      <c r="R452" s="377"/>
      <c r="S452" s="377"/>
      <c r="T452" s="375"/>
      <c r="U452" s="375"/>
      <c r="V452" s="375"/>
      <c r="W452" s="375"/>
      <c r="X452" s="375"/>
      <c r="Y452" s="375"/>
      <c r="Z452" s="375"/>
      <c r="AA452" s="375"/>
      <c r="AB452" s="375"/>
      <c r="AC452" s="375"/>
      <c r="AD452" s="375"/>
      <c r="AE452" s="375"/>
      <c r="AF452" s="375"/>
    </row>
    <row r="453">
      <c r="A453" s="360"/>
      <c r="B453" s="360"/>
      <c r="C453" s="377"/>
      <c r="D453" s="377"/>
      <c r="E453" s="378"/>
      <c r="F453" s="377"/>
      <c r="G453" s="377"/>
      <c r="H453" s="378"/>
      <c r="I453" s="360"/>
      <c r="J453" s="377"/>
      <c r="K453" s="377"/>
      <c r="L453" s="378"/>
      <c r="M453" s="377"/>
      <c r="N453" s="377"/>
      <c r="O453" s="377"/>
      <c r="P453" s="364"/>
      <c r="Q453" s="360"/>
      <c r="R453" s="377"/>
      <c r="S453" s="377"/>
      <c r="T453" s="375"/>
      <c r="U453" s="375"/>
      <c r="V453" s="375"/>
      <c r="W453" s="375"/>
      <c r="X453" s="375"/>
      <c r="Y453" s="375"/>
      <c r="Z453" s="375"/>
      <c r="AA453" s="375"/>
      <c r="AB453" s="375"/>
      <c r="AC453" s="375"/>
      <c r="AD453" s="375"/>
      <c r="AE453" s="375"/>
      <c r="AF453" s="375"/>
    </row>
    <row r="454">
      <c r="A454" s="360"/>
      <c r="B454" s="360"/>
      <c r="C454" s="377"/>
      <c r="D454" s="377"/>
      <c r="E454" s="378"/>
      <c r="F454" s="377"/>
      <c r="G454" s="377"/>
      <c r="H454" s="378"/>
      <c r="I454" s="360"/>
      <c r="J454" s="377"/>
      <c r="K454" s="377"/>
      <c r="L454" s="378"/>
      <c r="M454" s="377"/>
      <c r="N454" s="377"/>
      <c r="O454" s="377"/>
      <c r="P454" s="364"/>
      <c r="Q454" s="360"/>
      <c r="R454" s="377"/>
      <c r="S454" s="377"/>
      <c r="T454" s="375"/>
      <c r="U454" s="375"/>
      <c r="V454" s="375"/>
      <c r="W454" s="375"/>
      <c r="X454" s="375"/>
      <c r="Y454" s="375"/>
      <c r="Z454" s="375"/>
      <c r="AA454" s="375"/>
      <c r="AB454" s="375"/>
      <c r="AC454" s="375"/>
      <c r="AD454" s="375"/>
      <c r="AE454" s="375"/>
      <c r="AF454" s="375"/>
    </row>
    <row r="455">
      <c r="A455" s="360"/>
      <c r="B455" s="360"/>
      <c r="C455" s="377"/>
      <c r="D455" s="377"/>
      <c r="E455" s="378"/>
      <c r="F455" s="377"/>
      <c r="G455" s="377"/>
      <c r="H455" s="378"/>
      <c r="I455" s="360"/>
      <c r="J455" s="377"/>
      <c r="K455" s="377"/>
      <c r="L455" s="378"/>
      <c r="M455" s="377"/>
      <c r="N455" s="377"/>
      <c r="O455" s="377"/>
      <c r="P455" s="364"/>
      <c r="Q455" s="360"/>
      <c r="R455" s="377"/>
      <c r="S455" s="377"/>
      <c r="T455" s="375"/>
      <c r="U455" s="375"/>
      <c r="V455" s="375"/>
      <c r="W455" s="375"/>
      <c r="X455" s="375"/>
      <c r="Y455" s="375"/>
      <c r="Z455" s="375"/>
      <c r="AA455" s="375"/>
      <c r="AB455" s="375"/>
      <c r="AC455" s="375"/>
      <c r="AD455" s="375"/>
      <c r="AE455" s="375"/>
      <c r="AF455" s="375"/>
    </row>
    <row r="456">
      <c r="A456" s="360"/>
      <c r="B456" s="360"/>
      <c r="C456" s="377"/>
      <c r="D456" s="377"/>
      <c r="E456" s="378"/>
      <c r="F456" s="377"/>
      <c r="G456" s="377"/>
      <c r="H456" s="378"/>
      <c r="I456" s="360"/>
      <c r="J456" s="377"/>
      <c r="K456" s="377"/>
      <c r="L456" s="378"/>
      <c r="M456" s="377"/>
      <c r="N456" s="377"/>
      <c r="O456" s="377"/>
      <c r="P456" s="364"/>
      <c r="Q456" s="360"/>
      <c r="R456" s="377"/>
      <c r="S456" s="377"/>
      <c r="T456" s="375"/>
      <c r="U456" s="375"/>
      <c r="V456" s="375"/>
      <c r="W456" s="375"/>
      <c r="X456" s="375"/>
      <c r="Y456" s="375"/>
      <c r="Z456" s="375"/>
      <c r="AA456" s="375"/>
      <c r="AB456" s="375"/>
      <c r="AC456" s="375"/>
      <c r="AD456" s="375"/>
      <c r="AE456" s="375"/>
      <c r="AF456" s="375"/>
    </row>
    <row r="457">
      <c r="A457" s="360"/>
      <c r="B457" s="360"/>
      <c r="C457" s="377"/>
      <c r="D457" s="377"/>
      <c r="E457" s="378"/>
      <c r="F457" s="377"/>
      <c r="G457" s="377"/>
      <c r="H457" s="378"/>
      <c r="I457" s="360"/>
      <c r="J457" s="377"/>
      <c r="K457" s="377"/>
      <c r="L457" s="378"/>
      <c r="M457" s="377"/>
      <c r="N457" s="377"/>
      <c r="O457" s="377"/>
      <c r="P457" s="364"/>
      <c r="Q457" s="360"/>
      <c r="R457" s="377"/>
      <c r="S457" s="377"/>
      <c r="T457" s="375"/>
      <c r="U457" s="375"/>
      <c r="V457" s="375"/>
      <c r="W457" s="375"/>
      <c r="X457" s="375"/>
      <c r="Y457" s="375"/>
      <c r="Z457" s="375"/>
      <c r="AA457" s="375"/>
      <c r="AB457" s="375"/>
      <c r="AC457" s="375"/>
      <c r="AD457" s="375"/>
      <c r="AE457" s="375"/>
      <c r="AF457" s="375"/>
    </row>
    <row r="458">
      <c r="A458" s="360"/>
      <c r="B458" s="360"/>
      <c r="C458" s="377"/>
      <c r="D458" s="377"/>
      <c r="E458" s="378"/>
      <c r="F458" s="377"/>
      <c r="G458" s="377"/>
      <c r="H458" s="378"/>
      <c r="I458" s="360"/>
      <c r="J458" s="377"/>
      <c r="K458" s="377"/>
      <c r="L458" s="378"/>
      <c r="M458" s="377"/>
      <c r="N458" s="377"/>
      <c r="O458" s="377"/>
      <c r="P458" s="364"/>
      <c r="Q458" s="360"/>
      <c r="R458" s="377"/>
      <c r="S458" s="377"/>
      <c r="T458" s="375"/>
      <c r="U458" s="375"/>
      <c r="V458" s="375"/>
      <c r="W458" s="375"/>
      <c r="X458" s="375"/>
      <c r="Y458" s="375"/>
      <c r="Z458" s="375"/>
      <c r="AA458" s="375"/>
      <c r="AB458" s="375"/>
      <c r="AC458" s="375"/>
      <c r="AD458" s="375"/>
      <c r="AE458" s="375"/>
      <c r="AF458" s="375"/>
    </row>
    <row r="459">
      <c r="A459" s="360"/>
      <c r="B459" s="360"/>
      <c r="C459" s="377"/>
      <c r="D459" s="377"/>
      <c r="E459" s="378"/>
      <c r="F459" s="377"/>
      <c r="G459" s="377"/>
      <c r="H459" s="378"/>
      <c r="I459" s="360"/>
      <c r="J459" s="377"/>
      <c r="K459" s="377"/>
      <c r="L459" s="378"/>
      <c r="M459" s="377"/>
      <c r="N459" s="377"/>
      <c r="O459" s="377"/>
      <c r="P459" s="364"/>
      <c r="Q459" s="360"/>
      <c r="R459" s="377"/>
      <c r="S459" s="377"/>
      <c r="T459" s="375"/>
      <c r="U459" s="375"/>
      <c r="V459" s="375"/>
      <c r="W459" s="375"/>
      <c r="X459" s="375"/>
      <c r="Y459" s="375"/>
      <c r="Z459" s="375"/>
      <c r="AA459" s="375"/>
      <c r="AB459" s="375"/>
      <c r="AC459" s="375"/>
      <c r="AD459" s="375"/>
      <c r="AE459" s="375"/>
      <c r="AF459" s="375"/>
    </row>
    <row r="460">
      <c r="A460" s="360"/>
      <c r="B460" s="360"/>
      <c r="C460" s="377"/>
      <c r="D460" s="377"/>
      <c r="E460" s="378"/>
      <c r="F460" s="377"/>
      <c r="G460" s="377"/>
      <c r="H460" s="378"/>
      <c r="I460" s="360"/>
      <c r="J460" s="377"/>
      <c r="K460" s="377"/>
      <c r="L460" s="378"/>
      <c r="M460" s="377"/>
      <c r="N460" s="377"/>
      <c r="O460" s="377"/>
      <c r="P460" s="364"/>
      <c r="Q460" s="360"/>
      <c r="R460" s="377"/>
      <c r="S460" s="377"/>
      <c r="T460" s="375"/>
      <c r="U460" s="375"/>
      <c r="V460" s="375"/>
      <c r="W460" s="375"/>
      <c r="X460" s="375"/>
      <c r="Y460" s="375"/>
      <c r="Z460" s="375"/>
      <c r="AA460" s="375"/>
      <c r="AB460" s="375"/>
      <c r="AC460" s="375"/>
      <c r="AD460" s="375"/>
      <c r="AE460" s="375"/>
      <c r="AF460" s="375"/>
    </row>
    <row r="461">
      <c r="A461" s="360"/>
      <c r="B461" s="360"/>
      <c r="C461" s="377"/>
      <c r="D461" s="377"/>
      <c r="E461" s="378"/>
      <c r="F461" s="377"/>
      <c r="G461" s="377"/>
      <c r="H461" s="378"/>
      <c r="I461" s="360"/>
      <c r="J461" s="377"/>
      <c r="K461" s="377"/>
      <c r="L461" s="378"/>
      <c r="M461" s="377"/>
      <c r="N461" s="377"/>
      <c r="O461" s="377"/>
      <c r="P461" s="364"/>
      <c r="Q461" s="360"/>
      <c r="R461" s="377"/>
      <c r="S461" s="377"/>
      <c r="T461" s="375"/>
      <c r="U461" s="375"/>
      <c r="V461" s="375"/>
      <c r="W461" s="375"/>
      <c r="X461" s="375"/>
      <c r="Y461" s="375"/>
      <c r="Z461" s="375"/>
      <c r="AA461" s="375"/>
      <c r="AB461" s="375"/>
      <c r="AC461" s="375"/>
      <c r="AD461" s="375"/>
      <c r="AE461" s="375"/>
      <c r="AF461" s="375"/>
    </row>
    <row r="462">
      <c r="A462" s="360"/>
      <c r="B462" s="360"/>
      <c r="C462" s="377"/>
      <c r="D462" s="377"/>
      <c r="E462" s="378"/>
      <c r="F462" s="377"/>
      <c r="G462" s="377"/>
      <c r="H462" s="378"/>
      <c r="I462" s="360"/>
      <c r="J462" s="377"/>
      <c r="K462" s="377"/>
      <c r="L462" s="378"/>
      <c r="M462" s="377"/>
      <c r="N462" s="377"/>
      <c r="O462" s="377"/>
      <c r="P462" s="364"/>
      <c r="Q462" s="360"/>
      <c r="R462" s="377"/>
      <c r="S462" s="377"/>
      <c r="T462" s="375"/>
      <c r="U462" s="375"/>
      <c r="V462" s="375"/>
      <c r="W462" s="375"/>
      <c r="X462" s="375"/>
      <c r="Y462" s="375"/>
      <c r="Z462" s="375"/>
      <c r="AA462" s="375"/>
      <c r="AB462" s="375"/>
      <c r="AC462" s="375"/>
      <c r="AD462" s="375"/>
      <c r="AE462" s="375"/>
      <c r="AF462" s="375"/>
    </row>
    <row r="463">
      <c r="A463" s="360"/>
      <c r="B463" s="360"/>
      <c r="C463" s="377"/>
      <c r="D463" s="377"/>
      <c r="E463" s="378"/>
      <c r="F463" s="377"/>
      <c r="G463" s="377"/>
      <c r="H463" s="378"/>
      <c r="I463" s="360"/>
      <c r="J463" s="377"/>
      <c r="K463" s="377"/>
      <c r="L463" s="378"/>
      <c r="M463" s="377"/>
      <c r="N463" s="377"/>
      <c r="O463" s="377"/>
      <c r="P463" s="364"/>
      <c r="Q463" s="360"/>
      <c r="R463" s="377"/>
      <c r="S463" s="377"/>
      <c r="T463" s="375"/>
      <c r="U463" s="375"/>
      <c r="V463" s="375"/>
      <c r="W463" s="375"/>
      <c r="X463" s="375"/>
      <c r="Y463" s="375"/>
      <c r="Z463" s="375"/>
      <c r="AA463" s="375"/>
      <c r="AB463" s="375"/>
      <c r="AC463" s="375"/>
      <c r="AD463" s="375"/>
      <c r="AE463" s="375"/>
      <c r="AF463" s="375"/>
    </row>
    <row r="464">
      <c r="A464" s="360"/>
      <c r="B464" s="360"/>
      <c r="C464" s="377"/>
      <c r="D464" s="377"/>
      <c r="E464" s="378"/>
      <c r="F464" s="377"/>
      <c r="G464" s="377"/>
      <c r="H464" s="378"/>
      <c r="I464" s="360"/>
      <c r="J464" s="377"/>
      <c r="K464" s="377"/>
      <c r="L464" s="378"/>
      <c r="M464" s="377"/>
      <c r="N464" s="377"/>
      <c r="O464" s="377"/>
      <c r="P464" s="364"/>
      <c r="Q464" s="360"/>
      <c r="R464" s="377"/>
      <c r="S464" s="377"/>
      <c r="T464" s="375"/>
      <c r="U464" s="375"/>
      <c r="V464" s="375"/>
      <c r="W464" s="375"/>
      <c r="X464" s="375"/>
      <c r="Y464" s="375"/>
      <c r="Z464" s="375"/>
      <c r="AA464" s="375"/>
      <c r="AB464" s="375"/>
      <c r="AC464" s="375"/>
      <c r="AD464" s="375"/>
      <c r="AE464" s="375"/>
      <c r="AF464" s="375"/>
    </row>
    <row r="465">
      <c r="A465" s="360"/>
      <c r="B465" s="360"/>
      <c r="C465" s="377"/>
      <c r="D465" s="377"/>
      <c r="E465" s="378"/>
      <c r="F465" s="377"/>
      <c r="G465" s="377"/>
      <c r="H465" s="378"/>
      <c r="I465" s="360"/>
      <c r="J465" s="377"/>
      <c r="K465" s="377"/>
      <c r="L465" s="378"/>
      <c r="M465" s="377"/>
      <c r="N465" s="377"/>
      <c r="O465" s="377"/>
      <c r="P465" s="364"/>
      <c r="Q465" s="360"/>
      <c r="R465" s="377"/>
      <c r="S465" s="377"/>
      <c r="T465" s="375"/>
      <c r="U465" s="375"/>
      <c r="V465" s="375"/>
      <c r="W465" s="375"/>
      <c r="X465" s="375"/>
      <c r="Y465" s="375"/>
      <c r="Z465" s="375"/>
      <c r="AA465" s="375"/>
      <c r="AB465" s="375"/>
      <c r="AC465" s="375"/>
      <c r="AD465" s="375"/>
      <c r="AE465" s="375"/>
      <c r="AF465" s="375"/>
    </row>
    <row r="466">
      <c r="A466" s="360"/>
      <c r="B466" s="360"/>
      <c r="C466" s="377"/>
      <c r="D466" s="377"/>
      <c r="E466" s="378"/>
      <c r="F466" s="377"/>
      <c r="G466" s="377"/>
      <c r="H466" s="378"/>
      <c r="I466" s="360"/>
      <c r="J466" s="377"/>
      <c r="K466" s="377"/>
      <c r="L466" s="378"/>
      <c r="M466" s="377"/>
      <c r="N466" s="377"/>
      <c r="O466" s="377"/>
      <c r="P466" s="364"/>
      <c r="Q466" s="360"/>
      <c r="R466" s="377"/>
      <c r="S466" s="377"/>
      <c r="T466" s="375"/>
      <c r="U466" s="375"/>
      <c r="V466" s="375"/>
      <c r="W466" s="375"/>
      <c r="X466" s="375"/>
      <c r="Y466" s="375"/>
      <c r="Z466" s="375"/>
      <c r="AA466" s="375"/>
      <c r="AB466" s="375"/>
      <c r="AC466" s="375"/>
      <c r="AD466" s="375"/>
      <c r="AE466" s="375"/>
      <c r="AF466" s="375"/>
    </row>
    <row r="467">
      <c r="A467" s="360"/>
      <c r="B467" s="360"/>
      <c r="C467" s="377"/>
      <c r="D467" s="377"/>
      <c r="E467" s="378"/>
      <c r="F467" s="377"/>
      <c r="G467" s="377"/>
      <c r="H467" s="378"/>
      <c r="I467" s="360"/>
      <c r="J467" s="377"/>
      <c r="K467" s="377"/>
      <c r="L467" s="378"/>
      <c r="M467" s="377"/>
      <c r="N467" s="377"/>
      <c r="O467" s="377"/>
      <c r="P467" s="364"/>
      <c r="Q467" s="360"/>
      <c r="R467" s="377"/>
      <c r="S467" s="377"/>
      <c r="T467" s="375"/>
      <c r="U467" s="375"/>
      <c r="V467" s="375"/>
      <c r="W467" s="375"/>
      <c r="X467" s="375"/>
      <c r="Y467" s="375"/>
      <c r="Z467" s="375"/>
      <c r="AA467" s="375"/>
      <c r="AB467" s="375"/>
      <c r="AC467" s="375"/>
      <c r="AD467" s="375"/>
      <c r="AE467" s="375"/>
      <c r="AF467" s="375"/>
    </row>
    <row r="468">
      <c r="A468" s="360"/>
      <c r="B468" s="360"/>
      <c r="C468" s="377"/>
      <c r="D468" s="377"/>
      <c r="E468" s="378"/>
      <c r="F468" s="377"/>
      <c r="G468" s="377"/>
      <c r="H468" s="378"/>
      <c r="I468" s="360"/>
      <c r="J468" s="377"/>
      <c r="K468" s="377"/>
      <c r="L468" s="378"/>
      <c r="M468" s="377"/>
      <c r="N468" s="377"/>
      <c r="O468" s="377"/>
      <c r="P468" s="364"/>
      <c r="Q468" s="360"/>
      <c r="R468" s="377"/>
      <c r="S468" s="377"/>
      <c r="T468" s="375"/>
      <c r="U468" s="375"/>
      <c r="V468" s="375"/>
      <c r="W468" s="375"/>
      <c r="X468" s="375"/>
      <c r="Y468" s="375"/>
      <c r="Z468" s="375"/>
      <c r="AA468" s="375"/>
      <c r="AB468" s="375"/>
      <c r="AC468" s="375"/>
      <c r="AD468" s="375"/>
      <c r="AE468" s="375"/>
      <c r="AF468" s="375"/>
    </row>
    <row r="469">
      <c r="A469" s="360"/>
      <c r="B469" s="360"/>
      <c r="C469" s="377"/>
      <c r="D469" s="377"/>
      <c r="E469" s="378"/>
      <c r="F469" s="377"/>
      <c r="G469" s="377"/>
      <c r="H469" s="378"/>
      <c r="I469" s="360"/>
      <c r="J469" s="377"/>
      <c r="K469" s="377"/>
      <c r="L469" s="378"/>
      <c r="M469" s="377"/>
      <c r="N469" s="377"/>
      <c r="O469" s="377"/>
      <c r="P469" s="364"/>
      <c r="Q469" s="360"/>
      <c r="R469" s="377"/>
      <c r="S469" s="377"/>
      <c r="T469" s="375"/>
      <c r="U469" s="375"/>
      <c r="V469" s="375"/>
      <c r="W469" s="375"/>
      <c r="X469" s="375"/>
      <c r="Y469" s="375"/>
      <c r="Z469" s="375"/>
      <c r="AA469" s="375"/>
      <c r="AB469" s="375"/>
      <c r="AC469" s="375"/>
      <c r="AD469" s="375"/>
      <c r="AE469" s="375"/>
      <c r="AF469" s="375"/>
    </row>
    <row r="470">
      <c r="A470" s="360"/>
      <c r="B470" s="360"/>
      <c r="C470" s="377"/>
      <c r="D470" s="377"/>
      <c r="E470" s="378"/>
      <c r="F470" s="377"/>
      <c r="G470" s="377"/>
      <c r="H470" s="378"/>
      <c r="I470" s="360"/>
      <c r="J470" s="377"/>
      <c r="K470" s="377"/>
      <c r="L470" s="378"/>
      <c r="M470" s="377"/>
      <c r="N470" s="377"/>
      <c r="O470" s="377"/>
      <c r="P470" s="364"/>
      <c r="Q470" s="360"/>
      <c r="R470" s="377"/>
      <c r="S470" s="377"/>
      <c r="T470" s="375"/>
      <c r="U470" s="375"/>
      <c r="V470" s="375"/>
      <c r="W470" s="375"/>
      <c r="X470" s="375"/>
      <c r="Y470" s="375"/>
      <c r="Z470" s="375"/>
      <c r="AA470" s="375"/>
      <c r="AB470" s="375"/>
      <c r="AC470" s="375"/>
      <c r="AD470" s="375"/>
      <c r="AE470" s="375"/>
      <c r="AF470" s="375"/>
    </row>
    <row r="471">
      <c r="A471" s="360"/>
      <c r="B471" s="360"/>
      <c r="C471" s="377"/>
      <c r="D471" s="377"/>
      <c r="E471" s="378"/>
      <c r="F471" s="377"/>
      <c r="G471" s="377"/>
      <c r="H471" s="378"/>
      <c r="I471" s="360"/>
      <c r="J471" s="377"/>
      <c r="K471" s="377"/>
      <c r="L471" s="378"/>
      <c r="M471" s="377"/>
      <c r="N471" s="377"/>
      <c r="O471" s="377"/>
      <c r="P471" s="364"/>
      <c r="Q471" s="360"/>
      <c r="R471" s="377"/>
      <c r="S471" s="377"/>
      <c r="T471" s="375"/>
      <c r="U471" s="375"/>
      <c r="V471" s="375"/>
      <c r="W471" s="375"/>
      <c r="X471" s="375"/>
      <c r="Y471" s="375"/>
      <c r="Z471" s="375"/>
      <c r="AA471" s="375"/>
      <c r="AB471" s="375"/>
      <c r="AC471" s="375"/>
      <c r="AD471" s="375"/>
      <c r="AE471" s="375"/>
      <c r="AF471" s="375"/>
    </row>
    <row r="472">
      <c r="A472" s="360"/>
      <c r="B472" s="360"/>
      <c r="C472" s="377"/>
      <c r="D472" s="377"/>
      <c r="E472" s="378"/>
      <c r="F472" s="377"/>
      <c r="G472" s="377"/>
      <c r="H472" s="378"/>
      <c r="I472" s="360"/>
      <c r="J472" s="377"/>
      <c r="K472" s="377"/>
      <c r="L472" s="378"/>
      <c r="M472" s="377"/>
      <c r="N472" s="377"/>
      <c r="O472" s="377"/>
      <c r="P472" s="364"/>
      <c r="Q472" s="360"/>
      <c r="R472" s="377"/>
      <c r="S472" s="377"/>
      <c r="T472" s="375"/>
      <c r="U472" s="375"/>
      <c r="V472" s="375"/>
      <c r="W472" s="375"/>
      <c r="X472" s="375"/>
      <c r="Y472" s="375"/>
      <c r="Z472" s="375"/>
      <c r="AA472" s="375"/>
      <c r="AB472" s="375"/>
      <c r="AC472" s="375"/>
      <c r="AD472" s="375"/>
      <c r="AE472" s="375"/>
      <c r="AF472" s="375"/>
    </row>
    <row r="473">
      <c r="A473" s="360"/>
      <c r="B473" s="360"/>
      <c r="C473" s="377"/>
      <c r="D473" s="377"/>
      <c r="E473" s="378"/>
      <c r="F473" s="377"/>
      <c r="G473" s="377"/>
      <c r="H473" s="378"/>
      <c r="I473" s="360"/>
      <c r="J473" s="377"/>
      <c r="K473" s="377"/>
      <c r="L473" s="378"/>
      <c r="M473" s="377"/>
      <c r="N473" s="377"/>
      <c r="O473" s="377"/>
      <c r="P473" s="364"/>
      <c r="Q473" s="360"/>
      <c r="R473" s="377"/>
      <c r="S473" s="377"/>
      <c r="T473" s="375"/>
      <c r="U473" s="375"/>
      <c r="V473" s="375"/>
      <c r="W473" s="375"/>
      <c r="X473" s="375"/>
      <c r="Y473" s="375"/>
      <c r="Z473" s="375"/>
      <c r="AA473" s="375"/>
      <c r="AB473" s="375"/>
      <c r="AC473" s="375"/>
      <c r="AD473" s="375"/>
      <c r="AE473" s="375"/>
      <c r="AF473" s="375"/>
    </row>
    <row r="474">
      <c r="A474" s="360"/>
      <c r="B474" s="360"/>
      <c r="C474" s="377"/>
      <c r="D474" s="377"/>
      <c r="E474" s="378"/>
      <c r="F474" s="377"/>
      <c r="G474" s="377"/>
      <c r="H474" s="378"/>
      <c r="I474" s="360"/>
      <c r="J474" s="377"/>
      <c r="K474" s="377"/>
      <c r="L474" s="378"/>
      <c r="M474" s="377"/>
      <c r="N474" s="377"/>
      <c r="O474" s="377"/>
      <c r="P474" s="364"/>
      <c r="Q474" s="360"/>
      <c r="R474" s="377"/>
      <c r="S474" s="377"/>
      <c r="T474" s="375"/>
      <c r="U474" s="375"/>
      <c r="V474" s="375"/>
      <c r="W474" s="375"/>
      <c r="X474" s="375"/>
      <c r="Y474" s="375"/>
      <c r="Z474" s="375"/>
      <c r="AA474" s="375"/>
      <c r="AB474" s="375"/>
      <c r="AC474" s="375"/>
      <c r="AD474" s="375"/>
      <c r="AE474" s="375"/>
      <c r="AF474" s="375"/>
    </row>
    <row r="475">
      <c r="A475" s="360"/>
      <c r="B475" s="360"/>
      <c r="C475" s="377"/>
      <c r="D475" s="377"/>
      <c r="E475" s="378"/>
      <c r="F475" s="377"/>
      <c r="G475" s="377"/>
      <c r="H475" s="378"/>
      <c r="I475" s="360"/>
      <c r="J475" s="377"/>
      <c r="K475" s="377"/>
      <c r="L475" s="378"/>
      <c r="M475" s="377"/>
      <c r="N475" s="377"/>
      <c r="O475" s="377"/>
      <c r="P475" s="364"/>
      <c r="Q475" s="360"/>
      <c r="R475" s="377"/>
      <c r="S475" s="377"/>
      <c r="T475" s="375"/>
      <c r="U475" s="375"/>
      <c r="V475" s="375"/>
      <c r="W475" s="375"/>
      <c r="X475" s="375"/>
      <c r="Y475" s="375"/>
      <c r="Z475" s="375"/>
      <c r="AA475" s="375"/>
      <c r="AB475" s="375"/>
      <c r="AC475" s="375"/>
      <c r="AD475" s="375"/>
      <c r="AE475" s="375"/>
      <c r="AF475" s="375"/>
    </row>
    <row r="476">
      <c r="A476" s="360"/>
      <c r="B476" s="360"/>
      <c r="C476" s="377"/>
      <c r="D476" s="377"/>
      <c r="E476" s="378"/>
      <c r="F476" s="377"/>
      <c r="G476" s="377"/>
      <c r="H476" s="378"/>
      <c r="I476" s="360"/>
      <c r="J476" s="377"/>
      <c r="K476" s="377"/>
      <c r="L476" s="378"/>
      <c r="M476" s="377"/>
      <c r="N476" s="377"/>
      <c r="O476" s="377"/>
      <c r="P476" s="364"/>
      <c r="Q476" s="360"/>
      <c r="R476" s="377"/>
      <c r="S476" s="377"/>
      <c r="T476" s="375"/>
      <c r="U476" s="375"/>
      <c r="V476" s="375"/>
      <c r="W476" s="375"/>
      <c r="X476" s="375"/>
      <c r="Y476" s="375"/>
      <c r="Z476" s="375"/>
      <c r="AA476" s="375"/>
      <c r="AB476" s="375"/>
      <c r="AC476" s="375"/>
      <c r="AD476" s="375"/>
      <c r="AE476" s="375"/>
      <c r="AF476" s="375"/>
    </row>
    <row r="477">
      <c r="A477" s="360"/>
      <c r="B477" s="360"/>
      <c r="C477" s="377"/>
      <c r="D477" s="377"/>
      <c r="E477" s="378"/>
      <c r="F477" s="377"/>
      <c r="G477" s="377"/>
      <c r="H477" s="378"/>
      <c r="I477" s="360"/>
      <c r="J477" s="377"/>
      <c r="K477" s="377"/>
      <c r="L477" s="378"/>
      <c r="M477" s="377"/>
      <c r="N477" s="377"/>
      <c r="O477" s="377"/>
      <c r="P477" s="364"/>
      <c r="Q477" s="360"/>
      <c r="R477" s="377"/>
      <c r="S477" s="377"/>
      <c r="T477" s="375"/>
      <c r="U477" s="375"/>
      <c r="V477" s="375"/>
      <c r="W477" s="375"/>
      <c r="X477" s="375"/>
      <c r="Y477" s="375"/>
      <c r="Z477" s="375"/>
      <c r="AA477" s="375"/>
      <c r="AB477" s="375"/>
      <c r="AC477" s="375"/>
      <c r="AD477" s="375"/>
      <c r="AE477" s="375"/>
      <c r="AF477" s="375"/>
    </row>
    <row r="478">
      <c r="A478" s="360"/>
      <c r="B478" s="360"/>
      <c r="C478" s="377"/>
      <c r="D478" s="377"/>
      <c r="E478" s="378"/>
      <c r="F478" s="377"/>
      <c r="G478" s="377"/>
      <c r="H478" s="378"/>
      <c r="I478" s="360"/>
      <c r="J478" s="377"/>
      <c r="K478" s="377"/>
      <c r="L478" s="378"/>
      <c r="M478" s="377"/>
      <c r="N478" s="377"/>
      <c r="O478" s="377"/>
      <c r="P478" s="364"/>
      <c r="Q478" s="360"/>
      <c r="R478" s="377"/>
      <c r="S478" s="377"/>
      <c r="T478" s="375"/>
      <c r="U478" s="375"/>
      <c r="V478" s="375"/>
      <c r="W478" s="375"/>
      <c r="X478" s="375"/>
      <c r="Y478" s="375"/>
      <c r="Z478" s="375"/>
      <c r="AA478" s="375"/>
      <c r="AB478" s="375"/>
      <c r="AC478" s="375"/>
      <c r="AD478" s="375"/>
      <c r="AE478" s="375"/>
      <c r="AF478" s="375"/>
    </row>
    <row r="479">
      <c r="A479" s="360"/>
      <c r="B479" s="360"/>
      <c r="C479" s="377"/>
      <c r="D479" s="377"/>
      <c r="E479" s="378"/>
      <c r="F479" s="377"/>
      <c r="G479" s="377"/>
      <c r="H479" s="378"/>
      <c r="I479" s="360"/>
      <c r="J479" s="377"/>
      <c r="K479" s="377"/>
      <c r="L479" s="378"/>
      <c r="M479" s="377"/>
      <c r="N479" s="377"/>
      <c r="O479" s="377"/>
      <c r="P479" s="364"/>
      <c r="Q479" s="360"/>
      <c r="R479" s="377"/>
      <c r="S479" s="377"/>
      <c r="T479" s="375"/>
      <c r="U479" s="375"/>
      <c r="V479" s="375"/>
      <c r="W479" s="375"/>
      <c r="X479" s="375"/>
      <c r="Y479" s="375"/>
      <c r="Z479" s="375"/>
      <c r="AA479" s="375"/>
      <c r="AB479" s="375"/>
      <c r="AC479" s="375"/>
      <c r="AD479" s="375"/>
      <c r="AE479" s="375"/>
      <c r="AF479" s="375"/>
    </row>
    <row r="480">
      <c r="A480" s="360"/>
      <c r="B480" s="360"/>
      <c r="C480" s="377"/>
      <c r="D480" s="377"/>
      <c r="E480" s="378"/>
      <c r="F480" s="377"/>
      <c r="G480" s="377"/>
      <c r="H480" s="378"/>
      <c r="I480" s="360"/>
      <c r="J480" s="377"/>
      <c r="K480" s="377"/>
      <c r="L480" s="378"/>
      <c r="M480" s="377"/>
      <c r="N480" s="377"/>
      <c r="O480" s="377"/>
      <c r="P480" s="364"/>
      <c r="Q480" s="360"/>
      <c r="R480" s="377"/>
      <c r="S480" s="377"/>
      <c r="T480" s="375"/>
      <c r="U480" s="375"/>
      <c r="V480" s="375"/>
      <c r="W480" s="375"/>
      <c r="X480" s="375"/>
      <c r="Y480" s="375"/>
      <c r="Z480" s="375"/>
      <c r="AA480" s="375"/>
      <c r="AB480" s="375"/>
      <c r="AC480" s="375"/>
      <c r="AD480" s="375"/>
      <c r="AE480" s="375"/>
      <c r="AF480" s="375"/>
    </row>
    <row r="481">
      <c r="A481" s="360"/>
      <c r="B481" s="360"/>
      <c r="C481" s="377"/>
      <c r="D481" s="377"/>
      <c r="E481" s="378"/>
      <c r="F481" s="377"/>
      <c r="G481" s="377"/>
      <c r="H481" s="378"/>
      <c r="I481" s="360"/>
      <c r="J481" s="377"/>
      <c r="K481" s="377"/>
      <c r="L481" s="378"/>
      <c r="M481" s="377"/>
      <c r="N481" s="377"/>
      <c r="O481" s="377"/>
      <c r="P481" s="364"/>
      <c r="Q481" s="360"/>
      <c r="R481" s="377"/>
      <c r="S481" s="377"/>
      <c r="T481" s="375"/>
      <c r="U481" s="375"/>
      <c r="V481" s="375"/>
      <c r="W481" s="375"/>
      <c r="X481" s="375"/>
      <c r="Y481" s="375"/>
      <c r="Z481" s="375"/>
      <c r="AA481" s="375"/>
      <c r="AB481" s="375"/>
      <c r="AC481" s="375"/>
      <c r="AD481" s="375"/>
      <c r="AE481" s="375"/>
      <c r="AF481" s="375"/>
    </row>
    <row r="482">
      <c r="A482" s="360"/>
      <c r="B482" s="360"/>
      <c r="C482" s="377"/>
      <c r="D482" s="377"/>
      <c r="E482" s="378"/>
      <c r="F482" s="377"/>
      <c r="G482" s="377"/>
      <c r="H482" s="378"/>
      <c r="I482" s="360"/>
      <c r="J482" s="377"/>
      <c r="K482" s="377"/>
      <c r="L482" s="378"/>
      <c r="M482" s="377"/>
      <c r="N482" s="377"/>
      <c r="O482" s="377"/>
      <c r="P482" s="364"/>
      <c r="Q482" s="360"/>
      <c r="R482" s="377"/>
      <c r="S482" s="377"/>
      <c r="T482" s="375"/>
      <c r="U482" s="375"/>
      <c r="V482" s="375"/>
      <c r="W482" s="375"/>
      <c r="X482" s="375"/>
      <c r="Y482" s="375"/>
      <c r="Z482" s="375"/>
      <c r="AA482" s="375"/>
      <c r="AB482" s="375"/>
      <c r="AC482" s="375"/>
      <c r="AD482" s="375"/>
      <c r="AE482" s="375"/>
      <c r="AF482" s="375"/>
    </row>
    <row r="483">
      <c r="A483" s="360"/>
      <c r="B483" s="360"/>
      <c r="C483" s="377"/>
      <c r="D483" s="377"/>
      <c r="E483" s="378"/>
      <c r="F483" s="377"/>
      <c r="G483" s="377"/>
      <c r="H483" s="378"/>
      <c r="I483" s="360"/>
      <c r="J483" s="377"/>
      <c r="K483" s="377"/>
      <c r="L483" s="378"/>
      <c r="M483" s="377"/>
      <c r="N483" s="377"/>
      <c r="O483" s="377"/>
      <c r="P483" s="364"/>
      <c r="Q483" s="360"/>
      <c r="R483" s="377"/>
      <c r="S483" s="377"/>
      <c r="T483" s="375"/>
      <c r="U483" s="375"/>
      <c r="V483" s="375"/>
      <c r="W483" s="375"/>
      <c r="X483" s="375"/>
      <c r="Y483" s="375"/>
      <c r="Z483" s="375"/>
      <c r="AA483" s="375"/>
      <c r="AB483" s="375"/>
      <c r="AC483" s="375"/>
      <c r="AD483" s="375"/>
      <c r="AE483" s="375"/>
      <c r="AF483" s="375"/>
    </row>
    <row r="484">
      <c r="A484" s="360"/>
      <c r="B484" s="360"/>
      <c r="C484" s="377"/>
      <c r="D484" s="377"/>
      <c r="E484" s="378"/>
      <c r="F484" s="377"/>
      <c r="G484" s="377"/>
      <c r="H484" s="378"/>
      <c r="I484" s="360"/>
      <c r="J484" s="377"/>
      <c r="K484" s="377"/>
      <c r="L484" s="378"/>
      <c r="M484" s="377"/>
      <c r="N484" s="377"/>
      <c r="O484" s="377"/>
      <c r="P484" s="364"/>
      <c r="Q484" s="360"/>
      <c r="R484" s="377"/>
      <c r="S484" s="377"/>
      <c r="T484" s="375"/>
      <c r="U484" s="375"/>
      <c r="V484" s="375"/>
      <c r="W484" s="375"/>
      <c r="X484" s="375"/>
      <c r="Y484" s="375"/>
      <c r="Z484" s="375"/>
      <c r="AA484" s="375"/>
      <c r="AB484" s="375"/>
      <c r="AC484" s="375"/>
      <c r="AD484" s="375"/>
      <c r="AE484" s="375"/>
      <c r="AF484" s="375"/>
    </row>
    <row r="485">
      <c r="A485" s="360"/>
      <c r="B485" s="360"/>
      <c r="C485" s="377"/>
      <c r="D485" s="377"/>
      <c r="E485" s="378"/>
      <c r="F485" s="377"/>
      <c r="G485" s="377"/>
      <c r="H485" s="378"/>
      <c r="I485" s="360"/>
      <c r="J485" s="377"/>
      <c r="K485" s="377"/>
      <c r="L485" s="378"/>
      <c r="M485" s="377"/>
      <c r="N485" s="377"/>
      <c r="O485" s="377"/>
      <c r="P485" s="364"/>
      <c r="Q485" s="360"/>
      <c r="R485" s="377"/>
      <c r="S485" s="377"/>
      <c r="T485" s="375"/>
      <c r="U485" s="375"/>
      <c r="V485" s="375"/>
      <c r="W485" s="375"/>
      <c r="X485" s="375"/>
      <c r="Y485" s="375"/>
      <c r="Z485" s="375"/>
      <c r="AA485" s="375"/>
      <c r="AB485" s="375"/>
      <c r="AC485" s="375"/>
      <c r="AD485" s="375"/>
      <c r="AE485" s="375"/>
      <c r="AF485" s="375"/>
    </row>
    <row r="486">
      <c r="A486" s="360"/>
      <c r="B486" s="360"/>
      <c r="C486" s="377"/>
      <c r="D486" s="377"/>
      <c r="E486" s="378"/>
      <c r="F486" s="377"/>
      <c r="G486" s="377"/>
      <c r="H486" s="378"/>
      <c r="I486" s="360"/>
      <c r="J486" s="377"/>
      <c r="K486" s="377"/>
      <c r="L486" s="378"/>
      <c r="M486" s="377"/>
      <c r="N486" s="377"/>
      <c r="O486" s="377"/>
      <c r="P486" s="364"/>
      <c r="Q486" s="360"/>
      <c r="R486" s="377"/>
      <c r="S486" s="377"/>
      <c r="T486" s="375"/>
      <c r="U486" s="375"/>
      <c r="V486" s="375"/>
      <c r="W486" s="375"/>
      <c r="X486" s="375"/>
      <c r="Y486" s="375"/>
      <c r="Z486" s="375"/>
      <c r="AA486" s="375"/>
      <c r="AB486" s="375"/>
      <c r="AC486" s="375"/>
      <c r="AD486" s="375"/>
      <c r="AE486" s="375"/>
      <c r="AF486" s="375"/>
    </row>
    <row r="487">
      <c r="A487" s="360"/>
      <c r="B487" s="360"/>
      <c r="C487" s="377"/>
      <c r="D487" s="377"/>
      <c r="E487" s="378"/>
      <c r="F487" s="377"/>
      <c r="G487" s="377"/>
      <c r="H487" s="378"/>
      <c r="I487" s="360"/>
      <c r="J487" s="377"/>
      <c r="K487" s="377"/>
      <c r="L487" s="378"/>
      <c r="M487" s="377"/>
      <c r="N487" s="377"/>
      <c r="O487" s="377"/>
      <c r="P487" s="364"/>
      <c r="Q487" s="360"/>
      <c r="R487" s="377"/>
      <c r="S487" s="377"/>
      <c r="T487" s="375"/>
      <c r="U487" s="375"/>
      <c r="V487" s="375"/>
      <c r="W487" s="375"/>
      <c r="X487" s="375"/>
      <c r="Y487" s="375"/>
      <c r="Z487" s="375"/>
      <c r="AA487" s="375"/>
      <c r="AB487" s="375"/>
      <c r="AC487" s="375"/>
      <c r="AD487" s="375"/>
      <c r="AE487" s="375"/>
      <c r="AF487" s="375"/>
    </row>
    <row r="488">
      <c r="A488" s="360"/>
      <c r="B488" s="360"/>
      <c r="C488" s="377"/>
      <c r="D488" s="377"/>
      <c r="E488" s="378"/>
      <c r="F488" s="377"/>
      <c r="G488" s="377"/>
      <c r="H488" s="378"/>
      <c r="I488" s="360"/>
      <c r="J488" s="377"/>
      <c r="K488" s="377"/>
      <c r="L488" s="378"/>
      <c r="M488" s="377"/>
      <c r="N488" s="377"/>
      <c r="O488" s="377"/>
      <c r="P488" s="364"/>
      <c r="Q488" s="360"/>
      <c r="R488" s="377"/>
      <c r="S488" s="377"/>
      <c r="T488" s="375"/>
      <c r="U488" s="375"/>
      <c r="V488" s="375"/>
      <c r="W488" s="375"/>
      <c r="X488" s="375"/>
      <c r="Y488" s="375"/>
      <c r="Z488" s="375"/>
      <c r="AA488" s="375"/>
      <c r="AB488" s="375"/>
      <c r="AC488" s="375"/>
      <c r="AD488" s="375"/>
      <c r="AE488" s="375"/>
      <c r="AF488" s="375"/>
    </row>
    <row r="489">
      <c r="A489" s="360"/>
      <c r="B489" s="360"/>
      <c r="C489" s="377"/>
      <c r="D489" s="377"/>
      <c r="E489" s="378"/>
      <c r="F489" s="377"/>
      <c r="G489" s="377"/>
      <c r="H489" s="378"/>
      <c r="I489" s="360"/>
      <c r="J489" s="377"/>
      <c r="K489" s="377"/>
      <c r="L489" s="378"/>
      <c r="M489" s="377"/>
      <c r="N489" s="377"/>
      <c r="O489" s="377"/>
      <c r="P489" s="364"/>
      <c r="Q489" s="360"/>
      <c r="R489" s="377"/>
      <c r="S489" s="377"/>
      <c r="T489" s="375"/>
      <c r="U489" s="375"/>
      <c r="V489" s="375"/>
      <c r="W489" s="375"/>
      <c r="X489" s="375"/>
      <c r="Y489" s="375"/>
      <c r="Z489" s="375"/>
      <c r="AA489" s="375"/>
      <c r="AB489" s="375"/>
      <c r="AC489" s="375"/>
      <c r="AD489" s="375"/>
      <c r="AE489" s="375"/>
      <c r="AF489" s="375"/>
    </row>
    <row r="490">
      <c r="A490" s="360"/>
      <c r="B490" s="360"/>
      <c r="C490" s="377"/>
      <c r="D490" s="377"/>
      <c r="E490" s="378"/>
      <c r="F490" s="377"/>
      <c r="G490" s="377"/>
      <c r="H490" s="378"/>
      <c r="I490" s="360"/>
      <c r="J490" s="377"/>
      <c r="K490" s="377"/>
      <c r="L490" s="378"/>
      <c r="M490" s="377"/>
      <c r="N490" s="377"/>
      <c r="O490" s="377"/>
      <c r="P490" s="364"/>
      <c r="Q490" s="360"/>
      <c r="R490" s="377"/>
      <c r="S490" s="377"/>
      <c r="T490" s="375"/>
      <c r="U490" s="375"/>
      <c r="V490" s="375"/>
      <c r="W490" s="375"/>
      <c r="X490" s="375"/>
      <c r="Y490" s="375"/>
      <c r="Z490" s="375"/>
      <c r="AA490" s="375"/>
      <c r="AB490" s="375"/>
      <c r="AC490" s="375"/>
      <c r="AD490" s="375"/>
      <c r="AE490" s="375"/>
      <c r="AF490" s="375"/>
    </row>
    <row r="491">
      <c r="A491" s="360"/>
      <c r="B491" s="360"/>
      <c r="C491" s="377"/>
      <c r="D491" s="377"/>
      <c r="E491" s="378"/>
      <c r="F491" s="377"/>
      <c r="G491" s="377"/>
      <c r="H491" s="378"/>
      <c r="I491" s="360"/>
      <c r="J491" s="377"/>
      <c r="K491" s="377"/>
      <c r="L491" s="378"/>
      <c r="M491" s="377"/>
      <c r="N491" s="377"/>
      <c r="O491" s="377"/>
      <c r="P491" s="364"/>
      <c r="Q491" s="360"/>
      <c r="R491" s="377"/>
      <c r="S491" s="377"/>
      <c r="T491" s="375"/>
      <c r="U491" s="375"/>
      <c r="V491" s="375"/>
      <c r="W491" s="375"/>
      <c r="X491" s="375"/>
      <c r="Y491" s="375"/>
      <c r="Z491" s="375"/>
      <c r="AA491" s="375"/>
      <c r="AB491" s="375"/>
      <c r="AC491" s="375"/>
      <c r="AD491" s="375"/>
      <c r="AE491" s="375"/>
      <c r="AF491" s="375"/>
    </row>
    <row r="492">
      <c r="A492" s="360"/>
      <c r="B492" s="360"/>
      <c r="C492" s="377"/>
      <c r="D492" s="377"/>
      <c r="E492" s="378"/>
      <c r="F492" s="377"/>
      <c r="G492" s="377"/>
      <c r="H492" s="378"/>
      <c r="I492" s="360"/>
      <c r="J492" s="377"/>
      <c r="K492" s="377"/>
      <c r="L492" s="378"/>
      <c r="M492" s="377"/>
      <c r="N492" s="377"/>
      <c r="O492" s="377"/>
      <c r="P492" s="364"/>
      <c r="Q492" s="360"/>
      <c r="R492" s="377"/>
      <c r="S492" s="377"/>
      <c r="T492" s="375"/>
      <c r="U492" s="375"/>
      <c r="V492" s="375"/>
      <c r="W492" s="375"/>
      <c r="X492" s="375"/>
      <c r="Y492" s="375"/>
      <c r="Z492" s="375"/>
      <c r="AA492" s="375"/>
      <c r="AB492" s="375"/>
      <c r="AC492" s="375"/>
      <c r="AD492" s="375"/>
      <c r="AE492" s="375"/>
      <c r="AF492" s="375"/>
    </row>
    <row r="493">
      <c r="A493" s="360"/>
      <c r="B493" s="360"/>
      <c r="C493" s="377"/>
      <c r="D493" s="377"/>
      <c r="E493" s="378"/>
      <c r="F493" s="377"/>
      <c r="G493" s="377"/>
      <c r="H493" s="378"/>
      <c r="I493" s="360"/>
      <c r="J493" s="377"/>
      <c r="K493" s="377"/>
      <c r="L493" s="378"/>
      <c r="M493" s="377"/>
      <c r="N493" s="377"/>
      <c r="O493" s="377"/>
      <c r="P493" s="364"/>
      <c r="Q493" s="360"/>
      <c r="R493" s="377"/>
      <c r="S493" s="377"/>
      <c r="T493" s="375"/>
      <c r="U493" s="375"/>
      <c r="V493" s="375"/>
      <c r="W493" s="375"/>
      <c r="X493" s="375"/>
      <c r="Y493" s="375"/>
      <c r="Z493" s="375"/>
      <c r="AA493" s="375"/>
      <c r="AB493" s="375"/>
      <c r="AC493" s="375"/>
      <c r="AD493" s="375"/>
      <c r="AE493" s="375"/>
      <c r="AF493" s="375"/>
    </row>
    <row r="494">
      <c r="A494" s="360"/>
      <c r="B494" s="360"/>
      <c r="C494" s="377"/>
      <c r="D494" s="377"/>
      <c r="E494" s="378"/>
      <c r="F494" s="377"/>
      <c r="G494" s="377"/>
      <c r="H494" s="378"/>
      <c r="I494" s="360"/>
      <c r="J494" s="377"/>
      <c r="K494" s="377"/>
      <c r="L494" s="378"/>
      <c r="M494" s="377"/>
      <c r="N494" s="377"/>
      <c r="O494" s="377"/>
      <c r="P494" s="364"/>
      <c r="Q494" s="360"/>
      <c r="R494" s="377"/>
      <c r="S494" s="377"/>
      <c r="T494" s="375"/>
      <c r="U494" s="375"/>
      <c r="V494" s="375"/>
      <c r="W494" s="375"/>
      <c r="X494" s="375"/>
      <c r="Y494" s="375"/>
      <c r="Z494" s="375"/>
      <c r="AA494" s="375"/>
      <c r="AB494" s="375"/>
      <c r="AC494" s="375"/>
      <c r="AD494" s="375"/>
      <c r="AE494" s="375"/>
      <c r="AF494" s="375"/>
    </row>
    <row r="495">
      <c r="A495" s="360"/>
      <c r="B495" s="360"/>
      <c r="C495" s="377"/>
      <c r="D495" s="377"/>
      <c r="E495" s="378"/>
      <c r="F495" s="377"/>
      <c r="G495" s="377"/>
      <c r="H495" s="378"/>
      <c r="I495" s="360"/>
      <c r="J495" s="377"/>
      <c r="K495" s="377"/>
      <c r="L495" s="378"/>
      <c r="M495" s="377"/>
      <c r="N495" s="377"/>
      <c r="O495" s="377"/>
      <c r="P495" s="364"/>
      <c r="Q495" s="360"/>
      <c r="R495" s="377"/>
      <c r="S495" s="377"/>
      <c r="T495" s="375"/>
      <c r="U495" s="375"/>
      <c r="V495" s="375"/>
      <c r="W495" s="375"/>
      <c r="X495" s="375"/>
      <c r="Y495" s="375"/>
      <c r="Z495" s="375"/>
      <c r="AA495" s="375"/>
      <c r="AB495" s="375"/>
      <c r="AC495" s="375"/>
      <c r="AD495" s="375"/>
      <c r="AE495" s="375"/>
      <c r="AF495" s="375"/>
    </row>
    <row r="496">
      <c r="A496" s="360"/>
      <c r="B496" s="360"/>
      <c r="C496" s="377"/>
      <c r="D496" s="377"/>
      <c r="E496" s="378"/>
      <c r="F496" s="377"/>
      <c r="G496" s="377"/>
      <c r="H496" s="378"/>
      <c r="I496" s="360"/>
      <c r="J496" s="377"/>
      <c r="K496" s="377"/>
      <c r="L496" s="378"/>
      <c r="M496" s="377"/>
      <c r="N496" s="377"/>
      <c r="O496" s="377"/>
      <c r="P496" s="364"/>
      <c r="Q496" s="360"/>
      <c r="R496" s="377"/>
      <c r="S496" s="377"/>
      <c r="T496" s="375"/>
      <c r="U496" s="375"/>
      <c r="V496" s="375"/>
      <c r="W496" s="375"/>
      <c r="X496" s="375"/>
      <c r="Y496" s="375"/>
      <c r="Z496" s="375"/>
      <c r="AA496" s="375"/>
      <c r="AB496" s="375"/>
      <c r="AC496" s="375"/>
      <c r="AD496" s="375"/>
      <c r="AE496" s="375"/>
      <c r="AF496" s="375"/>
    </row>
    <row r="497">
      <c r="A497" s="360"/>
      <c r="B497" s="360"/>
      <c r="C497" s="377"/>
      <c r="D497" s="377"/>
      <c r="E497" s="378"/>
      <c r="F497" s="377"/>
      <c r="G497" s="377"/>
      <c r="H497" s="378"/>
      <c r="I497" s="360"/>
      <c r="J497" s="377"/>
      <c r="K497" s="377"/>
      <c r="L497" s="378"/>
      <c r="M497" s="377"/>
      <c r="N497" s="377"/>
      <c r="O497" s="377"/>
      <c r="P497" s="364"/>
      <c r="Q497" s="360"/>
      <c r="R497" s="377"/>
      <c r="S497" s="377"/>
      <c r="T497" s="375"/>
      <c r="U497" s="375"/>
      <c r="V497" s="375"/>
      <c r="W497" s="375"/>
      <c r="X497" s="375"/>
      <c r="Y497" s="375"/>
      <c r="Z497" s="375"/>
      <c r="AA497" s="375"/>
      <c r="AB497" s="375"/>
      <c r="AC497" s="375"/>
      <c r="AD497" s="375"/>
      <c r="AE497" s="375"/>
      <c r="AF497" s="375"/>
    </row>
    <row r="498">
      <c r="A498" s="360"/>
      <c r="B498" s="360"/>
      <c r="C498" s="377"/>
      <c r="D498" s="377"/>
      <c r="E498" s="378"/>
      <c r="F498" s="377"/>
      <c r="G498" s="377"/>
      <c r="H498" s="378"/>
      <c r="I498" s="360"/>
      <c r="J498" s="377"/>
      <c r="K498" s="377"/>
      <c r="L498" s="378"/>
      <c r="M498" s="377"/>
      <c r="N498" s="377"/>
      <c r="O498" s="377"/>
      <c r="P498" s="364"/>
      <c r="Q498" s="360"/>
      <c r="R498" s="377"/>
      <c r="S498" s="377"/>
      <c r="T498" s="375"/>
      <c r="U498" s="375"/>
      <c r="V498" s="375"/>
      <c r="W498" s="375"/>
      <c r="X498" s="375"/>
      <c r="Y498" s="375"/>
      <c r="Z498" s="375"/>
      <c r="AA498" s="375"/>
      <c r="AB498" s="375"/>
      <c r="AC498" s="375"/>
      <c r="AD498" s="375"/>
      <c r="AE498" s="375"/>
      <c r="AF498" s="375"/>
    </row>
    <row r="499">
      <c r="A499" s="360"/>
      <c r="B499" s="360"/>
      <c r="C499" s="377"/>
      <c r="D499" s="377"/>
      <c r="E499" s="378"/>
      <c r="F499" s="377"/>
      <c r="G499" s="377"/>
      <c r="H499" s="378"/>
      <c r="I499" s="360"/>
      <c r="J499" s="377"/>
      <c r="K499" s="377"/>
      <c r="L499" s="378"/>
      <c r="M499" s="377"/>
      <c r="N499" s="377"/>
      <c r="O499" s="377"/>
      <c r="P499" s="364"/>
      <c r="Q499" s="360"/>
      <c r="R499" s="377"/>
      <c r="S499" s="377"/>
      <c r="T499" s="375"/>
      <c r="U499" s="375"/>
      <c r="V499" s="375"/>
      <c r="W499" s="375"/>
      <c r="X499" s="375"/>
      <c r="Y499" s="375"/>
      <c r="Z499" s="375"/>
      <c r="AA499" s="375"/>
      <c r="AB499" s="375"/>
      <c r="AC499" s="375"/>
      <c r="AD499" s="375"/>
      <c r="AE499" s="375"/>
      <c r="AF499" s="375"/>
    </row>
    <row r="500">
      <c r="A500" s="360"/>
      <c r="B500" s="360"/>
      <c r="C500" s="377"/>
      <c r="D500" s="377"/>
      <c r="E500" s="378"/>
      <c r="F500" s="377"/>
      <c r="G500" s="377"/>
      <c r="H500" s="378"/>
      <c r="I500" s="360"/>
      <c r="J500" s="377"/>
      <c r="K500" s="377"/>
      <c r="L500" s="378"/>
      <c r="M500" s="377"/>
      <c r="N500" s="377"/>
      <c r="O500" s="377"/>
      <c r="P500" s="364"/>
      <c r="Q500" s="360"/>
      <c r="R500" s="377"/>
      <c r="S500" s="377"/>
      <c r="T500" s="375"/>
      <c r="U500" s="375"/>
      <c r="V500" s="375"/>
      <c r="W500" s="375"/>
      <c r="X500" s="375"/>
      <c r="Y500" s="375"/>
      <c r="Z500" s="375"/>
      <c r="AA500" s="375"/>
      <c r="AB500" s="375"/>
      <c r="AC500" s="375"/>
      <c r="AD500" s="375"/>
      <c r="AE500" s="375"/>
      <c r="AF500" s="375"/>
    </row>
    <row r="501">
      <c r="A501" s="360"/>
      <c r="B501" s="360"/>
      <c r="C501" s="377"/>
      <c r="D501" s="377"/>
      <c r="E501" s="378"/>
      <c r="F501" s="377"/>
      <c r="G501" s="377"/>
      <c r="H501" s="378"/>
      <c r="I501" s="360"/>
      <c r="J501" s="377"/>
      <c r="K501" s="377"/>
      <c r="L501" s="378"/>
      <c r="M501" s="377"/>
      <c r="N501" s="377"/>
      <c r="O501" s="377"/>
      <c r="P501" s="364"/>
      <c r="Q501" s="360"/>
      <c r="R501" s="377"/>
      <c r="S501" s="377"/>
      <c r="T501" s="375"/>
      <c r="U501" s="375"/>
      <c r="V501" s="375"/>
      <c r="W501" s="375"/>
      <c r="X501" s="375"/>
      <c r="Y501" s="375"/>
      <c r="Z501" s="375"/>
      <c r="AA501" s="375"/>
      <c r="AB501" s="375"/>
      <c r="AC501" s="375"/>
      <c r="AD501" s="375"/>
      <c r="AE501" s="375"/>
      <c r="AF501" s="375"/>
    </row>
    <row r="502">
      <c r="A502" s="360"/>
      <c r="B502" s="360"/>
      <c r="C502" s="377"/>
      <c r="D502" s="377"/>
      <c r="E502" s="378"/>
      <c r="F502" s="377"/>
      <c r="G502" s="377"/>
      <c r="H502" s="378"/>
      <c r="I502" s="360"/>
      <c r="J502" s="377"/>
      <c r="K502" s="377"/>
      <c r="L502" s="378"/>
      <c r="M502" s="377"/>
      <c r="N502" s="377"/>
      <c r="O502" s="377"/>
      <c r="P502" s="364"/>
      <c r="Q502" s="360"/>
      <c r="R502" s="377"/>
      <c r="S502" s="377"/>
      <c r="T502" s="375"/>
      <c r="U502" s="375"/>
      <c r="V502" s="375"/>
      <c r="W502" s="375"/>
      <c r="X502" s="375"/>
      <c r="Y502" s="375"/>
      <c r="Z502" s="375"/>
      <c r="AA502" s="375"/>
      <c r="AB502" s="375"/>
      <c r="AC502" s="375"/>
      <c r="AD502" s="375"/>
      <c r="AE502" s="375"/>
      <c r="AF502" s="375"/>
    </row>
    <row r="503">
      <c r="A503" s="360"/>
      <c r="B503" s="360"/>
      <c r="C503" s="377"/>
      <c r="D503" s="377"/>
      <c r="E503" s="378"/>
      <c r="F503" s="377"/>
      <c r="G503" s="377"/>
      <c r="H503" s="378"/>
      <c r="I503" s="360"/>
      <c r="J503" s="377"/>
      <c r="K503" s="377"/>
      <c r="L503" s="378"/>
      <c r="M503" s="377"/>
      <c r="N503" s="377"/>
      <c r="O503" s="377"/>
      <c r="P503" s="364"/>
      <c r="Q503" s="360"/>
      <c r="R503" s="377"/>
      <c r="S503" s="377"/>
      <c r="T503" s="375"/>
      <c r="U503" s="375"/>
      <c r="V503" s="375"/>
      <c r="W503" s="375"/>
      <c r="X503" s="375"/>
      <c r="Y503" s="375"/>
      <c r="Z503" s="375"/>
      <c r="AA503" s="375"/>
      <c r="AB503" s="375"/>
      <c r="AC503" s="375"/>
      <c r="AD503" s="375"/>
      <c r="AE503" s="375"/>
      <c r="AF503" s="375"/>
    </row>
    <row r="504">
      <c r="A504" s="360"/>
      <c r="B504" s="360"/>
      <c r="C504" s="377"/>
      <c r="D504" s="377"/>
      <c r="E504" s="378"/>
      <c r="F504" s="377"/>
      <c r="G504" s="377"/>
      <c r="H504" s="378"/>
      <c r="I504" s="360"/>
      <c r="J504" s="377"/>
      <c r="K504" s="377"/>
      <c r="L504" s="378"/>
      <c r="M504" s="377"/>
      <c r="N504" s="377"/>
      <c r="O504" s="377"/>
      <c r="P504" s="364"/>
      <c r="Q504" s="360"/>
      <c r="R504" s="377"/>
      <c r="S504" s="377"/>
      <c r="T504" s="375"/>
      <c r="U504" s="375"/>
      <c r="V504" s="375"/>
      <c r="W504" s="375"/>
      <c r="X504" s="375"/>
      <c r="Y504" s="375"/>
      <c r="Z504" s="375"/>
      <c r="AA504" s="375"/>
      <c r="AB504" s="375"/>
      <c r="AC504" s="375"/>
      <c r="AD504" s="375"/>
      <c r="AE504" s="375"/>
      <c r="AF504" s="375"/>
    </row>
    <row r="505">
      <c r="A505" s="360"/>
      <c r="B505" s="360"/>
      <c r="C505" s="377"/>
      <c r="D505" s="377"/>
      <c r="E505" s="378"/>
      <c r="F505" s="377"/>
      <c r="G505" s="377"/>
      <c r="H505" s="378"/>
      <c r="I505" s="360"/>
      <c r="J505" s="377"/>
      <c r="K505" s="377"/>
      <c r="L505" s="378"/>
      <c r="M505" s="377"/>
      <c r="N505" s="377"/>
      <c r="O505" s="377"/>
      <c r="P505" s="364"/>
      <c r="Q505" s="360"/>
      <c r="R505" s="377"/>
      <c r="S505" s="377"/>
      <c r="T505" s="375"/>
      <c r="U505" s="375"/>
      <c r="V505" s="375"/>
      <c r="W505" s="375"/>
      <c r="X505" s="375"/>
      <c r="Y505" s="375"/>
      <c r="Z505" s="375"/>
      <c r="AA505" s="375"/>
      <c r="AB505" s="375"/>
      <c r="AC505" s="375"/>
      <c r="AD505" s="375"/>
      <c r="AE505" s="375"/>
      <c r="AF505" s="375"/>
    </row>
    <row r="506">
      <c r="A506" s="360"/>
      <c r="B506" s="360"/>
      <c r="C506" s="377"/>
      <c r="D506" s="377"/>
      <c r="E506" s="378"/>
      <c r="F506" s="377"/>
      <c r="G506" s="377"/>
      <c r="H506" s="378"/>
      <c r="I506" s="360"/>
      <c r="J506" s="377"/>
      <c r="K506" s="377"/>
      <c r="L506" s="378"/>
      <c r="M506" s="377"/>
      <c r="N506" s="377"/>
      <c r="O506" s="377"/>
      <c r="P506" s="364"/>
      <c r="Q506" s="360"/>
      <c r="R506" s="377"/>
      <c r="S506" s="377"/>
      <c r="T506" s="375"/>
      <c r="U506" s="375"/>
      <c r="V506" s="375"/>
      <c r="W506" s="375"/>
      <c r="X506" s="375"/>
      <c r="Y506" s="375"/>
      <c r="Z506" s="375"/>
      <c r="AA506" s="375"/>
      <c r="AB506" s="375"/>
      <c r="AC506" s="375"/>
      <c r="AD506" s="375"/>
      <c r="AE506" s="375"/>
      <c r="AF506" s="375"/>
    </row>
    <row r="507">
      <c r="A507" s="360"/>
      <c r="B507" s="360"/>
      <c r="C507" s="377"/>
      <c r="D507" s="377"/>
      <c r="E507" s="378"/>
      <c r="F507" s="377"/>
      <c r="G507" s="377"/>
      <c r="H507" s="378"/>
      <c r="I507" s="360"/>
      <c r="J507" s="377"/>
      <c r="K507" s="377"/>
      <c r="L507" s="378"/>
      <c r="M507" s="377"/>
      <c r="N507" s="377"/>
      <c r="O507" s="377"/>
      <c r="P507" s="364"/>
      <c r="Q507" s="360"/>
      <c r="R507" s="377"/>
      <c r="S507" s="377"/>
      <c r="T507" s="375"/>
      <c r="U507" s="375"/>
      <c r="V507" s="375"/>
      <c r="W507" s="375"/>
      <c r="X507" s="375"/>
      <c r="Y507" s="375"/>
      <c r="Z507" s="375"/>
      <c r="AA507" s="375"/>
      <c r="AB507" s="375"/>
      <c r="AC507" s="375"/>
      <c r="AD507" s="375"/>
      <c r="AE507" s="375"/>
      <c r="AF507" s="375"/>
    </row>
    <row r="508">
      <c r="A508" s="360"/>
      <c r="B508" s="360"/>
      <c r="C508" s="377"/>
      <c r="D508" s="377"/>
      <c r="E508" s="378"/>
      <c r="F508" s="377"/>
      <c r="G508" s="377"/>
      <c r="H508" s="378"/>
      <c r="I508" s="360"/>
      <c r="J508" s="377"/>
      <c r="K508" s="377"/>
      <c r="L508" s="378"/>
      <c r="M508" s="377"/>
      <c r="N508" s="377"/>
      <c r="O508" s="377"/>
      <c r="P508" s="364"/>
      <c r="Q508" s="360"/>
      <c r="R508" s="377"/>
      <c r="S508" s="377"/>
      <c r="T508" s="375"/>
      <c r="U508" s="375"/>
      <c r="V508" s="375"/>
      <c r="W508" s="375"/>
      <c r="X508" s="375"/>
      <c r="Y508" s="375"/>
      <c r="Z508" s="375"/>
      <c r="AA508" s="375"/>
      <c r="AB508" s="375"/>
      <c r="AC508" s="375"/>
      <c r="AD508" s="375"/>
      <c r="AE508" s="375"/>
      <c r="AF508" s="375"/>
    </row>
    <row r="509">
      <c r="A509" s="360"/>
      <c r="B509" s="360"/>
      <c r="C509" s="377"/>
      <c r="D509" s="377"/>
      <c r="E509" s="378"/>
      <c r="F509" s="377"/>
      <c r="G509" s="377"/>
      <c r="H509" s="378"/>
      <c r="I509" s="360"/>
      <c r="J509" s="377"/>
      <c r="K509" s="377"/>
      <c r="L509" s="378"/>
      <c r="M509" s="377"/>
      <c r="N509" s="377"/>
      <c r="O509" s="377"/>
      <c r="P509" s="364"/>
      <c r="Q509" s="360"/>
      <c r="R509" s="377"/>
      <c r="S509" s="377"/>
      <c r="T509" s="375"/>
      <c r="U509" s="375"/>
      <c r="V509" s="375"/>
      <c r="W509" s="375"/>
      <c r="X509" s="375"/>
      <c r="Y509" s="375"/>
      <c r="Z509" s="375"/>
      <c r="AA509" s="375"/>
      <c r="AB509" s="375"/>
      <c r="AC509" s="375"/>
      <c r="AD509" s="375"/>
      <c r="AE509" s="375"/>
      <c r="AF509" s="375"/>
    </row>
    <row r="510">
      <c r="A510" s="360"/>
      <c r="B510" s="360"/>
      <c r="C510" s="377"/>
      <c r="D510" s="377"/>
      <c r="E510" s="378"/>
      <c r="F510" s="377"/>
      <c r="G510" s="377"/>
      <c r="H510" s="378"/>
      <c r="I510" s="360"/>
      <c r="J510" s="377"/>
      <c r="K510" s="377"/>
      <c r="L510" s="378"/>
      <c r="M510" s="377"/>
      <c r="N510" s="377"/>
      <c r="O510" s="377"/>
      <c r="P510" s="364"/>
      <c r="Q510" s="360"/>
      <c r="R510" s="377"/>
      <c r="S510" s="377"/>
      <c r="T510" s="375"/>
      <c r="U510" s="375"/>
      <c r="V510" s="375"/>
      <c r="W510" s="375"/>
      <c r="X510" s="375"/>
      <c r="Y510" s="375"/>
      <c r="Z510" s="375"/>
      <c r="AA510" s="375"/>
      <c r="AB510" s="375"/>
      <c r="AC510" s="375"/>
      <c r="AD510" s="375"/>
      <c r="AE510" s="375"/>
      <c r="AF510" s="375"/>
    </row>
    <row r="511">
      <c r="A511" s="360"/>
      <c r="B511" s="360"/>
      <c r="C511" s="377"/>
      <c r="D511" s="377"/>
      <c r="E511" s="378"/>
      <c r="F511" s="377"/>
      <c r="G511" s="377"/>
      <c r="H511" s="378"/>
      <c r="I511" s="360"/>
      <c r="J511" s="377"/>
      <c r="K511" s="377"/>
      <c r="L511" s="378"/>
      <c r="M511" s="377"/>
      <c r="N511" s="377"/>
      <c r="O511" s="377"/>
      <c r="P511" s="364"/>
      <c r="Q511" s="360"/>
      <c r="R511" s="377"/>
      <c r="S511" s="377"/>
      <c r="T511" s="375"/>
      <c r="U511" s="375"/>
      <c r="V511" s="375"/>
      <c r="W511" s="375"/>
      <c r="X511" s="375"/>
      <c r="Y511" s="375"/>
      <c r="Z511" s="375"/>
      <c r="AA511" s="375"/>
      <c r="AB511" s="375"/>
      <c r="AC511" s="375"/>
      <c r="AD511" s="375"/>
      <c r="AE511" s="375"/>
      <c r="AF511" s="375"/>
    </row>
    <row r="512">
      <c r="A512" s="360"/>
      <c r="B512" s="360"/>
      <c r="C512" s="377"/>
      <c r="D512" s="377"/>
      <c r="E512" s="378"/>
      <c r="F512" s="377"/>
      <c r="G512" s="377"/>
      <c r="H512" s="378"/>
      <c r="I512" s="360"/>
      <c r="J512" s="377"/>
      <c r="K512" s="377"/>
      <c r="L512" s="378"/>
      <c r="M512" s="377"/>
      <c r="N512" s="377"/>
      <c r="O512" s="377"/>
      <c r="P512" s="364"/>
      <c r="Q512" s="360"/>
      <c r="R512" s="377"/>
      <c r="S512" s="377"/>
      <c r="T512" s="375"/>
      <c r="U512" s="375"/>
      <c r="V512" s="375"/>
      <c r="W512" s="375"/>
      <c r="X512" s="375"/>
      <c r="Y512" s="375"/>
      <c r="Z512" s="375"/>
      <c r="AA512" s="375"/>
      <c r="AB512" s="375"/>
      <c r="AC512" s="375"/>
      <c r="AD512" s="375"/>
      <c r="AE512" s="375"/>
      <c r="AF512" s="375"/>
    </row>
    <row r="513">
      <c r="A513" s="360"/>
      <c r="B513" s="360"/>
      <c r="C513" s="377"/>
      <c r="D513" s="377"/>
      <c r="E513" s="378"/>
      <c r="F513" s="377"/>
      <c r="G513" s="377"/>
      <c r="H513" s="378"/>
      <c r="I513" s="360"/>
      <c r="J513" s="377"/>
      <c r="K513" s="377"/>
      <c r="L513" s="378"/>
      <c r="M513" s="377"/>
      <c r="N513" s="377"/>
      <c r="O513" s="377"/>
      <c r="P513" s="364"/>
      <c r="Q513" s="360"/>
      <c r="R513" s="377"/>
      <c r="S513" s="377"/>
      <c r="T513" s="375"/>
      <c r="U513" s="375"/>
      <c r="V513" s="375"/>
      <c r="W513" s="375"/>
      <c r="X513" s="375"/>
      <c r="Y513" s="375"/>
      <c r="Z513" s="375"/>
      <c r="AA513" s="375"/>
      <c r="AB513" s="375"/>
      <c r="AC513" s="375"/>
      <c r="AD513" s="375"/>
      <c r="AE513" s="375"/>
      <c r="AF513" s="375"/>
    </row>
    <row r="514">
      <c r="A514" s="360"/>
      <c r="B514" s="360"/>
      <c r="C514" s="377"/>
      <c r="D514" s="377"/>
      <c r="E514" s="378"/>
      <c r="F514" s="377"/>
      <c r="G514" s="377"/>
      <c r="H514" s="378"/>
      <c r="I514" s="360"/>
      <c r="J514" s="377"/>
      <c r="K514" s="377"/>
      <c r="L514" s="378"/>
      <c r="M514" s="377"/>
      <c r="N514" s="377"/>
      <c r="O514" s="377"/>
      <c r="P514" s="364"/>
      <c r="Q514" s="360"/>
      <c r="R514" s="377"/>
      <c r="S514" s="377"/>
      <c r="T514" s="375"/>
      <c r="U514" s="375"/>
      <c r="V514" s="375"/>
      <c r="W514" s="375"/>
      <c r="X514" s="375"/>
      <c r="Y514" s="375"/>
      <c r="Z514" s="375"/>
      <c r="AA514" s="375"/>
      <c r="AB514" s="375"/>
      <c r="AC514" s="375"/>
      <c r="AD514" s="375"/>
      <c r="AE514" s="375"/>
      <c r="AF514" s="375"/>
    </row>
    <row r="515">
      <c r="A515" s="360"/>
      <c r="B515" s="360"/>
      <c r="C515" s="377"/>
      <c r="D515" s="377"/>
      <c r="E515" s="378"/>
      <c r="F515" s="377"/>
      <c r="G515" s="377"/>
      <c r="H515" s="378"/>
      <c r="I515" s="360"/>
      <c r="J515" s="377"/>
      <c r="K515" s="377"/>
      <c r="L515" s="378"/>
      <c r="M515" s="377"/>
      <c r="N515" s="377"/>
      <c r="O515" s="377"/>
      <c r="P515" s="364"/>
      <c r="Q515" s="360"/>
      <c r="R515" s="377"/>
      <c r="S515" s="377"/>
      <c r="T515" s="375"/>
      <c r="U515" s="375"/>
      <c r="V515" s="375"/>
      <c r="W515" s="375"/>
      <c r="X515" s="375"/>
      <c r="Y515" s="375"/>
      <c r="Z515" s="375"/>
      <c r="AA515" s="375"/>
      <c r="AB515" s="375"/>
      <c r="AC515" s="375"/>
      <c r="AD515" s="375"/>
      <c r="AE515" s="375"/>
      <c r="AF515" s="375"/>
    </row>
    <row r="516">
      <c r="A516" s="360"/>
      <c r="B516" s="360"/>
      <c r="C516" s="377"/>
      <c r="D516" s="377"/>
      <c r="E516" s="378"/>
      <c r="F516" s="377"/>
      <c r="G516" s="377"/>
      <c r="H516" s="378"/>
      <c r="I516" s="360"/>
      <c r="J516" s="377"/>
      <c r="K516" s="377"/>
      <c r="L516" s="378"/>
      <c r="M516" s="377"/>
      <c r="N516" s="377"/>
      <c r="O516" s="377"/>
      <c r="P516" s="364"/>
      <c r="Q516" s="360"/>
      <c r="R516" s="377"/>
      <c r="S516" s="377"/>
      <c r="T516" s="375"/>
      <c r="U516" s="375"/>
      <c r="V516" s="375"/>
      <c r="W516" s="375"/>
      <c r="X516" s="375"/>
      <c r="Y516" s="375"/>
      <c r="Z516" s="375"/>
      <c r="AA516" s="375"/>
      <c r="AB516" s="375"/>
      <c r="AC516" s="375"/>
      <c r="AD516" s="375"/>
      <c r="AE516" s="375"/>
      <c r="AF516" s="375"/>
    </row>
    <row r="517">
      <c r="A517" s="360"/>
      <c r="B517" s="360"/>
      <c r="C517" s="377"/>
      <c r="D517" s="377"/>
      <c r="E517" s="378"/>
      <c r="F517" s="377"/>
      <c r="G517" s="377"/>
      <c r="H517" s="378"/>
      <c r="I517" s="360"/>
      <c r="J517" s="377"/>
      <c r="K517" s="377"/>
      <c r="L517" s="378"/>
      <c r="M517" s="377"/>
      <c r="N517" s="377"/>
      <c r="O517" s="377"/>
      <c r="P517" s="364"/>
      <c r="Q517" s="360"/>
      <c r="R517" s="377"/>
      <c r="S517" s="377"/>
      <c r="T517" s="375"/>
      <c r="U517" s="375"/>
      <c r="V517" s="375"/>
      <c r="W517" s="375"/>
      <c r="X517" s="375"/>
      <c r="Y517" s="375"/>
      <c r="Z517" s="375"/>
      <c r="AA517" s="375"/>
      <c r="AB517" s="375"/>
      <c r="AC517" s="375"/>
      <c r="AD517" s="375"/>
      <c r="AE517" s="375"/>
      <c r="AF517" s="375"/>
    </row>
    <row r="518">
      <c r="A518" s="360"/>
      <c r="B518" s="360"/>
      <c r="C518" s="377"/>
      <c r="D518" s="377"/>
      <c r="E518" s="378"/>
      <c r="F518" s="377"/>
      <c r="G518" s="377"/>
      <c r="H518" s="378"/>
      <c r="I518" s="360"/>
      <c r="J518" s="377"/>
      <c r="K518" s="377"/>
      <c r="L518" s="378"/>
      <c r="M518" s="377"/>
      <c r="N518" s="377"/>
      <c r="O518" s="377"/>
      <c r="P518" s="364"/>
      <c r="Q518" s="360"/>
      <c r="R518" s="377"/>
      <c r="S518" s="377"/>
      <c r="T518" s="375"/>
      <c r="U518" s="375"/>
      <c r="V518" s="375"/>
      <c r="W518" s="375"/>
      <c r="X518" s="375"/>
      <c r="Y518" s="375"/>
      <c r="Z518" s="375"/>
      <c r="AA518" s="375"/>
      <c r="AB518" s="375"/>
      <c r="AC518" s="375"/>
      <c r="AD518" s="375"/>
      <c r="AE518" s="375"/>
      <c r="AF518" s="375"/>
    </row>
    <row r="519">
      <c r="A519" s="360"/>
      <c r="B519" s="360"/>
      <c r="C519" s="377"/>
      <c r="D519" s="377"/>
      <c r="E519" s="378"/>
      <c r="F519" s="377"/>
      <c r="G519" s="377"/>
      <c r="H519" s="378"/>
      <c r="I519" s="360"/>
      <c r="J519" s="377"/>
      <c r="K519" s="377"/>
      <c r="L519" s="378"/>
      <c r="M519" s="377"/>
      <c r="N519" s="377"/>
      <c r="O519" s="377"/>
      <c r="P519" s="364"/>
      <c r="Q519" s="360"/>
      <c r="R519" s="377"/>
      <c r="S519" s="377"/>
      <c r="T519" s="375"/>
      <c r="U519" s="375"/>
      <c r="V519" s="375"/>
      <c r="W519" s="375"/>
      <c r="X519" s="375"/>
      <c r="Y519" s="375"/>
      <c r="Z519" s="375"/>
      <c r="AA519" s="375"/>
      <c r="AB519" s="375"/>
      <c r="AC519" s="375"/>
      <c r="AD519" s="375"/>
      <c r="AE519" s="375"/>
      <c r="AF519" s="375"/>
    </row>
    <row r="520">
      <c r="A520" s="360"/>
      <c r="B520" s="360"/>
      <c r="C520" s="377"/>
      <c r="D520" s="377"/>
      <c r="E520" s="378"/>
      <c r="F520" s="377"/>
      <c r="G520" s="377"/>
      <c r="H520" s="378"/>
      <c r="I520" s="360"/>
      <c r="J520" s="377"/>
      <c r="K520" s="377"/>
      <c r="L520" s="378"/>
      <c r="M520" s="377"/>
      <c r="N520" s="377"/>
      <c r="O520" s="377"/>
      <c r="P520" s="364"/>
      <c r="Q520" s="360"/>
      <c r="R520" s="377"/>
      <c r="S520" s="377"/>
      <c r="T520" s="375"/>
      <c r="U520" s="375"/>
      <c r="V520" s="375"/>
      <c r="W520" s="375"/>
      <c r="X520" s="375"/>
      <c r="Y520" s="375"/>
      <c r="Z520" s="375"/>
      <c r="AA520" s="375"/>
      <c r="AB520" s="375"/>
      <c r="AC520" s="375"/>
      <c r="AD520" s="375"/>
      <c r="AE520" s="375"/>
      <c r="AF520" s="375"/>
    </row>
    <row r="521">
      <c r="A521" s="360"/>
      <c r="B521" s="360"/>
      <c r="C521" s="377"/>
      <c r="D521" s="377"/>
      <c r="E521" s="378"/>
      <c r="F521" s="377"/>
      <c r="G521" s="377"/>
      <c r="H521" s="378"/>
      <c r="I521" s="360"/>
      <c r="J521" s="377"/>
      <c r="K521" s="377"/>
      <c r="L521" s="378"/>
      <c r="M521" s="377"/>
      <c r="N521" s="377"/>
      <c r="O521" s="377"/>
      <c r="P521" s="364"/>
      <c r="Q521" s="360"/>
      <c r="R521" s="377"/>
      <c r="S521" s="377"/>
      <c r="T521" s="375"/>
      <c r="U521" s="375"/>
      <c r="V521" s="375"/>
      <c r="W521" s="375"/>
      <c r="X521" s="375"/>
      <c r="Y521" s="375"/>
      <c r="Z521" s="375"/>
      <c r="AA521" s="375"/>
      <c r="AB521" s="375"/>
      <c r="AC521" s="375"/>
      <c r="AD521" s="375"/>
      <c r="AE521" s="375"/>
      <c r="AF521" s="375"/>
    </row>
    <row r="522">
      <c r="A522" s="360"/>
      <c r="B522" s="360"/>
      <c r="C522" s="377"/>
      <c r="D522" s="377"/>
      <c r="E522" s="378"/>
      <c r="F522" s="377"/>
      <c r="G522" s="377"/>
      <c r="H522" s="378"/>
      <c r="I522" s="360"/>
      <c r="J522" s="377"/>
      <c r="K522" s="377"/>
      <c r="L522" s="378"/>
      <c r="M522" s="377"/>
      <c r="N522" s="377"/>
      <c r="O522" s="377"/>
      <c r="P522" s="364"/>
      <c r="Q522" s="360"/>
      <c r="R522" s="377"/>
      <c r="S522" s="377"/>
      <c r="T522" s="375"/>
      <c r="U522" s="375"/>
      <c r="V522" s="375"/>
      <c r="W522" s="375"/>
      <c r="X522" s="375"/>
      <c r="Y522" s="375"/>
      <c r="Z522" s="375"/>
      <c r="AA522" s="375"/>
      <c r="AB522" s="375"/>
      <c r="AC522" s="375"/>
      <c r="AD522" s="375"/>
      <c r="AE522" s="375"/>
      <c r="AF522" s="375"/>
    </row>
    <row r="523">
      <c r="A523" s="360"/>
      <c r="B523" s="360"/>
      <c r="C523" s="377"/>
      <c r="D523" s="377"/>
      <c r="E523" s="378"/>
      <c r="F523" s="377"/>
      <c r="G523" s="377"/>
      <c r="H523" s="378"/>
      <c r="I523" s="360"/>
      <c r="J523" s="377"/>
      <c r="K523" s="377"/>
      <c r="L523" s="378"/>
      <c r="M523" s="377"/>
      <c r="N523" s="377"/>
      <c r="O523" s="377"/>
      <c r="P523" s="364"/>
      <c r="Q523" s="360"/>
      <c r="R523" s="377"/>
      <c r="S523" s="377"/>
      <c r="T523" s="375"/>
      <c r="U523" s="375"/>
      <c r="V523" s="375"/>
      <c r="W523" s="375"/>
      <c r="X523" s="375"/>
      <c r="Y523" s="375"/>
      <c r="Z523" s="375"/>
      <c r="AA523" s="375"/>
      <c r="AB523" s="375"/>
      <c r="AC523" s="375"/>
      <c r="AD523" s="375"/>
      <c r="AE523" s="375"/>
      <c r="AF523" s="375"/>
    </row>
    <row r="524">
      <c r="A524" s="360"/>
      <c r="B524" s="360"/>
      <c r="C524" s="377"/>
      <c r="D524" s="377"/>
      <c r="E524" s="378"/>
      <c r="F524" s="377"/>
      <c r="G524" s="377"/>
      <c r="H524" s="378"/>
      <c r="I524" s="360"/>
      <c r="J524" s="377"/>
      <c r="K524" s="377"/>
      <c r="L524" s="378"/>
      <c r="M524" s="377"/>
      <c r="N524" s="377"/>
      <c r="O524" s="377"/>
      <c r="P524" s="364"/>
      <c r="Q524" s="360"/>
      <c r="R524" s="377"/>
      <c r="S524" s="377"/>
      <c r="T524" s="375"/>
      <c r="U524" s="375"/>
      <c r="V524" s="375"/>
      <c r="W524" s="375"/>
      <c r="X524" s="375"/>
      <c r="Y524" s="375"/>
      <c r="Z524" s="375"/>
      <c r="AA524" s="375"/>
      <c r="AB524" s="375"/>
      <c r="AC524" s="375"/>
      <c r="AD524" s="375"/>
      <c r="AE524" s="375"/>
      <c r="AF524" s="375"/>
    </row>
    <row r="525">
      <c r="A525" s="360"/>
      <c r="B525" s="360"/>
      <c r="C525" s="377"/>
      <c r="D525" s="377"/>
      <c r="E525" s="378"/>
      <c r="F525" s="377"/>
      <c r="G525" s="377"/>
      <c r="H525" s="378"/>
      <c r="I525" s="360"/>
      <c r="J525" s="377"/>
      <c r="K525" s="377"/>
      <c r="L525" s="378"/>
      <c r="M525" s="377"/>
      <c r="N525" s="377"/>
      <c r="O525" s="377"/>
      <c r="P525" s="364"/>
      <c r="Q525" s="360"/>
      <c r="R525" s="377"/>
      <c r="S525" s="377"/>
      <c r="T525" s="375"/>
      <c r="U525" s="375"/>
      <c r="V525" s="375"/>
      <c r="W525" s="375"/>
      <c r="X525" s="375"/>
      <c r="Y525" s="375"/>
      <c r="Z525" s="375"/>
      <c r="AA525" s="375"/>
      <c r="AB525" s="375"/>
      <c r="AC525" s="375"/>
      <c r="AD525" s="375"/>
      <c r="AE525" s="375"/>
      <c r="AF525" s="375"/>
    </row>
    <row r="526">
      <c r="A526" s="360"/>
      <c r="B526" s="360"/>
      <c r="C526" s="377"/>
      <c r="D526" s="377"/>
      <c r="E526" s="378"/>
      <c r="F526" s="377"/>
      <c r="G526" s="377"/>
      <c r="H526" s="378"/>
      <c r="I526" s="360"/>
      <c r="J526" s="377"/>
      <c r="K526" s="377"/>
      <c r="L526" s="378"/>
      <c r="M526" s="377"/>
      <c r="N526" s="377"/>
      <c r="O526" s="377"/>
      <c r="P526" s="364"/>
      <c r="Q526" s="360"/>
      <c r="R526" s="377"/>
      <c r="S526" s="377"/>
      <c r="T526" s="375"/>
      <c r="U526" s="375"/>
      <c r="V526" s="375"/>
      <c r="W526" s="375"/>
      <c r="X526" s="375"/>
      <c r="Y526" s="375"/>
      <c r="Z526" s="375"/>
      <c r="AA526" s="375"/>
      <c r="AB526" s="375"/>
      <c r="AC526" s="375"/>
      <c r="AD526" s="375"/>
      <c r="AE526" s="375"/>
      <c r="AF526" s="375"/>
    </row>
    <row r="527">
      <c r="A527" s="360"/>
      <c r="B527" s="360"/>
      <c r="C527" s="377"/>
      <c r="D527" s="377"/>
      <c r="E527" s="378"/>
      <c r="F527" s="377"/>
      <c r="G527" s="377"/>
      <c r="H527" s="378"/>
      <c r="I527" s="360"/>
      <c r="J527" s="377"/>
      <c r="K527" s="377"/>
      <c r="L527" s="378"/>
      <c r="M527" s="377"/>
      <c r="N527" s="377"/>
      <c r="O527" s="377"/>
      <c r="P527" s="364"/>
      <c r="Q527" s="360"/>
      <c r="R527" s="377"/>
      <c r="S527" s="377"/>
      <c r="T527" s="375"/>
      <c r="U527" s="375"/>
      <c r="V527" s="375"/>
      <c r="W527" s="375"/>
      <c r="X527" s="375"/>
      <c r="Y527" s="375"/>
      <c r="Z527" s="375"/>
      <c r="AA527" s="375"/>
      <c r="AB527" s="375"/>
      <c r="AC527" s="375"/>
      <c r="AD527" s="375"/>
      <c r="AE527" s="375"/>
      <c r="AF527" s="375"/>
    </row>
    <row r="528">
      <c r="A528" s="360"/>
      <c r="B528" s="360"/>
      <c r="C528" s="377"/>
      <c r="D528" s="377"/>
      <c r="E528" s="378"/>
      <c r="F528" s="377"/>
      <c r="G528" s="377"/>
      <c r="H528" s="378"/>
      <c r="I528" s="360"/>
      <c r="J528" s="377"/>
      <c r="K528" s="377"/>
      <c r="L528" s="378"/>
      <c r="M528" s="377"/>
      <c r="N528" s="377"/>
      <c r="O528" s="377"/>
      <c r="P528" s="364"/>
      <c r="Q528" s="360"/>
      <c r="R528" s="377"/>
      <c r="S528" s="377"/>
      <c r="T528" s="375"/>
      <c r="U528" s="375"/>
      <c r="V528" s="375"/>
      <c r="W528" s="375"/>
      <c r="X528" s="375"/>
      <c r="Y528" s="375"/>
      <c r="Z528" s="375"/>
      <c r="AA528" s="375"/>
      <c r="AB528" s="375"/>
      <c r="AC528" s="375"/>
      <c r="AD528" s="375"/>
      <c r="AE528" s="375"/>
      <c r="AF528" s="375"/>
    </row>
    <row r="529">
      <c r="A529" s="360"/>
      <c r="B529" s="360"/>
      <c r="C529" s="377"/>
      <c r="D529" s="377"/>
      <c r="E529" s="378"/>
      <c r="F529" s="377"/>
      <c r="G529" s="377"/>
      <c r="H529" s="378"/>
      <c r="I529" s="360"/>
      <c r="J529" s="377"/>
      <c r="K529" s="377"/>
      <c r="L529" s="378"/>
      <c r="M529" s="377"/>
      <c r="N529" s="377"/>
      <c r="O529" s="377"/>
      <c r="P529" s="364"/>
      <c r="Q529" s="360"/>
      <c r="R529" s="377"/>
      <c r="S529" s="377"/>
      <c r="T529" s="375"/>
      <c r="U529" s="375"/>
      <c r="V529" s="375"/>
      <c r="W529" s="375"/>
      <c r="X529" s="375"/>
      <c r="Y529" s="375"/>
      <c r="Z529" s="375"/>
      <c r="AA529" s="375"/>
      <c r="AB529" s="375"/>
      <c r="AC529" s="375"/>
      <c r="AD529" s="375"/>
      <c r="AE529" s="375"/>
      <c r="AF529" s="375"/>
    </row>
    <row r="530">
      <c r="A530" s="360"/>
      <c r="B530" s="360"/>
      <c r="C530" s="377"/>
      <c r="D530" s="377"/>
      <c r="E530" s="378"/>
      <c r="F530" s="377"/>
      <c r="G530" s="377"/>
      <c r="H530" s="378"/>
      <c r="I530" s="360"/>
      <c r="J530" s="377"/>
      <c r="K530" s="377"/>
      <c r="L530" s="378"/>
      <c r="M530" s="377"/>
      <c r="N530" s="377"/>
      <c r="O530" s="377"/>
      <c r="P530" s="364"/>
      <c r="Q530" s="360"/>
      <c r="R530" s="377"/>
      <c r="S530" s="377"/>
      <c r="T530" s="375"/>
      <c r="U530" s="375"/>
      <c r="V530" s="375"/>
      <c r="W530" s="375"/>
      <c r="X530" s="375"/>
      <c r="Y530" s="375"/>
      <c r="Z530" s="375"/>
      <c r="AA530" s="375"/>
      <c r="AB530" s="375"/>
      <c r="AC530" s="375"/>
      <c r="AD530" s="375"/>
      <c r="AE530" s="375"/>
      <c r="AF530" s="375"/>
    </row>
    <row r="531">
      <c r="A531" s="360"/>
      <c r="B531" s="360"/>
      <c r="C531" s="377"/>
      <c r="D531" s="377"/>
      <c r="E531" s="378"/>
      <c r="F531" s="377"/>
      <c r="G531" s="377"/>
      <c r="H531" s="378"/>
      <c r="I531" s="360"/>
      <c r="J531" s="377"/>
      <c r="K531" s="377"/>
      <c r="L531" s="378"/>
      <c r="M531" s="377"/>
      <c r="N531" s="377"/>
      <c r="O531" s="377"/>
      <c r="P531" s="364"/>
      <c r="Q531" s="360"/>
      <c r="R531" s="377"/>
      <c r="S531" s="377"/>
      <c r="T531" s="375"/>
      <c r="U531" s="375"/>
      <c r="V531" s="375"/>
      <c r="W531" s="375"/>
      <c r="X531" s="375"/>
      <c r="Y531" s="375"/>
      <c r="Z531" s="375"/>
      <c r="AA531" s="375"/>
      <c r="AB531" s="375"/>
      <c r="AC531" s="375"/>
      <c r="AD531" s="375"/>
      <c r="AE531" s="375"/>
      <c r="AF531" s="375"/>
    </row>
    <row r="532">
      <c r="A532" s="360"/>
      <c r="B532" s="360"/>
      <c r="C532" s="377"/>
      <c r="D532" s="377"/>
      <c r="E532" s="378"/>
      <c r="F532" s="377"/>
      <c r="G532" s="377"/>
      <c r="H532" s="378"/>
      <c r="I532" s="360"/>
      <c r="J532" s="377"/>
      <c r="K532" s="377"/>
      <c r="L532" s="378"/>
      <c r="M532" s="377"/>
      <c r="N532" s="377"/>
      <c r="O532" s="377"/>
      <c r="P532" s="364"/>
      <c r="Q532" s="360"/>
      <c r="R532" s="377"/>
      <c r="S532" s="377"/>
      <c r="T532" s="375"/>
      <c r="U532" s="375"/>
      <c r="V532" s="375"/>
      <c r="W532" s="375"/>
      <c r="X532" s="375"/>
      <c r="Y532" s="375"/>
      <c r="Z532" s="375"/>
      <c r="AA532" s="375"/>
      <c r="AB532" s="375"/>
      <c r="AC532" s="375"/>
      <c r="AD532" s="375"/>
      <c r="AE532" s="375"/>
      <c r="AF532" s="375"/>
    </row>
    <row r="533">
      <c r="A533" s="360"/>
      <c r="B533" s="360"/>
      <c r="C533" s="377"/>
      <c r="D533" s="377"/>
      <c r="E533" s="378"/>
      <c r="F533" s="377"/>
      <c r="G533" s="377"/>
      <c r="H533" s="378"/>
      <c r="I533" s="360"/>
      <c r="J533" s="377"/>
      <c r="K533" s="377"/>
      <c r="L533" s="378"/>
      <c r="M533" s="377"/>
      <c r="N533" s="377"/>
      <c r="O533" s="377"/>
      <c r="P533" s="364"/>
      <c r="Q533" s="360"/>
      <c r="R533" s="377"/>
      <c r="S533" s="377"/>
      <c r="T533" s="375"/>
      <c r="U533" s="375"/>
      <c r="V533" s="375"/>
      <c r="W533" s="375"/>
      <c r="X533" s="375"/>
      <c r="Y533" s="375"/>
      <c r="Z533" s="375"/>
      <c r="AA533" s="375"/>
      <c r="AB533" s="375"/>
      <c r="AC533" s="375"/>
      <c r="AD533" s="375"/>
      <c r="AE533" s="375"/>
      <c r="AF533" s="375"/>
    </row>
    <row r="534">
      <c r="A534" s="360"/>
      <c r="B534" s="360"/>
      <c r="C534" s="377"/>
      <c r="D534" s="377"/>
      <c r="E534" s="378"/>
      <c r="F534" s="377"/>
      <c r="G534" s="377"/>
      <c r="H534" s="378"/>
      <c r="I534" s="360"/>
      <c r="J534" s="377"/>
      <c r="K534" s="377"/>
      <c r="L534" s="378"/>
      <c r="M534" s="377"/>
      <c r="N534" s="377"/>
      <c r="O534" s="377"/>
      <c r="P534" s="364"/>
      <c r="Q534" s="360"/>
      <c r="R534" s="377"/>
      <c r="S534" s="377"/>
      <c r="T534" s="375"/>
      <c r="U534" s="375"/>
      <c r="V534" s="375"/>
      <c r="W534" s="375"/>
      <c r="X534" s="375"/>
      <c r="Y534" s="375"/>
      <c r="Z534" s="375"/>
      <c r="AA534" s="375"/>
      <c r="AB534" s="375"/>
      <c r="AC534" s="375"/>
      <c r="AD534" s="375"/>
      <c r="AE534" s="375"/>
      <c r="AF534" s="375"/>
    </row>
    <row r="535">
      <c r="A535" s="360"/>
      <c r="B535" s="360"/>
      <c r="C535" s="377"/>
      <c r="D535" s="377"/>
      <c r="E535" s="378"/>
      <c r="F535" s="377"/>
      <c r="G535" s="377"/>
      <c r="H535" s="378"/>
      <c r="I535" s="360"/>
      <c r="J535" s="377"/>
      <c r="K535" s="377"/>
      <c r="L535" s="378"/>
      <c r="M535" s="377"/>
      <c r="N535" s="377"/>
      <c r="O535" s="377"/>
      <c r="P535" s="364"/>
      <c r="Q535" s="360"/>
      <c r="R535" s="377"/>
      <c r="S535" s="377"/>
      <c r="T535" s="375"/>
      <c r="U535" s="375"/>
      <c r="V535" s="375"/>
      <c r="W535" s="375"/>
      <c r="X535" s="375"/>
      <c r="Y535" s="375"/>
      <c r="Z535" s="375"/>
      <c r="AA535" s="375"/>
      <c r="AB535" s="375"/>
      <c r="AC535" s="375"/>
      <c r="AD535" s="375"/>
      <c r="AE535" s="375"/>
      <c r="AF535" s="375"/>
    </row>
    <row r="536">
      <c r="A536" s="360"/>
      <c r="B536" s="360"/>
      <c r="C536" s="377"/>
      <c r="D536" s="377"/>
      <c r="E536" s="378"/>
      <c r="F536" s="377"/>
      <c r="G536" s="377"/>
      <c r="H536" s="378"/>
      <c r="I536" s="360"/>
      <c r="J536" s="377"/>
      <c r="K536" s="377"/>
      <c r="L536" s="378"/>
      <c r="M536" s="377"/>
      <c r="N536" s="377"/>
      <c r="O536" s="377"/>
      <c r="P536" s="364"/>
      <c r="Q536" s="360"/>
      <c r="R536" s="377"/>
      <c r="S536" s="377"/>
      <c r="T536" s="375"/>
      <c r="U536" s="375"/>
      <c r="V536" s="375"/>
      <c r="W536" s="375"/>
      <c r="X536" s="375"/>
      <c r="Y536" s="375"/>
      <c r="Z536" s="375"/>
      <c r="AA536" s="375"/>
      <c r="AB536" s="375"/>
      <c r="AC536" s="375"/>
      <c r="AD536" s="375"/>
      <c r="AE536" s="375"/>
      <c r="AF536" s="375"/>
    </row>
    <row r="537">
      <c r="A537" s="360"/>
      <c r="B537" s="360"/>
      <c r="C537" s="377"/>
      <c r="D537" s="377"/>
      <c r="E537" s="378"/>
      <c r="F537" s="377"/>
      <c r="G537" s="377"/>
      <c r="H537" s="378"/>
      <c r="I537" s="360"/>
      <c r="J537" s="377"/>
      <c r="K537" s="377"/>
      <c r="L537" s="378"/>
      <c r="M537" s="377"/>
      <c r="N537" s="377"/>
      <c r="O537" s="377"/>
      <c r="P537" s="364"/>
      <c r="Q537" s="360"/>
      <c r="R537" s="377"/>
      <c r="S537" s="377"/>
      <c r="T537" s="375"/>
      <c r="U537" s="375"/>
      <c r="V537" s="375"/>
      <c r="W537" s="375"/>
      <c r="X537" s="375"/>
      <c r="Y537" s="375"/>
      <c r="Z537" s="375"/>
      <c r="AA537" s="375"/>
      <c r="AB537" s="375"/>
      <c r="AC537" s="375"/>
      <c r="AD537" s="375"/>
      <c r="AE537" s="375"/>
      <c r="AF537" s="375"/>
    </row>
    <row r="538">
      <c r="A538" s="360"/>
      <c r="B538" s="360"/>
      <c r="C538" s="377"/>
      <c r="D538" s="377"/>
      <c r="E538" s="378"/>
      <c r="F538" s="377"/>
      <c r="G538" s="377"/>
      <c r="H538" s="378"/>
      <c r="I538" s="360"/>
      <c r="J538" s="377"/>
      <c r="K538" s="377"/>
      <c r="L538" s="378"/>
      <c r="M538" s="377"/>
      <c r="N538" s="377"/>
      <c r="O538" s="377"/>
      <c r="P538" s="364"/>
      <c r="Q538" s="360"/>
      <c r="R538" s="377"/>
      <c r="S538" s="377"/>
      <c r="T538" s="375"/>
      <c r="U538" s="375"/>
      <c r="V538" s="375"/>
      <c r="W538" s="375"/>
      <c r="X538" s="375"/>
      <c r="Y538" s="375"/>
      <c r="Z538" s="375"/>
      <c r="AA538" s="375"/>
      <c r="AB538" s="375"/>
      <c r="AC538" s="375"/>
      <c r="AD538" s="375"/>
      <c r="AE538" s="375"/>
      <c r="AF538" s="375"/>
    </row>
    <row r="539">
      <c r="A539" s="360"/>
      <c r="B539" s="360"/>
      <c r="C539" s="377"/>
      <c r="D539" s="377"/>
      <c r="E539" s="378"/>
      <c r="F539" s="377"/>
      <c r="G539" s="377"/>
      <c r="H539" s="378"/>
      <c r="I539" s="360"/>
      <c r="J539" s="377"/>
      <c r="K539" s="377"/>
      <c r="L539" s="378"/>
      <c r="M539" s="377"/>
      <c r="N539" s="377"/>
      <c r="O539" s="377"/>
      <c r="P539" s="364"/>
      <c r="Q539" s="360"/>
      <c r="R539" s="377"/>
      <c r="S539" s="377"/>
      <c r="T539" s="375"/>
      <c r="U539" s="375"/>
      <c r="V539" s="375"/>
      <c r="W539" s="375"/>
      <c r="X539" s="375"/>
      <c r="Y539" s="375"/>
      <c r="Z539" s="375"/>
      <c r="AA539" s="375"/>
      <c r="AB539" s="375"/>
      <c r="AC539" s="375"/>
      <c r="AD539" s="375"/>
      <c r="AE539" s="375"/>
      <c r="AF539" s="375"/>
    </row>
    <row r="540">
      <c r="A540" s="360"/>
      <c r="B540" s="360"/>
      <c r="C540" s="377"/>
      <c r="D540" s="377"/>
      <c r="E540" s="378"/>
      <c r="F540" s="377"/>
      <c r="G540" s="377"/>
      <c r="H540" s="378"/>
      <c r="I540" s="360"/>
      <c r="J540" s="377"/>
      <c r="K540" s="377"/>
      <c r="L540" s="378"/>
      <c r="M540" s="377"/>
      <c r="N540" s="377"/>
      <c r="O540" s="377"/>
      <c r="P540" s="364"/>
      <c r="Q540" s="360"/>
      <c r="R540" s="377"/>
      <c r="S540" s="377"/>
      <c r="T540" s="375"/>
      <c r="U540" s="375"/>
      <c r="V540" s="375"/>
      <c r="W540" s="375"/>
      <c r="X540" s="375"/>
      <c r="Y540" s="375"/>
      <c r="Z540" s="375"/>
      <c r="AA540" s="375"/>
      <c r="AB540" s="375"/>
      <c r="AC540" s="375"/>
      <c r="AD540" s="375"/>
      <c r="AE540" s="375"/>
      <c r="AF540" s="375"/>
    </row>
    <row r="541">
      <c r="A541" s="360"/>
      <c r="B541" s="360"/>
      <c r="C541" s="377"/>
      <c r="D541" s="377"/>
      <c r="E541" s="378"/>
      <c r="F541" s="377"/>
      <c r="G541" s="377"/>
      <c r="H541" s="378"/>
      <c r="I541" s="360"/>
      <c r="J541" s="377"/>
      <c r="K541" s="377"/>
      <c r="L541" s="378"/>
      <c r="M541" s="377"/>
      <c r="N541" s="377"/>
      <c r="O541" s="377"/>
      <c r="P541" s="364"/>
      <c r="Q541" s="360"/>
      <c r="R541" s="377"/>
      <c r="S541" s="377"/>
      <c r="T541" s="375"/>
      <c r="U541" s="375"/>
      <c r="V541" s="375"/>
      <c r="W541" s="375"/>
      <c r="X541" s="375"/>
      <c r="Y541" s="375"/>
      <c r="Z541" s="375"/>
      <c r="AA541" s="375"/>
      <c r="AB541" s="375"/>
      <c r="AC541" s="375"/>
      <c r="AD541" s="375"/>
      <c r="AE541" s="375"/>
      <c r="AF541" s="375"/>
    </row>
    <row r="542">
      <c r="A542" s="360"/>
      <c r="B542" s="360"/>
      <c r="C542" s="377"/>
      <c r="D542" s="377"/>
      <c r="E542" s="378"/>
      <c r="F542" s="377"/>
      <c r="G542" s="377"/>
      <c r="H542" s="378"/>
      <c r="I542" s="360"/>
      <c r="J542" s="377"/>
      <c r="K542" s="377"/>
      <c r="L542" s="378"/>
      <c r="M542" s="377"/>
      <c r="N542" s="377"/>
      <c r="O542" s="377"/>
      <c r="P542" s="364"/>
      <c r="Q542" s="360"/>
      <c r="R542" s="377"/>
      <c r="S542" s="377"/>
      <c r="T542" s="375"/>
      <c r="U542" s="375"/>
      <c r="V542" s="375"/>
      <c r="W542" s="375"/>
      <c r="X542" s="375"/>
      <c r="Y542" s="375"/>
      <c r="Z542" s="375"/>
      <c r="AA542" s="375"/>
      <c r="AB542" s="375"/>
      <c r="AC542" s="375"/>
      <c r="AD542" s="375"/>
      <c r="AE542" s="375"/>
      <c r="AF542" s="375"/>
    </row>
    <row r="543">
      <c r="A543" s="360"/>
      <c r="B543" s="360"/>
      <c r="C543" s="377"/>
      <c r="D543" s="377"/>
      <c r="E543" s="378"/>
      <c r="F543" s="377"/>
      <c r="G543" s="377"/>
      <c r="H543" s="378"/>
      <c r="I543" s="360"/>
      <c r="J543" s="377"/>
      <c r="K543" s="377"/>
      <c r="L543" s="378"/>
      <c r="M543" s="377"/>
      <c r="N543" s="377"/>
      <c r="O543" s="377"/>
      <c r="P543" s="364"/>
      <c r="Q543" s="360"/>
      <c r="R543" s="377"/>
      <c r="S543" s="377"/>
      <c r="T543" s="375"/>
      <c r="U543" s="375"/>
      <c r="V543" s="375"/>
      <c r="W543" s="375"/>
      <c r="X543" s="375"/>
      <c r="Y543" s="375"/>
      <c r="Z543" s="375"/>
      <c r="AA543" s="375"/>
      <c r="AB543" s="375"/>
      <c r="AC543" s="375"/>
      <c r="AD543" s="375"/>
      <c r="AE543" s="375"/>
      <c r="AF543" s="375"/>
    </row>
    <row r="544">
      <c r="A544" s="360"/>
      <c r="B544" s="360"/>
      <c r="C544" s="377"/>
      <c r="D544" s="377"/>
      <c r="E544" s="378"/>
      <c r="F544" s="377"/>
      <c r="G544" s="377"/>
      <c r="H544" s="378"/>
      <c r="I544" s="360"/>
      <c r="J544" s="377"/>
      <c r="K544" s="377"/>
      <c r="L544" s="378"/>
      <c r="M544" s="377"/>
      <c r="N544" s="377"/>
      <c r="O544" s="377"/>
      <c r="P544" s="364"/>
      <c r="Q544" s="360"/>
      <c r="R544" s="377"/>
      <c r="S544" s="377"/>
      <c r="T544" s="375"/>
      <c r="U544" s="375"/>
      <c r="V544" s="375"/>
      <c r="W544" s="375"/>
      <c r="X544" s="375"/>
      <c r="Y544" s="375"/>
      <c r="Z544" s="375"/>
      <c r="AA544" s="375"/>
      <c r="AB544" s="375"/>
      <c r="AC544" s="375"/>
      <c r="AD544" s="375"/>
      <c r="AE544" s="375"/>
      <c r="AF544" s="375"/>
    </row>
    <row r="545">
      <c r="A545" s="360"/>
      <c r="B545" s="360"/>
      <c r="C545" s="377"/>
      <c r="D545" s="377"/>
      <c r="E545" s="378"/>
      <c r="F545" s="377"/>
      <c r="G545" s="377"/>
      <c r="H545" s="378"/>
      <c r="I545" s="360"/>
      <c r="J545" s="377"/>
      <c r="K545" s="377"/>
      <c r="L545" s="378"/>
      <c r="M545" s="377"/>
      <c r="N545" s="377"/>
      <c r="O545" s="377"/>
      <c r="P545" s="364"/>
      <c r="Q545" s="360"/>
      <c r="R545" s="377"/>
      <c r="S545" s="377"/>
      <c r="T545" s="375"/>
      <c r="U545" s="375"/>
      <c r="V545" s="375"/>
      <c r="W545" s="375"/>
      <c r="X545" s="375"/>
      <c r="Y545" s="375"/>
      <c r="Z545" s="375"/>
      <c r="AA545" s="375"/>
      <c r="AB545" s="375"/>
      <c r="AC545" s="375"/>
      <c r="AD545" s="375"/>
      <c r="AE545" s="375"/>
      <c r="AF545" s="375"/>
    </row>
    <row r="546">
      <c r="A546" s="360"/>
      <c r="B546" s="360"/>
      <c r="C546" s="377"/>
      <c r="D546" s="377"/>
      <c r="E546" s="378"/>
      <c r="F546" s="377"/>
      <c r="G546" s="377"/>
      <c r="H546" s="378"/>
      <c r="I546" s="360"/>
      <c r="J546" s="377"/>
      <c r="K546" s="377"/>
      <c r="L546" s="378"/>
      <c r="M546" s="377"/>
      <c r="N546" s="377"/>
      <c r="O546" s="377"/>
      <c r="P546" s="364"/>
      <c r="Q546" s="360"/>
      <c r="R546" s="377"/>
      <c r="S546" s="377"/>
      <c r="T546" s="375"/>
      <c r="U546" s="375"/>
      <c r="V546" s="375"/>
      <c r="W546" s="375"/>
      <c r="X546" s="375"/>
      <c r="Y546" s="375"/>
      <c r="Z546" s="375"/>
      <c r="AA546" s="375"/>
      <c r="AB546" s="375"/>
      <c r="AC546" s="375"/>
      <c r="AD546" s="375"/>
      <c r="AE546" s="375"/>
      <c r="AF546" s="375"/>
    </row>
    <row r="547">
      <c r="A547" s="360"/>
      <c r="B547" s="360"/>
      <c r="C547" s="377"/>
      <c r="D547" s="377"/>
      <c r="E547" s="378"/>
      <c r="F547" s="377"/>
      <c r="G547" s="377"/>
      <c r="H547" s="378"/>
      <c r="I547" s="360"/>
      <c r="J547" s="377"/>
      <c r="K547" s="377"/>
      <c r="L547" s="378"/>
      <c r="M547" s="377"/>
      <c r="N547" s="377"/>
      <c r="O547" s="377"/>
      <c r="P547" s="364"/>
      <c r="Q547" s="360"/>
      <c r="R547" s="377"/>
      <c r="S547" s="377"/>
      <c r="T547" s="375"/>
      <c r="U547" s="375"/>
      <c r="V547" s="375"/>
      <c r="W547" s="375"/>
      <c r="X547" s="375"/>
      <c r="Y547" s="375"/>
      <c r="Z547" s="375"/>
      <c r="AA547" s="375"/>
      <c r="AB547" s="375"/>
      <c r="AC547" s="375"/>
      <c r="AD547" s="375"/>
      <c r="AE547" s="375"/>
      <c r="AF547" s="375"/>
    </row>
    <row r="548">
      <c r="A548" s="360"/>
      <c r="B548" s="360"/>
      <c r="C548" s="377"/>
      <c r="D548" s="377"/>
      <c r="E548" s="378"/>
      <c r="F548" s="377"/>
      <c r="G548" s="377"/>
      <c r="H548" s="378"/>
      <c r="I548" s="360"/>
      <c r="J548" s="377"/>
      <c r="K548" s="377"/>
      <c r="L548" s="378"/>
      <c r="M548" s="377"/>
      <c r="N548" s="377"/>
      <c r="O548" s="377"/>
      <c r="P548" s="364"/>
      <c r="Q548" s="360"/>
      <c r="R548" s="377"/>
      <c r="S548" s="377"/>
      <c r="T548" s="375"/>
      <c r="U548" s="375"/>
      <c r="V548" s="375"/>
      <c r="W548" s="375"/>
      <c r="X548" s="375"/>
      <c r="Y548" s="375"/>
      <c r="Z548" s="375"/>
      <c r="AA548" s="375"/>
      <c r="AB548" s="375"/>
      <c r="AC548" s="375"/>
      <c r="AD548" s="375"/>
      <c r="AE548" s="375"/>
      <c r="AF548" s="375"/>
    </row>
    <row r="549">
      <c r="A549" s="360"/>
      <c r="B549" s="360"/>
      <c r="C549" s="377"/>
      <c r="D549" s="377"/>
      <c r="E549" s="378"/>
      <c r="F549" s="377"/>
      <c r="G549" s="377"/>
      <c r="H549" s="378"/>
      <c r="I549" s="360"/>
      <c r="J549" s="377"/>
      <c r="K549" s="377"/>
      <c r="L549" s="378"/>
      <c r="M549" s="377"/>
      <c r="N549" s="377"/>
      <c r="O549" s="377"/>
      <c r="P549" s="364"/>
      <c r="Q549" s="360"/>
      <c r="R549" s="377"/>
      <c r="S549" s="377"/>
      <c r="T549" s="375"/>
      <c r="U549" s="375"/>
      <c r="V549" s="375"/>
      <c r="W549" s="375"/>
      <c r="X549" s="375"/>
      <c r="Y549" s="375"/>
      <c r="Z549" s="375"/>
      <c r="AA549" s="375"/>
      <c r="AB549" s="375"/>
      <c r="AC549" s="375"/>
      <c r="AD549" s="375"/>
      <c r="AE549" s="375"/>
      <c r="AF549" s="375"/>
    </row>
    <row r="550">
      <c r="A550" s="360"/>
      <c r="B550" s="360"/>
      <c r="C550" s="377"/>
      <c r="D550" s="377"/>
      <c r="E550" s="378"/>
      <c r="F550" s="377"/>
      <c r="G550" s="377"/>
      <c r="H550" s="378"/>
      <c r="I550" s="360"/>
      <c r="J550" s="377"/>
      <c r="K550" s="377"/>
      <c r="L550" s="378"/>
      <c r="M550" s="377"/>
      <c r="N550" s="377"/>
      <c r="O550" s="377"/>
      <c r="P550" s="364"/>
      <c r="Q550" s="360"/>
      <c r="R550" s="377"/>
      <c r="S550" s="377"/>
      <c r="T550" s="375"/>
      <c r="U550" s="375"/>
      <c r="V550" s="375"/>
      <c r="W550" s="375"/>
      <c r="X550" s="375"/>
      <c r="Y550" s="375"/>
      <c r="Z550" s="375"/>
      <c r="AA550" s="375"/>
      <c r="AB550" s="375"/>
      <c r="AC550" s="375"/>
      <c r="AD550" s="375"/>
      <c r="AE550" s="375"/>
      <c r="AF550" s="375"/>
    </row>
    <row r="551">
      <c r="A551" s="360"/>
      <c r="B551" s="360"/>
      <c r="C551" s="377"/>
      <c r="D551" s="377"/>
      <c r="E551" s="378"/>
      <c r="F551" s="377"/>
      <c r="G551" s="377"/>
      <c r="H551" s="378"/>
      <c r="I551" s="360"/>
      <c r="J551" s="377"/>
      <c r="K551" s="377"/>
      <c r="L551" s="378"/>
      <c r="M551" s="377"/>
      <c r="N551" s="377"/>
      <c r="O551" s="377"/>
      <c r="P551" s="364"/>
      <c r="Q551" s="360"/>
      <c r="R551" s="377"/>
      <c r="S551" s="377"/>
      <c r="T551" s="375"/>
      <c r="U551" s="375"/>
      <c r="V551" s="375"/>
      <c r="W551" s="375"/>
      <c r="X551" s="375"/>
      <c r="Y551" s="375"/>
      <c r="Z551" s="375"/>
      <c r="AA551" s="375"/>
      <c r="AB551" s="375"/>
      <c r="AC551" s="375"/>
      <c r="AD551" s="375"/>
      <c r="AE551" s="375"/>
      <c r="AF551" s="375"/>
    </row>
    <row r="552">
      <c r="A552" s="360"/>
      <c r="B552" s="360"/>
      <c r="C552" s="377"/>
      <c r="D552" s="377"/>
      <c r="E552" s="378"/>
      <c r="F552" s="377"/>
      <c r="G552" s="377"/>
      <c r="H552" s="378"/>
      <c r="I552" s="360"/>
      <c r="J552" s="377"/>
      <c r="K552" s="377"/>
      <c r="L552" s="378"/>
      <c r="M552" s="377"/>
      <c r="N552" s="377"/>
      <c r="O552" s="377"/>
      <c r="P552" s="364"/>
      <c r="Q552" s="360"/>
      <c r="R552" s="377"/>
      <c r="S552" s="377"/>
      <c r="T552" s="375"/>
      <c r="U552" s="375"/>
      <c r="V552" s="375"/>
      <c r="W552" s="375"/>
      <c r="X552" s="375"/>
      <c r="Y552" s="375"/>
      <c r="Z552" s="375"/>
      <c r="AA552" s="375"/>
      <c r="AB552" s="375"/>
      <c r="AC552" s="375"/>
      <c r="AD552" s="375"/>
      <c r="AE552" s="375"/>
      <c r="AF552" s="375"/>
    </row>
    <row r="553">
      <c r="A553" s="360"/>
      <c r="B553" s="360"/>
      <c r="C553" s="377"/>
      <c r="D553" s="377"/>
      <c r="E553" s="378"/>
      <c r="F553" s="377"/>
      <c r="G553" s="377"/>
      <c r="H553" s="378"/>
      <c r="I553" s="360"/>
      <c r="J553" s="377"/>
      <c r="K553" s="377"/>
      <c r="L553" s="378"/>
      <c r="M553" s="377"/>
      <c r="N553" s="377"/>
      <c r="O553" s="377"/>
      <c r="P553" s="364"/>
      <c r="Q553" s="360"/>
      <c r="R553" s="377"/>
      <c r="S553" s="377"/>
      <c r="T553" s="375"/>
      <c r="U553" s="375"/>
      <c r="V553" s="375"/>
      <c r="W553" s="375"/>
      <c r="X553" s="375"/>
      <c r="Y553" s="375"/>
      <c r="Z553" s="375"/>
      <c r="AA553" s="375"/>
      <c r="AB553" s="375"/>
      <c r="AC553" s="375"/>
      <c r="AD553" s="375"/>
      <c r="AE553" s="375"/>
      <c r="AF553" s="375"/>
    </row>
    <row r="554">
      <c r="A554" s="360"/>
      <c r="B554" s="360"/>
      <c r="C554" s="377"/>
      <c r="D554" s="377"/>
      <c r="E554" s="378"/>
      <c r="F554" s="377"/>
      <c r="G554" s="377"/>
      <c r="H554" s="378"/>
      <c r="I554" s="360"/>
      <c r="J554" s="377"/>
      <c r="K554" s="377"/>
      <c r="L554" s="378"/>
      <c r="M554" s="377"/>
      <c r="N554" s="377"/>
      <c r="O554" s="377"/>
      <c r="P554" s="364"/>
      <c r="Q554" s="360"/>
      <c r="R554" s="377"/>
      <c r="S554" s="377"/>
      <c r="T554" s="375"/>
      <c r="U554" s="375"/>
      <c r="V554" s="375"/>
      <c r="W554" s="375"/>
      <c r="X554" s="375"/>
      <c r="Y554" s="375"/>
      <c r="Z554" s="375"/>
      <c r="AA554" s="375"/>
      <c r="AB554" s="375"/>
      <c r="AC554" s="375"/>
      <c r="AD554" s="375"/>
      <c r="AE554" s="375"/>
      <c r="AF554" s="375"/>
    </row>
    <row r="555">
      <c r="A555" s="360"/>
      <c r="B555" s="360"/>
      <c r="C555" s="377"/>
      <c r="D555" s="377"/>
      <c r="E555" s="378"/>
      <c r="F555" s="377"/>
      <c r="G555" s="377"/>
      <c r="H555" s="378"/>
      <c r="I555" s="360"/>
      <c r="J555" s="377"/>
      <c r="K555" s="377"/>
      <c r="L555" s="378"/>
      <c r="M555" s="377"/>
      <c r="N555" s="377"/>
      <c r="O555" s="377"/>
      <c r="P555" s="364"/>
      <c r="Q555" s="360"/>
      <c r="R555" s="377"/>
      <c r="S555" s="377"/>
      <c r="T555" s="375"/>
      <c r="U555" s="375"/>
      <c r="V555" s="375"/>
      <c r="W555" s="375"/>
      <c r="X555" s="375"/>
      <c r="Y555" s="375"/>
      <c r="Z555" s="375"/>
      <c r="AA555" s="375"/>
      <c r="AB555" s="375"/>
      <c r="AC555" s="375"/>
      <c r="AD555" s="375"/>
      <c r="AE555" s="375"/>
      <c r="AF555" s="375"/>
    </row>
    <row r="556">
      <c r="A556" s="360"/>
      <c r="B556" s="360"/>
      <c r="C556" s="377"/>
      <c r="D556" s="377"/>
      <c r="E556" s="378"/>
      <c r="F556" s="377"/>
      <c r="G556" s="377"/>
      <c r="H556" s="378"/>
      <c r="I556" s="360"/>
      <c r="J556" s="377"/>
      <c r="K556" s="377"/>
      <c r="L556" s="378"/>
      <c r="M556" s="377"/>
      <c r="N556" s="377"/>
      <c r="O556" s="377"/>
      <c r="P556" s="364"/>
      <c r="Q556" s="360"/>
      <c r="R556" s="377"/>
      <c r="S556" s="377"/>
      <c r="T556" s="375"/>
      <c r="U556" s="375"/>
      <c r="V556" s="375"/>
      <c r="W556" s="375"/>
      <c r="X556" s="375"/>
      <c r="Y556" s="375"/>
      <c r="Z556" s="375"/>
      <c r="AA556" s="375"/>
      <c r="AB556" s="375"/>
      <c r="AC556" s="375"/>
      <c r="AD556" s="375"/>
      <c r="AE556" s="375"/>
      <c r="AF556" s="375"/>
    </row>
    <row r="557">
      <c r="A557" s="360"/>
      <c r="B557" s="360"/>
      <c r="C557" s="377"/>
      <c r="D557" s="377"/>
      <c r="E557" s="378"/>
      <c r="F557" s="377"/>
      <c r="G557" s="377"/>
      <c r="H557" s="378"/>
      <c r="I557" s="360"/>
      <c r="J557" s="377"/>
      <c r="K557" s="377"/>
      <c r="L557" s="378"/>
      <c r="M557" s="377"/>
      <c r="N557" s="377"/>
      <c r="O557" s="377"/>
      <c r="P557" s="364"/>
      <c r="Q557" s="360"/>
      <c r="R557" s="377"/>
      <c r="S557" s="377"/>
      <c r="T557" s="375"/>
      <c r="U557" s="375"/>
      <c r="V557" s="375"/>
      <c r="W557" s="375"/>
      <c r="X557" s="375"/>
      <c r="Y557" s="375"/>
      <c r="Z557" s="375"/>
      <c r="AA557" s="375"/>
      <c r="AB557" s="375"/>
      <c r="AC557" s="375"/>
      <c r="AD557" s="375"/>
      <c r="AE557" s="375"/>
      <c r="AF557" s="375"/>
    </row>
    <row r="558">
      <c r="A558" s="360"/>
      <c r="B558" s="360"/>
      <c r="C558" s="377"/>
      <c r="D558" s="377"/>
      <c r="E558" s="378"/>
      <c r="F558" s="377"/>
      <c r="G558" s="377"/>
      <c r="H558" s="378"/>
      <c r="I558" s="360"/>
      <c r="J558" s="377"/>
      <c r="K558" s="377"/>
      <c r="L558" s="378"/>
      <c r="M558" s="377"/>
      <c r="N558" s="377"/>
      <c r="O558" s="377"/>
      <c r="P558" s="364"/>
      <c r="Q558" s="360"/>
      <c r="R558" s="377"/>
      <c r="S558" s="377"/>
      <c r="T558" s="375"/>
      <c r="U558" s="375"/>
      <c r="V558" s="375"/>
      <c r="W558" s="375"/>
      <c r="X558" s="375"/>
      <c r="Y558" s="375"/>
      <c r="Z558" s="375"/>
      <c r="AA558" s="375"/>
      <c r="AB558" s="375"/>
      <c r="AC558" s="375"/>
      <c r="AD558" s="375"/>
      <c r="AE558" s="375"/>
      <c r="AF558" s="375"/>
    </row>
    <row r="559">
      <c r="A559" s="360"/>
      <c r="B559" s="360"/>
      <c r="C559" s="377"/>
      <c r="D559" s="377"/>
      <c r="E559" s="378"/>
      <c r="F559" s="377"/>
      <c r="G559" s="377"/>
      <c r="H559" s="378"/>
      <c r="I559" s="360"/>
      <c r="J559" s="377"/>
      <c r="K559" s="377"/>
      <c r="L559" s="378"/>
      <c r="M559" s="377"/>
      <c r="N559" s="377"/>
      <c r="O559" s="377"/>
      <c r="P559" s="364"/>
      <c r="Q559" s="360"/>
      <c r="R559" s="377"/>
      <c r="S559" s="377"/>
      <c r="T559" s="375"/>
      <c r="U559" s="375"/>
      <c r="V559" s="375"/>
      <c r="W559" s="375"/>
      <c r="X559" s="375"/>
      <c r="Y559" s="375"/>
      <c r="Z559" s="375"/>
      <c r="AA559" s="375"/>
      <c r="AB559" s="375"/>
      <c r="AC559" s="375"/>
      <c r="AD559" s="375"/>
      <c r="AE559" s="375"/>
      <c r="AF559" s="375"/>
    </row>
    <row r="560">
      <c r="A560" s="360"/>
      <c r="B560" s="360"/>
      <c r="C560" s="377"/>
      <c r="D560" s="377"/>
      <c r="E560" s="378"/>
      <c r="F560" s="377"/>
      <c r="G560" s="377"/>
      <c r="H560" s="378"/>
      <c r="I560" s="360"/>
      <c r="J560" s="377"/>
      <c r="K560" s="377"/>
      <c r="L560" s="378"/>
      <c r="M560" s="377"/>
      <c r="N560" s="377"/>
      <c r="O560" s="377"/>
      <c r="P560" s="364"/>
      <c r="Q560" s="360"/>
      <c r="R560" s="377"/>
      <c r="S560" s="377"/>
      <c r="T560" s="375"/>
      <c r="U560" s="375"/>
      <c r="V560" s="375"/>
      <c r="W560" s="375"/>
      <c r="X560" s="375"/>
      <c r="Y560" s="375"/>
      <c r="Z560" s="375"/>
      <c r="AA560" s="375"/>
      <c r="AB560" s="375"/>
      <c r="AC560" s="375"/>
      <c r="AD560" s="375"/>
      <c r="AE560" s="375"/>
      <c r="AF560" s="375"/>
    </row>
    <row r="561">
      <c r="A561" s="360"/>
      <c r="B561" s="360"/>
      <c r="C561" s="377"/>
      <c r="D561" s="377"/>
      <c r="E561" s="378"/>
      <c r="F561" s="377"/>
      <c r="G561" s="377"/>
      <c r="H561" s="378"/>
      <c r="I561" s="360"/>
      <c r="J561" s="377"/>
      <c r="K561" s="377"/>
      <c r="L561" s="378"/>
      <c r="M561" s="377"/>
      <c r="N561" s="377"/>
      <c r="O561" s="377"/>
      <c r="P561" s="364"/>
      <c r="Q561" s="360"/>
      <c r="R561" s="377"/>
      <c r="S561" s="377"/>
      <c r="T561" s="375"/>
      <c r="U561" s="375"/>
      <c r="V561" s="375"/>
      <c r="W561" s="375"/>
      <c r="X561" s="375"/>
      <c r="Y561" s="375"/>
      <c r="Z561" s="375"/>
      <c r="AA561" s="375"/>
      <c r="AB561" s="375"/>
      <c r="AC561" s="375"/>
      <c r="AD561" s="375"/>
      <c r="AE561" s="375"/>
      <c r="AF561" s="375"/>
    </row>
    <row r="562">
      <c r="A562" s="360"/>
      <c r="B562" s="360"/>
      <c r="C562" s="377"/>
      <c r="D562" s="377"/>
      <c r="E562" s="378"/>
      <c r="F562" s="377"/>
      <c r="G562" s="377"/>
      <c r="H562" s="378"/>
      <c r="I562" s="360"/>
      <c r="J562" s="377"/>
      <c r="K562" s="377"/>
      <c r="L562" s="378"/>
      <c r="M562" s="377"/>
      <c r="N562" s="377"/>
      <c r="O562" s="377"/>
      <c r="P562" s="364"/>
      <c r="Q562" s="360"/>
      <c r="R562" s="377"/>
      <c r="S562" s="377"/>
      <c r="T562" s="375"/>
      <c r="U562" s="375"/>
      <c r="V562" s="375"/>
      <c r="W562" s="375"/>
      <c r="X562" s="375"/>
      <c r="Y562" s="375"/>
      <c r="Z562" s="375"/>
      <c r="AA562" s="375"/>
      <c r="AB562" s="375"/>
      <c r="AC562" s="375"/>
      <c r="AD562" s="375"/>
      <c r="AE562" s="375"/>
      <c r="AF562" s="375"/>
    </row>
    <row r="563">
      <c r="A563" s="360"/>
      <c r="B563" s="360"/>
      <c r="C563" s="377"/>
      <c r="D563" s="377"/>
      <c r="E563" s="378"/>
      <c r="F563" s="377"/>
      <c r="G563" s="377"/>
      <c r="H563" s="378"/>
      <c r="I563" s="360"/>
      <c r="J563" s="377"/>
      <c r="K563" s="377"/>
      <c r="L563" s="378"/>
      <c r="M563" s="377"/>
      <c r="N563" s="377"/>
      <c r="O563" s="377"/>
      <c r="P563" s="364"/>
      <c r="Q563" s="360"/>
      <c r="R563" s="377"/>
      <c r="S563" s="377"/>
      <c r="T563" s="375"/>
      <c r="U563" s="375"/>
      <c r="V563" s="375"/>
      <c r="W563" s="375"/>
      <c r="X563" s="375"/>
      <c r="Y563" s="375"/>
      <c r="Z563" s="375"/>
      <c r="AA563" s="375"/>
      <c r="AB563" s="375"/>
      <c r="AC563" s="375"/>
      <c r="AD563" s="375"/>
      <c r="AE563" s="375"/>
      <c r="AF563" s="375"/>
    </row>
    <row r="564">
      <c r="A564" s="360"/>
      <c r="B564" s="360"/>
      <c r="C564" s="377"/>
      <c r="D564" s="377"/>
      <c r="E564" s="378"/>
      <c r="F564" s="377"/>
      <c r="G564" s="377"/>
      <c r="H564" s="378"/>
      <c r="I564" s="360"/>
      <c r="J564" s="377"/>
      <c r="K564" s="377"/>
      <c r="L564" s="378"/>
      <c r="M564" s="377"/>
      <c r="N564" s="377"/>
      <c r="O564" s="377"/>
      <c r="P564" s="364"/>
      <c r="Q564" s="360"/>
      <c r="R564" s="377"/>
      <c r="S564" s="377"/>
      <c r="T564" s="375"/>
      <c r="U564" s="375"/>
      <c r="V564" s="375"/>
      <c r="W564" s="375"/>
      <c r="X564" s="375"/>
      <c r="Y564" s="375"/>
      <c r="Z564" s="375"/>
      <c r="AA564" s="375"/>
      <c r="AB564" s="375"/>
      <c r="AC564" s="375"/>
      <c r="AD564" s="375"/>
      <c r="AE564" s="375"/>
      <c r="AF564" s="375"/>
    </row>
    <row r="565">
      <c r="A565" s="360"/>
      <c r="B565" s="360"/>
      <c r="C565" s="377"/>
      <c r="D565" s="377"/>
      <c r="E565" s="378"/>
      <c r="F565" s="377"/>
      <c r="G565" s="377"/>
      <c r="H565" s="378"/>
      <c r="I565" s="360"/>
      <c r="J565" s="377"/>
      <c r="K565" s="377"/>
      <c r="L565" s="378"/>
      <c r="M565" s="377"/>
      <c r="N565" s="377"/>
      <c r="O565" s="377"/>
      <c r="P565" s="364"/>
      <c r="Q565" s="360"/>
      <c r="R565" s="377"/>
      <c r="S565" s="377"/>
      <c r="T565" s="375"/>
      <c r="U565" s="375"/>
      <c r="V565" s="375"/>
      <c r="W565" s="375"/>
      <c r="X565" s="375"/>
      <c r="Y565" s="375"/>
      <c r="Z565" s="375"/>
      <c r="AA565" s="375"/>
      <c r="AB565" s="375"/>
      <c r="AC565" s="375"/>
      <c r="AD565" s="375"/>
      <c r="AE565" s="375"/>
      <c r="AF565" s="375"/>
    </row>
    <row r="566">
      <c r="A566" s="360"/>
      <c r="B566" s="360"/>
      <c r="C566" s="377"/>
      <c r="D566" s="377"/>
      <c r="E566" s="378"/>
      <c r="F566" s="377"/>
      <c r="G566" s="377"/>
      <c r="H566" s="378"/>
      <c r="I566" s="360"/>
      <c r="J566" s="377"/>
      <c r="K566" s="377"/>
      <c r="L566" s="378"/>
      <c r="M566" s="377"/>
      <c r="N566" s="377"/>
      <c r="O566" s="377"/>
      <c r="P566" s="364"/>
      <c r="Q566" s="360"/>
      <c r="R566" s="377"/>
      <c r="S566" s="377"/>
      <c r="T566" s="375"/>
      <c r="U566" s="375"/>
      <c r="V566" s="375"/>
      <c r="W566" s="375"/>
      <c r="X566" s="375"/>
      <c r="Y566" s="375"/>
      <c r="Z566" s="375"/>
      <c r="AA566" s="375"/>
      <c r="AB566" s="375"/>
      <c r="AC566" s="375"/>
      <c r="AD566" s="375"/>
      <c r="AE566" s="375"/>
      <c r="AF566" s="375"/>
    </row>
    <row r="567">
      <c r="A567" s="360"/>
      <c r="B567" s="360"/>
      <c r="C567" s="377"/>
      <c r="D567" s="377"/>
      <c r="E567" s="378"/>
      <c r="F567" s="377"/>
      <c r="G567" s="377"/>
      <c r="H567" s="378"/>
      <c r="I567" s="360"/>
      <c r="J567" s="377"/>
      <c r="K567" s="377"/>
      <c r="L567" s="378"/>
      <c r="M567" s="377"/>
      <c r="N567" s="377"/>
      <c r="O567" s="377"/>
      <c r="P567" s="364"/>
      <c r="Q567" s="360"/>
      <c r="R567" s="377"/>
      <c r="S567" s="377"/>
      <c r="T567" s="375"/>
      <c r="U567" s="375"/>
      <c r="V567" s="375"/>
      <c r="W567" s="375"/>
      <c r="X567" s="375"/>
      <c r="Y567" s="375"/>
      <c r="Z567" s="375"/>
      <c r="AA567" s="375"/>
      <c r="AB567" s="375"/>
      <c r="AC567" s="375"/>
      <c r="AD567" s="375"/>
      <c r="AE567" s="375"/>
      <c r="AF567" s="375"/>
    </row>
    <row r="568">
      <c r="A568" s="360"/>
      <c r="B568" s="360"/>
      <c r="C568" s="377"/>
      <c r="D568" s="377"/>
      <c r="E568" s="378"/>
      <c r="F568" s="377"/>
      <c r="G568" s="377"/>
      <c r="H568" s="378"/>
      <c r="I568" s="360"/>
      <c r="J568" s="377"/>
      <c r="K568" s="377"/>
      <c r="L568" s="378"/>
      <c r="M568" s="377"/>
      <c r="N568" s="377"/>
      <c r="O568" s="377"/>
      <c r="P568" s="364"/>
      <c r="Q568" s="360"/>
      <c r="R568" s="377"/>
      <c r="S568" s="377"/>
      <c r="T568" s="375"/>
      <c r="U568" s="375"/>
      <c r="V568" s="375"/>
      <c r="W568" s="375"/>
      <c r="X568" s="375"/>
      <c r="Y568" s="375"/>
      <c r="Z568" s="375"/>
      <c r="AA568" s="375"/>
      <c r="AB568" s="375"/>
      <c r="AC568" s="375"/>
      <c r="AD568" s="375"/>
      <c r="AE568" s="375"/>
      <c r="AF568" s="375"/>
    </row>
    <row r="569">
      <c r="A569" s="360"/>
      <c r="B569" s="360"/>
      <c r="C569" s="377"/>
      <c r="D569" s="377"/>
      <c r="E569" s="378"/>
      <c r="F569" s="377"/>
      <c r="G569" s="377"/>
      <c r="H569" s="378"/>
      <c r="I569" s="360"/>
      <c r="J569" s="377"/>
      <c r="K569" s="377"/>
      <c r="L569" s="378"/>
      <c r="M569" s="377"/>
      <c r="N569" s="377"/>
      <c r="O569" s="377"/>
      <c r="P569" s="364"/>
      <c r="Q569" s="360"/>
      <c r="R569" s="377"/>
      <c r="S569" s="377"/>
      <c r="T569" s="375"/>
      <c r="U569" s="375"/>
      <c r="V569" s="375"/>
      <c r="W569" s="375"/>
      <c r="X569" s="375"/>
      <c r="Y569" s="375"/>
      <c r="Z569" s="375"/>
      <c r="AA569" s="375"/>
      <c r="AB569" s="375"/>
      <c r="AC569" s="375"/>
      <c r="AD569" s="375"/>
      <c r="AE569" s="375"/>
      <c r="AF569" s="375"/>
    </row>
    <row r="570">
      <c r="A570" s="360"/>
      <c r="B570" s="360"/>
      <c r="C570" s="377"/>
      <c r="D570" s="377"/>
      <c r="E570" s="378"/>
      <c r="F570" s="377"/>
      <c r="G570" s="377"/>
      <c r="H570" s="378"/>
      <c r="I570" s="360"/>
      <c r="J570" s="377"/>
      <c r="K570" s="377"/>
      <c r="L570" s="378"/>
      <c r="M570" s="377"/>
      <c r="N570" s="377"/>
      <c r="O570" s="377"/>
      <c r="P570" s="364"/>
      <c r="Q570" s="360"/>
      <c r="R570" s="377"/>
      <c r="S570" s="377"/>
      <c r="T570" s="375"/>
      <c r="U570" s="375"/>
      <c r="V570" s="375"/>
      <c r="W570" s="375"/>
      <c r="X570" s="375"/>
      <c r="Y570" s="375"/>
      <c r="Z570" s="375"/>
      <c r="AA570" s="375"/>
      <c r="AB570" s="375"/>
      <c r="AC570" s="375"/>
      <c r="AD570" s="375"/>
      <c r="AE570" s="375"/>
      <c r="AF570" s="375"/>
    </row>
    <row r="571">
      <c r="A571" s="360"/>
      <c r="B571" s="360"/>
      <c r="C571" s="377"/>
      <c r="D571" s="377"/>
      <c r="E571" s="378"/>
      <c r="F571" s="377"/>
      <c r="G571" s="377"/>
      <c r="H571" s="378"/>
      <c r="I571" s="360"/>
      <c r="J571" s="377"/>
      <c r="K571" s="377"/>
      <c r="L571" s="378"/>
      <c r="M571" s="377"/>
      <c r="N571" s="377"/>
      <c r="O571" s="377"/>
      <c r="P571" s="364"/>
      <c r="Q571" s="360"/>
      <c r="R571" s="377"/>
      <c r="S571" s="377"/>
      <c r="T571" s="375"/>
      <c r="U571" s="375"/>
      <c r="V571" s="375"/>
      <c r="W571" s="375"/>
      <c r="X571" s="375"/>
      <c r="Y571" s="375"/>
      <c r="Z571" s="375"/>
      <c r="AA571" s="375"/>
      <c r="AB571" s="375"/>
      <c r="AC571" s="375"/>
      <c r="AD571" s="375"/>
      <c r="AE571" s="375"/>
      <c r="AF571" s="375"/>
    </row>
    <row r="572">
      <c r="A572" s="360"/>
      <c r="B572" s="360"/>
      <c r="C572" s="377"/>
      <c r="D572" s="377"/>
      <c r="E572" s="378"/>
      <c r="F572" s="377"/>
      <c r="G572" s="377"/>
      <c r="H572" s="378"/>
      <c r="I572" s="360"/>
      <c r="J572" s="377"/>
      <c r="K572" s="377"/>
      <c r="L572" s="378"/>
      <c r="M572" s="377"/>
      <c r="N572" s="377"/>
      <c r="O572" s="377"/>
      <c r="P572" s="364"/>
      <c r="Q572" s="360"/>
      <c r="R572" s="377"/>
      <c r="S572" s="377"/>
      <c r="T572" s="375"/>
      <c r="U572" s="375"/>
      <c r="V572" s="375"/>
      <c r="W572" s="375"/>
      <c r="X572" s="375"/>
      <c r="Y572" s="375"/>
      <c r="Z572" s="375"/>
      <c r="AA572" s="375"/>
      <c r="AB572" s="375"/>
      <c r="AC572" s="375"/>
      <c r="AD572" s="375"/>
      <c r="AE572" s="375"/>
      <c r="AF572" s="375"/>
    </row>
    <row r="573">
      <c r="A573" s="360"/>
      <c r="B573" s="360"/>
      <c r="C573" s="377"/>
      <c r="D573" s="377"/>
      <c r="E573" s="378"/>
      <c r="F573" s="377"/>
      <c r="G573" s="377"/>
      <c r="H573" s="378"/>
      <c r="I573" s="360"/>
      <c r="J573" s="377"/>
      <c r="K573" s="377"/>
      <c r="L573" s="378"/>
      <c r="M573" s="377"/>
      <c r="N573" s="377"/>
      <c r="O573" s="377"/>
      <c r="P573" s="364"/>
      <c r="Q573" s="360"/>
      <c r="R573" s="377"/>
      <c r="S573" s="377"/>
      <c r="T573" s="375"/>
      <c r="U573" s="375"/>
      <c r="V573" s="375"/>
      <c r="W573" s="375"/>
      <c r="X573" s="375"/>
      <c r="Y573" s="375"/>
      <c r="Z573" s="375"/>
      <c r="AA573" s="375"/>
      <c r="AB573" s="375"/>
      <c r="AC573" s="375"/>
      <c r="AD573" s="375"/>
      <c r="AE573" s="375"/>
      <c r="AF573" s="375"/>
    </row>
    <row r="574">
      <c r="A574" s="360"/>
      <c r="B574" s="360"/>
      <c r="C574" s="377"/>
      <c r="D574" s="377"/>
      <c r="E574" s="378"/>
      <c r="F574" s="377"/>
      <c r="G574" s="377"/>
      <c r="H574" s="378"/>
      <c r="I574" s="360"/>
      <c r="J574" s="377"/>
      <c r="K574" s="377"/>
      <c r="L574" s="378"/>
      <c r="M574" s="377"/>
      <c r="N574" s="377"/>
      <c r="O574" s="377"/>
      <c r="P574" s="364"/>
      <c r="Q574" s="360"/>
      <c r="R574" s="377"/>
      <c r="S574" s="377"/>
      <c r="T574" s="375"/>
      <c r="U574" s="375"/>
      <c r="V574" s="375"/>
      <c r="W574" s="375"/>
      <c r="X574" s="375"/>
      <c r="Y574" s="375"/>
      <c r="Z574" s="375"/>
      <c r="AA574" s="375"/>
      <c r="AB574" s="375"/>
      <c r="AC574" s="375"/>
      <c r="AD574" s="375"/>
      <c r="AE574" s="375"/>
      <c r="AF574" s="375"/>
    </row>
    <row r="575">
      <c r="A575" s="360"/>
      <c r="B575" s="360"/>
      <c r="C575" s="377"/>
      <c r="D575" s="377"/>
      <c r="E575" s="378"/>
      <c r="F575" s="377"/>
      <c r="G575" s="377"/>
      <c r="H575" s="378"/>
      <c r="I575" s="360"/>
      <c r="J575" s="377"/>
      <c r="K575" s="377"/>
      <c r="L575" s="378"/>
      <c r="M575" s="377"/>
      <c r="N575" s="377"/>
      <c r="O575" s="377"/>
      <c r="P575" s="364"/>
      <c r="Q575" s="360"/>
      <c r="R575" s="377"/>
      <c r="S575" s="377"/>
      <c r="T575" s="375"/>
      <c r="U575" s="375"/>
      <c r="V575" s="375"/>
      <c r="W575" s="375"/>
      <c r="X575" s="375"/>
      <c r="Y575" s="375"/>
      <c r="Z575" s="375"/>
      <c r="AA575" s="375"/>
      <c r="AB575" s="375"/>
      <c r="AC575" s="375"/>
      <c r="AD575" s="375"/>
      <c r="AE575" s="375"/>
      <c r="AF575" s="375"/>
    </row>
    <row r="576">
      <c r="A576" s="360"/>
      <c r="B576" s="360"/>
      <c r="C576" s="377"/>
      <c r="D576" s="377"/>
      <c r="E576" s="378"/>
      <c r="F576" s="377"/>
      <c r="G576" s="377"/>
      <c r="H576" s="378"/>
      <c r="I576" s="360"/>
      <c r="J576" s="377"/>
      <c r="K576" s="377"/>
      <c r="L576" s="378"/>
      <c r="M576" s="377"/>
      <c r="N576" s="377"/>
      <c r="O576" s="377"/>
      <c r="P576" s="364"/>
      <c r="Q576" s="360"/>
      <c r="R576" s="377"/>
      <c r="S576" s="377"/>
      <c r="T576" s="375"/>
      <c r="U576" s="375"/>
      <c r="V576" s="375"/>
      <c r="W576" s="375"/>
      <c r="X576" s="375"/>
      <c r="Y576" s="375"/>
      <c r="Z576" s="375"/>
      <c r="AA576" s="375"/>
      <c r="AB576" s="375"/>
      <c r="AC576" s="375"/>
      <c r="AD576" s="375"/>
      <c r="AE576" s="375"/>
      <c r="AF576" s="375"/>
    </row>
    <row r="577">
      <c r="A577" s="360"/>
      <c r="B577" s="360"/>
      <c r="C577" s="377"/>
      <c r="D577" s="377"/>
      <c r="E577" s="378"/>
      <c r="F577" s="377"/>
      <c r="G577" s="377"/>
      <c r="H577" s="378"/>
      <c r="I577" s="360"/>
      <c r="J577" s="377"/>
      <c r="K577" s="377"/>
      <c r="L577" s="378"/>
      <c r="M577" s="377"/>
      <c r="N577" s="377"/>
      <c r="O577" s="377"/>
      <c r="P577" s="364"/>
      <c r="Q577" s="360"/>
      <c r="R577" s="377"/>
      <c r="S577" s="377"/>
      <c r="T577" s="375"/>
      <c r="U577" s="375"/>
      <c r="V577" s="375"/>
      <c r="W577" s="375"/>
      <c r="X577" s="375"/>
      <c r="Y577" s="375"/>
      <c r="Z577" s="375"/>
      <c r="AA577" s="375"/>
      <c r="AB577" s="375"/>
      <c r="AC577" s="375"/>
      <c r="AD577" s="375"/>
      <c r="AE577" s="375"/>
      <c r="AF577" s="375"/>
    </row>
    <row r="578">
      <c r="A578" s="360"/>
      <c r="B578" s="360"/>
      <c r="C578" s="377"/>
      <c r="D578" s="377"/>
      <c r="E578" s="378"/>
      <c r="F578" s="377"/>
      <c r="G578" s="377"/>
      <c r="H578" s="378"/>
      <c r="I578" s="360"/>
      <c r="J578" s="377"/>
      <c r="K578" s="377"/>
      <c r="L578" s="378"/>
      <c r="M578" s="377"/>
      <c r="N578" s="377"/>
      <c r="O578" s="377"/>
      <c r="P578" s="364"/>
      <c r="Q578" s="360"/>
      <c r="R578" s="377"/>
      <c r="S578" s="377"/>
      <c r="T578" s="375"/>
      <c r="U578" s="375"/>
      <c r="V578" s="375"/>
      <c r="W578" s="375"/>
      <c r="X578" s="375"/>
      <c r="Y578" s="375"/>
      <c r="Z578" s="375"/>
      <c r="AA578" s="375"/>
      <c r="AB578" s="375"/>
      <c r="AC578" s="375"/>
      <c r="AD578" s="375"/>
      <c r="AE578" s="375"/>
      <c r="AF578" s="375"/>
    </row>
    <row r="579">
      <c r="A579" s="360"/>
      <c r="B579" s="360"/>
      <c r="C579" s="377"/>
      <c r="D579" s="377"/>
      <c r="E579" s="378"/>
      <c r="F579" s="377"/>
      <c r="G579" s="377"/>
      <c r="H579" s="378"/>
      <c r="I579" s="360"/>
      <c r="J579" s="377"/>
      <c r="K579" s="377"/>
      <c r="L579" s="378"/>
      <c r="M579" s="377"/>
      <c r="N579" s="377"/>
      <c r="O579" s="377"/>
      <c r="P579" s="364"/>
      <c r="Q579" s="360"/>
      <c r="R579" s="377"/>
      <c r="S579" s="377"/>
      <c r="T579" s="375"/>
      <c r="U579" s="375"/>
      <c r="V579" s="375"/>
      <c r="W579" s="375"/>
      <c r="X579" s="375"/>
      <c r="Y579" s="375"/>
      <c r="Z579" s="375"/>
      <c r="AA579" s="375"/>
      <c r="AB579" s="375"/>
      <c r="AC579" s="375"/>
      <c r="AD579" s="375"/>
      <c r="AE579" s="375"/>
      <c r="AF579" s="375"/>
    </row>
    <row r="580">
      <c r="A580" s="360"/>
      <c r="B580" s="360"/>
      <c r="C580" s="377"/>
      <c r="D580" s="377"/>
      <c r="E580" s="378"/>
      <c r="F580" s="377"/>
      <c r="G580" s="377"/>
      <c r="H580" s="378"/>
      <c r="I580" s="360"/>
      <c r="J580" s="377"/>
      <c r="K580" s="377"/>
      <c r="L580" s="378"/>
      <c r="M580" s="377"/>
      <c r="N580" s="377"/>
      <c r="O580" s="377"/>
      <c r="P580" s="364"/>
      <c r="Q580" s="360"/>
      <c r="R580" s="377"/>
      <c r="S580" s="377"/>
      <c r="T580" s="375"/>
      <c r="U580" s="375"/>
      <c r="V580" s="375"/>
      <c r="W580" s="375"/>
      <c r="X580" s="375"/>
      <c r="Y580" s="375"/>
      <c r="Z580" s="375"/>
      <c r="AA580" s="375"/>
      <c r="AB580" s="375"/>
      <c r="AC580" s="375"/>
      <c r="AD580" s="375"/>
      <c r="AE580" s="375"/>
      <c r="AF580" s="375"/>
    </row>
    <row r="581">
      <c r="A581" s="360"/>
      <c r="B581" s="360"/>
      <c r="C581" s="377"/>
      <c r="D581" s="377"/>
      <c r="E581" s="378"/>
      <c r="F581" s="377"/>
      <c r="G581" s="377"/>
      <c r="H581" s="378"/>
      <c r="I581" s="360"/>
      <c r="J581" s="377"/>
      <c r="K581" s="377"/>
      <c r="L581" s="378"/>
      <c r="M581" s="377"/>
      <c r="N581" s="377"/>
      <c r="O581" s="377"/>
      <c r="P581" s="364"/>
      <c r="Q581" s="360"/>
      <c r="R581" s="377"/>
      <c r="S581" s="377"/>
      <c r="T581" s="375"/>
      <c r="U581" s="375"/>
      <c r="V581" s="375"/>
      <c r="W581" s="375"/>
      <c r="X581" s="375"/>
      <c r="Y581" s="375"/>
      <c r="Z581" s="375"/>
      <c r="AA581" s="375"/>
      <c r="AB581" s="375"/>
      <c r="AC581" s="375"/>
      <c r="AD581" s="375"/>
      <c r="AE581" s="375"/>
      <c r="AF581" s="375"/>
    </row>
    <row r="582">
      <c r="A582" s="360"/>
      <c r="B582" s="360"/>
      <c r="C582" s="377"/>
      <c r="D582" s="377"/>
      <c r="E582" s="378"/>
      <c r="F582" s="377"/>
      <c r="G582" s="377"/>
      <c r="H582" s="378"/>
      <c r="I582" s="360"/>
      <c r="J582" s="377"/>
      <c r="K582" s="377"/>
      <c r="L582" s="378"/>
      <c r="M582" s="377"/>
      <c r="N582" s="377"/>
      <c r="O582" s="377"/>
      <c r="P582" s="364"/>
      <c r="Q582" s="360"/>
      <c r="R582" s="377"/>
      <c r="S582" s="377"/>
      <c r="T582" s="375"/>
      <c r="U582" s="375"/>
      <c r="V582" s="375"/>
      <c r="W582" s="375"/>
      <c r="X582" s="375"/>
      <c r="Y582" s="375"/>
      <c r="Z582" s="375"/>
      <c r="AA582" s="375"/>
      <c r="AB582" s="375"/>
      <c r="AC582" s="375"/>
      <c r="AD582" s="375"/>
      <c r="AE582" s="375"/>
      <c r="AF582" s="375"/>
    </row>
    <row r="583">
      <c r="A583" s="360"/>
      <c r="B583" s="360"/>
      <c r="C583" s="377"/>
      <c r="D583" s="377"/>
      <c r="E583" s="378"/>
      <c r="F583" s="377"/>
      <c r="G583" s="377"/>
      <c r="H583" s="378"/>
      <c r="I583" s="360"/>
      <c r="J583" s="377"/>
      <c r="K583" s="377"/>
      <c r="L583" s="378"/>
      <c r="M583" s="377"/>
      <c r="N583" s="377"/>
      <c r="O583" s="377"/>
      <c r="P583" s="364"/>
      <c r="Q583" s="360"/>
      <c r="R583" s="377"/>
      <c r="S583" s="377"/>
      <c r="T583" s="375"/>
      <c r="U583" s="375"/>
      <c r="V583" s="375"/>
      <c r="W583" s="375"/>
      <c r="X583" s="375"/>
      <c r="Y583" s="375"/>
      <c r="Z583" s="375"/>
      <c r="AA583" s="375"/>
      <c r="AB583" s="375"/>
      <c r="AC583" s="375"/>
      <c r="AD583" s="375"/>
      <c r="AE583" s="375"/>
      <c r="AF583" s="375"/>
    </row>
    <row r="584">
      <c r="A584" s="360"/>
      <c r="B584" s="360"/>
      <c r="C584" s="377"/>
      <c r="D584" s="377"/>
      <c r="E584" s="378"/>
      <c r="F584" s="377"/>
      <c r="G584" s="377"/>
      <c r="H584" s="378"/>
      <c r="I584" s="360"/>
      <c r="J584" s="377"/>
      <c r="K584" s="377"/>
      <c r="L584" s="378"/>
      <c r="M584" s="377"/>
      <c r="N584" s="377"/>
      <c r="O584" s="377"/>
      <c r="P584" s="364"/>
      <c r="Q584" s="360"/>
      <c r="R584" s="377"/>
      <c r="S584" s="377"/>
      <c r="T584" s="375"/>
      <c r="U584" s="375"/>
      <c r="V584" s="375"/>
      <c r="W584" s="375"/>
      <c r="X584" s="375"/>
      <c r="Y584" s="375"/>
      <c r="Z584" s="375"/>
      <c r="AA584" s="375"/>
      <c r="AB584" s="375"/>
      <c r="AC584" s="375"/>
      <c r="AD584" s="375"/>
      <c r="AE584" s="375"/>
      <c r="AF584" s="375"/>
    </row>
    <row r="585">
      <c r="A585" s="360"/>
      <c r="B585" s="360"/>
      <c r="C585" s="377"/>
      <c r="D585" s="377"/>
      <c r="E585" s="378"/>
      <c r="F585" s="377"/>
      <c r="G585" s="377"/>
      <c r="H585" s="378"/>
      <c r="I585" s="360"/>
      <c r="J585" s="377"/>
      <c r="K585" s="377"/>
      <c r="L585" s="378"/>
      <c r="M585" s="377"/>
      <c r="N585" s="377"/>
      <c r="O585" s="377"/>
      <c r="P585" s="364"/>
      <c r="Q585" s="360"/>
      <c r="R585" s="377"/>
      <c r="S585" s="377"/>
      <c r="T585" s="375"/>
      <c r="U585" s="375"/>
      <c r="V585" s="375"/>
      <c r="W585" s="375"/>
      <c r="X585" s="375"/>
      <c r="Y585" s="375"/>
      <c r="Z585" s="375"/>
      <c r="AA585" s="375"/>
      <c r="AB585" s="375"/>
      <c r="AC585" s="375"/>
      <c r="AD585" s="375"/>
      <c r="AE585" s="375"/>
      <c r="AF585" s="375"/>
    </row>
    <row r="586">
      <c r="A586" s="360"/>
      <c r="B586" s="360"/>
      <c r="C586" s="377"/>
      <c r="D586" s="377"/>
      <c r="E586" s="378"/>
      <c r="F586" s="377"/>
      <c r="G586" s="377"/>
      <c r="H586" s="378"/>
      <c r="I586" s="360"/>
      <c r="J586" s="377"/>
      <c r="K586" s="377"/>
      <c r="L586" s="378"/>
      <c r="M586" s="377"/>
      <c r="N586" s="377"/>
      <c r="O586" s="377"/>
      <c r="P586" s="364"/>
      <c r="Q586" s="360"/>
      <c r="R586" s="377"/>
      <c r="S586" s="377"/>
      <c r="T586" s="375"/>
      <c r="U586" s="375"/>
      <c r="V586" s="375"/>
      <c r="W586" s="375"/>
      <c r="X586" s="375"/>
      <c r="Y586" s="375"/>
      <c r="Z586" s="375"/>
      <c r="AA586" s="375"/>
      <c r="AB586" s="375"/>
      <c r="AC586" s="375"/>
      <c r="AD586" s="375"/>
      <c r="AE586" s="375"/>
      <c r="AF586" s="375"/>
    </row>
    <row r="587">
      <c r="A587" s="360"/>
      <c r="B587" s="360"/>
      <c r="C587" s="377"/>
      <c r="D587" s="377"/>
      <c r="E587" s="378"/>
      <c r="F587" s="377"/>
      <c r="G587" s="377"/>
      <c r="H587" s="378"/>
      <c r="I587" s="360"/>
      <c r="J587" s="377"/>
      <c r="K587" s="377"/>
      <c r="L587" s="378"/>
      <c r="M587" s="377"/>
      <c r="N587" s="377"/>
      <c r="O587" s="377"/>
      <c r="P587" s="364"/>
      <c r="Q587" s="360"/>
      <c r="R587" s="377"/>
      <c r="S587" s="377"/>
      <c r="T587" s="375"/>
      <c r="U587" s="375"/>
      <c r="V587" s="375"/>
      <c r="W587" s="375"/>
      <c r="X587" s="375"/>
      <c r="Y587" s="375"/>
      <c r="Z587" s="375"/>
      <c r="AA587" s="375"/>
      <c r="AB587" s="375"/>
      <c r="AC587" s="375"/>
      <c r="AD587" s="375"/>
      <c r="AE587" s="375"/>
      <c r="AF587" s="375"/>
    </row>
    <row r="588">
      <c r="A588" s="360"/>
      <c r="B588" s="360"/>
      <c r="C588" s="377"/>
      <c r="D588" s="377"/>
      <c r="E588" s="378"/>
      <c r="F588" s="377"/>
      <c r="G588" s="377"/>
      <c r="H588" s="378"/>
      <c r="I588" s="360"/>
      <c r="J588" s="377"/>
      <c r="K588" s="377"/>
      <c r="L588" s="378"/>
      <c r="M588" s="377"/>
      <c r="N588" s="377"/>
      <c r="O588" s="377"/>
      <c r="P588" s="364"/>
      <c r="Q588" s="360"/>
      <c r="R588" s="377"/>
      <c r="S588" s="377"/>
      <c r="T588" s="375"/>
      <c r="U588" s="375"/>
      <c r="V588" s="375"/>
      <c r="W588" s="375"/>
      <c r="X588" s="375"/>
      <c r="Y588" s="375"/>
      <c r="Z588" s="375"/>
      <c r="AA588" s="375"/>
      <c r="AB588" s="375"/>
      <c r="AC588" s="375"/>
      <c r="AD588" s="375"/>
      <c r="AE588" s="375"/>
      <c r="AF588" s="375"/>
    </row>
    <row r="589">
      <c r="A589" s="360"/>
      <c r="B589" s="360"/>
      <c r="C589" s="377"/>
      <c r="D589" s="377"/>
      <c r="E589" s="378"/>
      <c r="F589" s="377"/>
      <c r="G589" s="377"/>
      <c r="H589" s="378"/>
      <c r="I589" s="360"/>
      <c r="J589" s="377"/>
      <c r="K589" s="377"/>
      <c r="L589" s="378"/>
      <c r="M589" s="377"/>
      <c r="N589" s="377"/>
      <c r="O589" s="377"/>
      <c r="P589" s="364"/>
      <c r="Q589" s="360"/>
      <c r="R589" s="377"/>
      <c r="S589" s="377"/>
      <c r="T589" s="375"/>
      <c r="U589" s="375"/>
      <c r="V589" s="375"/>
      <c r="W589" s="375"/>
      <c r="X589" s="375"/>
      <c r="Y589" s="375"/>
      <c r="Z589" s="375"/>
      <c r="AA589" s="375"/>
      <c r="AB589" s="375"/>
      <c r="AC589" s="375"/>
      <c r="AD589" s="375"/>
      <c r="AE589" s="375"/>
      <c r="AF589" s="375"/>
    </row>
    <row r="590">
      <c r="A590" s="360"/>
      <c r="B590" s="360"/>
      <c r="C590" s="377"/>
      <c r="D590" s="377"/>
      <c r="E590" s="378"/>
      <c r="F590" s="377"/>
      <c r="G590" s="377"/>
      <c r="H590" s="378"/>
      <c r="I590" s="360"/>
      <c r="J590" s="377"/>
      <c r="K590" s="377"/>
      <c r="L590" s="378"/>
      <c r="M590" s="377"/>
      <c r="N590" s="377"/>
      <c r="O590" s="377"/>
      <c r="P590" s="364"/>
      <c r="Q590" s="360"/>
      <c r="R590" s="377"/>
      <c r="S590" s="377"/>
      <c r="T590" s="375"/>
      <c r="U590" s="375"/>
      <c r="V590" s="375"/>
      <c r="W590" s="375"/>
      <c r="X590" s="375"/>
      <c r="Y590" s="375"/>
      <c r="Z590" s="375"/>
      <c r="AA590" s="375"/>
      <c r="AB590" s="375"/>
      <c r="AC590" s="375"/>
      <c r="AD590" s="375"/>
      <c r="AE590" s="375"/>
      <c r="AF590" s="375"/>
    </row>
    <row r="591">
      <c r="A591" s="360"/>
      <c r="B591" s="360"/>
      <c r="C591" s="377"/>
      <c r="D591" s="377"/>
      <c r="E591" s="378"/>
      <c r="F591" s="377"/>
      <c r="G591" s="377"/>
      <c r="H591" s="378"/>
      <c r="I591" s="360"/>
      <c r="J591" s="377"/>
      <c r="K591" s="377"/>
      <c r="L591" s="378"/>
      <c r="M591" s="377"/>
      <c r="N591" s="377"/>
      <c r="O591" s="377"/>
      <c r="P591" s="364"/>
      <c r="Q591" s="360"/>
      <c r="R591" s="377"/>
      <c r="S591" s="377"/>
      <c r="T591" s="375"/>
      <c r="U591" s="375"/>
      <c r="V591" s="375"/>
      <c r="W591" s="375"/>
      <c r="X591" s="375"/>
      <c r="Y591" s="375"/>
      <c r="Z591" s="375"/>
      <c r="AA591" s="375"/>
      <c r="AB591" s="375"/>
      <c r="AC591" s="375"/>
      <c r="AD591" s="375"/>
      <c r="AE591" s="375"/>
      <c r="AF591" s="375"/>
    </row>
    <row r="592">
      <c r="A592" s="360"/>
      <c r="B592" s="360"/>
      <c r="C592" s="377"/>
      <c r="D592" s="377"/>
      <c r="E592" s="378"/>
      <c r="F592" s="377"/>
      <c r="G592" s="377"/>
      <c r="H592" s="378"/>
      <c r="I592" s="360"/>
      <c r="J592" s="377"/>
      <c r="K592" s="377"/>
      <c r="L592" s="378"/>
      <c r="M592" s="377"/>
      <c r="N592" s="377"/>
      <c r="O592" s="377"/>
      <c r="P592" s="364"/>
      <c r="Q592" s="360"/>
      <c r="R592" s="377"/>
      <c r="S592" s="377"/>
      <c r="T592" s="375"/>
      <c r="U592" s="375"/>
      <c r="V592" s="375"/>
      <c r="W592" s="375"/>
      <c r="X592" s="375"/>
      <c r="Y592" s="375"/>
      <c r="Z592" s="375"/>
      <c r="AA592" s="375"/>
      <c r="AB592" s="375"/>
      <c r="AC592" s="375"/>
      <c r="AD592" s="375"/>
      <c r="AE592" s="375"/>
      <c r="AF592" s="375"/>
    </row>
    <row r="593">
      <c r="A593" s="360"/>
      <c r="B593" s="360"/>
      <c r="C593" s="377"/>
      <c r="D593" s="377"/>
      <c r="E593" s="378"/>
      <c r="F593" s="377"/>
      <c r="G593" s="377"/>
      <c r="H593" s="378"/>
      <c r="I593" s="360"/>
      <c r="J593" s="377"/>
      <c r="K593" s="377"/>
      <c r="L593" s="378"/>
      <c r="M593" s="377"/>
      <c r="N593" s="377"/>
      <c r="O593" s="377"/>
      <c r="P593" s="364"/>
      <c r="Q593" s="360"/>
      <c r="R593" s="377"/>
      <c r="S593" s="377"/>
      <c r="T593" s="375"/>
      <c r="U593" s="375"/>
      <c r="V593" s="375"/>
      <c r="W593" s="375"/>
      <c r="X593" s="375"/>
      <c r="Y593" s="375"/>
      <c r="Z593" s="375"/>
      <c r="AA593" s="375"/>
      <c r="AB593" s="375"/>
      <c r="AC593" s="375"/>
      <c r="AD593" s="375"/>
      <c r="AE593" s="375"/>
      <c r="AF593" s="375"/>
    </row>
    <row r="594">
      <c r="A594" s="360"/>
      <c r="B594" s="360"/>
      <c r="C594" s="377"/>
      <c r="D594" s="377"/>
      <c r="E594" s="378"/>
      <c r="F594" s="377"/>
      <c r="G594" s="377"/>
      <c r="H594" s="378"/>
      <c r="I594" s="360"/>
      <c r="J594" s="377"/>
      <c r="K594" s="377"/>
      <c r="L594" s="378"/>
      <c r="M594" s="377"/>
      <c r="N594" s="377"/>
      <c r="O594" s="377"/>
      <c r="P594" s="364"/>
      <c r="Q594" s="360"/>
      <c r="R594" s="377"/>
      <c r="S594" s="377"/>
      <c r="T594" s="375"/>
      <c r="U594" s="375"/>
      <c r="V594" s="375"/>
      <c r="W594" s="375"/>
      <c r="X594" s="375"/>
      <c r="Y594" s="375"/>
      <c r="Z594" s="375"/>
      <c r="AA594" s="375"/>
      <c r="AB594" s="375"/>
      <c r="AC594" s="375"/>
      <c r="AD594" s="375"/>
      <c r="AE594" s="375"/>
      <c r="AF594" s="375"/>
    </row>
    <row r="595">
      <c r="A595" s="360"/>
      <c r="B595" s="360"/>
      <c r="C595" s="377"/>
      <c r="D595" s="377"/>
      <c r="E595" s="378"/>
      <c r="F595" s="377"/>
      <c r="G595" s="377"/>
      <c r="H595" s="378"/>
      <c r="I595" s="360"/>
      <c r="J595" s="377"/>
      <c r="K595" s="377"/>
      <c r="L595" s="378"/>
      <c r="M595" s="377"/>
      <c r="N595" s="377"/>
      <c r="O595" s="377"/>
      <c r="P595" s="364"/>
      <c r="Q595" s="360"/>
      <c r="R595" s="377"/>
      <c r="S595" s="377"/>
      <c r="T595" s="375"/>
      <c r="U595" s="375"/>
      <c r="V595" s="375"/>
      <c r="W595" s="375"/>
      <c r="X595" s="375"/>
      <c r="Y595" s="375"/>
      <c r="Z595" s="375"/>
      <c r="AA595" s="375"/>
      <c r="AB595" s="375"/>
      <c r="AC595" s="375"/>
      <c r="AD595" s="375"/>
      <c r="AE595" s="375"/>
      <c r="AF595" s="375"/>
    </row>
    <row r="596">
      <c r="A596" s="360"/>
      <c r="B596" s="360"/>
      <c r="C596" s="377"/>
      <c r="D596" s="377"/>
      <c r="E596" s="378"/>
      <c r="F596" s="377"/>
      <c r="G596" s="377"/>
      <c r="H596" s="378"/>
      <c r="I596" s="360"/>
      <c r="J596" s="377"/>
      <c r="K596" s="377"/>
      <c r="L596" s="378"/>
      <c r="M596" s="377"/>
      <c r="N596" s="377"/>
      <c r="O596" s="377"/>
      <c r="P596" s="364"/>
      <c r="Q596" s="360"/>
      <c r="R596" s="377"/>
      <c r="S596" s="377"/>
      <c r="T596" s="375"/>
      <c r="U596" s="375"/>
      <c r="V596" s="375"/>
      <c r="W596" s="375"/>
      <c r="X596" s="375"/>
      <c r="Y596" s="375"/>
      <c r="Z596" s="375"/>
      <c r="AA596" s="375"/>
      <c r="AB596" s="375"/>
      <c r="AC596" s="375"/>
      <c r="AD596" s="375"/>
      <c r="AE596" s="375"/>
      <c r="AF596" s="375"/>
    </row>
    <row r="597">
      <c r="A597" s="360"/>
      <c r="B597" s="360"/>
      <c r="C597" s="377"/>
      <c r="D597" s="377"/>
      <c r="E597" s="378"/>
      <c r="F597" s="377"/>
      <c r="G597" s="377"/>
      <c r="H597" s="378"/>
      <c r="I597" s="360"/>
      <c r="J597" s="377"/>
      <c r="K597" s="377"/>
      <c r="L597" s="378"/>
      <c r="M597" s="377"/>
      <c r="N597" s="377"/>
      <c r="O597" s="377"/>
      <c r="P597" s="364"/>
      <c r="Q597" s="360"/>
      <c r="R597" s="377"/>
      <c r="S597" s="377"/>
      <c r="T597" s="375"/>
      <c r="U597" s="375"/>
      <c r="V597" s="375"/>
      <c r="W597" s="375"/>
      <c r="X597" s="375"/>
      <c r="Y597" s="375"/>
      <c r="Z597" s="375"/>
      <c r="AA597" s="375"/>
      <c r="AB597" s="375"/>
      <c r="AC597" s="375"/>
      <c r="AD597" s="375"/>
      <c r="AE597" s="375"/>
      <c r="AF597" s="375"/>
    </row>
    <row r="598">
      <c r="A598" s="360"/>
      <c r="B598" s="360"/>
      <c r="C598" s="377"/>
      <c r="D598" s="377"/>
      <c r="E598" s="378"/>
      <c r="F598" s="377"/>
      <c r="G598" s="377"/>
      <c r="H598" s="378"/>
      <c r="I598" s="360"/>
      <c r="J598" s="377"/>
      <c r="K598" s="377"/>
      <c r="L598" s="378"/>
      <c r="M598" s="377"/>
      <c r="N598" s="377"/>
      <c r="O598" s="377"/>
      <c r="P598" s="364"/>
      <c r="Q598" s="360"/>
      <c r="R598" s="377"/>
      <c r="S598" s="377"/>
      <c r="T598" s="375"/>
      <c r="U598" s="375"/>
      <c r="V598" s="375"/>
      <c r="W598" s="375"/>
      <c r="X598" s="375"/>
      <c r="Y598" s="375"/>
      <c r="Z598" s="375"/>
      <c r="AA598" s="375"/>
      <c r="AB598" s="375"/>
      <c r="AC598" s="375"/>
      <c r="AD598" s="375"/>
      <c r="AE598" s="375"/>
      <c r="AF598" s="375"/>
    </row>
    <row r="599">
      <c r="A599" s="360"/>
      <c r="B599" s="360"/>
      <c r="C599" s="377"/>
      <c r="D599" s="377"/>
      <c r="E599" s="378"/>
      <c r="F599" s="377"/>
      <c r="G599" s="377"/>
      <c r="H599" s="378"/>
      <c r="I599" s="360"/>
      <c r="J599" s="377"/>
      <c r="K599" s="377"/>
      <c r="L599" s="378"/>
      <c r="M599" s="377"/>
      <c r="N599" s="377"/>
      <c r="O599" s="377"/>
      <c r="P599" s="364"/>
      <c r="Q599" s="360"/>
      <c r="R599" s="377"/>
      <c r="S599" s="377"/>
      <c r="T599" s="375"/>
      <c r="U599" s="375"/>
      <c r="V599" s="375"/>
      <c r="W599" s="375"/>
      <c r="X599" s="375"/>
      <c r="Y599" s="375"/>
      <c r="Z599" s="375"/>
      <c r="AA599" s="375"/>
      <c r="AB599" s="375"/>
      <c r="AC599" s="375"/>
      <c r="AD599" s="375"/>
      <c r="AE599" s="375"/>
      <c r="AF599" s="375"/>
    </row>
    <row r="600">
      <c r="A600" s="360"/>
      <c r="B600" s="360"/>
      <c r="C600" s="377"/>
      <c r="D600" s="377"/>
      <c r="E600" s="378"/>
      <c r="F600" s="377"/>
      <c r="G600" s="377"/>
      <c r="H600" s="378"/>
      <c r="I600" s="360"/>
      <c r="J600" s="377"/>
      <c r="K600" s="377"/>
      <c r="L600" s="378"/>
      <c r="M600" s="377"/>
      <c r="N600" s="377"/>
      <c r="O600" s="377"/>
      <c r="P600" s="364"/>
      <c r="Q600" s="360"/>
      <c r="R600" s="377"/>
      <c r="S600" s="377"/>
      <c r="T600" s="375"/>
      <c r="U600" s="375"/>
      <c r="V600" s="375"/>
      <c r="W600" s="375"/>
      <c r="X600" s="375"/>
      <c r="Y600" s="375"/>
      <c r="Z600" s="375"/>
      <c r="AA600" s="375"/>
      <c r="AB600" s="375"/>
      <c r="AC600" s="375"/>
      <c r="AD600" s="375"/>
      <c r="AE600" s="375"/>
      <c r="AF600" s="375"/>
    </row>
    <row r="601">
      <c r="A601" s="360"/>
      <c r="B601" s="360"/>
      <c r="C601" s="377"/>
      <c r="D601" s="377"/>
      <c r="E601" s="378"/>
      <c r="F601" s="377"/>
      <c r="G601" s="377"/>
      <c r="H601" s="378"/>
      <c r="I601" s="360"/>
      <c r="J601" s="377"/>
      <c r="K601" s="377"/>
      <c r="L601" s="378"/>
      <c r="M601" s="377"/>
      <c r="N601" s="377"/>
      <c r="O601" s="377"/>
      <c r="P601" s="364"/>
      <c r="Q601" s="360"/>
      <c r="R601" s="377"/>
      <c r="S601" s="377"/>
      <c r="T601" s="375"/>
      <c r="U601" s="375"/>
      <c r="V601" s="375"/>
      <c r="W601" s="375"/>
      <c r="X601" s="375"/>
      <c r="Y601" s="375"/>
      <c r="Z601" s="375"/>
      <c r="AA601" s="375"/>
      <c r="AB601" s="375"/>
      <c r="AC601" s="375"/>
      <c r="AD601" s="375"/>
      <c r="AE601" s="375"/>
      <c r="AF601" s="375"/>
    </row>
    <row r="602">
      <c r="A602" s="360"/>
      <c r="B602" s="360"/>
      <c r="C602" s="377"/>
      <c r="D602" s="377"/>
      <c r="E602" s="378"/>
      <c r="F602" s="377"/>
      <c r="G602" s="377"/>
      <c r="H602" s="378"/>
      <c r="I602" s="360"/>
      <c r="J602" s="377"/>
      <c r="K602" s="377"/>
      <c r="L602" s="378"/>
      <c r="M602" s="377"/>
      <c r="N602" s="377"/>
      <c r="O602" s="377"/>
      <c r="P602" s="364"/>
      <c r="Q602" s="360"/>
      <c r="R602" s="377"/>
      <c r="S602" s="377"/>
      <c r="T602" s="375"/>
      <c r="U602" s="375"/>
      <c r="V602" s="375"/>
      <c r="W602" s="375"/>
      <c r="X602" s="375"/>
      <c r="Y602" s="375"/>
      <c r="Z602" s="375"/>
      <c r="AA602" s="375"/>
      <c r="AB602" s="375"/>
      <c r="AC602" s="375"/>
      <c r="AD602" s="375"/>
      <c r="AE602" s="375"/>
      <c r="AF602" s="375"/>
    </row>
    <row r="603">
      <c r="A603" s="360"/>
      <c r="B603" s="360"/>
      <c r="C603" s="377"/>
      <c r="D603" s="377"/>
      <c r="E603" s="378"/>
      <c r="F603" s="377"/>
      <c r="G603" s="377"/>
      <c r="H603" s="378"/>
      <c r="I603" s="360"/>
      <c r="J603" s="377"/>
      <c r="K603" s="377"/>
      <c r="L603" s="378"/>
      <c r="M603" s="377"/>
      <c r="N603" s="377"/>
      <c r="O603" s="377"/>
      <c r="P603" s="364"/>
      <c r="Q603" s="360"/>
      <c r="R603" s="377"/>
      <c r="S603" s="377"/>
      <c r="T603" s="375"/>
      <c r="U603" s="375"/>
      <c r="V603" s="375"/>
      <c r="W603" s="375"/>
      <c r="X603" s="375"/>
      <c r="Y603" s="375"/>
      <c r="Z603" s="375"/>
      <c r="AA603" s="375"/>
      <c r="AB603" s="375"/>
      <c r="AC603" s="375"/>
      <c r="AD603" s="375"/>
      <c r="AE603" s="375"/>
      <c r="AF603" s="375"/>
    </row>
    <row r="604">
      <c r="A604" s="360"/>
      <c r="B604" s="360"/>
      <c r="C604" s="377"/>
      <c r="D604" s="377"/>
      <c r="E604" s="378"/>
      <c r="F604" s="377"/>
      <c r="G604" s="377"/>
      <c r="H604" s="378"/>
      <c r="I604" s="360"/>
      <c r="J604" s="377"/>
      <c r="K604" s="377"/>
      <c r="L604" s="378"/>
      <c r="M604" s="377"/>
      <c r="N604" s="377"/>
      <c r="O604" s="377"/>
      <c r="P604" s="364"/>
      <c r="Q604" s="360"/>
      <c r="R604" s="377"/>
      <c r="S604" s="377"/>
      <c r="T604" s="375"/>
      <c r="U604" s="375"/>
      <c r="V604" s="375"/>
      <c r="W604" s="375"/>
      <c r="X604" s="375"/>
      <c r="Y604" s="375"/>
      <c r="Z604" s="375"/>
      <c r="AA604" s="375"/>
      <c r="AB604" s="375"/>
      <c r="AC604" s="375"/>
      <c r="AD604" s="375"/>
      <c r="AE604" s="375"/>
      <c r="AF604" s="375"/>
    </row>
    <row r="605">
      <c r="A605" s="360"/>
      <c r="B605" s="360"/>
      <c r="C605" s="377"/>
      <c r="D605" s="377"/>
      <c r="E605" s="378"/>
      <c r="F605" s="377"/>
      <c r="G605" s="377"/>
      <c r="H605" s="378"/>
      <c r="I605" s="360"/>
      <c r="J605" s="377"/>
      <c r="K605" s="377"/>
      <c r="L605" s="378"/>
      <c r="M605" s="377"/>
      <c r="N605" s="377"/>
      <c r="O605" s="377"/>
      <c r="P605" s="364"/>
      <c r="Q605" s="360"/>
      <c r="R605" s="377"/>
      <c r="S605" s="377"/>
      <c r="T605" s="375"/>
      <c r="U605" s="375"/>
      <c r="V605" s="375"/>
      <c r="W605" s="375"/>
      <c r="X605" s="375"/>
      <c r="Y605" s="375"/>
      <c r="Z605" s="375"/>
      <c r="AA605" s="375"/>
      <c r="AB605" s="375"/>
      <c r="AC605" s="375"/>
      <c r="AD605" s="375"/>
      <c r="AE605" s="375"/>
      <c r="AF605" s="375"/>
    </row>
    <row r="606">
      <c r="A606" s="360"/>
      <c r="B606" s="360"/>
      <c r="C606" s="377"/>
      <c r="D606" s="377"/>
      <c r="E606" s="378"/>
      <c r="F606" s="377"/>
      <c r="G606" s="377"/>
      <c r="H606" s="378"/>
      <c r="I606" s="360"/>
      <c r="J606" s="377"/>
      <c r="K606" s="377"/>
      <c r="L606" s="378"/>
      <c r="M606" s="377"/>
      <c r="N606" s="377"/>
      <c r="O606" s="377"/>
      <c r="P606" s="364"/>
      <c r="Q606" s="360"/>
      <c r="R606" s="377"/>
      <c r="S606" s="377"/>
      <c r="T606" s="375"/>
      <c r="U606" s="375"/>
      <c r="V606" s="375"/>
      <c r="W606" s="375"/>
      <c r="X606" s="375"/>
      <c r="Y606" s="375"/>
      <c r="Z606" s="375"/>
      <c r="AA606" s="375"/>
      <c r="AB606" s="375"/>
      <c r="AC606" s="375"/>
      <c r="AD606" s="375"/>
      <c r="AE606" s="375"/>
      <c r="AF606" s="375"/>
    </row>
    <row r="607">
      <c r="A607" s="360"/>
      <c r="B607" s="360"/>
      <c r="C607" s="377"/>
      <c r="D607" s="377"/>
      <c r="E607" s="378"/>
      <c r="F607" s="377"/>
      <c r="G607" s="377"/>
      <c r="H607" s="378"/>
      <c r="I607" s="360"/>
      <c r="J607" s="377"/>
      <c r="K607" s="377"/>
      <c r="L607" s="378"/>
      <c r="M607" s="377"/>
      <c r="N607" s="377"/>
      <c r="O607" s="377"/>
      <c r="P607" s="364"/>
      <c r="Q607" s="360"/>
      <c r="R607" s="377"/>
      <c r="S607" s="377"/>
      <c r="T607" s="375"/>
      <c r="U607" s="375"/>
      <c r="V607" s="375"/>
      <c r="W607" s="375"/>
      <c r="X607" s="375"/>
      <c r="Y607" s="375"/>
      <c r="Z607" s="375"/>
      <c r="AA607" s="375"/>
      <c r="AB607" s="375"/>
      <c r="AC607" s="375"/>
      <c r="AD607" s="375"/>
      <c r="AE607" s="375"/>
      <c r="AF607" s="375"/>
    </row>
    <row r="608">
      <c r="A608" s="360"/>
      <c r="B608" s="360"/>
      <c r="C608" s="377"/>
      <c r="D608" s="377"/>
      <c r="E608" s="378"/>
      <c r="F608" s="377"/>
      <c r="G608" s="377"/>
      <c r="H608" s="378"/>
      <c r="I608" s="360"/>
      <c r="J608" s="377"/>
      <c r="K608" s="377"/>
      <c r="L608" s="378"/>
      <c r="M608" s="377"/>
      <c r="N608" s="377"/>
      <c r="O608" s="377"/>
      <c r="P608" s="364"/>
      <c r="Q608" s="360"/>
      <c r="R608" s="377"/>
      <c r="S608" s="377"/>
      <c r="T608" s="375"/>
      <c r="U608" s="375"/>
      <c r="V608" s="375"/>
      <c r="W608" s="375"/>
      <c r="X608" s="375"/>
      <c r="Y608" s="375"/>
      <c r="Z608" s="375"/>
      <c r="AA608" s="375"/>
      <c r="AB608" s="375"/>
      <c r="AC608" s="375"/>
      <c r="AD608" s="375"/>
      <c r="AE608" s="375"/>
      <c r="AF608" s="375"/>
    </row>
    <row r="609">
      <c r="A609" s="360"/>
      <c r="B609" s="360"/>
      <c r="C609" s="377"/>
      <c r="D609" s="377"/>
      <c r="E609" s="378"/>
      <c r="F609" s="377"/>
      <c r="G609" s="377"/>
      <c r="H609" s="378"/>
      <c r="I609" s="360"/>
      <c r="J609" s="377"/>
      <c r="K609" s="377"/>
      <c r="L609" s="378"/>
      <c r="M609" s="377"/>
      <c r="N609" s="377"/>
      <c r="O609" s="377"/>
      <c r="P609" s="364"/>
      <c r="Q609" s="360"/>
      <c r="R609" s="377"/>
      <c r="S609" s="377"/>
      <c r="T609" s="375"/>
      <c r="U609" s="375"/>
      <c r="V609" s="375"/>
      <c r="W609" s="375"/>
      <c r="X609" s="375"/>
      <c r="Y609" s="375"/>
      <c r="Z609" s="375"/>
      <c r="AA609" s="375"/>
      <c r="AB609" s="375"/>
      <c r="AC609" s="375"/>
      <c r="AD609" s="375"/>
      <c r="AE609" s="375"/>
      <c r="AF609" s="375"/>
    </row>
    <row r="610">
      <c r="A610" s="360"/>
      <c r="B610" s="360"/>
      <c r="C610" s="377"/>
      <c r="D610" s="377"/>
      <c r="E610" s="378"/>
      <c r="F610" s="377"/>
      <c r="G610" s="377"/>
      <c r="H610" s="378"/>
      <c r="I610" s="360"/>
      <c r="J610" s="377"/>
      <c r="K610" s="377"/>
      <c r="L610" s="378"/>
      <c r="M610" s="377"/>
      <c r="N610" s="377"/>
      <c r="O610" s="377"/>
      <c r="P610" s="364"/>
      <c r="Q610" s="360"/>
      <c r="R610" s="377"/>
      <c r="S610" s="377"/>
      <c r="T610" s="375"/>
      <c r="U610" s="375"/>
      <c r="V610" s="375"/>
      <c r="W610" s="375"/>
      <c r="X610" s="375"/>
      <c r="Y610" s="375"/>
      <c r="Z610" s="375"/>
      <c r="AA610" s="375"/>
      <c r="AB610" s="375"/>
      <c r="AC610" s="375"/>
      <c r="AD610" s="375"/>
      <c r="AE610" s="375"/>
      <c r="AF610" s="375"/>
    </row>
    <row r="611">
      <c r="A611" s="360"/>
      <c r="B611" s="360"/>
      <c r="C611" s="377"/>
      <c r="D611" s="377"/>
      <c r="E611" s="378"/>
      <c r="F611" s="377"/>
      <c r="G611" s="377"/>
      <c r="H611" s="378"/>
      <c r="I611" s="360"/>
      <c r="J611" s="377"/>
      <c r="K611" s="377"/>
      <c r="L611" s="378"/>
      <c r="M611" s="377"/>
      <c r="N611" s="377"/>
      <c r="O611" s="377"/>
      <c r="P611" s="364"/>
      <c r="Q611" s="360"/>
      <c r="R611" s="377"/>
      <c r="S611" s="377"/>
      <c r="T611" s="375"/>
      <c r="U611" s="375"/>
      <c r="V611" s="375"/>
      <c r="W611" s="375"/>
      <c r="X611" s="375"/>
      <c r="Y611" s="375"/>
      <c r="Z611" s="375"/>
      <c r="AA611" s="375"/>
      <c r="AB611" s="375"/>
      <c r="AC611" s="375"/>
      <c r="AD611" s="375"/>
      <c r="AE611" s="375"/>
      <c r="AF611" s="375"/>
    </row>
    <row r="612">
      <c r="A612" s="360"/>
      <c r="B612" s="360"/>
      <c r="C612" s="377"/>
      <c r="D612" s="377"/>
      <c r="E612" s="378"/>
      <c r="F612" s="377"/>
      <c r="G612" s="377"/>
      <c r="H612" s="378"/>
      <c r="I612" s="360"/>
      <c r="J612" s="377"/>
      <c r="K612" s="377"/>
      <c r="L612" s="378"/>
      <c r="M612" s="377"/>
      <c r="N612" s="377"/>
      <c r="O612" s="377"/>
      <c r="P612" s="364"/>
      <c r="Q612" s="360"/>
      <c r="R612" s="377"/>
      <c r="S612" s="377"/>
      <c r="T612" s="375"/>
      <c r="U612" s="375"/>
      <c r="V612" s="375"/>
      <c r="W612" s="375"/>
      <c r="X612" s="375"/>
      <c r="Y612" s="375"/>
      <c r="Z612" s="375"/>
      <c r="AA612" s="375"/>
      <c r="AB612" s="375"/>
      <c r="AC612" s="375"/>
      <c r="AD612" s="375"/>
      <c r="AE612" s="375"/>
      <c r="AF612" s="375"/>
    </row>
    <row r="613">
      <c r="A613" s="360"/>
      <c r="B613" s="360"/>
      <c r="C613" s="377"/>
      <c r="D613" s="377"/>
      <c r="E613" s="378"/>
      <c r="F613" s="377"/>
      <c r="G613" s="377"/>
      <c r="H613" s="378"/>
      <c r="I613" s="360"/>
      <c r="J613" s="377"/>
      <c r="K613" s="377"/>
      <c r="L613" s="378"/>
      <c r="M613" s="377"/>
      <c r="N613" s="377"/>
      <c r="O613" s="377"/>
      <c r="P613" s="364"/>
      <c r="Q613" s="360"/>
      <c r="R613" s="377"/>
      <c r="S613" s="377"/>
      <c r="T613" s="375"/>
      <c r="U613" s="375"/>
      <c r="V613" s="375"/>
      <c r="W613" s="375"/>
      <c r="X613" s="375"/>
      <c r="Y613" s="375"/>
      <c r="Z613" s="375"/>
      <c r="AA613" s="375"/>
      <c r="AB613" s="375"/>
      <c r="AC613" s="375"/>
      <c r="AD613" s="375"/>
      <c r="AE613" s="375"/>
      <c r="AF613" s="375"/>
    </row>
    <row r="614">
      <c r="A614" s="360"/>
      <c r="B614" s="360"/>
      <c r="C614" s="377"/>
      <c r="D614" s="377"/>
      <c r="E614" s="378"/>
      <c r="F614" s="377"/>
      <c r="G614" s="377"/>
      <c r="H614" s="378"/>
      <c r="I614" s="360"/>
      <c r="J614" s="377"/>
      <c r="K614" s="377"/>
      <c r="L614" s="378"/>
      <c r="M614" s="377"/>
      <c r="N614" s="377"/>
      <c r="O614" s="377"/>
      <c r="P614" s="364"/>
      <c r="Q614" s="360"/>
      <c r="R614" s="377"/>
      <c r="S614" s="377"/>
      <c r="T614" s="375"/>
      <c r="U614" s="375"/>
      <c r="V614" s="375"/>
      <c r="W614" s="375"/>
      <c r="X614" s="375"/>
      <c r="Y614" s="375"/>
      <c r="Z614" s="375"/>
      <c r="AA614" s="375"/>
      <c r="AB614" s="375"/>
      <c r="AC614" s="375"/>
      <c r="AD614" s="375"/>
      <c r="AE614" s="375"/>
      <c r="AF614" s="375"/>
    </row>
    <row r="615">
      <c r="A615" s="360"/>
      <c r="B615" s="360"/>
      <c r="C615" s="377"/>
      <c r="D615" s="377"/>
      <c r="E615" s="378"/>
      <c r="F615" s="377"/>
      <c r="G615" s="377"/>
      <c r="H615" s="378"/>
      <c r="I615" s="360"/>
      <c r="J615" s="377"/>
      <c r="K615" s="377"/>
      <c r="L615" s="378"/>
      <c r="M615" s="377"/>
      <c r="N615" s="377"/>
      <c r="O615" s="377"/>
      <c r="P615" s="364"/>
      <c r="Q615" s="360"/>
      <c r="R615" s="377"/>
      <c r="S615" s="377"/>
      <c r="T615" s="375"/>
      <c r="U615" s="375"/>
      <c r="V615" s="375"/>
      <c r="W615" s="375"/>
      <c r="X615" s="375"/>
      <c r="Y615" s="375"/>
      <c r="Z615" s="375"/>
      <c r="AA615" s="375"/>
      <c r="AB615" s="375"/>
      <c r="AC615" s="375"/>
      <c r="AD615" s="375"/>
      <c r="AE615" s="375"/>
      <c r="AF615" s="375"/>
    </row>
    <row r="616">
      <c r="A616" s="360"/>
      <c r="B616" s="360"/>
      <c r="C616" s="377"/>
      <c r="D616" s="377"/>
      <c r="E616" s="378"/>
      <c r="F616" s="377"/>
      <c r="G616" s="377"/>
      <c r="H616" s="378"/>
      <c r="I616" s="360"/>
      <c r="J616" s="377"/>
      <c r="K616" s="377"/>
      <c r="L616" s="378"/>
      <c r="M616" s="377"/>
      <c r="N616" s="377"/>
      <c r="O616" s="377"/>
      <c r="P616" s="364"/>
      <c r="Q616" s="360"/>
      <c r="R616" s="377"/>
      <c r="S616" s="377"/>
      <c r="T616" s="375"/>
      <c r="U616" s="375"/>
      <c r="V616" s="375"/>
      <c r="W616" s="375"/>
      <c r="X616" s="375"/>
      <c r="Y616" s="375"/>
      <c r="Z616" s="375"/>
      <c r="AA616" s="375"/>
      <c r="AB616" s="375"/>
      <c r="AC616" s="375"/>
      <c r="AD616" s="375"/>
      <c r="AE616" s="375"/>
      <c r="AF616" s="375"/>
    </row>
    <row r="617">
      <c r="A617" s="360"/>
      <c r="B617" s="360"/>
      <c r="C617" s="377"/>
      <c r="D617" s="377"/>
      <c r="E617" s="378"/>
      <c r="F617" s="377"/>
      <c r="G617" s="377"/>
      <c r="H617" s="378"/>
      <c r="I617" s="360"/>
      <c r="J617" s="377"/>
      <c r="K617" s="377"/>
      <c r="L617" s="378"/>
      <c r="M617" s="377"/>
      <c r="N617" s="377"/>
      <c r="O617" s="377"/>
      <c r="P617" s="364"/>
      <c r="Q617" s="360"/>
      <c r="R617" s="377"/>
      <c r="S617" s="377"/>
      <c r="T617" s="375"/>
      <c r="U617" s="375"/>
      <c r="V617" s="375"/>
      <c r="W617" s="375"/>
      <c r="X617" s="375"/>
      <c r="Y617" s="375"/>
      <c r="Z617" s="375"/>
      <c r="AA617" s="375"/>
      <c r="AB617" s="375"/>
      <c r="AC617" s="375"/>
      <c r="AD617" s="375"/>
      <c r="AE617" s="375"/>
      <c r="AF617" s="375"/>
    </row>
    <row r="618">
      <c r="A618" s="360"/>
      <c r="B618" s="360"/>
      <c r="C618" s="377"/>
      <c r="D618" s="377"/>
      <c r="E618" s="378"/>
      <c r="F618" s="377"/>
      <c r="G618" s="377"/>
      <c r="H618" s="378"/>
      <c r="I618" s="360"/>
      <c r="J618" s="377"/>
      <c r="K618" s="377"/>
      <c r="L618" s="378"/>
      <c r="M618" s="377"/>
      <c r="N618" s="377"/>
      <c r="O618" s="377"/>
      <c r="P618" s="364"/>
      <c r="Q618" s="360"/>
      <c r="R618" s="377"/>
      <c r="S618" s="377"/>
      <c r="T618" s="375"/>
      <c r="U618" s="375"/>
      <c r="V618" s="375"/>
      <c r="W618" s="375"/>
      <c r="X618" s="375"/>
      <c r="Y618" s="375"/>
      <c r="Z618" s="375"/>
      <c r="AA618" s="375"/>
      <c r="AB618" s="375"/>
      <c r="AC618" s="375"/>
      <c r="AD618" s="375"/>
      <c r="AE618" s="375"/>
      <c r="AF618" s="375"/>
    </row>
    <row r="619">
      <c r="A619" s="360"/>
      <c r="B619" s="360"/>
      <c r="C619" s="377"/>
      <c r="D619" s="377"/>
      <c r="E619" s="378"/>
      <c r="F619" s="377"/>
      <c r="G619" s="377"/>
      <c r="H619" s="378"/>
      <c r="I619" s="360"/>
      <c r="J619" s="377"/>
      <c r="K619" s="377"/>
      <c r="L619" s="378"/>
      <c r="M619" s="377"/>
      <c r="N619" s="377"/>
      <c r="O619" s="377"/>
      <c r="P619" s="364"/>
      <c r="Q619" s="360"/>
      <c r="R619" s="377"/>
      <c r="S619" s="377"/>
      <c r="T619" s="375"/>
      <c r="U619" s="375"/>
      <c r="V619" s="375"/>
      <c r="W619" s="375"/>
      <c r="X619" s="375"/>
      <c r="Y619" s="375"/>
      <c r="Z619" s="375"/>
      <c r="AA619" s="375"/>
      <c r="AB619" s="375"/>
      <c r="AC619" s="375"/>
      <c r="AD619" s="375"/>
      <c r="AE619" s="375"/>
      <c r="AF619" s="375"/>
    </row>
    <row r="620">
      <c r="A620" s="360"/>
      <c r="B620" s="360"/>
      <c r="C620" s="377"/>
      <c r="D620" s="377"/>
      <c r="E620" s="378"/>
      <c r="F620" s="377"/>
      <c r="G620" s="377"/>
      <c r="H620" s="378"/>
      <c r="I620" s="360"/>
      <c r="J620" s="377"/>
      <c r="K620" s="377"/>
      <c r="L620" s="378"/>
      <c r="M620" s="377"/>
      <c r="N620" s="377"/>
      <c r="O620" s="377"/>
      <c r="P620" s="364"/>
      <c r="Q620" s="360"/>
      <c r="R620" s="377"/>
      <c r="S620" s="377"/>
      <c r="T620" s="375"/>
      <c r="U620" s="375"/>
      <c r="V620" s="375"/>
      <c r="W620" s="375"/>
      <c r="X620" s="375"/>
      <c r="Y620" s="375"/>
      <c r="Z620" s="375"/>
      <c r="AA620" s="375"/>
      <c r="AB620" s="375"/>
      <c r="AC620" s="375"/>
      <c r="AD620" s="375"/>
      <c r="AE620" s="375"/>
      <c r="AF620" s="375"/>
    </row>
    <row r="621">
      <c r="A621" s="360"/>
      <c r="B621" s="360"/>
      <c r="C621" s="377"/>
      <c r="D621" s="377"/>
      <c r="E621" s="378"/>
      <c r="F621" s="377"/>
      <c r="G621" s="377"/>
      <c r="H621" s="378"/>
      <c r="I621" s="360"/>
      <c r="J621" s="377"/>
      <c r="K621" s="377"/>
      <c r="L621" s="378"/>
      <c r="M621" s="377"/>
      <c r="N621" s="377"/>
      <c r="O621" s="377"/>
      <c r="P621" s="364"/>
      <c r="Q621" s="360"/>
      <c r="R621" s="377"/>
      <c r="S621" s="377"/>
      <c r="T621" s="375"/>
      <c r="U621" s="375"/>
      <c r="V621" s="375"/>
      <c r="W621" s="375"/>
      <c r="X621" s="375"/>
      <c r="Y621" s="375"/>
      <c r="Z621" s="375"/>
      <c r="AA621" s="375"/>
      <c r="AB621" s="375"/>
      <c r="AC621" s="375"/>
      <c r="AD621" s="375"/>
      <c r="AE621" s="375"/>
      <c r="AF621" s="375"/>
    </row>
    <row r="622">
      <c r="A622" s="360"/>
      <c r="B622" s="360"/>
      <c r="C622" s="377"/>
      <c r="D622" s="377"/>
      <c r="E622" s="378"/>
      <c r="F622" s="377"/>
      <c r="G622" s="377"/>
      <c r="H622" s="378"/>
      <c r="I622" s="360"/>
      <c r="J622" s="377"/>
      <c r="K622" s="377"/>
      <c r="L622" s="378"/>
      <c r="M622" s="377"/>
      <c r="N622" s="377"/>
      <c r="O622" s="377"/>
      <c r="P622" s="364"/>
      <c r="Q622" s="360"/>
      <c r="R622" s="377"/>
      <c r="S622" s="377"/>
      <c r="T622" s="375"/>
      <c r="U622" s="375"/>
      <c r="V622" s="375"/>
      <c r="W622" s="375"/>
      <c r="X622" s="375"/>
      <c r="Y622" s="375"/>
      <c r="Z622" s="375"/>
      <c r="AA622" s="375"/>
      <c r="AB622" s="375"/>
      <c r="AC622" s="375"/>
      <c r="AD622" s="375"/>
      <c r="AE622" s="375"/>
      <c r="AF622" s="375"/>
    </row>
    <row r="623">
      <c r="A623" s="360"/>
      <c r="B623" s="360"/>
      <c r="C623" s="377"/>
      <c r="D623" s="377"/>
      <c r="E623" s="378"/>
      <c r="F623" s="377"/>
      <c r="G623" s="377"/>
      <c r="H623" s="378"/>
      <c r="I623" s="360"/>
      <c r="J623" s="377"/>
      <c r="K623" s="377"/>
      <c r="L623" s="378"/>
      <c r="M623" s="377"/>
      <c r="N623" s="377"/>
      <c r="O623" s="377"/>
      <c r="P623" s="364"/>
      <c r="Q623" s="360"/>
      <c r="R623" s="377"/>
      <c r="S623" s="377"/>
      <c r="T623" s="375"/>
      <c r="U623" s="375"/>
      <c r="V623" s="375"/>
      <c r="W623" s="375"/>
      <c r="X623" s="375"/>
      <c r="Y623" s="375"/>
      <c r="Z623" s="375"/>
      <c r="AA623" s="375"/>
      <c r="AB623" s="375"/>
      <c r="AC623" s="375"/>
      <c r="AD623" s="375"/>
      <c r="AE623" s="375"/>
      <c r="AF623" s="375"/>
    </row>
    <row r="624">
      <c r="A624" s="360"/>
      <c r="B624" s="360"/>
      <c r="C624" s="377"/>
      <c r="D624" s="377"/>
      <c r="E624" s="378"/>
      <c r="F624" s="377"/>
      <c r="G624" s="377"/>
      <c r="H624" s="378"/>
      <c r="I624" s="360"/>
      <c r="J624" s="377"/>
      <c r="K624" s="377"/>
      <c r="L624" s="378"/>
      <c r="M624" s="377"/>
      <c r="N624" s="377"/>
      <c r="O624" s="377"/>
      <c r="P624" s="364"/>
      <c r="Q624" s="360"/>
      <c r="R624" s="377"/>
      <c r="S624" s="377"/>
      <c r="T624" s="375"/>
      <c r="U624" s="375"/>
      <c r="V624" s="375"/>
      <c r="W624" s="375"/>
      <c r="X624" s="375"/>
      <c r="Y624" s="375"/>
      <c r="Z624" s="375"/>
      <c r="AA624" s="375"/>
      <c r="AB624" s="375"/>
      <c r="AC624" s="375"/>
      <c r="AD624" s="375"/>
      <c r="AE624" s="375"/>
      <c r="AF624" s="375"/>
    </row>
    <row r="625">
      <c r="A625" s="360"/>
      <c r="B625" s="360"/>
      <c r="C625" s="377"/>
      <c r="D625" s="377"/>
      <c r="E625" s="378"/>
      <c r="F625" s="377"/>
      <c r="G625" s="377"/>
      <c r="H625" s="378"/>
      <c r="I625" s="360"/>
      <c r="J625" s="377"/>
      <c r="K625" s="377"/>
      <c r="L625" s="378"/>
      <c r="M625" s="377"/>
      <c r="N625" s="377"/>
      <c r="O625" s="377"/>
      <c r="P625" s="364"/>
      <c r="Q625" s="360"/>
      <c r="R625" s="377"/>
      <c r="S625" s="377"/>
      <c r="T625" s="375"/>
      <c r="U625" s="375"/>
      <c r="V625" s="375"/>
      <c r="W625" s="375"/>
      <c r="X625" s="375"/>
      <c r="Y625" s="375"/>
      <c r="Z625" s="375"/>
      <c r="AA625" s="375"/>
      <c r="AB625" s="375"/>
      <c r="AC625" s="375"/>
      <c r="AD625" s="375"/>
      <c r="AE625" s="375"/>
      <c r="AF625" s="375"/>
    </row>
    <row r="626">
      <c r="A626" s="360"/>
      <c r="B626" s="360"/>
      <c r="C626" s="377"/>
      <c r="D626" s="377"/>
      <c r="E626" s="378"/>
      <c r="F626" s="377"/>
      <c r="G626" s="377"/>
      <c r="H626" s="378"/>
      <c r="I626" s="360"/>
      <c r="J626" s="377"/>
      <c r="K626" s="377"/>
      <c r="L626" s="378"/>
      <c r="M626" s="377"/>
      <c r="N626" s="377"/>
      <c r="O626" s="377"/>
      <c r="P626" s="364"/>
      <c r="Q626" s="360"/>
      <c r="R626" s="377"/>
      <c r="S626" s="377"/>
      <c r="T626" s="375"/>
      <c r="U626" s="375"/>
      <c r="V626" s="375"/>
      <c r="W626" s="375"/>
      <c r="X626" s="375"/>
      <c r="Y626" s="375"/>
      <c r="Z626" s="375"/>
      <c r="AA626" s="375"/>
      <c r="AB626" s="375"/>
      <c r="AC626" s="375"/>
      <c r="AD626" s="375"/>
      <c r="AE626" s="375"/>
      <c r="AF626" s="375"/>
    </row>
    <row r="627">
      <c r="A627" s="360"/>
      <c r="B627" s="360"/>
      <c r="C627" s="377"/>
      <c r="D627" s="377"/>
      <c r="E627" s="378"/>
      <c r="F627" s="377"/>
      <c r="G627" s="377"/>
      <c r="H627" s="378"/>
      <c r="I627" s="360"/>
      <c r="J627" s="377"/>
      <c r="K627" s="377"/>
      <c r="L627" s="378"/>
      <c r="M627" s="377"/>
      <c r="N627" s="377"/>
      <c r="O627" s="377"/>
      <c r="P627" s="364"/>
      <c r="Q627" s="360"/>
      <c r="R627" s="377"/>
      <c r="S627" s="377"/>
      <c r="T627" s="375"/>
      <c r="U627" s="375"/>
      <c r="V627" s="375"/>
      <c r="W627" s="375"/>
      <c r="X627" s="375"/>
      <c r="Y627" s="375"/>
      <c r="Z627" s="375"/>
      <c r="AA627" s="375"/>
      <c r="AB627" s="375"/>
      <c r="AC627" s="375"/>
      <c r="AD627" s="375"/>
      <c r="AE627" s="375"/>
      <c r="AF627" s="375"/>
    </row>
    <row r="628">
      <c r="A628" s="360"/>
      <c r="B628" s="360"/>
      <c r="C628" s="377"/>
      <c r="D628" s="377"/>
      <c r="E628" s="378"/>
      <c r="F628" s="377"/>
      <c r="G628" s="377"/>
      <c r="H628" s="378"/>
      <c r="I628" s="360"/>
      <c r="J628" s="377"/>
      <c r="K628" s="377"/>
      <c r="L628" s="378"/>
      <c r="M628" s="377"/>
      <c r="N628" s="377"/>
      <c r="O628" s="377"/>
      <c r="P628" s="364"/>
      <c r="Q628" s="360"/>
      <c r="R628" s="377"/>
      <c r="S628" s="377"/>
      <c r="T628" s="375"/>
      <c r="U628" s="375"/>
      <c r="V628" s="375"/>
      <c r="W628" s="375"/>
      <c r="X628" s="375"/>
      <c r="Y628" s="375"/>
      <c r="Z628" s="375"/>
      <c r="AA628" s="375"/>
      <c r="AB628" s="375"/>
      <c r="AC628" s="375"/>
      <c r="AD628" s="375"/>
      <c r="AE628" s="375"/>
      <c r="AF628" s="375"/>
    </row>
    <row r="629">
      <c r="A629" s="360"/>
      <c r="B629" s="360"/>
      <c r="C629" s="377"/>
      <c r="D629" s="377"/>
      <c r="E629" s="378"/>
      <c r="F629" s="377"/>
      <c r="G629" s="377"/>
      <c r="H629" s="378"/>
      <c r="I629" s="360"/>
      <c r="J629" s="377"/>
      <c r="K629" s="377"/>
      <c r="L629" s="378"/>
      <c r="M629" s="377"/>
      <c r="N629" s="377"/>
      <c r="O629" s="377"/>
      <c r="P629" s="364"/>
      <c r="Q629" s="360"/>
      <c r="R629" s="377"/>
      <c r="S629" s="377"/>
      <c r="T629" s="375"/>
      <c r="U629" s="375"/>
      <c r="V629" s="375"/>
      <c r="W629" s="375"/>
      <c r="X629" s="375"/>
      <c r="Y629" s="375"/>
      <c r="Z629" s="375"/>
      <c r="AA629" s="375"/>
      <c r="AB629" s="375"/>
      <c r="AC629" s="375"/>
      <c r="AD629" s="375"/>
      <c r="AE629" s="375"/>
      <c r="AF629" s="375"/>
    </row>
    <row r="630">
      <c r="A630" s="360"/>
      <c r="B630" s="360"/>
      <c r="C630" s="377"/>
      <c r="D630" s="377"/>
      <c r="E630" s="378"/>
      <c r="F630" s="377"/>
      <c r="G630" s="377"/>
      <c r="H630" s="378"/>
      <c r="I630" s="360"/>
      <c r="J630" s="377"/>
      <c r="K630" s="377"/>
      <c r="L630" s="378"/>
      <c r="M630" s="377"/>
      <c r="N630" s="377"/>
      <c r="O630" s="377"/>
      <c r="P630" s="364"/>
      <c r="Q630" s="360"/>
      <c r="R630" s="377"/>
      <c r="S630" s="377"/>
      <c r="T630" s="375"/>
      <c r="U630" s="375"/>
      <c r="V630" s="375"/>
      <c r="W630" s="375"/>
      <c r="X630" s="375"/>
      <c r="Y630" s="375"/>
      <c r="Z630" s="375"/>
      <c r="AA630" s="375"/>
      <c r="AB630" s="375"/>
      <c r="AC630" s="375"/>
      <c r="AD630" s="375"/>
      <c r="AE630" s="375"/>
      <c r="AF630" s="375"/>
    </row>
    <row r="631">
      <c r="A631" s="360"/>
      <c r="B631" s="360"/>
      <c r="C631" s="377"/>
      <c r="D631" s="377"/>
      <c r="E631" s="378"/>
      <c r="F631" s="377"/>
      <c r="G631" s="377"/>
      <c r="H631" s="378"/>
      <c r="I631" s="360"/>
      <c r="J631" s="377"/>
      <c r="K631" s="377"/>
      <c r="L631" s="378"/>
      <c r="M631" s="377"/>
      <c r="N631" s="377"/>
      <c r="O631" s="377"/>
      <c r="P631" s="364"/>
      <c r="Q631" s="360"/>
      <c r="R631" s="377"/>
      <c r="S631" s="377"/>
      <c r="T631" s="375"/>
      <c r="U631" s="375"/>
      <c r="V631" s="375"/>
      <c r="W631" s="375"/>
      <c r="X631" s="375"/>
      <c r="Y631" s="375"/>
      <c r="Z631" s="375"/>
      <c r="AA631" s="375"/>
      <c r="AB631" s="375"/>
      <c r="AC631" s="375"/>
      <c r="AD631" s="375"/>
      <c r="AE631" s="375"/>
      <c r="AF631" s="375"/>
    </row>
    <row r="632">
      <c r="A632" s="360"/>
      <c r="B632" s="360"/>
      <c r="C632" s="377"/>
      <c r="D632" s="377"/>
      <c r="E632" s="378"/>
      <c r="F632" s="377"/>
      <c r="G632" s="377"/>
      <c r="H632" s="378"/>
      <c r="I632" s="360"/>
      <c r="J632" s="377"/>
      <c r="K632" s="377"/>
      <c r="L632" s="378"/>
      <c r="M632" s="377"/>
      <c r="N632" s="377"/>
      <c r="O632" s="377"/>
      <c r="P632" s="364"/>
      <c r="Q632" s="360"/>
      <c r="R632" s="377"/>
      <c r="S632" s="377"/>
      <c r="T632" s="375"/>
      <c r="U632" s="375"/>
      <c r="V632" s="375"/>
      <c r="W632" s="375"/>
      <c r="X632" s="375"/>
      <c r="Y632" s="375"/>
      <c r="Z632" s="375"/>
      <c r="AA632" s="375"/>
      <c r="AB632" s="375"/>
      <c r="AC632" s="375"/>
      <c r="AD632" s="375"/>
      <c r="AE632" s="375"/>
      <c r="AF632" s="375"/>
    </row>
    <row r="633">
      <c r="A633" s="360"/>
      <c r="B633" s="360"/>
      <c r="C633" s="377"/>
      <c r="D633" s="377"/>
      <c r="E633" s="378"/>
      <c r="F633" s="377"/>
      <c r="G633" s="377"/>
      <c r="H633" s="378"/>
      <c r="I633" s="360"/>
      <c r="J633" s="377"/>
      <c r="K633" s="377"/>
      <c r="L633" s="378"/>
      <c r="M633" s="377"/>
      <c r="N633" s="377"/>
      <c r="O633" s="377"/>
      <c r="P633" s="364"/>
      <c r="Q633" s="360"/>
      <c r="R633" s="377"/>
      <c r="S633" s="377"/>
      <c r="T633" s="375"/>
      <c r="U633" s="375"/>
      <c r="V633" s="375"/>
      <c r="W633" s="375"/>
      <c r="X633" s="375"/>
      <c r="Y633" s="375"/>
      <c r="Z633" s="375"/>
      <c r="AA633" s="375"/>
      <c r="AB633" s="375"/>
      <c r="AC633" s="375"/>
      <c r="AD633" s="375"/>
      <c r="AE633" s="375"/>
      <c r="AF633" s="375"/>
    </row>
    <row r="634">
      <c r="A634" s="360"/>
      <c r="B634" s="360"/>
      <c r="C634" s="377"/>
      <c r="D634" s="377"/>
      <c r="E634" s="378"/>
      <c r="F634" s="377"/>
      <c r="G634" s="377"/>
      <c r="H634" s="378"/>
      <c r="I634" s="360"/>
      <c r="J634" s="377"/>
      <c r="K634" s="377"/>
      <c r="L634" s="378"/>
      <c r="M634" s="377"/>
      <c r="N634" s="377"/>
      <c r="O634" s="377"/>
      <c r="P634" s="364"/>
      <c r="Q634" s="360"/>
      <c r="R634" s="377"/>
      <c r="S634" s="377"/>
      <c r="T634" s="375"/>
      <c r="U634" s="375"/>
      <c r="V634" s="375"/>
      <c r="W634" s="375"/>
      <c r="X634" s="375"/>
      <c r="Y634" s="375"/>
      <c r="Z634" s="375"/>
      <c r="AA634" s="375"/>
      <c r="AB634" s="375"/>
      <c r="AC634" s="375"/>
      <c r="AD634" s="375"/>
      <c r="AE634" s="375"/>
      <c r="AF634" s="375"/>
    </row>
    <row r="635">
      <c r="A635" s="360"/>
      <c r="B635" s="360"/>
      <c r="C635" s="377"/>
      <c r="D635" s="377"/>
      <c r="E635" s="378"/>
      <c r="F635" s="377"/>
      <c r="G635" s="377"/>
      <c r="H635" s="378"/>
      <c r="I635" s="360"/>
      <c r="J635" s="377"/>
      <c r="K635" s="377"/>
      <c r="L635" s="378"/>
      <c r="M635" s="377"/>
      <c r="N635" s="377"/>
      <c r="O635" s="377"/>
      <c r="P635" s="364"/>
      <c r="Q635" s="360"/>
      <c r="R635" s="377"/>
      <c r="S635" s="377"/>
      <c r="T635" s="375"/>
      <c r="U635" s="375"/>
      <c r="V635" s="375"/>
      <c r="W635" s="375"/>
      <c r="X635" s="375"/>
      <c r="Y635" s="375"/>
      <c r="Z635" s="375"/>
      <c r="AA635" s="375"/>
      <c r="AB635" s="375"/>
      <c r="AC635" s="375"/>
      <c r="AD635" s="375"/>
      <c r="AE635" s="375"/>
      <c r="AF635" s="375"/>
    </row>
    <row r="636">
      <c r="A636" s="360"/>
      <c r="B636" s="360"/>
      <c r="C636" s="377"/>
      <c r="D636" s="377"/>
      <c r="E636" s="378"/>
      <c r="F636" s="377"/>
      <c r="G636" s="377"/>
      <c r="H636" s="378"/>
      <c r="I636" s="360"/>
      <c r="J636" s="377"/>
      <c r="K636" s="377"/>
      <c r="L636" s="378"/>
      <c r="M636" s="377"/>
      <c r="N636" s="377"/>
      <c r="O636" s="377"/>
      <c r="P636" s="364"/>
      <c r="Q636" s="360"/>
      <c r="R636" s="377"/>
      <c r="S636" s="377"/>
      <c r="T636" s="375"/>
      <c r="U636" s="375"/>
      <c r="V636" s="375"/>
      <c r="W636" s="375"/>
      <c r="X636" s="375"/>
      <c r="Y636" s="375"/>
      <c r="Z636" s="375"/>
      <c r="AA636" s="375"/>
      <c r="AB636" s="375"/>
      <c r="AC636" s="375"/>
      <c r="AD636" s="375"/>
      <c r="AE636" s="375"/>
      <c r="AF636" s="375"/>
    </row>
    <row r="637">
      <c r="A637" s="360"/>
      <c r="B637" s="360"/>
      <c r="C637" s="377"/>
      <c r="D637" s="377"/>
      <c r="E637" s="378"/>
      <c r="F637" s="377"/>
      <c r="G637" s="377"/>
      <c r="H637" s="378"/>
      <c r="I637" s="360"/>
      <c r="J637" s="377"/>
      <c r="K637" s="377"/>
      <c r="L637" s="378"/>
      <c r="M637" s="377"/>
      <c r="N637" s="377"/>
      <c r="O637" s="377"/>
      <c r="P637" s="364"/>
      <c r="Q637" s="360"/>
      <c r="R637" s="377"/>
      <c r="S637" s="377"/>
      <c r="T637" s="375"/>
      <c r="U637" s="375"/>
      <c r="V637" s="375"/>
      <c r="W637" s="375"/>
      <c r="X637" s="375"/>
      <c r="Y637" s="375"/>
      <c r="Z637" s="375"/>
      <c r="AA637" s="375"/>
      <c r="AB637" s="375"/>
      <c r="AC637" s="375"/>
      <c r="AD637" s="375"/>
      <c r="AE637" s="375"/>
      <c r="AF637" s="375"/>
    </row>
    <row r="638">
      <c r="A638" s="360"/>
      <c r="B638" s="360"/>
      <c r="C638" s="377"/>
      <c r="D638" s="377"/>
      <c r="E638" s="378"/>
      <c r="F638" s="377"/>
      <c r="G638" s="377"/>
      <c r="H638" s="378"/>
      <c r="I638" s="360"/>
      <c r="J638" s="377"/>
      <c r="K638" s="377"/>
      <c r="L638" s="378"/>
      <c r="M638" s="377"/>
      <c r="N638" s="377"/>
      <c r="O638" s="377"/>
      <c r="P638" s="364"/>
      <c r="Q638" s="360"/>
      <c r="R638" s="377"/>
      <c r="S638" s="377"/>
      <c r="T638" s="375"/>
      <c r="U638" s="375"/>
      <c r="V638" s="375"/>
      <c r="W638" s="375"/>
      <c r="X638" s="375"/>
      <c r="Y638" s="375"/>
      <c r="Z638" s="375"/>
      <c r="AA638" s="375"/>
      <c r="AB638" s="375"/>
      <c r="AC638" s="375"/>
      <c r="AD638" s="375"/>
      <c r="AE638" s="375"/>
      <c r="AF638" s="375"/>
    </row>
    <row r="639">
      <c r="A639" s="360"/>
      <c r="B639" s="360"/>
      <c r="C639" s="377"/>
      <c r="D639" s="377"/>
      <c r="E639" s="378"/>
      <c r="F639" s="377"/>
      <c r="G639" s="377"/>
      <c r="H639" s="378"/>
      <c r="I639" s="360"/>
      <c r="J639" s="377"/>
      <c r="K639" s="377"/>
      <c r="L639" s="378"/>
      <c r="M639" s="377"/>
      <c r="N639" s="377"/>
      <c r="O639" s="377"/>
      <c r="P639" s="364"/>
      <c r="Q639" s="360"/>
      <c r="R639" s="377"/>
      <c r="S639" s="377"/>
      <c r="T639" s="375"/>
      <c r="U639" s="375"/>
      <c r="V639" s="375"/>
      <c r="W639" s="375"/>
      <c r="X639" s="375"/>
      <c r="Y639" s="375"/>
      <c r="Z639" s="375"/>
      <c r="AA639" s="375"/>
      <c r="AB639" s="375"/>
      <c r="AC639" s="375"/>
      <c r="AD639" s="375"/>
      <c r="AE639" s="375"/>
      <c r="AF639" s="375"/>
    </row>
    <row r="640">
      <c r="A640" s="360"/>
      <c r="B640" s="360"/>
      <c r="C640" s="377"/>
      <c r="D640" s="377"/>
      <c r="E640" s="378"/>
      <c r="F640" s="377"/>
      <c r="G640" s="377"/>
      <c r="H640" s="378"/>
      <c r="I640" s="360"/>
      <c r="J640" s="377"/>
      <c r="K640" s="377"/>
      <c r="L640" s="378"/>
      <c r="M640" s="377"/>
      <c r="N640" s="377"/>
      <c r="O640" s="377"/>
      <c r="P640" s="364"/>
      <c r="Q640" s="360"/>
      <c r="R640" s="377"/>
      <c r="S640" s="377"/>
      <c r="T640" s="375"/>
      <c r="U640" s="375"/>
      <c r="V640" s="375"/>
      <c r="W640" s="375"/>
      <c r="X640" s="375"/>
      <c r="Y640" s="375"/>
      <c r="Z640" s="375"/>
      <c r="AA640" s="375"/>
      <c r="AB640" s="375"/>
      <c r="AC640" s="375"/>
      <c r="AD640" s="375"/>
      <c r="AE640" s="375"/>
      <c r="AF640" s="375"/>
    </row>
    <row r="641">
      <c r="A641" s="360"/>
      <c r="B641" s="360"/>
      <c r="C641" s="377"/>
      <c r="D641" s="377"/>
      <c r="E641" s="378"/>
      <c r="F641" s="377"/>
      <c r="G641" s="377"/>
      <c r="H641" s="378"/>
      <c r="I641" s="360"/>
      <c r="J641" s="377"/>
      <c r="K641" s="377"/>
      <c r="L641" s="378"/>
      <c r="M641" s="377"/>
      <c r="N641" s="377"/>
      <c r="O641" s="377"/>
      <c r="P641" s="364"/>
      <c r="Q641" s="360"/>
      <c r="R641" s="377"/>
      <c r="S641" s="377"/>
      <c r="T641" s="375"/>
      <c r="U641" s="375"/>
      <c r="V641" s="375"/>
      <c r="W641" s="375"/>
      <c r="X641" s="375"/>
      <c r="Y641" s="375"/>
      <c r="Z641" s="375"/>
      <c r="AA641" s="375"/>
      <c r="AB641" s="375"/>
      <c r="AC641" s="375"/>
      <c r="AD641" s="375"/>
      <c r="AE641" s="375"/>
      <c r="AF641" s="375"/>
    </row>
    <row r="642">
      <c r="A642" s="360"/>
      <c r="B642" s="360"/>
      <c r="C642" s="377"/>
      <c r="D642" s="377"/>
      <c r="E642" s="378"/>
      <c r="F642" s="377"/>
      <c r="G642" s="377"/>
      <c r="H642" s="378"/>
      <c r="I642" s="360"/>
      <c r="J642" s="377"/>
      <c r="K642" s="377"/>
      <c r="L642" s="378"/>
      <c r="M642" s="377"/>
      <c r="N642" s="377"/>
      <c r="O642" s="377"/>
      <c r="P642" s="364"/>
      <c r="Q642" s="360"/>
      <c r="R642" s="377"/>
      <c r="S642" s="377"/>
      <c r="T642" s="375"/>
      <c r="U642" s="375"/>
      <c r="V642" s="375"/>
      <c r="W642" s="375"/>
      <c r="X642" s="375"/>
      <c r="Y642" s="375"/>
      <c r="Z642" s="375"/>
      <c r="AA642" s="375"/>
      <c r="AB642" s="375"/>
      <c r="AC642" s="375"/>
      <c r="AD642" s="375"/>
      <c r="AE642" s="375"/>
      <c r="AF642" s="375"/>
    </row>
    <row r="643">
      <c r="A643" s="360"/>
      <c r="B643" s="360"/>
      <c r="C643" s="377"/>
      <c r="D643" s="377"/>
      <c r="E643" s="378"/>
      <c r="F643" s="377"/>
      <c r="G643" s="377"/>
      <c r="H643" s="378"/>
      <c r="I643" s="360"/>
      <c r="J643" s="377"/>
      <c r="K643" s="377"/>
      <c r="L643" s="378"/>
      <c r="M643" s="377"/>
      <c r="N643" s="377"/>
      <c r="O643" s="377"/>
      <c r="P643" s="364"/>
      <c r="Q643" s="360"/>
      <c r="R643" s="377"/>
      <c r="S643" s="377"/>
      <c r="T643" s="375"/>
      <c r="U643" s="375"/>
      <c r="V643" s="375"/>
      <c r="W643" s="375"/>
      <c r="X643" s="375"/>
      <c r="Y643" s="375"/>
      <c r="Z643" s="375"/>
      <c r="AA643" s="375"/>
      <c r="AB643" s="375"/>
      <c r="AC643" s="375"/>
      <c r="AD643" s="375"/>
      <c r="AE643" s="375"/>
      <c r="AF643" s="375"/>
    </row>
    <row r="644">
      <c r="A644" s="360"/>
      <c r="B644" s="360"/>
      <c r="C644" s="377"/>
      <c r="D644" s="377"/>
      <c r="E644" s="378"/>
      <c r="F644" s="377"/>
      <c r="G644" s="377"/>
      <c r="H644" s="378"/>
      <c r="I644" s="360"/>
      <c r="J644" s="377"/>
      <c r="K644" s="377"/>
      <c r="L644" s="378"/>
      <c r="M644" s="377"/>
      <c r="N644" s="377"/>
      <c r="O644" s="377"/>
      <c r="P644" s="364"/>
      <c r="Q644" s="360"/>
      <c r="R644" s="377"/>
      <c r="S644" s="377"/>
      <c r="T644" s="375"/>
      <c r="U644" s="375"/>
      <c r="V644" s="375"/>
      <c r="W644" s="375"/>
      <c r="X644" s="375"/>
      <c r="Y644" s="375"/>
      <c r="Z644" s="375"/>
      <c r="AA644" s="375"/>
      <c r="AB644" s="375"/>
      <c r="AC644" s="375"/>
      <c r="AD644" s="375"/>
      <c r="AE644" s="375"/>
      <c r="AF644" s="375"/>
    </row>
    <row r="645">
      <c r="A645" s="360"/>
      <c r="B645" s="360"/>
      <c r="C645" s="377"/>
      <c r="D645" s="377"/>
      <c r="E645" s="378"/>
      <c r="F645" s="377"/>
      <c r="G645" s="377"/>
      <c r="H645" s="378"/>
      <c r="I645" s="360"/>
      <c r="J645" s="377"/>
      <c r="K645" s="377"/>
      <c r="L645" s="378"/>
      <c r="M645" s="377"/>
      <c r="N645" s="377"/>
      <c r="O645" s="377"/>
      <c r="P645" s="364"/>
      <c r="Q645" s="360"/>
      <c r="R645" s="377"/>
      <c r="S645" s="377"/>
      <c r="T645" s="375"/>
      <c r="U645" s="375"/>
      <c r="V645" s="375"/>
      <c r="W645" s="375"/>
      <c r="X645" s="375"/>
      <c r="Y645" s="375"/>
      <c r="Z645" s="375"/>
      <c r="AA645" s="375"/>
      <c r="AB645" s="375"/>
      <c r="AC645" s="375"/>
      <c r="AD645" s="375"/>
      <c r="AE645" s="375"/>
      <c r="AF645" s="375"/>
    </row>
    <row r="646">
      <c r="A646" s="360"/>
      <c r="B646" s="360"/>
      <c r="C646" s="377"/>
      <c r="D646" s="377"/>
      <c r="E646" s="378"/>
      <c r="F646" s="377"/>
      <c r="G646" s="377"/>
      <c r="H646" s="378"/>
      <c r="I646" s="360"/>
      <c r="J646" s="377"/>
      <c r="K646" s="377"/>
      <c r="L646" s="378"/>
      <c r="M646" s="377"/>
      <c r="N646" s="377"/>
      <c r="O646" s="377"/>
      <c r="P646" s="364"/>
      <c r="Q646" s="360"/>
      <c r="R646" s="377"/>
      <c r="S646" s="377"/>
      <c r="T646" s="375"/>
      <c r="U646" s="375"/>
      <c r="V646" s="375"/>
      <c r="W646" s="375"/>
      <c r="X646" s="375"/>
      <c r="Y646" s="375"/>
      <c r="Z646" s="375"/>
      <c r="AA646" s="375"/>
      <c r="AB646" s="375"/>
      <c r="AC646" s="375"/>
      <c r="AD646" s="375"/>
      <c r="AE646" s="375"/>
      <c r="AF646" s="375"/>
    </row>
    <row r="647">
      <c r="A647" s="360"/>
      <c r="B647" s="360"/>
      <c r="C647" s="377"/>
      <c r="D647" s="377"/>
      <c r="E647" s="378"/>
      <c r="F647" s="377"/>
      <c r="G647" s="377"/>
      <c r="H647" s="378"/>
      <c r="I647" s="360"/>
      <c r="J647" s="377"/>
      <c r="K647" s="377"/>
      <c r="L647" s="378"/>
      <c r="M647" s="377"/>
      <c r="N647" s="377"/>
      <c r="O647" s="377"/>
      <c r="P647" s="364"/>
      <c r="Q647" s="360"/>
      <c r="R647" s="377"/>
      <c r="S647" s="377"/>
      <c r="T647" s="375"/>
      <c r="U647" s="375"/>
      <c r="V647" s="375"/>
      <c r="W647" s="375"/>
      <c r="X647" s="375"/>
      <c r="Y647" s="375"/>
      <c r="Z647" s="375"/>
      <c r="AA647" s="375"/>
      <c r="AB647" s="375"/>
      <c r="AC647" s="375"/>
      <c r="AD647" s="375"/>
      <c r="AE647" s="375"/>
      <c r="AF647" s="375"/>
    </row>
    <row r="648">
      <c r="A648" s="360"/>
      <c r="B648" s="360"/>
      <c r="C648" s="377"/>
      <c r="D648" s="377"/>
      <c r="E648" s="378"/>
      <c r="F648" s="377"/>
      <c r="G648" s="377"/>
      <c r="H648" s="378"/>
      <c r="I648" s="360"/>
      <c r="J648" s="377"/>
      <c r="K648" s="377"/>
      <c r="L648" s="378"/>
      <c r="M648" s="377"/>
      <c r="N648" s="377"/>
      <c r="O648" s="377"/>
      <c r="P648" s="364"/>
      <c r="Q648" s="360"/>
      <c r="R648" s="377"/>
      <c r="S648" s="377"/>
      <c r="T648" s="375"/>
      <c r="U648" s="375"/>
      <c r="V648" s="375"/>
      <c r="W648" s="375"/>
      <c r="X648" s="375"/>
      <c r="Y648" s="375"/>
      <c r="Z648" s="375"/>
      <c r="AA648" s="375"/>
      <c r="AB648" s="375"/>
      <c r="AC648" s="375"/>
      <c r="AD648" s="375"/>
      <c r="AE648" s="375"/>
      <c r="AF648" s="375"/>
    </row>
    <row r="649">
      <c r="A649" s="360"/>
      <c r="B649" s="360"/>
      <c r="C649" s="377"/>
      <c r="D649" s="377"/>
      <c r="E649" s="378"/>
      <c r="F649" s="377"/>
      <c r="G649" s="377"/>
      <c r="H649" s="378"/>
      <c r="I649" s="360"/>
      <c r="J649" s="377"/>
      <c r="K649" s="377"/>
      <c r="L649" s="378"/>
      <c r="M649" s="377"/>
      <c r="N649" s="377"/>
      <c r="O649" s="377"/>
      <c r="P649" s="364"/>
      <c r="Q649" s="360"/>
      <c r="R649" s="377"/>
      <c r="S649" s="377"/>
      <c r="T649" s="375"/>
      <c r="U649" s="375"/>
      <c r="V649" s="375"/>
      <c r="W649" s="375"/>
      <c r="X649" s="375"/>
      <c r="Y649" s="375"/>
      <c r="Z649" s="375"/>
      <c r="AA649" s="375"/>
      <c r="AB649" s="375"/>
      <c r="AC649" s="375"/>
      <c r="AD649" s="375"/>
      <c r="AE649" s="375"/>
      <c r="AF649" s="375"/>
    </row>
    <row r="650">
      <c r="A650" s="360"/>
      <c r="B650" s="360"/>
      <c r="C650" s="377"/>
      <c r="D650" s="377"/>
      <c r="E650" s="378"/>
      <c r="F650" s="377"/>
      <c r="G650" s="377"/>
      <c r="H650" s="378"/>
      <c r="I650" s="360"/>
      <c r="J650" s="377"/>
      <c r="K650" s="377"/>
      <c r="L650" s="378"/>
      <c r="M650" s="377"/>
      <c r="N650" s="377"/>
      <c r="O650" s="377"/>
      <c r="P650" s="364"/>
      <c r="Q650" s="360"/>
      <c r="R650" s="377"/>
      <c r="S650" s="377"/>
      <c r="T650" s="375"/>
      <c r="U650" s="375"/>
      <c r="V650" s="375"/>
      <c r="W650" s="375"/>
      <c r="X650" s="375"/>
      <c r="Y650" s="375"/>
      <c r="Z650" s="375"/>
      <c r="AA650" s="375"/>
      <c r="AB650" s="375"/>
      <c r="AC650" s="375"/>
      <c r="AD650" s="375"/>
      <c r="AE650" s="375"/>
      <c r="AF650" s="375"/>
    </row>
    <row r="651">
      <c r="A651" s="360"/>
      <c r="B651" s="360"/>
      <c r="C651" s="377"/>
      <c r="D651" s="377"/>
      <c r="E651" s="378"/>
      <c r="F651" s="377"/>
      <c r="G651" s="377"/>
      <c r="H651" s="378"/>
      <c r="I651" s="360"/>
      <c r="J651" s="377"/>
      <c r="K651" s="377"/>
      <c r="L651" s="378"/>
      <c r="M651" s="377"/>
      <c r="N651" s="377"/>
      <c r="O651" s="377"/>
      <c r="P651" s="364"/>
      <c r="Q651" s="360"/>
      <c r="R651" s="377"/>
      <c r="S651" s="377"/>
      <c r="T651" s="375"/>
      <c r="U651" s="375"/>
      <c r="V651" s="375"/>
      <c r="W651" s="375"/>
      <c r="X651" s="375"/>
      <c r="Y651" s="375"/>
      <c r="Z651" s="375"/>
      <c r="AA651" s="375"/>
      <c r="AB651" s="375"/>
      <c r="AC651" s="375"/>
      <c r="AD651" s="375"/>
      <c r="AE651" s="375"/>
      <c r="AF651" s="375"/>
    </row>
    <row r="652">
      <c r="A652" s="360"/>
      <c r="B652" s="360"/>
      <c r="C652" s="377"/>
      <c r="D652" s="377"/>
      <c r="E652" s="378"/>
      <c r="F652" s="377"/>
      <c r="G652" s="377"/>
      <c r="H652" s="378"/>
      <c r="I652" s="360"/>
      <c r="J652" s="377"/>
      <c r="K652" s="377"/>
      <c r="L652" s="378"/>
      <c r="M652" s="377"/>
      <c r="N652" s="377"/>
      <c r="O652" s="377"/>
      <c r="P652" s="364"/>
      <c r="Q652" s="360"/>
      <c r="R652" s="377"/>
      <c r="S652" s="377"/>
      <c r="T652" s="375"/>
      <c r="U652" s="375"/>
      <c r="V652" s="375"/>
      <c r="W652" s="375"/>
      <c r="X652" s="375"/>
      <c r="Y652" s="375"/>
      <c r="Z652" s="375"/>
      <c r="AA652" s="375"/>
      <c r="AB652" s="375"/>
      <c r="AC652" s="375"/>
      <c r="AD652" s="375"/>
      <c r="AE652" s="375"/>
      <c r="AF652" s="375"/>
    </row>
    <row r="653">
      <c r="A653" s="360"/>
      <c r="B653" s="360"/>
      <c r="C653" s="377"/>
      <c r="D653" s="377"/>
      <c r="E653" s="378"/>
      <c r="F653" s="377"/>
      <c r="G653" s="377"/>
      <c r="H653" s="378"/>
      <c r="I653" s="360"/>
      <c r="J653" s="377"/>
      <c r="K653" s="377"/>
      <c r="L653" s="378"/>
      <c r="M653" s="377"/>
      <c r="N653" s="377"/>
      <c r="O653" s="377"/>
      <c r="P653" s="364"/>
      <c r="Q653" s="360"/>
      <c r="R653" s="377"/>
      <c r="S653" s="377"/>
      <c r="T653" s="375"/>
      <c r="U653" s="375"/>
      <c r="V653" s="375"/>
      <c r="W653" s="375"/>
      <c r="X653" s="375"/>
      <c r="Y653" s="375"/>
      <c r="Z653" s="375"/>
      <c r="AA653" s="375"/>
      <c r="AB653" s="375"/>
      <c r="AC653" s="375"/>
      <c r="AD653" s="375"/>
      <c r="AE653" s="375"/>
      <c r="AF653" s="375"/>
    </row>
    <row r="654">
      <c r="A654" s="360"/>
      <c r="B654" s="360"/>
      <c r="C654" s="377"/>
      <c r="D654" s="377"/>
      <c r="E654" s="378"/>
      <c r="F654" s="377"/>
      <c r="G654" s="377"/>
      <c r="H654" s="378"/>
      <c r="I654" s="360"/>
      <c r="J654" s="377"/>
      <c r="K654" s="377"/>
      <c r="L654" s="378"/>
      <c r="M654" s="377"/>
      <c r="N654" s="377"/>
      <c r="O654" s="377"/>
      <c r="P654" s="364"/>
      <c r="Q654" s="360"/>
      <c r="R654" s="377"/>
      <c r="S654" s="377"/>
      <c r="T654" s="375"/>
      <c r="U654" s="375"/>
      <c r="V654" s="375"/>
      <c r="W654" s="375"/>
      <c r="X654" s="375"/>
      <c r="Y654" s="375"/>
      <c r="Z654" s="375"/>
      <c r="AA654" s="375"/>
      <c r="AB654" s="375"/>
      <c r="AC654" s="375"/>
      <c r="AD654" s="375"/>
      <c r="AE654" s="375"/>
      <c r="AF654" s="375"/>
    </row>
    <row r="655">
      <c r="A655" s="360"/>
      <c r="B655" s="360"/>
      <c r="C655" s="377"/>
      <c r="D655" s="377"/>
      <c r="E655" s="378"/>
      <c r="F655" s="377"/>
      <c r="G655" s="377"/>
      <c r="H655" s="378"/>
      <c r="I655" s="360"/>
      <c r="J655" s="377"/>
      <c r="K655" s="377"/>
      <c r="L655" s="378"/>
      <c r="M655" s="377"/>
      <c r="N655" s="377"/>
      <c r="O655" s="377"/>
      <c r="P655" s="364"/>
      <c r="Q655" s="360"/>
      <c r="R655" s="377"/>
      <c r="S655" s="377"/>
      <c r="T655" s="375"/>
      <c r="U655" s="375"/>
      <c r="V655" s="375"/>
      <c r="W655" s="375"/>
      <c r="X655" s="375"/>
      <c r="Y655" s="375"/>
      <c r="Z655" s="375"/>
      <c r="AA655" s="375"/>
      <c r="AB655" s="375"/>
      <c r="AC655" s="375"/>
      <c r="AD655" s="375"/>
      <c r="AE655" s="375"/>
      <c r="AF655" s="375"/>
    </row>
    <row r="656">
      <c r="A656" s="360"/>
      <c r="B656" s="360"/>
      <c r="C656" s="377"/>
      <c r="D656" s="377"/>
      <c r="E656" s="378"/>
      <c r="F656" s="377"/>
      <c r="G656" s="377"/>
      <c r="H656" s="378"/>
      <c r="I656" s="360"/>
      <c r="J656" s="377"/>
      <c r="K656" s="377"/>
      <c r="L656" s="378"/>
      <c r="M656" s="377"/>
      <c r="N656" s="377"/>
      <c r="O656" s="377"/>
      <c r="P656" s="364"/>
      <c r="Q656" s="360"/>
      <c r="R656" s="377"/>
      <c r="S656" s="377"/>
      <c r="T656" s="375"/>
      <c r="U656" s="375"/>
      <c r="V656" s="375"/>
      <c r="W656" s="375"/>
      <c r="X656" s="375"/>
      <c r="Y656" s="375"/>
      <c r="Z656" s="375"/>
      <c r="AA656" s="375"/>
      <c r="AB656" s="375"/>
      <c r="AC656" s="375"/>
      <c r="AD656" s="375"/>
      <c r="AE656" s="375"/>
      <c r="AF656" s="375"/>
    </row>
    <row r="657">
      <c r="A657" s="360"/>
      <c r="B657" s="360"/>
      <c r="C657" s="377"/>
      <c r="D657" s="377"/>
      <c r="E657" s="378"/>
      <c r="F657" s="377"/>
      <c r="G657" s="377"/>
      <c r="H657" s="378"/>
      <c r="I657" s="360"/>
      <c r="J657" s="377"/>
      <c r="K657" s="377"/>
      <c r="L657" s="378"/>
      <c r="M657" s="377"/>
      <c r="N657" s="377"/>
      <c r="O657" s="377"/>
      <c r="P657" s="364"/>
      <c r="Q657" s="360"/>
      <c r="R657" s="377"/>
      <c r="S657" s="377"/>
      <c r="T657" s="375"/>
      <c r="U657" s="375"/>
      <c r="V657" s="375"/>
      <c r="W657" s="375"/>
      <c r="X657" s="375"/>
      <c r="Y657" s="375"/>
      <c r="Z657" s="375"/>
      <c r="AA657" s="375"/>
      <c r="AB657" s="375"/>
      <c r="AC657" s="375"/>
      <c r="AD657" s="375"/>
      <c r="AE657" s="375"/>
      <c r="AF657" s="375"/>
    </row>
    <row r="658">
      <c r="A658" s="360"/>
      <c r="B658" s="360"/>
      <c r="C658" s="377"/>
      <c r="D658" s="377"/>
      <c r="E658" s="378"/>
      <c r="F658" s="377"/>
      <c r="G658" s="377"/>
      <c r="H658" s="378"/>
      <c r="I658" s="360"/>
      <c r="J658" s="377"/>
      <c r="K658" s="377"/>
      <c r="L658" s="378"/>
      <c r="M658" s="377"/>
      <c r="N658" s="377"/>
      <c r="O658" s="377"/>
      <c r="P658" s="364"/>
      <c r="Q658" s="360"/>
      <c r="R658" s="377"/>
      <c r="S658" s="377"/>
      <c r="T658" s="375"/>
      <c r="U658" s="375"/>
      <c r="V658" s="375"/>
      <c r="W658" s="375"/>
      <c r="X658" s="375"/>
      <c r="Y658" s="375"/>
      <c r="Z658" s="375"/>
      <c r="AA658" s="375"/>
      <c r="AB658" s="375"/>
      <c r="AC658" s="375"/>
      <c r="AD658" s="375"/>
      <c r="AE658" s="375"/>
      <c r="AF658" s="375"/>
    </row>
    <row r="659">
      <c r="A659" s="360"/>
      <c r="B659" s="360"/>
      <c r="C659" s="377"/>
      <c r="D659" s="377"/>
      <c r="E659" s="378"/>
      <c r="F659" s="377"/>
      <c r="G659" s="377"/>
      <c r="H659" s="378"/>
      <c r="I659" s="360"/>
      <c r="J659" s="377"/>
      <c r="K659" s="377"/>
      <c r="L659" s="378"/>
      <c r="M659" s="377"/>
      <c r="N659" s="377"/>
      <c r="O659" s="377"/>
      <c r="P659" s="364"/>
      <c r="Q659" s="360"/>
      <c r="R659" s="377"/>
      <c r="S659" s="377"/>
      <c r="T659" s="375"/>
      <c r="U659" s="375"/>
      <c r="V659" s="375"/>
      <c r="W659" s="375"/>
      <c r="X659" s="375"/>
      <c r="Y659" s="375"/>
      <c r="Z659" s="375"/>
      <c r="AA659" s="375"/>
      <c r="AB659" s="375"/>
      <c r="AC659" s="375"/>
      <c r="AD659" s="375"/>
      <c r="AE659" s="375"/>
      <c r="AF659" s="375"/>
    </row>
    <row r="660">
      <c r="A660" s="360"/>
      <c r="B660" s="360"/>
      <c r="C660" s="377"/>
      <c r="D660" s="377"/>
      <c r="E660" s="378"/>
      <c r="F660" s="377"/>
      <c r="G660" s="377"/>
      <c r="H660" s="378"/>
      <c r="I660" s="360"/>
      <c r="J660" s="377"/>
      <c r="K660" s="377"/>
      <c r="L660" s="378"/>
      <c r="M660" s="377"/>
      <c r="N660" s="377"/>
      <c r="O660" s="377"/>
      <c r="P660" s="364"/>
      <c r="Q660" s="360"/>
      <c r="R660" s="377"/>
      <c r="S660" s="377"/>
      <c r="T660" s="375"/>
      <c r="U660" s="375"/>
      <c r="V660" s="375"/>
      <c r="W660" s="375"/>
      <c r="X660" s="375"/>
      <c r="Y660" s="375"/>
      <c r="Z660" s="375"/>
      <c r="AA660" s="375"/>
      <c r="AB660" s="375"/>
      <c r="AC660" s="375"/>
      <c r="AD660" s="375"/>
      <c r="AE660" s="375"/>
      <c r="AF660" s="375"/>
    </row>
    <row r="661">
      <c r="A661" s="360"/>
      <c r="B661" s="360"/>
      <c r="C661" s="377"/>
      <c r="D661" s="377"/>
      <c r="E661" s="378"/>
      <c r="F661" s="377"/>
      <c r="G661" s="377"/>
      <c r="H661" s="378"/>
      <c r="I661" s="360"/>
      <c r="J661" s="377"/>
      <c r="K661" s="377"/>
      <c r="L661" s="378"/>
      <c r="M661" s="377"/>
      <c r="N661" s="377"/>
      <c r="O661" s="377"/>
      <c r="P661" s="364"/>
      <c r="Q661" s="360"/>
      <c r="R661" s="377"/>
      <c r="S661" s="377"/>
      <c r="T661" s="375"/>
      <c r="U661" s="375"/>
      <c r="V661" s="375"/>
      <c r="W661" s="375"/>
      <c r="X661" s="375"/>
      <c r="Y661" s="375"/>
      <c r="Z661" s="375"/>
      <c r="AA661" s="375"/>
      <c r="AB661" s="375"/>
      <c r="AC661" s="375"/>
      <c r="AD661" s="375"/>
      <c r="AE661" s="375"/>
      <c r="AF661" s="375"/>
    </row>
    <row r="662">
      <c r="A662" s="360"/>
      <c r="B662" s="360"/>
      <c r="C662" s="377"/>
      <c r="D662" s="377"/>
      <c r="E662" s="378"/>
      <c r="F662" s="377"/>
      <c r="G662" s="377"/>
      <c r="H662" s="378"/>
      <c r="I662" s="360"/>
      <c r="J662" s="377"/>
      <c r="K662" s="377"/>
      <c r="L662" s="378"/>
      <c r="M662" s="377"/>
      <c r="N662" s="377"/>
      <c r="O662" s="377"/>
      <c r="P662" s="364"/>
      <c r="Q662" s="360"/>
      <c r="R662" s="377"/>
      <c r="S662" s="377"/>
      <c r="T662" s="375"/>
      <c r="U662" s="375"/>
      <c r="V662" s="375"/>
      <c r="W662" s="375"/>
      <c r="X662" s="375"/>
      <c r="Y662" s="375"/>
      <c r="Z662" s="375"/>
      <c r="AA662" s="375"/>
      <c r="AB662" s="375"/>
      <c r="AC662" s="375"/>
      <c r="AD662" s="375"/>
      <c r="AE662" s="375"/>
      <c r="AF662" s="375"/>
    </row>
    <row r="663">
      <c r="A663" s="360"/>
      <c r="B663" s="360"/>
      <c r="C663" s="377"/>
      <c r="D663" s="377"/>
      <c r="E663" s="378"/>
      <c r="F663" s="377"/>
      <c r="G663" s="377"/>
      <c r="H663" s="378"/>
      <c r="I663" s="360"/>
      <c r="J663" s="377"/>
      <c r="K663" s="377"/>
      <c r="L663" s="378"/>
      <c r="M663" s="377"/>
      <c r="N663" s="377"/>
      <c r="O663" s="377"/>
      <c r="P663" s="364"/>
      <c r="Q663" s="360"/>
      <c r="R663" s="377"/>
      <c r="S663" s="377"/>
      <c r="T663" s="375"/>
      <c r="U663" s="375"/>
      <c r="V663" s="375"/>
      <c r="W663" s="375"/>
      <c r="X663" s="375"/>
      <c r="Y663" s="375"/>
      <c r="Z663" s="375"/>
      <c r="AA663" s="375"/>
      <c r="AB663" s="375"/>
      <c r="AC663" s="375"/>
      <c r="AD663" s="375"/>
      <c r="AE663" s="375"/>
      <c r="AF663" s="375"/>
    </row>
    <row r="664">
      <c r="A664" s="360"/>
      <c r="B664" s="360"/>
      <c r="C664" s="377"/>
      <c r="D664" s="377"/>
      <c r="E664" s="378"/>
      <c r="F664" s="377"/>
      <c r="G664" s="377"/>
      <c r="H664" s="378"/>
      <c r="I664" s="360"/>
      <c r="J664" s="377"/>
      <c r="K664" s="377"/>
      <c r="L664" s="378"/>
      <c r="M664" s="377"/>
      <c r="N664" s="377"/>
      <c r="O664" s="377"/>
      <c r="P664" s="364"/>
      <c r="Q664" s="360"/>
      <c r="R664" s="377"/>
      <c r="S664" s="377"/>
      <c r="T664" s="375"/>
      <c r="U664" s="375"/>
      <c r="V664" s="375"/>
      <c r="W664" s="375"/>
      <c r="X664" s="375"/>
      <c r="Y664" s="375"/>
      <c r="Z664" s="375"/>
      <c r="AA664" s="375"/>
      <c r="AB664" s="375"/>
      <c r="AC664" s="375"/>
      <c r="AD664" s="375"/>
      <c r="AE664" s="375"/>
      <c r="AF664" s="375"/>
    </row>
    <row r="665">
      <c r="A665" s="360"/>
      <c r="B665" s="360"/>
      <c r="C665" s="377"/>
      <c r="D665" s="377"/>
      <c r="E665" s="378"/>
      <c r="F665" s="377"/>
      <c r="G665" s="377"/>
      <c r="H665" s="378"/>
      <c r="I665" s="360"/>
      <c r="J665" s="377"/>
      <c r="K665" s="377"/>
      <c r="L665" s="378"/>
      <c r="M665" s="377"/>
      <c r="N665" s="377"/>
      <c r="O665" s="377"/>
      <c r="P665" s="364"/>
      <c r="Q665" s="360"/>
      <c r="R665" s="377"/>
      <c r="S665" s="377"/>
      <c r="T665" s="375"/>
      <c r="U665" s="375"/>
      <c r="V665" s="375"/>
      <c r="W665" s="375"/>
      <c r="X665" s="375"/>
      <c r="Y665" s="375"/>
      <c r="Z665" s="375"/>
      <c r="AA665" s="375"/>
      <c r="AB665" s="375"/>
      <c r="AC665" s="375"/>
      <c r="AD665" s="375"/>
      <c r="AE665" s="375"/>
      <c r="AF665" s="375"/>
    </row>
    <row r="666">
      <c r="A666" s="360"/>
      <c r="B666" s="360"/>
      <c r="C666" s="377"/>
      <c r="D666" s="377"/>
      <c r="E666" s="378"/>
      <c r="F666" s="377"/>
      <c r="G666" s="377"/>
      <c r="H666" s="378"/>
      <c r="I666" s="360"/>
      <c r="J666" s="377"/>
      <c r="K666" s="377"/>
      <c r="L666" s="378"/>
      <c r="M666" s="377"/>
      <c r="N666" s="377"/>
      <c r="O666" s="377"/>
      <c r="P666" s="364"/>
      <c r="Q666" s="360"/>
      <c r="R666" s="377"/>
      <c r="S666" s="377"/>
      <c r="T666" s="375"/>
      <c r="U666" s="375"/>
      <c r="V666" s="375"/>
      <c r="W666" s="375"/>
      <c r="X666" s="375"/>
      <c r="Y666" s="375"/>
      <c r="Z666" s="375"/>
      <c r="AA666" s="375"/>
      <c r="AB666" s="375"/>
      <c r="AC666" s="375"/>
      <c r="AD666" s="375"/>
      <c r="AE666" s="375"/>
      <c r="AF666" s="375"/>
    </row>
    <row r="667">
      <c r="A667" s="360"/>
      <c r="B667" s="360"/>
      <c r="C667" s="377"/>
      <c r="D667" s="377"/>
      <c r="E667" s="378"/>
      <c r="F667" s="377"/>
      <c r="G667" s="377"/>
      <c r="H667" s="378"/>
      <c r="I667" s="360"/>
      <c r="J667" s="377"/>
      <c r="K667" s="377"/>
      <c r="L667" s="378"/>
      <c r="M667" s="377"/>
      <c r="N667" s="377"/>
      <c r="O667" s="377"/>
      <c r="P667" s="364"/>
      <c r="Q667" s="360"/>
      <c r="R667" s="377"/>
      <c r="S667" s="377"/>
      <c r="T667" s="375"/>
      <c r="U667" s="375"/>
      <c r="V667" s="375"/>
      <c r="W667" s="375"/>
      <c r="X667" s="375"/>
      <c r="Y667" s="375"/>
      <c r="Z667" s="375"/>
      <c r="AA667" s="375"/>
      <c r="AB667" s="375"/>
      <c r="AC667" s="375"/>
      <c r="AD667" s="375"/>
      <c r="AE667" s="375"/>
      <c r="AF667" s="375"/>
    </row>
    <row r="668">
      <c r="A668" s="360"/>
      <c r="B668" s="360"/>
      <c r="C668" s="377"/>
      <c r="D668" s="377"/>
      <c r="E668" s="378"/>
      <c r="F668" s="377"/>
      <c r="G668" s="377"/>
      <c r="H668" s="378"/>
      <c r="I668" s="360"/>
      <c r="J668" s="377"/>
      <c r="K668" s="377"/>
      <c r="L668" s="378"/>
      <c r="M668" s="377"/>
      <c r="N668" s="377"/>
      <c r="O668" s="377"/>
      <c r="P668" s="364"/>
      <c r="Q668" s="360"/>
      <c r="R668" s="377"/>
      <c r="S668" s="377"/>
      <c r="T668" s="375"/>
      <c r="U668" s="375"/>
      <c r="V668" s="375"/>
      <c r="W668" s="375"/>
      <c r="X668" s="375"/>
      <c r="Y668" s="375"/>
      <c r="Z668" s="375"/>
      <c r="AA668" s="375"/>
      <c r="AB668" s="375"/>
      <c r="AC668" s="375"/>
      <c r="AD668" s="375"/>
      <c r="AE668" s="375"/>
      <c r="AF668" s="375"/>
    </row>
    <row r="669">
      <c r="A669" s="360"/>
      <c r="B669" s="360"/>
      <c r="C669" s="377"/>
      <c r="D669" s="377"/>
      <c r="E669" s="378"/>
      <c r="F669" s="377"/>
      <c r="G669" s="377"/>
      <c r="H669" s="378"/>
      <c r="I669" s="360"/>
      <c r="J669" s="377"/>
      <c r="K669" s="377"/>
      <c r="L669" s="378"/>
      <c r="M669" s="377"/>
      <c r="N669" s="377"/>
      <c r="O669" s="377"/>
      <c r="P669" s="364"/>
      <c r="Q669" s="360"/>
      <c r="R669" s="377"/>
      <c r="S669" s="377"/>
      <c r="T669" s="375"/>
      <c r="U669" s="375"/>
      <c r="V669" s="375"/>
      <c r="W669" s="375"/>
      <c r="X669" s="375"/>
      <c r="Y669" s="375"/>
      <c r="Z669" s="375"/>
      <c r="AA669" s="375"/>
      <c r="AB669" s="375"/>
      <c r="AC669" s="375"/>
      <c r="AD669" s="375"/>
      <c r="AE669" s="375"/>
      <c r="AF669" s="375"/>
    </row>
    <row r="670">
      <c r="A670" s="360"/>
      <c r="B670" s="360"/>
      <c r="C670" s="377"/>
      <c r="D670" s="377"/>
      <c r="E670" s="378"/>
      <c r="F670" s="377"/>
      <c r="G670" s="377"/>
      <c r="H670" s="378"/>
      <c r="I670" s="360"/>
      <c r="J670" s="377"/>
      <c r="K670" s="377"/>
      <c r="L670" s="378"/>
      <c r="M670" s="377"/>
      <c r="N670" s="377"/>
      <c r="O670" s="377"/>
      <c r="P670" s="364"/>
      <c r="Q670" s="360"/>
      <c r="R670" s="377"/>
      <c r="S670" s="377"/>
      <c r="T670" s="375"/>
      <c r="U670" s="375"/>
      <c r="V670" s="375"/>
      <c r="W670" s="375"/>
      <c r="X670" s="375"/>
      <c r="Y670" s="375"/>
      <c r="Z670" s="375"/>
      <c r="AA670" s="375"/>
      <c r="AB670" s="375"/>
      <c r="AC670" s="375"/>
      <c r="AD670" s="375"/>
      <c r="AE670" s="375"/>
      <c r="AF670" s="375"/>
    </row>
    <row r="671">
      <c r="A671" s="360"/>
      <c r="B671" s="360"/>
      <c r="C671" s="377"/>
      <c r="D671" s="377"/>
      <c r="E671" s="378"/>
      <c r="F671" s="377"/>
      <c r="G671" s="377"/>
      <c r="H671" s="378"/>
      <c r="I671" s="360"/>
      <c r="J671" s="377"/>
      <c r="K671" s="377"/>
      <c r="L671" s="378"/>
      <c r="M671" s="377"/>
      <c r="N671" s="377"/>
      <c r="O671" s="377"/>
      <c r="P671" s="364"/>
      <c r="Q671" s="360"/>
      <c r="R671" s="377"/>
      <c r="S671" s="377"/>
      <c r="T671" s="375"/>
      <c r="U671" s="375"/>
      <c r="V671" s="375"/>
      <c r="W671" s="375"/>
      <c r="X671" s="375"/>
      <c r="Y671" s="375"/>
      <c r="Z671" s="375"/>
      <c r="AA671" s="375"/>
      <c r="AB671" s="375"/>
      <c r="AC671" s="375"/>
      <c r="AD671" s="375"/>
      <c r="AE671" s="375"/>
      <c r="AF671" s="375"/>
    </row>
    <row r="672">
      <c r="A672" s="360"/>
      <c r="B672" s="360"/>
      <c r="C672" s="377"/>
      <c r="D672" s="377"/>
      <c r="E672" s="378"/>
      <c r="F672" s="377"/>
      <c r="G672" s="377"/>
      <c r="H672" s="378"/>
      <c r="I672" s="360"/>
      <c r="J672" s="377"/>
      <c r="K672" s="377"/>
      <c r="L672" s="378"/>
      <c r="M672" s="377"/>
      <c r="N672" s="377"/>
      <c r="O672" s="377"/>
      <c r="P672" s="364"/>
      <c r="Q672" s="360"/>
      <c r="R672" s="377"/>
      <c r="S672" s="377"/>
      <c r="T672" s="375"/>
      <c r="U672" s="375"/>
      <c r="V672" s="375"/>
      <c r="W672" s="375"/>
      <c r="X672" s="375"/>
      <c r="Y672" s="375"/>
      <c r="Z672" s="375"/>
      <c r="AA672" s="375"/>
      <c r="AB672" s="375"/>
      <c r="AC672" s="375"/>
      <c r="AD672" s="375"/>
      <c r="AE672" s="375"/>
      <c r="AF672" s="375"/>
    </row>
    <row r="673">
      <c r="A673" s="360"/>
      <c r="B673" s="360"/>
      <c r="C673" s="377"/>
      <c r="D673" s="377"/>
      <c r="E673" s="378"/>
      <c r="F673" s="377"/>
      <c r="G673" s="377"/>
      <c r="H673" s="378"/>
      <c r="I673" s="360"/>
      <c r="J673" s="377"/>
      <c r="K673" s="377"/>
      <c r="L673" s="378"/>
      <c r="M673" s="377"/>
      <c r="N673" s="377"/>
      <c r="O673" s="377"/>
      <c r="P673" s="364"/>
      <c r="Q673" s="360"/>
      <c r="R673" s="377"/>
      <c r="S673" s="377"/>
      <c r="T673" s="375"/>
      <c r="U673" s="375"/>
      <c r="V673" s="375"/>
      <c r="W673" s="375"/>
      <c r="X673" s="375"/>
      <c r="Y673" s="375"/>
      <c r="Z673" s="375"/>
      <c r="AA673" s="375"/>
      <c r="AB673" s="375"/>
      <c r="AC673" s="375"/>
      <c r="AD673" s="375"/>
      <c r="AE673" s="375"/>
      <c r="AF673" s="375"/>
    </row>
    <row r="674">
      <c r="A674" s="360"/>
      <c r="B674" s="360"/>
      <c r="C674" s="377"/>
      <c r="D674" s="377"/>
      <c r="E674" s="378"/>
      <c r="F674" s="377"/>
      <c r="G674" s="377"/>
      <c r="H674" s="378"/>
      <c r="I674" s="360"/>
      <c r="J674" s="377"/>
      <c r="K674" s="377"/>
      <c r="L674" s="378"/>
      <c r="M674" s="377"/>
      <c r="N674" s="377"/>
      <c r="O674" s="377"/>
      <c r="P674" s="364"/>
      <c r="Q674" s="360"/>
      <c r="R674" s="377"/>
      <c r="S674" s="377"/>
      <c r="T674" s="375"/>
      <c r="U674" s="375"/>
      <c r="V674" s="375"/>
      <c r="W674" s="375"/>
      <c r="X674" s="375"/>
      <c r="Y674" s="375"/>
      <c r="Z674" s="375"/>
      <c r="AA674" s="375"/>
      <c r="AB674" s="375"/>
      <c r="AC674" s="375"/>
      <c r="AD674" s="375"/>
      <c r="AE674" s="375"/>
      <c r="AF674" s="375"/>
    </row>
    <row r="675">
      <c r="A675" s="360"/>
      <c r="B675" s="360"/>
      <c r="C675" s="377"/>
      <c r="D675" s="377"/>
      <c r="E675" s="378"/>
      <c r="F675" s="377"/>
      <c r="G675" s="377"/>
      <c r="H675" s="378"/>
      <c r="I675" s="360"/>
      <c r="J675" s="377"/>
      <c r="K675" s="377"/>
      <c r="L675" s="378"/>
      <c r="M675" s="377"/>
      <c r="N675" s="377"/>
      <c r="O675" s="377"/>
      <c r="P675" s="364"/>
      <c r="Q675" s="360"/>
      <c r="R675" s="377"/>
      <c r="S675" s="377"/>
      <c r="T675" s="375"/>
      <c r="U675" s="375"/>
      <c r="V675" s="375"/>
      <c r="W675" s="375"/>
      <c r="X675" s="375"/>
      <c r="Y675" s="375"/>
      <c r="Z675" s="375"/>
      <c r="AA675" s="375"/>
      <c r="AB675" s="375"/>
      <c r="AC675" s="375"/>
      <c r="AD675" s="375"/>
      <c r="AE675" s="375"/>
      <c r="AF675" s="375"/>
    </row>
    <row r="676">
      <c r="A676" s="360"/>
      <c r="B676" s="360"/>
      <c r="C676" s="377"/>
      <c r="D676" s="377"/>
      <c r="E676" s="378"/>
      <c r="F676" s="377"/>
      <c r="G676" s="377"/>
      <c r="H676" s="378"/>
      <c r="I676" s="360"/>
      <c r="J676" s="377"/>
      <c r="K676" s="377"/>
      <c r="L676" s="378"/>
      <c r="M676" s="377"/>
      <c r="N676" s="377"/>
      <c r="O676" s="377"/>
      <c r="P676" s="364"/>
      <c r="Q676" s="360"/>
      <c r="R676" s="377"/>
      <c r="S676" s="377"/>
      <c r="T676" s="375"/>
      <c r="U676" s="375"/>
      <c r="V676" s="375"/>
      <c r="W676" s="375"/>
      <c r="X676" s="375"/>
      <c r="Y676" s="375"/>
      <c r="Z676" s="375"/>
      <c r="AA676" s="375"/>
      <c r="AB676" s="375"/>
      <c r="AC676" s="375"/>
      <c r="AD676" s="375"/>
      <c r="AE676" s="375"/>
      <c r="AF676" s="375"/>
    </row>
    <row r="677">
      <c r="A677" s="360"/>
      <c r="B677" s="360"/>
      <c r="C677" s="377"/>
      <c r="D677" s="377"/>
      <c r="E677" s="378"/>
      <c r="F677" s="377"/>
      <c r="G677" s="377"/>
      <c r="H677" s="378"/>
      <c r="I677" s="360"/>
      <c r="J677" s="377"/>
      <c r="K677" s="377"/>
      <c r="L677" s="378"/>
      <c r="M677" s="377"/>
      <c r="N677" s="377"/>
      <c r="O677" s="377"/>
      <c r="P677" s="364"/>
      <c r="Q677" s="360"/>
      <c r="R677" s="377"/>
      <c r="S677" s="377"/>
      <c r="T677" s="375"/>
      <c r="U677" s="375"/>
      <c r="V677" s="375"/>
      <c r="W677" s="375"/>
      <c r="X677" s="375"/>
      <c r="Y677" s="375"/>
      <c r="Z677" s="375"/>
      <c r="AA677" s="375"/>
      <c r="AB677" s="375"/>
      <c r="AC677" s="375"/>
      <c r="AD677" s="375"/>
      <c r="AE677" s="375"/>
      <c r="AF677" s="375"/>
    </row>
    <row r="678">
      <c r="A678" s="360"/>
      <c r="B678" s="360"/>
      <c r="C678" s="377"/>
      <c r="D678" s="377"/>
      <c r="E678" s="378"/>
      <c r="F678" s="377"/>
      <c r="G678" s="377"/>
      <c r="H678" s="378"/>
      <c r="I678" s="360"/>
      <c r="J678" s="377"/>
      <c r="K678" s="377"/>
      <c r="L678" s="378"/>
      <c r="M678" s="377"/>
      <c r="N678" s="377"/>
      <c r="O678" s="377"/>
      <c r="P678" s="364"/>
      <c r="Q678" s="360"/>
      <c r="R678" s="377"/>
      <c r="S678" s="377"/>
      <c r="T678" s="375"/>
      <c r="U678" s="375"/>
      <c r="V678" s="375"/>
      <c r="W678" s="375"/>
      <c r="X678" s="375"/>
      <c r="Y678" s="375"/>
      <c r="Z678" s="375"/>
      <c r="AA678" s="375"/>
      <c r="AB678" s="375"/>
      <c r="AC678" s="375"/>
      <c r="AD678" s="375"/>
      <c r="AE678" s="375"/>
      <c r="AF678" s="375"/>
    </row>
    <row r="679">
      <c r="A679" s="360"/>
      <c r="B679" s="360"/>
      <c r="C679" s="377"/>
      <c r="D679" s="377"/>
      <c r="E679" s="378"/>
      <c r="F679" s="377"/>
      <c r="G679" s="377"/>
      <c r="H679" s="378"/>
      <c r="I679" s="360"/>
      <c r="J679" s="377"/>
      <c r="K679" s="377"/>
      <c r="L679" s="378"/>
      <c r="M679" s="377"/>
      <c r="N679" s="377"/>
      <c r="O679" s="377"/>
      <c r="P679" s="364"/>
      <c r="Q679" s="360"/>
      <c r="R679" s="377"/>
      <c r="S679" s="377"/>
      <c r="T679" s="375"/>
      <c r="U679" s="375"/>
      <c r="V679" s="375"/>
      <c r="W679" s="375"/>
      <c r="X679" s="375"/>
      <c r="Y679" s="375"/>
      <c r="Z679" s="375"/>
      <c r="AA679" s="375"/>
      <c r="AB679" s="375"/>
      <c r="AC679" s="375"/>
      <c r="AD679" s="375"/>
      <c r="AE679" s="375"/>
      <c r="AF679" s="375"/>
    </row>
    <row r="680">
      <c r="A680" s="360"/>
      <c r="B680" s="360"/>
      <c r="C680" s="377"/>
      <c r="D680" s="377"/>
      <c r="E680" s="378"/>
      <c r="F680" s="377"/>
      <c r="G680" s="377"/>
      <c r="H680" s="378"/>
      <c r="I680" s="360"/>
      <c r="J680" s="377"/>
      <c r="K680" s="377"/>
      <c r="L680" s="378"/>
      <c r="M680" s="377"/>
      <c r="N680" s="377"/>
      <c r="O680" s="377"/>
      <c r="P680" s="364"/>
      <c r="Q680" s="360"/>
      <c r="R680" s="377"/>
      <c r="S680" s="377"/>
      <c r="T680" s="375"/>
      <c r="U680" s="375"/>
      <c r="V680" s="375"/>
      <c r="W680" s="375"/>
      <c r="X680" s="375"/>
      <c r="Y680" s="375"/>
      <c r="Z680" s="375"/>
      <c r="AA680" s="375"/>
      <c r="AB680" s="375"/>
      <c r="AC680" s="375"/>
      <c r="AD680" s="375"/>
      <c r="AE680" s="375"/>
      <c r="AF680" s="375"/>
    </row>
    <row r="681">
      <c r="A681" s="360"/>
      <c r="B681" s="360"/>
      <c r="C681" s="377"/>
      <c r="D681" s="377"/>
      <c r="E681" s="378"/>
      <c r="F681" s="377"/>
      <c r="G681" s="377"/>
      <c r="H681" s="378"/>
      <c r="I681" s="360"/>
      <c r="J681" s="377"/>
      <c r="K681" s="377"/>
      <c r="L681" s="378"/>
      <c r="M681" s="377"/>
      <c r="N681" s="377"/>
      <c r="O681" s="377"/>
      <c r="P681" s="364"/>
      <c r="Q681" s="360"/>
      <c r="R681" s="377"/>
      <c r="S681" s="377"/>
      <c r="T681" s="375"/>
      <c r="U681" s="375"/>
      <c r="V681" s="375"/>
      <c r="W681" s="375"/>
      <c r="X681" s="375"/>
      <c r="Y681" s="375"/>
      <c r="Z681" s="375"/>
      <c r="AA681" s="375"/>
      <c r="AB681" s="375"/>
      <c r="AC681" s="375"/>
      <c r="AD681" s="375"/>
      <c r="AE681" s="375"/>
      <c r="AF681" s="375"/>
    </row>
    <row r="682">
      <c r="A682" s="360"/>
      <c r="B682" s="360"/>
      <c r="C682" s="377"/>
      <c r="D682" s="377"/>
      <c r="E682" s="378"/>
      <c r="F682" s="377"/>
      <c r="G682" s="377"/>
      <c r="H682" s="378"/>
      <c r="I682" s="360"/>
      <c r="J682" s="377"/>
      <c r="K682" s="377"/>
      <c r="L682" s="378"/>
      <c r="M682" s="377"/>
      <c r="N682" s="377"/>
      <c r="O682" s="377"/>
      <c r="P682" s="364"/>
      <c r="Q682" s="360"/>
      <c r="R682" s="377"/>
      <c r="S682" s="377"/>
      <c r="T682" s="375"/>
      <c r="U682" s="375"/>
      <c r="V682" s="375"/>
      <c r="W682" s="375"/>
      <c r="X682" s="375"/>
      <c r="Y682" s="375"/>
      <c r="Z682" s="375"/>
      <c r="AA682" s="375"/>
      <c r="AB682" s="375"/>
      <c r="AC682" s="375"/>
      <c r="AD682" s="375"/>
      <c r="AE682" s="375"/>
      <c r="AF682" s="375"/>
    </row>
    <row r="683">
      <c r="A683" s="360"/>
      <c r="B683" s="360"/>
      <c r="C683" s="377"/>
      <c r="D683" s="377"/>
      <c r="E683" s="378"/>
      <c r="F683" s="377"/>
      <c r="G683" s="377"/>
      <c r="H683" s="378"/>
      <c r="I683" s="360"/>
      <c r="J683" s="377"/>
      <c r="K683" s="377"/>
      <c r="L683" s="378"/>
      <c r="M683" s="377"/>
      <c r="N683" s="377"/>
      <c r="O683" s="377"/>
      <c r="P683" s="364"/>
      <c r="Q683" s="360"/>
      <c r="R683" s="377"/>
      <c r="S683" s="377"/>
      <c r="T683" s="375"/>
      <c r="U683" s="375"/>
      <c r="V683" s="375"/>
      <c r="W683" s="375"/>
      <c r="X683" s="375"/>
      <c r="Y683" s="375"/>
      <c r="Z683" s="375"/>
      <c r="AA683" s="375"/>
      <c r="AB683" s="375"/>
      <c r="AC683" s="375"/>
      <c r="AD683" s="375"/>
      <c r="AE683" s="375"/>
      <c r="AF683" s="375"/>
    </row>
    <row r="684">
      <c r="A684" s="360"/>
      <c r="B684" s="360"/>
      <c r="C684" s="377"/>
      <c r="D684" s="377"/>
      <c r="E684" s="378"/>
      <c r="F684" s="377"/>
      <c r="G684" s="377"/>
      <c r="H684" s="378"/>
      <c r="I684" s="360"/>
      <c r="J684" s="377"/>
      <c r="K684" s="377"/>
      <c r="L684" s="378"/>
      <c r="M684" s="377"/>
      <c r="N684" s="377"/>
      <c r="O684" s="377"/>
      <c r="P684" s="364"/>
      <c r="Q684" s="360"/>
      <c r="R684" s="377"/>
      <c r="S684" s="377"/>
      <c r="T684" s="375"/>
      <c r="U684" s="375"/>
      <c r="V684" s="375"/>
      <c r="W684" s="375"/>
      <c r="X684" s="375"/>
      <c r="Y684" s="375"/>
      <c r="Z684" s="375"/>
      <c r="AA684" s="375"/>
      <c r="AB684" s="375"/>
      <c r="AC684" s="375"/>
      <c r="AD684" s="375"/>
      <c r="AE684" s="375"/>
      <c r="AF684" s="375"/>
    </row>
    <row r="685">
      <c r="A685" s="360"/>
      <c r="B685" s="360"/>
      <c r="C685" s="377"/>
      <c r="D685" s="377"/>
      <c r="E685" s="378"/>
      <c r="F685" s="377"/>
      <c r="G685" s="377"/>
      <c r="H685" s="378"/>
      <c r="I685" s="360"/>
      <c r="J685" s="377"/>
      <c r="K685" s="377"/>
      <c r="L685" s="378"/>
      <c r="M685" s="377"/>
      <c r="N685" s="377"/>
      <c r="O685" s="377"/>
      <c r="P685" s="364"/>
      <c r="Q685" s="360"/>
      <c r="R685" s="377"/>
      <c r="S685" s="377"/>
      <c r="T685" s="375"/>
      <c r="U685" s="375"/>
      <c r="V685" s="375"/>
      <c r="W685" s="375"/>
      <c r="X685" s="375"/>
      <c r="Y685" s="375"/>
      <c r="Z685" s="375"/>
      <c r="AA685" s="375"/>
      <c r="AB685" s="375"/>
      <c r="AC685" s="375"/>
      <c r="AD685" s="375"/>
      <c r="AE685" s="375"/>
      <c r="AF685" s="375"/>
    </row>
    <row r="686">
      <c r="A686" s="360"/>
      <c r="B686" s="360"/>
      <c r="C686" s="377"/>
      <c r="D686" s="377"/>
      <c r="E686" s="378"/>
      <c r="F686" s="377"/>
      <c r="G686" s="377"/>
      <c r="H686" s="378"/>
      <c r="I686" s="360"/>
      <c r="J686" s="377"/>
      <c r="K686" s="377"/>
      <c r="L686" s="378"/>
      <c r="M686" s="377"/>
      <c r="N686" s="377"/>
      <c r="O686" s="377"/>
      <c r="P686" s="364"/>
      <c r="Q686" s="360"/>
      <c r="R686" s="377"/>
      <c r="S686" s="377"/>
      <c r="T686" s="375"/>
      <c r="U686" s="375"/>
      <c r="V686" s="375"/>
      <c r="W686" s="375"/>
      <c r="X686" s="375"/>
      <c r="Y686" s="375"/>
      <c r="Z686" s="375"/>
      <c r="AA686" s="375"/>
      <c r="AB686" s="375"/>
      <c r="AC686" s="375"/>
      <c r="AD686" s="375"/>
      <c r="AE686" s="375"/>
      <c r="AF686" s="375"/>
    </row>
    <row r="687">
      <c r="A687" s="360"/>
      <c r="B687" s="360"/>
      <c r="C687" s="377"/>
      <c r="D687" s="377"/>
      <c r="E687" s="378"/>
      <c r="F687" s="377"/>
      <c r="G687" s="377"/>
      <c r="H687" s="378"/>
      <c r="I687" s="360"/>
      <c r="J687" s="377"/>
      <c r="K687" s="377"/>
      <c r="L687" s="378"/>
      <c r="M687" s="377"/>
      <c r="N687" s="377"/>
      <c r="O687" s="377"/>
      <c r="P687" s="364"/>
      <c r="Q687" s="360"/>
      <c r="R687" s="377"/>
      <c r="S687" s="377"/>
      <c r="T687" s="375"/>
      <c r="U687" s="375"/>
      <c r="V687" s="375"/>
      <c r="W687" s="375"/>
      <c r="X687" s="375"/>
      <c r="Y687" s="375"/>
      <c r="Z687" s="375"/>
      <c r="AA687" s="375"/>
      <c r="AB687" s="375"/>
      <c r="AC687" s="375"/>
      <c r="AD687" s="375"/>
      <c r="AE687" s="375"/>
      <c r="AF687" s="375"/>
    </row>
    <row r="688">
      <c r="A688" s="360"/>
      <c r="B688" s="360"/>
      <c r="C688" s="377"/>
      <c r="D688" s="377"/>
      <c r="E688" s="378"/>
      <c r="F688" s="377"/>
      <c r="G688" s="377"/>
      <c r="H688" s="378"/>
      <c r="I688" s="360"/>
      <c r="J688" s="377"/>
      <c r="K688" s="377"/>
      <c r="L688" s="378"/>
      <c r="M688" s="377"/>
      <c r="N688" s="377"/>
      <c r="O688" s="377"/>
      <c r="P688" s="364"/>
      <c r="Q688" s="360"/>
      <c r="R688" s="377"/>
      <c r="S688" s="377"/>
      <c r="T688" s="375"/>
      <c r="U688" s="375"/>
      <c r="V688" s="375"/>
      <c r="W688" s="375"/>
      <c r="X688" s="375"/>
      <c r="Y688" s="375"/>
      <c r="Z688" s="375"/>
      <c r="AA688" s="375"/>
      <c r="AB688" s="375"/>
      <c r="AC688" s="375"/>
      <c r="AD688" s="375"/>
      <c r="AE688" s="375"/>
      <c r="AF688" s="375"/>
    </row>
    <row r="689">
      <c r="A689" s="360"/>
      <c r="B689" s="360"/>
      <c r="C689" s="377"/>
      <c r="D689" s="377"/>
      <c r="E689" s="378"/>
      <c r="F689" s="377"/>
      <c r="G689" s="377"/>
      <c r="H689" s="378"/>
      <c r="I689" s="360"/>
      <c r="J689" s="377"/>
      <c r="K689" s="377"/>
      <c r="L689" s="378"/>
      <c r="M689" s="377"/>
      <c r="N689" s="377"/>
      <c r="O689" s="377"/>
      <c r="P689" s="364"/>
      <c r="Q689" s="360"/>
      <c r="R689" s="377"/>
      <c r="S689" s="377"/>
      <c r="T689" s="375"/>
      <c r="U689" s="375"/>
      <c r="V689" s="375"/>
      <c r="W689" s="375"/>
      <c r="X689" s="375"/>
      <c r="Y689" s="375"/>
      <c r="Z689" s="375"/>
      <c r="AA689" s="375"/>
      <c r="AB689" s="375"/>
      <c r="AC689" s="375"/>
      <c r="AD689" s="375"/>
      <c r="AE689" s="375"/>
      <c r="AF689" s="375"/>
    </row>
    <row r="690">
      <c r="A690" s="360"/>
      <c r="B690" s="360"/>
      <c r="C690" s="377"/>
      <c r="D690" s="377"/>
      <c r="E690" s="378"/>
      <c r="F690" s="377"/>
      <c r="G690" s="377"/>
      <c r="H690" s="378"/>
      <c r="I690" s="360"/>
      <c r="J690" s="377"/>
      <c r="K690" s="377"/>
      <c r="L690" s="378"/>
      <c r="M690" s="377"/>
      <c r="N690" s="377"/>
      <c r="O690" s="377"/>
      <c r="P690" s="364"/>
      <c r="Q690" s="360"/>
      <c r="R690" s="377"/>
      <c r="S690" s="377"/>
      <c r="T690" s="375"/>
      <c r="U690" s="375"/>
      <c r="V690" s="375"/>
      <c r="W690" s="375"/>
      <c r="X690" s="375"/>
      <c r="Y690" s="375"/>
      <c r="Z690" s="375"/>
      <c r="AA690" s="375"/>
      <c r="AB690" s="375"/>
      <c r="AC690" s="375"/>
      <c r="AD690" s="375"/>
      <c r="AE690" s="375"/>
      <c r="AF690" s="375"/>
    </row>
    <row r="691">
      <c r="A691" s="360"/>
      <c r="B691" s="360"/>
      <c r="C691" s="377"/>
      <c r="D691" s="377"/>
      <c r="E691" s="378"/>
      <c r="F691" s="377"/>
      <c r="G691" s="377"/>
      <c r="H691" s="378"/>
      <c r="I691" s="360"/>
      <c r="J691" s="377"/>
      <c r="K691" s="377"/>
      <c r="L691" s="378"/>
      <c r="M691" s="377"/>
      <c r="N691" s="377"/>
      <c r="O691" s="377"/>
      <c r="P691" s="364"/>
      <c r="Q691" s="360"/>
      <c r="R691" s="377"/>
      <c r="S691" s="377"/>
      <c r="T691" s="375"/>
      <c r="U691" s="375"/>
      <c r="V691" s="375"/>
      <c r="W691" s="375"/>
      <c r="X691" s="375"/>
      <c r="Y691" s="375"/>
      <c r="Z691" s="375"/>
      <c r="AA691" s="375"/>
      <c r="AB691" s="375"/>
      <c r="AC691" s="375"/>
      <c r="AD691" s="375"/>
      <c r="AE691" s="375"/>
      <c r="AF691" s="375"/>
    </row>
    <row r="692">
      <c r="A692" s="360"/>
      <c r="B692" s="360"/>
      <c r="C692" s="377"/>
      <c r="D692" s="377"/>
      <c r="E692" s="378"/>
      <c r="F692" s="377"/>
      <c r="G692" s="377"/>
      <c r="H692" s="378"/>
      <c r="I692" s="360"/>
      <c r="J692" s="377"/>
      <c r="K692" s="377"/>
      <c r="L692" s="378"/>
      <c r="M692" s="377"/>
      <c r="N692" s="377"/>
      <c r="O692" s="377"/>
      <c r="P692" s="364"/>
      <c r="Q692" s="360"/>
      <c r="R692" s="377"/>
      <c r="S692" s="377"/>
      <c r="T692" s="375"/>
      <c r="U692" s="375"/>
      <c r="V692" s="375"/>
      <c r="W692" s="375"/>
      <c r="X692" s="375"/>
      <c r="Y692" s="375"/>
      <c r="Z692" s="375"/>
      <c r="AA692" s="375"/>
      <c r="AB692" s="375"/>
      <c r="AC692" s="375"/>
      <c r="AD692" s="375"/>
      <c r="AE692" s="375"/>
      <c r="AF692" s="375"/>
    </row>
    <row r="693">
      <c r="A693" s="360"/>
      <c r="B693" s="360"/>
      <c r="C693" s="377"/>
      <c r="D693" s="377"/>
      <c r="E693" s="378"/>
      <c r="F693" s="377"/>
      <c r="G693" s="377"/>
      <c r="H693" s="378"/>
      <c r="I693" s="360"/>
      <c r="J693" s="377"/>
      <c r="K693" s="377"/>
      <c r="L693" s="378"/>
      <c r="M693" s="377"/>
      <c r="N693" s="377"/>
      <c r="O693" s="377"/>
      <c r="P693" s="364"/>
      <c r="Q693" s="360"/>
      <c r="R693" s="377"/>
      <c r="S693" s="377"/>
      <c r="T693" s="375"/>
      <c r="U693" s="375"/>
      <c r="V693" s="375"/>
      <c r="W693" s="375"/>
      <c r="X693" s="375"/>
      <c r="Y693" s="375"/>
      <c r="Z693" s="375"/>
      <c r="AA693" s="375"/>
      <c r="AB693" s="375"/>
      <c r="AC693" s="375"/>
      <c r="AD693" s="375"/>
      <c r="AE693" s="375"/>
      <c r="AF693" s="375"/>
    </row>
    <row r="694">
      <c r="A694" s="360"/>
      <c r="B694" s="360"/>
      <c r="C694" s="377"/>
      <c r="D694" s="377"/>
      <c r="E694" s="378"/>
      <c r="F694" s="377"/>
      <c r="G694" s="377"/>
      <c r="H694" s="378"/>
      <c r="I694" s="360"/>
      <c r="J694" s="377"/>
      <c r="K694" s="377"/>
      <c r="L694" s="378"/>
      <c r="M694" s="377"/>
      <c r="N694" s="377"/>
      <c r="O694" s="377"/>
      <c r="P694" s="364"/>
      <c r="Q694" s="360"/>
      <c r="R694" s="377"/>
      <c r="S694" s="377"/>
      <c r="T694" s="375"/>
      <c r="U694" s="375"/>
      <c r="V694" s="375"/>
      <c r="W694" s="375"/>
      <c r="X694" s="375"/>
      <c r="Y694" s="375"/>
      <c r="Z694" s="375"/>
      <c r="AA694" s="375"/>
      <c r="AB694" s="375"/>
      <c r="AC694" s="375"/>
      <c r="AD694" s="375"/>
      <c r="AE694" s="375"/>
      <c r="AF694" s="375"/>
    </row>
    <row r="695">
      <c r="A695" s="360"/>
      <c r="B695" s="360"/>
      <c r="C695" s="377"/>
      <c r="D695" s="377"/>
      <c r="E695" s="378"/>
      <c r="F695" s="377"/>
      <c r="G695" s="377"/>
      <c r="H695" s="378"/>
      <c r="I695" s="360"/>
      <c r="J695" s="377"/>
      <c r="K695" s="377"/>
      <c r="L695" s="378"/>
      <c r="M695" s="377"/>
      <c r="N695" s="377"/>
      <c r="O695" s="377"/>
      <c r="P695" s="364"/>
      <c r="Q695" s="360"/>
      <c r="R695" s="377"/>
      <c r="S695" s="377"/>
      <c r="T695" s="375"/>
      <c r="U695" s="375"/>
      <c r="V695" s="375"/>
      <c r="W695" s="375"/>
      <c r="X695" s="375"/>
      <c r="Y695" s="375"/>
      <c r="Z695" s="375"/>
      <c r="AA695" s="375"/>
      <c r="AB695" s="375"/>
      <c r="AC695" s="375"/>
      <c r="AD695" s="375"/>
      <c r="AE695" s="375"/>
      <c r="AF695" s="375"/>
    </row>
    <row r="696">
      <c r="A696" s="360"/>
      <c r="B696" s="360"/>
      <c r="C696" s="377"/>
      <c r="D696" s="377"/>
      <c r="E696" s="378"/>
      <c r="F696" s="377"/>
      <c r="G696" s="377"/>
      <c r="H696" s="378"/>
      <c r="I696" s="360"/>
      <c r="J696" s="377"/>
      <c r="K696" s="377"/>
      <c r="L696" s="378"/>
      <c r="M696" s="377"/>
      <c r="N696" s="377"/>
      <c r="O696" s="377"/>
      <c r="P696" s="364"/>
      <c r="Q696" s="360"/>
      <c r="R696" s="377"/>
      <c r="S696" s="377"/>
      <c r="T696" s="375"/>
      <c r="U696" s="375"/>
      <c r="V696" s="375"/>
      <c r="W696" s="375"/>
      <c r="X696" s="375"/>
      <c r="Y696" s="375"/>
      <c r="Z696" s="375"/>
      <c r="AA696" s="375"/>
      <c r="AB696" s="375"/>
      <c r="AC696" s="375"/>
      <c r="AD696" s="375"/>
      <c r="AE696" s="375"/>
      <c r="AF696" s="375"/>
    </row>
    <row r="697">
      <c r="A697" s="360"/>
      <c r="B697" s="360"/>
      <c r="C697" s="377"/>
      <c r="D697" s="377"/>
      <c r="E697" s="378"/>
      <c r="F697" s="377"/>
      <c r="G697" s="377"/>
      <c r="H697" s="378"/>
      <c r="I697" s="360"/>
      <c r="J697" s="377"/>
      <c r="K697" s="377"/>
      <c r="L697" s="378"/>
      <c r="M697" s="377"/>
      <c r="N697" s="377"/>
      <c r="O697" s="377"/>
      <c r="P697" s="364"/>
      <c r="Q697" s="360"/>
      <c r="R697" s="377"/>
      <c r="S697" s="377"/>
      <c r="T697" s="375"/>
      <c r="U697" s="375"/>
      <c r="V697" s="375"/>
      <c r="W697" s="375"/>
      <c r="X697" s="375"/>
      <c r="Y697" s="375"/>
      <c r="Z697" s="375"/>
      <c r="AA697" s="375"/>
      <c r="AB697" s="375"/>
      <c r="AC697" s="375"/>
      <c r="AD697" s="375"/>
      <c r="AE697" s="375"/>
      <c r="AF697" s="375"/>
    </row>
    <row r="698">
      <c r="A698" s="360"/>
      <c r="B698" s="360"/>
      <c r="C698" s="377"/>
      <c r="D698" s="377"/>
      <c r="E698" s="378"/>
      <c r="F698" s="377"/>
      <c r="G698" s="377"/>
      <c r="H698" s="378"/>
      <c r="I698" s="360"/>
      <c r="J698" s="377"/>
      <c r="K698" s="377"/>
      <c r="L698" s="378"/>
      <c r="M698" s="377"/>
      <c r="N698" s="377"/>
      <c r="O698" s="377"/>
      <c r="P698" s="364"/>
      <c r="Q698" s="360"/>
      <c r="R698" s="377"/>
      <c r="S698" s="377"/>
      <c r="T698" s="375"/>
      <c r="U698" s="375"/>
      <c r="V698" s="375"/>
      <c r="W698" s="375"/>
      <c r="X698" s="375"/>
      <c r="Y698" s="375"/>
      <c r="Z698" s="375"/>
      <c r="AA698" s="375"/>
      <c r="AB698" s="375"/>
      <c r="AC698" s="375"/>
      <c r="AD698" s="375"/>
      <c r="AE698" s="375"/>
      <c r="AF698" s="375"/>
    </row>
    <row r="699">
      <c r="A699" s="360"/>
      <c r="B699" s="360"/>
      <c r="C699" s="377"/>
      <c r="D699" s="377"/>
      <c r="E699" s="378"/>
      <c r="F699" s="377"/>
      <c r="G699" s="377"/>
      <c r="H699" s="378"/>
      <c r="I699" s="360"/>
      <c r="J699" s="377"/>
      <c r="K699" s="377"/>
      <c r="L699" s="378"/>
      <c r="M699" s="377"/>
      <c r="N699" s="377"/>
      <c r="O699" s="377"/>
      <c r="P699" s="364"/>
      <c r="Q699" s="360"/>
      <c r="R699" s="377"/>
      <c r="S699" s="377"/>
      <c r="T699" s="375"/>
      <c r="U699" s="375"/>
      <c r="V699" s="375"/>
      <c r="W699" s="375"/>
      <c r="X699" s="375"/>
      <c r="Y699" s="375"/>
      <c r="Z699" s="375"/>
      <c r="AA699" s="375"/>
      <c r="AB699" s="375"/>
      <c r="AC699" s="375"/>
      <c r="AD699" s="375"/>
      <c r="AE699" s="375"/>
      <c r="AF699" s="375"/>
    </row>
    <row r="700">
      <c r="A700" s="360"/>
      <c r="B700" s="360"/>
      <c r="C700" s="377"/>
      <c r="D700" s="377"/>
      <c r="E700" s="378"/>
      <c r="F700" s="377"/>
      <c r="G700" s="377"/>
      <c r="H700" s="378"/>
      <c r="I700" s="360"/>
      <c r="J700" s="377"/>
      <c r="K700" s="377"/>
      <c r="L700" s="378"/>
      <c r="M700" s="377"/>
      <c r="N700" s="377"/>
      <c r="O700" s="377"/>
      <c r="P700" s="364"/>
      <c r="Q700" s="360"/>
      <c r="R700" s="377"/>
      <c r="S700" s="377"/>
      <c r="T700" s="375"/>
      <c r="U700" s="375"/>
      <c r="V700" s="375"/>
      <c r="W700" s="375"/>
      <c r="X700" s="375"/>
      <c r="Y700" s="375"/>
      <c r="Z700" s="375"/>
      <c r="AA700" s="375"/>
      <c r="AB700" s="375"/>
      <c r="AC700" s="375"/>
      <c r="AD700" s="375"/>
      <c r="AE700" s="375"/>
      <c r="AF700" s="375"/>
    </row>
    <row r="701">
      <c r="A701" s="360"/>
      <c r="B701" s="360"/>
      <c r="C701" s="377"/>
      <c r="D701" s="377"/>
      <c r="E701" s="378"/>
      <c r="F701" s="377"/>
      <c r="G701" s="377"/>
      <c r="H701" s="378"/>
      <c r="I701" s="360"/>
      <c r="J701" s="377"/>
      <c r="K701" s="377"/>
      <c r="L701" s="378"/>
      <c r="M701" s="377"/>
      <c r="N701" s="377"/>
      <c r="O701" s="377"/>
      <c r="P701" s="364"/>
      <c r="Q701" s="360"/>
      <c r="R701" s="377"/>
      <c r="S701" s="377"/>
      <c r="T701" s="375"/>
      <c r="U701" s="375"/>
      <c r="V701" s="375"/>
      <c r="W701" s="375"/>
      <c r="X701" s="375"/>
      <c r="Y701" s="375"/>
      <c r="Z701" s="375"/>
      <c r="AA701" s="375"/>
      <c r="AB701" s="375"/>
      <c r="AC701" s="375"/>
      <c r="AD701" s="375"/>
      <c r="AE701" s="375"/>
      <c r="AF701" s="375"/>
    </row>
    <row r="702">
      <c r="A702" s="360"/>
      <c r="B702" s="360"/>
      <c r="C702" s="377"/>
      <c r="D702" s="377"/>
      <c r="E702" s="378"/>
      <c r="F702" s="377"/>
      <c r="G702" s="377"/>
      <c r="H702" s="378"/>
      <c r="I702" s="360"/>
      <c r="J702" s="377"/>
      <c r="K702" s="377"/>
      <c r="L702" s="378"/>
      <c r="M702" s="377"/>
      <c r="N702" s="377"/>
      <c r="O702" s="377"/>
      <c r="P702" s="364"/>
      <c r="Q702" s="360"/>
      <c r="R702" s="377"/>
      <c r="S702" s="377"/>
      <c r="T702" s="375"/>
      <c r="U702" s="375"/>
      <c r="V702" s="375"/>
      <c r="W702" s="375"/>
      <c r="X702" s="375"/>
      <c r="Y702" s="375"/>
      <c r="Z702" s="375"/>
      <c r="AA702" s="375"/>
      <c r="AB702" s="375"/>
      <c r="AC702" s="375"/>
      <c r="AD702" s="375"/>
      <c r="AE702" s="375"/>
      <c r="AF702" s="375"/>
    </row>
    <row r="703">
      <c r="A703" s="360"/>
      <c r="B703" s="360"/>
      <c r="C703" s="377"/>
      <c r="D703" s="377"/>
      <c r="E703" s="378"/>
      <c r="F703" s="377"/>
      <c r="G703" s="377"/>
      <c r="H703" s="378"/>
      <c r="I703" s="360"/>
      <c r="J703" s="377"/>
      <c r="K703" s="377"/>
      <c r="L703" s="378"/>
      <c r="M703" s="377"/>
      <c r="N703" s="377"/>
      <c r="O703" s="377"/>
      <c r="P703" s="364"/>
      <c r="Q703" s="360"/>
      <c r="R703" s="377"/>
      <c r="S703" s="377"/>
      <c r="T703" s="375"/>
      <c r="U703" s="375"/>
      <c r="V703" s="375"/>
      <c r="W703" s="375"/>
      <c r="X703" s="375"/>
      <c r="Y703" s="375"/>
      <c r="Z703" s="375"/>
      <c r="AA703" s="375"/>
      <c r="AB703" s="375"/>
      <c r="AC703" s="375"/>
      <c r="AD703" s="375"/>
      <c r="AE703" s="375"/>
      <c r="AF703" s="375"/>
    </row>
    <row r="704">
      <c r="A704" s="360"/>
      <c r="B704" s="360"/>
      <c r="C704" s="377"/>
      <c r="D704" s="377"/>
      <c r="E704" s="378"/>
      <c r="F704" s="377"/>
      <c r="G704" s="377"/>
      <c r="H704" s="378"/>
      <c r="I704" s="360"/>
      <c r="J704" s="377"/>
      <c r="K704" s="377"/>
      <c r="L704" s="378"/>
      <c r="M704" s="377"/>
      <c r="N704" s="377"/>
      <c r="O704" s="377"/>
      <c r="P704" s="364"/>
      <c r="Q704" s="360"/>
      <c r="R704" s="377"/>
      <c r="S704" s="377"/>
      <c r="T704" s="375"/>
      <c r="U704" s="375"/>
      <c r="V704" s="375"/>
      <c r="W704" s="375"/>
      <c r="X704" s="375"/>
      <c r="Y704" s="375"/>
      <c r="Z704" s="375"/>
      <c r="AA704" s="375"/>
      <c r="AB704" s="375"/>
      <c r="AC704" s="375"/>
      <c r="AD704" s="375"/>
      <c r="AE704" s="375"/>
      <c r="AF704" s="375"/>
    </row>
    <row r="705">
      <c r="A705" s="360"/>
      <c r="B705" s="360"/>
      <c r="C705" s="377"/>
      <c r="D705" s="377"/>
      <c r="E705" s="378"/>
      <c r="F705" s="377"/>
      <c r="G705" s="377"/>
      <c r="H705" s="378"/>
      <c r="I705" s="360"/>
      <c r="J705" s="377"/>
      <c r="K705" s="377"/>
      <c r="L705" s="378"/>
      <c r="M705" s="377"/>
      <c r="N705" s="377"/>
      <c r="O705" s="377"/>
      <c r="P705" s="364"/>
      <c r="Q705" s="360"/>
      <c r="R705" s="377"/>
      <c r="S705" s="377"/>
      <c r="T705" s="375"/>
      <c r="U705" s="375"/>
      <c r="V705" s="375"/>
      <c r="W705" s="375"/>
      <c r="X705" s="375"/>
      <c r="Y705" s="375"/>
      <c r="Z705" s="375"/>
      <c r="AA705" s="375"/>
      <c r="AB705" s="375"/>
      <c r="AC705" s="375"/>
      <c r="AD705" s="375"/>
      <c r="AE705" s="375"/>
      <c r="AF705" s="375"/>
    </row>
    <row r="706">
      <c r="A706" s="360"/>
      <c r="B706" s="360"/>
      <c r="C706" s="377"/>
      <c r="D706" s="377"/>
      <c r="E706" s="378"/>
      <c r="F706" s="377"/>
      <c r="G706" s="377"/>
      <c r="H706" s="378"/>
      <c r="I706" s="360"/>
      <c r="J706" s="377"/>
      <c r="K706" s="377"/>
      <c r="L706" s="378"/>
      <c r="M706" s="377"/>
      <c r="N706" s="377"/>
      <c r="O706" s="377"/>
      <c r="P706" s="364"/>
      <c r="Q706" s="360"/>
      <c r="R706" s="377"/>
      <c r="S706" s="377"/>
      <c r="T706" s="375"/>
      <c r="U706" s="375"/>
      <c r="V706" s="375"/>
      <c r="W706" s="375"/>
      <c r="X706" s="375"/>
      <c r="Y706" s="375"/>
      <c r="Z706" s="375"/>
      <c r="AA706" s="375"/>
      <c r="AB706" s="375"/>
      <c r="AC706" s="375"/>
      <c r="AD706" s="375"/>
      <c r="AE706" s="375"/>
      <c r="AF706" s="375"/>
    </row>
    <row r="707">
      <c r="A707" s="360"/>
      <c r="B707" s="360"/>
      <c r="C707" s="377"/>
      <c r="D707" s="377"/>
      <c r="E707" s="378"/>
      <c r="F707" s="377"/>
      <c r="G707" s="377"/>
      <c r="H707" s="378"/>
      <c r="I707" s="360"/>
      <c r="J707" s="377"/>
      <c r="K707" s="377"/>
      <c r="L707" s="378"/>
      <c r="M707" s="377"/>
      <c r="N707" s="377"/>
      <c r="O707" s="377"/>
      <c r="P707" s="364"/>
      <c r="Q707" s="360"/>
      <c r="R707" s="377"/>
      <c r="S707" s="377"/>
      <c r="T707" s="375"/>
      <c r="U707" s="375"/>
      <c r="V707" s="375"/>
      <c r="W707" s="375"/>
      <c r="X707" s="375"/>
      <c r="Y707" s="375"/>
      <c r="Z707" s="375"/>
      <c r="AA707" s="375"/>
      <c r="AB707" s="375"/>
      <c r="AC707" s="375"/>
      <c r="AD707" s="375"/>
      <c r="AE707" s="375"/>
      <c r="AF707" s="375"/>
    </row>
    <row r="708">
      <c r="A708" s="360"/>
      <c r="B708" s="360"/>
      <c r="C708" s="377"/>
      <c r="D708" s="377"/>
      <c r="E708" s="378"/>
      <c r="F708" s="377"/>
      <c r="G708" s="377"/>
      <c r="H708" s="378"/>
      <c r="I708" s="360"/>
      <c r="J708" s="377"/>
      <c r="K708" s="377"/>
      <c r="L708" s="378"/>
      <c r="M708" s="377"/>
      <c r="N708" s="377"/>
      <c r="O708" s="377"/>
      <c r="P708" s="364"/>
      <c r="Q708" s="360"/>
      <c r="R708" s="377"/>
      <c r="S708" s="377"/>
      <c r="T708" s="375"/>
      <c r="U708" s="375"/>
      <c r="V708" s="375"/>
      <c r="W708" s="375"/>
      <c r="X708" s="375"/>
      <c r="Y708" s="375"/>
      <c r="Z708" s="375"/>
      <c r="AA708" s="375"/>
      <c r="AB708" s="375"/>
      <c r="AC708" s="375"/>
      <c r="AD708" s="375"/>
      <c r="AE708" s="375"/>
      <c r="AF708" s="375"/>
    </row>
    <row r="709">
      <c r="A709" s="360"/>
      <c r="B709" s="360"/>
      <c r="C709" s="377"/>
      <c r="D709" s="377"/>
      <c r="E709" s="378"/>
      <c r="F709" s="377"/>
      <c r="G709" s="377"/>
      <c r="H709" s="378"/>
      <c r="I709" s="360"/>
      <c r="J709" s="377"/>
      <c r="K709" s="377"/>
      <c r="L709" s="378"/>
      <c r="M709" s="377"/>
      <c r="N709" s="377"/>
      <c r="O709" s="377"/>
      <c r="P709" s="364"/>
      <c r="Q709" s="360"/>
      <c r="R709" s="377"/>
      <c r="S709" s="377"/>
      <c r="T709" s="375"/>
      <c r="U709" s="375"/>
      <c r="V709" s="375"/>
      <c r="W709" s="375"/>
      <c r="X709" s="375"/>
      <c r="Y709" s="375"/>
      <c r="Z709" s="375"/>
      <c r="AA709" s="375"/>
      <c r="AB709" s="375"/>
      <c r="AC709" s="375"/>
      <c r="AD709" s="375"/>
      <c r="AE709" s="375"/>
      <c r="AF709" s="375"/>
    </row>
    <row r="710">
      <c r="A710" s="360"/>
      <c r="B710" s="360"/>
      <c r="C710" s="377"/>
      <c r="D710" s="377"/>
      <c r="E710" s="378"/>
      <c r="F710" s="377"/>
      <c r="G710" s="377"/>
      <c r="H710" s="378"/>
      <c r="I710" s="360"/>
      <c r="J710" s="377"/>
      <c r="K710" s="377"/>
      <c r="L710" s="378"/>
      <c r="M710" s="377"/>
      <c r="N710" s="377"/>
      <c r="O710" s="377"/>
      <c r="P710" s="364"/>
      <c r="Q710" s="360"/>
      <c r="R710" s="377"/>
      <c r="S710" s="377"/>
      <c r="T710" s="375"/>
      <c r="U710" s="375"/>
      <c r="V710" s="375"/>
      <c r="W710" s="375"/>
      <c r="X710" s="375"/>
      <c r="Y710" s="375"/>
      <c r="Z710" s="375"/>
      <c r="AA710" s="375"/>
      <c r="AB710" s="375"/>
      <c r="AC710" s="375"/>
      <c r="AD710" s="375"/>
      <c r="AE710" s="375"/>
      <c r="AF710" s="375"/>
    </row>
    <row r="711">
      <c r="A711" s="360"/>
      <c r="B711" s="360"/>
      <c r="C711" s="377"/>
      <c r="D711" s="377"/>
      <c r="E711" s="378"/>
      <c r="F711" s="377"/>
      <c r="G711" s="377"/>
      <c r="H711" s="378"/>
      <c r="I711" s="360"/>
      <c r="J711" s="377"/>
      <c r="K711" s="377"/>
      <c r="L711" s="378"/>
      <c r="M711" s="377"/>
      <c r="N711" s="377"/>
      <c r="O711" s="377"/>
      <c r="P711" s="364"/>
      <c r="Q711" s="360"/>
      <c r="R711" s="377"/>
      <c r="S711" s="377"/>
      <c r="T711" s="375"/>
      <c r="U711" s="375"/>
      <c r="V711" s="375"/>
      <c r="W711" s="375"/>
      <c r="X711" s="375"/>
      <c r="Y711" s="375"/>
      <c r="Z711" s="375"/>
      <c r="AA711" s="375"/>
      <c r="AB711" s="375"/>
      <c r="AC711" s="375"/>
      <c r="AD711" s="375"/>
      <c r="AE711" s="375"/>
      <c r="AF711" s="375"/>
    </row>
    <row r="712">
      <c r="A712" s="360"/>
      <c r="B712" s="360"/>
      <c r="C712" s="377"/>
      <c r="D712" s="377"/>
      <c r="E712" s="378"/>
      <c r="F712" s="377"/>
      <c r="G712" s="377"/>
      <c r="H712" s="378"/>
      <c r="I712" s="360"/>
      <c r="J712" s="377"/>
      <c r="K712" s="377"/>
      <c r="L712" s="378"/>
      <c r="M712" s="377"/>
      <c r="N712" s="377"/>
      <c r="O712" s="377"/>
      <c r="P712" s="364"/>
      <c r="Q712" s="360"/>
      <c r="R712" s="377"/>
      <c r="S712" s="377"/>
      <c r="T712" s="375"/>
      <c r="U712" s="375"/>
      <c r="V712" s="375"/>
      <c r="W712" s="375"/>
      <c r="X712" s="375"/>
      <c r="Y712" s="375"/>
      <c r="Z712" s="375"/>
      <c r="AA712" s="375"/>
      <c r="AB712" s="375"/>
      <c r="AC712" s="375"/>
      <c r="AD712" s="375"/>
      <c r="AE712" s="375"/>
      <c r="AF712" s="375"/>
    </row>
    <row r="713">
      <c r="A713" s="360"/>
      <c r="B713" s="360"/>
      <c r="C713" s="377"/>
      <c r="D713" s="377"/>
      <c r="E713" s="378"/>
      <c r="F713" s="377"/>
      <c r="G713" s="377"/>
      <c r="H713" s="378"/>
      <c r="I713" s="360"/>
      <c r="J713" s="377"/>
      <c r="K713" s="377"/>
      <c r="L713" s="378"/>
      <c r="M713" s="377"/>
      <c r="N713" s="377"/>
      <c r="O713" s="377"/>
      <c r="P713" s="364"/>
      <c r="Q713" s="360"/>
      <c r="R713" s="377"/>
      <c r="S713" s="377"/>
      <c r="T713" s="375"/>
      <c r="U713" s="375"/>
      <c r="V713" s="375"/>
      <c r="W713" s="375"/>
      <c r="X713" s="375"/>
      <c r="Y713" s="375"/>
      <c r="Z713" s="375"/>
      <c r="AA713" s="375"/>
      <c r="AB713" s="375"/>
      <c r="AC713" s="375"/>
      <c r="AD713" s="375"/>
      <c r="AE713" s="375"/>
      <c r="AF713" s="375"/>
    </row>
    <row r="714">
      <c r="A714" s="360"/>
      <c r="B714" s="360"/>
      <c r="C714" s="377"/>
      <c r="D714" s="377"/>
      <c r="E714" s="378"/>
      <c r="F714" s="377"/>
      <c r="G714" s="377"/>
      <c r="H714" s="378"/>
      <c r="I714" s="360"/>
      <c r="J714" s="377"/>
      <c r="K714" s="377"/>
      <c r="L714" s="378"/>
      <c r="M714" s="377"/>
      <c r="N714" s="377"/>
      <c r="O714" s="377"/>
      <c r="P714" s="364"/>
      <c r="Q714" s="360"/>
      <c r="R714" s="377"/>
      <c r="S714" s="377"/>
      <c r="T714" s="375"/>
      <c r="U714" s="375"/>
      <c r="V714" s="375"/>
      <c r="W714" s="375"/>
      <c r="X714" s="375"/>
      <c r="Y714" s="375"/>
      <c r="Z714" s="375"/>
      <c r="AA714" s="375"/>
      <c r="AB714" s="375"/>
      <c r="AC714" s="375"/>
      <c r="AD714" s="375"/>
      <c r="AE714" s="375"/>
      <c r="AF714" s="375"/>
    </row>
    <row r="715">
      <c r="A715" s="360"/>
      <c r="B715" s="360"/>
      <c r="C715" s="377"/>
      <c r="D715" s="377"/>
      <c r="E715" s="378"/>
      <c r="F715" s="377"/>
      <c r="G715" s="377"/>
      <c r="H715" s="378"/>
      <c r="I715" s="360"/>
      <c r="J715" s="377"/>
      <c r="K715" s="377"/>
      <c r="L715" s="378"/>
      <c r="M715" s="377"/>
      <c r="N715" s="377"/>
      <c r="O715" s="377"/>
      <c r="P715" s="364"/>
      <c r="Q715" s="360"/>
      <c r="R715" s="377"/>
      <c r="S715" s="377"/>
      <c r="T715" s="375"/>
      <c r="U715" s="375"/>
      <c r="V715" s="375"/>
      <c r="W715" s="375"/>
      <c r="X715" s="375"/>
      <c r="Y715" s="375"/>
      <c r="Z715" s="375"/>
      <c r="AA715" s="375"/>
      <c r="AB715" s="375"/>
      <c r="AC715" s="375"/>
      <c r="AD715" s="375"/>
      <c r="AE715" s="375"/>
      <c r="AF715" s="375"/>
    </row>
    <row r="716">
      <c r="A716" s="360"/>
      <c r="B716" s="360"/>
      <c r="C716" s="377"/>
      <c r="D716" s="377"/>
      <c r="E716" s="378"/>
      <c r="F716" s="377"/>
      <c r="G716" s="377"/>
      <c r="H716" s="378"/>
      <c r="I716" s="360"/>
      <c r="J716" s="377"/>
      <c r="K716" s="377"/>
      <c r="L716" s="378"/>
      <c r="M716" s="377"/>
      <c r="N716" s="377"/>
      <c r="O716" s="377"/>
      <c r="P716" s="364"/>
      <c r="Q716" s="360"/>
      <c r="R716" s="377"/>
      <c r="S716" s="377"/>
      <c r="T716" s="375"/>
      <c r="U716" s="375"/>
      <c r="V716" s="375"/>
      <c r="W716" s="375"/>
      <c r="X716" s="375"/>
      <c r="Y716" s="375"/>
      <c r="Z716" s="375"/>
      <c r="AA716" s="375"/>
      <c r="AB716" s="375"/>
      <c r="AC716" s="375"/>
      <c r="AD716" s="375"/>
      <c r="AE716" s="375"/>
      <c r="AF716" s="375"/>
    </row>
    <row r="717">
      <c r="A717" s="360"/>
      <c r="B717" s="360"/>
      <c r="C717" s="377"/>
      <c r="D717" s="377"/>
      <c r="E717" s="378"/>
      <c r="F717" s="377"/>
      <c r="G717" s="377"/>
      <c r="H717" s="378"/>
      <c r="I717" s="360"/>
      <c r="J717" s="377"/>
      <c r="K717" s="377"/>
      <c r="L717" s="378"/>
      <c r="M717" s="377"/>
      <c r="N717" s="377"/>
      <c r="O717" s="377"/>
      <c r="P717" s="364"/>
      <c r="Q717" s="360"/>
      <c r="R717" s="377"/>
      <c r="S717" s="377"/>
      <c r="T717" s="375"/>
      <c r="U717" s="375"/>
      <c r="V717" s="375"/>
      <c r="W717" s="375"/>
      <c r="X717" s="375"/>
      <c r="Y717" s="375"/>
      <c r="Z717" s="375"/>
      <c r="AA717" s="375"/>
      <c r="AB717" s="375"/>
      <c r="AC717" s="375"/>
      <c r="AD717" s="375"/>
      <c r="AE717" s="375"/>
      <c r="AF717" s="375"/>
    </row>
    <row r="718">
      <c r="A718" s="360"/>
      <c r="B718" s="360"/>
      <c r="C718" s="377"/>
      <c r="D718" s="377"/>
      <c r="E718" s="378"/>
      <c r="F718" s="377"/>
      <c r="G718" s="377"/>
      <c r="H718" s="378"/>
      <c r="I718" s="360"/>
      <c r="J718" s="377"/>
      <c r="K718" s="377"/>
      <c r="L718" s="378"/>
      <c r="M718" s="377"/>
      <c r="N718" s="377"/>
      <c r="O718" s="377"/>
      <c r="P718" s="364"/>
      <c r="Q718" s="360"/>
      <c r="R718" s="377"/>
      <c r="S718" s="377"/>
      <c r="T718" s="375"/>
      <c r="U718" s="375"/>
      <c r="V718" s="375"/>
      <c r="W718" s="375"/>
      <c r="X718" s="375"/>
      <c r="Y718" s="375"/>
      <c r="Z718" s="375"/>
      <c r="AA718" s="375"/>
      <c r="AB718" s="375"/>
      <c r="AC718" s="375"/>
      <c r="AD718" s="375"/>
      <c r="AE718" s="375"/>
      <c r="AF718" s="375"/>
    </row>
    <row r="719">
      <c r="A719" s="360"/>
      <c r="B719" s="360"/>
      <c r="C719" s="377"/>
      <c r="D719" s="377"/>
      <c r="E719" s="378"/>
      <c r="F719" s="377"/>
      <c r="G719" s="377"/>
      <c r="H719" s="378"/>
      <c r="I719" s="360"/>
      <c r="J719" s="377"/>
      <c r="K719" s="377"/>
      <c r="L719" s="378"/>
      <c r="M719" s="377"/>
      <c r="N719" s="377"/>
      <c r="O719" s="377"/>
      <c r="P719" s="364"/>
      <c r="Q719" s="360"/>
      <c r="R719" s="377"/>
      <c r="S719" s="377"/>
      <c r="T719" s="375"/>
      <c r="U719" s="375"/>
      <c r="V719" s="375"/>
      <c r="W719" s="375"/>
      <c r="X719" s="375"/>
      <c r="Y719" s="375"/>
      <c r="Z719" s="375"/>
      <c r="AA719" s="375"/>
      <c r="AB719" s="375"/>
      <c r="AC719" s="375"/>
      <c r="AD719" s="375"/>
      <c r="AE719" s="375"/>
      <c r="AF719" s="375"/>
    </row>
    <row r="720">
      <c r="A720" s="360"/>
      <c r="B720" s="360"/>
      <c r="C720" s="377"/>
      <c r="D720" s="377"/>
      <c r="E720" s="378"/>
      <c r="F720" s="377"/>
      <c r="G720" s="377"/>
      <c r="H720" s="378"/>
      <c r="I720" s="360"/>
      <c r="J720" s="377"/>
      <c r="K720" s="377"/>
      <c r="L720" s="378"/>
      <c r="M720" s="377"/>
      <c r="N720" s="377"/>
      <c r="O720" s="377"/>
      <c r="P720" s="364"/>
      <c r="Q720" s="360"/>
      <c r="R720" s="377"/>
      <c r="S720" s="377"/>
      <c r="T720" s="375"/>
      <c r="U720" s="375"/>
      <c r="V720" s="375"/>
      <c r="W720" s="375"/>
      <c r="X720" s="375"/>
      <c r="Y720" s="375"/>
      <c r="Z720" s="375"/>
      <c r="AA720" s="375"/>
      <c r="AB720" s="375"/>
      <c r="AC720" s="375"/>
      <c r="AD720" s="375"/>
      <c r="AE720" s="375"/>
      <c r="AF720" s="375"/>
    </row>
    <row r="721">
      <c r="A721" s="360"/>
      <c r="B721" s="360"/>
      <c r="C721" s="377"/>
      <c r="D721" s="377"/>
      <c r="E721" s="378"/>
      <c r="F721" s="377"/>
      <c r="G721" s="377"/>
      <c r="H721" s="378"/>
      <c r="I721" s="360"/>
      <c r="J721" s="377"/>
      <c r="K721" s="377"/>
      <c r="L721" s="378"/>
      <c r="M721" s="377"/>
      <c r="N721" s="377"/>
      <c r="O721" s="377"/>
      <c r="P721" s="364"/>
      <c r="Q721" s="360"/>
      <c r="R721" s="377"/>
      <c r="S721" s="377"/>
      <c r="T721" s="375"/>
      <c r="U721" s="375"/>
      <c r="V721" s="375"/>
      <c r="W721" s="375"/>
      <c r="X721" s="375"/>
      <c r="Y721" s="375"/>
      <c r="Z721" s="375"/>
      <c r="AA721" s="375"/>
      <c r="AB721" s="375"/>
      <c r="AC721" s="375"/>
      <c r="AD721" s="375"/>
      <c r="AE721" s="375"/>
      <c r="AF721" s="375"/>
    </row>
    <row r="722">
      <c r="A722" s="360"/>
      <c r="B722" s="360"/>
      <c r="C722" s="377"/>
      <c r="D722" s="377"/>
      <c r="E722" s="378"/>
      <c r="F722" s="377"/>
      <c r="G722" s="377"/>
      <c r="H722" s="378"/>
      <c r="I722" s="360"/>
      <c r="J722" s="377"/>
      <c r="K722" s="377"/>
      <c r="L722" s="378"/>
      <c r="M722" s="377"/>
      <c r="N722" s="377"/>
      <c r="O722" s="377"/>
      <c r="P722" s="364"/>
      <c r="Q722" s="360"/>
      <c r="R722" s="377"/>
      <c r="S722" s="377"/>
      <c r="T722" s="375"/>
      <c r="U722" s="375"/>
      <c r="V722" s="375"/>
      <c r="W722" s="375"/>
      <c r="X722" s="375"/>
      <c r="Y722" s="375"/>
      <c r="Z722" s="375"/>
      <c r="AA722" s="375"/>
      <c r="AB722" s="375"/>
      <c r="AC722" s="375"/>
      <c r="AD722" s="375"/>
      <c r="AE722" s="375"/>
      <c r="AF722" s="375"/>
    </row>
    <row r="723">
      <c r="A723" s="360"/>
      <c r="B723" s="360"/>
      <c r="C723" s="377"/>
      <c r="D723" s="377"/>
      <c r="E723" s="378"/>
      <c r="F723" s="377"/>
      <c r="G723" s="377"/>
      <c r="H723" s="378"/>
      <c r="I723" s="360"/>
      <c r="J723" s="377"/>
      <c r="K723" s="377"/>
      <c r="L723" s="378"/>
      <c r="M723" s="377"/>
      <c r="N723" s="377"/>
      <c r="O723" s="377"/>
      <c r="P723" s="364"/>
      <c r="Q723" s="360"/>
      <c r="R723" s="377"/>
      <c r="S723" s="377"/>
      <c r="T723" s="375"/>
      <c r="U723" s="375"/>
      <c r="V723" s="375"/>
      <c r="W723" s="375"/>
      <c r="X723" s="375"/>
      <c r="Y723" s="375"/>
      <c r="Z723" s="375"/>
      <c r="AA723" s="375"/>
      <c r="AB723" s="375"/>
      <c r="AC723" s="375"/>
      <c r="AD723" s="375"/>
      <c r="AE723" s="375"/>
      <c r="AF723" s="375"/>
    </row>
    <row r="724">
      <c r="A724" s="360"/>
      <c r="B724" s="360"/>
      <c r="C724" s="377"/>
      <c r="D724" s="377"/>
      <c r="E724" s="378"/>
      <c r="F724" s="377"/>
      <c r="G724" s="377"/>
      <c r="H724" s="378"/>
      <c r="I724" s="360"/>
      <c r="J724" s="377"/>
      <c r="K724" s="377"/>
      <c r="L724" s="378"/>
      <c r="M724" s="377"/>
      <c r="N724" s="377"/>
      <c r="O724" s="377"/>
      <c r="P724" s="364"/>
      <c r="Q724" s="360"/>
      <c r="R724" s="377"/>
      <c r="S724" s="377"/>
      <c r="T724" s="375"/>
      <c r="U724" s="375"/>
      <c r="V724" s="375"/>
      <c r="W724" s="375"/>
      <c r="X724" s="375"/>
      <c r="Y724" s="375"/>
      <c r="Z724" s="375"/>
      <c r="AA724" s="375"/>
      <c r="AB724" s="375"/>
      <c r="AC724" s="375"/>
      <c r="AD724" s="375"/>
      <c r="AE724" s="375"/>
      <c r="AF724" s="375"/>
    </row>
    <row r="725">
      <c r="A725" s="360"/>
      <c r="B725" s="360"/>
      <c r="C725" s="377"/>
      <c r="D725" s="377"/>
      <c r="E725" s="378"/>
      <c r="F725" s="377"/>
      <c r="G725" s="377"/>
      <c r="H725" s="378"/>
      <c r="I725" s="360"/>
      <c r="J725" s="377"/>
      <c r="K725" s="377"/>
      <c r="L725" s="378"/>
      <c r="M725" s="377"/>
      <c r="N725" s="377"/>
      <c r="O725" s="377"/>
      <c r="P725" s="364"/>
      <c r="Q725" s="360"/>
      <c r="R725" s="377"/>
      <c r="S725" s="377"/>
      <c r="T725" s="375"/>
      <c r="U725" s="375"/>
      <c r="V725" s="375"/>
      <c r="W725" s="375"/>
      <c r="X725" s="375"/>
      <c r="Y725" s="375"/>
      <c r="Z725" s="375"/>
      <c r="AA725" s="375"/>
      <c r="AB725" s="375"/>
      <c r="AC725" s="375"/>
      <c r="AD725" s="375"/>
      <c r="AE725" s="375"/>
      <c r="AF725" s="375"/>
    </row>
    <row r="726">
      <c r="A726" s="360"/>
      <c r="B726" s="360"/>
      <c r="C726" s="377"/>
      <c r="D726" s="377"/>
      <c r="E726" s="378"/>
      <c r="F726" s="377"/>
      <c r="G726" s="377"/>
      <c r="H726" s="378"/>
      <c r="I726" s="360"/>
      <c r="J726" s="377"/>
      <c r="K726" s="377"/>
      <c r="L726" s="378"/>
      <c r="M726" s="377"/>
      <c r="N726" s="377"/>
      <c r="O726" s="377"/>
      <c r="P726" s="364"/>
      <c r="Q726" s="360"/>
      <c r="R726" s="377"/>
      <c r="S726" s="377"/>
      <c r="T726" s="375"/>
      <c r="U726" s="375"/>
      <c r="V726" s="375"/>
      <c r="W726" s="375"/>
      <c r="X726" s="375"/>
      <c r="Y726" s="375"/>
      <c r="Z726" s="375"/>
      <c r="AA726" s="375"/>
      <c r="AB726" s="375"/>
      <c r="AC726" s="375"/>
      <c r="AD726" s="375"/>
      <c r="AE726" s="375"/>
      <c r="AF726" s="375"/>
    </row>
    <row r="727">
      <c r="A727" s="360"/>
      <c r="B727" s="360"/>
      <c r="C727" s="377"/>
      <c r="D727" s="377"/>
      <c r="E727" s="378"/>
      <c r="F727" s="377"/>
      <c r="G727" s="377"/>
      <c r="H727" s="378"/>
      <c r="I727" s="360"/>
      <c r="J727" s="377"/>
      <c r="K727" s="377"/>
      <c r="L727" s="378"/>
      <c r="M727" s="377"/>
      <c r="N727" s="377"/>
      <c r="O727" s="377"/>
      <c r="P727" s="364"/>
      <c r="Q727" s="360"/>
      <c r="R727" s="377"/>
      <c r="S727" s="377"/>
      <c r="T727" s="375"/>
      <c r="U727" s="375"/>
      <c r="V727" s="375"/>
      <c r="W727" s="375"/>
      <c r="X727" s="375"/>
      <c r="Y727" s="375"/>
      <c r="Z727" s="375"/>
      <c r="AA727" s="375"/>
      <c r="AB727" s="375"/>
      <c r="AC727" s="375"/>
      <c r="AD727" s="375"/>
      <c r="AE727" s="375"/>
      <c r="AF727" s="375"/>
    </row>
    <row r="728">
      <c r="A728" s="360"/>
      <c r="B728" s="360"/>
      <c r="C728" s="377"/>
      <c r="D728" s="377"/>
      <c r="E728" s="378"/>
      <c r="F728" s="377"/>
      <c r="G728" s="377"/>
      <c r="H728" s="378"/>
      <c r="I728" s="360"/>
      <c r="J728" s="377"/>
      <c r="K728" s="377"/>
      <c r="L728" s="378"/>
      <c r="M728" s="377"/>
      <c r="N728" s="377"/>
      <c r="O728" s="377"/>
      <c r="P728" s="364"/>
      <c r="Q728" s="360"/>
      <c r="R728" s="377"/>
      <c r="S728" s="377"/>
      <c r="T728" s="375"/>
      <c r="U728" s="375"/>
      <c r="V728" s="375"/>
      <c r="W728" s="375"/>
      <c r="X728" s="375"/>
      <c r="Y728" s="375"/>
      <c r="Z728" s="375"/>
      <c r="AA728" s="375"/>
      <c r="AB728" s="375"/>
      <c r="AC728" s="375"/>
      <c r="AD728" s="375"/>
      <c r="AE728" s="375"/>
      <c r="AF728" s="375"/>
    </row>
    <row r="729">
      <c r="A729" s="360"/>
      <c r="B729" s="360"/>
      <c r="C729" s="377"/>
      <c r="D729" s="377"/>
      <c r="E729" s="378"/>
      <c r="F729" s="377"/>
      <c r="G729" s="377"/>
      <c r="H729" s="378"/>
      <c r="I729" s="360"/>
      <c r="J729" s="377"/>
      <c r="K729" s="377"/>
      <c r="L729" s="378"/>
      <c r="M729" s="377"/>
      <c r="N729" s="377"/>
      <c r="O729" s="377"/>
      <c r="P729" s="364"/>
      <c r="Q729" s="360"/>
      <c r="R729" s="377"/>
      <c r="S729" s="377"/>
      <c r="T729" s="375"/>
      <c r="U729" s="375"/>
      <c r="V729" s="375"/>
      <c r="W729" s="375"/>
      <c r="X729" s="375"/>
      <c r="Y729" s="375"/>
      <c r="Z729" s="375"/>
      <c r="AA729" s="375"/>
      <c r="AB729" s="375"/>
      <c r="AC729" s="375"/>
      <c r="AD729" s="375"/>
      <c r="AE729" s="375"/>
      <c r="AF729" s="375"/>
    </row>
    <row r="730">
      <c r="A730" s="360"/>
      <c r="B730" s="360"/>
      <c r="C730" s="377"/>
      <c r="D730" s="377"/>
      <c r="E730" s="378"/>
      <c r="F730" s="377"/>
      <c r="G730" s="377"/>
      <c r="H730" s="378"/>
      <c r="I730" s="360"/>
      <c r="J730" s="377"/>
      <c r="K730" s="377"/>
      <c r="L730" s="378"/>
      <c r="M730" s="377"/>
      <c r="N730" s="377"/>
      <c r="O730" s="377"/>
      <c r="P730" s="364"/>
      <c r="Q730" s="360"/>
      <c r="R730" s="377"/>
      <c r="S730" s="377"/>
      <c r="T730" s="375"/>
      <c r="U730" s="375"/>
      <c r="V730" s="375"/>
      <c r="W730" s="375"/>
      <c r="X730" s="375"/>
      <c r="Y730" s="375"/>
      <c r="Z730" s="375"/>
      <c r="AA730" s="375"/>
      <c r="AB730" s="375"/>
      <c r="AC730" s="375"/>
      <c r="AD730" s="375"/>
      <c r="AE730" s="375"/>
      <c r="AF730" s="375"/>
    </row>
    <row r="731">
      <c r="A731" s="360"/>
      <c r="B731" s="360"/>
      <c r="C731" s="377"/>
      <c r="D731" s="377"/>
      <c r="E731" s="378"/>
      <c r="F731" s="377"/>
      <c r="G731" s="377"/>
      <c r="H731" s="378"/>
      <c r="I731" s="360"/>
      <c r="J731" s="377"/>
      <c r="K731" s="377"/>
      <c r="L731" s="378"/>
      <c r="M731" s="377"/>
      <c r="N731" s="377"/>
      <c r="O731" s="377"/>
      <c r="P731" s="364"/>
      <c r="Q731" s="360"/>
      <c r="R731" s="377"/>
      <c r="S731" s="377"/>
      <c r="T731" s="375"/>
      <c r="U731" s="375"/>
      <c r="V731" s="375"/>
      <c r="W731" s="375"/>
      <c r="X731" s="375"/>
      <c r="Y731" s="375"/>
      <c r="Z731" s="375"/>
      <c r="AA731" s="375"/>
      <c r="AB731" s="375"/>
      <c r="AC731" s="375"/>
      <c r="AD731" s="375"/>
      <c r="AE731" s="375"/>
      <c r="AF731" s="375"/>
    </row>
    <row r="732">
      <c r="A732" s="360"/>
      <c r="B732" s="360"/>
      <c r="C732" s="377"/>
      <c r="D732" s="377"/>
      <c r="E732" s="378"/>
      <c r="F732" s="377"/>
      <c r="G732" s="377"/>
      <c r="H732" s="378"/>
      <c r="I732" s="360"/>
      <c r="J732" s="377"/>
      <c r="K732" s="377"/>
      <c r="L732" s="378"/>
      <c r="M732" s="377"/>
      <c r="N732" s="377"/>
      <c r="O732" s="377"/>
      <c r="P732" s="364"/>
      <c r="Q732" s="360"/>
      <c r="R732" s="377"/>
      <c r="S732" s="377"/>
      <c r="T732" s="375"/>
      <c r="U732" s="375"/>
      <c r="V732" s="375"/>
      <c r="W732" s="375"/>
      <c r="X732" s="375"/>
      <c r="Y732" s="375"/>
      <c r="Z732" s="375"/>
      <c r="AA732" s="375"/>
      <c r="AB732" s="375"/>
      <c r="AC732" s="375"/>
      <c r="AD732" s="375"/>
      <c r="AE732" s="375"/>
      <c r="AF732" s="375"/>
    </row>
    <row r="733">
      <c r="A733" s="360"/>
      <c r="B733" s="360"/>
      <c r="C733" s="377"/>
      <c r="D733" s="377"/>
      <c r="E733" s="378"/>
      <c r="F733" s="377"/>
      <c r="G733" s="377"/>
      <c r="H733" s="378"/>
      <c r="I733" s="360"/>
      <c r="J733" s="377"/>
      <c r="K733" s="377"/>
      <c r="L733" s="378"/>
      <c r="M733" s="377"/>
      <c r="N733" s="377"/>
      <c r="O733" s="377"/>
      <c r="P733" s="364"/>
      <c r="Q733" s="360"/>
      <c r="R733" s="377"/>
      <c r="S733" s="377"/>
      <c r="T733" s="375"/>
      <c r="U733" s="375"/>
      <c r="V733" s="375"/>
      <c r="W733" s="375"/>
      <c r="X733" s="375"/>
      <c r="Y733" s="375"/>
      <c r="Z733" s="375"/>
      <c r="AA733" s="375"/>
      <c r="AB733" s="375"/>
      <c r="AC733" s="375"/>
      <c r="AD733" s="375"/>
      <c r="AE733" s="375"/>
      <c r="AF733" s="375"/>
    </row>
    <row r="734">
      <c r="A734" s="360"/>
      <c r="B734" s="360"/>
      <c r="C734" s="377"/>
      <c r="D734" s="377"/>
      <c r="E734" s="378"/>
      <c r="F734" s="377"/>
      <c r="G734" s="377"/>
      <c r="H734" s="378"/>
      <c r="I734" s="360"/>
      <c r="J734" s="377"/>
      <c r="K734" s="377"/>
      <c r="L734" s="378"/>
      <c r="M734" s="377"/>
      <c r="N734" s="377"/>
      <c r="O734" s="377"/>
      <c r="P734" s="364"/>
      <c r="Q734" s="360"/>
      <c r="R734" s="377"/>
      <c r="S734" s="377"/>
      <c r="T734" s="375"/>
      <c r="U734" s="375"/>
      <c r="V734" s="375"/>
      <c r="W734" s="375"/>
      <c r="X734" s="375"/>
      <c r="Y734" s="375"/>
      <c r="Z734" s="375"/>
      <c r="AA734" s="375"/>
      <c r="AB734" s="375"/>
      <c r="AC734" s="375"/>
      <c r="AD734" s="375"/>
      <c r="AE734" s="375"/>
      <c r="AF734" s="375"/>
    </row>
    <row r="735">
      <c r="A735" s="360"/>
      <c r="B735" s="360"/>
      <c r="C735" s="377"/>
      <c r="D735" s="377"/>
      <c r="E735" s="378"/>
      <c r="F735" s="377"/>
      <c r="G735" s="377"/>
      <c r="H735" s="378"/>
      <c r="I735" s="360"/>
      <c r="J735" s="377"/>
      <c r="K735" s="377"/>
      <c r="L735" s="378"/>
      <c r="M735" s="377"/>
      <c r="N735" s="377"/>
      <c r="O735" s="377"/>
      <c r="P735" s="364"/>
      <c r="Q735" s="360"/>
      <c r="R735" s="377"/>
      <c r="S735" s="377"/>
      <c r="T735" s="375"/>
      <c r="U735" s="375"/>
      <c r="V735" s="375"/>
      <c r="W735" s="375"/>
      <c r="X735" s="375"/>
      <c r="Y735" s="375"/>
      <c r="Z735" s="375"/>
      <c r="AA735" s="375"/>
      <c r="AB735" s="375"/>
      <c r="AC735" s="375"/>
      <c r="AD735" s="375"/>
      <c r="AE735" s="375"/>
      <c r="AF735" s="375"/>
    </row>
    <row r="736">
      <c r="A736" s="360"/>
      <c r="B736" s="360"/>
      <c r="C736" s="377"/>
      <c r="D736" s="377"/>
      <c r="E736" s="378"/>
      <c r="F736" s="377"/>
      <c r="G736" s="377"/>
      <c r="H736" s="378"/>
      <c r="I736" s="360"/>
      <c r="J736" s="377"/>
      <c r="K736" s="377"/>
      <c r="L736" s="378"/>
      <c r="M736" s="377"/>
      <c r="N736" s="377"/>
      <c r="O736" s="377"/>
      <c r="P736" s="364"/>
      <c r="Q736" s="360"/>
      <c r="R736" s="377"/>
      <c r="S736" s="377"/>
      <c r="T736" s="375"/>
      <c r="U736" s="375"/>
      <c r="V736" s="375"/>
      <c r="W736" s="375"/>
      <c r="X736" s="375"/>
      <c r="Y736" s="375"/>
      <c r="Z736" s="375"/>
      <c r="AA736" s="375"/>
      <c r="AB736" s="375"/>
      <c r="AC736" s="375"/>
      <c r="AD736" s="375"/>
      <c r="AE736" s="375"/>
      <c r="AF736" s="375"/>
    </row>
    <row r="737">
      <c r="A737" s="360"/>
      <c r="B737" s="360"/>
      <c r="C737" s="377"/>
      <c r="D737" s="377"/>
      <c r="E737" s="378"/>
      <c r="F737" s="377"/>
      <c r="G737" s="377"/>
      <c r="H737" s="378"/>
      <c r="I737" s="360"/>
      <c r="J737" s="377"/>
      <c r="K737" s="377"/>
      <c r="L737" s="378"/>
      <c r="M737" s="377"/>
      <c r="N737" s="377"/>
      <c r="O737" s="377"/>
      <c r="P737" s="364"/>
      <c r="Q737" s="360"/>
      <c r="R737" s="377"/>
      <c r="S737" s="377"/>
      <c r="T737" s="375"/>
      <c r="U737" s="375"/>
      <c r="V737" s="375"/>
      <c r="W737" s="375"/>
      <c r="X737" s="375"/>
      <c r="Y737" s="375"/>
      <c r="Z737" s="375"/>
      <c r="AA737" s="375"/>
      <c r="AB737" s="375"/>
      <c r="AC737" s="375"/>
      <c r="AD737" s="375"/>
      <c r="AE737" s="375"/>
      <c r="AF737" s="375"/>
    </row>
    <row r="738">
      <c r="A738" s="360"/>
      <c r="B738" s="360"/>
      <c r="C738" s="377"/>
      <c r="D738" s="377"/>
      <c r="E738" s="378"/>
      <c r="F738" s="377"/>
      <c r="G738" s="377"/>
      <c r="H738" s="378"/>
      <c r="I738" s="360"/>
      <c r="J738" s="377"/>
      <c r="K738" s="377"/>
      <c r="L738" s="378"/>
      <c r="M738" s="377"/>
      <c r="N738" s="377"/>
      <c r="O738" s="377"/>
      <c r="P738" s="364"/>
      <c r="Q738" s="360"/>
      <c r="R738" s="377"/>
      <c r="S738" s="377"/>
      <c r="T738" s="375"/>
      <c r="U738" s="375"/>
      <c r="V738" s="375"/>
      <c r="W738" s="375"/>
      <c r="X738" s="375"/>
      <c r="Y738" s="375"/>
      <c r="Z738" s="375"/>
      <c r="AA738" s="375"/>
      <c r="AB738" s="375"/>
      <c r="AC738" s="375"/>
      <c r="AD738" s="375"/>
      <c r="AE738" s="375"/>
      <c r="AF738" s="375"/>
    </row>
    <row r="739">
      <c r="A739" s="360"/>
      <c r="B739" s="360"/>
      <c r="C739" s="377"/>
      <c r="D739" s="377"/>
      <c r="E739" s="378"/>
      <c r="F739" s="377"/>
      <c r="G739" s="377"/>
      <c r="H739" s="378"/>
      <c r="I739" s="360"/>
      <c r="J739" s="377"/>
      <c r="K739" s="377"/>
      <c r="L739" s="378"/>
      <c r="M739" s="377"/>
      <c r="N739" s="377"/>
      <c r="O739" s="377"/>
      <c r="P739" s="364"/>
      <c r="Q739" s="360"/>
      <c r="R739" s="377"/>
      <c r="S739" s="377"/>
      <c r="T739" s="375"/>
      <c r="U739" s="375"/>
      <c r="V739" s="375"/>
      <c r="W739" s="375"/>
      <c r="X739" s="375"/>
      <c r="Y739" s="375"/>
      <c r="Z739" s="375"/>
      <c r="AA739" s="375"/>
      <c r="AB739" s="375"/>
      <c r="AC739" s="375"/>
      <c r="AD739" s="375"/>
      <c r="AE739" s="375"/>
      <c r="AF739" s="375"/>
    </row>
    <row r="740">
      <c r="A740" s="360"/>
      <c r="B740" s="360"/>
      <c r="C740" s="377"/>
      <c r="D740" s="377"/>
      <c r="E740" s="378"/>
      <c r="F740" s="377"/>
      <c r="G740" s="377"/>
      <c r="H740" s="378"/>
      <c r="I740" s="360"/>
      <c r="J740" s="377"/>
      <c r="K740" s="377"/>
      <c r="L740" s="378"/>
      <c r="M740" s="377"/>
      <c r="N740" s="377"/>
      <c r="O740" s="377"/>
      <c r="P740" s="364"/>
      <c r="Q740" s="360"/>
      <c r="R740" s="377"/>
      <c r="S740" s="377"/>
      <c r="T740" s="375"/>
      <c r="U740" s="375"/>
      <c r="V740" s="375"/>
      <c r="W740" s="375"/>
      <c r="X740" s="375"/>
      <c r="Y740" s="375"/>
      <c r="Z740" s="375"/>
      <c r="AA740" s="375"/>
      <c r="AB740" s="375"/>
      <c r="AC740" s="375"/>
      <c r="AD740" s="375"/>
      <c r="AE740" s="375"/>
      <c r="AF740" s="375"/>
    </row>
    <row r="741">
      <c r="A741" s="360"/>
      <c r="B741" s="360"/>
      <c r="C741" s="377"/>
      <c r="D741" s="377"/>
      <c r="E741" s="378"/>
      <c r="F741" s="377"/>
      <c r="G741" s="377"/>
      <c r="H741" s="378"/>
      <c r="I741" s="360"/>
      <c r="J741" s="377"/>
      <c r="K741" s="377"/>
      <c r="L741" s="378"/>
      <c r="M741" s="377"/>
      <c r="N741" s="377"/>
      <c r="O741" s="377"/>
      <c r="P741" s="364"/>
      <c r="Q741" s="360"/>
      <c r="R741" s="377"/>
      <c r="S741" s="377"/>
      <c r="T741" s="375"/>
      <c r="U741" s="375"/>
      <c r="V741" s="375"/>
      <c r="W741" s="375"/>
      <c r="X741" s="375"/>
      <c r="Y741" s="375"/>
      <c r="Z741" s="375"/>
      <c r="AA741" s="375"/>
      <c r="AB741" s="375"/>
      <c r="AC741" s="375"/>
      <c r="AD741" s="375"/>
      <c r="AE741" s="375"/>
      <c r="AF741" s="375"/>
    </row>
    <row r="742">
      <c r="A742" s="360"/>
      <c r="B742" s="360"/>
      <c r="C742" s="377"/>
      <c r="D742" s="377"/>
      <c r="E742" s="378"/>
      <c r="F742" s="377"/>
      <c r="G742" s="377"/>
      <c r="H742" s="378"/>
      <c r="I742" s="360"/>
      <c r="J742" s="377"/>
      <c r="K742" s="377"/>
      <c r="L742" s="378"/>
      <c r="M742" s="377"/>
      <c r="N742" s="377"/>
      <c r="O742" s="377"/>
      <c r="P742" s="364"/>
      <c r="Q742" s="360"/>
      <c r="R742" s="377"/>
      <c r="S742" s="377"/>
      <c r="T742" s="375"/>
      <c r="U742" s="375"/>
      <c r="V742" s="375"/>
      <c r="W742" s="375"/>
      <c r="X742" s="375"/>
      <c r="Y742" s="375"/>
      <c r="Z742" s="375"/>
      <c r="AA742" s="375"/>
      <c r="AB742" s="375"/>
      <c r="AC742" s="375"/>
      <c r="AD742" s="375"/>
      <c r="AE742" s="375"/>
      <c r="AF742" s="375"/>
    </row>
    <row r="743">
      <c r="A743" s="360"/>
      <c r="B743" s="360"/>
      <c r="C743" s="377"/>
      <c r="D743" s="377"/>
      <c r="E743" s="378"/>
      <c r="F743" s="377"/>
      <c r="G743" s="377"/>
      <c r="H743" s="378"/>
      <c r="I743" s="360"/>
      <c r="J743" s="377"/>
      <c r="K743" s="377"/>
      <c r="L743" s="378"/>
      <c r="M743" s="377"/>
      <c r="N743" s="377"/>
      <c r="O743" s="377"/>
      <c r="P743" s="364"/>
      <c r="Q743" s="360"/>
      <c r="R743" s="377"/>
      <c r="S743" s="377"/>
      <c r="T743" s="375"/>
      <c r="U743" s="375"/>
      <c r="V743" s="375"/>
      <c r="W743" s="375"/>
      <c r="X743" s="375"/>
      <c r="Y743" s="375"/>
      <c r="Z743" s="375"/>
      <c r="AA743" s="375"/>
      <c r="AB743" s="375"/>
      <c r="AC743" s="375"/>
      <c r="AD743" s="375"/>
      <c r="AE743" s="375"/>
      <c r="AF743" s="375"/>
    </row>
    <row r="744">
      <c r="A744" s="360"/>
      <c r="B744" s="360"/>
      <c r="C744" s="377"/>
      <c r="D744" s="377"/>
      <c r="E744" s="378"/>
      <c r="F744" s="377"/>
      <c r="G744" s="377"/>
      <c r="H744" s="378"/>
      <c r="I744" s="360"/>
      <c r="J744" s="377"/>
      <c r="K744" s="377"/>
      <c r="L744" s="378"/>
      <c r="M744" s="377"/>
      <c r="N744" s="377"/>
      <c r="O744" s="377"/>
      <c r="P744" s="364"/>
      <c r="Q744" s="360"/>
      <c r="R744" s="377"/>
      <c r="S744" s="377"/>
      <c r="T744" s="375"/>
      <c r="U744" s="375"/>
      <c r="V744" s="375"/>
      <c r="W744" s="375"/>
      <c r="X744" s="375"/>
      <c r="Y744" s="375"/>
      <c r="Z744" s="375"/>
      <c r="AA744" s="375"/>
      <c r="AB744" s="375"/>
      <c r="AC744" s="375"/>
      <c r="AD744" s="375"/>
      <c r="AE744" s="375"/>
      <c r="AF744" s="375"/>
    </row>
    <row r="745">
      <c r="A745" s="360"/>
      <c r="B745" s="360"/>
      <c r="C745" s="377"/>
      <c r="D745" s="377"/>
      <c r="E745" s="378"/>
      <c r="F745" s="377"/>
      <c r="G745" s="377"/>
      <c r="H745" s="378"/>
      <c r="I745" s="360"/>
      <c r="J745" s="377"/>
      <c r="K745" s="377"/>
      <c r="L745" s="378"/>
      <c r="M745" s="377"/>
      <c r="N745" s="377"/>
      <c r="O745" s="377"/>
      <c r="P745" s="364"/>
      <c r="Q745" s="360"/>
      <c r="R745" s="377"/>
      <c r="S745" s="377"/>
      <c r="T745" s="375"/>
      <c r="U745" s="375"/>
      <c r="V745" s="375"/>
      <c r="W745" s="375"/>
      <c r="X745" s="375"/>
      <c r="Y745" s="375"/>
      <c r="Z745" s="375"/>
      <c r="AA745" s="375"/>
      <c r="AB745" s="375"/>
      <c r="AC745" s="375"/>
      <c r="AD745" s="375"/>
      <c r="AE745" s="375"/>
      <c r="AF745" s="375"/>
    </row>
    <row r="746">
      <c r="A746" s="360"/>
      <c r="B746" s="360"/>
      <c r="C746" s="377"/>
      <c r="D746" s="377"/>
      <c r="E746" s="378"/>
      <c r="F746" s="377"/>
      <c r="G746" s="377"/>
      <c r="H746" s="378"/>
      <c r="I746" s="360"/>
      <c r="J746" s="377"/>
      <c r="K746" s="377"/>
      <c r="L746" s="378"/>
      <c r="M746" s="377"/>
      <c r="N746" s="377"/>
      <c r="O746" s="377"/>
      <c r="P746" s="364"/>
      <c r="Q746" s="360"/>
      <c r="R746" s="377"/>
      <c r="S746" s="377"/>
      <c r="T746" s="375"/>
      <c r="U746" s="375"/>
      <c r="V746" s="375"/>
      <c r="W746" s="375"/>
      <c r="X746" s="375"/>
      <c r="Y746" s="375"/>
      <c r="Z746" s="375"/>
      <c r="AA746" s="375"/>
      <c r="AB746" s="375"/>
      <c r="AC746" s="375"/>
      <c r="AD746" s="375"/>
      <c r="AE746" s="375"/>
      <c r="AF746" s="375"/>
    </row>
    <row r="747">
      <c r="A747" s="360"/>
      <c r="B747" s="360"/>
      <c r="C747" s="377"/>
      <c r="D747" s="377"/>
      <c r="E747" s="378"/>
      <c r="F747" s="377"/>
      <c r="G747" s="377"/>
      <c r="H747" s="378"/>
      <c r="I747" s="360"/>
      <c r="J747" s="377"/>
      <c r="K747" s="377"/>
      <c r="L747" s="378"/>
      <c r="M747" s="377"/>
      <c r="N747" s="377"/>
      <c r="O747" s="377"/>
      <c r="P747" s="364"/>
      <c r="Q747" s="360"/>
      <c r="R747" s="377"/>
      <c r="S747" s="377"/>
      <c r="T747" s="375"/>
      <c r="U747" s="375"/>
      <c r="V747" s="375"/>
      <c r="W747" s="375"/>
      <c r="X747" s="375"/>
      <c r="Y747" s="375"/>
      <c r="Z747" s="375"/>
      <c r="AA747" s="375"/>
      <c r="AB747" s="375"/>
      <c r="AC747" s="375"/>
      <c r="AD747" s="375"/>
      <c r="AE747" s="375"/>
      <c r="AF747" s="375"/>
    </row>
    <row r="748">
      <c r="A748" s="360"/>
      <c r="B748" s="360"/>
      <c r="C748" s="377"/>
      <c r="D748" s="377"/>
      <c r="E748" s="378"/>
      <c r="F748" s="377"/>
      <c r="G748" s="377"/>
      <c r="H748" s="378"/>
      <c r="I748" s="360"/>
      <c r="J748" s="377"/>
      <c r="K748" s="377"/>
      <c r="L748" s="378"/>
      <c r="M748" s="377"/>
      <c r="N748" s="377"/>
      <c r="O748" s="377"/>
      <c r="P748" s="364"/>
      <c r="Q748" s="360"/>
      <c r="R748" s="377"/>
      <c r="S748" s="377"/>
      <c r="T748" s="375"/>
      <c r="U748" s="375"/>
      <c r="V748" s="375"/>
      <c r="W748" s="375"/>
      <c r="X748" s="375"/>
      <c r="Y748" s="375"/>
      <c r="Z748" s="375"/>
      <c r="AA748" s="375"/>
      <c r="AB748" s="375"/>
      <c r="AC748" s="375"/>
      <c r="AD748" s="375"/>
      <c r="AE748" s="375"/>
      <c r="AF748" s="375"/>
    </row>
    <row r="749">
      <c r="A749" s="360"/>
      <c r="B749" s="360"/>
      <c r="C749" s="377"/>
      <c r="D749" s="377"/>
      <c r="E749" s="378"/>
      <c r="F749" s="377"/>
      <c r="G749" s="377"/>
      <c r="H749" s="378"/>
      <c r="I749" s="360"/>
      <c r="J749" s="377"/>
      <c r="K749" s="377"/>
      <c r="L749" s="378"/>
      <c r="M749" s="377"/>
      <c r="N749" s="377"/>
      <c r="O749" s="377"/>
      <c r="P749" s="364"/>
      <c r="Q749" s="360"/>
      <c r="R749" s="377"/>
      <c r="S749" s="377"/>
      <c r="T749" s="375"/>
      <c r="U749" s="375"/>
      <c r="V749" s="375"/>
      <c r="W749" s="375"/>
      <c r="X749" s="375"/>
      <c r="Y749" s="375"/>
      <c r="Z749" s="375"/>
      <c r="AA749" s="375"/>
      <c r="AB749" s="375"/>
      <c r="AC749" s="375"/>
      <c r="AD749" s="375"/>
      <c r="AE749" s="375"/>
      <c r="AF749" s="375"/>
    </row>
    <row r="750">
      <c r="A750" s="360"/>
      <c r="B750" s="360"/>
      <c r="C750" s="377"/>
      <c r="D750" s="377"/>
      <c r="E750" s="378"/>
      <c r="F750" s="377"/>
      <c r="G750" s="377"/>
      <c r="H750" s="378"/>
      <c r="I750" s="360"/>
      <c r="J750" s="377"/>
      <c r="K750" s="377"/>
      <c r="L750" s="378"/>
      <c r="M750" s="377"/>
      <c r="N750" s="377"/>
      <c r="O750" s="377"/>
      <c r="P750" s="364"/>
      <c r="Q750" s="360"/>
      <c r="R750" s="377"/>
      <c r="S750" s="377"/>
      <c r="T750" s="375"/>
      <c r="U750" s="375"/>
      <c r="V750" s="375"/>
      <c r="W750" s="375"/>
      <c r="X750" s="375"/>
      <c r="Y750" s="375"/>
      <c r="Z750" s="375"/>
      <c r="AA750" s="375"/>
      <c r="AB750" s="375"/>
      <c r="AC750" s="375"/>
      <c r="AD750" s="375"/>
      <c r="AE750" s="375"/>
      <c r="AF750" s="375"/>
    </row>
    <row r="751">
      <c r="A751" s="360"/>
      <c r="B751" s="360"/>
      <c r="C751" s="377"/>
      <c r="D751" s="377"/>
      <c r="E751" s="378"/>
      <c r="F751" s="377"/>
      <c r="G751" s="377"/>
      <c r="H751" s="378"/>
      <c r="I751" s="360"/>
      <c r="J751" s="377"/>
      <c r="K751" s="377"/>
      <c r="L751" s="378"/>
      <c r="M751" s="377"/>
      <c r="N751" s="377"/>
      <c r="O751" s="377"/>
      <c r="P751" s="364"/>
      <c r="Q751" s="360"/>
      <c r="R751" s="377"/>
      <c r="S751" s="377"/>
      <c r="T751" s="375"/>
      <c r="U751" s="375"/>
      <c r="V751" s="375"/>
      <c r="W751" s="375"/>
      <c r="X751" s="375"/>
      <c r="Y751" s="375"/>
      <c r="Z751" s="375"/>
      <c r="AA751" s="375"/>
      <c r="AB751" s="375"/>
      <c r="AC751" s="375"/>
      <c r="AD751" s="375"/>
      <c r="AE751" s="375"/>
      <c r="AF751" s="375"/>
    </row>
    <row r="752">
      <c r="A752" s="360"/>
      <c r="B752" s="360"/>
      <c r="C752" s="377"/>
      <c r="D752" s="377"/>
      <c r="E752" s="378"/>
      <c r="F752" s="377"/>
      <c r="G752" s="377"/>
      <c r="H752" s="378"/>
      <c r="I752" s="360"/>
      <c r="J752" s="377"/>
      <c r="K752" s="377"/>
      <c r="L752" s="378"/>
      <c r="M752" s="377"/>
      <c r="N752" s="377"/>
      <c r="O752" s="377"/>
      <c r="P752" s="364"/>
      <c r="Q752" s="360"/>
      <c r="R752" s="377"/>
      <c r="S752" s="377"/>
      <c r="T752" s="375"/>
      <c r="U752" s="375"/>
      <c r="V752" s="375"/>
      <c r="W752" s="375"/>
      <c r="X752" s="375"/>
      <c r="Y752" s="375"/>
      <c r="Z752" s="375"/>
      <c r="AA752" s="375"/>
      <c r="AB752" s="375"/>
      <c r="AC752" s="375"/>
      <c r="AD752" s="375"/>
      <c r="AE752" s="375"/>
      <c r="AF752" s="375"/>
    </row>
    <row r="753">
      <c r="A753" s="360"/>
      <c r="B753" s="360"/>
      <c r="C753" s="377"/>
      <c r="D753" s="377"/>
      <c r="E753" s="378"/>
      <c r="F753" s="377"/>
      <c r="G753" s="377"/>
      <c r="H753" s="378"/>
      <c r="I753" s="360"/>
      <c r="J753" s="377"/>
      <c r="K753" s="377"/>
      <c r="L753" s="378"/>
      <c r="M753" s="377"/>
      <c r="N753" s="377"/>
      <c r="O753" s="377"/>
      <c r="P753" s="364"/>
      <c r="Q753" s="360"/>
      <c r="R753" s="377"/>
      <c r="S753" s="377"/>
      <c r="T753" s="375"/>
      <c r="U753" s="375"/>
      <c r="V753" s="375"/>
      <c r="W753" s="375"/>
      <c r="X753" s="375"/>
      <c r="Y753" s="375"/>
      <c r="Z753" s="375"/>
      <c r="AA753" s="375"/>
      <c r="AB753" s="375"/>
      <c r="AC753" s="375"/>
      <c r="AD753" s="375"/>
      <c r="AE753" s="375"/>
      <c r="AF753" s="375"/>
    </row>
    <row r="754">
      <c r="A754" s="360"/>
      <c r="B754" s="360"/>
      <c r="C754" s="377"/>
      <c r="D754" s="377"/>
      <c r="E754" s="378"/>
      <c r="F754" s="377"/>
      <c r="G754" s="377"/>
      <c r="H754" s="378"/>
      <c r="I754" s="360"/>
      <c r="J754" s="377"/>
      <c r="K754" s="377"/>
      <c r="L754" s="378"/>
      <c r="M754" s="377"/>
      <c r="N754" s="377"/>
      <c r="O754" s="377"/>
      <c r="P754" s="364"/>
      <c r="Q754" s="360"/>
      <c r="R754" s="377"/>
      <c r="S754" s="377"/>
      <c r="T754" s="375"/>
      <c r="U754" s="375"/>
      <c r="V754" s="375"/>
      <c r="W754" s="375"/>
      <c r="X754" s="375"/>
      <c r="Y754" s="375"/>
      <c r="Z754" s="375"/>
      <c r="AA754" s="375"/>
      <c r="AB754" s="375"/>
      <c r="AC754" s="375"/>
      <c r="AD754" s="375"/>
      <c r="AE754" s="375"/>
      <c r="AF754" s="375"/>
    </row>
    <row r="755">
      <c r="A755" s="360"/>
      <c r="B755" s="360"/>
      <c r="C755" s="377"/>
      <c r="D755" s="377"/>
      <c r="E755" s="378"/>
      <c r="F755" s="377"/>
      <c r="G755" s="377"/>
      <c r="H755" s="378"/>
      <c r="I755" s="360"/>
      <c r="J755" s="377"/>
      <c r="K755" s="377"/>
      <c r="L755" s="378"/>
      <c r="M755" s="377"/>
      <c r="N755" s="377"/>
      <c r="O755" s="377"/>
      <c r="P755" s="364"/>
      <c r="Q755" s="360"/>
      <c r="R755" s="377"/>
      <c r="S755" s="377"/>
      <c r="T755" s="375"/>
      <c r="U755" s="375"/>
      <c r="V755" s="375"/>
      <c r="W755" s="375"/>
      <c r="X755" s="375"/>
      <c r="Y755" s="375"/>
      <c r="Z755" s="375"/>
      <c r="AA755" s="375"/>
      <c r="AB755" s="375"/>
      <c r="AC755" s="375"/>
      <c r="AD755" s="375"/>
      <c r="AE755" s="375"/>
      <c r="AF755" s="375"/>
    </row>
    <row r="756">
      <c r="A756" s="360"/>
      <c r="B756" s="360"/>
      <c r="C756" s="377"/>
      <c r="D756" s="377"/>
      <c r="E756" s="378"/>
      <c r="F756" s="377"/>
      <c r="G756" s="377"/>
      <c r="H756" s="378"/>
      <c r="I756" s="360"/>
      <c r="J756" s="377"/>
      <c r="K756" s="377"/>
      <c r="L756" s="378"/>
      <c r="M756" s="377"/>
      <c r="N756" s="377"/>
      <c r="O756" s="377"/>
      <c r="P756" s="364"/>
      <c r="Q756" s="360"/>
      <c r="R756" s="377"/>
      <c r="S756" s="377"/>
      <c r="T756" s="375"/>
      <c r="U756" s="375"/>
      <c r="V756" s="375"/>
      <c r="W756" s="375"/>
      <c r="X756" s="375"/>
      <c r="Y756" s="375"/>
      <c r="Z756" s="375"/>
      <c r="AA756" s="375"/>
      <c r="AB756" s="375"/>
      <c r="AC756" s="375"/>
      <c r="AD756" s="375"/>
      <c r="AE756" s="375"/>
      <c r="AF756" s="375"/>
    </row>
    <row r="757">
      <c r="A757" s="360"/>
      <c r="B757" s="360"/>
      <c r="C757" s="377"/>
      <c r="D757" s="377"/>
      <c r="E757" s="378"/>
      <c r="F757" s="377"/>
      <c r="G757" s="377"/>
      <c r="H757" s="378"/>
      <c r="I757" s="360"/>
      <c r="J757" s="377"/>
      <c r="K757" s="377"/>
      <c r="L757" s="378"/>
      <c r="M757" s="377"/>
      <c r="N757" s="377"/>
      <c r="O757" s="377"/>
      <c r="P757" s="364"/>
      <c r="Q757" s="360"/>
      <c r="R757" s="377"/>
      <c r="S757" s="377"/>
      <c r="T757" s="375"/>
      <c r="U757" s="375"/>
      <c r="V757" s="375"/>
      <c r="W757" s="375"/>
      <c r="X757" s="375"/>
      <c r="Y757" s="375"/>
      <c r="Z757" s="375"/>
      <c r="AA757" s="375"/>
      <c r="AB757" s="375"/>
      <c r="AC757" s="375"/>
      <c r="AD757" s="375"/>
      <c r="AE757" s="375"/>
      <c r="AF757" s="375"/>
    </row>
    <row r="758">
      <c r="A758" s="360"/>
      <c r="B758" s="360"/>
      <c r="C758" s="377"/>
      <c r="D758" s="377"/>
      <c r="E758" s="378"/>
      <c r="F758" s="377"/>
      <c r="G758" s="377"/>
      <c r="H758" s="378"/>
      <c r="I758" s="360"/>
      <c r="J758" s="377"/>
      <c r="K758" s="377"/>
      <c r="L758" s="378"/>
      <c r="M758" s="377"/>
      <c r="N758" s="377"/>
      <c r="O758" s="377"/>
      <c r="P758" s="364"/>
      <c r="Q758" s="360"/>
      <c r="R758" s="377"/>
      <c r="S758" s="377"/>
      <c r="T758" s="375"/>
      <c r="U758" s="375"/>
      <c r="V758" s="375"/>
      <c r="W758" s="375"/>
      <c r="X758" s="375"/>
      <c r="Y758" s="375"/>
      <c r="Z758" s="375"/>
      <c r="AA758" s="375"/>
      <c r="AB758" s="375"/>
      <c r="AC758" s="375"/>
      <c r="AD758" s="375"/>
      <c r="AE758" s="375"/>
      <c r="AF758" s="375"/>
    </row>
    <row r="759">
      <c r="A759" s="360"/>
      <c r="B759" s="360"/>
      <c r="C759" s="377"/>
      <c r="D759" s="377"/>
      <c r="E759" s="378"/>
      <c r="F759" s="377"/>
      <c r="G759" s="377"/>
      <c r="H759" s="378"/>
      <c r="I759" s="360"/>
      <c r="J759" s="377"/>
      <c r="K759" s="377"/>
      <c r="L759" s="378"/>
      <c r="M759" s="377"/>
      <c r="N759" s="377"/>
      <c r="O759" s="377"/>
      <c r="P759" s="364"/>
      <c r="Q759" s="360"/>
      <c r="R759" s="377"/>
      <c r="S759" s="377"/>
      <c r="T759" s="375"/>
      <c r="U759" s="375"/>
      <c r="V759" s="375"/>
      <c r="W759" s="375"/>
      <c r="X759" s="375"/>
      <c r="Y759" s="375"/>
      <c r="Z759" s="375"/>
      <c r="AA759" s="375"/>
      <c r="AB759" s="375"/>
      <c r="AC759" s="375"/>
      <c r="AD759" s="375"/>
      <c r="AE759" s="375"/>
      <c r="AF759" s="375"/>
    </row>
    <row r="760">
      <c r="A760" s="360"/>
      <c r="B760" s="360"/>
      <c r="C760" s="377"/>
      <c r="D760" s="377"/>
      <c r="E760" s="378"/>
      <c r="F760" s="377"/>
      <c r="G760" s="377"/>
      <c r="H760" s="378"/>
      <c r="I760" s="360"/>
      <c r="J760" s="377"/>
      <c r="K760" s="377"/>
      <c r="L760" s="378"/>
      <c r="M760" s="377"/>
      <c r="N760" s="377"/>
      <c r="O760" s="377"/>
      <c r="P760" s="364"/>
      <c r="Q760" s="360"/>
      <c r="R760" s="377"/>
      <c r="S760" s="377"/>
      <c r="T760" s="375"/>
      <c r="U760" s="375"/>
      <c r="V760" s="375"/>
      <c r="W760" s="375"/>
      <c r="X760" s="375"/>
      <c r="Y760" s="375"/>
      <c r="Z760" s="375"/>
      <c r="AA760" s="375"/>
      <c r="AB760" s="375"/>
      <c r="AC760" s="375"/>
      <c r="AD760" s="375"/>
      <c r="AE760" s="375"/>
      <c r="AF760" s="375"/>
    </row>
    <row r="761">
      <c r="A761" s="360"/>
      <c r="B761" s="360"/>
      <c r="C761" s="377"/>
      <c r="D761" s="377"/>
      <c r="E761" s="378"/>
      <c r="F761" s="377"/>
      <c r="G761" s="377"/>
      <c r="H761" s="378"/>
      <c r="I761" s="360"/>
      <c r="J761" s="377"/>
      <c r="K761" s="377"/>
      <c r="L761" s="378"/>
      <c r="M761" s="377"/>
      <c r="N761" s="377"/>
      <c r="O761" s="377"/>
      <c r="P761" s="364"/>
      <c r="Q761" s="360"/>
      <c r="R761" s="377"/>
      <c r="S761" s="377"/>
      <c r="T761" s="375"/>
      <c r="U761" s="375"/>
      <c r="V761" s="375"/>
      <c r="W761" s="375"/>
      <c r="X761" s="375"/>
      <c r="Y761" s="375"/>
      <c r="Z761" s="375"/>
      <c r="AA761" s="375"/>
      <c r="AB761" s="375"/>
      <c r="AC761" s="375"/>
      <c r="AD761" s="375"/>
      <c r="AE761" s="375"/>
      <c r="AF761" s="375"/>
    </row>
    <row r="762">
      <c r="A762" s="360"/>
      <c r="B762" s="360"/>
      <c r="C762" s="377"/>
      <c r="D762" s="377"/>
      <c r="E762" s="378"/>
      <c r="F762" s="377"/>
      <c r="G762" s="377"/>
      <c r="H762" s="378"/>
      <c r="I762" s="360"/>
      <c r="J762" s="377"/>
      <c r="K762" s="377"/>
      <c r="L762" s="378"/>
      <c r="M762" s="377"/>
      <c r="N762" s="377"/>
      <c r="O762" s="377"/>
      <c r="P762" s="364"/>
      <c r="Q762" s="360"/>
      <c r="R762" s="377"/>
      <c r="S762" s="377"/>
      <c r="T762" s="375"/>
      <c r="U762" s="375"/>
      <c r="V762" s="375"/>
      <c r="W762" s="375"/>
      <c r="X762" s="375"/>
      <c r="Y762" s="375"/>
      <c r="Z762" s="375"/>
      <c r="AA762" s="375"/>
      <c r="AB762" s="375"/>
      <c r="AC762" s="375"/>
      <c r="AD762" s="375"/>
      <c r="AE762" s="375"/>
      <c r="AF762" s="375"/>
    </row>
    <row r="763">
      <c r="A763" s="360"/>
      <c r="B763" s="360"/>
      <c r="C763" s="377"/>
      <c r="D763" s="377"/>
      <c r="E763" s="378"/>
      <c r="F763" s="377"/>
      <c r="G763" s="377"/>
      <c r="H763" s="378"/>
      <c r="I763" s="360"/>
      <c r="J763" s="377"/>
      <c r="K763" s="377"/>
      <c r="L763" s="378"/>
      <c r="M763" s="377"/>
      <c r="N763" s="377"/>
      <c r="O763" s="377"/>
      <c r="P763" s="364"/>
      <c r="Q763" s="360"/>
      <c r="R763" s="377"/>
      <c r="S763" s="377"/>
      <c r="T763" s="375"/>
      <c r="U763" s="375"/>
      <c r="V763" s="375"/>
      <c r="W763" s="375"/>
      <c r="X763" s="375"/>
      <c r="Y763" s="375"/>
      <c r="Z763" s="375"/>
      <c r="AA763" s="375"/>
      <c r="AB763" s="375"/>
      <c r="AC763" s="375"/>
      <c r="AD763" s="375"/>
      <c r="AE763" s="375"/>
      <c r="AF763" s="375"/>
    </row>
    <row r="764">
      <c r="A764" s="360"/>
      <c r="B764" s="360"/>
      <c r="C764" s="377"/>
      <c r="D764" s="377"/>
      <c r="E764" s="378"/>
      <c r="F764" s="377"/>
      <c r="G764" s="377"/>
      <c r="H764" s="378"/>
      <c r="I764" s="360"/>
      <c r="J764" s="377"/>
      <c r="K764" s="377"/>
      <c r="L764" s="378"/>
      <c r="M764" s="377"/>
      <c r="N764" s="377"/>
      <c r="O764" s="377"/>
      <c r="P764" s="364"/>
      <c r="Q764" s="360"/>
      <c r="R764" s="377"/>
      <c r="S764" s="377"/>
      <c r="T764" s="375"/>
      <c r="U764" s="375"/>
      <c r="V764" s="375"/>
      <c r="W764" s="375"/>
      <c r="X764" s="375"/>
      <c r="Y764" s="375"/>
      <c r="Z764" s="375"/>
      <c r="AA764" s="375"/>
      <c r="AB764" s="375"/>
      <c r="AC764" s="375"/>
      <c r="AD764" s="375"/>
      <c r="AE764" s="375"/>
      <c r="AF764" s="375"/>
    </row>
    <row r="765">
      <c r="A765" s="360"/>
      <c r="B765" s="360"/>
      <c r="C765" s="377"/>
      <c r="D765" s="377"/>
      <c r="E765" s="378"/>
      <c r="F765" s="377"/>
      <c r="G765" s="377"/>
      <c r="H765" s="378"/>
      <c r="I765" s="360"/>
      <c r="J765" s="377"/>
      <c r="K765" s="377"/>
      <c r="L765" s="378"/>
      <c r="M765" s="377"/>
      <c r="N765" s="377"/>
      <c r="O765" s="377"/>
      <c r="P765" s="364"/>
      <c r="Q765" s="360"/>
      <c r="R765" s="377"/>
      <c r="S765" s="377"/>
      <c r="T765" s="375"/>
      <c r="U765" s="375"/>
      <c r="V765" s="375"/>
      <c r="W765" s="375"/>
      <c r="X765" s="375"/>
      <c r="Y765" s="375"/>
      <c r="Z765" s="375"/>
      <c r="AA765" s="375"/>
      <c r="AB765" s="375"/>
      <c r="AC765" s="375"/>
      <c r="AD765" s="375"/>
      <c r="AE765" s="375"/>
      <c r="AF765" s="375"/>
    </row>
    <row r="766">
      <c r="A766" s="360"/>
      <c r="B766" s="360"/>
      <c r="C766" s="377"/>
      <c r="D766" s="377"/>
      <c r="E766" s="378"/>
      <c r="F766" s="377"/>
      <c r="G766" s="377"/>
      <c r="H766" s="378"/>
      <c r="I766" s="360"/>
      <c r="J766" s="377"/>
      <c r="K766" s="377"/>
      <c r="L766" s="378"/>
      <c r="M766" s="377"/>
      <c r="N766" s="377"/>
      <c r="O766" s="377"/>
      <c r="P766" s="364"/>
      <c r="Q766" s="360"/>
      <c r="R766" s="377"/>
      <c r="S766" s="377"/>
      <c r="T766" s="375"/>
      <c r="U766" s="375"/>
      <c r="V766" s="375"/>
      <c r="W766" s="375"/>
      <c r="X766" s="375"/>
      <c r="Y766" s="375"/>
      <c r="Z766" s="375"/>
      <c r="AA766" s="375"/>
      <c r="AB766" s="375"/>
      <c r="AC766" s="375"/>
      <c r="AD766" s="375"/>
      <c r="AE766" s="375"/>
      <c r="AF766" s="375"/>
    </row>
    <row r="767">
      <c r="A767" s="360"/>
      <c r="B767" s="360"/>
      <c r="C767" s="377"/>
      <c r="D767" s="377"/>
      <c r="E767" s="378"/>
      <c r="F767" s="377"/>
      <c r="G767" s="377"/>
      <c r="H767" s="378"/>
      <c r="I767" s="360"/>
      <c r="J767" s="377"/>
      <c r="K767" s="377"/>
      <c r="L767" s="378"/>
      <c r="M767" s="377"/>
      <c r="N767" s="377"/>
      <c r="O767" s="377"/>
      <c r="P767" s="364"/>
      <c r="Q767" s="360"/>
      <c r="R767" s="377"/>
      <c r="S767" s="377"/>
      <c r="T767" s="375"/>
      <c r="U767" s="375"/>
      <c r="V767" s="375"/>
      <c r="W767" s="375"/>
      <c r="X767" s="375"/>
      <c r="Y767" s="375"/>
      <c r="Z767" s="375"/>
      <c r="AA767" s="375"/>
      <c r="AB767" s="375"/>
      <c r="AC767" s="375"/>
      <c r="AD767" s="375"/>
      <c r="AE767" s="375"/>
      <c r="AF767" s="375"/>
    </row>
    <row r="768">
      <c r="A768" s="360"/>
      <c r="B768" s="360"/>
      <c r="C768" s="377"/>
      <c r="D768" s="377"/>
      <c r="E768" s="378"/>
      <c r="F768" s="377"/>
      <c r="G768" s="377"/>
      <c r="H768" s="378"/>
      <c r="I768" s="360"/>
      <c r="J768" s="377"/>
      <c r="K768" s="377"/>
      <c r="L768" s="378"/>
      <c r="M768" s="377"/>
      <c r="N768" s="377"/>
      <c r="O768" s="377"/>
      <c r="P768" s="364"/>
      <c r="Q768" s="360"/>
      <c r="R768" s="377"/>
      <c r="S768" s="377"/>
      <c r="T768" s="375"/>
      <c r="U768" s="375"/>
      <c r="V768" s="375"/>
      <c r="W768" s="375"/>
      <c r="X768" s="375"/>
      <c r="Y768" s="375"/>
      <c r="Z768" s="375"/>
      <c r="AA768" s="375"/>
      <c r="AB768" s="375"/>
      <c r="AC768" s="375"/>
      <c r="AD768" s="375"/>
      <c r="AE768" s="375"/>
      <c r="AF768" s="375"/>
    </row>
    <row r="769">
      <c r="A769" s="360"/>
      <c r="B769" s="360"/>
      <c r="C769" s="377"/>
      <c r="D769" s="377"/>
      <c r="E769" s="378"/>
      <c r="F769" s="377"/>
      <c r="G769" s="377"/>
      <c r="H769" s="378"/>
      <c r="I769" s="360"/>
      <c r="J769" s="377"/>
      <c r="K769" s="377"/>
      <c r="L769" s="378"/>
      <c r="M769" s="377"/>
      <c r="N769" s="377"/>
      <c r="O769" s="377"/>
      <c r="P769" s="364"/>
      <c r="Q769" s="360"/>
      <c r="R769" s="377"/>
      <c r="S769" s="377"/>
      <c r="T769" s="375"/>
      <c r="U769" s="375"/>
      <c r="V769" s="375"/>
      <c r="W769" s="375"/>
      <c r="X769" s="375"/>
      <c r="Y769" s="375"/>
      <c r="Z769" s="375"/>
      <c r="AA769" s="375"/>
      <c r="AB769" s="375"/>
      <c r="AC769" s="375"/>
      <c r="AD769" s="375"/>
      <c r="AE769" s="375"/>
      <c r="AF769" s="375"/>
    </row>
    <row r="770">
      <c r="A770" s="360"/>
      <c r="B770" s="360"/>
      <c r="C770" s="377"/>
      <c r="D770" s="377"/>
      <c r="E770" s="378"/>
      <c r="F770" s="377"/>
      <c r="G770" s="377"/>
      <c r="H770" s="378"/>
      <c r="I770" s="360"/>
      <c r="J770" s="377"/>
      <c r="K770" s="377"/>
      <c r="L770" s="378"/>
      <c r="M770" s="377"/>
      <c r="N770" s="377"/>
      <c r="O770" s="377"/>
      <c r="P770" s="364"/>
      <c r="Q770" s="360"/>
      <c r="R770" s="377"/>
      <c r="S770" s="377"/>
      <c r="T770" s="375"/>
      <c r="U770" s="375"/>
      <c r="V770" s="375"/>
      <c r="W770" s="375"/>
      <c r="X770" s="375"/>
      <c r="Y770" s="375"/>
      <c r="Z770" s="375"/>
      <c r="AA770" s="375"/>
      <c r="AB770" s="375"/>
      <c r="AC770" s="375"/>
      <c r="AD770" s="375"/>
      <c r="AE770" s="375"/>
      <c r="AF770" s="375"/>
    </row>
    <row r="771">
      <c r="A771" s="360"/>
      <c r="B771" s="360"/>
      <c r="C771" s="377"/>
      <c r="D771" s="377"/>
      <c r="E771" s="378"/>
      <c r="F771" s="377"/>
      <c r="G771" s="377"/>
      <c r="H771" s="378"/>
      <c r="I771" s="360"/>
      <c r="J771" s="377"/>
      <c r="K771" s="377"/>
      <c r="L771" s="378"/>
      <c r="M771" s="377"/>
      <c r="N771" s="377"/>
      <c r="O771" s="377"/>
      <c r="P771" s="364"/>
      <c r="Q771" s="360"/>
      <c r="R771" s="377"/>
      <c r="S771" s="377"/>
      <c r="T771" s="375"/>
      <c r="U771" s="375"/>
      <c r="V771" s="375"/>
      <c r="W771" s="375"/>
      <c r="X771" s="375"/>
      <c r="Y771" s="375"/>
      <c r="Z771" s="375"/>
      <c r="AA771" s="375"/>
      <c r="AB771" s="375"/>
      <c r="AC771" s="375"/>
      <c r="AD771" s="375"/>
      <c r="AE771" s="375"/>
      <c r="AF771" s="375"/>
    </row>
    <row r="772">
      <c r="A772" s="360"/>
      <c r="B772" s="360"/>
      <c r="C772" s="377"/>
      <c r="D772" s="377"/>
      <c r="E772" s="378"/>
      <c r="F772" s="377"/>
      <c r="G772" s="377"/>
      <c r="H772" s="378"/>
      <c r="I772" s="360"/>
      <c r="J772" s="377"/>
      <c r="K772" s="377"/>
      <c r="L772" s="378"/>
      <c r="M772" s="377"/>
      <c r="N772" s="377"/>
      <c r="O772" s="377"/>
      <c r="P772" s="364"/>
      <c r="Q772" s="360"/>
      <c r="R772" s="377"/>
      <c r="S772" s="377"/>
      <c r="T772" s="375"/>
      <c r="U772" s="375"/>
      <c r="V772" s="375"/>
      <c r="W772" s="375"/>
      <c r="X772" s="375"/>
      <c r="Y772" s="375"/>
      <c r="Z772" s="375"/>
      <c r="AA772" s="375"/>
      <c r="AB772" s="375"/>
      <c r="AC772" s="375"/>
      <c r="AD772" s="375"/>
      <c r="AE772" s="375"/>
      <c r="AF772" s="375"/>
    </row>
    <row r="773">
      <c r="A773" s="360"/>
      <c r="B773" s="360"/>
      <c r="C773" s="377"/>
      <c r="D773" s="377"/>
      <c r="E773" s="378"/>
      <c r="F773" s="377"/>
      <c r="G773" s="377"/>
      <c r="H773" s="378"/>
      <c r="I773" s="360"/>
      <c r="J773" s="377"/>
      <c r="K773" s="377"/>
      <c r="L773" s="378"/>
      <c r="M773" s="377"/>
      <c r="N773" s="377"/>
      <c r="O773" s="377"/>
      <c r="P773" s="364"/>
      <c r="Q773" s="360"/>
      <c r="R773" s="377"/>
      <c r="S773" s="377"/>
      <c r="T773" s="375"/>
      <c r="U773" s="375"/>
      <c r="V773" s="375"/>
      <c r="W773" s="375"/>
      <c r="X773" s="375"/>
      <c r="Y773" s="375"/>
      <c r="Z773" s="375"/>
      <c r="AA773" s="375"/>
      <c r="AB773" s="375"/>
      <c r="AC773" s="375"/>
      <c r="AD773" s="375"/>
      <c r="AE773" s="375"/>
      <c r="AF773" s="375"/>
    </row>
    <row r="774">
      <c r="A774" s="360"/>
      <c r="B774" s="360"/>
      <c r="C774" s="377"/>
      <c r="D774" s="377"/>
      <c r="E774" s="378"/>
      <c r="F774" s="377"/>
      <c r="G774" s="377"/>
      <c r="H774" s="378"/>
      <c r="I774" s="360"/>
      <c r="J774" s="377"/>
      <c r="K774" s="377"/>
      <c r="L774" s="378"/>
      <c r="M774" s="377"/>
      <c r="N774" s="377"/>
      <c r="O774" s="377"/>
      <c r="P774" s="364"/>
      <c r="Q774" s="360"/>
      <c r="R774" s="377"/>
      <c r="S774" s="377"/>
      <c r="T774" s="375"/>
      <c r="U774" s="375"/>
      <c r="V774" s="375"/>
      <c r="W774" s="375"/>
      <c r="X774" s="375"/>
      <c r="Y774" s="375"/>
      <c r="Z774" s="375"/>
      <c r="AA774" s="375"/>
      <c r="AB774" s="375"/>
      <c r="AC774" s="375"/>
      <c r="AD774" s="375"/>
      <c r="AE774" s="375"/>
      <c r="AF774" s="375"/>
    </row>
    <row r="775">
      <c r="A775" s="360"/>
      <c r="B775" s="360"/>
      <c r="C775" s="377"/>
      <c r="D775" s="377"/>
      <c r="E775" s="378"/>
      <c r="F775" s="377"/>
      <c r="G775" s="377"/>
      <c r="H775" s="378"/>
      <c r="I775" s="360"/>
      <c r="J775" s="377"/>
      <c r="K775" s="377"/>
      <c r="L775" s="378"/>
      <c r="M775" s="377"/>
      <c r="N775" s="377"/>
      <c r="O775" s="377"/>
      <c r="P775" s="364"/>
      <c r="Q775" s="360"/>
      <c r="R775" s="377"/>
      <c r="S775" s="377"/>
      <c r="T775" s="375"/>
      <c r="U775" s="375"/>
      <c r="V775" s="375"/>
      <c r="W775" s="375"/>
      <c r="X775" s="375"/>
      <c r="Y775" s="375"/>
      <c r="Z775" s="375"/>
      <c r="AA775" s="375"/>
      <c r="AB775" s="375"/>
      <c r="AC775" s="375"/>
      <c r="AD775" s="375"/>
      <c r="AE775" s="375"/>
      <c r="AF775" s="375"/>
    </row>
    <row r="776">
      <c r="A776" s="360"/>
      <c r="B776" s="360"/>
      <c r="C776" s="377"/>
      <c r="D776" s="377"/>
      <c r="E776" s="378"/>
      <c r="F776" s="377"/>
      <c r="G776" s="377"/>
      <c r="H776" s="378"/>
      <c r="I776" s="360"/>
      <c r="J776" s="377"/>
      <c r="K776" s="377"/>
      <c r="L776" s="378"/>
      <c r="M776" s="377"/>
      <c r="N776" s="377"/>
      <c r="O776" s="377"/>
      <c r="P776" s="364"/>
      <c r="Q776" s="360"/>
      <c r="R776" s="377"/>
      <c r="S776" s="377"/>
      <c r="T776" s="375"/>
      <c r="U776" s="375"/>
      <c r="V776" s="375"/>
      <c r="W776" s="375"/>
      <c r="X776" s="375"/>
      <c r="Y776" s="375"/>
      <c r="Z776" s="375"/>
      <c r="AA776" s="375"/>
      <c r="AB776" s="375"/>
      <c r="AC776" s="375"/>
      <c r="AD776" s="375"/>
      <c r="AE776" s="375"/>
      <c r="AF776" s="375"/>
    </row>
    <row r="777">
      <c r="A777" s="360"/>
      <c r="B777" s="360"/>
      <c r="C777" s="377"/>
      <c r="D777" s="377"/>
      <c r="E777" s="378"/>
      <c r="F777" s="377"/>
      <c r="G777" s="377"/>
      <c r="H777" s="378"/>
      <c r="I777" s="360"/>
      <c r="J777" s="377"/>
      <c r="K777" s="377"/>
      <c r="L777" s="378"/>
      <c r="M777" s="377"/>
      <c r="N777" s="377"/>
      <c r="O777" s="377"/>
      <c r="P777" s="364"/>
      <c r="Q777" s="360"/>
      <c r="R777" s="377"/>
      <c r="S777" s="377"/>
      <c r="T777" s="375"/>
      <c r="U777" s="375"/>
      <c r="V777" s="375"/>
      <c r="W777" s="375"/>
      <c r="X777" s="375"/>
      <c r="Y777" s="375"/>
      <c r="Z777" s="375"/>
      <c r="AA777" s="375"/>
      <c r="AB777" s="375"/>
      <c r="AC777" s="375"/>
      <c r="AD777" s="375"/>
      <c r="AE777" s="375"/>
      <c r="AF777" s="375"/>
    </row>
    <row r="778">
      <c r="A778" s="360"/>
      <c r="B778" s="360"/>
      <c r="C778" s="377"/>
      <c r="D778" s="377"/>
      <c r="E778" s="378"/>
      <c r="F778" s="377"/>
      <c r="G778" s="377"/>
      <c r="H778" s="378"/>
      <c r="I778" s="360"/>
      <c r="J778" s="377"/>
      <c r="K778" s="377"/>
      <c r="L778" s="378"/>
      <c r="M778" s="377"/>
      <c r="N778" s="377"/>
      <c r="O778" s="377"/>
      <c r="P778" s="364"/>
      <c r="Q778" s="360"/>
      <c r="R778" s="377"/>
      <c r="S778" s="377"/>
      <c r="T778" s="375"/>
      <c r="U778" s="375"/>
      <c r="V778" s="375"/>
      <c r="W778" s="375"/>
      <c r="X778" s="375"/>
      <c r="Y778" s="375"/>
      <c r="Z778" s="375"/>
      <c r="AA778" s="375"/>
      <c r="AB778" s="375"/>
      <c r="AC778" s="375"/>
      <c r="AD778" s="375"/>
      <c r="AE778" s="375"/>
      <c r="AF778" s="375"/>
    </row>
    <row r="779">
      <c r="A779" s="360"/>
      <c r="B779" s="360"/>
      <c r="C779" s="377"/>
      <c r="D779" s="377"/>
      <c r="E779" s="378"/>
      <c r="F779" s="377"/>
      <c r="G779" s="377"/>
      <c r="H779" s="378"/>
      <c r="I779" s="360"/>
      <c r="J779" s="377"/>
      <c r="K779" s="377"/>
      <c r="L779" s="378"/>
      <c r="M779" s="377"/>
      <c r="N779" s="377"/>
      <c r="O779" s="377"/>
      <c r="P779" s="364"/>
      <c r="Q779" s="360"/>
      <c r="R779" s="377"/>
      <c r="S779" s="377"/>
      <c r="T779" s="375"/>
      <c r="U779" s="375"/>
      <c r="V779" s="375"/>
      <c r="W779" s="375"/>
      <c r="X779" s="375"/>
      <c r="Y779" s="375"/>
      <c r="Z779" s="375"/>
      <c r="AA779" s="375"/>
      <c r="AB779" s="375"/>
      <c r="AC779" s="375"/>
      <c r="AD779" s="375"/>
      <c r="AE779" s="375"/>
      <c r="AF779" s="375"/>
    </row>
    <row r="780">
      <c r="A780" s="360"/>
      <c r="B780" s="360"/>
      <c r="C780" s="377"/>
      <c r="D780" s="377"/>
      <c r="E780" s="378"/>
      <c r="F780" s="377"/>
      <c r="G780" s="377"/>
      <c r="H780" s="378"/>
      <c r="I780" s="360"/>
      <c r="J780" s="377"/>
      <c r="K780" s="377"/>
      <c r="L780" s="378"/>
      <c r="M780" s="377"/>
      <c r="N780" s="377"/>
      <c r="O780" s="377"/>
      <c r="P780" s="364"/>
      <c r="Q780" s="360"/>
      <c r="R780" s="377"/>
      <c r="S780" s="377"/>
      <c r="T780" s="375"/>
      <c r="U780" s="375"/>
      <c r="V780" s="375"/>
      <c r="W780" s="375"/>
      <c r="X780" s="375"/>
      <c r="Y780" s="375"/>
      <c r="Z780" s="375"/>
      <c r="AA780" s="375"/>
      <c r="AB780" s="375"/>
      <c r="AC780" s="375"/>
      <c r="AD780" s="375"/>
      <c r="AE780" s="375"/>
      <c r="AF780" s="375"/>
    </row>
    <row r="781">
      <c r="A781" s="360"/>
      <c r="B781" s="360"/>
      <c r="C781" s="377"/>
      <c r="D781" s="377"/>
      <c r="E781" s="378"/>
      <c r="F781" s="377"/>
      <c r="G781" s="377"/>
      <c r="H781" s="378"/>
      <c r="I781" s="360"/>
      <c r="J781" s="377"/>
      <c r="K781" s="377"/>
      <c r="L781" s="378"/>
      <c r="M781" s="377"/>
      <c r="N781" s="377"/>
      <c r="O781" s="377"/>
      <c r="P781" s="364"/>
      <c r="Q781" s="360"/>
      <c r="R781" s="377"/>
      <c r="S781" s="377"/>
      <c r="T781" s="375"/>
      <c r="U781" s="375"/>
      <c r="V781" s="375"/>
      <c r="W781" s="375"/>
      <c r="X781" s="375"/>
      <c r="Y781" s="375"/>
      <c r="Z781" s="375"/>
      <c r="AA781" s="375"/>
      <c r="AB781" s="375"/>
      <c r="AC781" s="375"/>
      <c r="AD781" s="375"/>
      <c r="AE781" s="375"/>
      <c r="AF781" s="375"/>
    </row>
    <row r="782">
      <c r="A782" s="360"/>
      <c r="B782" s="360"/>
      <c r="C782" s="377"/>
      <c r="D782" s="377"/>
      <c r="E782" s="378"/>
      <c r="F782" s="377"/>
      <c r="G782" s="377"/>
      <c r="H782" s="378"/>
      <c r="I782" s="360"/>
      <c r="J782" s="377"/>
      <c r="K782" s="377"/>
      <c r="L782" s="378"/>
      <c r="M782" s="377"/>
      <c r="N782" s="377"/>
      <c r="O782" s="377"/>
      <c r="P782" s="364"/>
      <c r="Q782" s="360"/>
      <c r="R782" s="377"/>
      <c r="S782" s="377"/>
      <c r="T782" s="375"/>
      <c r="U782" s="375"/>
      <c r="V782" s="375"/>
      <c r="W782" s="375"/>
      <c r="X782" s="375"/>
      <c r="Y782" s="375"/>
      <c r="Z782" s="375"/>
      <c r="AA782" s="375"/>
      <c r="AB782" s="375"/>
      <c r="AC782" s="375"/>
      <c r="AD782" s="375"/>
      <c r="AE782" s="375"/>
      <c r="AF782" s="375"/>
    </row>
    <row r="783">
      <c r="A783" s="360"/>
      <c r="B783" s="360"/>
      <c r="C783" s="377"/>
      <c r="D783" s="377"/>
      <c r="E783" s="378"/>
      <c r="F783" s="377"/>
      <c r="G783" s="377"/>
      <c r="H783" s="378"/>
      <c r="I783" s="360"/>
      <c r="J783" s="377"/>
      <c r="K783" s="377"/>
      <c r="L783" s="378"/>
      <c r="M783" s="377"/>
      <c r="N783" s="377"/>
      <c r="O783" s="377"/>
      <c r="P783" s="364"/>
      <c r="Q783" s="360"/>
      <c r="R783" s="377"/>
      <c r="S783" s="377"/>
      <c r="T783" s="375"/>
      <c r="U783" s="375"/>
      <c r="V783" s="375"/>
      <c r="W783" s="375"/>
      <c r="X783" s="375"/>
      <c r="Y783" s="375"/>
      <c r="Z783" s="375"/>
      <c r="AA783" s="375"/>
      <c r="AB783" s="375"/>
      <c r="AC783" s="375"/>
      <c r="AD783" s="375"/>
      <c r="AE783" s="375"/>
      <c r="AF783" s="375"/>
    </row>
    <row r="784">
      <c r="A784" s="360"/>
      <c r="B784" s="360"/>
      <c r="C784" s="377"/>
      <c r="D784" s="377"/>
      <c r="E784" s="378"/>
      <c r="F784" s="377"/>
      <c r="G784" s="377"/>
      <c r="H784" s="378"/>
      <c r="I784" s="360"/>
      <c r="J784" s="377"/>
      <c r="K784" s="377"/>
      <c r="L784" s="378"/>
      <c r="M784" s="377"/>
      <c r="N784" s="377"/>
      <c r="O784" s="377"/>
      <c r="P784" s="364"/>
      <c r="Q784" s="360"/>
      <c r="R784" s="377"/>
      <c r="S784" s="377"/>
      <c r="T784" s="375"/>
      <c r="U784" s="375"/>
      <c r="V784" s="375"/>
      <c r="W784" s="375"/>
      <c r="X784" s="375"/>
      <c r="Y784" s="375"/>
      <c r="Z784" s="375"/>
      <c r="AA784" s="375"/>
      <c r="AB784" s="375"/>
      <c r="AC784" s="375"/>
      <c r="AD784" s="375"/>
      <c r="AE784" s="375"/>
      <c r="AF784" s="375"/>
    </row>
    <row r="785">
      <c r="A785" s="360"/>
      <c r="B785" s="360"/>
      <c r="C785" s="377"/>
      <c r="D785" s="377"/>
      <c r="E785" s="378"/>
      <c r="F785" s="377"/>
      <c r="G785" s="377"/>
      <c r="H785" s="378"/>
      <c r="I785" s="360"/>
      <c r="J785" s="377"/>
      <c r="K785" s="377"/>
      <c r="L785" s="378"/>
      <c r="M785" s="377"/>
      <c r="N785" s="377"/>
      <c r="O785" s="377"/>
      <c r="P785" s="364"/>
      <c r="Q785" s="360"/>
      <c r="R785" s="377"/>
      <c r="S785" s="377"/>
      <c r="T785" s="375"/>
      <c r="U785" s="375"/>
      <c r="V785" s="375"/>
      <c r="W785" s="375"/>
      <c r="X785" s="375"/>
      <c r="Y785" s="375"/>
      <c r="Z785" s="375"/>
      <c r="AA785" s="375"/>
      <c r="AB785" s="375"/>
      <c r="AC785" s="375"/>
      <c r="AD785" s="375"/>
      <c r="AE785" s="375"/>
      <c r="AF785" s="375"/>
    </row>
    <row r="786">
      <c r="A786" s="360"/>
      <c r="B786" s="360"/>
      <c r="C786" s="377"/>
      <c r="D786" s="377"/>
      <c r="E786" s="378"/>
      <c r="F786" s="377"/>
      <c r="G786" s="377"/>
      <c r="H786" s="378"/>
      <c r="I786" s="360"/>
      <c r="J786" s="377"/>
      <c r="K786" s="377"/>
      <c r="L786" s="378"/>
      <c r="M786" s="377"/>
      <c r="N786" s="377"/>
      <c r="O786" s="377"/>
      <c r="P786" s="364"/>
      <c r="Q786" s="360"/>
      <c r="R786" s="377"/>
      <c r="S786" s="377"/>
      <c r="T786" s="375"/>
      <c r="U786" s="375"/>
      <c r="V786" s="375"/>
      <c r="W786" s="375"/>
      <c r="X786" s="375"/>
      <c r="Y786" s="375"/>
      <c r="Z786" s="375"/>
      <c r="AA786" s="375"/>
      <c r="AB786" s="375"/>
      <c r="AC786" s="375"/>
      <c r="AD786" s="375"/>
      <c r="AE786" s="375"/>
      <c r="AF786" s="375"/>
    </row>
    <row r="787">
      <c r="A787" s="360"/>
      <c r="B787" s="360"/>
      <c r="C787" s="377"/>
      <c r="D787" s="377"/>
      <c r="E787" s="378"/>
      <c r="F787" s="377"/>
      <c r="G787" s="377"/>
      <c r="H787" s="378"/>
      <c r="I787" s="360"/>
      <c r="J787" s="377"/>
      <c r="K787" s="377"/>
      <c r="L787" s="378"/>
      <c r="M787" s="377"/>
      <c r="N787" s="377"/>
      <c r="O787" s="377"/>
      <c r="P787" s="364"/>
      <c r="Q787" s="360"/>
      <c r="R787" s="377"/>
      <c r="S787" s="377"/>
      <c r="T787" s="375"/>
      <c r="U787" s="375"/>
      <c r="V787" s="375"/>
      <c r="W787" s="375"/>
      <c r="X787" s="375"/>
      <c r="Y787" s="375"/>
      <c r="Z787" s="375"/>
      <c r="AA787" s="375"/>
      <c r="AB787" s="375"/>
      <c r="AC787" s="375"/>
      <c r="AD787" s="375"/>
      <c r="AE787" s="375"/>
      <c r="AF787" s="375"/>
    </row>
    <row r="788">
      <c r="A788" s="360"/>
      <c r="B788" s="360"/>
      <c r="C788" s="377"/>
      <c r="D788" s="377"/>
      <c r="E788" s="378"/>
      <c r="F788" s="377"/>
      <c r="G788" s="377"/>
      <c r="H788" s="378"/>
      <c r="I788" s="360"/>
      <c r="J788" s="377"/>
      <c r="K788" s="377"/>
      <c r="L788" s="378"/>
      <c r="M788" s="377"/>
      <c r="N788" s="377"/>
      <c r="O788" s="377"/>
      <c r="P788" s="364"/>
      <c r="Q788" s="360"/>
      <c r="R788" s="377"/>
      <c r="S788" s="377"/>
      <c r="T788" s="375"/>
      <c r="U788" s="375"/>
      <c r="V788" s="375"/>
      <c r="W788" s="375"/>
      <c r="X788" s="375"/>
      <c r="Y788" s="375"/>
      <c r="Z788" s="375"/>
      <c r="AA788" s="375"/>
      <c r="AB788" s="375"/>
      <c r="AC788" s="375"/>
      <c r="AD788" s="375"/>
      <c r="AE788" s="375"/>
      <c r="AF788" s="375"/>
    </row>
    <row r="789">
      <c r="A789" s="360"/>
      <c r="B789" s="360"/>
      <c r="C789" s="377"/>
      <c r="D789" s="377"/>
      <c r="E789" s="378"/>
      <c r="F789" s="377"/>
      <c r="G789" s="377"/>
      <c r="H789" s="378"/>
      <c r="I789" s="360"/>
      <c r="J789" s="377"/>
      <c r="K789" s="377"/>
      <c r="L789" s="378"/>
      <c r="M789" s="377"/>
      <c r="N789" s="377"/>
      <c r="O789" s="377"/>
      <c r="P789" s="364"/>
      <c r="Q789" s="360"/>
      <c r="R789" s="377"/>
      <c r="S789" s="377"/>
      <c r="T789" s="375"/>
      <c r="U789" s="375"/>
      <c r="V789" s="375"/>
      <c r="W789" s="375"/>
      <c r="X789" s="375"/>
      <c r="Y789" s="375"/>
      <c r="Z789" s="375"/>
      <c r="AA789" s="375"/>
      <c r="AB789" s="375"/>
      <c r="AC789" s="375"/>
      <c r="AD789" s="375"/>
      <c r="AE789" s="375"/>
      <c r="AF789" s="375"/>
    </row>
    <row r="790">
      <c r="A790" s="360"/>
      <c r="B790" s="360"/>
      <c r="C790" s="377"/>
      <c r="D790" s="377"/>
      <c r="E790" s="378"/>
      <c r="F790" s="377"/>
      <c r="G790" s="377"/>
      <c r="H790" s="378"/>
      <c r="I790" s="360"/>
      <c r="J790" s="377"/>
      <c r="K790" s="377"/>
      <c r="L790" s="378"/>
      <c r="M790" s="377"/>
      <c r="N790" s="377"/>
      <c r="O790" s="377"/>
      <c r="P790" s="364"/>
      <c r="Q790" s="360"/>
      <c r="R790" s="377"/>
      <c r="S790" s="377"/>
      <c r="T790" s="375"/>
      <c r="U790" s="375"/>
      <c r="V790" s="375"/>
      <c r="W790" s="375"/>
      <c r="X790" s="375"/>
      <c r="Y790" s="375"/>
      <c r="Z790" s="375"/>
      <c r="AA790" s="375"/>
      <c r="AB790" s="375"/>
      <c r="AC790" s="375"/>
      <c r="AD790" s="375"/>
      <c r="AE790" s="375"/>
      <c r="AF790" s="375"/>
    </row>
    <row r="791">
      <c r="A791" s="360"/>
      <c r="B791" s="360"/>
      <c r="C791" s="377"/>
      <c r="D791" s="377"/>
      <c r="E791" s="378"/>
      <c r="F791" s="377"/>
      <c r="G791" s="377"/>
      <c r="H791" s="378"/>
      <c r="I791" s="360"/>
      <c r="J791" s="377"/>
      <c r="K791" s="377"/>
      <c r="L791" s="378"/>
      <c r="M791" s="377"/>
      <c r="N791" s="377"/>
      <c r="O791" s="377"/>
      <c r="P791" s="364"/>
      <c r="Q791" s="360"/>
      <c r="R791" s="377"/>
      <c r="S791" s="377"/>
      <c r="T791" s="375"/>
      <c r="U791" s="375"/>
      <c r="V791" s="375"/>
      <c r="W791" s="375"/>
      <c r="X791" s="375"/>
      <c r="Y791" s="375"/>
      <c r="Z791" s="375"/>
      <c r="AA791" s="375"/>
      <c r="AB791" s="375"/>
      <c r="AC791" s="375"/>
      <c r="AD791" s="375"/>
      <c r="AE791" s="375"/>
      <c r="AF791" s="375"/>
    </row>
    <row r="792">
      <c r="A792" s="360"/>
      <c r="B792" s="360"/>
      <c r="C792" s="377"/>
      <c r="D792" s="377"/>
      <c r="E792" s="378"/>
      <c r="F792" s="377"/>
      <c r="G792" s="377"/>
      <c r="H792" s="378"/>
      <c r="I792" s="360"/>
      <c r="J792" s="377"/>
      <c r="K792" s="377"/>
      <c r="L792" s="378"/>
      <c r="M792" s="377"/>
      <c r="N792" s="377"/>
      <c r="O792" s="377"/>
      <c r="P792" s="364"/>
      <c r="Q792" s="360"/>
      <c r="R792" s="377"/>
      <c r="S792" s="377"/>
      <c r="T792" s="375"/>
      <c r="U792" s="375"/>
      <c r="V792" s="375"/>
      <c r="W792" s="375"/>
      <c r="X792" s="375"/>
      <c r="Y792" s="375"/>
      <c r="Z792" s="375"/>
      <c r="AA792" s="375"/>
      <c r="AB792" s="375"/>
      <c r="AC792" s="375"/>
      <c r="AD792" s="375"/>
      <c r="AE792" s="375"/>
      <c r="AF792" s="375"/>
    </row>
    <row r="793">
      <c r="A793" s="360"/>
      <c r="B793" s="360"/>
      <c r="C793" s="377"/>
      <c r="D793" s="377"/>
      <c r="E793" s="378"/>
      <c r="F793" s="377"/>
      <c r="G793" s="377"/>
      <c r="H793" s="378"/>
      <c r="I793" s="360"/>
      <c r="J793" s="377"/>
      <c r="K793" s="377"/>
      <c r="L793" s="378"/>
      <c r="M793" s="377"/>
      <c r="N793" s="377"/>
      <c r="O793" s="377"/>
      <c r="P793" s="364"/>
      <c r="Q793" s="360"/>
      <c r="R793" s="377"/>
      <c r="S793" s="377"/>
      <c r="T793" s="375"/>
      <c r="U793" s="375"/>
      <c r="V793" s="375"/>
      <c r="W793" s="375"/>
      <c r="X793" s="375"/>
      <c r="Y793" s="375"/>
      <c r="Z793" s="375"/>
      <c r="AA793" s="375"/>
      <c r="AB793" s="375"/>
      <c r="AC793" s="375"/>
      <c r="AD793" s="375"/>
      <c r="AE793" s="375"/>
      <c r="AF793" s="375"/>
    </row>
    <row r="794">
      <c r="A794" s="360"/>
      <c r="B794" s="360"/>
      <c r="C794" s="377"/>
      <c r="D794" s="377"/>
      <c r="E794" s="378"/>
      <c r="F794" s="377"/>
      <c r="G794" s="377"/>
      <c r="H794" s="378"/>
      <c r="I794" s="360"/>
      <c r="J794" s="377"/>
      <c r="K794" s="377"/>
      <c r="L794" s="378"/>
      <c r="M794" s="377"/>
      <c r="N794" s="377"/>
      <c r="O794" s="377"/>
      <c r="P794" s="364"/>
      <c r="Q794" s="360"/>
      <c r="R794" s="377"/>
      <c r="S794" s="377"/>
      <c r="T794" s="375"/>
      <c r="U794" s="375"/>
      <c r="V794" s="375"/>
      <c r="W794" s="375"/>
      <c r="X794" s="375"/>
      <c r="Y794" s="375"/>
      <c r="Z794" s="375"/>
      <c r="AA794" s="375"/>
      <c r="AB794" s="375"/>
      <c r="AC794" s="375"/>
      <c r="AD794" s="375"/>
      <c r="AE794" s="375"/>
      <c r="AF794" s="375"/>
    </row>
    <row r="795">
      <c r="A795" s="360"/>
      <c r="B795" s="360"/>
      <c r="C795" s="377"/>
      <c r="D795" s="377"/>
      <c r="E795" s="378"/>
      <c r="F795" s="377"/>
      <c r="G795" s="377"/>
      <c r="H795" s="378"/>
      <c r="I795" s="360"/>
      <c r="J795" s="377"/>
      <c r="K795" s="377"/>
      <c r="L795" s="378"/>
      <c r="M795" s="377"/>
      <c r="N795" s="377"/>
      <c r="O795" s="377"/>
      <c r="P795" s="364"/>
      <c r="Q795" s="360"/>
      <c r="R795" s="377"/>
      <c r="S795" s="377"/>
      <c r="T795" s="375"/>
      <c r="U795" s="375"/>
      <c r="V795" s="375"/>
      <c r="W795" s="375"/>
      <c r="X795" s="375"/>
      <c r="Y795" s="375"/>
      <c r="Z795" s="375"/>
      <c r="AA795" s="375"/>
      <c r="AB795" s="375"/>
      <c r="AC795" s="375"/>
      <c r="AD795" s="375"/>
      <c r="AE795" s="375"/>
      <c r="AF795" s="375"/>
    </row>
    <row r="796">
      <c r="A796" s="360"/>
      <c r="B796" s="360"/>
      <c r="C796" s="377"/>
      <c r="D796" s="377"/>
      <c r="E796" s="378"/>
      <c r="F796" s="377"/>
      <c r="G796" s="377"/>
      <c r="H796" s="378"/>
      <c r="I796" s="360"/>
      <c r="J796" s="377"/>
      <c r="K796" s="377"/>
      <c r="L796" s="378"/>
      <c r="M796" s="377"/>
      <c r="N796" s="377"/>
      <c r="O796" s="377"/>
      <c r="P796" s="364"/>
      <c r="Q796" s="360"/>
      <c r="R796" s="377"/>
      <c r="S796" s="377"/>
      <c r="T796" s="375"/>
      <c r="U796" s="375"/>
      <c r="V796" s="375"/>
      <c r="W796" s="375"/>
      <c r="X796" s="375"/>
      <c r="Y796" s="375"/>
      <c r="Z796" s="375"/>
      <c r="AA796" s="375"/>
      <c r="AB796" s="375"/>
      <c r="AC796" s="375"/>
      <c r="AD796" s="375"/>
      <c r="AE796" s="375"/>
      <c r="AF796" s="375"/>
    </row>
    <row r="797">
      <c r="A797" s="360"/>
      <c r="B797" s="360"/>
      <c r="C797" s="377"/>
      <c r="D797" s="377"/>
      <c r="E797" s="378"/>
      <c r="F797" s="377"/>
      <c r="G797" s="377"/>
      <c r="H797" s="378"/>
      <c r="I797" s="360"/>
      <c r="J797" s="377"/>
      <c r="K797" s="377"/>
      <c r="L797" s="378"/>
      <c r="M797" s="377"/>
      <c r="N797" s="377"/>
      <c r="O797" s="377"/>
      <c r="P797" s="364"/>
      <c r="Q797" s="360"/>
      <c r="R797" s="377"/>
      <c r="S797" s="377"/>
      <c r="T797" s="375"/>
      <c r="U797" s="375"/>
      <c r="V797" s="375"/>
      <c r="W797" s="375"/>
      <c r="X797" s="375"/>
      <c r="Y797" s="375"/>
      <c r="Z797" s="375"/>
      <c r="AA797" s="375"/>
      <c r="AB797" s="375"/>
      <c r="AC797" s="375"/>
      <c r="AD797" s="375"/>
      <c r="AE797" s="375"/>
      <c r="AF797" s="375"/>
    </row>
    <row r="798">
      <c r="A798" s="360"/>
      <c r="B798" s="360"/>
      <c r="C798" s="377"/>
      <c r="D798" s="377"/>
      <c r="E798" s="378"/>
      <c r="F798" s="377"/>
      <c r="G798" s="377"/>
      <c r="H798" s="378"/>
      <c r="I798" s="360"/>
      <c r="J798" s="377"/>
      <c r="K798" s="377"/>
      <c r="L798" s="378"/>
      <c r="M798" s="377"/>
      <c r="N798" s="377"/>
      <c r="O798" s="377"/>
      <c r="P798" s="364"/>
      <c r="Q798" s="360"/>
      <c r="R798" s="377"/>
      <c r="S798" s="377"/>
      <c r="T798" s="375"/>
      <c r="U798" s="375"/>
      <c r="V798" s="375"/>
      <c r="W798" s="375"/>
      <c r="X798" s="375"/>
      <c r="Y798" s="375"/>
      <c r="Z798" s="375"/>
      <c r="AA798" s="375"/>
      <c r="AB798" s="375"/>
      <c r="AC798" s="375"/>
      <c r="AD798" s="375"/>
      <c r="AE798" s="375"/>
      <c r="AF798" s="375"/>
    </row>
    <row r="799">
      <c r="A799" s="360"/>
      <c r="B799" s="360"/>
      <c r="C799" s="377"/>
      <c r="D799" s="377"/>
      <c r="E799" s="378"/>
      <c r="F799" s="377"/>
      <c r="G799" s="377"/>
      <c r="H799" s="378"/>
      <c r="I799" s="360"/>
      <c r="J799" s="377"/>
      <c r="K799" s="377"/>
      <c r="L799" s="378"/>
      <c r="M799" s="377"/>
      <c r="N799" s="377"/>
      <c r="O799" s="377"/>
      <c r="P799" s="364"/>
      <c r="Q799" s="360"/>
      <c r="R799" s="377"/>
      <c r="S799" s="377"/>
      <c r="T799" s="375"/>
      <c r="U799" s="375"/>
      <c r="V799" s="375"/>
      <c r="W799" s="375"/>
      <c r="X799" s="375"/>
      <c r="Y799" s="375"/>
      <c r="Z799" s="375"/>
      <c r="AA799" s="375"/>
      <c r="AB799" s="375"/>
      <c r="AC799" s="375"/>
      <c r="AD799" s="375"/>
      <c r="AE799" s="375"/>
      <c r="AF799" s="375"/>
    </row>
    <row r="800">
      <c r="A800" s="360"/>
      <c r="B800" s="360"/>
      <c r="C800" s="377"/>
      <c r="D800" s="377"/>
      <c r="E800" s="378"/>
      <c r="F800" s="377"/>
      <c r="G800" s="377"/>
      <c r="H800" s="378"/>
      <c r="I800" s="360"/>
      <c r="J800" s="377"/>
      <c r="K800" s="377"/>
      <c r="L800" s="378"/>
      <c r="M800" s="377"/>
      <c r="N800" s="377"/>
      <c r="O800" s="377"/>
      <c r="P800" s="364"/>
      <c r="Q800" s="360"/>
      <c r="R800" s="377"/>
      <c r="S800" s="377"/>
      <c r="T800" s="375"/>
      <c r="U800" s="375"/>
      <c r="V800" s="375"/>
      <c r="W800" s="375"/>
      <c r="X800" s="375"/>
      <c r="Y800" s="375"/>
      <c r="Z800" s="375"/>
      <c r="AA800" s="375"/>
      <c r="AB800" s="375"/>
      <c r="AC800" s="375"/>
      <c r="AD800" s="375"/>
      <c r="AE800" s="375"/>
      <c r="AF800" s="375"/>
    </row>
    <row r="801">
      <c r="A801" s="360"/>
      <c r="B801" s="360"/>
      <c r="C801" s="377"/>
      <c r="D801" s="377"/>
      <c r="E801" s="378"/>
      <c r="F801" s="377"/>
      <c r="G801" s="377"/>
      <c r="H801" s="378"/>
      <c r="I801" s="360"/>
      <c r="J801" s="377"/>
      <c r="K801" s="377"/>
      <c r="L801" s="378"/>
      <c r="M801" s="377"/>
      <c r="N801" s="377"/>
      <c r="O801" s="377"/>
      <c r="P801" s="364"/>
      <c r="Q801" s="360"/>
      <c r="R801" s="377"/>
      <c r="S801" s="377"/>
      <c r="T801" s="375"/>
      <c r="U801" s="375"/>
      <c r="V801" s="375"/>
      <c r="W801" s="375"/>
      <c r="X801" s="375"/>
      <c r="Y801" s="375"/>
      <c r="Z801" s="375"/>
      <c r="AA801" s="375"/>
      <c r="AB801" s="375"/>
      <c r="AC801" s="375"/>
      <c r="AD801" s="375"/>
      <c r="AE801" s="375"/>
      <c r="AF801" s="375"/>
    </row>
    <row r="802">
      <c r="A802" s="360"/>
      <c r="B802" s="360"/>
      <c r="C802" s="377"/>
      <c r="D802" s="377"/>
      <c r="E802" s="378"/>
      <c r="F802" s="377"/>
      <c r="G802" s="377"/>
      <c r="H802" s="378"/>
      <c r="I802" s="360"/>
      <c r="J802" s="377"/>
      <c r="K802" s="377"/>
      <c r="L802" s="378"/>
      <c r="M802" s="377"/>
      <c r="N802" s="377"/>
      <c r="O802" s="377"/>
      <c r="P802" s="364"/>
      <c r="Q802" s="360"/>
      <c r="R802" s="377"/>
      <c r="S802" s="377"/>
      <c r="T802" s="375"/>
      <c r="U802" s="375"/>
      <c r="V802" s="375"/>
      <c r="W802" s="375"/>
      <c r="X802" s="375"/>
      <c r="Y802" s="375"/>
      <c r="Z802" s="375"/>
      <c r="AA802" s="375"/>
      <c r="AB802" s="375"/>
      <c r="AC802" s="375"/>
      <c r="AD802" s="375"/>
      <c r="AE802" s="375"/>
      <c r="AF802" s="375"/>
    </row>
    <row r="803">
      <c r="A803" s="360"/>
      <c r="B803" s="360"/>
      <c r="C803" s="377"/>
      <c r="D803" s="377"/>
      <c r="E803" s="378"/>
      <c r="F803" s="377"/>
      <c r="G803" s="377"/>
      <c r="H803" s="378"/>
      <c r="I803" s="360"/>
      <c r="J803" s="377"/>
      <c r="K803" s="377"/>
      <c r="L803" s="378"/>
      <c r="M803" s="377"/>
      <c r="N803" s="377"/>
      <c r="O803" s="377"/>
      <c r="P803" s="364"/>
      <c r="Q803" s="360"/>
      <c r="R803" s="377"/>
      <c r="S803" s="377"/>
      <c r="T803" s="375"/>
      <c r="U803" s="375"/>
      <c r="V803" s="375"/>
      <c r="W803" s="375"/>
      <c r="X803" s="375"/>
      <c r="Y803" s="375"/>
      <c r="Z803" s="375"/>
      <c r="AA803" s="375"/>
      <c r="AB803" s="375"/>
      <c r="AC803" s="375"/>
      <c r="AD803" s="375"/>
      <c r="AE803" s="375"/>
      <c r="AF803" s="375"/>
    </row>
    <row r="804">
      <c r="A804" s="360"/>
      <c r="B804" s="360"/>
      <c r="C804" s="377"/>
      <c r="D804" s="377"/>
      <c r="E804" s="378"/>
      <c r="F804" s="377"/>
      <c r="G804" s="377"/>
      <c r="H804" s="378"/>
      <c r="I804" s="360"/>
      <c r="J804" s="377"/>
      <c r="K804" s="377"/>
      <c r="L804" s="378"/>
      <c r="M804" s="377"/>
      <c r="N804" s="377"/>
      <c r="O804" s="377"/>
      <c r="P804" s="364"/>
      <c r="Q804" s="360"/>
      <c r="R804" s="377"/>
      <c r="S804" s="377"/>
      <c r="T804" s="375"/>
      <c r="U804" s="375"/>
      <c r="V804" s="375"/>
      <c r="W804" s="375"/>
      <c r="X804" s="375"/>
      <c r="Y804" s="375"/>
      <c r="Z804" s="375"/>
      <c r="AA804" s="375"/>
      <c r="AB804" s="375"/>
      <c r="AC804" s="375"/>
      <c r="AD804" s="375"/>
      <c r="AE804" s="375"/>
      <c r="AF804" s="375"/>
    </row>
    <row r="805">
      <c r="A805" s="360"/>
      <c r="B805" s="360"/>
      <c r="C805" s="377"/>
      <c r="D805" s="377"/>
      <c r="E805" s="378"/>
      <c r="F805" s="377"/>
      <c r="G805" s="377"/>
      <c r="H805" s="378"/>
      <c r="I805" s="360"/>
      <c r="J805" s="377"/>
      <c r="K805" s="377"/>
      <c r="L805" s="378"/>
      <c r="M805" s="377"/>
      <c r="N805" s="377"/>
      <c r="O805" s="377"/>
      <c r="P805" s="364"/>
      <c r="Q805" s="360"/>
      <c r="R805" s="377"/>
      <c r="S805" s="377"/>
      <c r="T805" s="375"/>
      <c r="U805" s="375"/>
      <c r="V805" s="375"/>
      <c r="W805" s="375"/>
      <c r="X805" s="375"/>
      <c r="Y805" s="375"/>
      <c r="Z805" s="375"/>
      <c r="AA805" s="375"/>
      <c r="AB805" s="375"/>
      <c r="AC805" s="375"/>
      <c r="AD805" s="375"/>
      <c r="AE805" s="375"/>
      <c r="AF805" s="375"/>
    </row>
    <row r="806">
      <c r="A806" s="360"/>
      <c r="B806" s="360"/>
      <c r="C806" s="377"/>
      <c r="D806" s="377"/>
      <c r="E806" s="378"/>
      <c r="F806" s="377"/>
      <c r="G806" s="377"/>
      <c r="H806" s="378"/>
      <c r="I806" s="360"/>
      <c r="J806" s="377"/>
      <c r="K806" s="377"/>
      <c r="L806" s="378"/>
      <c r="M806" s="377"/>
      <c r="N806" s="377"/>
      <c r="O806" s="377"/>
      <c r="P806" s="364"/>
      <c r="Q806" s="360"/>
      <c r="R806" s="377"/>
      <c r="S806" s="377"/>
      <c r="T806" s="375"/>
      <c r="U806" s="375"/>
      <c r="V806" s="375"/>
      <c r="W806" s="375"/>
      <c r="X806" s="375"/>
      <c r="Y806" s="375"/>
      <c r="Z806" s="375"/>
      <c r="AA806" s="375"/>
      <c r="AB806" s="375"/>
      <c r="AC806" s="375"/>
      <c r="AD806" s="375"/>
      <c r="AE806" s="375"/>
      <c r="AF806" s="375"/>
    </row>
    <row r="807">
      <c r="A807" s="360"/>
      <c r="B807" s="360"/>
      <c r="C807" s="377"/>
      <c r="D807" s="377"/>
      <c r="E807" s="378"/>
      <c r="F807" s="377"/>
      <c r="G807" s="377"/>
      <c r="H807" s="378"/>
      <c r="I807" s="360"/>
      <c r="J807" s="377"/>
      <c r="K807" s="377"/>
      <c r="L807" s="378"/>
      <c r="M807" s="377"/>
      <c r="N807" s="377"/>
      <c r="O807" s="377"/>
      <c r="P807" s="364"/>
      <c r="Q807" s="360"/>
      <c r="R807" s="377"/>
      <c r="S807" s="377"/>
      <c r="T807" s="375"/>
      <c r="U807" s="375"/>
      <c r="V807" s="375"/>
      <c r="W807" s="375"/>
      <c r="X807" s="375"/>
      <c r="Y807" s="375"/>
      <c r="Z807" s="375"/>
      <c r="AA807" s="375"/>
      <c r="AB807" s="375"/>
      <c r="AC807" s="375"/>
      <c r="AD807" s="375"/>
      <c r="AE807" s="375"/>
      <c r="AF807" s="375"/>
    </row>
    <row r="808">
      <c r="A808" s="360"/>
      <c r="B808" s="360"/>
      <c r="C808" s="377"/>
      <c r="D808" s="377"/>
      <c r="E808" s="378"/>
      <c r="F808" s="377"/>
      <c r="G808" s="377"/>
      <c r="H808" s="378"/>
      <c r="I808" s="360"/>
      <c r="J808" s="377"/>
      <c r="K808" s="377"/>
      <c r="L808" s="378"/>
      <c r="M808" s="377"/>
      <c r="N808" s="377"/>
      <c r="O808" s="377"/>
      <c r="P808" s="364"/>
      <c r="Q808" s="360"/>
      <c r="R808" s="377"/>
      <c r="S808" s="377"/>
      <c r="T808" s="375"/>
      <c r="U808" s="375"/>
      <c r="V808" s="375"/>
      <c r="W808" s="375"/>
      <c r="X808" s="375"/>
      <c r="Y808" s="375"/>
      <c r="Z808" s="375"/>
      <c r="AA808" s="375"/>
      <c r="AB808" s="375"/>
      <c r="AC808" s="375"/>
      <c r="AD808" s="375"/>
      <c r="AE808" s="375"/>
      <c r="AF808" s="375"/>
    </row>
    <row r="809">
      <c r="A809" s="360"/>
      <c r="B809" s="360"/>
      <c r="C809" s="377"/>
      <c r="D809" s="377"/>
      <c r="E809" s="378"/>
      <c r="F809" s="377"/>
      <c r="G809" s="377"/>
      <c r="H809" s="378"/>
      <c r="I809" s="360"/>
      <c r="J809" s="377"/>
      <c r="K809" s="377"/>
      <c r="L809" s="378"/>
      <c r="M809" s="377"/>
      <c r="N809" s="377"/>
      <c r="O809" s="377"/>
      <c r="P809" s="364"/>
      <c r="Q809" s="360"/>
      <c r="R809" s="377"/>
      <c r="S809" s="377"/>
      <c r="T809" s="375"/>
      <c r="U809" s="375"/>
      <c r="V809" s="375"/>
      <c r="W809" s="375"/>
      <c r="X809" s="375"/>
      <c r="Y809" s="375"/>
      <c r="Z809" s="375"/>
      <c r="AA809" s="375"/>
      <c r="AB809" s="375"/>
      <c r="AC809" s="375"/>
      <c r="AD809" s="375"/>
      <c r="AE809" s="375"/>
      <c r="AF809" s="375"/>
    </row>
    <row r="810">
      <c r="A810" s="360"/>
      <c r="B810" s="360"/>
      <c r="C810" s="377"/>
      <c r="D810" s="377"/>
      <c r="E810" s="378"/>
      <c r="F810" s="377"/>
      <c r="G810" s="377"/>
      <c r="H810" s="378"/>
      <c r="I810" s="360"/>
      <c r="J810" s="377"/>
      <c r="K810" s="377"/>
      <c r="L810" s="378"/>
      <c r="M810" s="377"/>
      <c r="N810" s="377"/>
      <c r="O810" s="377"/>
      <c r="P810" s="364"/>
      <c r="Q810" s="360"/>
      <c r="R810" s="377"/>
      <c r="S810" s="377"/>
      <c r="T810" s="375"/>
      <c r="U810" s="375"/>
      <c r="V810" s="375"/>
      <c r="W810" s="375"/>
      <c r="X810" s="375"/>
      <c r="Y810" s="375"/>
      <c r="Z810" s="375"/>
      <c r="AA810" s="375"/>
      <c r="AB810" s="375"/>
      <c r="AC810" s="375"/>
      <c r="AD810" s="375"/>
      <c r="AE810" s="375"/>
      <c r="AF810" s="375"/>
    </row>
    <row r="811">
      <c r="A811" s="360"/>
      <c r="B811" s="360"/>
      <c r="C811" s="377"/>
      <c r="D811" s="377"/>
      <c r="E811" s="378"/>
      <c r="F811" s="377"/>
      <c r="G811" s="377"/>
      <c r="H811" s="378"/>
      <c r="I811" s="360"/>
      <c r="J811" s="377"/>
      <c r="K811" s="377"/>
      <c r="L811" s="378"/>
      <c r="M811" s="377"/>
      <c r="N811" s="377"/>
      <c r="O811" s="377"/>
      <c r="P811" s="364"/>
      <c r="Q811" s="360"/>
      <c r="R811" s="377"/>
      <c r="S811" s="377"/>
      <c r="T811" s="375"/>
      <c r="U811" s="375"/>
      <c r="V811" s="375"/>
      <c r="W811" s="375"/>
      <c r="X811" s="375"/>
      <c r="Y811" s="375"/>
      <c r="Z811" s="375"/>
      <c r="AA811" s="375"/>
      <c r="AB811" s="375"/>
      <c r="AC811" s="375"/>
      <c r="AD811" s="375"/>
      <c r="AE811" s="375"/>
      <c r="AF811" s="375"/>
    </row>
    <row r="812">
      <c r="A812" s="360"/>
      <c r="B812" s="360"/>
      <c r="C812" s="377"/>
      <c r="D812" s="377"/>
      <c r="E812" s="378"/>
      <c r="F812" s="377"/>
      <c r="G812" s="377"/>
      <c r="H812" s="378"/>
      <c r="I812" s="360"/>
      <c r="J812" s="377"/>
      <c r="K812" s="377"/>
      <c r="L812" s="378"/>
      <c r="M812" s="377"/>
      <c r="N812" s="377"/>
      <c r="O812" s="377"/>
      <c r="P812" s="364"/>
      <c r="Q812" s="360"/>
      <c r="R812" s="377"/>
      <c r="S812" s="377"/>
      <c r="T812" s="375"/>
      <c r="U812" s="375"/>
      <c r="V812" s="375"/>
      <c r="W812" s="375"/>
      <c r="X812" s="375"/>
      <c r="Y812" s="375"/>
      <c r="Z812" s="375"/>
      <c r="AA812" s="375"/>
      <c r="AB812" s="375"/>
      <c r="AC812" s="375"/>
      <c r="AD812" s="375"/>
      <c r="AE812" s="375"/>
      <c r="AF812" s="375"/>
    </row>
    <row r="813">
      <c r="A813" s="360"/>
      <c r="B813" s="360"/>
      <c r="C813" s="377"/>
      <c r="D813" s="377"/>
      <c r="E813" s="378"/>
      <c r="F813" s="377"/>
      <c r="G813" s="377"/>
      <c r="H813" s="378"/>
      <c r="I813" s="360"/>
      <c r="J813" s="377"/>
      <c r="K813" s="377"/>
      <c r="L813" s="378"/>
      <c r="M813" s="377"/>
      <c r="N813" s="377"/>
      <c r="O813" s="377"/>
      <c r="P813" s="364"/>
      <c r="Q813" s="360"/>
      <c r="R813" s="377"/>
      <c r="S813" s="377"/>
      <c r="T813" s="375"/>
      <c r="U813" s="375"/>
      <c r="V813" s="375"/>
      <c r="W813" s="375"/>
      <c r="X813" s="375"/>
      <c r="Y813" s="375"/>
      <c r="Z813" s="375"/>
      <c r="AA813" s="375"/>
      <c r="AB813" s="375"/>
      <c r="AC813" s="375"/>
      <c r="AD813" s="375"/>
      <c r="AE813" s="375"/>
      <c r="AF813" s="375"/>
    </row>
    <row r="814">
      <c r="A814" s="360"/>
      <c r="B814" s="360"/>
      <c r="C814" s="377"/>
      <c r="D814" s="377"/>
      <c r="E814" s="378"/>
      <c r="F814" s="377"/>
      <c r="G814" s="377"/>
      <c r="H814" s="378"/>
      <c r="I814" s="360"/>
      <c r="J814" s="377"/>
      <c r="K814" s="377"/>
      <c r="L814" s="378"/>
      <c r="M814" s="377"/>
      <c r="N814" s="377"/>
      <c r="O814" s="377"/>
      <c r="P814" s="364"/>
      <c r="Q814" s="360"/>
      <c r="R814" s="377"/>
      <c r="S814" s="377"/>
      <c r="T814" s="375"/>
      <c r="U814" s="375"/>
      <c r="V814" s="375"/>
      <c r="W814" s="375"/>
      <c r="X814" s="375"/>
      <c r="Y814" s="375"/>
      <c r="Z814" s="375"/>
      <c r="AA814" s="375"/>
      <c r="AB814" s="375"/>
      <c r="AC814" s="375"/>
      <c r="AD814" s="375"/>
      <c r="AE814" s="375"/>
      <c r="AF814" s="375"/>
    </row>
    <row r="815">
      <c r="A815" s="360"/>
      <c r="B815" s="360"/>
      <c r="C815" s="377"/>
      <c r="D815" s="377"/>
      <c r="E815" s="378"/>
      <c r="F815" s="377"/>
      <c r="G815" s="377"/>
      <c r="H815" s="378"/>
      <c r="I815" s="360"/>
      <c r="J815" s="377"/>
      <c r="K815" s="377"/>
      <c r="L815" s="378"/>
      <c r="M815" s="377"/>
      <c r="N815" s="377"/>
      <c r="O815" s="377"/>
      <c r="P815" s="364"/>
      <c r="Q815" s="360"/>
      <c r="R815" s="377"/>
      <c r="S815" s="377"/>
      <c r="T815" s="375"/>
      <c r="U815" s="375"/>
      <c r="V815" s="375"/>
      <c r="W815" s="375"/>
      <c r="X815" s="375"/>
      <c r="Y815" s="375"/>
      <c r="Z815" s="375"/>
      <c r="AA815" s="375"/>
      <c r="AB815" s="375"/>
      <c r="AC815" s="375"/>
      <c r="AD815" s="375"/>
      <c r="AE815" s="375"/>
      <c r="AF815" s="375"/>
    </row>
    <row r="816">
      <c r="A816" s="360"/>
      <c r="B816" s="360"/>
      <c r="C816" s="377"/>
      <c r="D816" s="377"/>
      <c r="E816" s="378"/>
      <c r="F816" s="377"/>
      <c r="G816" s="377"/>
      <c r="H816" s="378"/>
      <c r="I816" s="360"/>
      <c r="J816" s="377"/>
      <c r="K816" s="377"/>
      <c r="L816" s="378"/>
      <c r="M816" s="377"/>
      <c r="N816" s="377"/>
      <c r="O816" s="377"/>
      <c r="P816" s="364"/>
      <c r="Q816" s="360"/>
      <c r="R816" s="377"/>
      <c r="S816" s="377"/>
      <c r="T816" s="375"/>
      <c r="U816" s="375"/>
      <c r="V816" s="375"/>
      <c r="W816" s="375"/>
      <c r="X816" s="375"/>
      <c r="Y816" s="375"/>
      <c r="Z816" s="375"/>
      <c r="AA816" s="375"/>
      <c r="AB816" s="375"/>
      <c r="AC816" s="375"/>
      <c r="AD816" s="375"/>
      <c r="AE816" s="375"/>
      <c r="AF816" s="375"/>
    </row>
    <row r="817">
      <c r="A817" s="360"/>
      <c r="B817" s="360"/>
      <c r="C817" s="377"/>
      <c r="D817" s="377"/>
      <c r="E817" s="378"/>
      <c r="F817" s="377"/>
      <c r="G817" s="377"/>
      <c r="H817" s="378"/>
      <c r="I817" s="360"/>
      <c r="J817" s="377"/>
      <c r="K817" s="377"/>
      <c r="L817" s="378"/>
      <c r="M817" s="377"/>
      <c r="N817" s="377"/>
      <c r="O817" s="377"/>
      <c r="P817" s="364"/>
      <c r="Q817" s="360"/>
      <c r="R817" s="377"/>
      <c r="S817" s="377"/>
      <c r="T817" s="375"/>
      <c r="U817" s="375"/>
      <c r="V817" s="375"/>
      <c r="W817" s="375"/>
      <c r="X817" s="375"/>
      <c r="Y817" s="375"/>
      <c r="Z817" s="375"/>
      <c r="AA817" s="375"/>
      <c r="AB817" s="375"/>
      <c r="AC817" s="375"/>
      <c r="AD817" s="375"/>
      <c r="AE817" s="375"/>
      <c r="AF817" s="375"/>
    </row>
    <row r="818">
      <c r="A818" s="360"/>
      <c r="B818" s="360"/>
      <c r="C818" s="377"/>
      <c r="D818" s="377"/>
      <c r="E818" s="378"/>
      <c r="F818" s="377"/>
      <c r="G818" s="377"/>
      <c r="H818" s="378"/>
      <c r="I818" s="360"/>
      <c r="J818" s="377"/>
      <c r="K818" s="377"/>
      <c r="L818" s="378"/>
      <c r="M818" s="377"/>
      <c r="N818" s="377"/>
      <c r="O818" s="377"/>
      <c r="P818" s="364"/>
      <c r="Q818" s="360"/>
      <c r="R818" s="377"/>
      <c r="S818" s="377"/>
      <c r="T818" s="375"/>
      <c r="U818" s="375"/>
      <c r="V818" s="375"/>
      <c r="W818" s="375"/>
      <c r="X818" s="375"/>
      <c r="Y818" s="375"/>
      <c r="Z818" s="375"/>
      <c r="AA818" s="375"/>
      <c r="AB818" s="375"/>
      <c r="AC818" s="375"/>
      <c r="AD818" s="375"/>
      <c r="AE818" s="375"/>
      <c r="AF818" s="375"/>
    </row>
    <row r="819">
      <c r="A819" s="360"/>
      <c r="B819" s="360"/>
      <c r="C819" s="377"/>
      <c r="D819" s="377"/>
      <c r="E819" s="378"/>
      <c r="F819" s="377"/>
      <c r="G819" s="377"/>
      <c r="H819" s="378"/>
      <c r="I819" s="360"/>
      <c r="J819" s="377"/>
      <c r="K819" s="377"/>
      <c r="L819" s="378"/>
      <c r="M819" s="377"/>
      <c r="N819" s="377"/>
      <c r="O819" s="377"/>
      <c r="P819" s="364"/>
      <c r="Q819" s="360"/>
      <c r="R819" s="377"/>
      <c r="S819" s="377"/>
      <c r="T819" s="375"/>
      <c r="U819" s="375"/>
      <c r="V819" s="375"/>
      <c r="W819" s="375"/>
      <c r="X819" s="375"/>
      <c r="Y819" s="375"/>
      <c r="Z819" s="375"/>
      <c r="AA819" s="375"/>
      <c r="AB819" s="375"/>
      <c r="AC819" s="375"/>
      <c r="AD819" s="375"/>
      <c r="AE819" s="375"/>
      <c r="AF819" s="375"/>
    </row>
    <row r="820">
      <c r="A820" s="360"/>
      <c r="B820" s="360"/>
      <c r="C820" s="377"/>
      <c r="D820" s="377"/>
      <c r="E820" s="378"/>
      <c r="F820" s="377"/>
      <c r="G820" s="377"/>
      <c r="H820" s="378"/>
      <c r="I820" s="360"/>
      <c r="J820" s="377"/>
      <c r="K820" s="377"/>
      <c r="L820" s="378"/>
      <c r="M820" s="377"/>
      <c r="N820" s="377"/>
      <c r="O820" s="377"/>
      <c r="P820" s="364"/>
      <c r="Q820" s="360"/>
      <c r="R820" s="377"/>
      <c r="S820" s="377"/>
      <c r="T820" s="375"/>
      <c r="U820" s="375"/>
      <c r="V820" s="375"/>
      <c r="W820" s="375"/>
      <c r="X820" s="375"/>
      <c r="Y820" s="375"/>
      <c r="Z820" s="375"/>
      <c r="AA820" s="375"/>
      <c r="AB820" s="375"/>
      <c r="AC820" s="375"/>
      <c r="AD820" s="375"/>
      <c r="AE820" s="375"/>
      <c r="AF820" s="375"/>
    </row>
    <row r="821">
      <c r="A821" s="360"/>
      <c r="B821" s="360"/>
      <c r="C821" s="377"/>
      <c r="D821" s="377"/>
      <c r="E821" s="378"/>
      <c r="F821" s="377"/>
      <c r="G821" s="377"/>
      <c r="H821" s="378"/>
      <c r="I821" s="360"/>
      <c r="J821" s="377"/>
      <c r="K821" s="377"/>
      <c r="L821" s="378"/>
      <c r="M821" s="377"/>
      <c r="N821" s="377"/>
      <c r="O821" s="377"/>
      <c r="P821" s="364"/>
      <c r="Q821" s="360"/>
      <c r="R821" s="377"/>
      <c r="S821" s="377"/>
      <c r="T821" s="375"/>
      <c r="U821" s="375"/>
      <c r="V821" s="375"/>
      <c r="W821" s="375"/>
      <c r="X821" s="375"/>
      <c r="Y821" s="375"/>
      <c r="Z821" s="375"/>
      <c r="AA821" s="375"/>
      <c r="AB821" s="375"/>
      <c r="AC821" s="375"/>
      <c r="AD821" s="375"/>
      <c r="AE821" s="375"/>
      <c r="AF821" s="375"/>
    </row>
    <row r="822">
      <c r="A822" s="360"/>
      <c r="B822" s="360"/>
      <c r="C822" s="377"/>
      <c r="D822" s="377"/>
      <c r="E822" s="378"/>
      <c r="F822" s="377"/>
      <c r="G822" s="377"/>
      <c r="H822" s="378"/>
      <c r="I822" s="360"/>
      <c r="J822" s="377"/>
      <c r="K822" s="377"/>
      <c r="L822" s="378"/>
      <c r="M822" s="377"/>
      <c r="N822" s="377"/>
      <c r="O822" s="377"/>
      <c r="P822" s="364"/>
      <c r="Q822" s="360"/>
      <c r="R822" s="377"/>
      <c r="S822" s="377"/>
      <c r="T822" s="375"/>
      <c r="U822" s="375"/>
      <c r="V822" s="375"/>
      <c r="W822" s="375"/>
      <c r="X822" s="375"/>
      <c r="Y822" s="375"/>
      <c r="Z822" s="375"/>
      <c r="AA822" s="375"/>
      <c r="AB822" s="375"/>
      <c r="AC822" s="375"/>
      <c r="AD822" s="375"/>
      <c r="AE822" s="375"/>
      <c r="AF822" s="375"/>
    </row>
    <row r="823">
      <c r="A823" s="360"/>
      <c r="B823" s="360"/>
      <c r="C823" s="377"/>
      <c r="D823" s="377"/>
      <c r="E823" s="378"/>
      <c r="F823" s="377"/>
      <c r="G823" s="377"/>
      <c r="H823" s="378"/>
      <c r="I823" s="360"/>
      <c r="J823" s="377"/>
      <c r="K823" s="377"/>
      <c r="L823" s="378"/>
      <c r="M823" s="377"/>
      <c r="N823" s="377"/>
      <c r="O823" s="377"/>
      <c r="P823" s="364"/>
      <c r="Q823" s="360"/>
      <c r="R823" s="377"/>
      <c r="S823" s="377"/>
      <c r="T823" s="375"/>
      <c r="U823" s="375"/>
      <c r="V823" s="375"/>
      <c r="W823" s="375"/>
      <c r="X823" s="375"/>
      <c r="Y823" s="375"/>
      <c r="Z823" s="375"/>
      <c r="AA823" s="375"/>
      <c r="AB823" s="375"/>
      <c r="AC823" s="375"/>
      <c r="AD823" s="375"/>
      <c r="AE823" s="375"/>
      <c r="AF823" s="375"/>
    </row>
    <row r="824">
      <c r="A824" s="360"/>
      <c r="B824" s="360"/>
      <c r="C824" s="377"/>
      <c r="D824" s="377"/>
      <c r="E824" s="378"/>
      <c r="F824" s="377"/>
      <c r="G824" s="377"/>
      <c r="H824" s="378"/>
      <c r="I824" s="360"/>
      <c r="J824" s="377"/>
      <c r="K824" s="377"/>
      <c r="L824" s="378"/>
      <c r="M824" s="377"/>
      <c r="N824" s="377"/>
      <c r="O824" s="377"/>
      <c r="P824" s="364"/>
      <c r="Q824" s="360"/>
      <c r="R824" s="377"/>
      <c r="S824" s="377"/>
      <c r="T824" s="375"/>
      <c r="U824" s="375"/>
      <c r="V824" s="375"/>
      <c r="W824" s="375"/>
      <c r="X824" s="375"/>
      <c r="Y824" s="375"/>
      <c r="Z824" s="375"/>
      <c r="AA824" s="375"/>
      <c r="AB824" s="375"/>
      <c r="AC824" s="375"/>
      <c r="AD824" s="375"/>
      <c r="AE824" s="375"/>
      <c r="AF824" s="375"/>
    </row>
    <row r="825">
      <c r="A825" s="360"/>
      <c r="B825" s="360"/>
      <c r="C825" s="377"/>
      <c r="D825" s="377"/>
      <c r="E825" s="378"/>
      <c r="F825" s="377"/>
      <c r="G825" s="377"/>
      <c r="H825" s="378"/>
      <c r="I825" s="360"/>
      <c r="J825" s="377"/>
      <c r="K825" s="377"/>
      <c r="L825" s="378"/>
      <c r="M825" s="377"/>
      <c r="N825" s="377"/>
      <c r="O825" s="377"/>
      <c r="P825" s="364"/>
      <c r="Q825" s="360"/>
      <c r="R825" s="377"/>
      <c r="S825" s="377"/>
      <c r="T825" s="375"/>
      <c r="U825" s="375"/>
      <c r="V825" s="375"/>
      <c r="W825" s="375"/>
      <c r="X825" s="375"/>
      <c r="Y825" s="375"/>
      <c r="Z825" s="375"/>
      <c r="AA825" s="375"/>
      <c r="AB825" s="375"/>
      <c r="AC825" s="375"/>
      <c r="AD825" s="375"/>
      <c r="AE825" s="375"/>
      <c r="AF825" s="375"/>
    </row>
    <row r="826">
      <c r="A826" s="360"/>
      <c r="B826" s="360"/>
      <c r="C826" s="377"/>
      <c r="D826" s="377"/>
      <c r="E826" s="378"/>
      <c r="F826" s="377"/>
      <c r="G826" s="377"/>
      <c r="H826" s="378"/>
      <c r="I826" s="360"/>
      <c r="J826" s="377"/>
      <c r="K826" s="377"/>
      <c r="L826" s="378"/>
      <c r="M826" s="377"/>
      <c r="N826" s="377"/>
      <c r="O826" s="377"/>
      <c r="P826" s="364"/>
      <c r="Q826" s="360"/>
      <c r="R826" s="377"/>
      <c r="S826" s="377"/>
      <c r="T826" s="375"/>
      <c r="U826" s="375"/>
      <c r="V826" s="375"/>
      <c r="W826" s="375"/>
      <c r="X826" s="375"/>
      <c r="Y826" s="375"/>
      <c r="Z826" s="375"/>
      <c r="AA826" s="375"/>
      <c r="AB826" s="375"/>
      <c r="AC826" s="375"/>
      <c r="AD826" s="375"/>
      <c r="AE826" s="375"/>
      <c r="AF826" s="375"/>
    </row>
    <row r="827">
      <c r="A827" s="360"/>
      <c r="B827" s="360"/>
      <c r="C827" s="377"/>
      <c r="D827" s="377"/>
      <c r="E827" s="378"/>
      <c r="F827" s="377"/>
      <c r="G827" s="377"/>
      <c r="H827" s="378"/>
      <c r="I827" s="360"/>
      <c r="J827" s="377"/>
      <c r="K827" s="377"/>
      <c r="L827" s="378"/>
      <c r="M827" s="377"/>
      <c r="N827" s="377"/>
      <c r="O827" s="377"/>
      <c r="P827" s="364"/>
      <c r="Q827" s="360"/>
      <c r="R827" s="377"/>
      <c r="S827" s="377"/>
      <c r="T827" s="375"/>
      <c r="U827" s="375"/>
      <c r="V827" s="375"/>
      <c r="W827" s="375"/>
      <c r="X827" s="375"/>
      <c r="Y827" s="375"/>
      <c r="Z827" s="375"/>
      <c r="AA827" s="375"/>
      <c r="AB827" s="375"/>
      <c r="AC827" s="375"/>
      <c r="AD827" s="375"/>
      <c r="AE827" s="375"/>
      <c r="AF827" s="375"/>
    </row>
    <row r="828">
      <c r="A828" s="360"/>
      <c r="B828" s="360"/>
      <c r="C828" s="377"/>
      <c r="D828" s="377"/>
      <c r="E828" s="378"/>
      <c r="F828" s="377"/>
      <c r="G828" s="377"/>
      <c r="H828" s="378"/>
      <c r="I828" s="360"/>
      <c r="J828" s="377"/>
      <c r="K828" s="377"/>
      <c r="L828" s="378"/>
      <c r="M828" s="377"/>
      <c r="N828" s="377"/>
      <c r="O828" s="377"/>
      <c r="P828" s="364"/>
      <c r="Q828" s="360"/>
      <c r="R828" s="377"/>
      <c r="S828" s="377"/>
      <c r="T828" s="375"/>
      <c r="U828" s="375"/>
      <c r="V828" s="375"/>
      <c r="W828" s="375"/>
      <c r="X828" s="375"/>
      <c r="Y828" s="375"/>
      <c r="Z828" s="375"/>
      <c r="AA828" s="375"/>
      <c r="AB828" s="375"/>
      <c r="AC828" s="375"/>
      <c r="AD828" s="375"/>
      <c r="AE828" s="375"/>
      <c r="AF828" s="375"/>
    </row>
    <row r="829">
      <c r="A829" s="360"/>
      <c r="B829" s="360"/>
      <c r="C829" s="377"/>
      <c r="D829" s="377"/>
      <c r="E829" s="378"/>
      <c r="F829" s="377"/>
      <c r="G829" s="377"/>
      <c r="H829" s="378"/>
      <c r="I829" s="360"/>
      <c r="J829" s="377"/>
      <c r="K829" s="377"/>
      <c r="L829" s="378"/>
      <c r="M829" s="377"/>
      <c r="N829" s="377"/>
      <c r="O829" s="377"/>
      <c r="P829" s="364"/>
      <c r="Q829" s="360"/>
      <c r="R829" s="377"/>
      <c r="S829" s="377"/>
      <c r="T829" s="375"/>
      <c r="U829" s="375"/>
      <c r="V829" s="375"/>
      <c r="W829" s="375"/>
      <c r="X829" s="375"/>
      <c r="Y829" s="375"/>
      <c r="Z829" s="375"/>
      <c r="AA829" s="375"/>
      <c r="AB829" s="375"/>
      <c r="AC829" s="375"/>
      <c r="AD829" s="375"/>
      <c r="AE829" s="375"/>
      <c r="AF829" s="375"/>
    </row>
    <row r="830">
      <c r="A830" s="360"/>
      <c r="B830" s="360"/>
      <c r="C830" s="377"/>
      <c r="D830" s="377"/>
      <c r="E830" s="378"/>
      <c r="F830" s="377"/>
      <c r="G830" s="377"/>
      <c r="H830" s="378"/>
      <c r="I830" s="360"/>
      <c r="J830" s="377"/>
      <c r="K830" s="377"/>
      <c r="L830" s="378"/>
      <c r="M830" s="377"/>
      <c r="N830" s="377"/>
      <c r="O830" s="377"/>
      <c r="P830" s="364"/>
      <c r="Q830" s="360"/>
      <c r="R830" s="377"/>
      <c r="S830" s="377"/>
      <c r="T830" s="375"/>
      <c r="U830" s="375"/>
      <c r="V830" s="375"/>
      <c r="W830" s="375"/>
      <c r="X830" s="375"/>
      <c r="Y830" s="375"/>
      <c r="Z830" s="375"/>
      <c r="AA830" s="375"/>
      <c r="AB830" s="375"/>
      <c r="AC830" s="375"/>
      <c r="AD830" s="375"/>
      <c r="AE830" s="375"/>
      <c r="AF830" s="375"/>
    </row>
    <row r="831">
      <c r="A831" s="360"/>
      <c r="B831" s="360"/>
      <c r="C831" s="377"/>
      <c r="D831" s="377"/>
      <c r="E831" s="378"/>
      <c r="F831" s="377"/>
      <c r="G831" s="377"/>
      <c r="H831" s="378"/>
      <c r="I831" s="360"/>
      <c r="J831" s="377"/>
      <c r="K831" s="377"/>
      <c r="L831" s="378"/>
      <c r="M831" s="377"/>
      <c r="N831" s="377"/>
      <c r="O831" s="377"/>
      <c r="P831" s="364"/>
      <c r="Q831" s="360"/>
      <c r="R831" s="377"/>
      <c r="S831" s="377"/>
      <c r="T831" s="375"/>
      <c r="U831" s="375"/>
      <c r="V831" s="375"/>
      <c r="W831" s="375"/>
      <c r="X831" s="375"/>
      <c r="Y831" s="375"/>
      <c r="Z831" s="375"/>
      <c r="AA831" s="375"/>
      <c r="AB831" s="375"/>
      <c r="AC831" s="375"/>
      <c r="AD831" s="375"/>
      <c r="AE831" s="375"/>
      <c r="AF831" s="375"/>
    </row>
    <row r="832">
      <c r="A832" s="360"/>
      <c r="B832" s="360"/>
      <c r="C832" s="377"/>
      <c r="D832" s="377"/>
      <c r="E832" s="378"/>
      <c r="F832" s="377"/>
      <c r="G832" s="377"/>
      <c r="H832" s="378"/>
      <c r="I832" s="360"/>
      <c r="J832" s="377"/>
      <c r="K832" s="377"/>
      <c r="L832" s="378"/>
      <c r="M832" s="377"/>
      <c r="N832" s="377"/>
      <c r="O832" s="377"/>
      <c r="P832" s="364"/>
      <c r="Q832" s="360"/>
      <c r="R832" s="377"/>
      <c r="S832" s="377"/>
      <c r="T832" s="375"/>
      <c r="U832" s="375"/>
      <c r="V832" s="375"/>
      <c r="W832" s="375"/>
      <c r="X832" s="375"/>
      <c r="Y832" s="375"/>
      <c r="Z832" s="375"/>
      <c r="AA832" s="375"/>
      <c r="AB832" s="375"/>
      <c r="AC832" s="375"/>
      <c r="AD832" s="375"/>
      <c r="AE832" s="375"/>
      <c r="AF832" s="375"/>
    </row>
    <row r="833">
      <c r="A833" s="360"/>
      <c r="B833" s="360"/>
      <c r="C833" s="377"/>
      <c r="D833" s="377"/>
      <c r="E833" s="378"/>
      <c r="F833" s="377"/>
      <c r="G833" s="377"/>
      <c r="H833" s="378"/>
      <c r="I833" s="360"/>
      <c r="J833" s="377"/>
      <c r="K833" s="377"/>
      <c r="L833" s="378"/>
      <c r="M833" s="377"/>
      <c r="N833" s="377"/>
      <c r="O833" s="377"/>
      <c r="P833" s="364"/>
      <c r="Q833" s="360"/>
      <c r="R833" s="377"/>
      <c r="S833" s="377"/>
      <c r="T833" s="375"/>
      <c r="U833" s="375"/>
      <c r="V833" s="375"/>
      <c r="W833" s="375"/>
      <c r="X833" s="375"/>
      <c r="Y833" s="375"/>
      <c r="Z833" s="375"/>
      <c r="AA833" s="375"/>
      <c r="AB833" s="375"/>
      <c r="AC833" s="375"/>
      <c r="AD833" s="375"/>
      <c r="AE833" s="375"/>
      <c r="AF833" s="375"/>
    </row>
    <row r="834">
      <c r="A834" s="360"/>
      <c r="B834" s="360"/>
      <c r="C834" s="377"/>
      <c r="D834" s="377"/>
      <c r="E834" s="378"/>
      <c r="F834" s="377"/>
      <c r="G834" s="377"/>
      <c r="H834" s="378"/>
      <c r="I834" s="360"/>
      <c r="J834" s="377"/>
      <c r="K834" s="377"/>
      <c r="L834" s="378"/>
      <c r="M834" s="377"/>
      <c r="N834" s="377"/>
      <c r="O834" s="377"/>
      <c r="P834" s="364"/>
      <c r="Q834" s="360"/>
      <c r="R834" s="377"/>
      <c r="S834" s="377"/>
      <c r="T834" s="375"/>
      <c r="U834" s="375"/>
      <c r="V834" s="375"/>
      <c r="W834" s="375"/>
      <c r="X834" s="375"/>
      <c r="Y834" s="375"/>
      <c r="Z834" s="375"/>
      <c r="AA834" s="375"/>
      <c r="AB834" s="375"/>
      <c r="AC834" s="375"/>
      <c r="AD834" s="375"/>
      <c r="AE834" s="375"/>
      <c r="AF834" s="375"/>
    </row>
    <row r="835">
      <c r="A835" s="360"/>
      <c r="B835" s="360"/>
      <c r="C835" s="377"/>
      <c r="D835" s="377"/>
      <c r="E835" s="378"/>
      <c r="F835" s="377"/>
      <c r="G835" s="377"/>
      <c r="H835" s="378"/>
      <c r="I835" s="360"/>
      <c r="J835" s="377"/>
      <c r="K835" s="377"/>
      <c r="L835" s="378"/>
      <c r="M835" s="377"/>
      <c r="N835" s="377"/>
      <c r="O835" s="377"/>
      <c r="P835" s="364"/>
      <c r="Q835" s="360"/>
      <c r="R835" s="377"/>
      <c r="S835" s="377"/>
      <c r="T835" s="375"/>
      <c r="U835" s="375"/>
      <c r="V835" s="375"/>
      <c r="W835" s="375"/>
      <c r="X835" s="375"/>
      <c r="Y835" s="375"/>
      <c r="Z835" s="375"/>
      <c r="AA835" s="375"/>
      <c r="AB835" s="375"/>
      <c r="AC835" s="375"/>
      <c r="AD835" s="375"/>
      <c r="AE835" s="375"/>
      <c r="AF835" s="375"/>
    </row>
    <row r="836">
      <c r="A836" s="360"/>
      <c r="B836" s="360"/>
      <c r="C836" s="377"/>
      <c r="D836" s="377"/>
      <c r="E836" s="378"/>
      <c r="F836" s="377"/>
      <c r="G836" s="377"/>
      <c r="H836" s="378"/>
      <c r="I836" s="360"/>
      <c r="J836" s="377"/>
      <c r="K836" s="377"/>
      <c r="L836" s="378"/>
      <c r="M836" s="377"/>
      <c r="N836" s="377"/>
      <c r="O836" s="377"/>
      <c r="P836" s="364"/>
      <c r="Q836" s="360"/>
      <c r="R836" s="377"/>
      <c r="S836" s="377"/>
      <c r="T836" s="375"/>
      <c r="U836" s="375"/>
      <c r="V836" s="375"/>
      <c r="W836" s="375"/>
      <c r="X836" s="375"/>
      <c r="Y836" s="375"/>
      <c r="Z836" s="375"/>
      <c r="AA836" s="375"/>
      <c r="AB836" s="375"/>
      <c r="AC836" s="375"/>
      <c r="AD836" s="375"/>
      <c r="AE836" s="375"/>
      <c r="AF836" s="375"/>
    </row>
    <row r="837">
      <c r="A837" s="360"/>
      <c r="B837" s="360"/>
      <c r="C837" s="377"/>
      <c r="D837" s="377"/>
      <c r="E837" s="378"/>
      <c r="F837" s="377"/>
      <c r="G837" s="377"/>
      <c r="H837" s="378"/>
      <c r="I837" s="360"/>
      <c r="J837" s="377"/>
      <c r="K837" s="377"/>
      <c r="L837" s="378"/>
      <c r="M837" s="377"/>
      <c r="N837" s="377"/>
      <c r="O837" s="377"/>
      <c r="P837" s="364"/>
      <c r="Q837" s="360"/>
      <c r="R837" s="377"/>
      <c r="S837" s="377"/>
      <c r="T837" s="375"/>
      <c r="U837" s="375"/>
      <c r="V837" s="375"/>
      <c r="W837" s="375"/>
      <c r="X837" s="375"/>
      <c r="Y837" s="375"/>
      <c r="Z837" s="375"/>
      <c r="AA837" s="375"/>
      <c r="AB837" s="375"/>
      <c r="AC837" s="375"/>
      <c r="AD837" s="375"/>
      <c r="AE837" s="375"/>
      <c r="AF837" s="375"/>
    </row>
    <row r="838">
      <c r="A838" s="360"/>
      <c r="B838" s="360"/>
      <c r="C838" s="377"/>
      <c r="D838" s="377"/>
      <c r="E838" s="378"/>
      <c r="F838" s="377"/>
      <c r="G838" s="377"/>
      <c r="H838" s="378"/>
      <c r="I838" s="360"/>
      <c r="J838" s="377"/>
      <c r="K838" s="377"/>
      <c r="L838" s="378"/>
      <c r="M838" s="377"/>
      <c r="N838" s="377"/>
      <c r="O838" s="377"/>
      <c r="P838" s="364"/>
      <c r="Q838" s="360"/>
      <c r="R838" s="377"/>
      <c r="S838" s="377"/>
      <c r="T838" s="375"/>
      <c r="U838" s="375"/>
      <c r="V838" s="375"/>
      <c r="W838" s="375"/>
      <c r="X838" s="375"/>
      <c r="Y838" s="375"/>
      <c r="Z838" s="375"/>
      <c r="AA838" s="375"/>
      <c r="AB838" s="375"/>
      <c r="AC838" s="375"/>
      <c r="AD838" s="375"/>
      <c r="AE838" s="375"/>
      <c r="AF838" s="375"/>
    </row>
    <row r="839">
      <c r="A839" s="360"/>
      <c r="B839" s="360"/>
      <c r="C839" s="377"/>
      <c r="D839" s="377"/>
      <c r="E839" s="378"/>
      <c r="F839" s="377"/>
      <c r="G839" s="377"/>
      <c r="H839" s="378"/>
      <c r="I839" s="360"/>
      <c r="J839" s="377"/>
      <c r="K839" s="377"/>
      <c r="L839" s="378"/>
      <c r="M839" s="377"/>
      <c r="N839" s="377"/>
      <c r="O839" s="377"/>
      <c r="P839" s="364"/>
      <c r="Q839" s="360"/>
      <c r="R839" s="377"/>
      <c r="S839" s="377"/>
      <c r="T839" s="375"/>
      <c r="U839" s="375"/>
      <c r="V839" s="375"/>
      <c r="W839" s="375"/>
      <c r="X839" s="375"/>
      <c r="Y839" s="375"/>
      <c r="Z839" s="375"/>
      <c r="AA839" s="375"/>
      <c r="AB839" s="375"/>
      <c r="AC839" s="375"/>
      <c r="AD839" s="375"/>
      <c r="AE839" s="375"/>
      <c r="AF839" s="375"/>
    </row>
    <row r="840">
      <c r="A840" s="360"/>
      <c r="B840" s="360"/>
      <c r="C840" s="377"/>
      <c r="D840" s="377"/>
      <c r="E840" s="378"/>
      <c r="F840" s="377"/>
      <c r="G840" s="377"/>
      <c r="H840" s="378"/>
      <c r="I840" s="360"/>
      <c r="J840" s="377"/>
      <c r="K840" s="377"/>
      <c r="L840" s="378"/>
      <c r="M840" s="377"/>
      <c r="N840" s="377"/>
      <c r="O840" s="377"/>
      <c r="P840" s="364"/>
      <c r="Q840" s="360"/>
      <c r="R840" s="377"/>
      <c r="S840" s="377"/>
      <c r="T840" s="375"/>
      <c r="U840" s="375"/>
      <c r="V840" s="375"/>
      <c r="W840" s="375"/>
      <c r="X840" s="375"/>
      <c r="Y840" s="375"/>
      <c r="Z840" s="375"/>
      <c r="AA840" s="375"/>
      <c r="AB840" s="375"/>
      <c r="AC840" s="375"/>
      <c r="AD840" s="375"/>
      <c r="AE840" s="375"/>
      <c r="AF840" s="375"/>
    </row>
    <row r="841">
      <c r="A841" s="360"/>
      <c r="B841" s="360"/>
      <c r="C841" s="377"/>
      <c r="D841" s="377"/>
      <c r="E841" s="378"/>
      <c r="F841" s="377"/>
      <c r="G841" s="377"/>
      <c r="H841" s="378"/>
      <c r="I841" s="360"/>
      <c r="J841" s="377"/>
      <c r="K841" s="377"/>
      <c r="L841" s="378"/>
      <c r="M841" s="377"/>
      <c r="N841" s="377"/>
      <c r="O841" s="377"/>
      <c r="P841" s="364"/>
      <c r="Q841" s="360"/>
      <c r="R841" s="377"/>
      <c r="S841" s="377"/>
      <c r="T841" s="375"/>
      <c r="U841" s="375"/>
      <c r="V841" s="375"/>
      <c r="W841" s="375"/>
      <c r="X841" s="375"/>
      <c r="Y841" s="375"/>
      <c r="Z841" s="375"/>
      <c r="AA841" s="375"/>
      <c r="AB841" s="375"/>
      <c r="AC841" s="375"/>
      <c r="AD841" s="375"/>
      <c r="AE841" s="375"/>
      <c r="AF841" s="375"/>
    </row>
    <row r="842">
      <c r="A842" s="360"/>
      <c r="B842" s="360"/>
      <c r="C842" s="377"/>
      <c r="D842" s="377"/>
      <c r="E842" s="378"/>
      <c r="F842" s="377"/>
      <c r="G842" s="377"/>
      <c r="H842" s="378"/>
      <c r="I842" s="360"/>
      <c r="J842" s="377"/>
      <c r="K842" s="377"/>
      <c r="L842" s="378"/>
      <c r="M842" s="377"/>
      <c r="N842" s="377"/>
      <c r="O842" s="377"/>
      <c r="P842" s="364"/>
      <c r="Q842" s="360"/>
      <c r="R842" s="377"/>
      <c r="S842" s="377"/>
      <c r="T842" s="375"/>
      <c r="U842" s="375"/>
      <c r="V842" s="375"/>
      <c r="W842" s="375"/>
      <c r="X842" s="375"/>
      <c r="Y842" s="375"/>
      <c r="Z842" s="375"/>
      <c r="AA842" s="375"/>
      <c r="AB842" s="375"/>
      <c r="AC842" s="375"/>
      <c r="AD842" s="375"/>
      <c r="AE842" s="375"/>
      <c r="AF842" s="375"/>
    </row>
    <row r="843">
      <c r="A843" s="360"/>
      <c r="B843" s="360"/>
      <c r="C843" s="377"/>
      <c r="D843" s="377"/>
      <c r="E843" s="378"/>
      <c r="F843" s="377"/>
      <c r="G843" s="377"/>
      <c r="H843" s="378"/>
      <c r="I843" s="360"/>
      <c r="J843" s="377"/>
      <c r="K843" s="377"/>
      <c r="L843" s="378"/>
      <c r="M843" s="377"/>
      <c r="N843" s="377"/>
      <c r="O843" s="377"/>
      <c r="P843" s="364"/>
      <c r="Q843" s="360"/>
      <c r="R843" s="377"/>
      <c r="S843" s="377"/>
      <c r="T843" s="375"/>
      <c r="U843" s="375"/>
      <c r="V843" s="375"/>
      <c r="W843" s="375"/>
      <c r="X843" s="375"/>
      <c r="Y843" s="375"/>
      <c r="Z843" s="375"/>
      <c r="AA843" s="375"/>
      <c r="AB843" s="375"/>
      <c r="AC843" s="375"/>
      <c r="AD843" s="375"/>
      <c r="AE843" s="375"/>
      <c r="AF843" s="375"/>
    </row>
    <row r="844">
      <c r="A844" s="360"/>
      <c r="B844" s="360"/>
      <c r="C844" s="377"/>
      <c r="D844" s="377"/>
      <c r="E844" s="378"/>
      <c r="F844" s="377"/>
      <c r="G844" s="377"/>
      <c r="H844" s="378"/>
      <c r="I844" s="360"/>
      <c r="J844" s="377"/>
      <c r="K844" s="377"/>
      <c r="L844" s="378"/>
      <c r="M844" s="377"/>
      <c r="N844" s="377"/>
      <c r="O844" s="377"/>
      <c r="P844" s="364"/>
      <c r="Q844" s="360"/>
      <c r="R844" s="377"/>
      <c r="S844" s="377"/>
      <c r="T844" s="375"/>
      <c r="U844" s="375"/>
      <c r="V844" s="375"/>
      <c r="W844" s="375"/>
      <c r="X844" s="375"/>
      <c r="Y844" s="375"/>
      <c r="Z844" s="375"/>
      <c r="AA844" s="375"/>
      <c r="AB844" s="375"/>
      <c r="AC844" s="375"/>
      <c r="AD844" s="375"/>
      <c r="AE844" s="375"/>
      <c r="AF844" s="375"/>
    </row>
    <row r="845">
      <c r="A845" s="360"/>
      <c r="B845" s="360"/>
      <c r="C845" s="377"/>
      <c r="D845" s="377"/>
      <c r="E845" s="378"/>
      <c r="F845" s="377"/>
      <c r="G845" s="377"/>
      <c r="H845" s="378"/>
      <c r="I845" s="360"/>
      <c r="J845" s="377"/>
      <c r="K845" s="377"/>
      <c r="L845" s="378"/>
      <c r="M845" s="377"/>
      <c r="N845" s="377"/>
      <c r="O845" s="377"/>
      <c r="P845" s="364"/>
      <c r="Q845" s="360"/>
      <c r="R845" s="377"/>
      <c r="S845" s="377"/>
      <c r="T845" s="375"/>
      <c r="U845" s="375"/>
      <c r="V845" s="375"/>
      <c r="W845" s="375"/>
      <c r="X845" s="375"/>
      <c r="Y845" s="375"/>
      <c r="Z845" s="375"/>
      <c r="AA845" s="375"/>
      <c r="AB845" s="375"/>
      <c r="AC845" s="375"/>
      <c r="AD845" s="375"/>
      <c r="AE845" s="375"/>
      <c r="AF845" s="375"/>
    </row>
    <row r="846">
      <c r="A846" s="360"/>
      <c r="B846" s="360"/>
      <c r="C846" s="377"/>
      <c r="D846" s="377"/>
      <c r="E846" s="378"/>
      <c r="F846" s="377"/>
      <c r="G846" s="377"/>
      <c r="H846" s="378"/>
      <c r="I846" s="360"/>
      <c r="J846" s="377"/>
      <c r="K846" s="377"/>
      <c r="L846" s="378"/>
      <c r="M846" s="377"/>
      <c r="N846" s="377"/>
      <c r="O846" s="377"/>
      <c r="P846" s="364"/>
      <c r="Q846" s="360"/>
      <c r="R846" s="377"/>
      <c r="S846" s="377"/>
      <c r="T846" s="375"/>
      <c r="U846" s="375"/>
      <c r="V846" s="375"/>
      <c r="W846" s="375"/>
      <c r="X846" s="375"/>
      <c r="Y846" s="375"/>
      <c r="Z846" s="375"/>
      <c r="AA846" s="375"/>
      <c r="AB846" s="375"/>
      <c r="AC846" s="375"/>
      <c r="AD846" s="375"/>
      <c r="AE846" s="375"/>
      <c r="AF846" s="375"/>
    </row>
    <row r="847">
      <c r="A847" s="360"/>
      <c r="B847" s="360"/>
      <c r="C847" s="377"/>
      <c r="D847" s="377"/>
      <c r="E847" s="378"/>
      <c r="F847" s="377"/>
      <c r="G847" s="377"/>
      <c r="H847" s="378"/>
      <c r="I847" s="360"/>
      <c r="J847" s="377"/>
      <c r="K847" s="377"/>
      <c r="L847" s="378"/>
      <c r="M847" s="377"/>
      <c r="N847" s="377"/>
      <c r="O847" s="377"/>
      <c r="P847" s="364"/>
      <c r="Q847" s="360"/>
      <c r="R847" s="377"/>
      <c r="S847" s="377"/>
      <c r="T847" s="375"/>
      <c r="U847" s="375"/>
      <c r="V847" s="375"/>
      <c r="W847" s="375"/>
      <c r="X847" s="375"/>
      <c r="Y847" s="375"/>
      <c r="Z847" s="375"/>
      <c r="AA847" s="375"/>
      <c r="AB847" s="375"/>
      <c r="AC847" s="375"/>
      <c r="AD847" s="375"/>
      <c r="AE847" s="375"/>
      <c r="AF847" s="375"/>
    </row>
    <row r="848">
      <c r="A848" s="360"/>
      <c r="B848" s="360"/>
      <c r="C848" s="377"/>
      <c r="D848" s="377"/>
      <c r="E848" s="378"/>
      <c r="F848" s="377"/>
      <c r="G848" s="377"/>
      <c r="H848" s="378"/>
      <c r="I848" s="360"/>
      <c r="J848" s="377"/>
      <c r="K848" s="377"/>
      <c r="L848" s="378"/>
      <c r="M848" s="377"/>
      <c r="N848" s="377"/>
      <c r="O848" s="377"/>
      <c r="P848" s="364"/>
      <c r="Q848" s="360"/>
      <c r="R848" s="377"/>
      <c r="S848" s="377"/>
      <c r="T848" s="375"/>
      <c r="U848" s="375"/>
      <c r="V848" s="375"/>
      <c r="W848" s="375"/>
      <c r="X848" s="375"/>
      <c r="Y848" s="375"/>
      <c r="Z848" s="375"/>
      <c r="AA848" s="375"/>
      <c r="AB848" s="375"/>
      <c r="AC848" s="375"/>
      <c r="AD848" s="375"/>
      <c r="AE848" s="375"/>
      <c r="AF848" s="375"/>
    </row>
    <row r="849">
      <c r="A849" s="360"/>
      <c r="B849" s="360"/>
      <c r="C849" s="377"/>
      <c r="D849" s="377"/>
      <c r="E849" s="378"/>
      <c r="F849" s="377"/>
      <c r="G849" s="377"/>
      <c r="H849" s="378"/>
      <c r="I849" s="360"/>
      <c r="J849" s="377"/>
      <c r="K849" s="377"/>
      <c r="L849" s="378"/>
      <c r="M849" s="377"/>
      <c r="N849" s="377"/>
      <c r="O849" s="377"/>
      <c r="P849" s="364"/>
      <c r="Q849" s="360"/>
      <c r="R849" s="377"/>
      <c r="S849" s="377"/>
      <c r="T849" s="375"/>
      <c r="U849" s="375"/>
      <c r="V849" s="375"/>
      <c r="W849" s="375"/>
      <c r="X849" s="375"/>
      <c r="Y849" s="375"/>
      <c r="Z849" s="375"/>
      <c r="AA849" s="375"/>
      <c r="AB849" s="375"/>
      <c r="AC849" s="375"/>
      <c r="AD849" s="375"/>
      <c r="AE849" s="375"/>
      <c r="AF849" s="375"/>
    </row>
    <row r="850">
      <c r="A850" s="360"/>
      <c r="B850" s="360"/>
      <c r="C850" s="377"/>
      <c r="D850" s="377"/>
      <c r="E850" s="378"/>
      <c r="F850" s="377"/>
      <c r="G850" s="377"/>
      <c r="H850" s="378"/>
      <c r="I850" s="360"/>
      <c r="J850" s="377"/>
      <c r="K850" s="377"/>
      <c r="L850" s="378"/>
      <c r="M850" s="377"/>
      <c r="N850" s="377"/>
      <c r="O850" s="377"/>
      <c r="P850" s="364"/>
      <c r="Q850" s="360"/>
      <c r="R850" s="377"/>
      <c r="S850" s="377"/>
      <c r="T850" s="375"/>
      <c r="U850" s="375"/>
      <c r="V850" s="375"/>
      <c r="W850" s="375"/>
      <c r="X850" s="375"/>
      <c r="Y850" s="375"/>
      <c r="Z850" s="375"/>
      <c r="AA850" s="375"/>
      <c r="AB850" s="375"/>
      <c r="AC850" s="375"/>
      <c r="AD850" s="375"/>
      <c r="AE850" s="375"/>
      <c r="AF850" s="375"/>
    </row>
    <row r="851">
      <c r="A851" s="360"/>
      <c r="B851" s="360"/>
      <c r="C851" s="377"/>
      <c r="D851" s="377"/>
      <c r="E851" s="378"/>
      <c r="F851" s="377"/>
      <c r="G851" s="377"/>
      <c r="H851" s="378"/>
      <c r="I851" s="360"/>
      <c r="J851" s="377"/>
      <c r="K851" s="377"/>
      <c r="L851" s="378"/>
      <c r="M851" s="377"/>
      <c r="N851" s="377"/>
      <c r="O851" s="377"/>
      <c r="P851" s="364"/>
      <c r="Q851" s="360"/>
      <c r="R851" s="377"/>
      <c r="S851" s="377"/>
      <c r="T851" s="375"/>
      <c r="U851" s="375"/>
      <c r="V851" s="375"/>
      <c r="W851" s="375"/>
      <c r="X851" s="375"/>
      <c r="Y851" s="375"/>
      <c r="Z851" s="375"/>
      <c r="AA851" s="375"/>
      <c r="AB851" s="375"/>
      <c r="AC851" s="375"/>
      <c r="AD851" s="375"/>
      <c r="AE851" s="375"/>
      <c r="AF851" s="375"/>
    </row>
    <row r="852">
      <c r="A852" s="360"/>
      <c r="B852" s="360"/>
      <c r="C852" s="377"/>
      <c r="D852" s="377"/>
      <c r="E852" s="378"/>
      <c r="F852" s="377"/>
      <c r="G852" s="377"/>
      <c r="H852" s="378"/>
      <c r="I852" s="360"/>
      <c r="J852" s="377"/>
      <c r="K852" s="377"/>
      <c r="L852" s="378"/>
      <c r="M852" s="377"/>
      <c r="N852" s="377"/>
      <c r="O852" s="377"/>
      <c r="P852" s="364"/>
      <c r="Q852" s="360"/>
      <c r="R852" s="377"/>
      <c r="S852" s="377"/>
      <c r="T852" s="375"/>
      <c r="U852" s="375"/>
      <c r="V852" s="375"/>
      <c r="W852" s="375"/>
      <c r="X852" s="375"/>
      <c r="Y852" s="375"/>
      <c r="Z852" s="375"/>
      <c r="AA852" s="375"/>
      <c r="AB852" s="375"/>
      <c r="AC852" s="375"/>
      <c r="AD852" s="375"/>
      <c r="AE852" s="375"/>
      <c r="AF852" s="375"/>
    </row>
    <row r="853">
      <c r="A853" s="360"/>
      <c r="B853" s="360"/>
      <c r="C853" s="377"/>
      <c r="D853" s="377"/>
      <c r="E853" s="378"/>
      <c r="F853" s="377"/>
      <c r="G853" s="377"/>
      <c r="H853" s="378"/>
      <c r="I853" s="360"/>
      <c r="J853" s="377"/>
      <c r="K853" s="377"/>
      <c r="L853" s="378"/>
      <c r="M853" s="377"/>
      <c r="N853" s="377"/>
      <c r="O853" s="377"/>
      <c r="P853" s="364"/>
      <c r="Q853" s="360"/>
      <c r="R853" s="377"/>
      <c r="S853" s="377"/>
      <c r="T853" s="375"/>
      <c r="U853" s="375"/>
      <c r="V853" s="375"/>
      <c r="W853" s="375"/>
      <c r="X853" s="375"/>
      <c r="Y853" s="375"/>
      <c r="Z853" s="375"/>
      <c r="AA853" s="375"/>
      <c r="AB853" s="375"/>
      <c r="AC853" s="375"/>
      <c r="AD853" s="375"/>
      <c r="AE853" s="375"/>
      <c r="AF853" s="375"/>
    </row>
    <row r="854">
      <c r="A854" s="360"/>
      <c r="B854" s="360"/>
      <c r="C854" s="377"/>
      <c r="D854" s="377"/>
      <c r="E854" s="378"/>
      <c r="F854" s="377"/>
      <c r="G854" s="377"/>
      <c r="H854" s="378"/>
      <c r="I854" s="360"/>
      <c r="J854" s="377"/>
      <c r="K854" s="377"/>
      <c r="L854" s="378"/>
      <c r="M854" s="377"/>
      <c r="N854" s="377"/>
      <c r="O854" s="377"/>
      <c r="P854" s="364"/>
      <c r="Q854" s="360"/>
      <c r="R854" s="377"/>
      <c r="S854" s="377"/>
      <c r="T854" s="375"/>
      <c r="U854" s="375"/>
      <c r="V854" s="375"/>
      <c r="W854" s="375"/>
      <c r="X854" s="375"/>
      <c r="Y854" s="375"/>
      <c r="Z854" s="375"/>
      <c r="AA854" s="375"/>
      <c r="AB854" s="375"/>
      <c r="AC854" s="375"/>
      <c r="AD854" s="375"/>
      <c r="AE854" s="375"/>
      <c r="AF854" s="375"/>
    </row>
    <row r="855">
      <c r="A855" s="360"/>
      <c r="B855" s="360"/>
      <c r="C855" s="377"/>
      <c r="D855" s="377"/>
      <c r="E855" s="378"/>
      <c r="F855" s="377"/>
      <c r="G855" s="377"/>
      <c r="H855" s="378"/>
      <c r="I855" s="360"/>
      <c r="J855" s="377"/>
      <c r="K855" s="377"/>
      <c r="L855" s="378"/>
      <c r="M855" s="377"/>
      <c r="N855" s="377"/>
      <c r="O855" s="377"/>
      <c r="P855" s="364"/>
      <c r="Q855" s="360"/>
      <c r="R855" s="377"/>
      <c r="S855" s="377"/>
      <c r="T855" s="375"/>
      <c r="U855" s="375"/>
      <c r="V855" s="375"/>
      <c r="W855" s="375"/>
      <c r="X855" s="375"/>
      <c r="Y855" s="375"/>
      <c r="Z855" s="375"/>
      <c r="AA855" s="375"/>
      <c r="AB855" s="375"/>
      <c r="AC855" s="375"/>
      <c r="AD855" s="375"/>
      <c r="AE855" s="375"/>
      <c r="AF855" s="375"/>
    </row>
    <row r="856">
      <c r="A856" s="360"/>
      <c r="B856" s="360"/>
      <c r="C856" s="377"/>
      <c r="D856" s="377"/>
      <c r="E856" s="378"/>
      <c r="F856" s="377"/>
      <c r="G856" s="377"/>
      <c r="H856" s="378"/>
      <c r="I856" s="360"/>
      <c r="J856" s="377"/>
      <c r="K856" s="377"/>
      <c r="L856" s="378"/>
      <c r="M856" s="377"/>
      <c r="N856" s="377"/>
      <c r="O856" s="377"/>
      <c r="P856" s="364"/>
      <c r="Q856" s="360"/>
      <c r="R856" s="377"/>
      <c r="S856" s="377"/>
      <c r="T856" s="375"/>
      <c r="U856" s="375"/>
      <c r="V856" s="375"/>
      <c r="W856" s="375"/>
      <c r="X856" s="375"/>
      <c r="Y856" s="375"/>
      <c r="Z856" s="375"/>
      <c r="AA856" s="375"/>
      <c r="AB856" s="375"/>
      <c r="AC856" s="375"/>
      <c r="AD856" s="375"/>
      <c r="AE856" s="375"/>
      <c r="AF856" s="375"/>
    </row>
    <row r="857">
      <c r="A857" s="360"/>
      <c r="B857" s="360"/>
      <c r="C857" s="377"/>
      <c r="D857" s="377"/>
      <c r="E857" s="378"/>
      <c r="F857" s="377"/>
      <c r="G857" s="377"/>
      <c r="H857" s="378"/>
      <c r="I857" s="360"/>
      <c r="J857" s="377"/>
      <c r="K857" s="377"/>
      <c r="L857" s="378"/>
      <c r="M857" s="377"/>
      <c r="N857" s="377"/>
      <c r="O857" s="377"/>
      <c r="P857" s="364"/>
      <c r="Q857" s="360"/>
      <c r="R857" s="377"/>
      <c r="S857" s="377"/>
      <c r="T857" s="375"/>
      <c r="U857" s="375"/>
      <c r="V857" s="375"/>
      <c r="W857" s="375"/>
      <c r="X857" s="375"/>
      <c r="Y857" s="375"/>
      <c r="Z857" s="375"/>
      <c r="AA857" s="375"/>
      <c r="AB857" s="375"/>
      <c r="AC857" s="375"/>
      <c r="AD857" s="375"/>
      <c r="AE857" s="375"/>
      <c r="AF857" s="375"/>
    </row>
    <row r="858">
      <c r="A858" s="360"/>
      <c r="B858" s="360"/>
      <c r="C858" s="377"/>
      <c r="D858" s="377"/>
      <c r="E858" s="378"/>
      <c r="F858" s="377"/>
      <c r="G858" s="377"/>
      <c r="H858" s="378"/>
      <c r="I858" s="360"/>
      <c r="J858" s="377"/>
      <c r="K858" s="377"/>
      <c r="L858" s="378"/>
      <c r="M858" s="377"/>
      <c r="N858" s="377"/>
      <c r="O858" s="377"/>
      <c r="P858" s="364"/>
      <c r="Q858" s="360"/>
      <c r="R858" s="377"/>
      <c r="S858" s="377"/>
      <c r="T858" s="375"/>
      <c r="U858" s="375"/>
      <c r="V858" s="375"/>
      <c r="W858" s="375"/>
      <c r="X858" s="375"/>
      <c r="Y858" s="375"/>
      <c r="Z858" s="375"/>
      <c r="AA858" s="375"/>
      <c r="AB858" s="375"/>
      <c r="AC858" s="375"/>
      <c r="AD858" s="375"/>
      <c r="AE858" s="375"/>
      <c r="AF858" s="375"/>
    </row>
    <row r="859">
      <c r="A859" s="360"/>
      <c r="B859" s="360"/>
      <c r="C859" s="377"/>
      <c r="D859" s="377"/>
      <c r="E859" s="378"/>
      <c r="F859" s="377"/>
      <c r="G859" s="377"/>
      <c r="H859" s="378"/>
      <c r="I859" s="360"/>
      <c r="J859" s="377"/>
      <c r="K859" s="377"/>
      <c r="L859" s="378"/>
      <c r="M859" s="377"/>
      <c r="N859" s="377"/>
      <c r="O859" s="377"/>
      <c r="P859" s="364"/>
      <c r="Q859" s="360"/>
      <c r="R859" s="377"/>
      <c r="S859" s="377"/>
      <c r="T859" s="375"/>
      <c r="U859" s="375"/>
      <c r="V859" s="375"/>
      <c r="W859" s="375"/>
      <c r="X859" s="375"/>
      <c r="Y859" s="375"/>
      <c r="Z859" s="375"/>
      <c r="AA859" s="375"/>
      <c r="AB859" s="375"/>
      <c r="AC859" s="375"/>
      <c r="AD859" s="375"/>
      <c r="AE859" s="375"/>
      <c r="AF859" s="375"/>
    </row>
    <row r="860">
      <c r="A860" s="360"/>
      <c r="B860" s="360"/>
      <c r="C860" s="377"/>
      <c r="D860" s="377"/>
      <c r="E860" s="378"/>
      <c r="F860" s="377"/>
      <c r="G860" s="377"/>
      <c r="H860" s="378"/>
      <c r="I860" s="360"/>
      <c r="J860" s="377"/>
      <c r="K860" s="377"/>
      <c r="L860" s="378"/>
      <c r="M860" s="377"/>
      <c r="N860" s="377"/>
      <c r="O860" s="377"/>
      <c r="P860" s="364"/>
      <c r="Q860" s="360"/>
      <c r="R860" s="377"/>
      <c r="S860" s="377"/>
      <c r="T860" s="375"/>
      <c r="U860" s="375"/>
      <c r="V860" s="375"/>
      <c r="W860" s="375"/>
      <c r="X860" s="375"/>
      <c r="Y860" s="375"/>
      <c r="Z860" s="375"/>
      <c r="AA860" s="375"/>
      <c r="AB860" s="375"/>
      <c r="AC860" s="375"/>
      <c r="AD860" s="375"/>
      <c r="AE860" s="375"/>
      <c r="AF860" s="375"/>
    </row>
    <row r="861">
      <c r="A861" s="360"/>
      <c r="B861" s="360"/>
      <c r="C861" s="377"/>
      <c r="D861" s="377"/>
      <c r="E861" s="378"/>
      <c r="F861" s="377"/>
      <c r="G861" s="377"/>
      <c r="H861" s="378"/>
      <c r="I861" s="360"/>
      <c r="J861" s="377"/>
      <c r="K861" s="377"/>
      <c r="L861" s="378"/>
      <c r="M861" s="377"/>
      <c r="N861" s="377"/>
      <c r="O861" s="377"/>
      <c r="P861" s="364"/>
      <c r="Q861" s="360"/>
      <c r="R861" s="377"/>
      <c r="S861" s="377"/>
      <c r="T861" s="375"/>
      <c r="U861" s="375"/>
      <c r="V861" s="375"/>
      <c r="W861" s="375"/>
      <c r="X861" s="375"/>
      <c r="Y861" s="375"/>
      <c r="Z861" s="375"/>
      <c r="AA861" s="375"/>
      <c r="AB861" s="375"/>
      <c r="AC861" s="375"/>
      <c r="AD861" s="375"/>
      <c r="AE861" s="375"/>
      <c r="AF861" s="375"/>
    </row>
    <row r="862">
      <c r="A862" s="360"/>
      <c r="B862" s="360"/>
      <c r="C862" s="377"/>
      <c r="D862" s="377"/>
      <c r="E862" s="378"/>
      <c r="F862" s="377"/>
      <c r="G862" s="377"/>
      <c r="H862" s="378"/>
      <c r="I862" s="360"/>
      <c r="J862" s="377"/>
      <c r="K862" s="377"/>
      <c r="L862" s="378"/>
      <c r="M862" s="377"/>
      <c r="N862" s="377"/>
      <c r="O862" s="377"/>
      <c r="P862" s="364"/>
      <c r="Q862" s="360"/>
      <c r="R862" s="377"/>
      <c r="S862" s="377"/>
      <c r="T862" s="375"/>
      <c r="U862" s="375"/>
      <c r="V862" s="375"/>
      <c r="W862" s="375"/>
      <c r="X862" s="375"/>
      <c r="Y862" s="375"/>
      <c r="Z862" s="375"/>
      <c r="AA862" s="375"/>
      <c r="AB862" s="375"/>
      <c r="AC862" s="375"/>
      <c r="AD862" s="375"/>
      <c r="AE862" s="375"/>
      <c r="AF862" s="375"/>
    </row>
    <row r="863">
      <c r="A863" s="360"/>
      <c r="B863" s="360"/>
      <c r="C863" s="377"/>
      <c r="D863" s="377"/>
      <c r="E863" s="378"/>
      <c r="F863" s="377"/>
      <c r="G863" s="377"/>
      <c r="H863" s="378"/>
      <c r="I863" s="360"/>
      <c r="J863" s="377"/>
      <c r="K863" s="377"/>
      <c r="L863" s="378"/>
      <c r="M863" s="377"/>
      <c r="N863" s="377"/>
      <c r="O863" s="377"/>
      <c r="P863" s="364"/>
      <c r="Q863" s="360"/>
      <c r="R863" s="377"/>
      <c r="S863" s="377"/>
      <c r="T863" s="375"/>
      <c r="U863" s="375"/>
      <c r="V863" s="375"/>
      <c r="W863" s="375"/>
      <c r="X863" s="375"/>
      <c r="Y863" s="375"/>
      <c r="Z863" s="375"/>
      <c r="AA863" s="375"/>
      <c r="AB863" s="375"/>
      <c r="AC863" s="375"/>
      <c r="AD863" s="375"/>
      <c r="AE863" s="375"/>
      <c r="AF863" s="375"/>
    </row>
    <row r="864">
      <c r="A864" s="360"/>
      <c r="B864" s="360"/>
      <c r="C864" s="377"/>
      <c r="D864" s="377"/>
      <c r="E864" s="378"/>
      <c r="F864" s="377"/>
      <c r="G864" s="377"/>
      <c r="H864" s="378"/>
      <c r="I864" s="360"/>
      <c r="J864" s="377"/>
      <c r="K864" s="377"/>
      <c r="L864" s="378"/>
      <c r="M864" s="377"/>
      <c r="N864" s="377"/>
      <c r="O864" s="377"/>
      <c r="P864" s="364"/>
      <c r="Q864" s="360"/>
      <c r="R864" s="377"/>
      <c r="S864" s="377"/>
      <c r="T864" s="375"/>
      <c r="U864" s="375"/>
      <c r="V864" s="375"/>
      <c r="W864" s="375"/>
      <c r="X864" s="375"/>
      <c r="Y864" s="375"/>
      <c r="Z864" s="375"/>
      <c r="AA864" s="375"/>
      <c r="AB864" s="375"/>
      <c r="AC864" s="375"/>
      <c r="AD864" s="375"/>
      <c r="AE864" s="375"/>
      <c r="AF864" s="375"/>
    </row>
    <row r="865">
      <c r="A865" s="360"/>
      <c r="B865" s="360"/>
      <c r="C865" s="377"/>
      <c r="D865" s="377"/>
      <c r="E865" s="378"/>
      <c r="F865" s="377"/>
      <c r="G865" s="377"/>
      <c r="H865" s="378"/>
      <c r="I865" s="360"/>
      <c r="J865" s="377"/>
      <c r="K865" s="377"/>
      <c r="L865" s="378"/>
      <c r="M865" s="377"/>
      <c r="N865" s="377"/>
      <c r="O865" s="377"/>
      <c r="P865" s="364"/>
      <c r="Q865" s="360"/>
      <c r="R865" s="377"/>
      <c r="S865" s="377"/>
      <c r="T865" s="375"/>
      <c r="U865" s="375"/>
      <c r="V865" s="375"/>
      <c r="W865" s="375"/>
      <c r="X865" s="375"/>
      <c r="Y865" s="375"/>
      <c r="Z865" s="375"/>
      <c r="AA865" s="375"/>
      <c r="AB865" s="375"/>
      <c r="AC865" s="375"/>
      <c r="AD865" s="375"/>
      <c r="AE865" s="375"/>
      <c r="AF865" s="375"/>
    </row>
    <row r="866">
      <c r="A866" s="360"/>
      <c r="B866" s="360"/>
      <c r="C866" s="377"/>
      <c r="D866" s="377"/>
      <c r="E866" s="378"/>
      <c r="F866" s="377"/>
      <c r="G866" s="377"/>
      <c r="H866" s="378"/>
      <c r="I866" s="360"/>
      <c r="J866" s="377"/>
      <c r="K866" s="377"/>
      <c r="L866" s="378"/>
      <c r="M866" s="377"/>
      <c r="N866" s="377"/>
      <c r="O866" s="377"/>
      <c r="P866" s="364"/>
      <c r="Q866" s="360"/>
      <c r="R866" s="377"/>
      <c r="S866" s="377"/>
      <c r="T866" s="375"/>
      <c r="U866" s="375"/>
      <c r="V866" s="375"/>
      <c r="W866" s="375"/>
      <c r="X866" s="375"/>
      <c r="Y866" s="375"/>
      <c r="Z866" s="375"/>
      <c r="AA866" s="375"/>
      <c r="AB866" s="375"/>
      <c r="AC866" s="375"/>
      <c r="AD866" s="375"/>
      <c r="AE866" s="375"/>
      <c r="AF866" s="375"/>
    </row>
    <row r="867">
      <c r="A867" s="360"/>
      <c r="B867" s="360"/>
      <c r="C867" s="377"/>
      <c r="D867" s="377"/>
      <c r="E867" s="378"/>
      <c r="F867" s="377"/>
      <c r="G867" s="377"/>
      <c r="H867" s="378"/>
      <c r="I867" s="360"/>
      <c r="J867" s="377"/>
      <c r="K867" s="377"/>
      <c r="L867" s="378"/>
      <c r="M867" s="377"/>
      <c r="N867" s="377"/>
      <c r="O867" s="377"/>
      <c r="P867" s="364"/>
      <c r="Q867" s="360"/>
      <c r="R867" s="377"/>
      <c r="S867" s="377"/>
      <c r="T867" s="375"/>
      <c r="U867" s="375"/>
      <c r="V867" s="375"/>
      <c r="W867" s="375"/>
      <c r="X867" s="375"/>
      <c r="Y867" s="375"/>
      <c r="Z867" s="375"/>
      <c r="AA867" s="375"/>
      <c r="AB867" s="375"/>
      <c r="AC867" s="375"/>
      <c r="AD867" s="375"/>
      <c r="AE867" s="375"/>
      <c r="AF867" s="375"/>
    </row>
    <row r="868">
      <c r="A868" s="360"/>
      <c r="B868" s="360"/>
      <c r="C868" s="377"/>
      <c r="D868" s="377"/>
      <c r="E868" s="378"/>
      <c r="F868" s="377"/>
      <c r="G868" s="377"/>
      <c r="H868" s="378"/>
      <c r="I868" s="360"/>
      <c r="J868" s="377"/>
      <c r="K868" s="377"/>
      <c r="L868" s="378"/>
      <c r="M868" s="377"/>
      <c r="N868" s="377"/>
      <c r="O868" s="377"/>
      <c r="P868" s="364"/>
      <c r="Q868" s="360"/>
      <c r="R868" s="377"/>
      <c r="S868" s="377"/>
      <c r="T868" s="375"/>
      <c r="U868" s="375"/>
      <c r="V868" s="375"/>
      <c r="W868" s="375"/>
      <c r="X868" s="375"/>
      <c r="Y868" s="375"/>
      <c r="Z868" s="375"/>
      <c r="AA868" s="375"/>
      <c r="AB868" s="375"/>
      <c r="AC868" s="375"/>
      <c r="AD868" s="375"/>
      <c r="AE868" s="375"/>
      <c r="AF868" s="375"/>
    </row>
    <row r="869">
      <c r="A869" s="360"/>
      <c r="B869" s="360"/>
      <c r="C869" s="377"/>
      <c r="D869" s="377"/>
      <c r="E869" s="378"/>
      <c r="F869" s="377"/>
      <c r="G869" s="377"/>
      <c r="H869" s="378"/>
      <c r="I869" s="360"/>
      <c r="J869" s="377"/>
      <c r="K869" s="377"/>
      <c r="L869" s="378"/>
      <c r="M869" s="377"/>
      <c r="N869" s="377"/>
      <c r="O869" s="377"/>
      <c r="P869" s="364"/>
      <c r="Q869" s="360"/>
      <c r="R869" s="377"/>
      <c r="S869" s="377"/>
      <c r="T869" s="375"/>
      <c r="U869" s="375"/>
      <c r="V869" s="375"/>
      <c r="W869" s="375"/>
      <c r="X869" s="375"/>
      <c r="Y869" s="375"/>
      <c r="Z869" s="375"/>
      <c r="AA869" s="375"/>
      <c r="AB869" s="375"/>
      <c r="AC869" s="375"/>
      <c r="AD869" s="375"/>
      <c r="AE869" s="375"/>
      <c r="AF869" s="375"/>
    </row>
    <row r="870">
      <c r="A870" s="360"/>
      <c r="B870" s="360"/>
      <c r="C870" s="377"/>
      <c r="D870" s="377"/>
      <c r="E870" s="378"/>
      <c r="F870" s="377"/>
      <c r="G870" s="377"/>
      <c r="H870" s="378"/>
      <c r="I870" s="360"/>
      <c r="J870" s="377"/>
      <c r="K870" s="377"/>
      <c r="L870" s="378"/>
      <c r="M870" s="377"/>
      <c r="N870" s="377"/>
      <c r="O870" s="377"/>
      <c r="P870" s="364"/>
      <c r="Q870" s="360"/>
      <c r="R870" s="377"/>
      <c r="S870" s="377"/>
      <c r="T870" s="375"/>
      <c r="U870" s="375"/>
      <c r="V870" s="375"/>
      <c r="W870" s="375"/>
      <c r="X870" s="375"/>
      <c r="Y870" s="375"/>
      <c r="Z870" s="375"/>
      <c r="AA870" s="375"/>
      <c r="AB870" s="375"/>
      <c r="AC870" s="375"/>
      <c r="AD870" s="375"/>
      <c r="AE870" s="375"/>
      <c r="AF870" s="375"/>
    </row>
    <row r="871">
      <c r="A871" s="360"/>
      <c r="B871" s="360"/>
      <c r="C871" s="377"/>
      <c r="D871" s="377"/>
      <c r="E871" s="378"/>
      <c r="F871" s="377"/>
      <c r="G871" s="377"/>
      <c r="H871" s="378"/>
      <c r="I871" s="360"/>
      <c r="J871" s="377"/>
      <c r="K871" s="377"/>
      <c r="L871" s="378"/>
      <c r="M871" s="377"/>
      <c r="N871" s="377"/>
      <c r="O871" s="377"/>
      <c r="P871" s="364"/>
      <c r="Q871" s="360"/>
      <c r="R871" s="377"/>
      <c r="S871" s="377"/>
      <c r="T871" s="375"/>
      <c r="U871" s="375"/>
      <c r="V871" s="375"/>
      <c r="W871" s="375"/>
      <c r="X871" s="375"/>
      <c r="Y871" s="375"/>
      <c r="Z871" s="375"/>
      <c r="AA871" s="375"/>
      <c r="AB871" s="375"/>
      <c r="AC871" s="375"/>
      <c r="AD871" s="375"/>
      <c r="AE871" s="375"/>
      <c r="AF871" s="375"/>
    </row>
    <row r="872">
      <c r="A872" s="360"/>
      <c r="B872" s="360"/>
      <c r="C872" s="377"/>
      <c r="D872" s="377"/>
      <c r="E872" s="378"/>
      <c r="F872" s="377"/>
      <c r="G872" s="377"/>
      <c r="H872" s="378"/>
      <c r="I872" s="360"/>
      <c r="J872" s="377"/>
      <c r="K872" s="377"/>
      <c r="L872" s="378"/>
      <c r="M872" s="377"/>
      <c r="N872" s="377"/>
      <c r="O872" s="377"/>
      <c r="P872" s="364"/>
      <c r="Q872" s="360"/>
      <c r="R872" s="377"/>
      <c r="S872" s="377"/>
      <c r="T872" s="375"/>
      <c r="U872" s="375"/>
      <c r="V872" s="375"/>
      <c r="W872" s="375"/>
      <c r="X872" s="375"/>
      <c r="Y872" s="375"/>
      <c r="Z872" s="375"/>
      <c r="AA872" s="375"/>
      <c r="AB872" s="375"/>
      <c r="AC872" s="375"/>
      <c r="AD872" s="375"/>
      <c r="AE872" s="375"/>
      <c r="AF872" s="375"/>
    </row>
    <row r="873">
      <c r="A873" s="360"/>
      <c r="B873" s="360"/>
      <c r="C873" s="377"/>
      <c r="D873" s="377"/>
      <c r="E873" s="378"/>
      <c r="F873" s="377"/>
      <c r="G873" s="377"/>
      <c r="H873" s="378"/>
      <c r="I873" s="360"/>
      <c r="J873" s="377"/>
      <c r="K873" s="377"/>
      <c r="L873" s="378"/>
      <c r="M873" s="377"/>
      <c r="N873" s="377"/>
      <c r="O873" s="377"/>
      <c r="P873" s="364"/>
      <c r="Q873" s="360"/>
      <c r="R873" s="377"/>
      <c r="S873" s="377"/>
      <c r="T873" s="375"/>
      <c r="U873" s="375"/>
      <c r="V873" s="375"/>
      <c r="W873" s="375"/>
      <c r="X873" s="375"/>
      <c r="Y873" s="375"/>
      <c r="Z873" s="375"/>
      <c r="AA873" s="375"/>
      <c r="AB873" s="375"/>
      <c r="AC873" s="375"/>
      <c r="AD873" s="375"/>
      <c r="AE873" s="375"/>
      <c r="AF873" s="375"/>
    </row>
    <row r="874">
      <c r="A874" s="360"/>
      <c r="B874" s="360"/>
      <c r="C874" s="377"/>
      <c r="D874" s="377"/>
      <c r="E874" s="378"/>
      <c r="F874" s="377"/>
      <c r="G874" s="377"/>
      <c r="H874" s="378"/>
      <c r="I874" s="360"/>
      <c r="J874" s="377"/>
      <c r="K874" s="377"/>
      <c r="L874" s="378"/>
      <c r="M874" s="377"/>
      <c r="N874" s="377"/>
      <c r="O874" s="377"/>
      <c r="P874" s="364"/>
      <c r="Q874" s="360"/>
      <c r="R874" s="377"/>
      <c r="S874" s="377"/>
      <c r="T874" s="375"/>
      <c r="U874" s="375"/>
      <c r="V874" s="375"/>
      <c r="W874" s="375"/>
      <c r="X874" s="375"/>
      <c r="Y874" s="375"/>
      <c r="Z874" s="375"/>
      <c r="AA874" s="375"/>
      <c r="AB874" s="375"/>
      <c r="AC874" s="375"/>
      <c r="AD874" s="375"/>
      <c r="AE874" s="375"/>
      <c r="AF874" s="375"/>
    </row>
    <row r="875">
      <c r="A875" s="360"/>
      <c r="B875" s="360"/>
      <c r="C875" s="377"/>
      <c r="D875" s="377"/>
      <c r="E875" s="378"/>
      <c r="F875" s="377"/>
      <c r="G875" s="377"/>
      <c r="H875" s="378"/>
      <c r="I875" s="360"/>
      <c r="J875" s="377"/>
      <c r="K875" s="377"/>
      <c r="L875" s="378"/>
      <c r="M875" s="377"/>
      <c r="N875" s="377"/>
      <c r="O875" s="377"/>
      <c r="P875" s="364"/>
      <c r="Q875" s="360"/>
      <c r="R875" s="377"/>
      <c r="S875" s="377"/>
      <c r="T875" s="375"/>
      <c r="U875" s="375"/>
      <c r="V875" s="375"/>
      <c r="W875" s="375"/>
      <c r="X875" s="375"/>
      <c r="Y875" s="375"/>
      <c r="Z875" s="375"/>
      <c r="AA875" s="375"/>
      <c r="AB875" s="375"/>
      <c r="AC875" s="375"/>
      <c r="AD875" s="375"/>
      <c r="AE875" s="375"/>
      <c r="AF875" s="375"/>
    </row>
    <row r="876">
      <c r="A876" s="360"/>
      <c r="B876" s="360"/>
      <c r="C876" s="377"/>
      <c r="D876" s="377"/>
      <c r="E876" s="378"/>
      <c r="F876" s="377"/>
      <c r="G876" s="377"/>
      <c r="H876" s="378"/>
      <c r="I876" s="360"/>
      <c r="J876" s="377"/>
      <c r="K876" s="377"/>
      <c r="L876" s="378"/>
      <c r="M876" s="377"/>
      <c r="N876" s="377"/>
      <c r="O876" s="377"/>
      <c r="P876" s="364"/>
      <c r="Q876" s="360"/>
      <c r="R876" s="377"/>
      <c r="S876" s="377"/>
      <c r="T876" s="375"/>
      <c r="U876" s="375"/>
      <c r="V876" s="375"/>
      <c r="W876" s="375"/>
      <c r="X876" s="375"/>
      <c r="Y876" s="375"/>
      <c r="Z876" s="375"/>
      <c r="AA876" s="375"/>
      <c r="AB876" s="375"/>
      <c r="AC876" s="375"/>
      <c r="AD876" s="375"/>
      <c r="AE876" s="375"/>
      <c r="AF876" s="375"/>
    </row>
    <row r="877">
      <c r="A877" s="360"/>
      <c r="B877" s="360"/>
      <c r="C877" s="377"/>
      <c r="D877" s="377"/>
      <c r="E877" s="378"/>
      <c r="F877" s="377"/>
      <c r="G877" s="377"/>
      <c r="H877" s="378"/>
      <c r="I877" s="360"/>
      <c r="J877" s="377"/>
      <c r="K877" s="377"/>
      <c r="L877" s="378"/>
      <c r="M877" s="377"/>
      <c r="N877" s="377"/>
      <c r="O877" s="377"/>
      <c r="P877" s="364"/>
      <c r="Q877" s="360"/>
      <c r="R877" s="377"/>
      <c r="S877" s="377"/>
      <c r="T877" s="375"/>
      <c r="U877" s="375"/>
      <c r="V877" s="375"/>
      <c r="W877" s="375"/>
      <c r="X877" s="375"/>
      <c r="Y877" s="375"/>
      <c r="Z877" s="375"/>
      <c r="AA877" s="375"/>
      <c r="AB877" s="375"/>
      <c r="AC877" s="375"/>
      <c r="AD877" s="375"/>
      <c r="AE877" s="375"/>
      <c r="AF877" s="375"/>
    </row>
    <row r="878">
      <c r="A878" s="360"/>
      <c r="B878" s="360"/>
      <c r="C878" s="377"/>
      <c r="D878" s="377"/>
      <c r="E878" s="378"/>
      <c r="F878" s="377"/>
      <c r="G878" s="377"/>
      <c r="H878" s="378"/>
      <c r="I878" s="360"/>
      <c r="J878" s="377"/>
      <c r="K878" s="377"/>
      <c r="L878" s="378"/>
      <c r="M878" s="377"/>
      <c r="N878" s="377"/>
      <c r="O878" s="377"/>
      <c r="P878" s="364"/>
      <c r="Q878" s="360"/>
      <c r="R878" s="377"/>
      <c r="S878" s="377"/>
      <c r="T878" s="375"/>
      <c r="U878" s="375"/>
      <c r="V878" s="375"/>
      <c r="W878" s="375"/>
      <c r="X878" s="375"/>
      <c r="Y878" s="375"/>
      <c r="Z878" s="375"/>
      <c r="AA878" s="375"/>
      <c r="AB878" s="375"/>
      <c r="AC878" s="375"/>
      <c r="AD878" s="375"/>
      <c r="AE878" s="375"/>
      <c r="AF878" s="375"/>
    </row>
    <row r="879">
      <c r="A879" s="360"/>
      <c r="B879" s="360"/>
      <c r="C879" s="377"/>
      <c r="D879" s="377"/>
      <c r="E879" s="378"/>
      <c r="F879" s="377"/>
      <c r="G879" s="377"/>
      <c r="H879" s="378"/>
      <c r="I879" s="360"/>
      <c r="J879" s="377"/>
      <c r="K879" s="377"/>
      <c r="L879" s="378"/>
      <c r="M879" s="377"/>
      <c r="N879" s="377"/>
      <c r="O879" s="377"/>
      <c r="P879" s="364"/>
      <c r="Q879" s="360"/>
      <c r="R879" s="377"/>
      <c r="S879" s="377"/>
      <c r="T879" s="375"/>
      <c r="U879" s="375"/>
      <c r="V879" s="375"/>
      <c r="W879" s="375"/>
      <c r="X879" s="375"/>
      <c r="Y879" s="375"/>
      <c r="Z879" s="375"/>
      <c r="AA879" s="375"/>
      <c r="AB879" s="375"/>
      <c r="AC879" s="375"/>
      <c r="AD879" s="375"/>
      <c r="AE879" s="375"/>
      <c r="AF879" s="375"/>
    </row>
    <row r="880">
      <c r="A880" s="360"/>
      <c r="B880" s="360"/>
      <c r="C880" s="377"/>
      <c r="D880" s="377"/>
      <c r="E880" s="378"/>
      <c r="F880" s="377"/>
      <c r="G880" s="377"/>
      <c r="H880" s="378"/>
      <c r="I880" s="360"/>
      <c r="J880" s="377"/>
      <c r="K880" s="377"/>
      <c r="L880" s="378"/>
      <c r="M880" s="377"/>
      <c r="N880" s="377"/>
      <c r="O880" s="377"/>
      <c r="P880" s="364"/>
      <c r="Q880" s="360"/>
      <c r="R880" s="377"/>
      <c r="S880" s="377"/>
      <c r="T880" s="375"/>
      <c r="U880" s="375"/>
      <c r="V880" s="375"/>
      <c r="W880" s="375"/>
      <c r="X880" s="375"/>
      <c r="Y880" s="375"/>
      <c r="Z880" s="375"/>
      <c r="AA880" s="375"/>
      <c r="AB880" s="375"/>
      <c r="AC880" s="375"/>
      <c r="AD880" s="375"/>
      <c r="AE880" s="375"/>
      <c r="AF880" s="375"/>
    </row>
    <row r="881">
      <c r="A881" s="360"/>
      <c r="B881" s="360"/>
      <c r="C881" s="377"/>
      <c r="D881" s="377"/>
      <c r="E881" s="378"/>
      <c r="F881" s="377"/>
      <c r="G881" s="377"/>
      <c r="H881" s="378"/>
      <c r="I881" s="360"/>
      <c r="J881" s="377"/>
      <c r="K881" s="377"/>
      <c r="L881" s="378"/>
      <c r="M881" s="377"/>
      <c r="N881" s="377"/>
      <c r="O881" s="377"/>
      <c r="P881" s="364"/>
      <c r="Q881" s="360"/>
      <c r="R881" s="377"/>
      <c r="S881" s="377"/>
      <c r="T881" s="375"/>
      <c r="U881" s="375"/>
      <c r="V881" s="375"/>
      <c r="W881" s="375"/>
      <c r="X881" s="375"/>
      <c r="Y881" s="375"/>
      <c r="Z881" s="375"/>
      <c r="AA881" s="375"/>
      <c r="AB881" s="375"/>
      <c r="AC881" s="375"/>
      <c r="AD881" s="375"/>
      <c r="AE881" s="375"/>
      <c r="AF881" s="375"/>
    </row>
    <row r="882">
      <c r="A882" s="360"/>
      <c r="B882" s="360"/>
      <c r="C882" s="377"/>
      <c r="D882" s="377"/>
      <c r="E882" s="378"/>
      <c r="F882" s="377"/>
      <c r="G882" s="377"/>
      <c r="H882" s="378"/>
      <c r="I882" s="360"/>
      <c r="J882" s="377"/>
      <c r="K882" s="377"/>
      <c r="L882" s="378"/>
      <c r="M882" s="377"/>
      <c r="N882" s="377"/>
      <c r="O882" s="377"/>
      <c r="P882" s="364"/>
      <c r="Q882" s="360"/>
      <c r="R882" s="377"/>
      <c r="S882" s="377"/>
      <c r="T882" s="375"/>
      <c r="U882" s="375"/>
      <c r="V882" s="375"/>
      <c r="W882" s="375"/>
      <c r="X882" s="375"/>
      <c r="Y882" s="375"/>
      <c r="Z882" s="375"/>
      <c r="AA882" s="375"/>
      <c r="AB882" s="375"/>
      <c r="AC882" s="375"/>
      <c r="AD882" s="375"/>
      <c r="AE882" s="375"/>
      <c r="AF882" s="375"/>
    </row>
    <row r="883">
      <c r="A883" s="360"/>
      <c r="B883" s="360"/>
      <c r="C883" s="377"/>
      <c r="D883" s="377"/>
      <c r="E883" s="378"/>
      <c r="F883" s="377"/>
      <c r="G883" s="377"/>
      <c r="H883" s="378"/>
      <c r="I883" s="360"/>
      <c r="J883" s="377"/>
      <c r="K883" s="377"/>
      <c r="L883" s="378"/>
      <c r="M883" s="377"/>
      <c r="N883" s="377"/>
      <c r="O883" s="377"/>
      <c r="P883" s="364"/>
      <c r="Q883" s="360"/>
      <c r="R883" s="377"/>
      <c r="S883" s="377"/>
      <c r="T883" s="375"/>
      <c r="U883" s="375"/>
      <c r="V883" s="375"/>
      <c r="W883" s="375"/>
      <c r="X883" s="375"/>
      <c r="Y883" s="375"/>
      <c r="Z883" s="375"/>
      <c r="AA883" s="375"/>
      <c r="AB883" s="375"/>
      <c r="AC883" s="375"/>
      <c r="AD883" s="375"/>
      <c r="AE883" s="375"/>
      <c r="AF883" s="375"/>
    </row>
    <row r="884">
      <c r="A884" s="360"/>
      <c r="B884" s="360"/>
      <c r="C884" s="377"/>
      <c r="D884" s="377"/>
      <c r="E884" s="378"/>
      <c r="F884" s="377"/>
      <c r="G884" s="377"/>
      <c r="H884" s="378"/>
      <c r="I884" s="360"/>
      <c r="J884" s="377"/>
      <c r="K884" s="377"/>
      <c r="L884" s="378"/>
      <c r="M884" s="377"/>
      <c r="N884" s="377"/>
      <c r="O884" s="377"/>
      <c r="P884" s="364"/>
      <c r="Q884" s="360"/>
      <c r="R884" s="377"/>
      <c r="S884" s="377"/>
      <c r="T884" s="375"/>
      <c r="U884" s="375"/>
      <c r="V884" s="375"/>
      <c r="W884" s="375"/>
      <c r="X884" s="375"/>
      <c r="Y884" s="375"/>
      <c r="Z884" s="375"/>
      <c r="AA884" s="375"/>
      <c r="AB884" s="375"/>
      <c r="AC884" s="375"/>
      <c r="AD884" s="375"/>
      <c r="AE884" s="375"/>
      <c r="AF884" s="375"/>
    </row>
    <row r="885">
      <c r="A885" s="360"/>
      <c r="B885" s="360"/>
      <c r="C885" s="377"/>
      <c r="D885" s="377"/>
      <c r="E885" s="378"/>
      <c r="F885" s="377"/>
      <c r="G885" s="377"/>
      <c r="H885" s="378"/>
      <c r="I885" s="360"/>
      <c r="J885" s="377"/>
      <c r="K885" s="377"/>
      <c r="L885" s="378"/>
      <c r="M885" s="377"/>
      <c r="N885" s="377"/>
      <c r="O885" s="377"/>
      <c r="P885" s="364"/>
      <c r="Q885" s="360"/>
      <c r="R885" s="377"/>
      <c r="S885" s="377"/>
      <c r="T885" s="375"/>
      <c r="U885" s="375"/>
      <c r="V885" s="375"/>
      <c r="W885" s="375"/>
      <c r="X885" s="375"/>
      <c r="Y885" s="375"/>
      <c r="Z885" s="375"/>
      <c r="AA885" s="375"/>
      <c r="AB885" s="375"/>
      <c r="AC885" s="375"/>
      <c r="AD885" s="375"/>
      <c r="AE885" s="375"/>
      <c r="AF885" s="375"/>
    </row>
    <row r="886">
      <c r="A886" s="360"/>
      <c r="B886" s="360"/>
      <c r="C886" s="377"/>
      <c r="D886" s="377"/>
      <c r="E886" s="378"/>
      <c r="F886" s="377"/>
      <c r="G886" s="377"/>
      <c r="H886" s="378"/>
      <c r="I886" s="360"/>
      <c r="J886" s="377"/>
      <c r="K886" s="377"/>
      <c r="L886" s="378"/>
      <c r="M886" s="377"/>
      <c r="N886" s="377"/>
      <c r="O886" s="377"/>
      <c r="P886" s="364"/>
      <c r="Q886" s="360"/>
      <c r="R886" s="377"/>
      <c r="S886" s="377"/>
      <c r="T886" s="375"/>
      <c r="U886" s="375"/>
      <c r="V886" s="375"/>
      <c r="W886" s="375"/>
      <c r="X886" s="375"/>
      <c r="Y886" s="375"/>
      <c r="Z886" s="375"/>
      <c r="AA886" s="375"/>
      <c r="AB886" s="375"/>
      <c r="AC886" s="375"/>
      <c r="AD886" s="375"/>
      <c r="AE886" s="375"/>
      <c r="AF886" s="375"/>
    </row>
    <row r="887">
      <c r="A887" s="360"/>
      <c r="B887" s="360"/>
      <c r="C887" s="377"/>
      <c r="D887" s="377"/>
      <c r="E887" s="378"/>
      <c r="F887" s="377"/>
      <c r="G887" s="377"/>
      <c r="H887" s="378"/>
      <c r="I887" s="360"/>
      <c r="J887" s="377"/>
      <c r="K887" s="377"/>
      <c r="L887" s="378"/>
      <c r="M887" s="377"/>
      <c r="N887" s="377"/>
      <c r="O887" s="377"/>
      <c r="P887" s="364"/>
      <c r="Q887" s="360"/>
      <c r="R887" s="377"/>
      <c r="S887" s="377"/>
      <c r="T887" s="375"/>
      <c r="U887" s="375"/>
      <c r="V887" s="375"/>
      <c r="W887" s="375"/>
      <c r="X887" s="375"/>
      <c r="Y887" s="375"/>
      <c r="Z887" s="375"/>
      <c r="AA887" s="375"/>
      <c r="AB887" s="375"/>
      <c r="AC887" s="375"/>
      <c r="AD887" s="375"/>
      <c r="AE887" s="375"/>
      <c r="AF887" s="375"/>
    </row>
    <row r="888">
      <c r="A888" s="360"/>
      <c r="B888" s="360"/>
      <c r="C888" s="377"/>
      <c r="D888" s="377"/>
      <c r="E888" s="378"/>
      <c r="F888" s="377"/>
      <c r="G888" s="377"/>
      <c r="H888" s="378"/>
      <c r="I888" s="360"/>
      <c r="J888" s="377"/>
      <c r="K888" s="377"/>
      <c r="L888" s="378"/>
      <c r="M888" s="377"/>
      <c r="N888" s="377"/>
      <c r="O888" s="377"/>
      <c r="P888" s="364"/>
      <c r="Q888" s="360"/>
      <c r="R888" s="377"/>
      <c r="S888" s="377"/>
      <c r="T888" s="375"/>
      <c r="U888" s="375"/>
      <c r="V888" s="375"/>
      <c r="W888" s="375"/>
      <c r="X888" s="375"/>
      <c r="Y888" s="375"/>
      <c r="Z888" s="375"/>
      <c r="AA888" s="375"/>
      <c r="AB888" s="375"/>
      <c r="AC888" s="375"/>
      <c r="AD888" s="375"/>
      <c r="AE888" s="375"/>
      <c r="AF888" s="375"/>
    </row>
    <row r="889">
      <c r="A889" s="360"/>
      <c r="B889" s="360"/>
      <c r="C889" s="377"/>
      <c r="D889" s="377"/>
      <c r="E889" s="378"/>
      <c r="F889" s="377"/>
      <c r="G889" s="377"/>
      <c r="H889" s="378"/>
      <c r="I889" s="360"/>
      <c r="J889" s="377"/>
      <c r="K889" s="377"/>
      <c r="L889" s="378"/>
      <c r="M889" s="377"/>
      <c r="N889" s="377"/>
      <c r="O889" s="377"/>
      <c r="P889" s="364"/>
      <c r="Q889" s="360"/>
      <c r="R889" s="377"/>
      <c r="S889" s="377"/>
      <c r="T889" s="375"/>
      <c r="U889" s="375"/>
      <c r="V889" s="375"/>
      <c r="W889" s="375"/>
      <c r="X889" s="375"/>
      <c r="Y889" s="375"/>
      <c r="Z889" s="375"/>
      <c r="AA889" s="375"/>
      <c r="AB889" s="375"/>
      <c r="AC889" s="375"/>
      <c r="AD889" s="375"/>
      <c r="AE889" s="375"/>
      <c r="AF889" s="375"/>
    </row>
    <row r="890">
      <c r="A890" s="360"/>
      <c r="B890" s="360"/>
      <c r="C890" s="377"/>
      <c r="D890" s="377"/>
      <c r="E890" s="378"/>
      <c r="F890" s="377"/>
      <c r="G890" s="377"/>
      <c r="H890" s="378"/>
      <c r="I890" s="360"/>
      <c r="J890" s="377"/>
      <c r="K890" s="377"/>
      <c r="L890" s="378"/>
      <c r="M890" s="377"/>
      <c r="N890" s="377"/>
      <c r="O890" s="377"/>
      <c r="P890" s="364"/>
      <c r="Q890" s="360"/>
      <c r="R890" s="377"/>
      <c r="S890" s="377"/>
      <c r="T890" s="375"/>
      <c r="U890" s="375"/>
      <c r="V890" s="375"/>
      <c r="W890" s="375"/>
      <c r="X890" s="375"/>
      <c r="Y890" s="375"/>
      <c r="Z890" s="375"/>
      <c r="AA890" s="375"/>
      <c r="AB890" s="375"/>
      <c r="AC890" s="375"/>
      <c r="AD890" s="375"/>
      <c r="AE890" s="375"/>
      <c r="AF890" s="375"/>
    </row>
    <row r="891">
      <c r="A891" s="360"/>
      <c r="B891" s="360"/>
      <c r="C891" s="377"/>
      <c r="D891" s="377"/>
      <c r="E891" s="378"/>
      <c r="F891" s="377"/>
      <c r="G891" s="377"/>
      <c r="H891" s="378"/>
      <c r="I891" s="360"/>
      <c r="J891" s="377"/>
      <c r="K891" s="377"/>
      <c r="L891" s="378"/>
      <c r="M891" s="377"/>
      <c r="N891" s="377"/>
      <c r="O891" s="377"/>
      <c r="P891" s="364"/>
      <c r="Q891" s="360"/>
      <c r="R891" s="377"/>
      <c r="S891" s="377"/>
      <c r="T891" s="375"/>
      <c r="U891" s="375"/>
      <c r="V891" s="375"/>
      <c r="W891" s="375"/>
      <c r="X891" s="375"/>
      <c r="Y891" s="375"/>
      <c r="Z891" s="375"/>
      <c r="AA891" s="375"/>
      <c r="AB891" s="375"/>
      <c r="AC891" s="375"/>
      <c r="AD891" s="375"/>
      <c r="AE891" s="375"/>
      <c r="AF891" s="375"/>
    </row>
    <row r="892">
      <c r="A892" s="360"/>
      <c r="B892" s="360"/>
      <c r="C892" s="377"/>
      <c r="D892" s="377"/>
      <c r="E892" s="378"/>
      <c r="F892" s="377"/>
      <c r="G892" s="377"/>
      <c r="H892" s="378"/>
      <c r="I892" s="360"/>
      <c r="J892" s="377"/>
      <c r="K892" s="377"/>
      <c r="L892" s="378"/>
      <c r="M892" s="377"/>
      <c r="N892" s="377"/>
      <c r="O892" s="377"/>
      <c r="P892" s="364"/>
      <c r="Q892" s="360"/>
      <c r="R892" s="377"/>
      <c r="S892" s="377"/>
      <c r="T892" s="375"/>
      <c r="U892" s="375"/>
      <c r="V892" s="375"/>
      <c r="W892" s="375"/>
      <c r="X892" s="375"/>
      <c r="Y892" s="375"/>
      <c r="Z892" s="375"/>
      <c r="AA892" s="375"/>
      <c r="AB892" s="375"/>
      <c r="AC892" s="375"/>
      <c r="AD892" s="375"/>
      <c r="AE892" s="375"/>
      <c r="AF892" s="375"/>
    </row>
    <row r="893">
      <c r="A893" s="360"/>
      <c r="B893" s="360"/>
      <c r="C893" s="377"/>
      <c r="D893" s="377"/>
      <c r="E893" s="378"/>
      <c r="F893" s="377"/>
      <c r="G893" s="377"/>
      <c r="H893" s="378"/>
      <c r="I893" s="360"/>
      <c r="J893" s="377"/>
      <c r="K893" s="377"/>
      <c r="L893" s="378"/>
      <c r="M893" s="377"/>
      <c r="N893" s="377"/>
      <c r="O893" s="377"/>
      <c r="P893" s="364"/>
      <c r="Q893" s="360"/>
      <c r="R893" s="377"/>
      <c r="S893" s="377"/>
      <c r="T893" s="375"/>
      <c r="U893" s="375"/>
      <c r="V893" s="375"/>
      <c r="W893" s="375"/>
      <c r="X893" s="375"/>
      <c r="Y893" s="375"/>
      <c r="Z893" s="375"/>
      <c r="AA893" s="375"/>
      <c r="AB893" s="375"/>
      <c r="AC893" s="375"/>
      <c r="AD893" s="375"/>
      <c r="AE893" s="375"/>
      <c r="AF893" s="375"/>
    </row>
    <row r="894">
      <c r="A894" s="360"/>
      <c r="B894" s="360"/>
      <c r="C894" s="377"/>
      <c r="D894" s="377"/>
      <c r="E894" s="378"/>
      <c r="F894" s="377"/>
      <c r="G894" s="377"/>
      <c r="H894" s="378"/>
      <c r="I894" s="360"/>
      <c r="J894" s="377"/>
      <c r="K894" s="377"/>
      <c r="L894" s="378"/>
      <c r="M894" s="377"/>
      <c r="N894" s="377"/>
      <c r="O894" s="377"/>
      <c r="P894" s="364"/>
      <c r="Q894" s="360"/>
      <c r="R894" s="377"/>
      <c r="S894" s="377"/>
      <c r="T894" s="375"/>
      <c r="U894" s="375"/>
      <c r="V894" s="375"/>
      <c r="W894" s="375"/>
      <c r="X894" s="375"/>
      <c r="Y894" s="375"/>
      <c r="Z894" s="375"/>
      <c r="AA894" s="375"/>
      <c r="AB894" s="375"/>
      <c r="AC894" s="375"/>
      <c r="AD894" s="375"/>
      <c r="AE894" s="375"/>
      <c r="AF894" s="375"/>
    </row>
    <row r="895">
      <c r="A895" s="360"/>
      <c r="B895" s="360"/>
      <c r="C895" s="377"/>
      <c r="D895" s="377"/>
      <c r="E895" s="378"/>
      <c r="F895" s="377"/>
      <c r="G895" s="377"/>
      <c r="H895" s="378"/>
      <c r="I895" s="360"/>
      <c r="J895" s="377"/>
      <c r="K895" s="377"/>
      <c r="L895" s="378"/>
      <c r="M895" s="377"/>
      <c r="N895" s="377"/>
      <c r="O895" s="377"/>
      <c r="P895" s="364"/>
      <c r="Q895" s="360"/>
      <c r="R895" s="377"/>
      <c r="S895" s="377"/>
      <c r="T895" s="375"/>
      <c r="U895" s="375"/>
      <c r="V895" s="375"/>
      <c r="W895" s="375"/>
      <c r="X895" s="375"/>
      <c r="Y895" s="375"/>
      <c r="Z895" s="375"/>
      <c r="AA895" s="375"/>
      <c r="AB895" s="375"/>
      <c r="AC895" s="375"/>
      <c r="AD895" s="375"/>
      <c r="AE895" s="375"/>
      <c r="AF895" s="375"/>
    </row>
    <row r="896">
      <c r="A896" s="360"/>
      <c r="B896" s="360"/>
      <c r="C896" s="377"/>
      <c r="D896" s="377"/>
      <c r="E896" s="378"/>
      <c r="F896" s="377"/>
      <c r="G896" s="377"/>
      <c r="H896" s="378"/>
      <c r="I896" s="360"/>
      <c r="J896" s="377"/>
      <c r="K896" s="377"/>
      <c r="L896" s="378"/>
      <c r="M896" s="377"/>
      <c r="N896" s="377"/>
      <c r="O896" s="377"/>
      <c r="P896" s="364"/>
      <c r="Q896" s="360"/>
      <c r="R896" s="377"/>
      <c r="S896" s="377"/>
      <c r="T896" s="375"/>
      <c r="U896" s="375"/>
      <c r="V896" s="375"/>
      <c r="W896" s="375"/>
      <c r="X896" s="375"/>
      <c r="Y896" s="375"/>
      <c r="Z896" s="375"/>
      <c r="AA896" s="375"/>
      <c r="AB896" s="375"/>
      <c r="AC896" s="375"/>
      <c r="AD896" s="375"/>
      <c r="AE896" s="375"/>
      <c r="AF896" s="375"/>
    </row>
    <row r="897">
      <c r="A897" s="360"/>
      <c r="B897" s="360"/>
      <c r="C897" s="377"/>
      <c r="D897" s="377"/>
      <c r="E897" s="378"/>
      <c r="F897" s="377"/>
      <c r="G897" s="377"/>
      <c r="H897" s="378"/>
      <c r="I897" s="360"/>
      <c r="J897" s="377"/>
      <c r="K897" s="377"/>
      <c r="L897" s="378"/>
      <c r="M897" s="377"/>
      <c r="N897" s="377"/>
      <c r="O897" s="377"/>
      <c r="P897" s="364"/>
      <c r="Q897" s="360"/>
      <c r="R897" s="377"/>
      <c r="S897" s="377"/>
      <c r="T897" s="375"/>
      <c r="U897" s="375"/>
      <c r="V897" s="375"/>
      <c r="W897" s="375"/>
      <c r="X897" s="375"/>
      <c r="Y897" s="375"/>
      <c r="Z897" s="375"/>
      <c r="AA897" s="375"/>
      <c r="AB897" s="375"/>
      <c r="AC897" s="375"/>
      <c r="AD897" s="375"/>
      <c r="AE897" s="375"/>
      <c r="AF897" s="375"/>
    </row>
    <row r="898">
      <c r="A898" s="360"/>
      <c r="B898" s="360"/>
      <c r="C898" s="377"/>
      <c r="D898" s="377"/>
      <c r="E898" s="378"/>
      <c r="F898" s="377"/>
      <c r="G898" s="377"/>
      <c r="H898" s="378"/>
      <c r="I898" s="360"/>
      <c r="J898" s="377"/>
      <c r="K898" s="377"/>
      <c r="L898" s="378"/>
      <c r="M898" s="377"/>
      <c r="N898" s="377"/>
      <c r="O898" s="377"/>
      <c r="P898" s="364"/>
      <c r="Q898" s="360"/>
      <c r="R898" s="377"/>
      <c r="S898" s="377"/>
      <c r="T898" s="375"/>
      <c r="U898" s="375"/>
      <c r="V898" s="375"/>
      <c r="W898" s="375"/>
      <c r="X898" s="375"/>
      <c r="Y898" s="375"/>
      <c r="Z898" s="375"/>
      <c r="AA898" s="375"/>
      <c r="AB898" s="375"/>
      <c r="AC898" s="375"/>
      <c r="AD898" s="375"/>
      <c r="AE898" s="375"/>
      <c r="AF898" s="375"/>
    </row>
    <row r="899">
      <c r="A899" s="360"/>
      <c r="B899" s="360"/>
      <c r="C899" s="377"/>
      <c r="D899" s="377"/>
      <c r="E899" s="378"/>
      <c r="F899" s="377"/>
      <c r="G899" s="377"/>
      <c r="H899" s="378"/>
      <c r="I899" s="360"/>
      <c r="J899" s="377"/>
      <c r="K899" s="377"/>
      <c r="L899" s="378"/>
      <c r="M899" s="377"/>
      <c r="N899" s="377"/>
      <c r="O899" s="377"/>
      <c r="P899" s="364"/>
      <c r="Q899" s="360"/>
      <c r="R899" s="377"/>
      <c r="S899" s="377"/>
      <c r="T899" s="375"/>
      <c r="U899" s="375"/>
      <c r="V899" s="375"/>
      <c r="W899" s="375"/>
      <c r="X899" s="375"/>
      <c r="Y899" s="375"/>
      <c r="Z899" s="375"/>
      <c r="AA899" s="375"/>
      <c r="AB899" s="375"/>
      <c r="AC899" s="375"/>
      <c r="AD899" s="375"/>
      <c r="AE899" s="375"/>
      <c r="AF899" s="375"/>
    </row>
    <row r="900">
      <c r="A900" s="360"/>
      <c r="B900" s="360"/>
      <c r="C900" s="377"/>
      <c r="D900" s="377"/>
      <c r="E900" s="378"/>
      <c r="F900" s="377"/>
      <c r="G900" s="377"/>
      <c r="H900" s="378"/>
      <c r="I900" s="360"/>
      <c r="J900" s="377"/>
      <c r="K900" s="377"/>
      <c r="L900" s="378"/>
      <c r="M900" s="377"/>
      <c r="N900" s="377"/>
      <c r="O900" s="377"/>
      <c r="P900" s="364"/>
      <c r="Q900" s="360"/>
      <c r="R900" s="377"/>
      <c r="S900" s="377"/>
      <c r="T900" s="375"/>
      <c r="U900" s="375"/>
      <c r="V900" s="375"/>
      <c r="W900" s="375"/>
      <c r="X900" s="375"/>
      <c r="Y900" s="375"/>
      <c r="Z900" s="375"/>
      <c r="AA900" s="375"/>
      <c r="AB900" s="375"/>
      <c r="AC900" s="375"/>
      <c r="AD900" s="375"/>
      <c r="AE900" s="375"/>
      <c r="AF900" s="375"/>
    </row>
    <row r="901">
      <c r="A901" s="360"/>
      <c r="B901" s="360"/>
      <c r="C901" s="377"/>
      <c r="D901" s="377"/>
      <c r="E901" s="378"/>
      <c r="F901" s="377"/>
      <c r="G901" s="377"/>
      <c r="H901" s="378"/>
      <c r="I901" s="360"/>
      <c r="J901" s="377"/>
      <c r="K901" s="377"/>
      <c r="L901" s="378"/>
      <c r="M901" s="377"/>
      <c r="N901" s="377"/>
      <c r="O901" s="377"/>
      <c r="P901" s="364"/>
      <c r="Q901" s="360"/>
      <c r="R901" s="377"/>
      <c r="S901" s="377"/>
      <c r="T901" s="375"/>
      <c r="U901" s="375"/>
      <c r="V901" s="375"/>
      <c r="W901" s="375"/>
      <c r="X901" s="375"/>
      <c r="Y901" s="375"/>
      <c r="Z901" s="375"/>
      <c r="AA901" s="375"/>
      <c r="AB901" s="375"/>
      <c r="AC901" s="375"/>
      <c r="AD901" s="375"/>
      <c r="AE901" s="375"/>
      <c r="AF901" s="375"/>
    </row>
    <row r="902">
      <c r="A902" s="360"/>
      <c r="B902" s="360"/>
      <c r="C902" s="377"/>
      <c r="D902" s="377"/>
      <c r="E902" s="378"/>
      <c r="F902" s="377"/>
      <c r="G902" s="377"/>
      <c r="H902" s="378"/>
      <c r="I902" s="360"/>
      <c r="J902" s="377"/>
      <c r="K902" s="377"/>
      <c r="L902" s="378"/>
      <c r="M902" s="377"/>
      <c r="N902" s="377"/>
      <c r="O902" s="377"/>
      <c r="P902" s="364"/>
      <c r="Q902" s="360"/>
      <c r="R902" s="377"/>
      <c r="S902" s="377"/>
      <c r="T902" s="375"/>
      <c r="U902" s="375"/>
      <c r="V902" s="375"/>
      <c r="W902" s="375"/>
      <c r="X902" s="375"/>
      <c r="Y902" s="375"/>
      <c r="Z902" s="375"/>
      <c r="AA902" s="375"/>
      <c r="AB902" s="375"/>
      <c r="AC902" s="375"/>
      <c r="AD902" s="375"/>
      <c r="AE902" s="375"/>
      <c r="AF902" s="375"/>
    </row>
    <row r="903">
      <c r="A903" s="360"/>
      <c r="B903" s="360"/>
      <c r="C903" s="377"/>
      <c r="D903" s="377"/>
      <c r="E903" s="378"/>
      <c r="F903" s="377"/>
      <c r="G903" s="377"/>
      <c r="H903" s="378"/>
      <c r="I903" s="360"/>
      <c r="J903" s="377"/>
      <c r="K903" s="377"/>
      <c r="L903" s="378"/>
      <c r="M903" s="377"/>
      <c r="N903" s="377"/>
      <c r="O903" s="377"/>
      <c r="P903" s="364"/>
      <c r="Q903" s="360"/>
      <c r="R903" s="377"/>
      <c r="S903" s="377"/>
      <c r="T903" s="375"/>
      <c r="U903" s="375"/>
      <c r="V903" s="375"/>
      <c r="W903" s="375"/>
      <c r="X903" s="375"/>
      <c r="Y903" s="375"/>
      <c r="Z903" s="375"/>
      <c r="AA903" s="375"/>
      <c r="AB903" s="375"/>
      <c r="AC903" s="375"/>
      <c r="AD903" s="375"/>
      <c r="AE903" s="375"/>
      <c r="AF903" s="375"/>
    </row>
    <row r="904">
      <c r="A904" s="360"/>
      <c r="B904" s="360"/>
      <c r="C904" s="377"/>
      <c r="D904" s="377"/>
      <c r="E904" s="378"/>
      <c r="F904" s="377"/>
      <c r="G904" s="377"/>
      <c r="H904" s="378"/>
      <c r="I904" s="360"/>
      <c r="J904" s="377"/>
      <c r="K904" s="377"/>
      <c r="L904" s="378"/>
      <c r="M904" s="377"/>
      <c r="N904" s="377"/>
      <c r="O904" s="377"/>
      <c r="P904" s="364"/>
      <c r="Q904" s="360"/>
      <c r="R904" s="377"/>
      <c r="S904" s="377"/>
      <c r="T904" s="375"/>
      <c r="U904" s="375"/>
      <c r="V904" s="375"/>
      <c r="W904" s="375"/>
      <c r="X904" s="375"/>
      <c r="Y904" s="375"/>
      <c r="Z904" s="375"/>
      <c r="AA904" s="375"/>
      <c r="AB904" s="375"/>
      <c r="AC904" s="375"/>
      <c r="AD904" s="375"/>
      <c r="AE904" s="375"/>
      <c r="AF904" s="375"/>
    </row>
    <row r="905">
      <c r="A905" s="360"/>
      <c r="B905" s="360"/>
      <c r="C905" s="377"/>
      <c r="D905" s="377"/>
      <c r="E905" s="378"/>
      <c r="F905" s="377"/>
      <c r="G905" s="377"/>
      <c r="H905" s="378"/>
      <c r="I905" s="360"/>
      <c r="J905" s="377"/>
      <c r="K905" s="377"/>
      <c r="L905" s="378"/>
      <c r="M905" s="377"/>
      <c r="N905" s="377"/>
      <c r="O905" s="377"/>
      <c r="P905" s="364"/>
      <c r="Q905" s="360"/>
      <c r="R905" s="377"/>
      <c r="S905" s="377"/>
      <c r="T905" s="375"/>
      <c r="U905" s="375"/>
      <c r="V905" s="375"/>
      <c r="W905" s="375"/>
      <c r="X905" s="375"/>
      <c r="Y905" s="375"/>
      <c r="Z905" s="375"/>
      <c r="AA905" s="375"/>
      <c r="AB905" s="375"/>
      <c r="AC905" s="375"/>
      <c r="AD905" s="375"/>
      <c r="AE905" s="375"/>
      <c r="AF905" s="375"/>
    </row>
    <row r="906">
      <c r="A906" s="360"/>
      <c r="B906" s="360"/>
      <c r="C906" s="377"/>
      <c r="D906" s="377"/>
      <c r="E906" s="378"/>
      <c r="F906" s="377"/>
      <c r="G906" s="377"/>
      <c r="H906" s="378"/>
      <c r="I906" s="360"/>
      <c r="J906" s="377"/>
      <c r="K906" s="377"/>
      <c r="L906" s="378"/>
      <c r="M906" s="377"/>
      <c r="N906" s="377"/>
      <c r="O906" s="377"/>
      <c r="P906" s="364"/>
      <c r="Q906" s="360"/>
      <c r="R906" s="377"/>
      <c r="S906" s="377"/>
      <c r="T906" s="375"/>
      <c r="U906" s="375"/>
      <c r="V906" s="375"/>
      <c r="W906" s="375"/>
      <c r="X906" s="375"/>
      <c r="Y906" s="375"/>
      <c r="Z906" s="375"/>
      <c r="AA906" s="375"/>
      <c r="AB906" s="375"/>
      <c r="AC906" s="375"/>
      <c r="AD906" s="375"/>
      <c r="AE906" s="375"/>
      <c r="AF906" s="375"/>
    </row>
    <row r="907">
      <c r="A907" s="360"/>
      <c r="B907" s="360"/>
      <c r="C907" s="377"/>
      <c r="D907" s="377"/>
      <c r="E907" s="378"/>
      <c r="F907" s="377"/>
      <c r="G907" s="377"/>
      <c r="H907" s="378"/>
      <c r="I907" s="360"/>
      <c r="J907" s="377"/>
      <c r="K907" s="377"/>
      <c r="L907" s="378"/>
      <c r="M907" s="377"/>
      <c r="N907" s="377"/>
      <c r="O907" s="377"/>
      <c r="P907" s="364"/>
      <c r="Q907" s="360"/>
      <c r="R907" s="377"/>
      <c r="S907" s="377"/>
      <c r="T907" s="375"/>
      <c r="U907" s="375"/>
      <c r="V907" s="375"/>
      <c r="W907" s="375"/>
      <c r="X907" s="375"/>
      <c r="Y907" s="375"/>
      <c r="Z907" s="375"/>
      <c r="AA907" s="375"/>
      <c r="AB907" s="375"/>
      <c r="AC907" s="375"/>
      <c r="AD907" s="375"/>
      <c r="AE907" s="375"/>
      <c r="AF907" s="375"/>
    </row>
    <row r="908">
      <c r="A908" s="360"/>
      <c r="B908" s="360"/>
      <c r="C908" s="377"/>
      <c r="D908" s="377"/>
      <c r="E908" s="378"/>
      <c r="F908" s="377"/>
      <c r="G908" s="377"/>
      <c r="H908" s="378"/>
      <c r="I908" s="360"/>
      <c r="J908" s="377"/>
      <c r="K908" s="377"/>
      <c r="L908" s="378"/>
      <c r="M908" s="377"/>
      <c r="N908" s="377"/>
      <c r="O908" s="377"/>
      <c r="P908" s="364"/>
      <c r="Q908" s="360"/>
      <c r="R908" s="377"/>
      <c r="S908" s="377"/>
      <c r="T908" s="375"/>
      <c r="U908" s="375"/>
      <c r="V908" s="375"/>
      <c r="W908" s="375"/>
      <c r="X908" s="375"/>
      <c r="Y908" s="375"/>
      <c r="Z908" s="375"/>
      <c r="AA908" s="375"/>
      <c r="AB908" s="375"/>
      <c r="AC908" s="375"/>
      <c r="AD908" s="375"/>
      <c r="AE908" s="375"/>
      <c r="AF908" s="375"/>
    </row>
    <row r="909">
      <c r="A909" s="360"/>
      <c r="B909" s="360"/>
      <c r="C909" s="377"/>
      <c r="D909" s="377"/>
      <c r="E909" s="378"/>
      <c r="F909" s="377"/>
      <c r="G909" s="377"/>
      <c r="H909" s="378"/>
      <c r="I909" s="360"/>
      <c r="J909" s="377"/>
      <c r="K909" s="377"/>
      <c r="L909" s="378"/>
      <c r="M909" s="377"/>
      <c r="N909" s="377"/>
      <c r="O909" s="377"/>
      <c r="P909" s="364"/>
      <c r="Q909" s="360"/>
      <c r="R909" s="377"/>
      <c r="S909" s="377"/>
      <c r="T909" s="375"/>
      <c r="U909" s="375"/>
      <c r="V909" s="375"/>
      <c r="W909" s="375"/>
      <c r="X909" s="375"/>
      <c r="Y909" s="375"/>
      <c r="Z909" s="375"/>
      <c r="AA909" s="375"/>
      <c r="AB909" s="375"/>
      <c r="AC909" s="375"/>
      <c r="AD909" s="375"/>
      <c r="AE909" s="375"/>
      <c r="AF909" s="375"/>
    </row>
    <row r="910">
      <c r="A910" s="360"/>
      <c r="B910" s="360"/>
      <c r="C910" s="377"/>
      <c r="D910" s="377"/>
      <c r="E910" s="378"/>
      <c r="F910" s="377"/>
      <c r="G910" s="377"/>
      <c r="H910" s="378"/>
      <c r="I910" s="360"/>
      <c r="J910" s="377"/>
      <c r="K910" s="377"/>
      <c r="L910" s="378"/>
      <c r="M910" s="377"/>
      <c r="N910" s="377"/>
      <c r="O910" s="377"/>
      <c r="P910" s="364"/>
      <c r="Q910" s="360"/>
      <c r="R910" s="377"/>
      <c r="S910" s="377"/>
      <c r="T910" s="375"/>
      <c r="U910" s="375"/>
      <c r="V910" s="375"/>
      <c r="W910" s="375"/>
      <c r="X910" s="375"/>
      <c r="Y910" s="375"/>
      <c r="Z910" s="375"/>
      <c r="AA910" s="375"/>
      <c r="AB910" s="375"/>
      <c r="AC910" s="375"/>
      <c r="AD910" s="375"/>
      <c r="AE910" s="375"/>
      <c r="AF910" s="375"/>
    </row>
    <row r="911">
      <c r="A911" s="360"/>
      <c r="B911" s="360"/>
      <c r="C911" s="377"/>
      <c r="D911" s="377"/>
      <c r="E911" s="378"/>
      <c r="F911" s="377"/>
      <c r="G911" s="377"/>
      <c r="H911" s="378"/>
      <c r="I911" s="360"/>
      <c r="J911" s="377"/>
      <c r="K911" s="377"/>
      <c r="L911" s="378"/>
      <c r="M911" s="377"/>
      <c r="N911" s="377"/>
      <c r="O911" s="377"/>
      <c r="P911" s="364"/>
      <c r="Q911" s="360"/>
      <c r="R911" s="377"/>
      <c r="S911" s="377"/>
      <c r="T911" s="375"/>
      <c r="U911" s="375"/>
      <c r="V911" s="375"/>
      <c r="W911" s="375"/>
      <c r="X911" s="375"/>
      <c r="Y911" s="375"/>
      <c r="Z911" s="375"/>
      <c r="AA911" s="375"/>
      <c r="AB911" s="375"/>
      <c r="AC911" s="375"/>
      <c r="AD911" s="375"/>
      <c r="AE911" s="375"/>
      <c r="AF911" s="375"/>
    </row>
    <row r="912">
      <c r="A912" s="360"/>
      <c r="B912" s="360"/>
      <c r="C912" s="377"/>
      <c r="D912" s="377"/>
      <c r="E912" s="378"/>
      <c r="F912" s="377"/>
      <c r="G912" s="377"/>
      <c r="H912" s="378"/>
      <c r="I912" s="360"/>
      <c r="J912" s="377"/>
      <c r="K912" s="377"/>
      <c r="L912" s="378"/>
      <c r="M912" s="377"/>
      <c r="N912" s="377"/>
      <c r="O912" s="377"/>
      <c r="P912" s="364"/>
      <c r="Q912" s="360"/>
      <c r="R912" s="377"/>
      <c r="S912" s="377"/>
      <c r="T912" s="375"/>
      <c r="U912" s="375"/>
      <c r="V912" s="375"/>
      <c r="W912" s="375"/>
      <c r="X912" s="375"/>
      <c r="Y912" s="375"/>
      <c r="Z912" s="375"/>
      <c r="AA912" s="375"/>
      <c r="AB912" s="375"/>
      <c r="AC912" s="375"/>
      <c r="AD912" s="375"/>
      <c r="AE912" s="375"/>
      <c r="AF912" s="375"/>
    </row>
    <row r="913">
      <c r="A913" s="360"/>
      <c r="B913" s="360"/>
      <c r="C913" s="377"/>
      <c r="D913" s="377"/>
      <c r="E913" s="378"/>
      <c r="F913" s="377"/>
      <c r="G913" s="377"/>
      <c r="H913" s="378"/>
      <c r="I913" s="360"/>
      <c r="J913" s="377"/>
      <c r="K913" s="377"/>
      <c r="L913" s="378"/>
      <c r="M913" s="377"/>
      <c r="N913" s="377"/>
      <c r="O913" s="377"/>
      <c r="P913" s="364"/>
      <c r="Q913" s="360"/>
      <c r="R913" s="377"/>
      <c r="S913" s="377"/>
      <c r="T913" s="375"/>
      <c r="U913" s="375"/>
      <c r="V913" s="375"/>
      <c r="W913" s="375"/>
      <c r="X913" s="375"/>
      <c r="Y913" s="375"/>
      <c r="Z913" s="375"/>
      <c r="AA913" s="375"/>
      <c r="AB913" s="375"/>
      <c r="AC913" s="375"/>
      <c r="AD913" s="375"/>
      <c r="AE913" s="375"/>
      <c r="AF913" s="375"/>
    </row>
    <row r="914">
      <c r="A914" s="360"/>
      <c r="B914" s="360"/>
      <c r="C914" s="377"/>
      <c r="D914" s="377"/>
      <c r="E914" s="378"/>
      <c r="F914" s="377"/>
      <c r="G914" s="377"/>
      <c r="H914" s="378"/>
      <c r="I914" s="360"/>
      <c r="J914" s="377"/>
      <c r="K914" s="377"/>
      <c r="L914" s="378"/>
      <c r="M914" s="377"/>
      <c r="N914" s="377"/>
      <c r="O914" s="377"/>
      <c r="P914" s="364"/>
      <c r="Q914" s="360"/>
      <c r="R914" s="377"/>
      <c r="S914" s="377"/>
      <c r="T914" s="375"/>
      <c r="U914" s="375"/>
      <c r="V914" s="375"/>
      <c r="W914" s="375"/>
      <c r="X914" s="375"/>
      <c r="Y914" s="375"/>
      <c r="Z914" s="375"/>
      <c r="AA914" s="375"/>
      <c r="AB914" s="375"/>
      <c r="AC914" s="375"/>
      <c r="AD914" s="375"/>
      <c r="AE914" s="375"/>
      <c r="AF914" s="375"/>
    </row>
    <row r="915">
      <c r="A915" s="360"/>
      <c r="B915" s="360"/>
      <c r="C915" s="377"/>
      <c r="D915" s="377"/>
      <c r="E915" s="378"/>
      <c r="F915" s="377"/>
      <c r="G915" s="377"/>
      <c r="H915" s="378"/>
      <c r="I915" s="360"/>
      <c r="J915" s="377"/>
      <c r="K915" s="377"/>
      <c r="L915" s="378"/>
      <c r="M915" s="377"/>
      <c r="N915" s="377"/>
      <c r="O915" s="377"/>
      <c r="P915" s="364"/>
      <c r="Q915" s="360"/>
      <c r="R915" s="377"/>
      <c r="S915" s="377"/>
      <c r="T915" s="375"/>
      <c r="U915" s="375"/>
      <c r="V915" s="375"/>
      <c r="W915" s="375"/>
      <c r="X915" s="375"/>
      <c r="Y915" s="375"/>
      <c r="Z915" s="375"/>
      <c r="AA915" s="375"/>
      <c r="AB915" s="375"/>
      <c r="AC915" s="375"/>
      <c r="AD915" s="375"/>
      <c r="AE915" s="375"/>
      <c r="AF915" s="375"/>
    </row>
    <row r="916">
      <c r="A916" s="360"/>
      <c r="B916" s="360"/>
      <c r="C916" s="377"/>
      <c r="D916" s="377"/>
      <c r="E916" s="378"/>
      <c r="F916" s="377"/>
      <c r="G916" s="377"/>
      <c r="H916" s="378"/>
      <c r="I916" s="360"/>
      <c r="J916" s="377"/>
      <c r="K916" s="377"/>
      <c r="L916" s="378"/>
      <c r="M916" s="377"/>
      <c r="N916" s="377"/>
      <c r="O916" s="377"/>
      <c r="P916" s="364"/>
      <c r="Q916" s="360"/>
      <c r="R916" s="377"/>
      <c r="S916" s="377"/>
      <c r="T916" s="375"/>
      <c r="U916" s="375"/>
      <c r="V916" s="375"/>
      <c r="W916" s="375"/>
      <c r="X916" s="375"/>
      <c r="Y916" s="375"/>
      <c r="Z916" s="375"/>
      <c r="AA916" s="375"/>
      <c r="AB916" s="375"/>
      <c r="AC916" s="375"/>
      <c r="AD916" s="375"/>
      <c r="AE916" s="375"/>
      <c r="AF916" s="375"/>
    </row>
    <row r="917">
      <c r="A917" s="360"/>
      <c r="B917" s="360"/>
      <c r="C917" s="377"/>
      <c r="D917" s="377"/>
      <c r="E917" s="378"/>
      <c r="F917" s="377"/>
      <c r="G917" s="377"/>
      <c r="H917" s="378"/>
      <c r="I917" s="360"/>
      <c r="J917" s="377"/>
      <c r="K917" s="377"/>
      <c r="L917" s="378"/>
      <c r="M917" s="377"/>
      <c r="N917" s="377"/>
      <c r="O917" s="377"/>
      <c r="P917" s="364"/>
      <c r="Q917" s="360"/>
      <c r="R917" s="377"/>
      <c r="S917" s="377"/>
      <c r="T917" s="375"/>
      <c r="U917" s="375"/>
      <c r="V917" s="375"/>
      <c r="W917" s="375"/>
      <c r="X917" s="375"/>
      <c r="Y917" s="375"/>
      <c r="Z917" s="375"/>
      <c r="AA917" s="375"/>
      <c r="AB917" s="375"/>
      <c r="AC917" s="375"/>
      <c r="AD917" s="375"/>
      <c r="AE917" s="375"/>
      <c r="AF917" s="375"/>
    </row>
    <row r="918">
      <c r="A918" s="360"/>
      <c r="B918" s="360"/>
      <c r="C918" s="377"/>
      <c r="D918" s="377"/>
      <c r="E918" s="378"/>
      <c r="F918" s="377"/>
      <c r="G918" s="377"/>
      <c r="H918" s="378"/>
      <c r="I918" s="360"/>
      <c r="J918" s="377"/>
      <c r="K918" s="377"/>
      <c r="L918" s="378"/>
      <c r="M918" s="377"/>
      <c r="N918" s="377"/>
      <c r="O918" s="377"/>
      <c r="P918" s="364"/>
      <c r="Q918" s="360"/>
      <c r="R918" s="377"/>
      <c r="S918" s="377"/>
      <c r="T918" s="375"/>
      <c r="U918" s="375"/>
      <c r="V918" s="375"/>
      <c r="W918" s="375"/>
      <c r="X918" s="375"/>
      <c r="Y918" s="375"/>
      <c r="Z918" s="375"/>
      <c r="AA918" s="375"/>
      <c r="AB918" s="375"/>
      <c r="AC918" s="375"/>
      <c r="AD918" s="375"/>
      <c r="AE918" s="375"/>
      <c r="AF918" s="375"/>
    </row>
    <row r="919">
      <c r="A919" s="360"/>
      <c r="B919" s="360"/>
      <c r="C919" s="377"/>
      <c r="D919" s="377"/>
      <c r="E919" s="378"/>
      <c r="F919" s="377"/>
      <c r="G919" s="377"/>
      <c r="H919" s="378"/>
      <c r="I919" s="360"/>
      <c r="J919" s="377"/>
      <c r="K919" s="377"/>
      <c r="L919" s="378"/>
      <c r="M919" s="377"/>
      <c r="N919" s="377"/>
      <c r="O919" s="377"/>
      <c r="P919" s="364"/>
      <c r="Q919" s="360"/>
      <c r="R919" s="377"/>
      <c r="S919" s="377"/>
      <c r="T919" s="375"/>
      <c r="U919" s="375"/>
      <c r="V919" s="375"/>
      <c r="W919" s="375"/>
      <c r="X919" s="375"/>
      <c r="Y919" s="375"/>
      <c r="Z919" s="375"/>
      <c r="AA919" s="375"/>
      <c r="AB919" s="375"/>
      <c r="AC919" s="375"/>
      <c r="AD919" s="375"/>
      <c r="AE919" s="375"/>
      <c r="AF919" s="375"/>
    </row>
    <row r="920">
      <c r="A920" s="360"/>
      <c r="B920" s="360"/>
      <c r="C920" s="377"/>
      <c r="D920" s="377"/>
      <c r="E920" s="378"/>
      <c r="F920" s="377"/>
      <c r="G920" s="377"/>
      <c r="H920" s="378"/>
      <c r="I920" s="360"/>
      <c r="J920" s="377"/>
      <c r="K920" s="377"/>
      <c r="L920" s="378"/>
      <c r="M920" s="377"/>
      <c r="N920" s="377"/>
      <c r="O920" s="377"/>
      <c r="P920" s="364"/>
      <c r="Q920" s="360"/>
      <c r="R920" s="377"/>
      <c r="S920" s="377"/>
      <c r="T920" s="375"/>
      <c r="U920" s="375"/>
      <c r="V920" s="375"/>
      <c r="W920" s="375"/>
      <c r="X920" s="375"/>
      <c r="Y920" s="375"/>
      <c r="Z920" s="375"/>
      <c r="AA920" s="375"/>
      <c r="AB920" s="375"/>
      <c r="AC920" s="375"/>
      <c r="AD920" s="375"/>
      <c r="AE920" s="375"/>
      <c r="AF920" s="375"/>
    </row>
    <row r="921">
      <c r="A921" s="360"/>
      <c r="B921" s="360"/>
      <c r="C921" s="377"/>
      <c r="D921" s="377"/>
      <c r="E921" s="378"/>
      <c r="F921" s="377"/>
      <c r="G921" s="377"/>
      <c r="H921" s="378"/>
      <c r="I921" s="360"/>
      <c r="J921" s="377"/>
      <c r="K921" s="377"/>
      <c r="L921" s="378"/>
      <c r="M921" s="377"/>
      <c r="N921" s="377"/>
      <c r="O921" s="377"/>
      <c r="P921" s="364"/>
      <c r="Q921" s="360"/>
      <c r="R921" s="377"/>
      <c r="S921" s="377"/>
      <c r="T921" s="375"/>
      <c r="U921" s="375"/>
      <c r="V921" s="375"/>
      <c r="W921" s="375"/>
      <c r="X921" s="375"/>
      <c r="Y921" s="375"/>
      <c r="Z921" s="375"/>
      <c r="AA921" s="375"/>
      <c r="AB921" s="375"/>
      <c r="AC921" s="375"/>
      <c r="AD921" s="375"/>
      <c r="AE921" s="375"/>
      <c r="AF921" s="375"/>
    </row>
    <row r="922">
      <c r="A922" s="360"/>
      <c r="B922" s="360"/>
      <c r="C922" s="377"/>
      <c r="D922" s="377"/>
      <c r="E922" s="378"/>
      <c r="F922" s="377"/>
      <c r="G922" s="377"/>
      <c r="H922" s="378"/>
      <c r="I922" s="360"/>
      <c r="J922" s="377"/>
      <c r="K922" s="377"/>
      <c r="L922" s="378"/>
      <c r="M922" s="377"/>
      <c r="N922" s="377"/>
      <c r="O922" s="377"/>
      <c r="P922" s="364"/>
      <c r="Q922" s="360"/>
      <c r="R922" s="377"/>
      <c r="S922" s="377"/>
      <c r="T922" s="375"/>
      <c r="U922" s="375"/>
      <c r="V922" s="375"/>
      <c r="W922" s="375"/>
      <c r="X922" s="375"/>
      <c r="Y922" s="375"/>
      <c r="Z922" s="375"/>
      <c r="AA922" s="375"/>
      <c r="AB922" s="375"/>
      <c r="AC922" s="375"/>
      <c r="AD922" s="375"/>
      <c r="AE922" s="375"/>
      <c r="AF922" s="375"/>
    </row>
    <row r="923">
      <c r="A923" s="360"/>
      <c r="B923" s="360"/>
      <c r="C923" s="377"/>
      <c r="D923" s="377"/>
      <c r="E923" s="378"/>
      <c r="F923" s="377"/>
      <c r="G923" s="377"/>
      <c r="H923" s="378"/>
      <c r="I923" s="360"/>
      <c r="J923" s="377"/>
      <c r="K923" s="377"/>
      <c r="L923" s="378"/>
      <c r="M923" s="377"/>
      <c r="N923" s="377"/>
      <c r="O923" s="377"/>
      <c r="P923" s="364"/>
      <c r="Q923" s="360"/>
      <c r="R923" s="377"/>
      <c r="S923" s="377"/>
      <c r="T923" s="375"/>
      <c r="U923" s="375"/>
      <c r="V923" s="375"/>
      <c r="W923" s="375"/>
      <c r="X923" s="375"/>
      <c r="Y923" s="375"/>
      <c r="Z923" s="375"/>
      <c r="AA923" s="375"/>
      <c r="AB923" s="375"/>
      <c r="AC923" s="375"/>
      <c r="AD923" s="375"/>
      <c r="AE923" s="375"/>
      <c r="AF923" s="375"/>
    </row>
    <row r="924">
      <c r="A924" s="360"/>
      <c r="B924" s="360"/>
      <c r="C924" s="377"/>
      <c r="D924" s="377"/>
      <c r="E924" s="378"/>
      <c r="F924" s="377"/>
      <c r="G924" s="377"/>
      <c r="H924" s="378"/>
      <c r="I924" s="360"/>
      <c r="J924" s="377"/>
      <c r="K924" s="377"/>
      <c r="L924" s="378"/>
      <c r="M924" s="377"/>
      <c r="N924" s="377"/>
      <c r="O924" s="377"/>
      <c r="P924" s="364"/>
      <c r="Q924" s="360"/>
      <c r="R924" s="377"/>
      <c r="S924" s="377"/>
      <c r="T924" s="375"/>
      <c r="U924" s="375"/>
      <c r="V924" s="375"/>
      <c r="W924" s="375"/>
      <c r="X924" s="375"/>
      <c r="Y924" s="375"/>
      <c r="Z924" s="375"/>
      <c r="AA924" s="375"/>
      <c r="AB924" s="375"/>
      <c r="AC924" s="375"/>
      <c r="AD924" s="375"/>
      <c r="AE924" s="375"/>
      <c r="AF924" s="375"/>
    </row>
    <row r="925">
      <c r="A925" s="360"/>
      <c r="B925" s="360"/>
      <c r="C925" s="377"/>
      <c r="D925" s="377"/>
      <c r="E925" s="378"/>
      <c r="F925" s="377"/>
      <c r="G925" s="377"/>
      <c r="H925" s="378"/>
      <c r="I925" s="360"/>
      <c r="J925" s="377"/>
      <c r="K925" s="377"/>
      <c r="L925" s="378"/>
      <c r="M925" s="377"/>
      <c r="N925" s="377"/>
      <c r="O925" s="377"/>
      <c r="P925" s="364"/>
      <c r="Q925" s="360"/>
      <c r="R925" s="377"/>
      <c r="S925" s="377"/>
      <c r="T925" s="375"/>
      <c r="U925" s="375"/>
      <c r="V925" s="375"/>
      <c r="W925" s="375"/>
      <c r="X925" s="375"/>
      <c r="Y925" s="375"/>
      <c r="Z925" s="375"/>
      <c r="AA925" s="375"/>
      <c r="AB925" s="375"/>
      <c r="AC925" s="375"/>
      <c r="AD925" s="375"/>
      <c r="AE925" s="375"/>
      <c r="AF925" s="375"/>
    </row>
    <row r="926">
      <c r="A926" s="360"/>
      <c r="B926" s="360"/>
      <c r="C926" s="377"/>
      <c r="D926" s="377"/>
      <c r="E926" s="378"/>
      <c r="F926" s="377"/>
      <c r="G926" s="377"/>
      <c r="H926" s="378"/>
      <c r="I926" s="360"/>
      <c r="J926" s="377"/>
      <c r="K926" s="377"/>
      <c r="L926" s="378"/>
      <c r="M926" s="377"/>
      <c r="N926" s="377"/>
      <c r="O926" s="377"/>
      <c r="P926" s="364"/>
      <c r="Q926" s="360"/>
      <c r="R926" s="377"/>
      <c r="S926" s="377"/>
      <c r="T926" s="375"/>
      <c r="U926" s="375"/>
      <c r="V926" s="375"/>
      <c r="W926" s="375"/>
      <c r="X926" s="375"/>
      <c r="Y926" s="375"/>
      <c r="Z926" s="375"/>
      <c r="AA926" s="375"/>
      <c r="AB926" s="375"/>
      <c r="AC926" s="375"/>
      <c r="AD926" s="375"/>
      <c r="AE926" s="375"/>
      <c r="AF926" s="375"/>
    </row>
    <row r="927">
      <c r="A927" s="360"/>
      <c r="B927" s="360"/>
      <c r="C927" s="377"/>
      <c r="D927" s="377"/>
      <c r="E927" s="378"/>
      <c r="F927" s="377"/>
      <c r="G927" s="377"/>
      <c r="H927" s="378"/>
      <c r="I927" s="360"/>
      <c r="J927" s="377"/>
      <c r="K927" s="377"/>
      <c r="L927" s="378"/>
      <c r="M927" s="377"/>
      <c r="N927" s="377"/>
      <c r="O927" s="377"/>
      <c r="P927" s="364"/>
      <c r="Q927" s="360"/>
      <c r="R927" s="377"/>
      <c r="S927" s="377"/>
      <c r="T927" s="375"/>
      <c r="U927" s="375"/>
      <c r="V927" s="375"/>
      <c r="W927" s="375"/>
      <c r="X927" s="375"/>
      <c r="Y927" s="375"/>
      <c r="Z927" s="375"/>
      <c r="AA927" s="375"/>
      <c r="AB927" s="375"/>
      <c r="AC927" s="375"/>
      <c r="AD927" s="375"/>
      <c r="AE927" s="375"/>
      <c r="AF927" s="375"/>
    </row>
    <row r="928">
      <c r="A928" s="360"/>
      <c r="B928" s="360"/>
      <c r="C928" s="377"/>
      <c r="D928" s="377"/>
      <c r="E928" s="378"/>
      <c r="F928" s="377"/>
      <c r="G928" s="377"/>
      <c r="H928" s="378"/>
      <c r="I928" s="360"/>
      <c r="J928" s="377"/>
      <c r="K928" s="377"/>
      <c r="L928" s="378"/>
      <c r="M928" s="377"/>
      <c r="N928" s="377"/>
      <c r="O928" s="377"/>
      <c r="P928" s="364"/>
      <c r="Q928" s="360"/>
      <c r="R928" s="377"/>
      <c r="S928" s="377"/>
      <c r="T928" s="375"/>
      <c r="U928" s="375"/>
      <c r="V928" s="375"/>
      <c r="W928" s="375"/>
      <c r="X928" s="375"/>
      <c r="Y928" s="375"/>
      <c r="Z928" s="375"/>
      <c r="AA928" s="375"/>
      <c r="AB928" s="375"/>
      <c r="AC928" s="375"/>
      <c r="AD928" s="375"/>
      <c r="AE928" s="375"/>
      <c r="AF928" s="375"/>
    </row>
    <row r="929">
      <c r="A929" s="360"/>
      <c r="B929" s="360"/>
      <c r="C929" s="377"/>
      <c r="D929" s="377"/>
      <c r="E929" s="378"/>
      <c r="F929" s="377"/>
      <c r="G929" s="377"/>
      <c r="H929" s="378"/>
      <c r="I929" s="360"/>
      <c r="J929" s="377"/>
      <c r="K929" s="377"/>
      <c r="L929" s="378"/>
      <c r="M929" s="377"/>
      <c r="N929" s="377"/>
      <c r="O929" s="377"/>
      <c r="P929" s="364"/>
      <c r="Q929" s="360"/>
      <c r="R929" s="377"/>
      <c r="S929" s="377"/>
      <c r="T929" s="375"/>
      <c r="U929" s="375"/>
      <c r="V929" s="375"/>
      <c r="W929" s="375"/>
      <c r="X929" s="375"/>
      <c r="Y929" s="375"/>
      <c r="Z929" s="375"/>
      <c r="AA929" s="375"/>
      <c r="AB929" s="375"/>
      <c r="AC929" s="375"/>
      <c r="AD929" s="375"/>
      <c r="AE929" s="375"/>
      <c r="AF929" s="375"/>
    </row>
    <row r="930">
      <c r="A930" s="360"/>
      <c r="B930" s="360"/>
      <c r="C930" s="377"/>
      <c r="D930" s="377"/>
      <c r="E930" s="378"/>
      <c r="F930" s="377"/>
      <c r="G930" s="377"/>
      <c r="H930" s="378"/>
      <c r="I930" s="360"/>
      <c r="J930" s="377"/>
      <c r="K930" s="377"/>
      <c r="L930" s="378"/>
      <c r="M930" s="377"/>
      <c r="N930" s="377"/>
      <c r="O930" s="377"/>
      <c r="P930" s="364"/>
      <c r="Q930" s="360"/>
      <c r="R930" s="377"/>
      <c r="S930" s="377"/>
      <c r="T930" s="375"/>
      <c r="U930" s="375"/>
      <c r="V930" s="375"/>
      <c r="W930" s="375"/>
      <c r="X930" s="375"/>
      <c r="Y930" s="375"/>
      <c r="Z930" s="375"/>
      <c r="AA930" s="375"/>
      <c r="AB930" s="375"/>
      <c r="AC930" s="375"/>
      <c r="AD930" s="375"/>
      <c r="AE930" s="375"/>
      <c r="AF930" s="375"/>
    </row>
    <row r="931">
      <c r="A931" s="360"/>
      <c r="B931" s="360"/>
      <c r="C931" s="377"/>
      <c r="D931" s="377"/>
      <c r="E931" s="378"/>
      <c r="F931" s="377"/>
      <c r="G931" s="377"/>
      <c r="H931" s="378"/>
      <c r="I931" s="360"/>
      <c r="J931" s="377"/>
      <c r="K931" s="377"/>
      <c r="L931" s="378"/>
      <c r="M931" s="377"/>
      <c r="N931" s="377"/>
      <c r="O931" s="377"/>
      <c r="P931" s="364"/>
      <c r="Q931" s="360"/>
      <c r="R931" s="377"/>
      <c r="S931" s="377"/>
      <c r="T931" s="375"/>
      <c r="U931" s="375"/>
      <c r="V931" s="375"/>
      <c r="W931" s="375"/>
      <c r="X931" s="375"/>
      <c r="Y931" s="375"/>
      <c r="Z931" s="375"/>
      <c r="AA931" s="375"/>
      <c r="AB931" s="375"/>
      <c r="AC931" s="375"/>
      <c r="AD931" s="375"/>
      <c r="AE931" s="375"/>
      <c r="AF931" s="375"/>
    </row>
    <row r="932">
      <c r="A932" s="360"/>
      <c r="B932" s="360"/>
      <c r="C932" s="377"/>
      <c r="D932" s="377"/>
      <c r="E932" s="378"/>
      <c r="F932" s="377"/>
      <c r="G932" s="377"/>
      <c r="H932" s="378"/>
      <c r="I932" s="360"/>
      <c r="J932" s="377"/>
      <c r="K932" s="377"/>
      <c r="L932" s="378"/>
      <c r="M932" s="377"/>
      <c r="N932" s="377"/>
      <c r="O932" s="377"/>
      <c r="P932" s="364"/>
      <c r="Q932" s="360"/>
      <c r="R932" s="377"/>
      <c r="S932" s="377"/>
      <c r="T932" s="375"/>
      <c r="U932" s="375"/>
      <c r="V932" s="375"/>
      <c r="W932" s="375"/>
      <c r="X932" s="375"/>
      <c r="Y932" s="375"/>
      <c r="Z932" s="375"/>
      <c r="AA932" s="375"/>
      <c r="AB932" s="375"/>
      <c r="AC932" s="375"/>
      <c r="AD932" s="375"/>
      <c r="AE932" s="375"/>
      <c r="AF932" s="375"/>
    </row>
    <row r="933">
      <c r="A933" s="360"/>
      <c r="B933" s="360"/>
      <c r="C933" s="377"/>
      <c r="D933" s="377"/>
      <c r="E933" s="378"/>
      <c r="F933" s="377"/>
      <c r="G933" s="377"/>
      <c r="H933" s="378"/>
      <c r="I933" s="360"/>
      <c r="J933" s="377"/>
      <c r="K933" s="377"/>
      <c r="L933" s="378"/>
      <c r="M933" s="377"/>
      <c r="N933" s="377"/>
      <c r="O933" s="377"/>
      <c r="P933" s="364"/>
      <c r="Q933" s="360"/>
      <c r="R933" s="377"/>
      <c r="S933" s="377"/>
      <c r="T933" s="375"/>
      <c r="U933" s="375"/>
      <c r="V933" s="375"/>
      <c r="W933" s="375"/>
      <c r="X933" s="375"/>
      <c r="Y933" s="375"/>
      <c r="Z933" s="375"/>
      <c r="AA933" s="375"/>
      <c r="AB933" s="375"/>
      <c r="AC933" s="375"/>
      <c r="AD933" s="375"/>
      <c r="AE933" s="375"/>
      <c r="AF933" s="375"/>
    </row>
    <row r="934">
      <c r="A934" s="360"/>
      <c r="B934" s="360"/>
      <c r="C934" s="377"/>
      <c r="D934" s="377"/>
      <c r="E934" s="378"/>
      <c r="F934" s="377"/>
      <c r="G934" s="377"/>
      <c r="H934" s="378"/>
      <c r="I934" s="360"/>
      <c r="J934" s="377"/>
      <c r="K934" s="377"/>
      <c r="L934" s="378"/>
      <c r="M934" s="377"/>
      <c r="N934" s="377"/>
      <c r="O934" s="377"/>
      <c r="P934" s="364"/>
      <c r="Q934" s="360"/>
      <c r="R934" s="377"/>
      <c r="S934" s="377"/>
      <c r="T934" s="375"/>
      <c r="U934" s="375"/>
      <c r="V934" s="375"/>
      <c r="W934" s="375"/>
      <c r="X934" s="375"/>
      <c r="Y934" s="375"/>
      <c r="Z934" s="375"/>
      <c r="AA934" s="375"/>
      <c r="AB934" s="375"/>
      <c r="AC934" s="375"/>
      <c r="AD934" s="375"/>
      <c r="AE934" s="375"/>
      <c r="AF934" s="375"/>
    </row>
    <row r="935">
      <c r="A935" s="360"/>
      <c r="B935" s="360"/>
      <c r="C935" s="377"/>
      <c r="D935" s="377"/>
      <c r="E935" s="378"/>
      <c r="F935" s="377"/>
      <c r="G935" s="377"/>
      <c r="H935" s="378"/>
      <c r="I935" s="360"/>
      <c r="J935" s="377"/>
      <c r="K935" s="377"/>
      <c r="L935" s="378"/>
      <c r="M935" s="377"/>
      <c r="N935" s="377"/>
      <c r="O935" s="377"/>
      <c r="P935" s="364"/>
      <c r="Q935" s="360"/>
      <c r="R935" s="377"/>
      <c r="S935" s="377"/>
      <c r="T935" s="375"/>
      <c r="U935" s="375"/>
      <c r="V935" s="375"/>
      <c r="W935" s="375"/>
      <c r="X935" s="375"/>
      <c r="Y935" s="375"/>
      <c r="Z935" s="375"/>
      <c r="AA935" s="375"/>
      <c r="AB935" s="375"/>
      <c r="AC935" s="375"/>
      <c r="AD935" s="375"/>
      <c r="AE935" s="375"/>
      <c r="AF935" s="375"/>
    </row>
    <row r="936">
      <c r="A936" s="360"/>
      <c r="B936" s="360"/>
      <c r="C936" s="377"/>
      <c r="D936" s="377"/>
      <c r="E936" s="378"/>
      <c r="F936" s="377"/>
      <c r="G936" s="377"/>
      <c r="H936" s="378"/>
      <c r="I936" s="360"/>
      <c r="J936" s="377"/>
      <c r="K936" s="377"/>
      <c r="L936" s="378"/>
      <c r="M936" s="377"/>
      <c r="N936" s="377"/>
      <c r="O936" s="377"/>
      <c r="P936" s="364"/>
      <c r="Q936" s="360"/>
      <c r="R936" s="377"/>
      <c r="S936" s="377"/>
      <c r="T936" s="375"/>
      <c r="U936" s="375"/>
      <c r="V936" s="375"/>
      <c r="W936" s="375"/>
      <c r="X936" s="375"/>
      <c r="Y936" s="375"/>
      <c r="Z936" s="375"/>
      <c r="AA936" s="375"/>
      <c r="AB936" s="375"/>
      <c r="AC936" s="375"/>
      <c r="AD936" s="375"/>
      <c r="AE936" s="375"/>
      <c r="AF936" s="375"/>
    </row>
    <row r="937">
      <c r="A937" s="360"/>
      <c r="B937" s="360"/>
      <c r="C937" s="377"/>
      <c r="D937" s="377"/>
      <c r="E937" s="378"/>
      <c r="F937" s="377"/>
      <c r="G937" s="377"/>
      <c r="H937" s="378"/>
      <c r="I937" s="360"/>
      <c r="J937" s="377"/>
      <c r="K937" s="377"/>
      <c r="L937" s="378"/>
      <c r="M937" s="377"/>
      <c r="N937" s="377"/>
      <c r="O937" s="377"/>
      <c r="P937" s="364"/>
      <c r="Q937" s="360"/>
      <c r="R937" s="377"/>
      <c r="S937" s="377"/>
      <c r="T937" s="375"/>
      <c r="U937" s="375"/>
      <c r="V937" s="375"/>
      <c r="W937" s="375"/>
      <c r="X937" s="375"/>
      <c r="Y937" s="375"/>
      <c r="Z937" s="375"/>
      <c r="AA937" s="375"/>
      <c r="AB937" s="375"/>
      <c r="AC937" s="375"/>
      <c r="AD937" s="375"/>
      <c r="AE937" s="375"/>
      <c r="AF937" s="375"/>
    </row>
    <row r="938">
      <c r="A938" s="360"/>
      <c r="B938" s="360"/>
      <c r="C938" s="377"/>
      <c r="D938" s="377"/>
      <c r="E938" s="378"/>
      <c r="F938" s="377"/>
      <c r="G938" s="377"/>
      <c r="H938" s="378"/>
      <c r="I938" s="360"/>
      <c r="J938" s="377"/>
      <c r="K938" s="377"/>
      <c r="L938" s="378"/>
      <c r="M938" s="377"/>
      <c r="N938" s="377"/>
      <c r="O938" s="377"/>
      <c r="P938" s="364"/>
      <c r="Q938" s="360"/>
      <c r="R938" s="377"/>
      <c r="S938" s="377"/>
      <c r="T938" s="375"/>
      <c r="U938" s="375"/>
      <c r="V938" s="375"/>
      <c r="W938" s="375"/>
      <c r="X938" s="375"/>
      <c r="Y938" s="375"/>
      <c r="Z938" s="375"/>
      <c r="AA938" s="375"/>
      <c r="AB938" s="375"/>
      <c r="AC938" s="375"/>
      <c r="AD938" s="375"/>
      <c r="AE938" s="375"/>
      <c r="AF938" s="375"/>
    </row>
    <row r="939">
      <c r="A939" s="360"/>
      <c r="B939" s="360"/>
      <c r="C939" s="377"/>
      <c r="D939" s="377"/>
      <c r="E939" s="378"/>
      <c r="F939" s="377"/>
      <c r="G939" s="377"/>
      <c r="H939" s="378"/>
      <c r="I939" s="360"/>
      <c r="J939" s="377"/>
      <c r="K939" s="377"/>
      <c r="L939" s="378"/>
      <c r="M939" s="377"/>
      <c r="N939" s="377"/>
      <c r="O939" s="377"/>
      <c r="P939" s="364"/>
      <c r="Q939" s="360"/>
      <c r="R939" s="377"/>
      <c r="S939" s="377"/>
      <c r="T939" s="375"/>
      <c r="U939" s="375"/>
      <c r="V939" s="375"/>
      <c r="W939" s="375"/>
      <c r="X939" s="375"/>
      <c r="Y939" s="375"/>
      <c r="Z939" s="375"/>
      <c r="AA939" s="375"/>
      <c r="AB939" s="375"/>
      <c r="AC939" s="375"/>
      <c r="AD939" s="375"/>
      <c r="AE939" s="375"/>
      <c r="AF939" s="375"/>
    </row>
    <row r="940">
      <c r="A940" s="360"/>
      <c r="B940" s="360"/>
      <c r="C940" s="377"/>
      <c r="D940" s="377"/>
      <c r="E940" s="378"/>
      <c r="F940" s="377"/>
      <c r="G940" s="377"/>
      <c r="H940" s="378"/>
      <c r="I940" s="360"/>
      <c r="J940" s="377"/>
      <c r="K940" s="377"/>
      <c r="L940" s="378"/>
      <c r="M940" s="377"/>
      <c r="N940" s="377"/>
      <c r="O940" s="377"/>
      <c r="P940" s="364"/>
      <c r="Q940" s="360"/>
      <c r="R940" s="377"/>
      <c r="S940" s="377"/>
      <c r="T940" s="375"/>
      <c r="U940" s="375"/>
      <c r="V940" s="375"/>
      <c r="W940" s="375"/>
      <c r="X940" s="375"/>
      <c r="Y940" s="375"/>
      <c r="Z940" s="375"/>
      <c r="AA940" s="375"/>
      <c r="AB940" s="375"/>
      <c r="AC940" s="375"/>
      <c r="AD940" s="375"/>
      <c r="AE940" s="375"/>
      <c r="AF940" s="375"/>
    </row>
    <row r="941">
      <c r="A941" s="360"/>
      <c r="B941" s="360"/>
      <c r="C941" s="377"/>
      <c r="D941" s="377"/>
      <c r="E941" s="378"/>
      <c r="F941" s="377"/>
      <c r="G941" s="377"/>
      <c r="H941" s="378"/>
      <c r="I941" s="360"/>
      <c r="J941" s="377"/>
      <c r="K941" s="377"/>
      <c r="L941" s="378"/>
      <c r="M941" s="377"/>
      <c r="N941" s="377"/>
      <c r="O941" s="377"/>
      <c r="P941" s="364"/>
      <c r="Q941" s="360"/>
      <c r="R941" s="377"/>
      <c r="S941" s="377"/>
      <c r="T941" s="375"/>
      <c r="U941" s="375"/>
      <c r="V941" s="375"/>
      <c r="W941" s="375"/>
      <c r="X941" s="375"/>
      <c r="Y941" s="375"/>
      <c r="Z941" s="375"/>
      <c r="AA941" s="375"/>
      <c r="AB941" s="375"/>
      <c r="AC941" s="375"/>
      <c r="AD941" s="375"/>
      <c r="AE941" s="375"/>
      <c r="AF941" s="375"/>
    </row>
    <row r="942">
      <c r="A942" s="360"/>
      <c r="B942" s="360"/>
      <c r="C942" s="377"/>
      <c r="D942" s="377"/>
      <c r="E942" s="378"/>
      <c r="F942" s="377"/>
      <c r="G942" s="377"/>
      <c r="H942" s="378"/>
      <c r="I942" s="360"/>
      <c r="J942" s="377"/>
      <c r="K942" s="377"/>
      <c r="L942" s="378"/>
      <c r="M942" s="377"/>
      <c r="N942" s="377"/>
      <c r="O942" s="377"/>
      <c r="P942" s="364"/>
      <c r="Q942" s="360"/>
      <c r="R942" s="377"/>
      <c r="S942" s="377"/>
      <c r="T942" s="375"/>
      <c r="U942" s="375"/>
      <c r="V942" s="375"/>
      <c r="W942" s="375"/>
      <c r="X942" s="375"/>
      <c r="Y942" s="375"/>
      <c r="Z942" s="375"/>
      <c r="AA942" s="375"/>
      <c r="AB942" s="375"/>
      <c r="AC942" s="375"/>
      <c r="AD942" s="375"/>
      <c r="AE942" s="375"/>
      <c r="AF942" s="375"/>
    </row>
    <row r="943">
      <c r="A943" s="360"/>
      <c r="B943" s="360"/>
      <c r="C943" s="377"/>
      <c r="D943" s="377"/>
      <c r="E943" s="378"/>
      <c r="F943" s="377"/>
      <c r="G943" s="377"/>
      <c r="H943" s="378"/>
      <c r="I943" s="360"/>
      <c r="J943" s="377"/>
      <c r="K943" s="377"/>
      <c r="L943" s="378"/>
      <c r="M943" s="377"/>
      <c r="N943" s="377"/>
      <c r="O943" s="377"/>
      <c r="P943" s="364"/>
      <c r="Q943" s="360"/>
      <c r="R943" s="377"/>
      <c r="S943" s="377"/>
      <c r="T943" s="375"/>
      <c r="U943" s="375"/>
      <c r="V943" s="375"/>
      <c r="W943" s="375"/>
      <c r="X943" s="375"/>
      <c r="Y943" s="375"/>
      <c r="Z943" s="375"/>
      <c r="AA943" s="375"/>
      <c r="AB943" s="375"/>
      <c r="AC943" s="375"/>
      <c r="AD943" s="375"/>
      <c r="AE943" s="375"/>
      <c r="AF943" s="375"/>
    </row>
    <row r="944">
      <c r="A944" s="360"/>
      <c r="B944" s="360"/>
      <c r="C944" s="377"/>
      <c r="D944" s="377"/>
      <c r="E944" s="378"/>
      <c r="F944" s="377"/>
      <c r="G944" s="377"/>
      <c r="H944" s="378"/>
      <c r="I944" s="360"/>
      <c r="J944" s="377"/>
      <c r="K944" s="377"/>
      <c r="L944" s="378"/>
      <c r="M944" s="377"/>
      <c r="N944" s="377"/>
      <c r="O944" s="377"/>
      <c r="P944" s="364"/>
      <c r="Q944" s="360"/>
      <c r="R944" s="377"/>
      <c r="S944" s="377"/>
      <c r="T944" s="375"/>
      <c r="U944" s="375"/>
      <c r="V944" s="375"/>
      <c r="W944" s="375"/>
      <c r="X944" s="375"/>
      <c r="Y944" s="375"/>
      <c r="Z944" s="375"/>
      <c r="AA944" s="375"/>
      <c r="AB944" s="375"/>
      <c r="AC944" s="375"/>
      <c r="AD944" s="375"/>
      <c r="AE944" s="375"/>
      <c r="AF944" s="375"/>
    </row>
    <row r="945">
      <c r="A945" s="360"/>
      <c r="B945" s="360"/>
      <c r="C945" s="377"/>
      <c r="D945" s="377"/>
      <c r="E945" s="378"/>
      <c r="F945" s="377"/>
      <c r="G945" s="377"/>
      <c r="H945" s="378"/>
      <c r="I945" s="360"/>
      <c r="J945" s="377"/>
      <c r="K945" s="377"/>
      <c r="L945" s="378"/>
      <c r="M945" s="377"/>
      <c r="N945" s="377"/>
      <c r="O945" s="377"/>
      <c r="P945" s="364"/>
      <c r="Q945" s="360"/>
      <c r="R945" s="377"/>
      <c r="S945" s="377"/>
      <c r="T945" s="375"/>
      <c r="U945" s="375"/>
      <c r="V945" s="375"/>
      <c r="W945" s="375"/>
      <c r="X945" s="375"/>
      <c r="Y945" s="375"/>
      <c r="Z945" s="375"/>
      <c r="AA945" s="375"/>
      <c r="AB945" s="375"/>
      <c r="AC945" s="375"/>
      <c r="AD945" s="375"/>
      <c r="AE945" s="375"/>
      <c r="AF945" s="375"/>
    </row>
    <row r="946">
      <c r="A946" s="360"/>
      <c r="B946" s="360"/>
      <c r="C946" s="377"/>
      <c r="D946" s="377"/>
      <c r="E946" s="378"/>
      <c r="F946" s="377"/>
      <c r="G946" s="377"/>
      <c r="H946" s="378"/>
      <c r="I946" s="360"/>
      <c r="J946" s="377"/>
      <c r="K946" s="377"/>
      <c r="L946" s="378"/>
      <c r="M946" s="377"/>
      <c r="N946" s="377"/>
      <c r="O946" s="377"/>
      <c r="P946" s="364"/>
      <c r="Q946" s="360"/>
      <c r="R946" s="377"/>
      <c r="S946" s="377"/>
      <c r="T946" s="375"/>
      <c r="U946" s="375"/>
      <c r="V946" s="375"/>
      <c r="W946" s="375"/>
      <c r="X946" s="375"/>
      <c r="Y946" s="375"/>
      <c r="Z946" s="375"/>
      <c r="AA946" s="375"/>
      <c r="AB946" s="375"/>
      <c r="AC946" s="375"/>
      <c r="AD946" s="375"/>
      <c r="AE946" s="375"/>
      <c r="AF946" s="375"/>
    </row>
    <row r="947">
      <c r="A947" s="360"/>
      <c r="B947" s="360"/>
      <c r="C947" s="377"/>
      <c r="D947" s="377"/>
      <c r="E947" s="378"/>
      <c r="F947" s="377"/>
      <c r="G947" s="377"/>
      <c r="H947" s="378"/>
      <c r="I947" s="360"/>
      <c r="J947" s="377"/>
      <c r="K947" s="377"/>
      <c r="L947" s="378"/>
      <c r="M947" s="377"/>
      <c r="N947" s="377"/>
      <c r="O947" s="377"/>
      <c r="P947" s="364"/>
      <c r="Q947" s="360"/>
      <c r="R947" s="377"/>
      <c r="S947" s="377"/>
      <c r="T947" s="375"/>
      <c r="U947" s="375"/>
      <c r="V947" s="375"/>
      <c r="W947" s="375"/>
      <c r="X947" s="375"/>
      <c r="Y947" s="375"/>
      <c r="Z947" s="375"/>
      <c r="AA947" s="375"/>
      <c r="AB947" s="375"/>
      <c r="AC947" s="375"/>
      <c r="AD947" s="375"/>
      <c r="AE947" s="375"/>
      <c r="AF947" s="375"/>
    </row>
    <row r="948">
      <c r="A948" s="360"/>
      <c r="B948" s="360"/>
      <c r="C948" s="377"/>
      <c r="D948" s="377"/>
      <c r="E948" s="378"/>
      <c r="F948" s="377"/>
      <c r="G948" s="377"/>
      <c r="H948" s="378"/>
      <c r="I948" s="360"/>
      <c r="J948" s="377"/>
      <c r="K948" s="377"/>
      <c r="L948" s="378"/>
      <c r="M948" s="377"/>
      <c r="N948" s="377"/>
      <c r="O948" s="377"/>
      <c r="P948" s="364"/>
      <c r="Q948" s="360"/>
      <c r="R948" s="377"/>
      <c r="S948" s="377"/>
      <c r="T948" s="375"/>
      <c r="U948" s="375"/>
      <c r="V948" s="375"/>
      <c r="W948" s="375"/>
      <c r="X948" s="375"/>
      <c r="Y948" s="375"/>
      <c r="Z948" s="375"/>
      <c r="AA948" s="375"/>
      <c r="AB948" s="375"/>
      <c r="AC948" s="375"/>
      <c r="AD948" s="375"/>
      <c r="AE948" s="375"/>
      <c r="AF948" s="375"/>
    </row>
    <row r="949">
      <c r="A949" s="360"/>
      <c r="B949" s="360"/>
      <c r="C949" s="377"/>
      <c r="D949" s="377"/>
      <c r="E949" s="378"/>
      <c r="F949" s="377"/>
      <c r="G949" s="377"/>
      <c r="H949" s="378"/>
      <c r="I949" s="360"/>
      <c r="J949" s="377"/>
      <c r="K949" s="377"/>
      <c r="L949" s="378"/>
      <c r="M949" s="377"/>
      <c r="N949" s="377"/>
      <c r="O949" s="377"/>
      <c r="P949" s="364"/>
      <c r="Q949" s="360"/>
      <c r="R949" s="377"/>
      <c r="S949" s="377"/>
      <c r="T949" s="375"/>
      <c r="U949" s="375"/>
      <c r="V949" s="375"/>
      <c r="W949" s="375"/>
      <c r="X949" s="375"/>
      <c r="Y949" s="375"/>
      <c r="Z949" s="375"/>
      <c r="AA949" s="375"/>
      <c r="AB949" s="375"/>
      <c r="AC949" s="375"/>
      <c r="AD949" s="375"/>
      <c r="AE949" s="375"/>
      <c r="AF949" s="375"/>
    </row>
    <row r="950">
      <c r="A950" s="360"/>
      <c r="B950" s="360"/>
      <c r="C950" s="377"/>
      <c r="D950" s="377"/>
      <c r="E950" s="378"/>
      <c r="F950" s="377"/>
      <c r="G950" s="377"/>
      <c r="H950" s="378"/>
      <c r="I950" s="360"/>
      <c r="J950" s="377"/>
      <c r="K950" s="377"/>
      <c r="L950" s="378"/>
      <c r="M950" s="377"/>
      <c r="N950" s="377"/>
      <c r="O950" s="377"/>
      <c r="P950" s="364"/>
      <c r="Q950" s="360"/>
      <c r="R950" s="377"/>
      <c r="S950" s="377"/>
      <c r="T950" s="375"/>
      <c r="U950" s="375"/>
      <c r="V950" s="375"/>
      <c r="W950" s="375"/>
      <c r="X950" s="375"/>
      <c r="Y950" s="375"/>
      <c r="Z950" s="375"/>
      <c r="AA950" s="375"/>
      <c r="AB950" s="375"/>
      <c r="AC950" s="375"/>
      <c r="AD950" s="375"/>
      <c r="AE950" s="375"/>
      <c r="AF950" s="375"/>
    </row>
    <row r="951">
      <c r="A951" s="360"/>
      <c r="B951" s="360"/>
      <c r="C951" s="377"/>
      <c r="D951" s="377"/>
      <c r="E951" s="378"/>
      <c r="F951" s="377"/>
      <c r="G951" s="377"/>
      <c r="H951" s="378"/>
      <c r="I951" s="360"/>
      <c r="J951" s="377"/>
      <c r="K951" s="377"/>
      <c r="L951" s="378"/>
      <c r="M951" s="377"/>
      <c r="N951" s="377"/>
      <c r="O951" s="377"/>
      <c r="P951" s="364"/>
      <c r="Q951" s="360"/>
      <c r="R951" s="377"/>
      <c r="S951" s="377"/>
      <c r="T951" s="375"/>
      <c r="U951" s="375"/>
      <c r="V951" s="375"/>
      <c r="W951" s="375"/>
      <c r="X951" s="375"/>
      <c r="Y951" s="375"/>
      <c r="Z951" s="375"/>
      <c r="AA951" s="375"/>
      <c r="AB951" s="375"/>
      <c r="AC951" s="375"/>
      <c r="AD951" s="375"/>
      <c r="AE951" s="375"/>
      <c r="AF951" s="375"/>
    </row>
    <row r="952">
      <c r="A952" s="360"/>
      <c r="B952" s="360"/>
      <c r="C952" s="377"/>
      <c r="D952" s="377"/>
      <c r="E952" s="378"/>
      <c r="F952" s="377"/>
      <c r="G952" s="377"/>
      <c r="H952" s="378"/>
      <c r="I952" s="360"/>
      <c r="J952" s="377"/>
      <c r="K952" s="377"/>
      <c r="L952" s="378"/>
      <c r="M952" s="377"/>
      <c r="N952" s="377"/>
      <c r="O952" s="377"/>
      <c r="P952" s="364"/>
      <c r="Q952" s="360"/>
      <c r="R952" s="377"/>
      <c r="S952" s="377"/>
      <c r="T952" s="375"/>
      <c r="U952" s="375"/>
      <c r="V952" s="375"/>
      <c r="W952" s="375"/>
      <c r="X952" s="375"/>
      <c r="Y952" s="375"/>
      <c r="Z952" s="375"/>
      <c r="AA952" s="375"/>
      <c r="AB952" s="375"/>
      <c r="AC952" s="375"/>
      <c r="AD952" s="375"/>
      <c r="AE952" s="375"/>
      <c r="AF952" s="375"/>
    </row>
    <row r="953">
      <c r="A953" s="360"/>
      <c r="B953" s="360"/>
      <c r="C953" s="377"/>
      <c r="D953" s="377"/>
      <c r="E953" s="378"/>
      <c r="F953" s="377"/>
      <c r="G953" s="377"/>
      <c r="H953" s="378"/>
      <c r="I953" s="360"/>
      <c r="J953" s="377"/>
      <c r="K953" s="377"/>
      <c r="L953" s="378"/>
      <c r="M953" s="377"/>
      <c r="N953" s="377"/>
      <c r="O953" s="377"/>
      <c r="P953" s="364"/>
      <c r="Q953" s="360"/>
      <c r="R953" s="377"/>
      <c r="S953" s="377"/>
      <c r="T953" s="375"/>
      <c r="U953" s="375"/>
      <c r="V953" s="375"/>
      <c r="W953" s="375"/>
      <c r="X953" s="375"/>
      <c r="Y953" s="375"/>
      <c r="Z953" s="375"/>
      <c r="AA953" s="375"/>
      <c r="AB953" s="375"/>
      <c r="AC953" s="375"/>
      <c r="AD953" s="375"/>
      <c r="AE953" s="375"/>
      <c r="AF953" s="375"/>
    </row>
    <row r="954">
      <c r="A954" s="360"/>
      <c r="B954" s="360"/>
      <c r="C954" s="377"/>
      <c r="D954" s="377"/>
      <c r="E954" s="378"/>
      <c r="F954" s="377"/>
      <c r="G954" s="377"/>
      <c r="H954" s="378"/>
      <c r="I954" s="360"/>
      <c r="J954" s="377"/>
      <c r="K954" s="377"/>
      <c r="L954" s="378"/>
      <c r="M954" s="377"/>
      <c r="N954" s="377"/>
      <c r="O954" s="377"/>
      <c r="P954" s="364"/>
      <c r="Q954" s="360"/>
      <c r="R954" s="377"/>
      <c r="S954" s="377"/>
      <c r="T954" s="375"/>
      <c r="U954" s="375"/>
      <c r="V954" s="375"/>
      <c r="W954" s="375"/>
      <c r="X954" s="375"/>
      <c r="Y954" s="375"/>
      <c r="Z954" s="375"/>
      <c r="AA954" s="375"/>
      <c r="AB954" s="375"/>
      <c r="AC954" s="375"/>
      <c r="AD954" s="375"/>
      <c r="AE954" s="375"/>
      <c r="AF954" s="375"/>
    </row>
    <row r="955">
      <c r="A955" s="360"/>
      <c r="B955" s="360"/>
      <c r="C955" s="377"/>
      <c r="D955" s="377"/>
      <c r="E955" s="378"/>
      <c r="F955" s="377"/>
      <c r="G955" s="377"/>
      <c r="H955" s="378"/>
      <c r="I955" s="360"/>
      <c r="J955" s="377"/>
      <c r="K955" s="377"/>
      <c r="L955" s="378"/>
      <c r="M955" s="377"/>
      <c r="N955" s="377"/>
      <c r="O955" s="377"/>
      <c r="P955" s="364"/>
      <c r="Q955" s="360"/>
      <c r="R955" s="377"/>
      <c r="S955" s="377"/>
      <c r="T955" s="375"/>
      <c r="U955" s="375"/>
      <c r="V955" s="375"/>
      <c r="W955" s="375"/>
      <c r="X955" s="375"/>
      <c r="Y955" s="375"/>
      <c r="Z955" s="375"/>
      <c r="AA955" s="375"/>
      <c r="AB955" s="375"/>
      <c r="AC955" s="375"/>
      <c r="AD955" s="375"/>
      <c r="AE955" s="375"/>
      <c r="AF955" s="375"/>
    </row>
    <row r="956">
      <c r="A956" s="360"/>
      <c r="B956" s="360"/>
      <c r="C956" s="377"/>
      <c r="D956" s="377"/>
      <c r="E956" s="378"/>
      <c r="F956" s="377"/>
      <c r="G956" s="377"/>
      <c r="H956" s="378"/>
      <c r="I956" s="360"/>
      <c r="J956" s="377"/>
      <c r="K956" s="377"/>
      <c r="L956" s="378"/>
      <c r="M956" s="377"/>
      <c r="N956" s="377"/>
      <c r="O956" s="377"/>
      <c r="P956" s="364"/>
      <c r="Q956" s="360"/>
      <c r="R956" s="377"/>
      <c r="S956" s="377"/>
      <c r="T956" s="375"/>
      <c r="U956" s="375"/>
      <c r="V956" s="375"/>
      <c r="W956" s="375"/>
      <c r="X956" s="375"/>
      <c r="Y956" s="375"/>
      <c r="Z956" s="375"/>
      <c r="AA956" s="375"/>
      <c r="AB956" s="375"/>
      <c r="AC956" s="375"/>
      <c r="AD956" s="375"/>
      <c r="AE956" s="375"/>
      <c r="AF956" s="375"/>
    </row>
    <row r="957">
      <c r="A957" s="360"/>
      <c r="B957" s="360"/>
      <c r="C957" s="377"/>
      <c r="D957" s="377"/>
      <c r="E957" s="378"/>
      <c r="F957" s="377"/>
      <c r="G957" s="377"/>
      <c r="H957" s="378"/>
      <c r="I957" s="360"/>
      <c r="J957" s="377"/>
      <c r="K957" s="377"/>
      <c r="L957" s="378"/>
      <c r="M957" s="377"/>
      <c r="N957" s="377"/>
      <c r="O957" s="377"/>
      <c r="P957" s="364"/>
      <c r="Q957" s="360"/>
      <c r="R957" s="377"/>
      <c r="S957" s="377"/>
      <c r="T957" s="375"/>
      <c r="U957" s="375"/>
      <c r="V957" s="375"/>
      <c r="W957" s="375"/>
      <c r="X957" s="375"/>
      <c r="Y957" s="375"/>
      <c r="Z957" s="375"/>
      <c r="AA957" s="375"/>
      <c r="AB957" s="375"/>
      <c r="AC957" s="375"/>
      <c r="AD957" s="375"/>
      <c r="AE957" s="375"/>
      <c r="AF957" s="375"/>
    </row>
    <row r="958">
      <c r="A958" s="360"/>
      <c r="B958" s="360"/>
      <c r="C958" s="377"/>
      <c r="D958" s="377"/>
      <c r="E958" s="378"/>
      <c r="F958" s="377"/>
      <c r="G958" s="377"/>
      <c r="H958" s="378"/>
      <c r="I958" s="360"/>
      <c r="J958" s="377"/>
      <c r="K958" s="377"/>
      <c r="L958" s="378"/>
      <c r="M958" s="377"/>
      <c r="N958" s="377"/>
      <c r="O958" s="377"/>
      <c r="P958" s="364"/>
      <c r="Q958" s="360"/>
      <c r="R958" s="377"/>
      <c r="S958" s="377"/>
      <c r="T958" s="375"/>
      <c r="U958" s="375"/>
      <c r="V958" s="375"/>
      <c r="W958" s="375"/>
      <c r="X958" s="375"/>
      <c r="Y958" s="375"/>
      <c r="Z958" s="375"/>
      <c r="AA958" s="375"/>
      <c r="AB958" s="375"/>
      <c r="AC958" s="375"/>
      <c r="AD958" s="375"/>
      <c r="AE958" s="375"/>
      <c r="AF958" s="375"/>
    </row>
    <row r="959">
      <c r="A959" s="360"/>
      <c r="B959" s="360"/>
      <c r="C959" s="377"/>
      <c r="D959" s="377"/>
      <c r="E959" s="378"/>
      <c r="F959" s="377"/>
      <c r="G959" s="377"/>
      <c r="H959" s="378"/>
      <c r="I959" s="360"/>
      <c r="J959" s="377"/>
      <c r="K959" s="377"/>
      <c r="L959" s="378"/>
      <c r="M959" s="377"/>
      <c r="N959" s="377"/>
      <c r="O959" s="377"/>
      <c r="P959" s="364"/>
      <c r="Q959" s="360"/>
      <c r="R959" s="377"/>
      <c r="S959" s="377"/>
      <c r="T959" s="375"/>
      <c r="U959" s="375"/>
      <c r="V959" s="375"/>
      <c r="W959" s="375"/>
      <c r="X959" s="375"/>
      <c r="Y959" s="375"/>
      <c r="Z959" s="375"/>
      <c r="AA959" s="375"/>
      <c r="AB959" s="375"/>
      <c r="AC959" s="375"/>
      <c r="AD959" s="375"/>
      <c r="AE959" s="375"/>
      <c r="AF959" s="375"/>
    </row>
    <row r="960">
      <c r="A960" s="360"/>
      <c r="B960" s="360"/>
      <c r="C960" s="377"/>
      <c r="D960" s="377"/>
      <c r="E960" s="378"/>
      <c r="F960" s="377"/>
      <c r="G960" s="377"/>
      <c r="H960" s="378"/>
      <c r="I960" s="360"/>
      <c r="J960" s="377"/>
      <c r="K960" s="377"/>
      <c r="L960" s="378"/>
      <c r="M960" s="377"/>
      <c r="N960" s="377"/>
      <c r="O960" s="377"/>
      <c r="P960" s="364"/>
      <c r="Q960" s="360"/>
      <c r="R960" s="377"/>
      <c r="S960" s="377"/>
      <c r="T960" s="375"/>
      <c r="U960" s="375"/>
      <c r="V960" s="375"/>
      <c r="W960" s="375"/>
      <c r="X960" s="375"/>
      <c r="Y960" s="375"/>
      <c r="Z960" s="375"/>
      <c r="AA960" s="375"/>
      <c r="AB960" s="375"/>
      <c r="AC960" s="375"/>
      <c r="AD960" s="375"/>
      <c r="AE960" s="375"/>
      <c r="AF960" s="375"/>
    </row>
    <row r="961">
      <c r="A961" s="360"/>
      <c r="B961" s="360"/>
      <c r="C961" s="377"/>
      <c r="D961" s="377"/>
      <c r="E961" s="378"/>
      <c r="F961" s="377"/>
      <c r="G961" s="377"/>
      <c r="H961" s="378"/>
      <c r="I961" s="360"/>
      <c r="J961" s="377"/>
      <c r="K961" s="377"/>
      <c r="L961" s="378"/>
      <c r="M961" s="377"/>
      <c r="N961" s="377"/>
      <c r="O961" s="377"/>
      <c r="P961" s="364"/>
      <c r="Q961" s="360"/>
      <c r="R961" s="377"/>
      <c r="S961" s="377"/>
      <c r="T961" s="375"/>
      <c r="U961" s="375"/>
      <c r="V961" s="375"/>
      <c r="W961" s="375"/>
      <c r="X961" s="375"/>
      <c r="Y961" s="375"/>
      <c r="Z961" s="375"/>
      <c r="AA961" s="375"/>
      <c r="AB961" s="375"/>
      <c r="AC961" s="375"/>
      <c r="AD961" s="375"/>
      <c r="AE961" s="375"/>
      <c r="AF961" s="375"/>
    </row>
    <row r="962">
      <c r="A962" s="360"/>
      <c r="B962" s="360"/>
      <c r="C962" s="377"/>
      <c r="D962" s="377"/>
      <c r="E962" s="378"/>
      <c r="F962" s="377"/>
      <c r="G962" s="377"/>
      <c r="H962" s="378"/>
      <c r="I962" s="360"/>
      <c r="J962" s="377"/>
      <c r="K962" s="377"/>
      <c r="L962" s="378"/>
      <c r="M962" s="377"/>
      <c r="N962" s="377"/>
      <c r="O962" s="377"/>
      <c r="P962" s="364"/>
      <c r="Q962" s="360"/>
      <c r="R962" s="377"/>
      <c r="S962" s="377"/>
      <c r="T962" s="375"/>
      <c r="U962" s="375"/>
      <c r="V962" s="375"/>
      <c r="W962" s="375"/>
      <c r="X962" s="375"/>
      <c r="Y962" s="375"/>
      <c r="Z962" s="375"/>
      <c r="AA962" s="375"/>
      <c r="AB962" s="375"/>
      <c r="AC962" s="375"/>
      <c r="AD962" s="375"/>
      <c r="AE962" s="375"/>
      <c r="AF962" s="375"/>
    </row>
    <row r="963">
      <c r="A963" s="360"/>
      <c r="B963" s="360"/>
      <c r="C963" s="377"/>
      <c r="D963" s="377"/>
      <c r="E963" s="378"/>
      <c r="F963" s="377"/>
      <c r="G963" s="377"/>
      <c r="H963" s="378"/>
      <c r="I963" s="360"/>
      <c r="J963" s="377"/>
      <c r="K963" s="377"/>
      <c r="L963" s="378"/>
      <c r="M963" s="377"/>
      <c r="N963" s="377"/>
      <c r="O963" s="377"/>
      <c r="P963" s="364"/>
      <c r="Q963" s="360"/>
      <c r="R963" s="377"/>
      <c r="S963" s="377"/>
      <c r="T963" s="375"/>
      <c r="U963" s="375"/>
      <c r="V963" s="375"/>
      <c r="W963" s="375"/>
      <c r="X963" s="375"/>
      <c r="Y963" s="375"/>
      <c r="Z963" s="375"/>
      <c r="AA963" s="375"/>
      <c r="AB963" s="375"/>
      <c r="AC963" s="375"/>
      <c r="AD963" s="375"/>
      <c r="AE963" s="375"/>
      <c r="AF963" s="375"/>
    </row>
    <row r="964">
      <c r="A964" s="360"/>
      <c r="B964" s="360"/>
      <c r="C964" s="377"/>
      <c r="D964" s="377"/>
      <c r="E964" s="378"/>
      <c r="F964" s="377"/>
      <c r="G964" s="377"/>
      <c r="H964" s="378"/>
      <c r="I964" s="360"/>
      <c r="J964" s="377"/>
      <c r="K964" s="377"/>
      <c r="L964" s="378"/>
      <c r="M964" s="377"/>
      <c r="N964" s="377"/>
      <c r="O964" s="377"/>
      <c r="P964" s="364"/>
      <c r="Q964" s="360"/>
      <c r="R964" s="377"/>
      <c r="S964" s="377"/>
      <c r="T964" s="375"/>
      <c r="U964" s="375"/>
      <c r="V964" s="375"/>
      <c r="W964" s="375"/>
      <c r="X964" s="375"/>
      <c r="Y964" s="375"/>
      <c r="Z964" s="375"/>
      <c r="AA964" s="375"/>
      <c r="AB964" s="375"/>
      <c r="AC964" s="375"/>
      <c r="AD964" s="375"/>
      <c r="AE964" s="375"/>
      <c r="AF964" s="375"/>
    </row>
    <row r="965">
      <c r="A965" s="360"/>
      <c r="B965" s="360"/>
      <c r="C965" s="377"/>
      <c r="D965" s="377"/>
      <c r="E965" s="378"/>
      <c r="F965" s="377"/>
      <c r="G965" s="377"/>
      <c r="H965" s="378"/>
      <c r="I965" s="360"/>
      <c r="J965" s="377"/>
      <c r="K965" s="377"/>
      <c r="L965" s="378"/>
      <c r="M965" s="377"/>
      <c r="N965" s="377"/>
      <c r="O965" s="377"/>
      <c r="P965" s="364"/>
      <c r="Q965" s="360"/>
      <c r="R965" s="377"/>
      <c r="S965" s="377"/>
      <c r="T965" s="375"/>
      <c r="U965" s="375"/>
      <c r="V965" s="375"/>
      <c r="W965" s="375"/>
      <c r="X965" s="375"/>
      <c r="Y965" s="375"/>
      <c r="Z965" s="375"/>
      <c r="AA965" s="375"/>
      <c r="AB965" s="375"/>
      <c r="AC965" s="375"/>
      <c r="AD965" s="375"/>
      <c r="AE965" s="375"/>
      <c r="AF965" s="375"/>
    </row>
    <row r="966">
      <c r="A966" s="360"/>
      <c r="B966" s="360"/>
      <c r="C966" s="377"/>
      <c r="D966" s="377"/>
      <c r="E966" s="378"/>
      <c r="F966" s="377"/>
      <c r="G966" s="377"/>
      <c r="H966" s="378"/>
      <c r="I966" s="360"/>
      <c r="J966" s="377"/>
      <c r="K966" s="377"/>
      <c r="L966" s="378"/>
      <c r="M966" s="377"/>
      <c r="N966" s="377"/>
      <c r="O966" s="377"/>
      <c r="P966" s="364"/>
      <c r="Q966" s="360"/>
      <c r="R966" s="377"/>
      <c r="S966" s="377"/>
      <c r="T966" s="375"/>
      <c r="U966" s="375"/>
      <c r="V966" s="375"/>
      <c r="W966" s="375"/>
      <c r="X966" s="375"/>
      <c r="Y966" s="375"/>
      <c r="Z966" s="375"/>
      <c r="AA966" s="375"/>
      <c r="AB966" s="375"/>
      <c r="AC966" s="375"/>
      <c r="AD966" s="375"/>
      <c r="AE966" s="375"/>
      <c r="AF966" s="375"/>
    </row>
    <row r="967">
      <c r="A967" s="360"/>
      <c r="B967" s="360"/>
      <c r="C967" s="377"/>
      <c r="D967" s="377"/>
      <c r="E967" s="378"/>
      <c r="F967" s="377"/>
      <c r="G967" s="377"/>
      <c r="H967" s="378"/>
      <c r="I967" s="360"/>
      <c r="J967" s="377"/>
      <c r="K967" s="377"/>
      <c r="L967" s="378"/>
      <c r="M967" s="377"/>
      <c r="N967" s="377"/>
      <c r="O967" s="377"/>
      <c r="P967" s="364"/>
      <c r="Q967" s="360"/>
      <c r="R967" s="377"/>
      <c r="S967" s="377"/>
      <c r="T967" s="375"/>
      <c r="U967" s="375"/>
      <c r="V967" s="375"/>
      <c r="W967" s="375"/>
      <c r="X967" s="375"/>
      <c r="Y967" s="375"/>
      <c r="Z967" s="375"/>
      <c r="AA967" s="375"/>
      <c r="AB967" s="375"/>
      <c r="AC967" s="375"/>
      <c r="AD967" s="375"/>
      <c r="AE967" s="375"/>
      <c r="AF967" s="375"/>
    </row>
    <row r="968">
      <c r="A968" s="360"/>
      <c r="B968" s="360"/>
      <c r="C968" s="377"/>
      <c r="D968" s="377"/>
      <c r="E968" s="378"/>
      <c r="F968" s="377"/>
      <c r="G968" s="377"/>
      <c r="H968" s="378"/>
      <c r="I968" s="360"/>
      <c r="J968" s="377"/>
      <c r="K968" s="377"/>
      <c r="L968" s="378"/>
      <c r="M968" s="377"/>
      <c r="N968" s="377"/>
      <c r="O968" s="377"/>
      <c r="P968" s="364"/>
      <c r="Q968" s="360"/>
      <c r="R968" s="377"/>
      <c r="S968" s="377"/>
      <c r="T968" s="375"/>
      <c r="U968" s="375"/>
      <c r="V968" s="375"/>
      <c r="W968" s="375"/>
      <c r="X968" s="375"/>
      <c r="Y968" s="375"/>
      <c r="Z968" s="375"/>
      <c r="AA968" s="375"/>
      <c r="AB968" s="375"/>
      <c r="AC968" s="375"/>
      <c r="AD968" s="375"/>
      <c r="AE968" s="375"/>
      <c r="AF968" s="375"/>
    </row>
    <row r="969">
      <c r="A969" s="360"/>
      <c r="B969" s="360"/>
      <c r="C969" s="377"/>
      <c r="D969" s="377"/>
      <c r="E969" s="378"/>
      <c r="F969" s="377"/>
      <c r="G969" s="377"/>
      <c r="H969" s="378"/>
      <c r="I969" s="360"/>
      <c r="J969" s="377"/>
      <c r="K969" s="377"/>
      <c r="L969" s="378"/>
      <c r="M969" s="377"/>
      <c r="N969" s="377"/>
      <c r="O969" s="377"/>
      <c r="P969" s="364"/>
      <c r="Q969" s="360"/>
      <c r="R969" s="377"/>
      <c r="S969" s="377"/>
      <c r="T969" s="375"/>
      <c r="U969" s="375"/>
      <c r="V969" s="375"/>
      <c r="W969" s="375"/>
      <c r="X969" s="375"/>
      <c r="Y969" s="375"/>
      <c r="Z969" s="375"/>
      <c r="AA969" s="375"/>
      <c r="AB969" s="375"/>
      <c r="AC969" s="375"/>
      <c r="AD969" s="375"/>
      <c r="AE969" s="375"/>
      <c r="AF969" s="375"/>
    </row>
    <row r="970">
      <c r="A970" s="360"/>
      <c r="B970" s="360"/>
      <c r="C970" s="377"/>
      <c r="D970" s="377"/>
      <c r="E970" s="378"/>
      <c r="F970" s="377"/>
      <c r="G970" s="377"/>
      <c r="H970" s="378"/>
      <c r="I970" s="360"/>
      <c r="J970" s="377"/>
      <c r="K970" s="377"/>
      <c r="L970" s="378"/>
      <c r="M970" s="377"/>
      <c r="N970" s="377"/>
      <c r="O970" s="377"/>
      <c r="P970" s="364"/>
      <c r="Q970" s="360"/>
      <c r="R970" s="377"/>
      <c r="S970" s="377"/>
      <c r="T970" s="375"/>
      <c r="U970" s="375"/>
      <c r="V970" s="375"/>
      <c r="W970" s="375"/>
      <c r="X970" s="375"/>
      <c r="Y970" s="375"/>
      <c r="Z970" s="375"/>
      <c r="AA970" s="375"/>
      <c r="AB970" s="375"/>
      <c r="AC970" s="375"/>
      <c r="AD970" s="375"/>
      <c r="AE970" s="375"/>
      <c r="AF970" s="375"/>
    </row>
    <row r="971">
      <c r="A971" s="360"/>
      <c r="B971" s="360"/>
      <c r="C971" s="377"/>
      <c r="D971" s="377"/>
      <c r="E971" s="378"/>
      <c r="F971" s="377"/>
      <c r="G971" s="377"/>
      <c r="H971" s="378"/>
      <c r="I971" s="360"/>
      <c r="J971" s="377"/>
      <c r="K971" s="377"/>
      <c r="L971" s="378"/>
      <c r="M971" s="377"/>
      <c r="N971" s="377"/>
      <c r="O971" s="377"/>
      <c r="P971" s="364"/>
      <c r="Q971" s="360"/>
      <c r="R971" s="377"/>
      <c r="S971" s="377"/>
      <c r="T971" s="375"/>
      <c r="U971" s="375"/>
      <c r="V971" s="375"/>
      <c r="W971" s="375"/>
      <c r="X971" s="375"/>
      <c r="Y971" s="375"/>
      <c r="Z971" s="375"/>
      <c r="AA971" s="375"/>
      <c r="AB971" s="375"/>
      <c r="AC971" s="375"/>
      <c r="AD971" s="375"/>
      <c r="AE971" s="375"/>
      <c r="AF971" s="375"/>
    </row>
    <row r="972">
      <c r="A972" s="360"/>
      <c r="B972" s="360"/>
      <c r="C972" s="377"/>
      <c r="D972" s="377"/>
      <c r="E972" s="378"/>
      <c r="F972" s="377"/>
      <c r="G972" s="377"/>
      <c r="H972" s="378"/>
      <c r="I972" s="360"/>
      <c r="J972" s="377"/>
      <c r="K972" s="377"/>
      <c r="L972" s="378"/>
      <c r="M972" s="377"/>
      <c r="N972" s="377"/>
      <c r="O972" s="377"/>
      <c r="P972" s="364"/>
      <c r="Q972" s="360"/>
      <c r="R972" s="377"/>
      <c r="S972" s="377"/>
      <c r="T972" s="375"/>
      <c r="U972" s="375"/>
      <c r="V972" s="375"/>
      <c r="W972" s="375"/>
      <c r="X972" s="375"/>
      <c r="Y972" s="375"/>
      <c r="Z972" s="375"/>
      <c r="AA972" s="375"/>
      <c r="AB972" s="375"/>
      <c r="AC972" s="375"/>
      <c r="AD972" s="375"/>
      <c r="AE972" s="375"/>
      <c r="AF972" s="375"/>
    </row>
    <row r="973">
      <c r="A973" s="360"/>
      <c r="B973" s="360"/>
      <c r="C973" s="377"/>
      <c r="D973" s="377"/>
      <c r="E973" s="378"/>
      <c r="F973" s="377"/>
      <c r="G973" s="377"/>
      <c r="H973" s="378"/>
      <c r="I973" s="360"/>
      <c r="J973" s="377"/>
      <c r="K973" s="377"/>
      <c r="L973" s="378"/>
      <c r="M973" s="377"/>
      <c r="N973" s="377"/>
      <c r="O973" s="377"/>
      <c r="P973" s="364"/>
      <c r="Q973" s="360"/>
      <c r="R973" s="377"/>
      <c r="S973" s="377"/>
      <c r="T973" s="375"/>
      <c r="U973" s="375"/>
      <c r="V973" s="375"/>
      <c r="W973" s="375"/>
      <c r="X973" s="375"/>
      <c r="Y973" s="375"/>
      <c r="Z973" s="375"/>
      <c r="AA973" s="375"/>
      <c r="AB973" s="375"/>
      <c r="AC973" s="375"/>
      <c r="AD973" s="375"/>
      <c r="AE973" s="375"/>
      <c r="AF973" s="375"/>
    </row>
    <row r="974">
      <c r="A974" s="360"/>
      <c r="B974" s="360"/>
      <c r="C974" s="377"/>
      <c r="D974" s="377"/>
      <c r="E974" s="378"/>
      <c r="F974" s="377"/>
      <c r="G974" s="377"/>
      <c r="H974" s="378"/>
      <c r="I974" s="360"/>
      <c r="J974" s="377"/>
      <c r="K974" s="377"/>
      <c r="L974" s="378"/>
      <c r="M974" s="377"/>
      <c r="N974" s="377"/>
      <c r="O974" s="377"/>
      <c r="P974" s="364"/>
      <c r="Q974" s="360"/>
      <c r="R974" s="377"/>
      <c r="S974" s="377"/>
      <c r="T974" s="375"/>
      <c r="U974" s="375"/>
      <c r="V974" s="375"/>
      <c r="W974" s="375"/>
      <c r="X974" s="375"/>
      <c r="Y974" s="375"/>
      <c r="Z974" s="375"/>
      <c r="AA974" s="375"/>
      <c r="AB974" s="375"/>
      <c r="AC974" s="375"/>
      <c r="AD974" s="375"/>
      <c r="AE974" s="375"/>
      <c r="AF974" s="375"/>
    </row>
    <row r="975">
      <c r="A975" s="360"/>
      <c r="B975" s="360"/>
      <c r="C975" s="377"/>
      <c r="D975" s="377"/>
      <c r="E975" s="378"/>
      <c r="F975" s="377"/>
      <c r="G975" s="377"/>
      <c r="H975" s="378"/>
      <c r="I975" s="360"/>
      <c r="J975" s="377"/>
      <c r="K975" s="377"/>
      <c r="L975" s="378"/>
      <c r="M975" s="377"/>
      <c r="N975" s="377"/>
      <c r="O975" s="377"/>
      <c r="P975" s="364"/>
      <c r="Q975" s="360"/>
      <c r="R975" s="377"/>
      <c r="S975" s="377"/>
      <c r="T975" s="375"/>
      <c r="U975" s="375"/>
      <c r="V975" s="375"/>
      <c r="W975" s="375"/>
      <c r="X975" s="375"/>
      <c r="Y975" s="375"/>
      <c r="Z975" s="375"/>
      <c r="AA975" s="375"/>
      <c r="AB975" s="375"/>
      <c r="AC975" s="375"/>
      <c r="AD975" s="375"/>
      <c r="AE975" s="375"/>
      <c r="AF975" s="375"/>
    </row>
    <row r="976">
      <c r="A976" s="360"/>
      <c r="B976" s="360"/>
      <c r="C976" s="377"/>
      <c r="D976" s="377"/>
      <c r="E976" s="378"/>
      <c r="F976" s="377"/>
      <c r="G976" s="377"/>
      <c r="H976" s="378"/>
      <c r="I976" s="360"/>
      <c r="J976" s="377"/>
      <c r="K976" s="377"/>
      <c r="L976" s="378"/>
      <c r="M976" s="377"/>
      <c r="N976" s="377"/>
      <c r="O976" s="377"/>
      <c r="P976" s="364"/>
      <c r="Q976" s="360"/>
      <c r="R976" s="377"/>
      <c r="S976" s="377"/>
      <c r="T976" s="375"/>
      <c r="U976" s="375"/>
      <c r="V976" s="375"/>
      <c r="W976" s="375"/>
      <c r="X976" s="375"/>
      <c r="Y976" s="375"/>
      <c r="Z976" s="375"/>
      <c r="AA976" s="375"/>
      <c r="AB976" s="375"/>
      <c r="AC976" s="375"/>
      <c r="AD976" s="375"/>
      <c r="AE976" s="375"/>
      <c r="AF976" s="375"/>
    </row>
    <row r="977">
      <c r="A977" s="360"/>
      <c r="B977" s="360"/>
      <c r="C977" s="377"/>
      <c r="D977" s="377"/>
      <c r="E977" s="378"/>
      <c r="F977" s="377"/>
      <c r="G977" s="377"/>
      <c r="H977" s="378"/>
      <c r="I977" s="360"/>
      <c r="J977" s="377"/>
      <c r="K977" s="377"/>
      <c r="L977" s="378"/>
      <c r="M977" s="377"/>
      <c r="N977" s="377"/>
      <c r="O977" s="377"/>
      <c r="P977" s="364"/>
      <c r="Q977" s="360"/>
      <c r="R977" s="377"/>
      <c r="S977" s="377"/>
      <c r="T977" s="375"/>
      <c r="U977" s="375"/>
      <c r="V977" s="375"/>
      <c r="W977" s="375"/>
      <c r="X977" s="375"/>
      <c r="Y977" s="375"/>
      <c r="Z977" s="375"/>
      <c r="AA977" s="375"/>
      <c r="AB977" s="375"/>
      <c r="AC977" s="375"/>
      <c r="AD977" s="375"/>
      <c r="AE977" s="375"/>
      <c r="AF977" s="375"/>
    </row>
    <row r="978">
      <c r="A978" s="360"/>
      <c r="B978" s="360"/>
      <c r="C978" s="377"/>
      <c r="D978" s="377"/>
      <c r="E978" s="378"/>
      <c r="F978" s="377"/>
      <c r="G978" s="377"/>
      <c r="H978" s="378"/>
      <c r="I978" s="360"/>
      <c r="J978" s="377"/>
      <c r="K978" s="377"/>
      <c r="L978" s="378"/>
      <c r="M978" s="377"/>
      <c r="N978" s="377"/>
      <c r="O978" s="377"/>
      <c r="P978" s="364"/>
      <c r="Q978" s="360"/>
      <c r="R978" s="377"/>
      <c r="S978" s="377"/>
      <c r="T978" s="375"/>
      <c r="U978" s="375"/>
      <c r="V978" s="375"/>
      <c r="W978" s="375"/>
      <c r="X978" s="375"/>
      <c r="Y978" s="375"/>
      <c r="Z978" s="375"/>
      <c r="AA978" s="375"/>
      <c r="AB978" s="375"/>
      <c r="AC978" s="375"/>
      <c r="AD978" s="375"/>
      <c r="AE978" s="375"/>
      <c r="AF978" s="375"/>
    </row>
    <row r="979">
      <c r="A979" s="360"/>
      <c r="B979" s="360"/>
      <c r="C979" s="377"/>
      <c r="D979" s="377"/>
      <c r="E979" s="378"/>
      <c r="F979" s="377"/>
      <c r="G979" s="377"/>
      <c r="H979" s="378"/>
      <c r="I979" s="360"/>
      <c r="J979" s="377"/>
      <c r="K979" s="377"/>
      <c r="L979" s="378"/>
      <c r="M979" s="377"/>
      <c r="N979" s="377"/>
      <c r="O979" s="377"/>
      <c r="P979" s="364"/>
      <c r="Q979" s="360"/>
      <c r="R979" s="377"/>
      <c r="S979" s="377"/>
      <c r="T979" s="375"/>
      <c r="U979" s="375"/>
      <c r="V979" s="375"/>
      <c r="W979" s="375"/>
      <c r="X979" s="375"/>
      <c r="Y979" s="375"/>
      <c r="Z979" s="375"/>
      <c r="AA979" s="375"/>
      <c r="AB979" s="375"/>
      <c r="AC979" s="375"/>
      <c r="AD979" s="375"/>
      <c r="AE979" s="375"/>
      <c r="AF979" s="375"/>
    </row>
    <row r="980">
      <c r="A980" s="360"/>
      <c r="B980" s="360"/>
      <c r="C980" s="377"/>
      <c r="D980" s="377"/>
      <c r="E980" s="378"/>
      <c r="F980" s="377"/>
      <c r="G980" s="377"/>
      <c r="H980" s="378"/>
      <c r="I980" s="360"/>
      <c r="J980" s="377"/>
      <c r="K980" s="377"/>
      <c r="L980" s="378"/>
      <c r="M980" s="377"/>
      <c r="N980" s="377"/>
      <c r="O980" s="377"/>
      <c r="P980" s="364"/>
      <c r="Q980" s="360"/>
      <c r="R980" s="377"/>
      <c r="S980" s="377"/>
      <c r="T980" s="375"/>
      <c r="U980" s="375"/>
      <c r="V980" s="375"/>
      <c r="W980" s="375"/>
      <c r="X980" s="375"/>
      <c r="Y980" s="375"/>
      <c r="Z980" s="375"/>
      <c r="AA980" s="375"/>
      <c r="AB980" s="375"/>
      <c r="AC980" s="375"/>
      <c r="AD980" s="375"/>
      <c r="AE980" s="375"/>
      <c r="AF980" s="375"/>
    </row>
    <row r="981">
      <c r="A981" s="360"/>
      <c r="B981" s="360"/>
      <c r="C981" s="377"/>
      <c r="D981" s="377"/>
      <c r="E981" s="378"/>
      <c r="F981" s="377"/>
      <c r="G981" s="377"/>
      <c r="H981" s="378"/>
      <c r="I981" s="360"/>
      <c r="J981" s="377"/>
      <c r="K981" s="377"/>
      <c r="L981" s="378"/>
      <c r="M981" s="377"/>
      <c r="N981" s="377"/>
      <c r="O981" s="377"/>
      <c r="P981" s="364"/>
      <c r="Q981" s="360"/>
      <c r="R981" s="377"/>
      <c r="S981" s="377"/>
      <c r="T981" s="375"/>
      <c r="U981" s="375"/>
      <c r="V981" s="375"/>
      <c r="W981" s="375"/>
      <c r="X981" s="375"/>
      <c r="Y981" s="375"/>
      <c r="Z981" s="375"/>
      <c r="AA981" s="375"/>
      <c r="AB981" s="375"/>
      <c r="AC981" s="375"/>
      <c r="AD981" s="375"/>
      <c r="AE981" s="375"/>
      <c r="AF981" s="375"/>
    </row>
    <row r="982">
      <c r="A982" s="360"/>
      <c r="B982" s="360"/>
      <c r="C982" s="377"/>
      <c r="D982" s="377"/>
      <c r="E982" s="378"/>
      <c r="F982" s="377"/>
      <c r="G982" s="377"/>
      <c r="H982" s="378"/>
      <c r="I982" s="360"/>
      <c r="J982" s="377"/>
      <c r="K982" s="377"/>
      <c r="L982" s="378"/>
      <c r="M982" s="377"/>
      <c r="N982" s="377"/>
      <c r="O982" s="377"/>
      <c r="P982" s="364"/>
      <c r="Q982" s="360"/>
      <c r="R982" s="377"/>
      <c r="S982" s="377"/>
      <c r="T982" s="375"/>
      <c r="U982" s="375"/>
      <c r="V982" s="375"/>
      <c r="W982" s="375"/>
      <c r="X982" s="375"/>
      <c r="Y982" s="375"/>
      <c r="Z982" s="375"/>
      <c r="AA982" s="375"/>
      <c r="AB982" s="375"/>
      <c r="AC982" s="375"/>
      <c r="AD982" s="375"/>
      <c r="AE982" s="375"/>
      <c r="AF982" s="375"/>
    </row>
    <row r="983">
      <c r="A983" s="360"/>
      <c r="B983" s="360"/>
      <c r="C983" s="377"/>
      <c r="D983" s="377"/>
      <c r="E983" s="378"/>
      <c r="F983" s="377"/>
      <c r="G983" s="377"/>
      <c r="H983" s="378"/>
      <c r="I983" s="360"/>
      <c r="J983" s="377"/>
      <c r="K983" s="377"/>
      <c r="L983" s="378"/>
      <c r="M983" s="377"/>
      <c r="N983" s="377"/>
      <c r="O983" s="377"/>
      <c r="P983" s="364"/>
      <c r="Q983" s="360"/>
      <c r="R983" s="377"/>
      <c r="S983" s="377"/>
      <c r="T983" s="375"/>
      <c r="U983" s="375"/>
      <c r="V983" s="375"/>
      <c r="W983" s="375"/>
      <c r="X983" s="375"/>
      <c r="Y983" s="375"/>
      <c r="Z983" s="375"/>
      <c r="AA983" s="375"/>
      <c r="AB983" s="375"/>
      <c r="AC983" s="375"/>
      <c r="AD983" s="375"/>
      <c r="AE983" s="375"/>
      <c r="AF983" s="375"/>
    </row>
    <row r="984">
      <c r="A984" s="360"/>
      <c r="B984" s="360"/>
      <c r="C984" s="377"/>
      <c r="D984" s="377"/>
      <c r="E984" s="378"/>
      <c r="F984" s="377"/>
      <c r="G984" s="377"/>
      <c r="H984" s="378"/>
      <c r="I984" s="360"/>
      <c r="J984" s="377"/>
      <c r="K984" s="377"/>
      <c r="L984" s="378"/>
      <c r="M984" s="377"/>
      <c r="N984" s="377"/>
      <c r="O984" s="377"/>
      <c r="P984" s="364"/>
      <c r="Q984" s="360"/>
      <c r="R984" s="377"/>
      <c r="S984" s="377"/>
      <c r="T984" s="375"/>
      <c r="U984" s="375"/>
      <c r="V984" s="375"/>
      <c r="W984" s="375"/>
      <c r="X984" s="375"/>
      <c r="Y984" s="375"/>
      <c r="Z984" s="375"/>
      <c r="AA984" s="375"/>
      <c r="AB984" s="375"/>
      <c r="AC984" s="375"/>
      <c r="AD984" s="375"/>
      <c r="AE984" s="375"/>
      <c r="AF984" s="375"/>
    </row>
    <row r="985">
      <c r="A985" s="360"/>
      <c r="B985" s="360"/>
      <c r="C985" s="377"/>
      <c r="D985" s="377"/>
      <c r="E985" s="378"/>
      <c r="F985" s="377"/>
      <c r="G985" s="377"/>
      <c r="H985" s="378"/>
      <c r="I985" s="360"/>
      <c r="J985" s="377"/>
      <c r="K985" s="377"/>
      <c r="L985" s="378"/>
      <c r="M985" s="377"/>
      <c r="N985" s="377"/>
      <c r="O985" s="377"/>
      <c r="P985" s="364"/>
      <c r="Q985" s="360"/>
      <c r="R985" s="377"/>
      <c r="S985" s="377"/>
      <c r="T985" s="375"/>
      <c r="U985" s="375"/>
      <c r="V985" s="375"/>
      <c r="W985" s="375"/>
      <c r="X985" s="375"/>
      <c r="Y985" s="375"/>
      <c r="Z985" s="375"/>
      <c r="AA985" s="375"/>
      <c r="AB985" s="375"/>
      <c r="AC985" s="375"/>
      <c r="AD985" s="375"/>
      <c r="AE985" s="375"/>
      <c r="AF985" s="375"/>
    </row>
    <row r="986">
      <c r="A986" s="360"/>
      <c r="B986" s="360"/>
      <c r="C986" s="377"/>
      <c r="D986" s="377"/>
      <c r="E986" s="378"/>
      <c r="F986" s="377"/>
      <c r="G986" s="377"/>
      <c r="H986" s="378"/>
      <c r="I986" s="360"/>
      <c r="J986" s="377"/>
      <c r="K986" s="377"/>
      <c r="L986" s="378"/>
      <c r="M986" s="377"/>
      <c r="N986" s="377"/>
      <c r="O986" s="377"/>
      <c r="P986" s="364"/>
      <c r="Q986" s="360"/>
      <c r="R986" s="377"/>
      <c r="S986" s="377"/>
      <c r="T986" s="375"/>
      <c r="U986" s="375"/>
      <c r="V986" s="375"/>
      <c r="W986" s="375"/>
      <c r="X986" s="375"/>
      <c r="Y986" s="375"/>
      <c r="Z986" s="375"/>
      <c r="AA986" s="375"/>
      <c r="AB986" s="375"/>
      <c r="AC986" s="375"/>
      <c r="AD986" s="375"/>
      <c r="AE986" s="375"/>
      <c r="AF986" s="375"/>
    </row>
    <row r="987">
      <c r="A987" s="360"/>
      <c r="B987" s="360"/>
      <c r="C987" s="377"/>
      <c r="D987" s="377"/>
      <c r="E987" s="378"/>
      <c r="F987" s="377"/>
      <c r="G987" s="377"/>
      <c r="H987" s="378"/>
      <c r="I987" s="360"/>
      <c r="J987" s="377"/>
      <c r="K987" s="377"/>
      <c r="L987" s="378"/>
      <c r="M987" s="377"/>
      <c r="N987" s="377"/>
      <c r="O987" s="377"/>
      <c r="P987" s="364"/>
      <c r="Q987" s="360"/>
      <c r="R987" s="377"/>
      <c r="S987" s="377"/>
      <c r="T987" s="375"/>
      <c r="U987" s="375"/>
      <c r="V987" s="375"/>
      <c r="W987" s="375"/>
      <c r="X987" s="375"/>
      <c r="Y987" s="375"/>
      <c r="Z987" s="375"/>
      <c r="AA987" s="375"/>
      <c r="AB987" s="375"/>
      <c r="AC987" s="375"/>
      <c r="AD987" s="375"/>
      <c r="AE987" s="375"/>
      <c r="AF987" s="375"/>
    </row>
    <row r="988">
      <c r="A988" s="360"/>
      <c r="B988" s="360"/>
      <c r="C988" s="377"/>
      <c r="D988" s="377"/>
      <c r="E988" s="378"/>
      <c r="F988" s="377"/>
      <c r="G988" s="377"/>
      <c r="H988" s="378"/>
      <c r="I988" s="360"/>
      <c r="J988" s="377"/>
      <c r="K988" s="377"/>
      <c r="L988" s="378"/>
      <c r="M988" s="377"/>
      <c r="N988" s="377"/>
      <c r="O988" s="377"/>
      <c r="P988" s="364"/>
      <c r="Q988" s="360"/>
      <c r="R988" s="377"/>
      <c r="S988" s="377"/>
      <c r="T988" s="375"/>
      <c r="U988" s="375"/>
      <c r="V988" s="375"/>
      <c r="W988" s="375"/>
      <c r="X988" s="375"/>
      <c r="Y988" s="375"/>
      <c r="Z988" s="375"/>
      <c r="AA988" s="375"/>
      <c r="AB988" s="375"/>
      <c r="AC988" s="375"/>
      <c r="AD988" s="375"/>
      <c r="AE988" s="375"/>
      <c r="AF988" s="375"/>
    </row>
    <row r="989">
      <c r="A989" s="360"/>
      <c r="B989" s="360"/>
      <c r="C989" s="377"/>
      <c r="D989" s="377"/>
      <c r="E989" s="378"/>
      <c r="F989" s="377"/>
      <c r="G989" s="377"/>
      <c r="H989" s="378"/>
      <c r="I989" s="360"/>
      <c r="J989" s="377"/>
      <c r="K989" s="377"/>
      <c r="L989" s="378"/>
      <c r="M989" s="377"/>
      <c r="N989" s="377"/>
      <c r="O989" s="377"/>
      <c r="P989" s="364"/>
      <c r="Q989" s="360"/>
      <c r="R989" s="377"/>
      <c r="S989" s="377"/>
      <c r="T989" s="375"/>
      <c r="U989" s="375"/>
      <c r="V989" s="375"/>
      <c r="W989" s="375"/>
      <c r="X989" s="375"/>
      <c r="Y989" s="375"/>
      <c r="Z989" s="375"/>
      <c r="AA989" s="375"/>
      <c r="AB989" s="375"/>
      <c r="AC989" s="375"/>
      <c r="AD989" s="375"/>
      <c r="AE989" s="375"/>
      <c r="AF989" s="375"/>
    </row>
    <row r="990">
      <c r="A990" s="360"/>
      <c r="B990" s="360"/>
      <c r="C990" s="377"/>
      <c r="D990" s="377"/>
      <c r="E990" s="378"/>
      <c r="F990" s="377"/>
      <c r="G990" s="377"/>
      <c r="H990" s="378"/>
      <c r="I990" s="360"/>
      <c r="J990" s="377"/>
      <c r="K990" s="377"/>
      <c r="L990" s="378"/>
      <c r="M990" s="377"/>
      <c r="N990" s="377"/>
      <c r="O990" s="377"/>
      <c r="P990" s="364"/>
      <c r="Q990" s="360"/>
      <c r="R990" s="377"/>
      <c r="S990" s="377"/>
      <c r="T990" s="375"/>
      <c r="U990" s="375"/>
      <c r="V990" s="375"/>
      <c r="W990" s="375"/>
      <c r="X990" s="375"/>
      <c r="Y990" s="375"/>
      <c r="Z990" s="375"/>
      <c r="AA990" s="375"/>
      <c r="AB990" s="375"/>
      <c r="AC990" s="375"/>
      <c r="AD990" s="375"/>
      <c r="AE990" s="375"/>
      <c r="AF990" s="375"/>
    </row>
    <row r="991">
      <c r="A991" s="360"/>
      <c r="B991" s="360"/>
      <c r="C991" s="377"/>
      <c r="D991" s="377"/>
      <c r="E991" s="378"/>
      <c r="F991" s="377"/>
      <c r="G991" s="377"/>
      <c r="H991" s="378"/>
      <c r="I991" s="360"/>
      <c r="J991" s="377"/>
      <c r="K991" s="377"/>
      <c r="L991" s="378"/>
      <c r="M991" s="377"/>
      <c r="N991" s="377"/>
      <c r="O991" s="377"/>
      <c r="P991" s="364"/>
      <c r="Q991" s="360"/>
      <c r="R991" s="377"/>
      <c r="S991" s="377"/>
      <c r="T991" s="375"/>
      <c r="U991" s="375"/>
      <c r="V991" s="375"/>
      <c r="W991" s="375"/>
      <c r="X991" s="375"/>
      <c r="Y991" s="375"/>
      <c r="Z991" s="375"/>
      <c r="AA991" s="375"/>
      <c r="AB991" s="375"/>
      <c r="AC991" s="375"/>
      <c r="AD991" s="375"/>
      <c r="AE991" s="375"/>
      <c r="AF991" s="375"/>
    </row>
    <row r="992">
      <c r="A992" s="360"/>
      <c r="B992" s="360"/>
      <c r="C992" s="377"/>
      <c r="D992" s="377"/>
      <c r="E992" s="378"/>
      <c r="F992" s="377"/>
      <c r="G992" s="377"/>
      <c r="H992" s="378"/>
      <c r="I992" s="360"/>
      <c r="J992" s="377"/>
      <c r="K992" s="377"/>
      <c r="L992" s="378"/>
      <c r="M992" s="377"/>
      <c r="N992" s="377"/>
      <c r="O992" s="377"/>
      <c r="P992" s="364"/>
      <c r="Q992" s="360"/>
      <c r="R992" s="377"/>
      <c r="S992" s="377"/>
      <c r="T992" s="375"/>
      <c r="U992" s="375"/>
      <c r="V992" s="375"/>
      <c r="W992" s="375"/>
      <c r="X992" s="375"/>
      <c r="Y992" s="375"/>
      <c r="Z992" s="375"/>
      <c r="AA992" s="375"/>
      <c r="AB992" s="375"/>
      <c r="AC992" s="375"/>
      <c r="AD992" s="375"/>
      <c r="AE992" s="375"/>
      <c r="AF992" s="375"/>
    </row>
    <row r="993">
      <c r="A993" s="360"/>
      <c r="B993" s="360"/>
      <c r="C993" s="377"/>
      <c r="D993" s="377"/>
      <c r="E993" s="378"/>
      <c r="F993" s="377"/>
      <c r="G993" s="377"/>
      <c r="H993" s="378"/>
      <c r="I993" s="360"/>
      <c r="J993" s="377"/>
      <c r="K993" s="377"/>
      <c r="L993" s="378"/>
      <c r="M993" s="377"/>
      <c r="N993" s="377"/>
      <c r="O993" s="377"/>
      <c r="P993" s="364"/>
      <c r="Q993" s="360"/>
      <c r="R993" s="377"/>
      <c r="S993" s="377"/>
      <c r="T993" s="375"/>
      <c r="U993" s="375"/>
      <c r="V993" s="375"/>
      <c r="W993" s="375"/>
      <c r="X993" s="375"/>
      <c r="Y993" s="375"/>
      <c r="Z993" s="375"/>
      <c r="AA993" s="375"/>
      <c r="AB993" s="375"/>
      <c r="AC993" s="375"/>
      <c r="AD993" s="375"/>
      <c r="AE993" s="375"/>
      <c r="AF993" s="375"/>
    </row>
    <row r="994">
      <c r="A994" s="360"/>
      <c r="B994" s="360"/>
      <c r="C994" s="377"/>
      <c r="D994" s="377"/>
      <c r="E994" s="378"/>
      <c r="F994" s="377"/>
      <c r="G994" s="377"/>
      <c r="H994" s="378"/>
      <c r="I994" s="360"/>
      <c r="J994" s="377"/>
      <c r="K994" s="377"/>
      <c r="L994" s="378"/>
      <c r="M994" s="377"/>
      <c r="N994" s="377"/>
      <c r="O994" s="377"/>
      <c r="P994" s="364"/>
      <c r="Q994" s="360"/>
      <c r="R994" s="377"/>
      <c r="S994" s="377"/>
      <c r="T994" s="375"/>
      <c r="U994" s="375"/>
      <c r="V994" s="375"/>
      <c r="W994" s="375"/>
      <c r="X994" s="375"/>
      <c r="Y994" s="375"/>
      <c r="Z994" s="375"/>
      <c r="AA994" s="375"/>
      <c r="AB994" s="375"/>
      <c r="AC994" s="375"/>
      <c r="AD994" s="375"/>
      <c r="AE994" s="375"/>
      <c r="AF994" s="375"/>
    </row>
    <row r="995">
      <c r="A995" s="360"/>
      <c r="B995" s="360"/>
      <c r="C995" s="377"/>
      <c r="D995" s="377"/>
      <c r="E995" s="378"/>
      <c r="F995" s="377"/>
      <c r="G995" s="377"/>
      <c r="H995" s="378"/>
      <c r="I995" s="360"/>
      <c r="J995" s="377"/>
      <c r="K995" s="377"/>
      <c r="L995" s="378"/>
      <c r="M995" s="377"/>
      <c r="N995" s="377"/>
      <c r="O995" s="377"/>
      <c r="P995" s="364"/>
      <c r="Q995" s="360"/>
      <c r="R995" s="377"/>
      <c r="S995" s="377"/>
      <c r="T995" s="375"/>
      <c r="U995" s="375"/>
      <c r="V995" s="375"/>
      <c r="W995" s="375"/>
      <c r="X995" s="375"/>
      <c r="Y995" s="375"/>
      <c r="Z995" s="375"/>
      <c r="AA995" s="375"/>
      <c r="AB995" s="375"/>
      <c r="AC995" s="375"/>
      <c r="AD995" s="375"/>
      <c r="AE995" s="375"/>
      <c r="AF995" s="375"/>
    </row>
    <row r="996">
      <c r="A996" s="360"/>
      <c r="B996" s="360"/>
      <c r="C996" s="377"/>
      <c r="D996" s="377"/>
      <c r="E996" s="378"/>
      <c r="F996" s="377"/>
      <c r="G996" s="377"/>
      <c r="H996" s="378"/>
      <c r="I996" s="360"/>
      <c r="J996" s="377"/>
      <c r="K996" s="377"/>
      <c r="L996" s="378"/>
      <c r="M996" s="377"/>
      <c r="N996" s="377"/>
      <c r="O996" s="377"/>
      <c r="P996" s="364"/>
      <c r="Q996" s="360"/>
      <c r="R996" s="377"/>
      <c r="S996" s="377"/>
      <c r="T996" s="375"/>
      <c r="U996" s="375"/>
      <c r="V996" s="375"/>
      <c r="W996" s="375"/>
      <c r="X996" s="375"/>
      <c r="Y996" s="375"/>
      <c r="Z996" s="375"/>
      <c r="AA996" s="375"/>
      <c r="AB996" s="375"/>
      <c r="AC996" s="375"/>
      <c r="AD996" s="375"/>
      <c r="AE996" s="375"/>
      <c r="AF996" s="375"/>
    </row>
    <row r="997">
      <c r="A997" s="360"/>
      <c r="B997" s="360"/>
      <c r="C997" s="377"/>
      <c r="D997" s="377"/>
      <c r="E997" s="378"/>
      <c r="F997" s="377"/>
      <c r="G997" s="377"/>
      <c r="H997" s="378"/>
      <c r="I997" s="360"/>
      <c r="J997" s="377"/>
      <c r="K997" s="377"/>
      <c r="L997" s="378"/>
      <c r="M997" s="377"/>
      <c r="N997" s="377"/>
      <c r="O997" s="377"/>
      <c r="P997" s="364"/>
      <c r="Q997" s="360"/>
      <c r="R997" s="377"/>
      <c r="S997" s="377"/>
      <c r="T997" s="375"/>
      <c r="U997" s="375"/>
      <c r="V997" s="375"/>
      <c r="W997" s="375"/>
      <c r="X997" s="375"/>
      <c r="Y997" s="375"/>
      <c r="Z997" s="375"/>
      <c r="AA997" s="375"/>
      <c r="AB997" s="375"/>
      <c r="AC997" s="375"/>
      <c r="AD997" s="375"/>
      <c r="AE997" s="375"/>
      <c r="AF997" s="375"/>
    </row>
    <row r="998">
      <c r="A998" s="360"/>
      <c r="B998" s="360"/>
      <c r="C998" s="377"/>
      <c r="D998" s="377"/>
      <c r="E998" s="378"/>
      <c r="F998" s="377"/>
      <c r="G998" s="377"/>
      <c r="H998" s="378"/>
      <c r="I998" s="360"/>
      <c r="J998" s="377"/>
      <c r="K998" s="377"/>
      <c r="L998" s="378"/>
      <c r="M998" s="377"/>
      <c r="N998" s="377"/>
      <c r="O998" s="377"/>
      <c r="P998" s="364"/>
      <c r="Q998" s="360"/>
      <c r="R998" s="377"/>
      <c r="S998" s="377"/>
      <c r="T998" s="375"/>
      <c r="U998" s="375"/>
      <c r="V998" s="375"/>
      <c r="W998" s="375"/>
      <c r="X998" s="375"/>
      <c r="Y998" s="375"/>
      <c r="Z998" s="375"/>
      <c r="AA998" s="375"/>
      <c r="AB998" s="375"/>
      <c r="AC998" s="375"/>
      <c r="AD998" s="375"/>
      <c r="AE998" s="375"/>
      <c r="AF998" s="375"/>
    </row>
    <row r="999">
      <c r="A999" s="360"/>
      <c r="B999" s="360"/>
      <c r="C999" s="377"/>
      <c r="D999" s="377"/>
      <c r="E999" s="378"/>
      <c r="F999" s="377"/>
      <c r="G999" s="377"/>
      <c r="H999" s="378"/>
      <c r="I999" s="360"/>
      <c r="J999" s="377"/>
      <c r="K999" s="377"/>
      <c r="L999" s="378"/>
      <c r="M999" s="377"/>
      <c r="N999" s="377"/>
      <c r="O999" s="377"/>
      <c r="P999" s="364"/>
      <c r="Q999" s="360"/>
      <c r="R999" s="377"/>
      <c r="S999" s="377"/>
      <c r="T999" s="375"/>
      <c r="U999" s="375"/>
      <c r="V999" s="375"/>
      <c r="W999" s="375"/>
      <c r="X999" s="375"/>
      <c r="Y999" s="375"/>
      <c r="Z999" s="375"/>
      <c r="AA999" s="375"/>
      <c r="AB999" s="375"/>
      <c r="AC999" s="375"/>
      <c r="AD999" s="375"/>
      <c r="AE999" s="375"/>
      <c r="AF999" s="375"/>
    </row>
    <row r="1000">
      <c r="A1000" s="360"/>
      <c r="B1000" s="360"/>
      <c r="C1000" s="377"/>
      <c r="D1000" s="377"/>
      <c r="E1000" s="378"/>
      <c r="F1000" s="377"/>
      <c r="G1000" s="377"/>
      <c r="H1000" s="378"/>
      <c r="I1000" s="360"/>
      <c r="J1000" s="377"/>
      <c r="K1000" s="377"/>
      <c r="L1000" s="378"/>
      <c r="M1000" s="377"/>
      <c r="N1000" s="377"/>
      <c r="O1000" s="377"/>
      <c r="P1000" s="364"/>
      <c r="Q1000" s="360"/>
      <c r="R1000" s="377"/>
      <c r="S1000" s="377"/>
      <c r="T1000" s="375"/>
      <c r="U1000" s="375"/>
      <c r="V1000" s="375"/>
      <c r="W1000" s="375"/>
      <c r="X1000" s="375"/>
      <c r="Y1000" s="375"/>
      <c r="Z1000" s="375"/>
      <c r="AA1000" s="375"/>
      <c r="AB1000" s="375"/>
      <c r="AC1000" s="375"/>
      <c r="AD1000" s="375"/>
      <c r="AE1000" s="375"/>
      <c r="AF1000" s="375"/>
    </row>
    <row r="1001">
      <c r="A1001" s="360"/>
      <c r="B1001" s="360"/>
      <c r="C1001" s="377"/>
      <c r="D1001" s="377"/>
      <c r="E1001" s="378"/>
      <c r="F1001" s="377"/>
      <c r="G1001" s="377"/>
      <c r="H1001" s="378"/>
      <c r="I1001" s="360"/>
      <c r="J1001" s="377"/>
      <c r="K1001" s="377"/>
      <c r="L1001" s="378"/>
      <c r="M1001" s="377"/>
      <c r="N1001" s="377"/>
      <c r="O1001" s="377"/>
      <c r="P1001" s="364"/>
      <c r="Q1001" s="360"/>
      <c r="R1001" s="377"/>
      <c r="S1001" s="377"/>
      <c r="T1001" s="375"/>
      <c r="U1001" s="375"/>
      <c r="V1001" s="375"/>
      <c r="W1001" s="375"/>
      <c r="X1001" s="375"/>
      <c r="Y1001" s="375"/>
      <c r="Z1001" s="375"/>
      <c r="AA1001" s="375"/>
      <c r="AB1001" s="375"/>
      <c r="AC1001" s="375"/>
      <c r="AD1001" s="375"/>
      <c r="AE1001" s="375"/>
      <c r="AF1001" s="375"/>
    </row>
    <row r="1002">
      <c r="A1002" s="360"/>
      <c r="B1002" s="360"/>
      <c r="C1002" s="377"/>
      <c r="D1002" s="377"/>
      <c r="E1002" s="378"/>
      <c r="F1002" s="377"/>
      <c r="G1002" s="377"/>
      <c r="H1002" s="378"/>
      <c r="I1002" s="360"/>
      <c r="J1002" s="377"/>
      <c r="K1002" s="377"/>
      <c r="L1002" s="378"/>
      <c r="M1002" s="377"/>
      <c r="N1002" s="377"/>
      <c r="O1002" s="377"/>
      <c r="P1002" s="364"/>
      <c r="Q1002" s="360"/>
      <c r="R1002" s="377"/>
      <c r="S1002" s="377"/>
      <c r="T1002" s="375"/>
      <c r="U1002" s="375"/>
      <c r="V1002" s="375"/>
      <c r="W1002" s="375"/>
      <c r="X1002" s="375"/>
      <c r="Y1002" s="375"/>
      <c r="Z1002" s="375"/>
      <c r="AA1002" s="375"/>
      <c r="AB1002" s="375"/>
      <c r="AC1002" s="375"/>
      <c r="AD1002" s="375"/>
      <c r="AE1002" s="375"/>
      <c r="AF1002" s="375"/>
    </row>
  </sheetData>
  <dataValidations>
    <dataValidation type="list" allowBlank="1" showErrorMessage="1" sqref="A2:A1002 Q2:Q1002">
      <formula1>Dropdown!$K$2:$K1002</formula1>
    </dataValidation>
    <dataValidation type="list" allowBlank="1" showErrorMessage="1" sqref="B2:B1002">
      <formula1>Dropdown!$L$2:$L1002</formula1>
    </dataValidation>
    <dataValidation type="list" allowBlank="1" showErrorMessage="1" sqref="P2:P1002">
      <formula1>Dropdown!$I$2:$I1002</formula1>
    </dataValidation>
    <dataValidation type="list" allowBlank="1" showErrorMessage="1" sqref="I2:I1002">
      <formula1>Dropdown!$J$2:$J1002</formula1>
    </dataValidation>
  </dataValidations>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6.13"/>
    <col customWidth="1" min="3" max="3" width="32.13"/>
    <col customWidth="1" min="4" max="4" width="8.13"/>
    <col customWidth="1" min="5" max="5" width="11.25"/>
    <col customWidth="1" min="6" max="6" width="10.13"/>
    <col customWidth="1" min="7" max="7" width="10.25"/>
    <col customWidth="1" min="9" max="9" width="13.88"/>
    <col customWidth="1" min="14" max="14" width="36.38"/>
    <col customWidth="1" min="15" max="16" width="24.38"/>
    <col customWidth="1" min="17" max="17" width="25.25"/>
    <col customWidth="1" min="18" max="18" width="45.63"/>
    <col customWidth="1" min="20" max="20" width="34.63"/>
  </cols>
  <sheetData>
    <row r="1">
      <c r="A1" s="1" t="s">
        <v>0</v>
      </c>
      <c r="B1" s="1" t="s">
        <v>1</v>
      </c>
      <c r="C1" s="379" t="s">
        <v>2</v>
      </c>
      <c r="D1" s="1" t="s">
        <v>3</v>
      </c>
      <c r="E1" s="1" t="s">
        <v>4</v>
      </c>
      <c r="F1" s="1" t="s">
        <v>5</v>
      </c>
      <c r="G1" s="1" t="s">
        <v>6</v>
      </c>
      <c r="H1" s="1" t="s">
        <v>7</v>
      </c>
      <c r="I1" s="1" t="s">
        <v>8</v>
      </c>
      <c r="J1" s="1" t="s">
        <v>9</v>
      </c>
      <c r="K1" s="1" t="s">
        <v>10</v>
      </c>
      <c r="L1" s="4" t="s">
        <v>1750</v>
      </c>
      <c r="M1" s="1" t="s">
        <v>12</v>
      </c>
      <c r="N1" s="4" t="s">
        <v>13</v>
      </c>
      <c r="O1" s="4" t="s">
        <v>14</v>
      </c>
      <c r="P1" s="1" t="s">
        <v>15</v>
      </c>
      <c r="Q1" s="1" t="s">
        <v>16</v>
      </c>
      <c r="R1" s="1" t="s">
        <v>17</v>
      </c>
      <c r="S1" s="4" t="s">
        <v>18</v>
      </c>
      <c r="T1" s="4" t="s">
        <v>1751</v>
      </c>
      <c r="U1" s="5"/>
      <c r="V1" s="5"/>
      <c r="W1" s="5"/>
      <c r="X1" s="5"/>
      <c r="Y1" s="5"/>
      <c r="Z1" s="5"/>
      <c r="AA1" s="5"/>
      <c r="AB1" s="5"/>
      <c r="AC1" s="5"/>
    </row>
    <row r="2">
      <c r="A2" s="61" t="s">
        <v>139</v>
      </c>
      <c r="B2" s="43" t="s">
        <v>140</v>
      </c>
      <c r="C2" s="36" t="s">
        <v>1752</v>
      </c>
      <c r="D2" s="86" t="s">
        <v>24</v>
      </c>
      <c r="E2" s="45" t="s">
        <v>33</v>
      </c>
      <c r="F2" s="11">
        <v>46105.0</v>
      </c>
      <c r="G2" s="11">
        <v>46105.0</v>
      </c>
      <c r="H2" s="11">
        <v>46105.0</v>
      </c>
      <c r="I2" s="12" t="s">
        <v>161</v>
      </c>
      <c r="J2" s="73"/>
      <c r="K2" s="86" t="str">
        <f>IF(
  COUNTIFS('Internal Tracker Sub 2026'!$A$2:$A$5050, TRIM($B2&amp;""), 'Internal Tracker Sub 2026'!$B$2:$B$5050, TRIM($C2&amp;""))=0,
  "No Subtasks",
  IF(
    SUMPRODUCT(
      --(TRIM('Internal Tracker Sub 2026'!$A$2:$A$5050&amp;"")=TRIM($B2&amp;"")),
      --(TRIM('Internal Tracker Sub 2026'!$B$2:$B$5050&amp;"")=TRIM($C2&amp;"")),
      --(LEN(TRIM('Internal Tracker Sub 2026'!$L$2:$L$5050&amp;""))=0)
    )&gt;0,
    "⚠ Missing Effort",
    SUMIFS(
      'Internal Tracker Sub 2026'!$L$2:$L$5050,
      'Internal Tracker Sub 2026'!$A$2:$A$5050, TRIM($B2&amp;""),
      'Internal Tracker Sub 2026'!$B$2:$B$5050, TRIM($C2&amp;"")
    )
  )
)</f>
        <v>No Subtasks</v>
      </c>
      <c r="L2" s="35"/>
      <c r="M2" s="35"/>
      <c r="N2" s="36" t="s">
        <v>1753</v>
      </c>
      <c r="O2" s="35"/>
      <c r="P2" s="35"/>
      <c r="Q2" s="380"/>
      <c r="R2" s="36"/>
      <c r="S2" s="35"/>
      <c r="T2" s="99"/>
      <c r="U2" s="381"/>
      <c r="V2" s="381"/>
      <c r="W2" s="381"/>
      <c r="X2" s="381"/>
      <c r="Y2" s="381"/>
      <c r="Z2" s="381"/>
      <c r="AA2" s="381"/>
      <c r="AB2" s="381"/>
      <c r="AC2" s="381"/>
    </row>
    <row r="3">
      <c r="A3" s="46" t="s">
        <v>139</v>
      </c>
      <c r="B3" s="119"/>
      <c r="C3" s="32" t="s">
        <v>1754</v>
      </c>
      <c r="D3" s="80" t="s">
        <v>24</v>
      </c>
      <c r="E3" s="40" t="s">
        <v>33</v>
      </c>
      <c r="F3" s="65"/>
      <c r="G3" s="26"/>
      <c r="H3" s="31"/>
      <c r="I3" s="28" t="s">
        <v>161</v>
      </c>
      <c r="J3" s="49"/>
      <c r="K3" s="80" t="str">
        <f>IF(
  COUNTIFS('Internal Tracker Sub 2026'!$A$2:$A$5050, TRIM($B3&amp;""), 'Internal Tracker Sub 2026'!$B$2:$B$5050, TRIM($C3&amp;""))=0,
  "No Subtasks",
  IF(
    SUMPRODUCT(
      --(TRIM('Internal Tracker Sub 2026'!$A$2:$A$5050&amp;"")=TRIM($B3&amp;"")),
      --(TRIM('Internal Tracker Sub 2026'!$B$2:$B$5050&amp;"")=TRIM($C3&amp;"")),
      --(LEN(TRIM('Internal Tracker Sub 2026'!$L$2:$L$5050&amp;""))=0)
    )&gt;0,
    "⚠ Missing Effort",
    SUMIFS(
      'Internal Tracker Sub 2026'!$L$2:$L$5050,
      'Internal Tracker Sub 2026'!$A$2:$A$5050, TRIM($B3&amp;""),
      'Internal Tracker Sub 2026'!$B$2:$B$5050, TRIM($C3&amp;"")
    )
  )
)</f>
        <v>No Subtasks</v>
      </c>
      <c r="L3" s="31"/>
      <c r="M3" s="31"/>
      <c r="N3" s="32" t="s">
        <v>1755</v>
      </c>
      <c r="O3" s="31"/>
      <c r="P3" s="31"/>
      <c r="Q3" s="31"/>
      <c r="R3" s="31"/>
      <c r="S3" s="31"/>
      <c r="T3" s="109"/>
      <c r="U3" s="18"/>
      <c r="V3" s="18"/>
      <c r="W3" s="18"/>
      <c r="X3" s="18"/>
      <c r="Y3" s="18"/>
      <c r="Z3" s="18"/>
      <c r="AA3" s="18"/>
      <c r="AB3" s="18"/>
      <c r="AC3" s="18"/>
    </row>
    <row r="4">
      <c r="A4" s="61" t="s">
        <v>139</v>
      </c>
      <c r="B4" s="43" t="s">
        <v>140</v>
      </c>
      <c r="C4" s="36" t="s">
        <v>1756</v>
      </c>
      <c r="D4" s="86" t="s">
        <v>24</v>
      </c>
      <c r="E4" s="45" t="s">
        <v>33</v>
      </c>
      <c r="F4" s="11">
        <v>46100.0</v>
      </c>
      <c r="G4" s="11">
        <v>46113.0</v>
      </c>
      <c r="H4" s="35"/>
      <c r="I4" s="13" t="s">
        <v>161</v>
      </c>
      <c r="J4" s="382"/>
      <c r="K4" s="86" t="str">
        <f>IF(
  COUNTIFS('Internal Tracker Sub 2026'!$A$2:$A$5050, TRIM($B4&amp;""), 'Internal Tracker Sub 2026'!$B$2:$B$5050, TRIM($C4&amp;""))=0,
  "No Subtasks",
  IF(
    SUMPRODUCT(
      --(TRIM('Internal Tracker Sub 2026'!$A$2:$A$5050&amp;"")=TRIM($B4&amp;"")),
      --(TRIM('Internal Tracker Sub 2026'!$B$2:$B$5050&amp;"")=TRIM($C4&amp;"")),
      --(LEN(TRIM('Internal Tracker Sub 2026'!$L$2:$L$5050&amp;""))=0)
    )&gt;0,
    "⚠ Missing Effort",
    SUMIFS(
      'Internal Tracker Sub 2026'!$L$2:$L$5050,
      'Internal Tracker Sub 2026'!$A$2:$A$5050, TRIM($B4&amp;""),
      'Internal Tracker Sub 2026'!$B$2:$B$5050, TRIM($C4&amp;"")
    )
  )
)</f>
        <v>No Subtasks</v>
      </c>
      <c r="L4" s="35"/>
      <c r="M4" s="35"/>
      <c r="N4" s="36"/>
      <c r="O4" s="35"/>
      <c r="P4" s="35"/>
      <c r="Q4" s="35"/>
      <c r="R4" s="15"/>
      <c r="S4" s="45"/>
      <c r="T4" s="95"/>
      <c r="U4" s="381"/>
      <c r="V4" s="381"/>
      <c r="W4" s="381"/>
      <c r="X4" s="381"/>
      <c r="Y4" s="381"/>
      <c r="Z4" s="381"/>
      <c r="AA4" s="381"/>
      <c r="AB4" s="381"/>
      <c r="AC4" s="381"/>
    </row>
    <row r="5">
      <c r="A5" s="46" t="s">
        <v>139</v>
      </c>
      <c r="B5" s="47" t="s">
        <v>140</v>
      </c>
      <c r="C5" s="32" t="s">
        <v>1757</v>
      </c>
      <c r="D5" s="80" t="s">
        <v>24</v>
      </c>
      <c r="E5" s="40" t="s">
        <v>33</v>
      </c>
      <c r="F5" s="65"/>
      <c r="G5" s="26">
        <v>46099.0</v>
      </c>
      <c r="H5" s="31"/>
      <c r="I5" s="28" t="s">
        <v>161</v>
      </c>
      <c r="J5" s="30"/>
      <c r="K5" s="80" t="str">
        <f>IF(
  COUNTIFS('Internal Tracker Sub 2026'!$A$2:$A$5050, TRIM($B5&amp;""), 'Internal Tracker Sub 2026'!$B$2:$B$5050, TRIM($C5&amp;""))=0,
  "No Subtasks",
  IF(
    SUMPRODUCT(
      --(TRIM('Internal Tracker Sub 2026'!$A$2:$A$5050&amp;"")=TRIM($B5&amp;"")),
      --(TRIM('Internal Tracker Sub 2026'!$B$2:$B$5050&amp;"")=TRIM($C5&amp;"")),
      --(LEN(TRIM('Internal Tracker Sub 2026'!$L$2:$L$5050&amp;""))=0)
    )&gt;0,
    "⚠ Missing Effort",
    SUMIFS(
      'Internal Tracker Sub 2026'!$L$2:$L$5050,
      'Internal Tracker Sub 2026'!$A$2:$A$5050, TRIM($B5&amp;""),
      'Internal Tracker Sub 2026'!$B$2:$B$5050, TRIM($C5&amp;"")
    )
  )
)</f>
        <v>No Subtasks</v>
      </c>
      <c r="L5" s="31"/>
      <c r="M5" s="31"/>
      <c r="N5" s="32" t="s">
        <v>1758</v>
      </c>
      <c r="O5" s="31"/>
      <c r="P5" s="31"/>
      <c r="Q5" s="31"/>
      <c r="R5" s="383" t="s">
        <v>1759</v>
      </c>
      <c r="S5" s="384"/>
      <c r="T5" s="385"/>
      <c r="U5" s="381"/>
      <c r="V5" s="381"/>
      <c r="W5" s="381"/>
      <c r="X5" s="381"/>
      <c r="Y5" s="381"/>
      <c r="Z5" s="381"/>
      <c r="AA5" s="381"/>
      <c r="AB5" s="381"/>
      <c r="AC5" s="381"/>
    </row>
    <row r="6">
      <c r="A6" s="61" t="s">
        <v>139</v>
      </c>
      <c r="B6" s="43" t="s">
        <v>140</v>
      </c>
      <c r="C6" s="36" t="s">
        <v>1760</v>
      </c>
      <c r="D6" s="86" t="s">
        <v>24</v>
      </c>
      <c r="E6" s="45" t="s">
        <v>33</v>
      </c>
      <c r="F6" s="72"/>
      <c r="G6" s="11">
        <v>46099.0</v>
      </c>
      <c r="H6" s="35"/>
      <c r="I6" s="13" t="s">
        <v>39</v>
      </c>
      <c r="J6" s="382"/>
      <c r="K6" s="86" t="str">
        <f>IF(
  COUNTIFS('Internal Tracker Sub 2026'!$A$2:$A$5050, TRIM($B6&amp;""), 'Internal Tracker Sub 2026'!$B$2:$B$5050, TRIM($C6&amp;""))=0,
  "No Subtasks",
  IF(
    SUMPRODUCT(
      --(TRIM('Internal Tracker Sub 2026'!$A$2:$A$5050&amp;"")=TRIM($B6&amp;"")),
      --(TRIM('Internal Tracker Sub 2026'!$B$2:$B$5050&amp;"")=TRIM($C6&amp;"")),
      --(LEN(TRIM('Internal Tracker Sub 2026'!$L$2:$L$5050&amp;""))=0)
    )&gt;0,
    "⚠ Missing Effort",
    SUMIFS(
      'Internal Tracker Sub 2026'!$L$2:$L$5050,
      'Internal Tracker Sub 2026'!$A$2:$A$5050, TRIM($B6&amp;""),
      'Internal Tracker Sub 2026'!$B$2:$B$5050, TRIM($C6&amp;"")
    )
  )
)</f>
        <v>No Subtasks</v>
      </c>
      <c r="L6" s="35"/>
      <c r="M6" s="35"/>
      <c r="N6" s="36" t="s">
        <v>1761</v>
      </c>
      <c r="O6" s="35"/>
      <c r="P6" s="386"/>
      <c r="Q6" s="35"/>
      <c r="R6" s="383" t="s">
        <v>1762</v>
      </c>
      <c r="S6" s="35"/>
      <c r="T6" s="377"/>
      <c r="U6" s="381"/>
      <c r="V6" s="381"/>
      <c r="W6" s="381"/>
      <c r="X6" s="381"/>
      <c r="Y6" s="381"/>
      <c r="Z6" s="381"/>
      <c r="AA6" s="381"/>
      <c r="AB6" s="381"/>
      <c r="AC6" s="381"/>
    </row>
    <row r="7">
      <c r="A7" s="46" t="s">
        <v>139</v>
      </c>
      <c r="B7" s="47" t="s">
        <v>140</v>
      </c>
      <c r="C7" s="41" t="s">
        <v>1763</v>
      </c>
      <c r="D7" s="28" t="s">
        <v>24</v>
      </c>
      <c r="E7" s="40" t="s">
        <v>33</v>
      </c>
      <c r="F7" s="26">
        <v>46028.0</v>
      </c>
      <c r="G7" s="26"/>
      <c r="H7" s="31"/>
      <c r="I7" s="28" t="s">
        <v>39</v>
      </c>
      <c r="J7" s="49"/>
      <c r="K7" s="80" t="str">
        <f>IF(
  COUNTIFS('Internal Tracker Sub 2026'!$A$2:$A$5050, TRIM($B7&amp;""), 'Internal Tracker Sub 2026'!$B$2:$B$5050, TRIM($C7&amp;""))=0,
  "No Subtasks",
  IF(
    SUMPRODUCT(
      --(TRIM('Internal Tracker Sub 2026'!$A$2:$A$5050&amp;"")=TRIM($B7&amp;"")),
      --(TRIM('Internal Tracker Sub 2026'!$B$2:$B$5050&amp;"")=TRIM($C7&amp;"")),
      --(LEN(TRIM('Internal Tracker Sub 2026'!$L$2:$L$5050&amp;""))=0)
    )&gt;0,
    "⚠ Missing Effort",
    SUMIFS(
      'Internal Tracker Sub 2026'!$L$2:$L$5050,
      'Internal Tracker Sub 2026'!$A$2:$A$5050, TRIM($B7&amp;""),
      'Internal Tracker Sub 2026'!$B$2:$B$5050, TRIM($C7&amp;"")
    )
  )
)</f>
        <v>No Subtasks</v>
      </c>
      <c r="L7" s="31"/>
      <c r="M7" s="31"/>
      <c r="N7" s="32"/>
      <c r="O7" s="31"/>
      <c r="P7" s="31"/>
      <c r="Q7" s="32"/>
      <c r="R7" s="173" t="s">
        <v>1764</v>
      </c>
      <c r="S7" s="31"/>
      <c r="T7" s="109"/>
      <c r="U7" s="381"/>
      <c r="V7" s="381"/>
      <c r="W7" s="381"/>
      <c r="X7" s="381"/>
      <c r="Y7" s="381"/>
      <c r="Z7" s="381"/>
      <c r="AA7" s="381"/>
      <c r="AB7" s="381"/>
      <c r="AC7" s="381"/>
    </row>
    <row r="8">
      <c r="A8" s="61" t="s">
        <v>139</v>
      </c>
      <c r="B8" s="43" t="s">
        <v>140</v>
      </c>
      <c r="C8" s="36" t="s">
        <v>1765</v>
      </c>
      <c r="D8" s="86" t="s">
        <v>24</v>
      </c>
      <c r="E8" s="45" t="s">
        <v>400</v>
      </c>
      <c r="F8" s="11"/>
      <c r="G8" s="11"/>
      <c r="H8" s="11"/>
      <c r="I8" s="13" t="s">
        <v>39</v>
      </c>
      <c r="J8" s="15"/>
      <c r="K8" s="86" t="str">
        <f>IF(
  COUNTIFS('Internal Tracker Sub 2026'!$A$2:$A$5050, TRIM($B8&amp;""), 'Internal Tracker Sub 2026'!$B$2:$B$5050, TRIM($C8&amp;""))=0,
  "No Subtasks",
  IF(
    SUMPRODUCT(
      --(TRIM('Internal Tracker Sub 2026'!$A$2:$A$5050&amp;"")=TRIM($B8&amp;"")),
      --(TRIM('Internal Tracker Sub 2026'!$B$2:$B$5050&amp;"")=TRIM($C8&amp;"")),
      --(LEN(TRIM('Internal Tracker Sub 2026'!$L$2:$L$5050&amp;""))=0)
    )&gt;0,
    "⚠ Missing Effort",
    SUMIFS(
      'Internal Tracker Sub 2026'!$L$2:$L$5050,
      'Internal Tracker Sub 2026'!$A$2:$A$5050, TRIM($B8&amp;""),
      'Internal Tracker Sub 2026'!$B$2:$B$5050, TRIM($C8&amp;"")
    )
  )
)</f>
        <v>No Subtasks</v>
      </c>
      <c r="L8" s="35"/>
      <c r="M8" s="35"/>
      <c r="N8" s="36"/>
      <c r="O8" s="35"/>
      <c r="P8" s="35"/>
      <c r="Q8" s="36"/>
      <c r="R8" s="387" t="s">
        <v>1766</v>
      </c>
      <c r="S8" s="35"/>
      <c r="T8" s="99"/>
      <c r="U8" s="381"/>
      <c r="V8" s="381"/>
      <c r="W8" s="381"/>
      <c r="X8" s="381"/>
      <c r="Y8" s="381"/>
      <c r="Z8" s="381"/>
      <c r="AA8" s="381"/>
      <c r="AB8" s="381"/>
      <c r="AC8" s="381"/>
    </row>
    <row r="9">
      <c r="A9" s="46" t="s">
        <v>139</v>
      </c>
      <c r="B9" s="47" t="s">
        <v>140</v>
      </c>
      <c r="C9" s="32" t="s">
        <v>1767</v>
      </c>
      <c r="D9" s="28" t="s">
        <v>24</v>
      </c>
      <c r="E9" s="40" t="s">
        <v>400</v>
      </c>
      <c r="F9" s="122"/>
      <c r="G9" s="122"/>
      <c r="H9" s="31"/>
      <c r="I9" s="28" t="s">
        <v>39</v>
      </c>
      <c r="J9" s="30"/>
      <c r="K9" s="80" t="str">
        <f>IF(
  COUNTIFS('Internal Tracker Sub 2026'!$A$2:$A$5050, TRIM($B9&amp;""), 'Internal Tracker Sub 2026'!$B$2:$B$5050, TRIM($C9&amp;""))=0,
  "No Subtasks",
  IF(
    SUMPRODUCT(
      --(TRIM('Internal Tracker Sub 2026'!$A$2:$A$5050&amp;"")=TRIM($B9&amp;"")),
      --(TRIM('Internal Tracker Sub 2026'!$B$2:$B$5050&amp;"")=TRIM($C9&amp;"")),
      --(LEN(TRIM('Internal Tracker Sub 2026'!$L$2:$L$5050&amp;""))=0)
    )&gt;0,
    "⚠ Missing Effort",
    SUMIFS(
      'Internal Tracker Sub 2026'!$L$2:$L$5050,
      'Internal Tracker Sub 2026'!$A$2:$A$5050, TRIM($B9&amp;""),
      'Internal Tracker Sub 2026'!$B$2:$B$5050, TRIM($C9&amp;"")
    )
  )
)</f>
        <v>No Subtasks</v>
      </c>
      <c r="L9" s="31"/>
      <c r="M9" s="31"/>
      <c r="N9" s="32"/>
      <c r="O9" s="31"/>
      <c r="P9" s="31"/>
      <c r="Q9" s="31"/>
      <c r="R9" s="388" t="s">
        <v>1768</v>
      </c>
      <c r="S9" s="31"/>
      <c r="T9" s="109"/>
      <c r="U9" s="381"/>
      <c r="V9" s="381"/>
      <c r="W9" s="381"/>
      <c r="X9" s="381"/>
      <c r="Y9" s="381"/>
      <c r="Z9" s="381"/>
      <c r="AA9" s="381"/>
      <c r="AB9" s="381"/>
      <c r="AC9" s="381"/>
    </row>
    <row r="10">
      <c r="A10" s="61" t="s">
        <v>139</v>
      </c>
      <c r="B10" s="43" t="s">
        <v>140</v>
      </c>
      <c r="C10" s="36" t="s">
        <v>1769</v>
      </c>
      <c r="D10" s="86" t="s">
        <v>24</v>
      </c>
      <c r="E10" s="45" t="s">
        <v>400</v>
      </c>
      <c r="F10" s="11">
        <v>46076.0</v>
      </c>
      <c r="G10" s="11">
        <v>46127.0</v>
      </c>
      <c r="H10" s="11">
        <v>46120.0</v>
      </c>
      <c r="I10" s="13" t="s">
        <v>39</v>
      </c>
      <c r="J10" s="15"/>
      <c r="K10" s="86" t="str">
        <f>IF(
  COUNTIFS('Internal Tracker Sub 2026'!$A$2:$A$5050, TRIM($B10&amp;""), 'Internal Tracker Sub 2026'!$B$2:$B$5050, TRIM($C10&amp;""))=0,
  "No Subtasks",
  IF(
    SUMPRODUCT(
      --(TRIM('Internal Tracker Sub 2026'!$A$2:$A$5050&amp;"")=TRIM($B10&amp;"")),
      --(TRIM('Internal Tracker Sub 2026'!$B$2:$B$5050&amp;"")=TRIM($C10&amp;"")),
      --(LEN(TRIM('Internal Tracker Sub 2026'!$L$2:$L$5050&amp;""))=0)
    )&gt;0,
    "⚠ Missing Effort",
    SUMIFS(
      'Internal Tracker Sub 2026'!$L$2:$L$5050,
      'Internal Tracker Sub 2026'!$A$2:$A$5050, TRIM($B10&amp;""),
      'Internal Tracker Sub 2026'!$B$2:$B$5050, TRIM($C10&amp;"")
    )
  )
)</f>
        <v>No Subtasks</v>
      </c>
      <c r="L10" s="35"/>
      <c r="M10" s="35"/>
      <c r="N10" s="36"/>
      <c r="O10" s="35"/>
      <c r="P10" s="35"/>
      <c r="Q10" s="36"/>
      <c r="R10" s="389"/>
      <c r="S10" s="35"/>
      <c r="T10" s="99"/>
      <c r="U10" s="381"/>
      <c r="V10" s="381"/>
      <c r="W10" s="381"/>
      <c r="X10" s="381"/>
      <c r="Y10" s="381"/>
      <c r="Z10" s="381"/>
      <c r="AA10" s="381"/>
      <c r="AB10" s="381"/>
      <c r="AC10" s="381"/>
    </row>
    <row r="11">
      <c r="A11" s="46" t="s">
        <v>139</v>
      </c>
      <c r="B11" s="47" t="s">
        <v>140</v>
      </c>
      <c r="C11" s="32" t="s">
        <v>1770</v>
      </c>
      <c r="D11" s="80" t="s">
        <v>24</v>
      </c>
      <c r="E11" s="40" t="s">
        <v>400</v>
      </c>
      <c r="F11" s="26">
        <v>46120.0</v>
      </c>
      <c r="G11" s="26">
        <v>46129.0</v>
      </c>
      <c r="H11" s="26">
        <v>46129.0</v>
      </c>
      <c r="I11" s="28" t="s">
        <v>39</v>
      </c>
      <c r="J11" s="59"/>
      <c r="K11" s="80" t="str">
        <f>IF(
  COUNTIFS('Internal Tracker Sub 2026'!$A$2:$A$5050, TRIM($B11&amp;""), 'Internal Tracker Sub 2026'!$B$2:$B$5050, TRIM($C11&amp;""))=0,
  "No Subtasks",
  IF(
    SUMPRODUCT(
      --(TRIM('Internal Tracker Sub 2026'!$A$2:$A$5050&amp;"")=TRIM($B11&amp;"")),
      --(TRIM('Internal Tracker Sub 2026'!$B$2:$B$5050&amp;"")=TRIM($C11&amp;"")),
      --(LEN(TRIM('Internal Tracker Sub 2026'!$L$2:$L$5050&amp;""))=0)
    )&gt;0,
    "⚠ Missing Effort",
    SUMIFS(
      'Internal Tracker Sub 2026'!$L$2:$L$5050,
      'Internal Tracker Sub 2026'!$A$2:$A$5050, TRIM($B11&amp;""),
      'Internal Tracker Sub 2026'!$B$2:$B$5050, TRIM($C11&amp;"")
    )
  )
)</f>
        <v>⚠ Missing Effort</v>
      </c>
      <c r="L11" s="31"/>
      <c r="M11" s="31"/>
      <c r="N11" s="32"/>
      <c r="O11" s="31"/>
      <c r="P11" s="31"/>
      <c r="Q11" s="31"/>
      <c r="R11" s="32"/>
      <c r="S11" s="31"/>
      <c r="T11" s="109"/>
      <c r="U11" s="381"/>
      <c r="V11" s="381"/>
      <c r="W11" s="381"/>
      <c r="X11" s="381"/>
      <c r="Y11" s="381"/>
      <c r="Z11" s="381"/>
      <c r="AA11" s="381"/>
      <c r="AB11" s="381"/>
      <c r="AC11" s="381"/>
    </row>
    <row r="12">
      <c r="A12" s="61" t="s">
        <v>139</v>
      </c>
      <c r="B12" s="43" t="s">
        <v>140</v>
      </c>
      <c r="C12" s="36" t="s">
        <v>1771</v>
      </c>
      <c r="D12" s="86" t="s">
        <v>24</v>
      </c>
      <c r="E12" s="45" t="s">
        <v>400</v>
      </c>
      <c r="F12" s="11">
        <v>46119.0</v>
      </c>
      <c r="G12" s="11">
        <v>46125.0</v>
      </c>
      <c r="H12" s="11">
        <v>46125.0</v>
      </c>
      <c r="I12" s="13" t="s">
        <v>39</v>
      </c>
      <c r="J12" s="13"/>
      <c r="K12" s="86" t="str">
        <f>IF(
  COUNTIFS('Internal Tracker Sub 2026'!$A$2:$A$5050, TRIM($B12&amp;""), 'Internal Tracker Sub 2026'!$B$2:$B$5050, TRIM($C12&amp;""))=0,
  "No Subtasks",
  IF(
    SUMPRODUCT(
      --(TRIM('Internal Tracker Sub 2026'!$A$2:$A$5050&amp;"")=TRIM($B12&amp;"")),
      --(TRIM('Internal Tracker Sub 2026'!$B$2:$B$5050&amp;"")=TRIM($C12&amp;"")),
      --(LEN(TRIM('Internal Tracker Sub 2026'!$L$2:$L$5050&amp;""))=0)
    )&gt;0,
    "⚠ Missing Effort",
    SUMIFS(
      'Internal Tracker Sub 2026'!$L$2:$L$5050,
      'Internal Tracker Sub 2026'!$A$2:$A$5050, TRIM($B12&amp;""),
      'Internal Tracker Sub 2026'!$B$2:$B$5050, TRIM($C12&amp;"")
    )
  )
)</f>
        <v>⚠ Missing Effort</v>
      </c>
      <c r="L12" s="35"/>
      <c r="M12" s="35"/>
      <c r="N12" s="36"/>
      <c r="O12" s="35"/>
      <c r="P12" s="390" t="s">
        <v>1772</v>
      </c>
      <c r="Q12" s="36"/>
      <c r="R12" s="35"/>
      <c r="S12" s="35"/>
      <c r="T12" s="99"/>
      <c r="U12" s="381"/>
      <c r="V12" s="381"/>
      <c r="W12" s="381"/>
      <c r="X12" s="381"/>
      <c r="Y12" s="381"/>
      <c r="Z12" s="381"/>
      <c r="AA12" s="381"/>
      <c r="AB12" s="381"/>
      <c r="AC12" s="381"/>
    </row>
    <row r="13">
      <c r="A13" s="21"/>
      <c r="B13" s="119"/>
      <c r="C13" s="31"/>
      <c r="D13" s="80"/>
      <c r="E13" s="30"/>
      <c r="F13" s="122"/>
      <c r="G13" s="122"/>
      <c r="H13" s="31"/>
      <c r="I13" s="80"/>
      <c r="J13" s="30"/>
      <c r="K13" s="80" t="str">
        <f>IF(
  COUNTIFS('Internal Tracker Sub 2026'!$A$2:$A$5050, TRIM($B13&amp;""), 'Internal Tracker Sub 2026'!$B$2:$B$5050, TRIM($C13&amp;""))=0,
  "No Subtasks",
  IF(
    SUMPRODUCT(
      --(TRIM('Internal Tracker Sub 2026'!$A$2:$A$5050&amp;"")=TRIM($B13&amp;"")),
      --(TRIM('Internal Tracker Sub 2026'!$B$2:$B$5050&amp;"")=TRIM($C13&amp;"")),
      --(LEN(TRIM('Internal Tracker Sub 2026'!$L$2:$L$5050&amp;""))=0)
    )&gt;0,
    "⚠ Missing Effort",
    SUMIFS(
      'Internal Tracker Sub 2026'!$L$2:$L$5050,
      'Internal Tracker Sub 2026'!$A$2:$A$5050, TRIM($B13&amp;""),
      'Internal Tracker Sub 2026'!$B$2:$B$5050, TRIM($C13&amp;"")
    )
  )
)</f>
        <v>⚠ Missing Effort</v>
      </c>
      <c r="L13" s="31"/>
      <c r="M13" s="31"/>
      <c r="N13" s="32"/>
      <c r="O13" s="31"/>
      <c r="P13" s="31"/>
      <c r="Q13" s="31"/>
      <c r="R13" s="31"/>
      <c r="S13" s="31"/>
      <c r="T13" s="109"/>
      <c r="U13" s="381"/>
      <c r="V13" s="381"/>
      <c r="W13" s="381"/>
      <c r="X13" s="381"/>
      <c r="Y13" s="381"/>
      <c r="Z13" s="381"/>
      <c r="AA13" s="381"/>
      <c r="AB13" s="381"/>
      <c r="AC13" s="381"/>
    </row>
    <row r="14">
      <c r="A14" s="6"/>
      <c r="B14" s="121"/>
      <c r="C14" s="391"/>
      <c r="D14" s="86"/>
      <c r="E14" s="15"/>
      <c r="F14" s="79"/>
      <c r="G14" s="79"/>
      <c r="H14" s="35"/>
      <c r="I14" s="86"/>
      <c r="J14" s="15"/>
      <c r="K14" s="86" t="str">
        <f>IF(
  COUNTIFS('Internal Tracker Sub 2026'!$A$2:$A$5050, TRIM($B14&amp;""), 'Internal Tracker Sub 2026'!$B$2:$B$5050, TRIM($C14&amp;""))=0,
  "No Subtasks",
  IF(
    SUMPRODUCT(
      --(TRIM('Internal Tracker Sub 2026'!$A$2:$A$5050&amp;"")=TRIM($B14&amp;"")),
      --(TRIM('Internal Tracker Sub 2026'!$B$2:$B$5050&amp;"")=TRIM($C14&amp;"")),
      --(LEN(TRIM('Internal Tracker Sub 2026'!$L$2:$L$5050&amp;""))=0)
    )&gt;0,
    "⚠ Missing Effort",
    SUMIFS(
      'Internal Tracker Sub 2026'!$L$2:$L$5050,
      'Internal Tracker Sub 2026'!$A$2:$A$5050, TRIM($B14&amp;""),
      'Internal Tracker Sub 2026'!$B$2:$B$5050, TRIM($C14&amp;"")
    )
  )
)</f>
        <v>⚠ Missing Effort</v>
      </c>
      <c r="L14" s="35"/>
      <c r="M14" s="35"/>
      <c r="N14" s="36"/>
      <c r="O14" s="35"/>
      <c r="P14" s="35"/>
      <c r="Q14" s="35"/>
      <c r="R14" s="35"/>
      <c r="S14" s="35"/>
      <c r="T14" s="99"/>
      <c r="U14" s="381"/>
      <c r="V14" s="381"/>
      <c r="W14" s="381"/>
      <c r="X14" s="381"/>
      <c r="Y14" s="381"/>
      <c r="Z14" s="381"/>
      <c r="AA14" s="381"/>
      <c r="AB14" s="381"/>
      <c r="AC14" s="381"/>
    </row>
    <row r="15">
      <c r="A15" s="21"/>
      <c r="B15" s="119"/>
      <c r="C15" s="32"/>
      <c r="D15" s="80"/>
      <c r="E15" s="30"/>
      <c r="F15" s="26"/>
      <c r="G15" s="26"/>
      <c r="H15" s="26"/>
      <c r="I15" s="80"/>
      <c r="J15" s="82"/>
      <c r="K15" s="80" t="str">
        <f>IF(
  COUNTIFS('Internal Tracker Sub 2026'!$A$2:$A$5050, TRIM($B15&amp;""), 'Internal Tracker Sub 2026'!$B$2:$B$5050, TRIM($C15&amp;""))=0,
  "No Subtasks",
  IF(
    SUMPRODUCT(
      --(TRIM('Internal Tracker Sub 2026'!$A$2:$A$5050&amp;"")=TRIM($B15&amp;"")),
      --(TRIM('Internal Tracker Sub 2026'!$B$2:$B$5050&amp;"")=TRIM($C15&amp;"")),
      --(LEN(TRIM('Internal Tracker Sub 2026'!$L$2:$L$5050&amp;""))=0)
    )&gt;0,
    "⚠ Missing Effort",
    SUMIFS(
      'Internal Tracker Sub 2026'!$L$2:$L$5050,
      'Internal Tracker Sub 2026'!$A$2:$A$5050, TRIM($B15&amp;""),
      'Internal Tracker Sub 2026'!$B$2:$B$5050, TRIM($C15&amp;"")
    )
  )
)</f>
        <v>⚠ Missing Effort</v>
      </c>
      <c r="L15" s="31"/>
      <c r="M15" s="31"/>
      <c r="N15" s="32"/>
      <c r="O15" s="31"/>
      <c r="P15" s="31"/>
      <c r="Q15" s="31"/>
      <c r="R15" s="31"/>
      <c r="S15" s="31"/>
      <c r="T15" s="109"/>
      <c r="U15" s="381"/>
      <c r="V15" s="381"/>
      <c r="W15" s="381"/>
      <c r="X15" s="381"/>
      <c r="Y15" s="381"/>
      <c r="Z15" s="381"/>
      <c r="AA15" s="381"/>
      <c r="AB15" s="381"/>
      <c r="AC15" s="381"/>
    </row>
    <row r="16">
      <c r="A16" s="377"/>
      <c r="B16" s="377"/>
      <c r="C16" s="377"/>
      <c r="D16" s="377"/>
      <c r="E16" s="377"/>
      <c r="F16" s="377"/>
      <c r="G16" s="377"/>
      <c r="H16" s="377"/>
      <c r="I16" s="377"/>
      <c r="J16" s="377"/>
      <c r="K16" s="86" t="str">
        <f>IF(
  COUNTIFS('Internal Tracker Sub 2026'!$A$2:$A$5050, TRIM($B16&amp;""), 'Internal Tracker Sub 2026'!$B$2:$B$5050, TRIM($C16&amp;""))=0,
  "No Subtasks",
  IF(
    SUMPRODUCT(
      --(TRIM('Internal Tracker Sub 2026'!$A$2:$A$5050&amp;"")=TRIM($B16&amp;"")),
      --(TRIM('Internal Tracker Sub 2026'!$B$2:$B$5050&amp;"")=TRIM($C16&amp;"")),
      --(LEN(TRIM('Internal Tracker Sub 2026'!$L$2:$L$5050&amp;""))=0)
    )&gt;0,
    "⚠ Missing Effort",
    SUMIFS(
      'Internal Tracker Sub 2026'!$L$2:$L$5050,
      'Internal Tracker Sub 2026'!$A$2:$A$5050, TRIM($B16&amp;""),
      'Internal Tracker Sub 2026'!$B$2:$B$5050, TRIM($C16&amp;"")
    )
  )
)</f>
        <v>⚠ Missing Effort</v>
      </c>
      <c r="L16" s="377"/>
      <c r="M16" s="377"/>
      <c r="N16" s="377"/>
      <c r="O16" s="35"/>
      <c r="P16" s="377"/>
      <c r="Q16" s="377"/>
      <c r="R16" s="124"/>
      <c r="S16" s="377"/>
      <c r="T16" s="377"/>
      <c r="U16" s="381"/>
      <c r="V16" s="381"/>
      <c r="W16" s="381"/>
      <c r="X16" s="381"/>
      <c r="Y16" s="381"/>
      <c r="Z16" s="381"/>
      <c r="AA16" s="381"/>
      <c r="AB16" s="381"/>
      <c r="AC16" s="381"/>
    </row>
    <row r="17">
      <c r="A17" s="21"/>
      <c r="B17" s="119"/>
      <c r="C17" s="31"/>
      <c r="D17" s="80"/>
      <c r="E17" s="30"/>
      <c r="F17" s="65"/>
      <c r="G17" s="26"/>
      <c r="H17" s="31"/>
      <c r="I17" s="80"/>
      <c r="J17" s="49"/>
      <c r="K17" s="80" t="str">
        <f>IF(
  COUNTIFS('Internal Tracker Sub 2026'!$A$2:$A$5050, TRIM($B17&amp;""), 'Internal Tracker Sub 2026'!$B$2:$B$5050, TRIM($C17&amp;""))=0,
  "No Subtasks",
  IF(
    SUMPRODUCT(
      --(TRIM('Internal Tracker Sub 2026'!$A$2:$A$5050&amp;"")=TRIM($B17&amp;"")),
      --(TRIM('Internal Tracker Sub 2026'!$B$2:$B$5050&amp;"")=TRIM($C17&amp;"")),
      --(LEN(TRIM('Internal Tracker Sub 2026'!$L$2:$L$5050&amp;""))=0)
    )&gt;0,
    "⚠ Missing Effort",
    SUMIFS(
      'Internal Tracker Sub 2026'!$L$2:$L$5050,
      'Internal Tracker Sub 2026'!$A$2:$A$5050, TRIM($B17&amp;""),
      'Internal Tracker Sub 2026'!$B$2:$B$5050, TRIM($C17&amp;"")
    )
  )
)</f>
        <v>⚠ Missing Effort</v>
      </c>
      <c r="L17" s="31"/>
      <c r="M17" s="31"/>
      <c r="N17" s="32"/>
      <c r="O17" s="37"/>
      <c r="P17" s="31"/>
      <c r="Q17" s="31"/>
      <c r="R17" s="31"/>
      <c r="S17" s="31"/>
      <c r="T17" s="109"/>
      <c r="U17" s="381"/>
      <c r="V17" s="381"/>
      <c r="W17" s="381"/>
      <c r="X17" s="381"/>
      <c r="Y17" s="381"/>
      <c r="Z17" s="381"/>
      <c r="AA17" s="381"/>
      <c r="AB17" s="381"/>
      <c r="AC17" s="381"/>
    </row>
    <row r="18">
      <c r="A18" s="6"/>
      <c r="B18" s="121"/>
      <c r="C18" s="35"/>
      <c r="D18" s="86"/>
      <c r="E18" s="15"/>
      <c r="F18" s="72"/>
      <c r="G18" s="11"/>
      <c r="H18" s="72"/>
      <c r="I18" s="86"/>
      <c r="J18" s="392"/>
      <c r="K18" s="86" t="str">
        <f>IF(
  COUNTIFS('Internal Tracker Sub 2026'!$A$2:$A$5050, TRIM($B18&amp;""), 'Internal Tracker Sub 2026'!$B$2:$B$5050, TRIM($C18&amp;""))=0,
  "No Subtasks",
  IF(
    SUMPRODUCT(
      --(TRIM('Internal Tracker Sub 2026'!$A$2:$A$5050&amp;"")=TRIM($B18&amp;"")),
      --(TRIM('Internal Tracker Sub 2026'!$B$2:$B$5050&amp;"")=TRIM($C18&amp;"")),
      --(LEN(TRIM('Internal Tracker Sub 2026'!$L$2:$L$5050&amp;""))=0)
    )&gt;0,
    "⚠ Missing Effort",
    SUMIFS(
      'Internal Tracker Sub 2026'!$L$2:$L$5050,
      'Internal Tracker Sub 2026'!$A$2:$A$5050, TRIM($B18&amp;""),
      'Internal Tracker Sub 2026'!$B$2:$B$5050, TRIM($C18&amp;"")
    )
  )
)</f>
        <v>⚠ Missing Effort</v>
      </c>
      <c r="L18" s="35"/>
      <c r="M18" s="35"/>
      <c r="N18" s="36"/>
      <c r="O18" s="16"/>
      <c r="P18" s="35"/>
      <c r="Q18" s="35"/>
      <c r="R18" s="35"/>
      <c r="S18" s="35"/>
      <c r="T18" s="99"/>
      <c r="U18" s="381"/>
      <c r="V18" s="381"/>
      <c r="W18" s="381"/>
      <c r="X18" s="381"/>
      <c r="Y18" s="381"/>
      <c r="Z18" s="381"/>
      <c r="AA18" s="381"/>
      <c r="AB18" s="381"/>
      <c r="AC18" s="381"/>
    </row>
    <row r="19">
      <c r="A19" s="21"/>
      <c r="B19" s="119"/>
      <c r="C19" s="66"/>
      <c r="D19" s="80"/>
      <c r="E19" s="30"/>
      <c r="F19" s="26"/>
      <c r="G19" s="26"/>
      <c r="H19" s="30"/>
      <c r="I19" s="80"/>
      <c r="J19" s="49"/>
      <c r="K19" s="80" t="str">
        <f>IF(
  COUNTIFS('Internal Tracker Sub 2026'!$A$2:$A$5050, TRIM($B19&amp;""), 'Internal Tracker Sub 2026'!$B$2:$B$5050, TRIM($C19&amp;""))=0,
  "No Subtasks",
  IF(
    SUMPRODUCT(
      --(TRIM('Internal Tracker Sub 2026'!$A$2:$A$5050&amp;"")=TRIM($B19&amp;"")),
      --(TRIM('Internal Tracker Sub 2026'!$B$2:$B$5050&amp;"")=TRIM($C19&amp;"")),
      --(LEN(TRIM('Internal Tracker Sub 2026'!$L$2:$L$5050&amp;""))=0)
    )&gt;0,
    "⚠ Missing Effort",
    SUMIFS(
      'Internal Tracker Sub 2026'!$L$2:$L$5050,
      'Internal Tracker Sub 2026'!$A$2:$A$5050, TRIM($B19&amp;""),
      'Internal Tracker Sub 2026'!$B$2:$B$5050, TRIM($C19&amp;"")
    )
  )
)</f>
        <v>⚠ Missing Effort</v>
      </c>
      <c r="L19" s="31"/>
      <c r="M19" s="31"/>
      <c r="N19" s="32"/>
      <c r="O19" s="37"/>
      <c r="P19" s="31"/>
      <c r="Q19" s="31"/>
      <c r="R19" s="31"/>
      <c r="S19" s="31"/>
      <c r="T19" s="109"/>
      <c r="U19" s="381"/>
      <c r="V19" s="381"/>
      <c r="W19" s="381"/>
      <c r="X19" s="381"/>
      <c r="Y19" s="381"/>
      <c r="Z19" s="381"/>
      <c r="AA19" s="381"/>
      <c r="AB19" s="381"/>
      <c r="AC19" s="381"/>
    </row>
    <row r="20">
      <c r="A20" s="6"/>
      <c r="B20" s="121"/>
      <c r="C20" s="36"/>
      <c r="D20" s="86"/>
      <c r="E20" s="15"/>
      <c r="F20" s="11"/>
      <c r="G20" s="11"/>
      <c r="H20" s="11"/>
      <c r="I20" s="86"/>
      <c r="J20" s="392"/>
      <c r="K20" s="86" t="str">
        <f>IF(
  COUNTIFS('Internal Tracker Sub 2026'!$A$2:$A$5050, TRIM($B20&amp;""), 'Internal Tracker Sub 2026'!$B$2:$B$5050, TRIM($C20&amp;""))=0,
  "No Subtasks",
  IF(
    SUMPRODUCT(
      --(TRIM('Internal Tracker Sub 2026'!$A$2:$A$5050&amp;"")=TRIM($B20&amp;"")),
      --(TRIM('Internal Tracker Sub 2026'!$B$2:$B$5050&amp;"")=TRIM($C20&amp;"")),
      --(LEN(TRIM('Internal Tracker Sub 2026'!$L$2:$L$5050&amp;""))=0)
    )&gt;0,
    "⚠ Missing Effort",
    SUMIFS(
      'Internal Tracker Sub 2026'!$L$2:$L$5050,
      'Internal Tracker Sub 2026'!$A$2:$A$5050, TRIM($B20&amp;""),
      'Internal Tracker Sub 2026'!$B$2:$B$5050, TRIM($C20&amp;"")
    )
  )
)</f>
        <v>⚠ Missing Effort</v>
      </c>
      <c r="L20" s="35"/>
      <c r="M20" s="35"/>
      <c r="N20" s="55"/>
      <c r="O20" s="35"/>
      <c r="P20" s="35"/>
      <c r="Q20" s="35"/>
      <c r="R20" s="35"/>
      <c r="S20" s="35"/>
      <c r="T20" s="99"/>
      <c r="U20" s="381"/>
      <c r="V20" s="381"/>
      <c r="W20" s="381"/>
      <c r="X20" s="381"/>
      <c r="Y20" s="381"/>
      <c r="Z20" s="381"/>
      <c r="AA20" s="381"/>
      <c r="AB20" s="381"/>
      <c r="AC20" s="381"/>
    </row>
    <row r="21">
      <c r="A21" s="21"/>
      <c r="B21" s="393"/>
      <c r="C21" s="32"/>
      <c r="D21" s="80"/>
      <c r="E21" s="30"/>
      <c r="F21" s="26"/>
      <c r="G21" s="26"/>
      <c r="H21" s="58"/>
      <c r="I21" s="80"/>
      <c r="J21" s="49"/>
      <c r="K21" s="80" t="str">
        <f>IF(
  COUNTIFS('Internal Tracker Sub 2026'!$A$2:$A$5050, TRIM($B21&amp;""), 'Internal Tracker Sub 2026'!$B$2:$B$5050, TRIM($C21&amp;""))=0,
  "No Subtasks",
  IF(
    SUMPRODUCT(
      --(TRIM('Internal Tracker Sub 2026'!$A$2:$A$5050&amp;"")=TRIM($B21&amp;"")),
      --(TRIM('Internal Tracker Sub 2026'!$B$2:$B$5050&amp;"")=TRIM($C21&amp;"")),
      --(LEN(TRIM('Internal Tracker Sub 2026'!$L$2:$L$5050&amp;""))=0)
    )&gt;0,
    "⚠ Missing Effort",
    SUMIFS(
      'Internal Tracker Sub 2026'!$L$2:$L$5050,
      'Internal Tracker Sub 2026'!$A$2:$A$5050, TRIM($B21&amp;""),
      'Internal Tracker Sub 2026'!$B$2:$B$5050, TRIM($C21&amp;"")
    )
  )
)</f>
        <v>⚠ Missing Effort</v>
      </c>
      <c r="L21" s="31"/>
      <c r="M21" s="31"/>
      <c r="N21" s="32"/>
      <c r="O21" s="31"/>
      <c r="P21" s="31"/>
      <c r="Q21" s="31"/>
      <c r="R21" s="31"/>
      <c r="S21" s="31"/>
      <c r="T21" s="109"/>
      <c r="U21" s="381"/>
      <c r="V21" s="381"/>
      <c r="W21" s="381"/>
      <c r="X21" s="381"/>
      <c r="Y21" s="381"/>
      <c r="Z21" s="381"/>
      <c r="AA21" s="381"/>
      <c r="AB21" s="381"/>
      <c r="AC21" s="381"/>
    </row>
    <row r="22">
      <c r="A22" s="6"/>
      <c r="B22" s="394"/>
      <c r="C22" s="36"/>
      <c r="D22" s="86"/>
      <c r="E22" s="15"/>
      <c r="F22" s="11"/>
      <c r="G22" s="11"/>
      <c r="H22" s="11"/>
      <c r="I22" s="86"/>
      <c r="J22" s="392"/>
      <c r="K22" s="98"/>
      <c r="L22" s="35"/>
      <c r="M22" s="35"/>
      <c r="N22" s="36"/>
      <c r="O22" s="35"/>
      <c r="P22" s="35"/>
      <c r="Q22" s="35"/>
      <c r="R22" s="35"/>
      <c r="S22" s="35"/>
      <c r="T22" s="99"/>
      <c r="U22" s="381"/>
      <c r="V22" s="381"/>
      <c r="W22" s="381"/>
      <c r="X22" s="381"/>
      <c r="Y22" s="381"/>
      <c r="Z22" s="381"/>
      <c r="AA22" s="381"/>
      <c r="AB22" s="381"/>
      <c r="AC22" s="381"/>
    </row>
    <row r="23">
      <c r="A23" s="395"/>
      <c r="B23" s="102"/>
      <c r="C23" s="110"/>
      <c r="D23" s="396"/>
      <c r="E23" s="397"/>
      <c r="F23" s="106"/>
      <c r="G23" s="106"/>
      <c r="H23" s="106"/>
      <c r="I23" s="396"/>
      <c r="J23" s="108"/>
      <c r="K23" s="107"/>
      <c r="L23" s="109"/>
      <c r="M23" s="109"/>
      <c r="N23" s="110"/>
      <c r="O23" s="31"/>
      <c r="P23" s="109"/>
      <c r="Q23" s="109"/>
      <c r="R23" s="109"/>
      <c r="S23" s="109"/>
      <c r="T23" s="109"/>
      <c r="U23" s="381"/>
      <c r="V23" s="381"/>
      <c r="W23" s="381"/>
      <c r="X23" s="381"/>
      <c r="Y23" s="381"/>
      <c r="Z23" s="381"/>
      <c r="AA23" s="381"/>
      <c r="AB23" s="381"/>
      <c r="AC23" s="381"/>
    </row>
    <row r="24">
      <c r="A24" s="398"/>
      <c r="B24" s="91"/>
      <c r="C24" s="100"/>
      <c r="D24" s="399"/>
      <c r="E24" s="400"/>
      <c r="F24" s="95"/>
      <c r="G24" s="95"/>
      <c r="H24" s="95"/>
      <c r="I24" s="399"/>
      <c r="J24" s="97"/>
      <c r="K24" s="96"/>
      <c r="L24" s="99"/>
      <c r="M24" s="99"/>
      <c r="N24" s="100"/>
      <c r="O24" s="35"/>
      <c r="P24" s="99"/>
      <c r="Q24" s="99"/>
      <c r="R24" s="99"/>
      <c r="S24" s="99"/>
      <c r="T24" s="99"/>
      <c r="U24" s="381"/>
      <c r="V24" s="381"/>
      <c r="W24" s="381"/>
      <c r="X24" s="381"/>
      <c r="Y24" s="381"/>
      <c r="Z24" s="381"/>
      <c r="AA24" s="381"/>
      <c r="AB24" s="381"/>
      <c r="AC24" s="381"/>
    </row>
    <row r="25">
      <c r="A25" s="395"/>
      <c r="B25" s="102"/>
      <c r="C25" s="110"/>
      <c r="D25" s="396"/>
      <c r="E25" s="397"/>
      <c r="F25" s="106"/>
      <c r="G25" s="106"/>
      <c r="H25" s="106"/>
      <c r="I25" s="396"/>
      <c r="J25" s="108"/>
      <c r="K25" s="107"/>
      <c r="L25" s="109"/>
      <c r="M25" s="109"/>
      <c r="N25" s="110"/>
      <c r="O25" s="37"/>
      <c r="P25" s="109"/>
      <c r="Q25" s="109"/>
      <c r="R25" s="109"/>
      <c r="S25" s="109"/>
      <c r="T25" s="109"/>
      <c r="U25" s="381"/>
      <c r="V25" s="381"/>
      <c r="W25" s="381"/>
      <c r="X25" s="381"/>
      <c r="Y25" s="381"/>
      <c r="Z25" s="381"/>
      <c r="AA25" s="381"/>
      <c r="AB25" s="381"/>
      <c r="AC25" s="381"/>
    </row>
    <row r="26">
      <c r="A26" s="398"/>
      <c r="B26" s="91"/>
      <c r="C26" s="100"/>
      <c r="D26" s="399"/>
      <c r="E26" s="400"/>
      <c r="F26" s="95"/>
      <c r="G26" s="95"/>
      <c r="H26" s="95"/>
      <c r="I26" s="399"/>
      <c r="J26" s="97"/>
      <c r="K26" s="96"/>
      <c r="L26" s="99"/>
      <c r="M26" s="99"/>
      <c r="N26" s="100"/>
      <c r="O26" s="35"/>
      <c r="P26" s="99"/>
      <c r="Q26" s="99"/>
      <c r="R26" s="99"/>
      <c r="S26" s="99"/>
      <c r="T26" s="99"/>
      <c r="U26" s="381"/>
      <c r="V26" s="381"/>
      <c r="W26" s="381"/>
      <c r="X26" s="381"/>
      <c r="Y26" s="381"/>
      <c r="Z26" s="381"/>
      <c r="AA26" s="381"/>
      <c r="AB26" s="381"/>
      <c r="AC26" s="381"/>
    </row>
    <row r="27">
      <c r="A27" s="395"/>
      <c r="B27" s="102"/>
      <c r="C27" s="110"/>
      <c r="D27" s="396"/>
      <c r="E27" s="397"/>
      <c r="F27" s="106"/>
      <c r="G27" s="106"/>
      <c r="H27" s="106"/>
      <c r="I27" s="396"/>
      <c r="J27" s="108"/>
      <c r="K27" s="107"/>
      <c r="L27" s="109"/>
      <c r="M27" s="109"/>
      <c r="N27" s="110"/>
      <c r="O27" s="31"/>
      <c r="P27" s="109"/>
      <c r="Q27" s="109"/>
      <c r="R27" s="109"/>
      <c r="S27" s="109"/>
      <c r="T27" s="109"/>
      <c r="U27" s="381"/>
      <c r="V27" s="381"/>
      <c r="W27" s="381"/>
      <c r="X27" s="381"/>
      <c r="Y27" s="381"/>
      <c r="Z27" s="381"/>
      <c r="AA27" s="381"/>
      <c r="AB27" s="381"/>
      <c r="AC27" s="381"/>
    </row>
    <row r="28">
      <c r="A28" s="398"/>
      <c r="B28" s="91"/>
      <c r="C28" s="100"/>
      <c r="D28" s="399"/>
      <c r="E28" s="400"/>
      <c r="F28" s="95"/>
      <c r="G28" s="95"/>
      <c r="H28" s="95"/>
      <c r="I28" s="399"/>
      <c r="J28" s="97"/>
      <c r="K28" s="96"/>
      <c r="L28" s="99"/>
      <c r="M28" s="99"/>
      <c r="N28" s="100"/>
      <c r="P28" s="99"/>
      <c r="Q28" s="99"/>
      <c r="R28" s="99"/>
      <c r="S28" s="99"/>
      <c r="T28" s="99"/>
      <c r="U28" s="381"/>
      <c r="V28" s="381"/>
      <c r="W28" s="381"/>
      <c r="X28" s="381"/>
      <c r="Y28" s="381"/>
      <c r="Z28" s="381"/>
      <c r="AA28" s="381"/>
      <c r="AB28" s="381"/>
      <c r="AC28" s="381"/>
    </row>
    <row r="29">
      <c r="A29" s="395"/>
      <c r="B29" s="102"/>
      <c r="C29" s="110"/>
      <c r="D29" s="396"/>
      <c r="E29" s="397"/>
      <c r="F29" s="106"/>
      <c r="G29" s="106"/>
      <c r="H29" s="106"/>
      <c r="I29" s="396"/>
      <c r="J29" s="108"/>
      <c r="K29" s="107"/>
      <c r="L29" s="109"/>
      <c r="M29" s="109"/>
      <c r="N29" s="110"/>
      <c r="O29" s="31"/>
      <c r="P29" s="109"/>
      <c r="Q29" s="109"/>
      <c r="R29" s="109"/>
      <c r="S29" s="109"/>
      <c r="T29" s="109"/>
      <c r="U29" s="381"/>
      <c r="V29" s="381"/>
      <c r="W29" s="381"/>
      <c r="X29" s="381"/>
      <c r="Y29" s="381"/>
      <c r="Z29" s="381"/>
      <c r="AA29" s="381"/>
      <c r="AB29" s="381"/>
      <c r="AC29" s="381"/>
    </row>
    <row r="30">
      <c r="A30" s="398"/>
      <c r="B30" s="91"/>
      <c r="C30" s="100"/>
      <c r="D30" s="399"/>
      <c r="E30" s="400"/>
      <c r="F30" s="95"/>
      <c r="G30" s="95"/>
      <c r="H30" s="95"/>
      <c r="I30" s="399"/>
      <c r="J30" s="97"/>
      <c r="K30" s="96"/>
      <c r="L30" s="99"/>
      <c r="M30" s="99"/>
      <c r="N30" s="100"/>
      <c r="O30" s="124"/>
      <c r="P30" s="99"/>
      <c r="Q30" s="99"/>
      <c r="R30" s="99"/>
      <c r="S30" s="99"/>
      <c r="T30" s="99"/>
      <c r="U30" s="381"/>
      <c r="V30" s="381"/>
      <c r="W30" s="381"/>
      <c r="X30" s="381"/>
      <c r="Y30" s="381"/>
      <c r="Z30" s="381"/>
      <c r="AA30" s="381"/>
      <c r="AB30" s="381"/>
      <c r="AC30" s="381"/>
    </row>
    <row r="31">
      <c r="A31" s="395"/>
      <c r="B31" s="102"/>
      <c r="C31" s="110"/>
      <c r="D31" s="396"/>
      <c r="E31" s="397"/>
      <c r="F31" s="106"/>
      <c r="G31" s="106"/>
      <c r="H31" s="106"/>
      <c r="I31" s="396"/>
      <c r="J31" s="108"/>
      <c r="K31" s="107"/>
      <c r="L31" s="109"/>
      <c r="M31" s="109"/>
      <c r="N31" s="110"/>
      <c r="O31" s="123"/>
      <c r="P31" s="109"/>
      <c r="Q31" s="109"/>
      <c r="R31" s="109"/>
      <c r="S31" s="109"/>
      <c r="T31" s="109"/>
      <c r="U31" s="381"/>
      <c r="V31" s="381"/>
      <c r="W31" s="381"/>
      <c r="X31" s="381"/>
      <c r="Y31" s="381"/>
      <c r="Z31" s="381"/>
      <c r="AA31" s="381"/>
      <c r="AB31" s="381"/>
      <c r="AC31" s="381"/>
    </row>
    <row r="32">
      <c r="A32" s="398"/>
      <c r="B32" s="91"/>
      <c r="C32" s="100"/>
      <c r="D32" s="399"/>
      <c r="E32" s="400"/>
      <c r="F32" s="95"/>
      <c r="G32" s="95"/>
      <c r="H32" s="95"/>
      <c r="I32" s="399"/>
      <c r="J32" s="97"/>
      <c r="K32" s="96"/>
      <c r="L32" s="99"/>
      <c r="M32" s="99"/>
      <c r="N32" s="100"/>
      <c r="O32" s="124"/>
      <c r="P32" s="99"/>
      <c r="Q32" s="99"/>
      <c r="R32" s="99"/>
      <c r="S32" s="99"/>
      <c r="T32" s="99"/>
      <c r="U32" s="381"/>
      <c r="V32" s="381"/>
      <c r="W32" s="381"/>
      <c r="X32" s="381"/>
      <c r="Y32" s="381"/>
      <c r="Z32" s="381"/>
      <c r="AA32" s="381"/>
      <c r="AB32" s="381"/>
      <c r="AC32" s="381"/>
    </row>
    <row r="33">
      <c r="A33" s="395"/>
      <c r="B33" s="102"/>
      <c r="C33" s="110"/>
      <c r="D33" s="396"/>
      <c r="E33" s="397"/>
      <c r="F33" s="106"/>
      <c r="G33" s="106"/>
      <c r="H33" s="106"/>
      <c r="I33" s="396"/>
      <c r="J33" s="108"/>
      <c r="K33" s="107"/>
      <c r="L33" s="109"/>
      <c r="M33" s="109"/>
      <c r="N33" s="110"/>
      <c r="O33" s="123"/>
      <c r="P33" s="109"/>
      <c r="Q33" s="109"/>
      <c r="R33" s="109"/>
      <c r="S33" s="109"/>
      <c r="T33" s="109"/>
      <c r="U33" s="381"/>
      <c r="V33" s="381"/>
      <c r="W33" s="381"/>
      <c r="X33" s="381"/>
      <c r="Y33" s="381"/>
      <c r="Z33" s="381"/>
      <c r="AA33" s="381"/>
      <c r="AB33" s="381"/>
      <c r="AC33" s="381"/>
    </row>
    <row r="34">
      <c r="A34" s="398"/>
      <c r="B34" s="91"/>
      <c r="C34" s="100"/>
      <c r="D34" s="399"/>
      <c r="E34" s="400"/>
      <c r="F34" s="95"/>
      <c r="G34" s="95"/>
      <c r="H34" s="95"/>
      <c r="I34" s="399"/>
      <c r="J34" s="97"/>
      <c r="K34" s="96"/>
      <c r="L34" s="99"/>
      <c r="M34" s="99"/>
      <c r="N34" s="100"/>
      <c r="O34" s="124"/>
      <c r="P34" s="99"/>
      <c r="Q34" s="99"/>
      <c r="R34" s="99"/>
      <c r="S34" s="99"/>
      <c r="T34" s="99"/>
      <c r="U34" s="381"/>
      <c r="V34" s="381"/>
      <c r="W34" s="381"/>
      <c r="X34" s="381"/>
      <c r="Y34" s="381"/>
      <c r="Z34" s="381"/>
      <c r="AA34" s="381"/>
      <c r="AB34" s="381"/>
      <c r="AC34" s="381"/>
    </row>
    <row r="35">
      <c r="A35" s="395"/>
      <c r="B35" s="102"/>
      <c r="C35" s="110"/>
      <c r="D35" s="396"/>
      <c r="E35" s="397"/>
      <c r="F35" s="106"/>
      <c r="G35" s="106"/>
      <c r="H35" s="106"/>
      <c r="I35" s="396"/>
      <c r="J35" s="108"/>
      <c r="K35" s="107"/>
      <c r="L35" s="109"/>
      <c r="M35" s="109"/>
      <c r="N35" s="110"/>
      <c r="O35" s="123"/>
      <c r="P35" s="109"/>
      <c r="Q35" s="109"/>
      <c r="R35" s="109"/>
      <c r="S35" s="109"/>
      <c r="T35" s="109"/>
      <c r="U35" s="381"/>
      <c r="V35" s="381"/>
      <c r="W35" s="381"/>
      <c r="X35" s="381"/>
      <c r="Y35" s="381"/>
      <c r="Z35" s="381"/>
      <c r="AA35" s="381"/>
      <c r="AB35" s="381"/>
      <c r="AC35" s="381"/>
    </row>
    <row r="36">
      <c r="A36" s="398"/>
      <c r="B36" s="91"/>
      <c r="C36" s="100"/>
      <c r="D36" s="399"/>
      <c r="E36" s="400"/>
      <c r="F36" s="95"/>
      <c r="G36" s="95"/>
      <c r="H36" s="95"/>
      <c r="I36" s="399"/>
      <c r="J36" s="97"/>
      <c r="K36" s="96"/>
      <c r="L36" s="99"/>
      <c r="M36" s="99"/>
      <c r="N36" s="100"/>
      <c r="O36" s="124"/>
      <c r="P36" s="99"/>
      <c r="Q36" s="99"/>
      <c r="R36" s="99"/>
      <c r="S36" s="99"/>
      <c r="T36" s="99"/>
      <c r="U36" s="381"/>
      <c r="V36" s="381"/>
      <c r="W36" s="381"/>
      <c r="X36" s="381"/>
      <c r="Y36" s="381"/>
      <c r="Z36" s="381"/>
      <c r="AA36" s="381"/>
      <c r="AB36" s="381"/>
      <c r="AC36" s="381"/>
    </row>
    <row r="37">
      <c r="A37" s="395"/>
      <c r="B37" s="102"/>
      <c r="C37" s="110"/>
      <c r="D37" s="396"/>
      <c r="E37" s="397"/>
      <c r="F37" s="106"/>
      <c r="G37" s="106"/>
      <c r="H37" s="106"/>
      <c r="I37" s="396"/>
      <c r="J37" s="108"/>
      <c r="K37" s="107"/>
      <c r="L37" s="109"/>
      <c r="M37" s="109"/>
      <c r="N37" s="110"/>
      <c r="O37" s="123"/>
      <c r="P37" s="109"/>
      <c r="Q37" s="109"/>
      <c r="R37" s="109"/>
      <c r="S37" s="109"/>
      <c r="T37" s="109"/>
      <c r="U37" s="381"/>
      <c r="V37" s="381"/>
      <c r="W37" s="381"/>
      <c r="X37" s="381"/>
      <c r="Y37" s="381"/>
      <c r="Z37" s="381"/>
      <c r="AA37" s="381"/>
      <c r="AB37" s="381"/>
      <c r="AC37" s="381"/>
    </row>
    <row r="38">
      <c r="A38" s="398"/>
      <c r="B38" s="91"/>
      <c r="C38" s="100"/>
      <c r="D38" s="399"/>
      <c r="E38" s="400"/>
      <c r="F38" s="95"/>
      <c r="G38" s="95"/>
      <c r="H38" s="95"/>
      <c r="I38" s="399"/>
      <c r="J38" s="97"/>
      <c r="K38" s="96"/>
      <c r="L38" s="99"/>
      <c r="M38" s="99"/>
      <c r="N38" s="100"/>
      <c r="O38" s="124"/>
      <c r="P38" s="99"/>
      <c r="Q38" s="99"/>
      <c r="R38" s="99"/>
      <c r="S38" s="99"/>
      <c r="T38" s="99"/>
      <c r="U38" s="381"/>
      <c r="V38" s="381"/>
      <c r="W38" s="381"/>
      <c r="X38" s="381"/>
      <c r="Y38" s="381"/>
      <c r="Z38" s="381"/>
      <c r="AA38" s="381"/>
      <c r="AB38" s="381"/>
      <c r="AC38" s="381"/>
    </row>
    <row r="39">
      <c r="A39" s="395"/>
      <c r="B39" s="102"/>
      <c r="C39" s="110"/>
      <c r="D39" s="396"/>
      <c r="E39" s="397"/>
      <c r="F39" s="106"/>
      <c r="G39" s="106"/>
      <c r="H39" s="106"/>
      <c r="I39" s="396"/>
      <c r="J39" s="108"/>
      <c r="K39" s="107"/>
      <c r="L39" s="109"/>
      <c r="M39" s="109"/>
      <c r="N39" s="110"/>
      <c r="O39" s="123"/>
      <c r="P39" s="109"/>
      <c r="Q39" s="109"/>
      <c r="R39" s="109"/>
      <c r="S39" s="109"/>
      <c r="T39" s="109"/>
      <c r="U39" s="381"/>
      <c r="V39" s="381"/>
      <c r="W39" s="381"/>
      <c r="X39" s="381"/>
      <c r="Y39" s="381"/>
      <c r="Z39" s="381"/>
      <c r="AA39" s="381"/>
      <c r="AB39" s="381"/>
      <c r="AC39" s="381"/>
    </row>
    <row r="40">
      <c r="A40" s="398"/>
      <c r="B40" s="91"/>
      <c r="C40" s="100"/>
      <c r="D40" s="399"/>
      <c r="E40" s="400"/>
      <c r="F40" s="95"/>
      <c r="G40" s="95"/>
      <c r="H40" s="95"/>
      <c r="I40" s="399"/>
      <c r="J40" s="97"/>
      <c r="K40" s="96"/>
      <c r="L40" s="99"/>
      <c r="M40" s="99"/>
      <c r="N40" s="100"/>
      <c r="O40" s="124"/>
      <c r="P40" s="99"/>
      <c r="Q40" s="99"/>
      <c r="R40" s="99"/>
      <c r="S40" s="99"/>
      <c r="T40" s="99"/>
      <c r="U40" s="381"/>
      <c r="V40" s="381"/>
      <c r="W40" s="381"/>
      <c r="X40" s="381"/>
      <c r="Y40" s="381"/>
      <c r="Z40" s="381"/>
      <c r="AA40" s="381"/>
      <c r="AB40" s="381"/>
      <c r="AC40" s="381"/>
    </row>
    <row r="41">
      <c r="A41" s="395"/>
      <c r="B41" s="102"/>
      <c r="C41" s="110"/>
      <c r="D41" s="396"/>
      <c r="E41" s="397"/>
      <c r="F41" s="106"/>
      <c r="G41" s="106"/>
      <c r="H41" s="106"/>
      <c r="I41" s="396"/>
      <c r="J41" s="108"/>
      <c r="K41" s="107"/>
      <c r="L41" s="109"/>
      <c r="M41" s="109"/>
      <c r="N41" s="110"/>
      <c r="O41" s="123"/>
      <c r="P41" s="109"/>
      <c r="Q41" s="109"/>
      <c r="R41" s="109"/>
      <c r="S41" s="109"/>
      <c r="T41" s="109"/>
      <c r="U41" s="381"/>
      <c r="V41" s="381"/>
      <c r="W41" s="381"/>
      <c r="X41" s="381"/>
      <c r="Y41" s="381"/>
      <c r="Z41" s="381"/>
      <c r="AA41" s="381"/>
      <c r="AB41" s="381"/>
      <c r="AC41" s="381"/>
    </row>
    <row r="42">
      <c r="A42" s="398"/>
      <c r="B42" s="91"/>
      <c r="C42" s="100"/>
      <c r="D42" s="399"/>
      <c r="E42" s="400"/>
      <c r="F42" s="95"/>
      <c r="G42" s="95"/>
      <c r="H42" s="95"/>
      <c r="I42" s="399"/>
      <c r="J42" s="97"/>
      <c r="K42" s="96"/>
      <c r="L42" s="99"/>
      <c r="M42" s="99"/>
      <c r="N42" s="100"/>
      <c r="O42" s="124"/>
      <c r="P42" s="99"/>
      <c r="Q42" s="99"/>
      <c r="R42" s="99"/>
      <c r="S42" s="99"/>
      <c r="T42" s="99"/>
      <c r="U42" s="381"/>
      <c r="V42" s="381"/>
      <c r="W42" s="381"/>
      <c r="X42" s="381"/>
      <c r="Y42" s="381"/>
      <c r="Z42" s="381"/>
      <c r="AA42" s="381"/>
      <c r="AB42" s="381"/>
      <c r="AC42" s="381"/>
    </row>
    <row r="43">
      <c r="A43" s="395"/>
      <c r="B43" s="102"/>
      <c r="C43" s="110"/>
      <c r="D43" s="396"/>
      <c r="E43" s="397"/>
      <c r="F43" s="106"/>
      <c r="G43" s="106"/>
      <c r="H43" s="106"/>
      <c r="I43" s="396"/>
      <c r="J43" s="108"/>
      <c r="K43" s="107"/>
      <c r="L43" s="109"/>
      <c r="M43" s="109"/>
      <c r="N43" s="110"/>
      <c r="O43" s="123"/>
      <c r="P43" s="109"/>
      <c r="Q43" s="109"/>
      <c r="R43" s="109"/>
      <c r="S43" s="109"/>
      <c r="T43" s="109"/>
      <c r="U43" s="381"/>
      <c r="V43" s="381"/>
      <c r="W43" s="381"/>
      <c r="X43" s="381"/>
      <c r="Y43" s="381"/>
      <c r="Z43" s="381"/>
      <c r="AA43" s="381"/>
      <c r="AB43" s="381"/>
      <c r="AC43" s="381"/>
    </row>
    <row r="44">
      <c r="A44" s="398"/>
      <c r="B44" s="91"/>
      <c r="C44" s="100"/>
      <c r="D44" s="399"/>
      <c r="E44" s="400"/>
      <c r="F44" s="95"/>
      <c r="G44" s="95"/>
      <c r="H44" s="95"/>
      <c r="I44" s="399"/>
      <c r="J44" s="97"/>
      <c r="K44" s="96"/>
      <c r="L44" s="99"/>
      <c r="M44" s="99"/>
      <c r="N44" s="100"/>
      <c r="O44" s="124"/>
      <c r="P44" s="99"/>
      <c r="Q44" s="99"/>
      <c r="R44" s="99"/>
      <c r="S44" s="99"/>
      <c r="T44" s="99"/>
      <c r="U44" s="381"/>
      <c r="V44" s="381"/>
      <c r="W44" s="381"/>
      <c r="X44" s="381"/>
      <c r="Y44" s="381"/>
      <c r="Z44" s="381"/>
      <c r="AA44" s="381"/>
      <c r="AB44" s="381"/>
      <c r="AC44" s="381"/>
    </row>
    <row r="45">
      <c r="A45" s="395"/>
      <c r="B45" s="102"/>
      <c r="C45" s="110"/>
      <c r="D45" s="396"/>
      <c r="E45" s="397"/>
      <c r="F45" s="106"/>
      <c r="G45" s="106"/>
      <c r="H45" s="106"/>
      <c r="I45" s="396"/>
      <c r="J45" s="108"/>
      <c r="K45" s="107"/>
      <c r="L45" s="109"/>
      <c r="M45" s="109"/>
      <c r="N45" s="110"/>
      <c r="O45" s="123"/>
      <c r="P45" s="109"/>
      <c r="Q45" s="109"/>
      <c r="R45" s="109"/>
      <c r="S45" s="109"/>
      <c r="T45" s="109"/>
      <c r="U45" s="381"/>
      <c r="V45" s="381"/>
      <c r="W45" s="381"/>
      <c r="X45" s="381"/>
      <c r="Y45" s="381"/>
      <c r="Z45" s="381"/>
      <c r="AA45" s="381"/>
      <c r="AB45" s="381"/>
      <c r="AC45" s="381"/>
    </row>
    <row r="46">
      <c r="A46" s="398"/>
      <c r="B46" s="91"/>
      <c r="C46" s="100"/>
      <c r="D46" s="399"/>
      <c r="E46" s="400"/>
      <c r="F46" s="95"/>
      <c r="G46" s="95"/>
      <c r="H46" s="95"/>
      <c r="I46" s="399"/>
      <c r="J46" s="97"/>
      <c r="K46" s="96"/>
      <c r="L46" s="99"/>
      <c r="M46" s="99"/>
      <c r="N46" s="100"/>
      <c r="O46" s="124"/>
      <c r="P46" s="99"/>
      <c r="Q46" s="99"/>
      <c r="R46" s="99"/>
      <c r="S46" s="99"/>
      <c r="T46" s="99"/>
      <c r="U46" s="381"/>
      <c r="V46" s="381"/>
      <c r="W46" s="381"/>
      <c r="X46" s="381"/>
      <c r="Y46" s="381"/>
      <c r="Z46" s="381"/>
      <c r="AA46" s="381"/>
      <c r="AB46" s="381"/>
      <c r="AC46" s="381"/>
    </row>
    <row r="47">
      <c r="A47" s="395"/>
      <c r="B47" s="102"/>
      <c r="C47" s="110"/>
      <c r="D47" s="396"/>
      <c r="E47" s="397"/>
      <c r="F47" s="106"/>
      <c r="G47" s="106"/>
      <c r="H47" s="106"/>
      <c r="I47" s="396"/>
      <c r="J47" s="108"/>
      <c r="K47" s="107"/>
      <c r="L47" s="109"/>
      <c r="M47" s="109"/>
      <c r="N47" s="110"/>
      <c r="O47" s="123"/>
      <c r="P47" s="109"/>
      <c r="Q47" s="109"/>
      <c r="R47" s="109"/>
      <c r="S47" s="109"/>
      <c r="T47" s="109"/>
      <c r="U47" s="381"/>
      <c r="V47" s="381"/>
      <c r="W47" s="381"/>
      <c r="X47" s="381"/>
      <c r="Y47" s="381"/>
      <c r="Z47" s="381"/>
      <c r="AA47" s="381"/>
      <c r="AB47" s="381"/>
      <c r="AC47" s="381"/>
    </row>
    <row r="48">
      <c r="A48" s="398"/>
      <c r="B48" s="91"/>
      <c r="C48" s="100"/>
      <c r="D48" s="399"/>
      <c r="E48" s="400"/>
      <c r="F48" s="95"/>
      <c r="G48" s="95"/>
      <c r="H48" s="95"/>
      <c r="I48" s="399"/>
      <c r="J48" s="97"/>
      <c r="K48" s="96"/>
      <c r="L48" s="99"/>
      <c r="M48" s="99"/>
      <c r="N48" s="100"/>
      <c r="O48" s="124"/>
      <c r="P48" s="99"/>
      <c r="Q48" s="99"/>
      <c r="R48" s="99"/>
      <c r="S48" s="99"/>
      <c r="T48" s="99"/>
      <c r="U48" s="381"/>
      <c r="V48" s="381"/>
      <c r="W48" s="381"/>
      <c r="X48" s="381"/>
      <c r="Y48" s="381"/>
      <c r="Z48" s="381"/>
      <c r="AA48" s="381"/>
      <c r="AB48" s="381"/>
      <c r="AC48" s="381"/>
    </row>
    <row r="49">
      <c r="A49" s="395"/>
      <c r="B49" s="102"/>
      <c r="C49" s="110"/>
      <c r="D49" s="396"/>
      <c r="E49" s="397"/>
      <c r="F49" s="106"/>
      <c r="G49" s="106"/>
      <c r="H49" s="106"/>
      <c r="I49" s="396"/>
      <c r="J49" s="108"/>
      <c r="K49" s="107"/>
      <c r="L49" s="109"/>
      <c r="M49" s="109"/>
      <c r="N49" s="110"/>
      <c r="O49" s="123"/>
      <c r="P49" s="109"/>
      <c r="Q49" s="109"/>
      <c r="R49" s="109"/>
      <c r="S49" s="109"/>
      <c r="T49" s="109"/>
      <c r="U49" s="381"/>
      <c r="V49" s="381"/>
      <c r="W49" s="381"/>
      <c r="X49" s="381"/>
      <c r="Y49" s="381"/>
      <c r="Z49" s="381"/>
      <c r="AA49" s="381"/>
      <c r="AB49" s="381"/>
      <c r="AC49" s="381"/>
    </row>
    <row r="50">
      <c r="A50" s="398"/>
      <c r="B50" s="91"/>
      <c r="C50" s="100"/>
      <c r="D50" s="399"/>
      <c r="E50" s="400"/>
      <c r="F50" s="95"/>
      <c r="G50" s="95"/>
      <c r="H50" s="95"/>
      <c r="I50" s="399"/>
      <c r="J50" s="97"/>
      <c r="K50" s="96"/>
      <c r="L50" s="99"/>
      <c r="M50" s="99"/>
      <c r="N50" s="100"/>
      <c r="O50" s="124"/>
      <c r="P50" s="99"/>
      <c r="Q50" s="99"/>
      <c r="R50" s="99"/>
      <c r="S50" s="99"/>
      <c r="T50" s="99"/>
      <c r="U50" s="381"/>
      <c r="V50" s="381"/>
      <c r="W50" s="381"/>
      <c r="X50" s="381"/>
      <c r="Y50" s="381"/>
      <c r="Z50" s="381"/>
      <c r="AA50" s="381"/>
      <c r="AB50" s="381"/>
      <c r="AC50" s="381"/>
    </row>
    <row r="51">
      <c r="A51" s="395"/>
      <c r="B51" s="102"/>
      <c r="C51" s="110"/>
      <c r="D51" s="396"/>
      <c r="E51" s="397"/>
      <c r="F51" s="106"/>
      <c r="G51" s="106"/>
      <c r="H51" s="106"/>
      <c r="I51" s="396"/>
      <c r="J51" s="108"/>
      <c r="K51" s="107"/>
      <c r="L51" s="109"/>
      <c r="M51" s="109"/>
      <c r="N51" s="110"/>
      <c r="O51" s="123"/>
      <c r="P51" s="109"/>
      <c r="Q51" s="109"/>
      <c r="R51" s="109"/>
      <c r="S51" s="109"/>
      <c r="T51" s="109"/>
      <c r="U51" s="381"/>
      <c r="V51" s="381"/>
      <c r="W51" s="381"/>
      <c r="X51" s="381"/>
      <c r="Y51" s="381"/>
      <c r="Z51" s="381"/>
      <c r="AA51" s="381"/>
      <c r="AB51" s="381"/>
      <c r="AC51" s="381"/>
    </row>
    <row r="52">
      <c r="A52" s="398"/>
      <c r="B52" s="91"/>
      <c r="C52" s="100"/>
      <c r="D52" s="399"/>
      <c r="E52" s="400"/>
      <c r="F52" s="95"/>
      <c r="G52" s="95"/>
      <c r="H52" s="95"/>
      <c r="I52" s="399"/>
      <c r="J52" s="97"/>
      <c r="K52" s="96"/>
      <c r="L52" s="99"/>
      <c r="M52" s="99"/>
      <c r="N52" s="100"/>
      <c r="O52" s="124"/>
      <c r="P52" s="99"/>
      <c r="Q52" s="99"/>
      <c r="R52" s="99"/>
      <c r="S52" s="99"/>
      <c r="T52" s="99"/>
      <c r="U52" s="381"/>
      <c r="V52" s="381"/>
      <c r="W52" s="381"/>
      <c r="X52" s="381"/>
      <c r="Y52" s="381"/>
      <c r="Z52" s="381"/>
      <c r="AA52" s="381"/>
      <c r="AB52" s="381"/>
      <c r="AC52" s="381"/>
    </row>
    <row r="53">
      <c r="A53" s="395"/>
      <c r="B53" s="102"/>
      <c r="C53" s="110"/>
      <c r="D53" s="396"/>
      <c r="E53" s="397"/>
      <c r="F53" s="106"/>
      <c r="G53" s="106"/>
      <c r="H53" s="106"/>
      <c r="I53" s="396"/>
      <c r="J53" s="108"/>
      <c r="K53" s="107"/>
      <c r="L53" s="109"/>
      <c r="M53" s="109"/>
      <c r="N53" s="110"/>
      <c r="O53" s="123"/>
      <c r="P53" s="109"/>
      <c r="Q53" s="109"/>
      <c r="R53" s="109"/>
      <c r="S53" s="109"/>
      <c r="T53" s="109"/>
      <c r="U53" s="381"/>
      <c r="V53" s="381"/>
      <c r="W53" s="381"/>
      <c r="X53" s="381"/>
      <c r="Y53" s="381"/>
      <c r="Z53" s="381"/>
      <c r="AA53" s="381"/>
      <c r="AB53" s="381"/>
      <c r="AC53" s="381"/>
    </row>
    <row r="54">
      <c r="A54" s="398"/>
      <c r="B54" s="91"/>
      <c r="C54" s="100"/>
      <c r="D54" s="399"/>
      <c r="E54" s="400"/>
      <c r="F54" s="95"/>
      <c r="G54" s="95"/>
      <c r="H54" s="95"/>
      <c r="I54" s="399"/>
      <c r="J54" s="97"/>
      <c r="K54" s="96"/>
      <c r="L54" s="99"/>
      <c r="M54" s="99"/>
      <c r="N54" s="100"/>
      <c r="O54" s="124"/>
      <c r="P54" s="99"/>
      <c r="Q54" s="99"/>
      <c r="R54" s="99"/>
      <c r="S54" s="99"/>
      <c r="T54" s="99"/>
      <c r="U54" s="381"/>
      <c r="V54" s="381"/>
      <c r="W54" s="381"/>
      <c r="X54" s="381"/>
      <c r="Y54" s="381"/>
      <c r="Z54" s="381"/>
      <c r="AA54" s="381"/>
      <c r="AB54" s="381"/>
      <c r="AC54" s="381"/>
    </row>
    <row r="55">
      <c r="A55" s="395"/>
      <c r="B55" s="102"/>
      <c r="C55" s="110"/>
      <c r="D55" s="396"/>
      <c r="E55" s="397"/>
      <c r="F55" s="106"/>
      <c r="G55" s="106"/>
      <c r="H55" s="106"/>
      <c r="I55" s="396"/>
      <c r="J55" s="108"/>
      <c r="K55" s="107"/>
      <c r="L55" s="109"/>
      <c r="M55" s="109"/>
      <c r="N55" s="110"/>
      <c r="O55" s="123"/>
      <c r="P55" s="109"/>
      <c r="Q55" s="109"/>
      <c r="R55" s="109"/>
      <c r="S55" s="109"/>
      <c r="T55" s="109"/>
      <c r="U55" s="381"/>
      <c r="V55" s="381"/>
      <c r="W55" s="381"/>
      <c r="X55" s="381"/>
      <c r="Y55" s="381"/>
      <c r="Z55" s="381"/>
      <c r="AA55" s="381"/>
      <c r="AB55" s="381"/>
      <c r="AC55" s="381"/>
    </row>
    <row r="56">
      <c r="A56" s="398"/>
      <c r="B56" s="91"/>
      <c r="C56" s="100"/>
      <c r="D56" s="399"/>
      <c r="E56" s="400"/>
      <c r="F56" s="95"/>
      <c r="G56" s="95"/>
      <c r="H56" s="95"/>
      <c r="I56" s="399"/>
      <c r="J56" s="97"/>
      <c r="K56" s="96"/>
      <c r="L56" s="99"/>
      <c r="M56" s="99"/>
      <c r="N56" s="100"/>
      <c r="O56" s="124"/>
      <c r="P56" s="99"/>
      <c r="Q56" s="99"/>
      <c r="R56" s="99"/>
      <c r="S56" s="99"/>
      <c r="T56" s="99"/>
      <c r="U56" s="381"/>
      <c r="V56" s="381"/>
      <c r="W56" s="381"/>
      <c r="X56" s="381"/>
      <c r="Y56" s="381"/>
      <c r="Z56" s="381"/>
      <c r="AA56" s="381"/>
      <c r="AB56" s="381"/>
      <c r="AC56" s="381"/>
    </row>
    <row r="57">
      <c r="A57" s="395"/>
      <c r="B57" s="102"/>
      <c r="C57" s="110"/>
      <c r="D57" s="396"/>
      <c r="E57" s="397"/>
      <c r="F57" s="106"/>
      <c r="G57" s="106"/>
      <c r="H57" s="106"/>
      <c r="I57" s="396"/>
      <c r="J57" s="108"/>
      <c r="K57" s="107"/>
      <c r="L57" s="109"/>
      <c r="M57" s="109"/>
      <c r="N57" s="110"/>
      <c r="O57" s="123"/>
      <c r="P57" s="109"/>
      <c r="Q57" s="109"/>
      <c r="R57" s="109"/>
      <c r="S57" s="109"/>
      <c r="T57" s="109"/>
      <c r="U57" s="381"/>
      <c r="V57" s="381"/>
      <c r="W57" s="381"/>
      <c r="X57" s="381"/>
      <c r="Y57" s="381"/>
      <c r="Z57" s="381"/>
      <c r="AA57" s="381"/>
      <c r="AB57" s="381"/>
      <c r="AC57" s="381"/>
    </row>
    <row r="58">
      <c r="A58" s="398"/>
      <c r="B58" s="91"/>
      <c r="C58" s="100"/>
      <c r="D58" s="399"/>
      <c r="E58" s="400"/>
      <c r="F58" s="95"/>
      <c r="G58" s="95"/>
      <c r="H58" s="95"/>
      <c r="I58" s="399"/>
      <c r="J58" s="97"/>
      <c r="K58" s="96"/>
      <c r="L58" s="99"/>
      <c r="M58" s="99"/>
      <c r="N58" s="100"/>
      <c r="O58" s="124"/>
      <c r="P58" s="99"/>
      <c r="Q58" s="99"/>
      <c r="R58" s="99"/>
      <c r="S58" s="99"/>
      <c r="T58" s="99"/>
      <c r="U58" s="381"/>
      <c r="V58" s="381"/>
      <c r="W58" s="381"/>
      <c r="X58" s="381"/>
      <c r="Y58" s="381"/>
      <c r="Z58" s="381"/>
      <c r="AA58" s="381"/>
      <c r="AB58" s="381"/>
      <c r="AC58" s="381"/>
    </row>
    <row r="59">
      <c r="A59" s="395"/>
      <c r="B59" s="102"/>
      <c r="C59" s="110"/>
      <c r="D59" s="396"/>
      <c r="E59" s="397"/>
      <c r="F59" s="106"/>
      <c r="G59" s="106"/>
      <c r="H59" s="106"/>
      <c r="I59" s="396"/>
      <c r="J59" s="108"/>
      <c r="K59" s="107"/>
      <c r="L59" s="109"/>
      <c r="M59" s="109"/>
      <c r="N59" s="110"/>
      <c r="O59" s="123"/>
      <c r="P59" s="109"/>
      <c r="Q59" s="109"/>
      <c r="R59" s="109"/>
      <c r="S59" s="109"/>
      <c r="T59" s="109"/>
      <c r="U59" s="381"/>
      <c r="V59" s="381"/>
      <c r="W59" s="381"/>
      <c r="X59" s="381"/>
      <c r="Y59" s="381"/>
      <c r="Z59" s="381"/>
      <c r="AA59" s="381"/>
      <c r="AB59" s="381"/>
      <c r="AC59" s="381"/>
    </row>
    <row r="60">
      <c r="A60" s="398"/>
      <c r="B60" s="91"/>
      <c r="C60" s="100"/>
      <c r="D60" s="399"/>
      <c r="E60" s="400"/>
      <c r="F60" s="95"/>
      <c r="G60" s="95"/>
      <c r="H60" s="95"/>
      <c r="I60" s="399"/>
      <c r="J60" s="97"/>
      <c r="K60" s="96"/>
      <c r="L60" s="99"/>
      <c r="M60" s="99"/>
      <c r="N60" s="100"/>
      <c r="O60" s="124"/>
      <c r="P60" s="99"/>
      <c r="Q60" s="99"/>
      <c r="R60" s="99"/>
      <c r="S60" s="99"/>
      <c r="T60" s="99"/>
      <c r="U60" s="381"/>
      <c r="V60" s="381"/>
      <c r="W60" s="381"/>
      <c r="X60" s="381"/>
      <c r="Y60" s="381"/>
      <c r="Z60" s="381"/>
      <c r="AA60" s="381"/>
      <c r="AB60" s="381"/>
      <c r="AC60" s="381"/>
    </row>
    <row r="61">
      <c r="A61" s="395"/>
      <c r="B61" s="102"/>
      <c r="C61" s="110"/>
      <c r="D61" s="396"/>
      <c r="E61" s="397"/>
      <c r="F61" s="106"/>
      <c r="G61" s="106"/>
      <c r="H61" s="106"/>
      <c r="I61" s="396"/>
      <c r="J61" s="108"/>
      <c r="K61" s="107"/>
      <c r="L61" s="109"/>
      <c r="M61" s="109"/>
      <c r="N61" s="110"/>
      <c r="O61" s="123"/>
      <c r="P61" s="109"/>
      <c r="Q61" s="109"/>
      <c r="R61" s="109"/>
      <c r="S61" s="109"/>
      <c r="T61" s="109"/>
      <c r="U61" s="381"/>
      <c r="V61" s="381"/>
      <c r="W61" s="381"/>
      <c r="X61" s="381"/>
      <c r="Y61" s="381"/>
      <c r="Z61" s="381"/>
      <c r="AA61" s="381"/>
      <c r="AB61" s="381"/>
      <c r="AC61" s="381"/>
    </row>
    <row r="62">
      <c r="A62" s="398"/>
      <c r="B62" s="91"/>
      <c r="C62" s="100"/>
      <c r="D62" s="399"/>
      <c r="E62" s="400"/>
      <c r="F62" s="95"/>
      <c r="G62" s="95"/>
      <c r="H62" s="95"/>
      <c r="I62" s="399"/>
      <c r="J62" s="97"/>
      <c r="K62" s="96"/>
      <c r="L62" s="99"/>
      <c r="M62" s="99"/>
      <c r="N62" s="100"/>
      <c r="O62" s="124"/>
      <c r="P62" s="99"/>
      <c r="Q62" s="99"/>
      <c r="R62" s="99"/>
      <c r="S62" s="99"/>
      <c r="T62" s="99"/>
      <c r="U62" s="381"/>
      <c r="V62" s="381"/>
      <c r="W62" s="381"/>
      <c r="X62" s="381"/>
      <c r="Y62" s="381"/>
      <c r="Z62" s="381"/>
      <c r="AA62" s="381"/>
      <c r="AB62" s="381"/>
      <c r="AC62" s="381"/>
    </row>
    <row r="63">
      <c r="A63" s="395"/>
      <c r="B63" s="102"/>
      <c r="C63" s="110"/>
      <c r="D63" s="396"/>
      <c r="E63" s="397"/>
      <c r="F63" s="106"/>
      <c r="G63" s="106"/>
      <c r="H63" s="106"/>
      <c r="I63" s="396"/>
      <c r="J63" s="108"/>
      <c r="K63" s="107"/>
      <c r="L63" s="109"/>
      <c r="M63" s="109"/>
      <c r="N63" s="110"/>
      <c r="O63" s="123"/>
      <c r="P63" s="109"/>
      <c r="Q63" s="109"/>
      <c r="R63" s="109"/>
      <c r="S63" s="109"/>
      <c r="T63" s="109"/>
      <c r="U63" s="381"/>
      <c r="V63" s="381"/>
      <c r="W63" s="381"/>
      <c r="X63" s="381"/>
      <c r="Y63" s="381"/>
      <c r="Z63" s="381"/>
      <c r="AA63" s="381"/>
      <c r="AB63" s="381"/>
      <c r="AC63" s="381"/>
    </row>
    <row r="64">
      <c r="A64" s="398"/>
      <c r="B64" s="91"/>
      <c r="C64" s="100"/>
      <c r="D64" s="399"/>
      <c r="E64" s="400"/>
      <c r="F64" s="95"/>
      <c r="G64" s="95"/>
      <c r="H64" s="95"/>
      <c r="I64" s="399"/>
      <c r="J64" s="97"/>
      <c r="K64" s="96"/>
      <c r="L64" s="99"/>
      <c r="M64" s="99"/>
      <c r="N64" s="100"/>
      <c r="O64" s="124"/>
      <c r="P64" s="99"/>
      <c r="Q64" s="99"/>
      <c r="R64" s="99"/>
      <c r="S64" s="99"/>
      <c r="T64" s="99"/>
      <c r="U64" s="381"/>
      <c r="V64" s="381"/>
      <c r="W64" s="381"/>
      <c r="X64" s="381"/>
      <c r="Y64" s="381"/>
      <c r="Z64" s="381"/>
      <c r="AA64" s="381"/>
      <c r="AB64" s="381"/>
      <c r="AC64" s="381"/>
    </row>
    <row r="65">
      <c r="A65" s="395"/>
      <c r="B65" s="102"/>
      <c r="C65" s="110"/>
      <c r="D65" s="396"/>
      <c r="E65" s="397"/>
      <c r="F65" s="106"/>
      <c r="G65" s="106"/>
      <c r="H65" s="106"/>
      <c r="I65" s="396"/>
      <c r="J65" s="108"/>
      <c r="K65" s="107"/>
      <c r="L65" s="109"/>
      <c r="M65" s="109"/>
      <c r="N65" s="110"/>
      <c r="O65" s="123"/>
      <c r="P65" s="109"/>
      <c r="Q65" s="109"/>
      <c r="R65" s="109"/>
      <c r="S65" s="109"/>
      <c r="T65" s="109"/>
      <c r="U65" s="381"/>
      <c r="V65" s="381"/>
      <c r="W65" s="381"/>
      <c r="X65" s="381"/>
      <c r="Y65" s="381"/>
      <c r="Z65" s="381"/>
      <c r="AA65" s="381"/>
      <c r="AB65" s="381"/>
      <c r="AC65" s="381"/>
    </row>
    <row r="66">
      <c r="A66" s="398"/>
      <c r="B66" s="91"/>
      <c r="C66" s="100"/>
      <c r="D66" s="399"/>
      <c r="E66" s="400"/>
      <c r="F66" s="95"/>
      <c r="G66" s="95"/>
      <c r="H66" s="95"/>
      <c r="I66" s="399"/>
      <c r="J66" s="97"/>
      <c r="K66" s="96"/>
      <c r="L66" s="99"/>
      <c r="M66" s="99"/>
      <c r="N66" s="100"/>
      <c r="O66" s="124"/>
      <c r="P66" s="99"/>
      <c r="Q66" s="99"/>
      <c r="R66" s="99"/>
      <c r="S66" s="99"/>
      <c r="T66" s="99"/>
      <c r="U66" s="381"/>
      <c r="V66" s="381"/>
      <c r="W66" s="381"/>
      <c r="X66" s="381"/>
      <c r="Y66" s="381"/>
      <c r="Z66" s="381"/>
      <c r="AA66" s="381"/>
      <c r="AB66" s="381"/>
      <c r="AC66" s="381"/>
    </row>
    <row r="67">
      <c r="A67" s="395"/>
      <c r="B67" s="102"/>
      <c r="C67" s="110"/>
      <c r="D67" s="396"/>
      <c r="E67" s="397"/>
      <c r="F67" s="106"/>
      <c r="G67" s="106"/>
      <c r="H67" s="106"/>
      <c r="I67" s="396"/>
      <c r="J67" s="108"/>
      <c r="K67" s="107"/>
      <c r="L67" s="109"/>
      <c r="M67" s="109"/>
      <c r="N67" s="110"/>
      <c r="O67" s="123"/>
      <c r="P67" s="109"/>
      <c r="Q67" s="109"/>
      <c r="R67" s="109"/>
      <c r="S67" s="109"/>
      <c r="T67" s="109"/>
      <c r="U67" s="381"/>
      <c r="V67" s="381"/>
      <c r="W67" s="381"/>
      <c r="X67" s="381"/>
      <c r="Y67" s="381"/>
      <c r="Z67" s="381"/>
      <c r="AA67" s="381"/>
      <c r="AB67" s="381"/>
      <c r="AC67" s="381"/>
    </row>
    <row r="68">
      <c r="A68" s="398"/>
      <c r="B68" s="91"/>
      <c r="C68" s="100"/>
      <c r="D68" s="399"/>
      <c r="E68" s="400"/>
      <c r="F68" s="95"/>
      <c r="G68" s="95"/>
      <c r="H68" s="95"/>
      <c r="I68" s="399"/>
      <c r="J68" s="97"/>
      <c r="K68" s="96"/>
      <c r="L68" s="99"/>
      <c r="M68" s="99"/>
      <c r="N68" s="100"/>
      <c r="O68" s="124"/>
      <c r="P68" s="99"/>
      <c r="Q68" s="99"/>
      <c r="R68" s="99"/>
      <c r="S68" s="99"/>
      <c r="T68" s="99"/>
      <c r="U68" s="381"/>
      <c r="V68" s="381"/>
      <c r="W68" s="381"/>
      <c r="X68" s="381"/>
      <c r="Y68" s="381"/>
      <c r="Z68" s="381"/>
      <c r="AA68" s="381"/>
      <c r="AB68" s="381"/>
      <c r="AC68" s="381"/>
    </row>
    <row r="69">
      <c r="A69" s="395"/>
      <c r="B69" s="102"/>
      <c r="C69" s="110"/>
      <c r="D69" s="396"/>
      <c r="E69" s="397"/>
      <c r="F69" s="106"/>
      <c r="G69" s="106"/>
      <c r="H69" s="106"/>
      <c r="I69" s="396"/>
      <c r="J69" s="108"/>
      <c r="K69" s="107"/>
      <c r="L69" s="109"/>
      <c r="M69" s="109"/>
      <c r="N69" s="110"/>
      <c r="O69" s="123"/>
      <c r="P69" s="109"/>
      <c r="Q69" s="109"/>
      <c r="R69" s="109"/>
      <c r="S69" s="109"/>
      <c r="T69" s="109"/>
      <c r="U69" s="381"/>
      <c r="V69" s="381"/>
      <c r="W69" s="381"/>
      <c r="X69" s="381"/>
      <c r="Y69" s="381"/>
      <c r="Z69" s="381"/>
      <c r="AA69" s="381"/>
      <c r="AB69" s="381"/>
      <c r="AC69" s="381"/>
    </row>
    <row r="70">
      <c r="A70" s="398"/>
      <c r="B70" s="91"/>
      <c r="C70" s="100"/>
      <c r="D70" s="399"/>
      <c r="E70" s="400"/>
      <c r="F70" s="95"/>
      <c r="G70" s="95"/>
      <c r="H70" s="95"/>
      <c r="I70" s="399"/>
      <c r="J70" s="97"/>
      <c r="K70" s="96"/>
      <c r="L70" s="99"/>
      <c r="M70" s="99"/>
      <c r="N70" s="100"/>
      <c r="O70" s="124"/>
      <c r="P70" s="99"/>
      <c r="Q70" s="99"/>
      <c r="R70" s="99"/>
      <c r="S70" s="99"/>
      <c r="T70" s="99"/>
      <c r="U70" s="381"/>
      <c r="V70" s="381"/>
      <c r="W70" s="381"/>
      <c r="X70" s="381"/>
      <c r="Y70" s="381"/>
      <c r="Z70" s="381"/>
      <c r="AA70" s="381"/>
      <c r="AB70" s="381"/>
      <c r="AC70" s="381"/>
    </row>
    <row r="71">
      <c r="A71" s="395"/>
      <c r="B71" s="102"/>
      <c r="C71" s="110"/>
      <c r="D71" s="396"/>
      <c r="E71" s="397"/>
      <c r="F71" s="106"/>
      <c r="G71" s="106"/>
      <c r="H71" s="106"/>
      <c r="I71" s="396"/>
      <c r="J71" s="108"/>
      <c r="K71" s="107"/>
      <c r="L71" s="109"/>
      <c r="M71" s="109"/>
      <c r="N71" s="110"/>
      <c r="O71" s="123"/>
      <c r="P71" s="109"/>
      <c r="Q71" s="109"/>
      <c r="R71" s="109"/>
      <c r="S71" s="109"/>
      <c r="T71" s="109"/>
      <c r="U71" s="381"/>
      <c r="V71" s="381"/>
      <c r="W71" s="381"/>
      <c r="X71" s="381"/>
      <c r="Y71" s="381"/>
      <c r="Z71" s="381"/>
      <c r="AA71" s="381"/>
      <c r="AB71" s="381"/>
      <c r="AC71" s="381"/>
    </row>
    <row r="72">
      <c r="A72" s="398"/>
      <c r="B72" s="91"/>
      <c r="C72" s="100"/>
      <c r="D72" s="399"/>
      <c r="E72" s="400"/>
      <c r="F72" s="95"/>
      <c r="G72" s="95"/>
      <c r="H72" s="95"/>
      <c r="I72" s="399"/>
      <c r="J72" s="97"/>
      <c r="K72" s="96"/>
      <c r="L72" s="99"/>
      <c r="M72" s="99"/>
      <c r="N72" s="100"/>
      <c r="O72" s="124"/>
      <c r="P72" s="99"/>
      <c r="Q72" s="99"/>
      <c r="R72" s="99"/>
      <c r="S72" s="99"/>
      <c r="T72" s="99"/>
      <c r="U72" s="381"/>
      <c r="V72" s="381"/>
      <c r="W72" s="381"/>
      <c r="X72" s="381"/>
      <c r="Y72" s="381"/>
      <c r="Z72" s="381"/>
      <c r="AA72" s="381"/>
      <c r="AB72" s="381"/>
      <c r="AC72" s="381"/>
    </row>
    <row r="73">
      <c r="A73" s="395"/>
      <c r="B73" s="102"/>
      <c r="C73" s="110"/>
      <c r="D73" s="396"/>
      <c r="E73" s="397"/>
      <c r="F73" s="106"/>
      <c r="G73" s="106"/>
      <c r="H73" s="106"/>
      <c r="I73" s="396"/>
      <c r="J73" s="108"/>
      <c r="K73" s="107"/>
      <c r="L73" s="109"/>
      <c r="M73" s="109"/>
      <c r="N73" s="110"/>
      <c r="O73" s="123"/>
      <c r="P73" s="109"/>
      <c r="Q73" s="109"/>
      <c r="R73" s="109"/>
      <c r="S73" s="109"/>
      <c r="T73" s="109"/>
      <c r="U73" s="381"/>
      <c r="V73" s="381"/>
      <c r="W73" s="381"/>
      <c r="X73" s="381"/>
      <c r="Y73" s="381"/>
      <c r="Z73" s="381"/>
      <c r="AA73" s="381"/>
      <c r="AB73" s="381"/>
      <c r="AC73" s="381"/>
    </row>
    <row r="74">
      <c r="A74" s="398"/>
      <c r="B74" s="91"/>
      <c r="C74" s="100"/>
      <c r="D74" s="399"/>
      <c r="E74" s="400"/>
      <c r="F74" s="95"/>
      <c r="G74" s="95"/>
      <c r="H74" s="95"/>
      <c r="I74" s="399"/>
      <c r="J74" s="97"/>
      <c r="K74" s="96"/>
      <c r="L74" s="99"/>
      <c r="M74" s="99"/>
      <c r="N74" s="100"/>
      <c r="O74" s="124"/>
      <c r="P74" s="99"/>
      <c r="Q74" s="99"/>
      <c r="R74" s="99"/>
      <c r="S74" s="99"/>
      <c r="T74" s="99"/>
      <c r="U74" s="381"/>
      <c r="V74" s="381"/>
      <c r="W74" s="381"/>
      <c r="X74" s="381"/>
      <c r="Y74" s="381"/>
      <c r="Z74" s="381"/>
      <c r="AA74" s="381"/>
      <c r="AB74" s="381"/>
      <c r="AC74" s="381"/>
    </row>
    <row r="75">
      <c r="A75" s="395"/>
      <c r="B75" s="102"/>
      <c r="C75" s="110"/>
      <c r="D75" s="396"/>
      <c r="E75" s="397"/>
      <c r="F75" s="106"/>
      <c r="G75" s="106"/>
      <c r="H75" s="106"/>
      <c r="I75" s="396"/>
      <c r="J75" s="108"/>
      <c r="K75" s="107"/>
      <c r="L75" s="109"/>
      <c r="M75" s="109"/>
      <c r="N75" s="110"/>
      <c r="O75" s="123"/>
      <c r="P75" s="109"/>
      <c r="Q75" s="109"/>
      <c r="R75" s="109"/>
      <c r="S75" s="109"/>
      <c r="T75" s="109"/>
      <c r="U75" s="381"/>
      <c r="V75" s="381"/>
      <c r="W75" s="381"/>
      <c r="X75" s="381"/>
      <c r="Y75" s="381"/>
      <c r="Z75" s="381"/>
      <c r="AA75" s="381"/>
      <c r="AB75" s="381"/>
      <c r="AC75" s="381"/>
    </row>
    <row r="76">
      <c r="A76" s="398"/>
      <c r="B76" s="91"/>
      <c r="C76" s="100"/>
      <c r="D76" s="399"/>
      <c r="E76" s="400"/>
      <c r="F76" s="95"/>
      <c r="G76" s="95"/>
      <c r="H76" s="95"/>
      <c r="I76" s="399"/>
      <c r="J76" s="97"/>
      <c r="K76" s="96"/>
      <c r="L76" s="99"/>
      <c r="M76" s="99"/>
      <c r="N76" s="100"/>
      <c r="O76" s="124"/>
      <c r="P76" s="99"/>
      <c r="Q76" s="99"/>
      <c r="R76" s="99"/>
      <c r="S76" s="99"/>
      <c r="T76" s="99"/>
      <c r="U76" s="381"/>
      <c r="V76" s="381"/>
      <c r="W76" s="381"/>
      <c r="X76" s="381"/>
      <c r="Y76" s="381"/>
      <c r="Z76" s="381"/>
      <c r="AA76" s="381"/>
      <c r="AB76" s="381"/>
      <c r="AC76" s="381"/>
    </row>
    <row r="77">
      <c r="A77" s="395"/>
      <c r="B77" s="102"/>
      <c r="C77" s="110"/>
      <c r="D77" s="396"/>
      <c r="E77" s="397"/>
      <c r="F77" s="106"/>
      <c r="G77" s="106"/>
      <c r="H77" s="106"/>
      <c r="I77" s="396"/>
      <c r="J77" s="108"/>
      <c r="K77" s="107"/>
      <c r="L77" s="109"/>
      <c r="M77" s="109"/>
      <c r="N77" s="110"/>
      <c r="O77" s="123"/>
      <c r="P77" s="109"/>
      <c r="Q77" s="109"/>
      <c r="R77" s="109"/>
      <c r="S77" s="109"/>
      <c r="T77" s="109"/>
      <c r="U77" s="381"/>
      <c r="V77" s="381"/>
      <c r="W77" s="381"/>
      <c r="X77" s="381"/>
      <c r="Y77" s="381"/>
      <c r="Z77" s="381"/>
      <c r="AA77" s="381"/>
      <c r="AB77" s="381"/>
      <c r="AC77" s="381"/>
    </row>
    <row r="78">
      <c r="A78" s="398"/>
      <c r="B78" s="91"/>
      <c r="C78" s="100"/>
      <c r="D78" s="399"/>
      <c r="E78" s="400"/>
      <c r="F78" s="95"/>
      <c r="G78" s="95"/>
      <c r="H78" s="95"/>
      <c r="I78" s="399"/>
      <c r="J78" s="97"/>
      <c r="K78" s="96"/>
      <c r="L78" s="99"/>
      <c r="M78" s="99"/>
      <c r="N78" s="100"/>
      <c r="O78" s="124"/>
      <c r="P78" s="99"/>
      <c r="Q78" s="99"/>
      <c r="R78" s="99"/>
      <c r="S78" s="99"/>
      <c r="T78" s="99"/>
      <c r="U78" s="381"/>
      <c r="V78" s="381"/>
      <c r="W78" s="381"/>
      <c r="X78" s="381"/>
      <c r="Y78" s="381"/>
      <c r="Z78" s="381"/>
      <c r="AA78" s="381"/>
      <c r="AB78" s="381"/>
      <c r="AC78" s="381"/>
    </row>
    <row r="79">
      <c r="A79" s="395"/>
      <c r="B79" s="102"/>
      <c r="C79" s="110"/>
      <c r="D79" s="396"/>
      <c r="E79" s="397"/>
      <c r="F79" s="106"/>
      <c r="G79" s="106"/>
      <c r="H79" s="106"/>
      <c r="I79" s="396"/>
      <c r="J79" s="108"/>
      <c r="K79" s="107"/>
      <c r="L79" s="109"/>
      <c r="M79" s="109"/>
      <c r="N79" s="110"/>
      <c r="O79" s="123"/>
      <c r="P79" s="109"/>
      <c r="Q79" s="109"/>
      <c r="R79" s="109"/>
      <c r="S79" s="109"/>
      <c r="T79" s="109"/>
      <c r="U79" s="381"/>
      <c r="V79" s="381"/>
      <c r="W79" s="381"/>
      <c r="X79" s="381"/>
      <c r="Y79" s="381"/>
      <c r="Z79" s="381"/>
      <c r="AA79" s="381"/>
      <c r="AB79" s="381"/>
      <c r="AC79" s="381"/>
    </row>
    <row r="80">
      <c r="A80" s="398"/>
      <c r="B80" s="91"/>
      <c r="C80" s="100"/>
      <c r="D80" s="399"/>
      <c r="E80" s="400"/>
      <c r="F80" s="95"/>
      <c r="G80" s="95"/>
      <c r="H80" s="95"/>
      <c r="I80" s="399"/>
      <c r="J80" s="97"/>
      <c r="K80" s="96"/>
      <c r="L80" s="99"/>
      <c r="M80" s="99"/>
      <c r="N80" s="100"/>
      <c r="O80" s="124"/>
      <c r="P80" s="99"/>
      <c r="Q80" s="99"/>
      <c r="R80" s="99"/>
      <c r="S80" s="99"/>
      <c r="T80" s="99"/>
      <c r="U80" s="381"/>
      <c r="V80" s="381"/>
      <c r="W80" s="381"/>
      <c r="X80" s="381"/>
      <c r="Y80" s="381"/>
      <c r="Z80" s="381"/>
      <c r="AA80" s="381"/>
      <c r="AB80" s="381"/>
      <c r="AC80" s="381"/>
    </row>
    <row r="81">
      <c r="A81" s="395"/>
      <c r="B81" s="102"/>
      <c r="C81" s="110"/>
      <c r="D81" s="396"/>
      <c r="E81" s="397"/>
      <c r="F81" s="106"/>
      <c r="G81" s="106"/>
      <c r="H81" s="106"/>
      <c r="I81" s="396"/>
      <c r="J81" s="108"/>
      <c r="K81" s="107"/>
      <c r="L81" s="109"/>
      <c r="M81" s="109"/>
      <c r="N81" s="110"/>
      <c r="O81" s="123"/>
      <c r="P81" s="109"/>
      <c r="Q81" s="109"/>
      <c r="R81" s="109"/>
      <c r="S81" s="109"/>
      <c r="T81" s="109"/>
      <c r="U81" s="381"/>
      <c r="V81" s="381"/>
      <c r="W81" s="381"/>
      <c r="X81" s="381"/>
      <c r="Y81" s="381"/>
      <c r="Z81" s="381"/>
      <c r="AA81" s="381"/>
      <c r="AB81" s="381"/>
      <c r="AC81" s="381"/>
    </row>
    <row r="82">
      <c r="A82" s="398"/>
      <c r="B82" s="91"/>
      <c r="C82" s="100"/>
      <c r="D82" s="399"/>
      <c r="E82" s="400"/>
      <c r="F82" s="95"/>
      <c r="G82" s="95"/>
      <c r="H82" s="95"/>
      <c r="I82" s="399"/>
      <c r="J82" s="97"/>
      <c r="K82" s="96"/>
      <c r="L82" s="99"/>
      <c r="M82" s="99"/>
      <c r="N82" s="100"/>
      <c r="O82" s="124"/>
      <c r="P82" s="99"/>
      <c r="Q82" s="99"/>
      <c r="R82" s="99"/>
      <c r="S82" s="99"/>
      <c r="T82" s="99"/>
      <c r="U82" s="381"/>
      <c r="V82" s="381"/>
      <c r="W82" s="381"/>
      <c r="X82" s="381"/>
      <c r="Y82" s="381"/>
      <c r="Z82" s="381"/>
      <c r="AA82" s="381"/>
      <c r="AB82" s="381"/>
      <c r="AC82" s="381"/>
    </row>
    <row r="83">
      <c r="A83" s="395"/>
      <c r="B83" s="102"/>
      <c r="C83" s="110"/>
      <c r="D83" s="396"/>
      <c r="E83" s="397"/>
      <c r="F83" s="106"/>
      <c r="G83" s="106"/>
      <c r="H83" s="106"/>
      <c r="I83" s="396"/>
      <c r="J83" s="108"/>
      <c r="K83" s="107"/>
      <c r="L83" s="109"/>
      <c r="M83" s="109"/>
      <c r="N83" s="110"/>
      <c r="O83" s="123"/>
      <c r="P83" s="109"/>
      <c r="Q83" s="109"/>
      <c r="R83" s="109"/>
      <c r="S83" s="109"/>
      <c r="T83" s="109"/>
      <c r="U83" s="381"/>
      <c r="V83" s="381"/>
      <c r="W83" s="381"/>
      <c r="X83" s="381"/>
      <c r="Y83" s="381"/>
      <c r="Z83" s="381"/>
      <c r="AA83" s="381"/>
      <c r="AB83" s="381"/>
      <c r="AC83" s="381"/>
    </row>
    <row r="84">
      <c r="A84" s="398"/>
      <c r="B84" s="91"/>
      <c r="C84" s="100"/>
      <c r="D84" s="399"/>
      <c r="E84" s="400"/>
      <c r="F84" s="95"/>
      <c r="G84" s="95"/>
      <c r="H84" s="95"/>
      <c r="I84" s="399"/>
      <c r="J84" s="97"/>
      <c r="K84" s="96"/>
      <c r="L84" s="99"/>
      <c r="M84" s="99"/>
      <c r="N84" s="100"/>
      <c r="O84" s="124"/>
      <c r="P84" s="99"/>
      <c r="Q84" s="99"/>
      <c r="R84" s="99"/>
      <c r="S84" s="99"/>
      <c r="T84" s="99"/>
      <c r="U84" s="381"/>
      <c r="V84" s="381"/>
      <c r="W84" s="381"/>
      <c r="X84" s="381"/>
      <c r="Y84" s="381"/>
      <c r="Z84" s="381"/>
      <c r="AA84" s="381"/>
      <c r="AB84" s="381"/>
      <c r="AC84" s="381"/>
    </row>
    <row r="85">
      <c r="A85" s="395"/>
      <c r="B85" s="102"/>
      <c r="C85" s="110"/>
      <c r="D85" s="396"/>
      <c r="E85" s="397"/>
      <c r="F85" s="106"/>
      <c r="G85" s="106"/>
      <c r="H85" s="106"/>
      <c r="I85" s="396"/>
      <c r="J85" s="108"/>
      <c r="K85" s="107"/>
      <c r="L85" s="109"/>
      <c r="M85" s="109"/>
      <c r="N85" s="110"/>
      <c r="O85" s="123"/>
      <c r="P85" s="109"/>
      <c r="Q85" s="109"/>
      <c r="R85" s="109"/>
      <c r="S85" s="109"/>
      <c r="T85" s="109"/>
      <c r="U85" s="381"/>
      <c r="V85" s="381"/>
      <c r="W85" s="381"/>
      <c r="X85" s="381"/>
      <c r="Y85" s="381"/>
      <c r="Z85" s="381"/>
      <c r="AA85" s="381"/>
      <c r="AB85" s="381"/>
      <c r="AC85" s="381"/>
    </row>
    <row r="86">
      <c r="A86" s="398"/>
      <c r="B86" s="91"/>
      <c r="C86" s="100"/>
      <c r="D86" s="399"/>
      <c r="E86" s="400"/>
      <c r="F86" s="95"/>
      <c r="G86" s="95"/>
      <c r="H86" s="95"/>
      <c r="I86" s="399"/>
      <c r="J86" s="97"/>
      <c r="K86" s="96"/>
      <c r="L86" s="99"/>
      <c r="M86" s="99"/>
      <c r="N86" s="100"/>
      <c r="O86" s="124"/>
      <c r="P86" s="99"/>
      <c r="Q86" s="99"/>
      <c r="R86" s="99"/>
      <c r="S86" s="99"/>
      <c r="T86" s="99"/>
      <c r="U86" s="381"/>
      <c r="V86" s="381"/>
      <c r="W86" s="381"/>
      <c r="X86" s="381"/>
      <c r="Y86" s="381"/>
      <c r="Z86" s="381"/>
      <c r="AA86" s="381"/>
      <c r="AB86" s="381"/>
      <c r="AC86" s="381"/>
    </row>
    <row r="87">
      <c r="A87" s="395"/>
      <c r="B87" s="102"/>
      <c r="C87" s="110"/>
      <c r="D87" s="396"/>
      <c r="E87" s="397"/>
      <c r="F87" s="106"/>
      <c r="G87" s="106"/>
      <c r="H87" s="106"/>
      <c r="I87" s="396"/>
      <c r="J87" s="108"/>
      <c r="K87" s="107"/>
      <c r="L87" s="109"/>
      <c r="M87" s="109"/>
      <c r="N87" s="110"/>
      <c r="O87" s="123"/>
      <c r="P87" s="109"/>
      <c r="Q87" s="109"/>
      <c r="R87" s="109"/>
      <c r="S87" s="109"/>
      <c r="T87" s="109"/>
      <c r="U87" s="381"/>
      <c r="V87" s="381"/>
      <c r="W87" s="381"/>
      <c r="X87" s="381"/>
      <c r="Y87" s="381"/>
      <c r="Z87" s="381"/>
      <c r="AA87" s="381"/>
      <c r="AB87" s="381"/>
      <c r="AC87" s="381"/>
    </row>
    <row r="88">
      <c r="A88" s="398"/>
      <c r="B88" s="91"/>
      <c r="C88" s="100"/>
      <c r="D88" s="399"/>
      <c r="E88" s="400"/>
      <c r="F88" s="95"/>
      <c r="G88" s="95"/>
      <c r="H88" s="95"/>
      <c r="I88" s="399"/>
      <c r="J88" s="97"/>
      <c r="K88" s="96"/>
      <c r="L88" s="99"/>
      <c r="M88" s="99"/>
      <c r="N88" s="100"/>
      <c r="O88" s="124"/>
      <c r="P88" s="99"/>
      <c r="Q88" s="99"/>
      <c r="R88" s="99"/>
      <c r="S88" s="99"/>
      <c r="T88" s="99"/>
      <c r="U88" s="381"/>
      <c r="V88" s="381"/>
      <c r="W88" s="381"/>
      <c r="X88" s="381"/>
      <c r="Y88" s="381"/>
      <c r="Z88" s="381"/>
      <c r="AA88" s="381"/>
      <c r="AB88" s="381"/>
      <c r="AC88" s="381"/>
    </row>
    <row r="89">
      <c r="A89" s="395"/>
      <c r="B89" s="102"/>
      <c r="C89" s="110"/>
      <c r="D89" s="396"/>
      <c r="E89" s="397"/>
      <c r="F89" s="106"/>
      <c r="G89" s="106"/>
      <c r="H89" s="106"/>
      <c r="I89" s="396"/>
      <c r="J89" s="108"/>
      <c r="K89" s="107"/>
      <c r="L89" s="109"/>
      <c r="M89" s="109"/>
      <c r="N89" s="110"/>
      <c r="O89" s="123"/>
      <c r="P89" s="109"/>
      <c r="Q89" s="109"/>
      <c r="R89" s="109"/>
      <c r="S89" s="109"/>
      <c r="T89" s="109"/>
      <c r="U89" s="381"/>
      <c r="V89" s="381"/>
      <c r="W89" s="381"/>
      <c r="X89" s="381"/>
      <c r="Y89" s="381"/>
      <c r="Z89" s="381"/>
      <c r="AA89" s="381"/>
      <c r="AB89" s="381"/>
      <c r="AC89" s="381"/>
    </row>
    <row r="90">
      <c r="A90" s="398"/>
      <c r="B90" s="91"/>
      <c r="C90" s="100"/>
      <c r="D90" s="399"/>
      <c r="E90" s="400"/>
      <c r="F90" s="95"/>
      <c r="G90" s="95"/>
      <c r="H90" s="95"/>
      <c r="I90" s="399"/>
      <c r="J90" s="97"/>
      <c r="K90" s="96"/>
      <c r="L90" s="99"/>
      <c r="M90" s="99"/>
      <c r="N90" s="100"/>
      <c r="O90" s="124"/>
      <c r="P90" s="99"/>
      <c r="Q90" s="99"/>
      <c r="R90" s="99"/>
      <c r="S90" s="99"/>
      <c r="T90" s="99"/>
      <c r="U90" s="381"/>
      <c r="V90" s="381"/>
      <c r="W90" s="381"/>
      <c r="X90" s="381"/>
      <c r="Y90" s="381"/>
      <c r="Z90" s="381"/>
      <c r="AA90" s="381"/>
      <c r="AB90" s="381"/>
      <c r="AC90" s="381"/>
    </row>
    <row r="91">
      <c r="A91" s="395"/>
      <c r="B91" s="102"/>
      <c r="C91" s="110"/>
      <c r="D91" s="396"/>
      <c r="E91" s="397"/>
      <c r="F91" s="106"/>
      <c r="G91" s="106"/>
      <c r="H91" s="106"/>
      <c r="I91" s="396"/>
      <c r="J91" s="108"/>
      <c r="K91" s="107"/>
      <c r="L91" s="109"/>
      <c r="M91" s="109"/>
      <c r="N91" s="110"/>
      <c r="O91" s="123"/>
      <c r="P91" s="109"/>
      <c r="Q91" s="109"/>
      <c r="R91" s="109"/>
      <c r="S91" s="109"/>
      <c r="T91" s="109"/>
      <c r="U91" s="381"/>
      <c r="V91" s="381"/>
      <c r="W91" s="381"/>
      <c r="X91" s="381"/>
      <c r="Y91" s="381"/>
      <c r="Z91" s="381"/>
      <c r="AA91" s="381"/>
      <c r="AB91" s="381"/>
      <c r="AC91" s="381"/>
    </row>
    <row r="92">
      <c r="A92" s="398"/>
      <c r="B92" s="91"/>
      <c r="C92" s="100"/>
      <c r="D92" s="399"/>
      <c r="E92" s="400"/>
      <c r="F92" s="95"/>
      <c r="G92" s="95"/>
      <c r="H92" s="95"/>
      <c r="I92" s="399"/>
      <c r="J92" s="97"/>
      <c r="K92" s="96"/>
      <c r="L92" s="99"/>
      <c r="M92" s="99"/>
      <c r="N92" s="100"/>
      <c r="O92" s="124"/>
      <c r="P92" s="99"/>
      <c r="Q92" s="99"/>
      <c r="R92" s="99"/>
      <c r="S92" s="99"/>
      <c r="T92" s="99"/>
      <c r="U92" s="381"/>
      <c r="V92" s="381"/>
      <c r="W92" s="381"/>
      <c r="X92" s="381"/>
      <c r="Y92" s="381"/>
      <c r="Z92" s="381"/>
      <c r="AA92" s="381"/>
      <c r="AB92" s="381"/>
      <c r="AC92" s="381"/>
    </row>
    <row r="93">
      <c r="A93" s="395"/>
      <c r="B93" s="102"/>
      <c r="C93" s="110"/>
      <c r="D93" s="396"/>
      <c r="E93" s="397"/>
      <c r="F93" s="106"/>
      <c r="G93" s="106"/>
      <c r="H93" s="106"/>
      <c r="I93" s="396"/>
      <c r="J93" s="108"/>
      <c r="K93" s="107"/>
      <c r="L93" s="109"/>
      <c r="M93" s="109"/>
      <c r="N93" s="110"/>
      <c r="O93" s="123"/>
      <c r="P93" s="109"/>
      <c r="Q93" s="109"/>
      <c r="R93" s="109"/>
      <c r="S93" s="109"/>
      <c r="T93" s="109"/>
      <c r="U93" s="381"/>
      <c r="V93" s="381"/>
      <c r="W93" s="381"/>
      <c r="X93" s="381"/>
      <c r="Y93" s="381"/>
      <c r="Z93" s="381"/>
      <c r="AA93" s="381"/>
      <c r="AB93" s="381"/>
      <c r="AC93" s="381"/>
    </row>
    <row r="94">
      <c r="A94" s="398"/>
      <c r="B94" s="91"/>
      <c r="C94" s="100"/>
      <c r="D94" s="399"/>
      <c r="E94" s="400"/>
      <c r="F94" s="95"/>
      <c r="G94" s="95"/>
      <c r="H94" s="95"/>
      <c r="I94" s="399"/>
      <c r="J94" s="97"/>
      <c r="K94" s="96"/>
      <c r="L94" s="99"/>
      <c r="M94" s="99"/>
      <c r="N94" s="100"/>
      <c r="O94" s="124"/>
      <c r="P94" s="99"/>
      <c r="Q94" s="99"/>
      <c r="R94" s="99"/>
      <c r="S94" s="99"/>
      <c r="T94" s="99"/>
      <c r="U94" s="381"/>
      <c r="V94" s="381"/>
      <c r="W94" s="381"/>
      <c r="X94" s="381"/>
      <c r="Y94" s="381"/>
      <c r="Z94" s="381"/>
      <c r="AA94" s="381"/>
      <c r="AB94" s="381"/>
      <c r="AC94" s="381"/>
    </row>
    <row r="95">
      <c r="A95" s="395"/>
      <c r="B95" s="102"/>
      <c r="C95" s="110"/>
      <c r="D95" s="396"/>
      <c r="E95" s="397"/>
      <c r="F95" s="106"/>
      <c r="G95" s="106"/>
      <c r="H95" s="106"/>
      <c r="I95" s="396"/>
      <c r="J95" s="108"/>
      <c r="K95" s="107"/>
      <c r="L95" s="109"/>
      <c r="M95" s="109"/>
      <c r="N95" s="110"/>
      <c r="O95" s="123"/>
      <c r="P95" s="109"/>
      <c r="Q95" s="109"/>
      <c r="R95" s="109"/>
      <c r="S95" s="109"/>
      <c r="T95" s="109"/>
      <c r="U95" s="381"/>
      <c r="V95" s="381"/>
      <c r="W95" s="381"/>
      <c r="X95" s="381"/>
      <c r="Y95" s="381"/>
      <c r="Z95" s="381"/>
      <c r="AA95" s="381"/>
      <c r="AB95" s="381"/>
      <c r="AC95" s="381"/>
    </row>
    <row r="96">
      <c r="A96" s="398"/>
      <c r="B96" s="91"/>
      <c r="C96" s="100"/>
      <c r="D96" s="399"/>
      <c r="E96" s="400"/>
      <c r="F96" s="95"/>
      <c r="G96" s="95"/>
      <c r="H96" s="95"/>
      <c r="I96" s="399"/>
      <c r="J96" s="97"/>
      <c r="K96" s="96"/>
      <c r="L96" s="99"/>
      <c r="M96" s="99"/>
      <c r="N96" s="100"/>
      <c r="O96" s="124"/>
      <c r="P96" s="99"/>
      <c r="Q96" s="99"/>
      <c r="R96" s="99"/>
      <c r="S96" s="99"/>
      <c r="T96" s="99"/>
      <c r="U96" s="381"/>
      <c r="V96" s="381"/>
      <c r="W96" s="381"/>
      <c r="X96" s="381"/>
      <c r="Y96" s="381"/>
      <c r="Z96" s="381"/>
      <c r="AA96" s="381"/>
      <c r="AB96" s="381"/>
      <c r="AC96" s="381"/>
    </row>
    <row r="97">
      <c r="A97" s="395"/>
      <c r="B97" s="102"/>
      <c r="C97" s="110"/>
      <c r="D97" s="396"/>
      <c r="E97" s="397"/>
      <c r="F97" s="106"/>
      <c r="G97" s="106"/>
      <c r="H97" s="106"/>
      <c r="I97" s="396"/>
      <c r="J97" s="108"/>
      <c r="K97" s="107"/>
      <c r="L97" s="109"/>
      <c r="M97" s="109"/>
      <c r="N97" s="110"/>
      <c r="O97" s="123"/>
      <c r="P97" s="109"/>
      <c r="Q97" s="109"/>
      <c r="R97" s="109"/>
      <c r="S97" s="109"/>
      <c r="T97" s="109"/>
      <c r="U97" s="381"/>
      <c r="V97" s="381"/>
      <c r="W97" s="381"/>
      <c r="X97" s="381"/>
      <c r="Y97" s="381"/>
      <c r="Z97" s="381"/>
      <c r="AA97" s="381"/>
      <c r="AB97" s="381"/>
      <c r="AC97" s="381"/>
    </row>
    <row r="98">
      <c r="A98" s="398"/>
      <c r="B98" s="91"/>
      <c r="C98" s="100"/>
      <c r="D98" s="399"/>
      <c r="E98" s="400"/>
      <c r="F98" s="95"/>
      <c r="G98" s="95"/>
      <c r="H98" s="95"/>
      <c r="I98" s="399"/>
      <c r="J98" s="97"/>
      <c r="K98" s="96"/>
      <c r="L98" s="99"/>
      <c r="M98" s="99"/>
      <c r="N98" s="100"/>
      <c r="O98" s="124"/>
      <c r="P98" s="99"/>
      <c r="Q98" s="99"/>
      <c r="R98" s="99"/>
      <c r="S98" s="99"/>
      <c r="T98" s="99"/>
      <c r="U98" s="381"/>
      <c r="V98" s="381"/>
      <c r="W98" s="381"/>
      <c r="X98" s="381"/>
      <c r="Y98" s="381"/>
      <c r="Z98" s="381"/>
      <c r="AA98" s="381"/>
      <c r="AB98" s="381"/>
      <c r="AC98" s="381"/>
    </row>
    <row r="99">
      <c r="A99" s="395"/>
      <c r="B99" s="102"/>
      <c r="C99" s="110"/>
      <c r="D99" s="396"/>
      <c r="E99" s="397"/>
      <c r="F99" s="106"/>
      <c r="G99" s="106"/>
      <c r="H99" s="106"/>
      <c r="I99" s="396"/>
      <c r="J99" s="108"/>
      <c r="K99" s="107"/>
      <c r="L99" s="109"/>
      <c r="M99" s="109"/>
      <c r="N99" s="110"/>
      <c r="O99" s="123"/>
      <c r="P99" s="109"/>
      <c r="Q99" s="109"/>
      <c r="R99" s="109"/>
      <c r="S99" s="109"/>
      <c r="T99" s="109"/>
      <c r="U99" s="381"/>
      <c r="V99" s="381"/>
      <c r="W99" s="381"/>
      <c r="X99" s="381"/>
      <c r="Y99" s="381"/>
      <c r="Z99" s="381"/>
      <c r="AA99" s="381"/>
      <c r="AB99" s="381"/>
      <c r="AC99" s="381"/>
    </row>
    <row r="100">
      <c r="A100" s="398"/>
      <c r="B100" s="91"/>
      <c r="C100" s="100"/>
      <c r="D100" s="399"/>
      <c r="E100" s="400"/>
      <c r="F100" s="95"/>
      <c r="G100" s="95"/>
      <c r="H100" s="95"/>
      <c r="I100" s="399"/>
      <c r="J100" s="97"/>
      <c r="K100" s="96"/>
      <c r="L100" s="99"/>
      <c r="M100" s="99"/>
      <c r="N100" s="100"/>
      <c r="O100" s="124"/>
      <c r="P100" s="99"/>
      <c r="Q100" s="99"/>
      <c r="R100" s="99"/>
      <c r="S100" s="99"/>
      <c r="T100" s="99"/>
      <c r="U100" s="381"/>
      <c r="V100" s="381"/>
      <c r="W100" s="381"/>
      <c r="X100" s="381"/>
      <c r="Y100" s="381"/>
      <c r="Z100" s="381"/>
      <c r="AA100" s="381"/>
      <c r="AB100" s="381"/>
      <c r="AC100" s="381"/>
    </row>
    <row r="101">
      <c r="A101" s="395"/>
      <c r="B101" s="102"/>
      <c r="C101" s="110"/>
      <c r="D101" s="396"/>
      <c r="E101" s="397"/>
      <c r="F101" s="106"/>
      <c r="G101" s="106"/>
      <c r="H101" s="106"/>
      <c r="I101" s="396"/>
      <c r="J101" s="108"/>
      <c r="K101" s="107"/>
      <c r="L101" s="109"/>
      <c r="M101" s="109"/>
      <c r="N101" s="110"/>
      <c r="O101" s="123"/>
      <c r="P101" s="109"/>
      <c r="Q101" s="109"/>
      <c r="R101" s="109"/>
      <c r="S101" s="109"/>
      <c r="T101" s="109"/>
      <c r="U101" s="381"/>
      <c r="V101" s="381"/>
      <c r="W101" s="381"/>
      <c r="X101" s="381"/>
      <c r="Y101" s="381"/>
      <c r="Z101" s="381"/>
      <c r="AA101" s="381"/>
      <c r="AB101" s="381"/>
      <c r="AC101" s="381"/>
    </row>
    <row r="102">
      <c r="A102" s="398"/>
      <c r="B102" s="91"/>
      <c r="C102" s="100"/>
      <c r="D102" s="399"/>
      <c r="E102" s="400"/>
      <c r="F102" s="95"/>
      <c r="G102" s="95"/>
      <c r="H102" s="95"/>
      <c r="I102" s="399"/>
      <c r="J102" s="97"/>
      <c r="K102" s="96"/>
      <c r="L102" s="99"/>
      <c r="M102" s="99"/>
      <c r="N102" s="100"/>
      <c r="O102" s="124"/>
      <c r="P102" s="99"/>
      <c r="Q102" s="99"/>
      <c r="R102" s="99"/>
      <c r="S102" s="99"/>
      <c r="T102" s="99"/>
      <c r="U102" s="381"/>
      <c r="V102" s="381"/>
      <c r="W102" s="381"/>
      <c r="X102" s="381"/>
      <c r="Y102" s="381"/>
      <c r="Z102" s="381"/>
      <c r="AA102" s="381"/>
      <c r="AB102" s="381"/>
      <c r="AC102" s="381"/>
    </row>
    <row r="103">
      <c r="A103" s="395"/>
      <c r="B103" s="102"/>
      <c r="C103" s="110"/>
      <c r="D103" s="396"/>
      <c r="E103" s="397"/>
      <c r="F103" s="106"/>
      <c r="G103" s="106"/>
      <c r="H103" s="106"/>
      <c r="I103" s="396"/>
      <c r="J103" s="108"/>
      <c r="K103" s="107"/>
      <c r="L103" s="109"/>
      <c r="M103" s="109"/>
      <c r="N103" s="110"/>
      <c r="O103" s="123"/>
      <c r="P103" s="109"/>
      <c r="Q103" s="109"/>
      <c r="R103" s="109"/>
      <c r="S103" s="109"/>
      <c r="T103" s="109"/>
      <c r="U103" s="381"/>
      <c r="V103" s="381"/>
      <c r="W103" s="381"/>
      <c r="X103" s="381"/>
      <c r="Y103" s="381"/>
      <c r="Z103" s="381"/>
      <c r="AA103" s="381"/>
      <c r="AB103" s="381"/>
      <c r="AC103" s="381"/>
    </row>
    <row r="104">
      <c r="A104" s="398"/>
      <c r="B104" s="91"/>
      <c r="C104" s="100"/>
      <c r="D104" s="399"/>
      <c r="E104" s="400"/>
      <c r="F104" s="95"/>
      <c r="G104" s="95"/>
      <c r="H104" s="95"/>
      <c r="I104" s="399"/>
      <c r="J104" s="97"/>
      <c r="K104" s="96"/>
      <c r="L104" s="99"/>
      <c r="M104" s="99"/>
      <c r="N104" s="100"/>
      <c r="O104" s="124"/>
      <c r="P104" s="99"/>
      <c r="Q104" s="99"/>
      <c r="R104" s="99"/>
      <c r="S104" s="99"/>
      <c r="T104" s="99"/>
      <c r="U104" s="381"/>
      <c r="V104" s="381"/>
      <c r="W104" s="381"/>
      <c r="X104" s="381"/>
      <c r="Y104" s="381"/>
      <c r="Z104" s="381"/>
      <c r="AA104" s="381"/>
      <c r="AB104" s="381"/>
      <c r="AC104" s="381"/>
    </row>
    <row r="105">
      <c r="A105" s="395"/>
      <c r="B105" s="102"/>
      <c r="C105" s="110"/>
      <c r="D105" s="396"/>
      <c r="E105" s="397"/>
      <c r="F105" s="106"/>
      <c r="G105" s="106"/>
      <c r="H105" s="106"/>
      <c r="I105" s="396"/>
      <c r="J105" s="108"/>
      <c r="K105" s="107"/>
      <c r="L105" s="109"/>
      <c r="M105" s="109"/>
      <c r="N105" s="110"/>
      <c r="O105" s="123"/>
      <c r="P105" s="109"/>
      <c r="Q105" s="109"/>
      <c r="R105" s="109"/>
      <c r="S105" s="109"/>
      <c r="T105" s="109"/>
      <c r="U105" s="381"/>
      <c r="V105" s="381"/>
      <c r="W105" s="381"/>
      <c r="X105" s="381"/>
      <c r="Y105" s="381"/>
      <c r="Z105" s="381"/>
      <c r="AA105" s="381"/>
      <c r="AB105" s="381"/>
      <c r="AC105" s="381"/>
    </row>
    <row r="106">
      <c r="A106" s="398"/>
      <c r="B106" s="91"/>
      <c r="C106" s="100"/>
      <c r="D106" s="399"/>
      <c r="E106" s="400"/>
      <c r="F106" s="95"/>
      <c r="G106" s="95"/>
      <c r="H106" s="95"/>
      <c r="I106" s="399"/>
      <c r="J106" s="97"/>
      <c r="K106" s="96"/>
      <c r="L106" s="99"/>
      <c r="M106" s="99"/>
      <c r="N106" s="100"/>
      <c r="O106" s="124"/>
      <c r="P106" s="99"/>
      <c r="Q106" s="99"/>
      <c r="R106" s="99"/>
      <c r="S106" s="99"/>
      <c r="T106" s="99"/>
      <c r="U106" s="381"/>
      <c r="V106" s="381"/>
      <c r="W106" s="381"/>
      <c r="X106" s="381"/>
      <c r="Y106" s="381"/>
      <c r="Z106" s="381"/>
      <c r="AA106" s="381"/>
      <c r="AB106" s="381"/>
      <c r="AC106" s="381"/>
    </row>
    <row r="107">
      <c r="A107" s="395"/>
      <c r="B107" s="102"/>
      <c r="C107" s="110"/>
      <c r="D107" s="396"/>
      <c r="E107" s="397"/>
      <c r="F107" s="106"/>
      <c r="G107" s="106"/>
      <c r="H107" s="106"/>
      <c r="I107" s="396"/>
      <c r="J107" s="108"/>
      <c r="K107" s="107"/>
      <c r="L107" s="109"/>
      <c r="M107" s="109"/>
      <c r="N107" s="110"/>
      <c r="O107" s="123"/>
      <c r="P107" s="109"/>
      <c r="Q107" s="109"/>
      <c r="R107" s="109"/>
      <c r="S107" s="109"/>
      <c r="T107" s="109"/>
      <c r="U107" s="381"/>
      <c r="V107" s="381"/>
      <c r="W107" s="381"/>
      <c r="X107" s="381"/>
      <c r="Y107" s="381"/>
      <c r="Z107" s="381"/>
      <c r="AA107" s="381"/>
      <c r="AB107" s="381"/>
      <c r="AC107" s="381"/>
    </row>
    <row r="108">
      <c r="A108" s="398"/>
      <c r="B108" s="91"/>
      <c r="C108" s="100"/>
      <c r="D108" s="399"/>
      <c r="E108" s="400"/>
      <c r="F108" s="95"/>
      <c r="G108" s="95"/>
      <c r="H108" s="95"/>
      <c r="I108" s="399"/>
      <c r="J108" s="97"/>
      <c r="K108" s="96"/>
      <c r="L108" s="99"/>
      <c r="M108" s="99"/>
      <c r="N108" s="100"/>
      <c r="O108" s="124"/>
      <c r="P108" s="99"/>
      <c r="Q108" s="99"/>
      <c r="R108" s="99"/>
      <c r="S108" s="99"/>
      <c r="T108" s="99"/>
      <c r="U108" s="381"/>
      <c r="V108" s="381"/>
      <c r="W108" s="381"/>
      <c r="X108" s="381"/>
      <c r="Y108" s="381"/>
      <c r="Z108" s="381"/>
      <c r="AA108" s="381"/>
      <c r="AB108" s="381"/>
      <c r="AC108" s="381"/>
    </row>
    <row r="109">
      <c r="A109" s="395"/>
      <c r="B109" s="102"/>
      <c r="C109" s="110"/>
      <c r="D109" s="396"/>
      <c r="E109" s="397"/>
      <c r="F109" s="106"/>
      <c r="G109" s="106"/>
      <c r="H109" s="106"/>
      <c r="I109" s="396"/>
      <c r="J109" s="108"/>
      <c r="K109" s="107"/>
      <c r="L109" s="109"/>
      <c r="M109" s="109"/>
      <c r="N109" s="110"/>
      <c r="O109" s="123"/>
      <c r="P109" s="109"/>
      <c r="Q109" s="109"/>
      <c r="R109" s="109"/>
      <c r="S109" s="109"/>
      <c r="T109" s="109"/>
      <c r="U109" s="381"/>
      <c r="V109" s="381"/>
      <c r="W109" s="381"/>
      <c r="X109" s="381"/>
      <c r="Y109" s="381"/>
      <c r="Z109" s="381"/>
      <c r="AA109" s="381"/>
      <c r="AB109" s="381"/>
      <c r="AC109" s="381"/>
    </row>
    <row r="110">
      <c r="A110" s="398"/>
      <c r="B110" s="91"/>
      <c r="C110" s="100"/>
      <c r="D110" s="399"/>
      <c r="E110" s="400"/>
      <c r="F110" s="95"/>
      <c r="G110" s="95"/>
      <c r="H110" s="95"/>
      <c r="I110" s="399"/>
      <c r="J110" s="97"/>
      <c r="K110" s="96"/>
      <c r="L110" s="99"/>
      <c r="M110" s="99"/>
      <c r="N110" s="100"/>
      <c r="O110" s="124"/>
      <c r="P110" s="99"/>
      <c r="Q110" s="99"/>
      <c r="R110" s="99"/>
      <c r="S110" s="99"/>
      <c r="T110" s="99"/>
      <c r="U110" s="381"/>
      <c r="V110" s="381"/>
      <c r="W110" s="381"/>
      <c r="X110" s="381"/>
      <c r="Y110" s="381"/>
      <c r="Z110" s="381"/>
      <c r="AA110" s="381"/>
      <c r="AB110" s="381"/>
      <c r="AC110" s="381"/>
    </row>
    <row r="111">
      <c r="A111" s="395"/>
      <c r="B111" s="102"/>
      <c r="C111" s="110"/>
      <c r="D111" s="396"/>
      <c r="E111" s="397"/>
      <c r="F111" s="106"/>
      <c r="G111" s="106"/>
      <c r="H111" s="106"/>
      <c r="I111" s="396"/>
      <c r="J111" s="108"/>
      <c r="K111" s="107"/>
      <c r="L111" s="109"/>
      <c r="M111" s="109"/>
      <c r="N111" s="110"/>
      <c r="O111" s="123"/>
      <c r="P111" s="109"/>
      <c r="Q111" s="109"/>
      <c r="R111" s="109"/>
      <c r="S111" s="109"/>
      <c r="T111" s="109"/>
      <c r="U111" s="381"/>
      <c r="V111" s="381"/>
      <c r="W111" s="381"/>
      <c r="X111" s="381"/>
      <c r="Y111" s="381"/>
      <c r="Z111" s="381"/>
      <c r="AA111" s="381"/>
      <c r="AB111" s="381"/>
      <c r="AC111" s="381"/>
    </row>
    <row r="112">
      <c r="A112" s="398"/>
      <c r="B112" s="91"/>
      <c r="C112" s="100"/>
      <c r="D112" s="399"/>
      <c r="E112" s="400"/>
      <c r="F112" s="95"/>
      <c r="G112" s="95"/>
      <c r="H112" s="95"/>
      <c r="I112" s="399"/>
      <c r="J112" s="97"/>
      <c r="K112" s="96"/>
      <c r="L112" s="99"/>
      <c r="M112" s="99"/>
      <c r="N112" s="100"/>
      <c r="O112" s="124"/>
      <c r="P112" s="99"/>
      <c r="Q112" s="99"/>
      <c r="R112" s="99"/>
      <c r="S112" s="99"/>
      <c r="T112" s="99"/>
      <c r="U112" s="381"/>
      <c r="V112" s="381"/>
      <c r="W112" s="381"/>
      <c r="X112" s="381"/>
      <c r="Y112" s="381"/>
      <c r="Z112" s="381"/>
      <c r="AA112" s="381"/>
      <c r="AB112" s="381"/>
      <c r="AC112" s="381"/>
    </row>
    <row r="113">
      <c r="A113" s="395"/>
      <c r="B113" s="102"/>
      <c r="C113" s="110"/>
      <c r="D113" s="396"/>
      <c r="E113" s="397"/>
      <c r="F113" s="106"/>
      <c r="G113" s="106"/>
      <c r="H113" s="106"/>
      <c r="I113" s="396"/>
      <c r="J113" s="108"/>
      <c r="K113" s="107"/>
      <c r="L113" s="109"/>
      <c r="M113" s="109"/>
      <c r="N113" s="110"/>
      <c r="O113" s="123"/>
      <c r="P113" s="109"/>
      <c r="Q113" s="109"/>
      <c r="R113" s="109"/>
      <c r="S113" s="109"/>
      <c r="T113" s="109"/>
      <c r="U113" s="381"/>
      <c r="V113" s="381"/>
      <c r="W113" s="381"/>
      <c r="X113" s="381"/>
      <c r="Y113" s="381"/>
      <c r="Z113" s="381"/>
      <c r="AA113" s="381"/>
      <c r="AB113" s="381"/>
      <c r="AC113" s="381"/>
    </row>
    <row r="114">
      <c r="A114" s="398"/>
      <c r="B114" s="91"/>
      <c r="C114" s="100"/>
      <c r="D114" s="399"/>
      <c r="E114" s="400"/>
      <c r="F114" s="95"/>
      <c r="G114" s="95"/>
      <c r="H114" s="95"/>
      <c r="I114" s="399"/>
      <c r="J114" s="97"/>
      <c r="K114" s="96"/>
      <c r="L114" s="99"/>
      <c r="M114" s="99"/>
      <c r="N114" s="100"/>
      <c r="O114" s="124"/>
      <c r="P114" s="99"/>
      <c r="Q114" s="99"/>
      <c r="R114" s="99"/>
      <c r="S114" s="99"/>
      <c r="T114" s="99"/>
      <c r="U114" s="381"/>
      <c r="V114" s="381"/>
      <c r="W114" s="381"/>
      <c r="X114" s="381"/>
      <c r="Y114" s="381"/>
      <c r="Z114" s="381"/>
      <c r="AA114" s="381"/>
      <c r="AB114" s="381"/>
      <c r="AC114" s="381"/>
    </row>
    <row r="115">
      <c r="A115" s="395"/>
      <c r="B115" s="102"/>
      <c r="C115" s="110"/>
      <c r="D115" s="396"/>
      <c r="E115" s="397"/>
      <c r="F115" s="106"/>
      <c r="G115" s="106"/>
      <c r="H115" s="106"/>
      <c r="I115" s="396"/>
      <c r="J115" s="108"/>
      <c r="K115" s="107"/>
      <c r="L115" s="109"/>
      <c r="M115" s="109"/>
      <c r="N115" s="110"/>
      <c r="O115" s="123"/>
      <c r="P115" s="109"/>
      <c r="Q115" s="109"/>
      <c r="R115" s="109"/>
      <c r="S115" s="109"/>
      <c r="T115" s="109"/>
      <c r="U115" s="381"/>
      <c r="V115" s="381"/>
      <c r="W115" s="381"/>
      <c r="X115" s="381"/>
      <c r="Y115" s="381"/>
      <c r="Z115" s="381"/>
      <c r="AA115" s="381"/>
      <c r="AB115" s="381"/>
      <c r="AC115" s="381"/>
    </row>
    <row r="116">
      <c r="A116" s="398"/>
      <c r="B116" s="91"/>
      <c r="C116" s="100"/>
      <c r="D116" s="399"/>
      <c r="E116" s="400"/>
      <c r="F116" s="95"/>
      <c r="G116" s="95"/>
      <c r="H116" s="95"/>
      <c r="I116" s="399"/>
      <c r="J116" s="97"/>
      <c r="K116" s="96"/>
      <c r="L116" s="99"/>
      <c r="M116" s="99"/>
      <c r="N116" s="100"/>
      <c r="O116" s="124"/>
      <c r="P116" s="99"/>
      <c r="Q116" s="99"/>
      <c r="R116" s="99"/>
      <c r="S116" s="99"/>
      <c r="T116" s="99"/>
      <c r="U116" s="381"/>
      <c r="V116" s="381"/>
      <c r="W116" s="381"/>
      <c r="X116" s="381"/>
      <c r="Y116" s="381"/>
      <c r="Z116" s="381"/>
      <c r="AA116" s="381"/>
      <c r="AB116" s="381"/>
      <c r="AC116" s="381"/>
    </row>
    <row r="117">
      <c r="A117" s="395"/>
      <c r="B117" s="102"/>
      <c r="C117" s="110"/>
      <c r="D117" s="396"/>
      <c r="E117" s="397"/>
      <c r="F117" s="106"/>
      <c r="G117" s="106"/>
      <c r="H117" s="106"/>
      <c r="I117" s="396"/>
      <c r="J117" s="108"/>
      <c r="K117" s="107"/>
      <c r="L117" s="109"/>
      <c r="M117" s="109"/>
      <c r="N117" s="110"/>
      <c r="O117" s="123"/>
      <c r="P117" s="109"/>
      <c r="Q117" s="109"/>
      <c r="R117" s="109"/>
      <c r="S117" s="109"/>
      <c r="T117" s="109"/>
      <c r="U117" s="381"/>
      <c r="V117" s="381"/>
      <c r="W117" s="381"/>
      <c r="X117" s="381"/>
      <c r="Y117" s="381"/>
      <c r="Z117" s="381"/>
      <c r="AA117" s="381"/>
      <c r="AB117" s="381"/>
      <c r="AC117" s="381"/>
    </row>
    <row r="118">
      <c r="A118" s="398"/>
      <c r="B118" s="91"/>
      <c r="C118" s="100"/>
      <c r="D118" s="399"/>
      <c r="E118" s="400"/>
      <c r="F118" s="95"/>
      <c r="G118" s="95"/>
      <c r="H118" s="95"/>
      <c r="I118" s="399"/>
      <c r="J118" s="97"/>
      <c r="K118" s="96"/>
      <c r="L118" s="99"/>
      <c r="M118" s="99"/>
      <c r="N118" s="100"/>
      <c r="O118" s="124"/>
      <c r="P118" s="99"/>
      <c r="Q118" s="99"/>
      <c r="R118" s="99"/>
      <c r="S118" s="99"/>
      <c r="T118" s="99"/>
      <c r="U118" s="381"/>
      <c r="V118" s="381"/>
      <c r="W118" s="381"/>
      <c r="X118" s="381"/>
      <c r="Y118" s="381"/>
      <c r="Z118" s="381"/>
      <c r="AA118" s="381"/>
      <c r="AB118" s="381"/>
      <c r="AC118" s="381"/>
    </row>
    <row r="119">
      <c r="A119" s="395"/>
      <c r="B119" s="102"/>
      <c r="C119" s="110"/>
      <c r="D119" s="396"/>
      <c r="E119" s="397"/>
      <c r="F119" s="106"/>
      <c r="G119" s="106"/>
      <c r="H119" s="106"/>
      <c r="I119" s="396"/>
      <c r="J119" s="108"/>
      <c r="K119" s="107"/>
      <c r="L119" s="109"/>
      <c r="M119" s="109"/>
      <c r="N119" s="110"/>
      <c r="O119" s="123"/>
      <c r="P119" s="109"/>
      <c r="Q119" s="109"/>
      <c r="R119" s="109"/>
      <c r="S119" s="109"/>
      <c r="T119" s="109"/>
      <c r="U119" s="381"/>
      <c r="V119" s="381"/>
      <c r="W119" s="381"/>
      <c r="X119" s="381"/>
      <c r="Y119" s="381"/>
      <c r="Z119" s="381"/>
      <c r="AA119" s="381"/>
      <c r="AB119" s="381"/>
      <c r="AC119" s="381"/>
    </row>
    <row r="120">
      <c r="A120" s="398"/>
      <c r="B120" s="91"/>
      <c r="C120" s="100"/>
      <c r="D120" s="399"/>
      <c r="E120" s="400"/>
      <c r="F120" s="95"/>
      <c r="G120" s="95"/>
      <c r="H120" s="95"/>
      <c r="I120" s="399"/>
      <c r="J120" s="97"/>
      <c r="K120" s="96"/>
      <c r="L120" s="99"/>
      <c r="M120" s="99"/>
      <c r="N120" s="100"/>
      <c r="O120" s="124"/>
      <c r="P120" s="99"/>
      <c r="Q120" s="99"/>
      <c r="R120" s="99"/>
      <c r="S120" s="99"/>
      <c r="T120" s="99"/>
      <c r="U120" s="381"/>
      <c r="V120" s="381"/>
      <c r="W120" s="381"/>
      <c r="X120" s="381"/>
      <c r="Y120" s="381"/>
      <c r="Z120" s="381"/>
      <c r="AA120" s="381"/>
      <c r="AB120" s="381"/>
      <c r="AC120" s="381"/>
    </row>
    <row r="121">
      <c r="A121" s="395"/>
      <c r="B121" s="102"/>
      <c r="C121" s="110"/>
      <c r="D121" s="396"/>
      <c r="E121" s="397"/>
      <c r="F121" s="106"/>
      <c r="G121" s="106"/>
      <c r="H121" s="106"/>
      <c r="I121" s="396"/>
      <c r="J121" s="108"/>
      <c r="K121" s="107"/>
      <c r="L121" s="109"/>
      <c r="M121" s="109"/>
      <c r="N121" s="110"/>
      <c r="O121" s="123"/>
      <c r="P121" s="109"/>
      <c r="Q121" s="109"/>
      <c r="R121" s="109"/>
      <c r="S121" s="109"/>
      <c r="T121" s="109"/>
      <c r="U121" s="381"/>
      <c r="V121" s="381"/>
      <c r="W121" s="381"/>
      <c r="X121" s="381"/>
      <c r="Y121" s="381"/>
      <c r="Z121" s="381"/>
      <c r="AA121" s="381"/>
      <c r="AB121" s="381"/>
      <c r="AC121" s="381"/>
    </row>
    <row r="122">
      <c r="A122" s="398"/>
      <c r="B122" s="91"/>
      <c r="C122" s="100"/>
      <c r="D122" s="399"/>
      <c r="E122" s="400"/>
      <c r="F122" s="95"/>
      <c r="G122" s="95"/>
      <c r="H122" s="95"/>
      <c r="I122" s="399"/>
      <c r="J122" s="97"/>
      <c r="K122" s="96"/>
      <c r="L122" s="99"/>
      <c r="M122" s="99"/>
      <c r="N122" s="100"/>
      <c r="O122" s="124"/>
      <c r="P122" s="99"/>
      <c r="Q122" s="99"/>
      <c r="R122" s="99"/>
      <c r="S122" s="99"/>
      <c r="T122" s="99"/>
      <c r="U122" s="381"/>
      <c r="V122" s="381"/>
      <c r="W122" s="381"/>
      <c r="X122" s="381"/>
      <c r="Y122" s="381"/>
      <c r="Z122" s="381"/>
      <c r="AA122" s="381"/>
      <c r="AB122" s="381"/>
      <c r="AC122" s="381"/>
    </row>
    <row r="123">
      <c r="A123" s="395"/>
      <c r="B123" s="102"/>
      <c r="C123" s="110"/>
      <c r="D123" s="396"/>
      <c r="E123" s="397"/>
      <c r="F123" s="106"/>
      <c r="G123" s="106"/>
      <c r="H123" s="106"/>
      <c r="I123" s="396"/>
      <c r="J123" s="108"/>
      <c r="K123" s="107"/>
      <c r="L123" s="109"/>
      <c r="M123" s="109"/>
      <c r="N123" s="110"/>
      <c r="O123" s="123"/>
      <c r="P123" s="109"/>
      <c r="Q123" s="109"/>
      <c r="R123" s="109"/>
      <c r="S123" s="109"/>
      <c r="T123" s="109"/>
      <c r="U123" s="381"/>
      <c r="V123" s="381"/>
      <c r="W123" s="381"/>
      <c r="X123" s="381"/>
      <c r="Y123" s="381"/>
      <c r="Z123" s="381"/>
      <c r="AA123" s="381"/>
      <c r="AB123" s="381"/>
      <c r="AC123" s="381"/>
    </row>
    <row r="124">
      <c r="A124" s="398"/>
      <c r="B124" s="91"/>
      <c r="C124" s="100"/>
      <c r="D124" s="399"/>
      <c r="E124" s="400"/>
      <c r="F124" s="95"/>
      <c r="G124" s="95"/>
      <c r="H124" s="95"/>
      <c r="I124" s="399"/>
      <c r="J124" s="97"/>
      <c r="K124" s="96"/>
      <c r="L124" s="99"/>
      <c r="M124" s="99"/>
      <c r="N124" s="100"/>
      <c r="O124" s="124"/>
      <c r="P124" s="99"/>
      <c r="Q124" s="99"/>
      <c r="R124" s="99"/>
      <c r="S124" s="99"/>
      <c r="T124" s="99"/>
      <c r="U124" s="381"/>
      <c r="V124" s="381"/>
      <c r="W124" s="381"/>
      <c r="X124" s="381"/>
      <c r="Y124" s="381"/>
      <c r="Z124" s="381"/>
      <c r="AA124" s="381"/>
      <c r="AB124" s="381"/>
      <c r="AC124" s="381"/>
    </row>
    <row r="125">
      <c r="A125" s="395"/>
      <c r="B125" s="102"/>
      <c r="C125" s="110"/>
      <c r="D125" s="396"/>
      <c r="E125" s="397"/>
      <c r="F125" s="106"/>
      <c r="G125" s="106"/>
      <c r="H125" s="106"/>
      <c r="I125" s="396"/>
      <c r="J125" s="108"/>
      <c r="K125" s="107"/>
      <c r="L125" s="109"/>
      <c r="M125" s="109"/>
      <c r="N125" s="110"/>
      <c r="O125" s="123"/>
      <c r="P125" s="109"/>
      <c r="Q125" s="109"/>
      <c r="R125" s="109"/>
      <c r="S125" s="109"/>
      <c r="T125" s="109"/>
      <c r="U125" s="381"/>
      <c r="V125" s="381"/>
      <c r="W125" s="381"/>
      <c r="X125" s="381"/>
      <c r="Y125" s="381"/>
      <c r="Z125" s="381"/>
      <c r="AA125" s="381"/>
      <c r="AB125" s="381"/>
      <c r="AC125" s="381"/>
    </row>
    <row r="126">
      <c r="A126" s="398"/>
      <c r="B126" s="91"/>
      <c r="C126" s="100"/>
      <c r="D126" s="399"/>
      <c r="E126" s="400"/>
      <c r="F126" s="95"/>
      <c r="G126" s="95"/>
      <c r="H126" s="95"/>
      <c r="I126" s="399"/>
      <c r="J126" s="97"/>
      <c r="K126" s="96"/>
      <c r="L126" s="99"/>
      <c r="M126" s="99"/>
      <c r="N126" s="100"/>
      <c r="O126" s="124"/>
      <c r="P126" s="99"/>
      <c r="Q126" s="99"/>
      <c r="R126" s="99"/>
      <c r="S126" s="99"/>
      <c r="T126" s="99"/>
      <c r="U126" s="381"/>
      <c r="V126" s="381"/>
      <c r="W126" s="381"/>
      <c r="X126" s="381"/>
      <c r="Y126" s="381"/>
      <c r="Z126" s="381"/>
      <c r="AA126" s="381"/>
      <c r="AB126" s="381"/>
      <c r="AC126" s="381"/>
    </row>
    <row r="127">
      <c r="A127" s="395"/>
      <c r="B127" s="102"/>
      <c r="C127" s="110"/>
      <c r="D127" s="396"/>
      <c r="E127" s="397"/>
      <c r="F127" s="106"/>
      <c r="G127" s="106"/>
      <c r="H127" s="106"/>
      <c r="I127" s="396"/>
      <c r="J127" s="108"/>
      <c r="K127" s="107"/>
      <c r="L127" s="109"/>
      <c r="M127" s="109"/>
      <c r="N127" s="110"/>
      <c r="O127" s="123"/>
      <c r="P127" s="109"/>
      <c r="Q127" s="109"/>
      <c r="R127" s="109"/>
      <c r="S127" s="109"/>
      <c r="T127" s="109"/>
      <c r="U127" s="381"/>
      <c r="V127" s="381"/>
      <c r="W127" s="381"/>
      <c r="X127" s="381"/>
      <c r="Y127" s="381"/>
      <c r="Z127" s="381"/>
      <c r="AA127" s="381"/>
      <c r="AB127" s="381"/>
      <c r="AC127" s="381"/>
    </row>
    <row r="128">
      <c r="A128" s="398"/>
      <c r="B128" s="91"/>
      <c r="C128" s="100"/>
      <c r="D128" s="399"/>
      <c r="E128" s="400"/>
      <c r="F128" s="95"/>
      <c r="G128" s="95"/>
      <c r="H128" s="95"/>
      <c r="I128" s="399"/>
      <c r="J128" s="97"/>
      <c r="K128" s="96"/>
      <c r="L128" s="99"/>
      <c r="M128" s="99"/>
      <c r="N128" s="100"/>
      <c r="O128" s="124"/>
      <c r="P128" s="99"/>
      <c r="Q128" s="99"/>
      <c r="R128" s="99"/>
      <c r="S128" s="99"/>
      <c r="T128" s="99"/>
      <c r="U128" s="381"/>
      <c r="V128" s="381"/>
      <c r="W128" s="381"/>
      <c r="X128" s="381"/>
      <c r="Y128" s="381"/>
      <c r="Z128" s="381"/>
      <c r="AA128" s="381"/>
      <c r="AB128" s="381"/>
      <c r="AC128" s="381"/>
    </row>
    <row r="129">
      <c r="A129" s="395"/>
      <c r="B129" s="102"/>
      <c r="C129" s="110"/>
      <c r="D129" s="396"/>
      <c r="E129" s="397"/>
      <c r="F129" s="106"/>
      <c r="G129" s="106"/>
      <c r="H129" s="106"/>
      <c r="I129" s="396"/>
      <c r="J129" s="108"/>
      <c r="K129" s="107"/>
      <c r="L129" s="109"/>
      <c r="M129" s="109"/>
      <c r="N129" s="110"/>
      <c r="O129" s="123"/>
      <c r="P129" s="109"/>
      <c r="Q129" s="109"/>
      <c r="R129" s="109"/>
      <c r="S129" s="109"/>
      <c r="T129" s="109"/>
      <c r="U129" s="381"/>
      <c r="V129" s="381"/>
      <c r="W129" s="381"/>
      <c r="X129" s="381"/>
      <c r="Y129" s="381"/>
      <c r="Z129" s="381"/>
      <c r="AA129" s="381"/>
      <c r="AB129" s="381"/>
      <c r="AC129" s="381"/>
    </row>
    <row r="130">
      <c r="A130" s="398"/>
      <c r="B130" s="91"/>
      <c r="C130" s="100"/>
      <c r="D130" s="399"/>
      <c r="E130" s="400"/>
      <c r="F130" s="95"/>
      <c r="G130" s="95"/>
      <c r="H130" s="95"/>
      <c r="I130" s="399"/>
      <c r="J130" s="97"/>
      <c r="K130" s="96"/>
      <c r="L130" s="99"/>
      <c r="M130" s="99"/>
      <c r="N130" s="100"/>
      <c r="O130" s="124"/>
      <c r="P130" s="99"/>
      <c r="Q130" s="99"/>
      <c r="R130" s="99"/>
      <c r="S130" s="99"/>
      <c r="T130" s="99"/>
      <c r="U130" s="381"/>
      <c r="V130" s="381"/>
      <c r="W130" s="381"/>
      <c r="X130" s="381"/>
      <c r="Y130" s="381"/>
      <c r="Z130" s="381"/>
      <c r="AA130" s="381"/>
      <c r="AB130" s="381"/>
      <c r="AC130" s="381"/>
    </row>
    <row r="131">
      <c r="A131" s="395"/>
      <c r="B131" s="102"/>
      <c r="C131" s="110"/>
      <c r="D131" s="396"/>
      <c r="E131" s="397"/>
      <c r="F131" s="106"/>
      <c r="G131" s="106"/>
      <c r="H131" s="106"/>
      <c r="I131" s="396"/>
      <c r="J131" s="108"/>
      <c r="K131" s="107"/>
      <c r="L131" s="109"/>
      <c r="M131" s="109"/>
      <c r="N131" s="110"/>
      <c r="O131" s="123"/>
      <c r="P131" s="109"/>
      <c r="Q131" s="109"/>
      <c r="R131" s="109"/>
      <c r="S131" s="109"/>
      <c r="T131" s="109"/>
      <c r="U131" s="381"/>
      <c r="V131" s="381"/>
      <c r="W131" s="381"/>
      <c r="X131" s="381"/>
      <c r="Y131" s="381"/>
      <c r="Z131" s="381"/>
      <c r="AA131" s="381"/>
      <c r="AB131" s="381"/>
      <c r="AC131" s="381"/>
    </row>
    <row r="132">
      <c r="A132" s="398"/>
      <c r="B132" s="91"/>
      <c r="C132" s="100"/>
      <c r="D132" s="399"/>
      <c r="E132" s="400"/>
      <c r="F132" s="95"/>
      <c r="G132" s="95"/>
      <c r="H132" s="95"/>
      <c r="I132" s="399"/>
      <c r="J132" s="97"/>
      <c r="K132" s="96"/>
      <c r="L132" s="99"/>
      <c r="M132" s="99"/>
      <c r="N132" s="100"/>
      <c r="O132" s="124"/>
      <c r="P132" s="99"/>
      <c r="Q132" s="99"/>
      <c r="R132" s="99"/>
      <c r="S132" s="99"/>
      <c r="T132" s="99"/>
      <c r="U132" s="381"/>
      <c r="V132" s="381"/>
      <c r="W132" s="381"/>
      <c r="X132" s="381"/>
      <c r="Y132" s="381"/>
      <c r="Z132" s="381"/>
      <c r="AA132" s="381"/>
      <c r="AB132" s="381"/>
      <c r="AC132" s="381"/>
    </row>
    <row r="133">
      <c r="A133" s="395"/>
      <c r="B133" s="102"/>
      <c r="C133" s="110"/>
      <c r="D133" s="396"/>
      <c r="E133" s="397"/>
      <c r="F133" s="106"/>
      <c r="G133" s="106"/>
      <c r="H133" s="106"/>
      <c r="I133" s="396"/>
      <c r="J133" s="108"/>
      <c r="K133" s="107"/>
      <c r="L133" s="109"/>
      <c r="M133" s="109"/>
      <c r="N133" s="110"/>
      <c r="O133" s="123"/>
      <c r="P133" s="109"/>
      <c r="Q133" s="109"/>
      <c r="R133" s="109"/>
      <c r="S133" s="109"/>
      <c r="T133" s="109"/>
      <c r="U133" s="381"/>
      <c r="V133" s="381"/>
      <c r="W133" s="381"/>
      <c r="X133" s="381"/>
      <c r="Y133" s="381"/>
      <c r="Z133" s="381"/>
      <c r="AA133" s="381"/>
      <c r="AB133" s="381"/>
      <c r="AC133" s="381"/>
    </row>
    <row r="134">
      <c r="A134" s="398"/>
      <c r="B134" s="91"/>
      <c r="C134" s="100"/>
      <c r="D134" s="399"/>
      <c r="E134" s="400"/>
      <c r="F134" s="95"/>
      <c r="G134" s="95"/>
      <c r="H134" s="95"/>
      <c r="I134" s="399"/>
      <c r="J134" s="97"/>
      <c r="K134" s="96"/>
      <c r="L134" s="99"/>
      <c r="M134" s="99"/>
      <c r="N134" s="100"/>
      <c r="O134" s="124"/>
      <c r="P134" s="99"/>
      <c r="Q134" s="99"/>
      <c r="R134" s="99"/>
      <c r="S134" s="99"/>
      <c r="T134" s="99"/>
      <c r="U134" s="381"/>
      <c r="V134" s="381"/>
      <c r="W134" s="381"/>
      <c r="X134" s="381"/>
      <c r="Y134" s="381"/>
      <c r="Z134" s="381"/>
      <c r="AA134" s="381"/>
      <c r="AB134" s="381"/>
      <c r="AC134" s="381"/>
    </row>
    <row r="135">
      <c r="A135" s="395"/>
      <c r="B135" s="102"/>
      <c r="C135" s="110"/>
      <c r="D135" s="396"/>
      <c r="E135" s="397"/>
      <c r="F135" s="106"/>
      <c r="G135" s="106"/>
      <c r="H135" s="106"/>
      <c r="I135" s="396"/>
      <c r="J135" s="108"/>
      <c r="K135" s="107"/>
      <c r="L135" s="109"/>
      <c r="M135" s="109"/>
      <c r="N135" s="110"/>
      <c r="O135" s="123"/>
      <c r="P135" s="109"/>
      <c r="Q135" s="109"/>
      <c r="R135" s="109"/>
      <c r="S135" s="109"/>
      <c r="T135" s="109"/>
      <c r="U135" s="381"/>
      <c r="V135" s="381"/>
      <c r="W135" s="381"/>
      <c r="X135" s="381"/>
      <c r="Y135" s="381"/>
      <c r="Z135" s="381"/>
      <c r="AA135" s="381"/>
      <c r="AB135" s="381"/>
      <c r="AC135" s="381"/>
    </row>
    <row r="136">
      <c r="A136" s="398"/>
      <c r="B136" s="91"/>
      <c r="C136" s="100"/>
      <c r="D136" s="399"/>
      <c r="E136" s="400"/>
      <c r="F136" s="95"/>
      <c r="G136" s="95"/>
      <c r="H136" s="95"/>
      <c r="I136" s="399"/>
      <c r="J136" s="97"/>
      <c r="K136" s="96"/>
      <c r="L136" s="99"/>
      <c r="M136" s="99"/>
      <c r="N136" s="100"/>
      <c r="O136" s="124"/>
      <c r="P136" s="99"/>
      <c r="Q136" s="99"/>
      <c r="R136" s="99"/>
      <c r="S136" s="99"/>
      <c r="T136" s="99"/>
      <c r="U136" s="381"/>
      <c r="V136" s="381"/>
      <c r="W136" s="381"/>
      <c r="X136" s="381"/>
      <c r="Y136" s="381"/>
      <c r="Z136" s="381"/>
      <c r="AA136" s="381"/>
      <c r="AB136" s="381"/>
      <c r="AC136" s="381"/>
    </row>
    <row r="137">
      <c r="A137" s="395"/>
      <c r="B137" s="102"/>
      <c r="C137" s="110"/>
      <c r="D137" s="396"/>
      <c r="E137" s="397"/>
      <c r="F137" s="106"/>
      <c r="G137" s="106"/>
      <c r="H137" s="106"/>
      <c r="I137" s="396"/>
      <c r="J137" s="108"/>
      <c r="K137" s="107"/>
      <c r="L137" s="109"/>
      <c r="M137" s="109"/>
      <c r="N137" s="110"/>
      <c r="O137" s="123"/>
      <c r="P137" s="109"/>
      <c r="Q137" s="109"/>
      <c r="R137" s="109"/>
      <c r="S137" s="109"/>
      <c r="T137" s="109"/>
      <c r="U137" s="381"/>
      <c r="V137" s="381"/>
      <c r="W137" s="381"/>
      <c r="X137" s="381"/>
      <c r="Y137" s="381"/>
      <c r="Z137" s="381"/>
      <c r="AA137" s="381"/>
      <c r="AB137" s="381"/>
      <c r="AC137" s="381"/>
    </row>
    <row r="138">
      <c r="A138" s="398"/>
      <c r="B138" s="91"/>
      <c r="C138" s="100"/>
      <c r="D138" s="399"/>
      <c r="E138" s="400"/>
      <c r="F138" s="95"/>
      <c r="G138" s="95"/>
      <c r="H138" s="95"/>
      <c r="I138" s="399"/>
      <c r="J138" s="97"/>
      <c r="K138" s="96"/>
      <c r="L138" s="99"/>
      <c r="M138" s="99"/>
      <c r="N138" s="100"/>
      <c r="O138" s="124"/>
      <c r="P138" s="99"/>
      <c r="Q138" s="99"/>
      <c r="R138" s="99"/>
      <c r="S138" s="99"/>
      <c r="T138" s="99"/>
      <c r="U138" s="381"/>
      <c r="V138" s="381"/>
      <c r="W138" s="381"/>
      <c r="X138" s="381"/>
      <c r="Y138" s="381"/>
      <c r="Z138" s="381"/>
      <c r="AA138" s="381"/>
      <c r="AB138" s="381"/>
      <c r="AC138" s="381"/>
    </row>
    <row r="139">
      <c r="A139" s="395"/>
      <c r="B139" s="102"/>
      <c r="C139" s="110"/>
      <c r="D139" s="396"/>
      <c r="E139" s="397"/>
      <c r="F139" s="106"/>
      <c r="G139" s="106"/>
      <c r="H139" s="106"/>
      <c r="I139" s="396"/>
      <c r="J139" s="108"/>
      <c r="K139" s="107"/>
      <c r="L139" s="109"/>
      <c r="M139" s="109"/>
      <c r="N139" s="110"/>
      <c r="O139" s="123"/>
      <c r="P139" s="109"/>
      <c r="Q139" s="109"/>
      <c r="R139" s="109"/>
      <c r="S139" s="109"/>
      <c r="T139" s="109"/>
      <c r="U139" s="381"/>
      <c r="V139" s="381"/>
      <c r="W139" s="381"/>
      <c r="X139" s="381"/>
      <c r="Y139" s="381"/>
      <c r="Z139" s="381"/>
      <c r="AA139" s="381"/>
      <c r="AB139" s="381"/>
      <c r="AC139" s="381"/>
    </row>
    <row r="140">
      <c r="A140" s="398"/>
      <c r="B140" s="91"/>
      <c r="C140" s="100"/>
      <c r="D140" s="399"/>
      <c r="E140" s="400"/>
      <c r="F140" s="95"/>
      <c r="G140" s="95"/>
      <c r="H140" s="95"/>
      <c r="I140" s="399"/>
      <c r="J140" s="97"/>
      <c r="K140" s="96"/>
      <c r="L140" s="99"/>
      <c r="M140" s="99"/>
      <c r="N140" s="100"/>
      <c r="O140" s="124"/>
      <c r="P140" s="99"/>
      <c r="Q140" s="99"/>
      <c r="R140" s="99"/>
      <c r="S140" s="99"/>
      <c r="T140" s="99"/>
      <c r="U140" s="381"/>
      <c r="V140" s="381"/>
      <c r="W140" s="381"/>
      <c r="X140" s="381"/>
      <c r="Y140" s="381"/>
      <c r="Z140" s="381"/>
      <c r="AA140" s="381"/>
      <c r="AB140" s="381"/>
      <c r="AC140" s="381"/>
    </row>
    <row r="141">
      <c r="A141" s="395"/>
      <c r="B141" s="102"/>
      <c r="C141" s="110"/>
      <c r="D141" s="396"/>
      <c r="E141" s="397"/>
      <c r="F141" s="106"/>
      <c r="G141" s="106"/>
      <c r="H141" s="106"/>
      <c r="I141" s="396"/>
      <c r="J141" s="108"/>
      <c r="K141" s="107"/>
      <c r="L141" s="109"/>
      <c r="M141" s="109"/>
      <c r="N141" s="110"/>
      <c r="O141" s="123"/>
      <c r="P141" s="109"/>
      <c r="Q141" s="109"/>
      <c r="R141" s="109"/>
      <c r="S141" s="109"/>
      <c r="T141" s="109"/>
      <c r="U141" s="381"/>
      <c r="V141" s="381"/>
      <c r="W141" s="381"/>
      <c r="X141" s="381"/>
      <c r="Y141" s="381"/>
      <c r="Z141" s="381"/>
      <c r="AA141" s="381"/>
      <c r="AB141" s="381"/>
      <c r="AC141" s="381"/>
    </row>
    <row r="142">
      <c r="A142" s="398"/>
      <c r="B142" s="91"/>
      <c r="C142" s="100"/>
      <c r="D142" s="399"/>
      <c r="E142" s="400"/>
      <c r="F142" s="95"/>
      <c r="G142" s="95"/>
      <c r="H142" s="95"/>
      <c r="I142" s="399"/>
      <c r="J142" s="97"/>
      <c r="K142" s="96"/>
      <c r="L142" s="99"/>
      <c r="M142" s="99"/>
      <c r="N142" s="100"/>
      <c r="O142" s="124"/>
      <c r="P142" s="99"/>
      <c r="Q142" s="99"/>
      <c r="R142" s="99"/>
      <c r="S142" s="99"/>
      <c r="T142" s="99"/>
      <c r="U142" s="381"/>
      <c r="V142" s="381"/>
      <c r="W142" s="381"/>
      <c r="X142" s="381"/>
      <c r="Y142" s="381"/>
      <c r="Z142" s="381"/>
      <c r="AA142" s="381"/>
      <c r="AB142" s="381"/>
      <c r="AC142" s="381"/>
    </row>
    <row r="143">
      <c r="A143" s="395"/>
      <c r="B143" s="102"/>
      <c r="C143" s="110"/>
      <c r="D143" s="396"/>
      <c r="E143" s="397"/>
      <c r="F143" s="106"/>
      <c r="G143" s="106"/>
      <c r="H143" s="106"/>
      <c r="I143" s="396"/>
      <c r="J143" s="108"/>
      <c r="K143" s="107"/>
      <c r="L143" s="109"/>
      <c r="M143" s="109"/>
      <c r="N143" s="110"/>
      <c r="O143" s="123"/>
      <c r="P143" s="109"/>
      <c r="Q143" s="109"/>
      <c r="R143" s="109"/>
      <c r="S143" s="109"/>
      <c r="T143" s="109"/>
      <c r="U143" s="381"/>
      <c r="V143" s="381"/>
      <c r="W143" s="381"/>
      <c r="X143" s="381"/>
      <c r="Y143" s="381"/>
      <c r="Z143" s="381"/>
      <c r="AA143" s="381"/>
      <c r="AB143" s="381"/>
      <c r="AC143" s="381"/>
    </row>
    <row r="144">
      <c r="A144" s="398"/>
      <c r="B144" s="91"/>
      <c r="C144" s="100"/>
      <c r="D144" s="399"/>
      <c r="E144" s="400"/>
      <c r="F144" s="95"/>
      <c r="G144" s="95"/>
      <c r="H144" s="95"/>
      <c r="I144" s="399"/>
      <c r="J144" s="97"/>
      <c r="K144" s="96"/>
      <c r="L144" s="99"/>
      <c r="M144" s="99"/>
      <c r="N144" s="100"/>
      <c r="O144" s="124"/>
      <c r="P144" s="99"/>
      <c r="Q144" s="99"/>
      <c r="R144" s="99"/>
      <c r="S144" s="99"/>
      <c r="T144" s="99"/>
      <c r="U144" s="381"/>
      <c r="V144" s="381"/>
      <c r="W144" s="381"/>
      <c r="X144" s="381"/>
      <c r="Y144" s="381"/>
      <c r="Z144" s="381"/>
      <c r="AA144" s="381"/>
      <c r="AB144" s="381"/>
      <c r="AC144" s="381"/>
    </row>
    <row r="145">
      <c r="A145" s="395"/>
      <c r="B145" s="102"/>
      <c r="C145" s="110"/>
      <c r="D145" s="396"/>
      <c r="E145" s="397"/>
      <c r="F145" s="106"/>
      <c r="G145" s="106"/>
      <c r="H145" s="106"/>
      <c r="I145" s="396"/>
      <c r="J145" s="108"/>
      <c r="K145" s="107"/>
      <c r="L145" s="109"/>
      <c r="M145" s="109"/>
      <c r="N145" s="110"/>
      <c r="O145" s="123"/>
      <c r="P145" s="109"/>
      <c r="Q145" s="109"/>
      <c r="R145" s="109"/>
      <c r="S145" s="109"/>
      <c r="T145" s="109"/>
      <c r="U145" s="381"/>
      <c r="V145" s="381"/>
      <c r="W145" s="381"/>
      <c r="X145" s="381"/>
      <c r="Y145" s="381"/>
      <c r="Z145" s="381"/>
      <c r="AA145" s="381"/>
      <c r="AB145" s="381"/>
      <c r="AC145" s="381"/>
    </row>
    <row r="146">
      <c r="A146" s="398"/>
      <c r="B146" s="91"/>
      <c r="C146" s="100"/>
      <c r="D146" s="399"/>
      <c r="E146" s="400"/>
      <c r="F146" s="95"/>
      <c r="G146" s="95"/>
      <c r="H146" s="95"/>
      <c r="I146" s="399"/>
      <c r="J146" s="97"/>
      <c r="K146" s="96"/>
      <c r="L146" s="99"/>
      <c r="M146" s="99"/>
      <c r="N146" s="100"/>
      <c r="O146" s="124"/>
      <c r="P146" s="99"/>
      <c r="Q146" s="99"/>
      <c r="R146" s="99"/>
      <c r="S146" s="99"/>
      <c r="T146" s="99"/>
      <c r="U146" s="381"/>
      <c r="V146" s="381"/>
      <c r="W146" s="381"/>
      <c r="X146" s="381"/>
      <c r="Y146" s="381"/>
      <c r="Z146" s="381"/>
      <c r="AA146" s="381"/>
      <c r="AB146" s="381"/>
      <c r="AC146" s="381"/>
    </row>
    <row r="147">
      <c r="A147" s="395"/>
      <c r="B147" s="102"/>
      <c r="C147" s="110"/>
      <c r="D147" s="396"/>
      <c r="E147" s="397"/>
      <c r="F147" s="106"/>
      <c r="G147" s="106"/>
      <c r="H147" s="106"/>
      <c r="I147" s="396"/>
      <c r="J147" s="108"/>
      <c r="K147" s="107"/>
      <c r="L147" s="109"/>
      <c r="M147" s="109"/>
      <c r="N147" s="110"/>
      <c r="O147" s="123"/>
      <c r="P147" s="109"/>
      <c r="Q147" s="109"/>
      <c r="R147" s="109"/>
      <c r="S147" s="109"/>
      <c r="T147" s="109"/>
      <c r="U147" s="381"/>
      <c r="V147" s="381"/>
      <c r="W147" s="381"/>
      <c r="X147" s="381"/>
      <c r="Y147" s="381"/>
      <c r="Z147" s="381"/>
      <c r="AA147" s="381"/>
      <c r="AB147" s="381"/>
      <c r="AC147" s="381"/>
    </row>
    <row r="148">
      <c r="A148" s="398"/>
      <c r="B148" s="91"/>
      <c r="C148" s="100"/>
      <c r="D148" s="399"/>
      <c r="E148" s="400"/>
      <c r="F148" s="95"/>
      <c r="G148" s="95"/>
      <c r="H148" s="95"/>
      <c r="I148" s="399"/>
      <c r="J148" s="97"/>
      <c r="K148" s="96"/>
      <c r="L148" s="99"/>
      <c r="M148" s="99"/>
      <c r="N148" s="100"/>
      <c r="O148" s="124"/>
      <c r="P148" s="99"/>
      <c r="Q148" s="99"/>
      <c r="R148" s="99"/>
      <c r="S148" s="99"/>
      <c r="T148" s="99"/>
      <c r="U148" s="381"/>
      <c r="V148" s="381"/>
      <c r="W148" s="381"/>
      <c r="X148" s="381"/>
      <c r="Y148" s="381"/>
      <c r="Z148" s="381"/>
      <c r="AA148" s="381"/>
      <c r="AB148" s="381"/>
      <c r="AC148" s="381"/>
    </row>
    <row r="149">
      <c r="A149" s="395"/>
      <c r="B149" s="102"/>
      <c r="C149" s="110"/>
      <c r="D149" s="396"/>
      <c r="E149" s="397"/>
      <c r="F149" s="106"/>
      <c r="G149" s="106"/>
      <c r="H149" s="106"/>
      <c r="I149" s="396"/>
      <c r="J149" s="108"/>
      <c r="K149" s="107"/>
      <c r="L149" s="109"/>
      <c r="M149" s="109"/>
      <c r="N149" s="110"/>
      <c r="O149" s="123"/>
      <c r="P149" s="109"/>
      <c r="Q149" s="109"/>
      <c r="R149" s="109"/>
      <c r="S149" s="109"/>
      <c r="T149" s="109"/>
      <c r="U149" s="381"/>
      <c r="V149" s="381"/>
      <c r="W149" s="381"/>
      <c r="X149" s="381"/>
      <c r="Y149" s="381"/>
      <c r="Z149" s="381"/>
      <c r="AA149" s="381"/>
      <c r="AB149" s="381"/>
      <c r="AC149" s="381"/>
    </row>
    <row r="150">
      <c r="A150" s="398"/>
      <c r="B150" s="91"/>
      <c r="C150" s="100"/>
      <c r="D150" s="399"/>
      <c r="E150" s="400"/>
      <c r="F150" s="95"/>
      <c r="G150" s="95"/>
      <c r="H150" s="95"/>
      <c r="I150" s="399"/>
      <c r="J150" s="97"/>
      <c r="K150" s="96"/>
      <c r="L150" s="99"/>
      <c r="M150" s="99"/>
      <c r="N150" s="100"/>
      <c r="O150" s="124"/>
      <c r="P150" s="99"/>
      <c r="Q150" s="99"/>
      <c r="R150" s="99"/>
      <c r="S150" s="99"/>
      <c r="T150" s="99"/>
      <c r="U150" s="381"/>
      <c r="V150" s="381"/>
      <c r="W150" s="381"/>
      <c r="X150" s="381"/>
      <c r="Y150" s="381"/>
      <c r="Z150" s="381"/>
      <c r="AA150" s="381"/>
      <c r="AB150" s="381"/>
      <c r="AC150" s="381"/>
    </row>
    <row r="151">
      <c r="A151" s="395"/>
      <c r="B151" s="102"/>
      <c r="C151" s="110"/>
      <c r="D151" s="396"/>
      <c r="E151" s="397"/>
      <c r="F151" s="106"/>
      <c r="G151" s="106"/>
      <c r="H151" s="106"/>
      <c r="I151" s="396"/>
      <c r="J151" s="108"/>
      <c r="K151" s="107"/>
      <c r="L151" s="109"/>
      <c r="M151" s="109"/>
      <c r="N151" s="110"/>
      <c r="O151" s="123"/>
      <c r="P151" s="109"/>
      <c r="Q151" s="109"/>
      <c r="R151" s="109"/>
      <c r="S151" s="109"/>
      <c r="T151" s="109"/>
      <c r="U151" s="381"/>
      <c r="V151" s="381"/>
      <c r="W151" s="381"/>
      <c r="X151" s="381"/>
      <c r="Y151" s="381"/>
      <c r="Z151" s="381"/>
      <c r="AA151" s="381"/>
      <c r="AB151" s="381"/>
      <c r="AC151" s="381"/>
    </row>
    <row r="152">
      <c r="A152" s="398"/>
      <c r="B152" s="91"/>
      <c r="C152" s="100"/>
      <c r="D152" s="399"/>
      <c r="E152" s="400"/>
      <c r="F152" s="95"/>
      <c r="G152" s="95"/>
      <c r="H152" s="95"/>
      <c r="I152" s="399"/>
      <c r="J152" s="97"/>
      <c r="K152" s="96"/>
      <c r="L152" s="99"/>
      <c r="M152" s="99"/>
      <c r="N152" s="100"/>
      <c r="O152" s="124"/>
      <c r="P152" s="99"/>
      <c r="Q152" s="99"/>
      <c r="R152" s="99"/>
      <c r="S152" s="99"/>
      <c r="T152" s="99"/>
      <c r="U152" s="381"/>
      <c r="V152" s="381"/>
      <c r="W152" s="381"/>
      <c r="X152" s="381"/>
      <c r="Y152" s="381"/>
      <c r="Z152" s="381"/>
      <c r="AA152" s="381"/>
      <c r="AB152" s="381"/>
      <c r="AC152" s="381"/>
    </row>
    <row r="153">
      <c r="A153" s="395"/>
      <c r="B153" s="102"/>
      <c r="C153" s="110"/>
      <c r="D153" s="396"/>
      <c r="E153" s="397"/>
      <c r="F153" s="106"/>
      <c r="G153" s="106"/>
      <c r="H153" s="106"/>
      <c r="I153" s="396"/>
      <c r="J153" s="108"/>
      <c r="K153" s="107"/>
      <c r="L153" s="109"/>
      <c r="M153" s="109"/>
      <c r="N153" s="110"/>
      <c r="O153" s="123"/>
      <c r="P153" s="109"/>
      <c r="Q153" s="109"/>
      <c r="R153" s="109"/>
      <c r="S153" s="109"/>
      <c r="T153" s="109"/>
      <c r="U153" s="381"/>
      <c r="V153" s="381"/>
      <c r="W153" s="381"/>
      <c r="X153" s="381"/>
      <c r="Y153" s="381"/>
      <c r="Z153" s="381"/>
      <c r="AA153" s="381"/>
      <c r="AB153" s="381"/>
      <c r="AC153" s="381"/>
    </row>
    <row r="154">
      <c r="A154" s="398"/>
      <c r="B154" s="91"/>
      <c r="C154" s="100"/>
      <c r="D154" s="399"/>
      <c r="E154" s="400"/>
      <c r="F154" s="95"/>
      <c r="G154" s="95"/>
      <c r="H154" s="95"/>
      <c r="I154" s="399"/>
      <c r="J154" s="97"/>
      <c r="K154" s="96"/>
      <c r="L154" s="99"/>
      <c r="M154" s="99"/>
      <c r="N154" s="100"/>
      <c r="O154" s="124"/>
      <c r="P154" s="99"/>
      <c r="Q154" s="99"/>
      <c r="R154" s="99"/>
      <c r="S154" s="99"/>
      <c r="T154" s="99"/>
      <c r="U154" s="381"/>
      <c r="V154" s="381"/>
      <c r="W154" s="381"/>
      <c r="X154" s="381"/>
      <c r="Y154" s="381"/>
      <c r="Z154" s="381"/>
      <c r="AA154" s="381"/>
      <c r="AB154" s="381"/>
      <c r="AC154" s="381"/>
    </row>
    <row r="155">
      <c r="A155" s="395"/>
      <c r="B155" s="102"/>
      <c r="C155" s="110"/>
      <c r="D155" s="396"/>
      <c r="E155" s="397"/>
      <c r="F155" s="106"/>
      <c r="G155" s="106"/>
      <c r="H155" s="106"/>
      <c r="I155" s="396"/>
      <c r="J155" s="108"/>
      <c r="K155" s="107"/>
      <c r="L155" s="109"/>
      <c r="M155" s="109"/>
      <c r="N155" s="110"/>
      <c r="O155" s="123"/>
      <c r="P155" s="109"/>
      <c r="Q155" s="109"/>
      <c r="R155" s="109"/>
      <c r="S155" s="109"/>
      <c r="T155" s="109"/>
      <c r="U155" s="381"/>
      <c r="V155" s="381"/>
      <c r="W155" s="381"/>
      <c r="X155" s="381"/>
      <c r="Y155" s="381"/>
      <c r="Z155" s="381"/>
      <c r="AA155" s="381"/>
      <c r="AB155" s="381"/>
      <c r="AC155" s="381"/>
    </row>
    <row r="156">
      <c r="A156" s="398"/>
      <c r="B156" s="91"/>
      <c r="C156" s="100"/>
      <c r="D156" s="399"/>
      <c r="E156" s="400"/>
      <c r="F156" s="95"/>
      <c r="G156" s="95"/>
      <c r="H156" s="95"/>
      <c r="I156" s="399"/>
      <c r="J156" s="97"/>
      <c r="K156" s="96"/>
      <c r="L156" s="99"/>
      <c r="M156" s="99"/>
      <c r="N156" s="100"/>
      <c r="O156" s="124"/>
      <c r="P156" s="99"/>
      <c r="Q156" s="99"/>
      <c r="R156" s="99"/>
      <c r="S156" s="99"/>
      <c r="T156" s="99"/>
      <c r="U156" s="381"/>
      <c r="V156" s="381"/>
      <c r="W156" s="381"/>
      <c r="X156" s="381"/>
      <c r="Y156" s="381"/>
      <c r="Z156" s="381"/>
      <c r="AA156" s="381"/>
      <c r="AB156" s="381"/>
      <c r="AC156" s="381"/>
    </row>
    <row r="157">
      <c r="A157" s="395"/>
      <c r="B157" s="102"/>
      <c r="C157" s="110"/>
      <c r="D157" s="396"/>
      <c r="E157" s="397"/>
      <c r="F157" s="106"/>
      <c r="G157" s="106"/>
      <c r="H157" s="106"/>
      <c r="I157" s="396"/>
      <c r="J157" s="108"/>
      <c r="K157" s="107"/>
      <c r="L157" s="109"/>
      <c r="M157" s="109"/>
      <c r="N157" s="110"/>
      <c r="O157" s="123"/>
      <c r="P157" s="109"/>
      <c r="Q157" s="109"/>
      <c r="R157" s="109"/>
      <c r="S157" s="109"/>
      <c r="T157" s="109"/>
      <c r="U157" s="381"/>
      <c r="V157" s="381"/>
      <c r="W157" s="381"/>
      <c r="X157" s="381"/>
      <c r="Y157" s="381"/>
      <c r="Z157" s="381"/>
      <c r="AA157" s="381"/>
      <c r="AB157" s="381"/>
      <c r="AC157" s="381"/>
    </row>
    <row r="158">
      <c r="A158" s="398"/>
      <c r="B158" s="91"/>
      <c r="C158" s="100"/>
      <c r="D158" s="399"/>
      <c r="E158" s="400"/>
      <c r="F158" s="95"/>
      <c r="G158" s="95"/>
      <c r="H158" s="95"/>
      <c r="I158" s="399"/>
      <c r="J158" s="97"/>
      <c r="K158" s="96"/>
      <c r="L158" s="99"/>
      <c r="M158" s="99"/>
      <c r="N158" s="100"/>
      <c r="O158" s="124"/>
      <c r="P158" s="99"/>
      <c r="Q158" s="99"/>
      <c r="R158" s="99"/>
      <c r="S158" s="99"/>
      <c r="T158" s="99"/>
      <c r="U158" s="381"/>
      <c r="V158" s="381"/>
      <c r="W158" s="381"/>
      <c r="X158" s="381"/>
      <c r="Y158" s="381"/>
      <c r="Z158" s="381"/>
      <c r="AA158" s="381"/>
      <c r="AB158" s="381"/>
      <c r="AC158" s="381"/>
    </row>
    <row r="159">
      <c r="A159" s="395"/>
      <c r="B159" s="102"/>
      <c r="C159" s="110"/>
      <c r="D159" s="396"/>
      <c r="E159" s="397"/>
      <c r="F159" s="106"/>
      <c r="G159" s="106"/>
      <c r="H159" s="106"/>
      <c r="I159" s="396"/>
      <c r="J159" s="108"/>
      <c r="K159" s="107"/>
      <c r="L159" s="109"/>
      <c r="M159" s="109"/>
      <c r="N159" s="110"/>
      <c r="O159" s="123"/>
      <c r="P159" s="109"/>
      <c r="Q159" s="109"/>
      <c r="R159" s="109"/>
      <c r="S159" s="109"/>
      <c r="T159" s="109"/>
      <c r="U159" s="381"/>
      <c r="V159" s="381"/>
      <c r="W159" s="381"/>
      <c r="X159" s="381"/>
      <c r="Y159" s="381"/>
      <c r="Z159" s="381"/>
      <c r="AA159" s="381"/>
      <c r="AB159" s="381"/>
      <c r="AC159" s="381"/>
    </row>
    <row r="160">
      <c r="A160" s="398"/>
      <c r="B160" s="91"/>
      <c r="C160" s="100"/>
      <c r="D160" s="399"/>
      <c r="E160" s="400"/>
      <c r="F160" s="95"/>
      <c r="G160" s="95"/>
      <c r="H160" s="95"/>
      <c r="I160" s="399"/>
      <c r="J160" s="97"/>
      <c r="K160" s="96"/>
      <c r="L160" s="99"/>
      <c r="M160" s="99"/>
      <c r="N160" s="100"/>
      <c r="O160" s="124"/>
      <c r="P160" s="99"/>
      <c r="Q160" s="99"/>
      <c r="R160" s="99"/>
      <c r="S160" s="99"/>
      <c r="T160" s="99"/>
      <c r="U160" s="381"/>
      <c r="V160" s="381"/>
      <c r="W160" s="381"/>
      <c r="X160" s="381"/>
      <c r="Y160" s="381"/>
      <c r="Z160" s="381"/>
      <c r="AA160" s="381"/>
      <c r="AB160" s="381"/>
      <c r="AC160" s="381"/>
    </row>
    <row r="161">
      <c r="A161" s="395"/>
      <c r="B161" s="102"/>
      <c r="C161" s="110"/>
      <c r="D161" s="396"/>
      <c r="E161" s="397"/>
      <c r="F161" s="106"/>
      <c r="G161" s="106"/>
      <c r="H161" s="106"/>
      <c r="I161" s="396"/>
      <c r="J161" s="108"/>
      <c r="K161" s="107"/>
      <c r="L161" s="109"/>
      <c r="M161" s="109"/>
      <c r="N161" s="110"/>
      <c r="O161" s="123"/>
      <c r="P161" s="109"/>
      <c r="Q161" s="109"/>
      <c r="R161" s="109"/>
      <c r="S161" s="109"/>
      <c r="T161" s="109"/>
      <c r="U161" s="381"/>
      <c r="V161" s="381"/>
      <c r="W161" s="381"/>
      <c r="X161" s="381"/>
      <c r="Y161" s="381"/>
      <c r="Z161" s="381"/>
      <c r="AA161" s="381"/>
      <c r="AB161" s="381"/>
      <c r="AC161" s="381"/>
    </row>
    <row r="162">
      <c r="A162" s="398"/>
      <c r="B162" s="91"/>
      <c r="C162" s="100"/>
      <c r="D162" s="399"/>
      <c r="E162" s="400"/>
      <c r="F162" s="95"/>
      <c r="G162" s="95"/>
      <c r="H162" s="95"/>
      <c r="I162" s="399"/>
      <c r="J162" s="97"/>
      <c r="K162" s="96"/>
      <c r="L162" s="99"/>
      <c r="M162" s="99"/>
      <c r="N162" s="100"/>
      <c r="O162" s="124"/>
      <c r="P162" s="99"/>
      <c r="Q162" s="99"/>
      <c r="R162" s="99"/>
      <c r="S162" s="99"/>
      <c r="T162" s="99"/>
      <c r="U162" s="381"/>
      <c r="V162" s="381"/>
      <c r="W162" s="381"/>
      <c r="X162" s="381"/>
      <c r="Y162" s="381"/>
      <c r="Z162" s="381"/>
      <c r="AA162" s="381"/>
      <c r="AB162" s="381"/>
      <c r="AC162" s="381"/>
    </row>
    <row r="163">
      <c r="A163" s="395"/>
      <c r="B163" s="102"/>
      <c r="C163" s="110"/>
      <c r="D163" s="396"/>
      <c r="E163" s="397"/>
      <c r="F163" s="106"/>
      <c r="G163" s="106"/>
      <c r="H163" s="106"/>
      <c r="I163" s="396"/>
      <c r="J163" s="108"/>
      <c r="K163" s="107"/>
      <c r="L163" s="109"/>
      <c r="M163" s="109"/>
      <c r="N163" s="110"/>
      <c r="O163" s="123"/>
      <c r="P163" s="109"/>
      <c r="Q163" s="109"/>
      <c r="R163" s="109"/>
      <c r="S163" s="109"/>
      <c r="T163" s="109"/>
      <c r="U163" s="381"/>
      <c r="V163" s="381"/>
      <c r="W163" s="381"/>
      <c r="X163" s="381"/>
      <c r="Y163" s="381"/>
      <c r="Z163" s="381"/>
      <c r="AA163" s="381"/>
      <c r="AB163" s="381"/>
      <c r="AC163" s="381"/>
    </row>
    <row r="164">
      <c r="A164" s="398"/>
      <c r="B164" s="91"/>
      <c r="C164" s="100"/>
      <c r="D164" s="399"/>
      <c r="E164" s="400"/>
      <c r="F164" s="95"/>
      <c r="G164" s="95"/>
      <c r="H164" s="95"/>
      <c r="I164" s="399"/>
      <c r="J164" s="97"/>
      <c r="K164" s="96"/>
      <c r="L164" s="99"/>
      <c r="M164" s="99"/>
      <c r="N164" s="100"/>
      <c r="O164" s="124"/>
      <c r="P164" s="99"/>
      <c r="Q164" s="99"/>
      <c r="R164" s="99"/>
      <c r="S164" s="99"/>
      <c r="T164" s="99"/>
      <c r="U164" s="381"/>
      <c r="V164" s="381"/>
      <c r="W164" s="381"/>
      <c r="X164" s="381"/>
      <c r="Y164" s="381"/>
      <c r="Z164" s="381"/>
      <c r="AA164" s="381"/>
      <c r="AB164" s="381"/>
      <c r="AC164" s="381"/>
    </row>
    <row r="165">
      <c r="A165" s="395"/>
      <c r="B165" s="102"/>
      <c r="C165" s="110"/>
      <c r="D165" s="396"/>
      <c r="E165" s="397"/>
      <c r="F165" s="106"/>
      <c r="G165" s="106"/>
      <c r="H165" s="106"/>
      <c r="I165" s="396"/>
      <c r="J165" s="108"/>
      <c r="K165" s="107"/>
      <c r="L165" s="109"/>
      <c r="M165" s="109"/>
      <c r="N165" s="110"/>
      <c r="O165" s="123"/>
      <c r="P165" s="109"/>
      <c r="Q165" s="109"/>
      <c r="R165" s="109"/>
      <c r="S165" s="109"/>
      <c r="T165" s="109"/>
      <c r="U165" s="381"/>
      <c r="V165" s="381"/>
      <c r="W165" s="381"/>
      <c r="X165" s="381"/>
      <c r="Y165" s="381"/>
      <c r="Z165" s="381"/>
      <c r="AA165" s="381"/>
      <c r="AB165" s="381"/>
      <c r="AC165" s="381"/>
    </row>
    <row r="166">
      <c r="A166" s="398"/>
      <c r="B166" s="91"/>
      <c r="C166" s="100"/>
      <c r="D166" s="399"/>
      <c r="E166" s="400"/>
      <c r="F166" s="95"/>
      <c r="G166" s="95"/>
      <c r="H166" s="95"/>
      <c r="I166" s="399"/>
      <c r="J166" s="97"/>
      <c r="K166" s="96"/>
      <c r="L166" s="99"/>
      <c r="M166" s="99"/>
      <c r="N166" s="100"/>
      <c r="O166" s="124"/>
      <c r="P166" s="99"/>
      <c r="Q166" s="99"/>
      <c r="R166" s="99"/>
      <c r="S166" s="99"/>
      <c r="T166" s="99"/>
      <c r="U166" s="381"/>
      <c r="V166" s="381"/>
      <c r="W166" s="381"/>
      <c r="X166" s="381"/>
      <c r="Y166" s="381"/>
      <c r="Z166" s="381"/>
      <c r="AA166" s="381"/>
      <c r="AB166" s="381"/>
      <c r="AC166" s="381"/>
    </row>
    <row r="167">
      <c r="A167" s="395"/>
      <c r="B167" s="102"/>
      <c r="C167" s="110"/>
      <c r="D167" s="396"/>
      <c r="E167" s="397"/>
      <c r="F167" s="106"/>
      <c r="G167" s="106"/>
      <c r="H167" s="106"/>
      <c r="I167" s="396"/>
      <c r="J167" s="108"/>
      <c r="K167" s="107"/>
      <c r="L167" s="109"/>
      <c r="M167" s="109"/>
      <c r="N167" s="110"/>
      <c r="O167" s="123"/>
      <c r="P167" s="109"/>
      <c r="Q167" s="109"/>
      <c r="R167" s="109"/>
      <c r="S167" s="109"/>
      <c r="T167" s="109"/>
      <c r="U167" s="381"/>
      <c r="V167" s="381"/>
      <c r="W167" s="381"/>
      <c r="X167" s="381"/>
      <c r="Y167" s="381"/>
      <c r="Z167" s="381"/>
      <c r="AA167" s="381"/>
      <c r="AB167" s="381"/>
      <c r="AC167" s="381"/>
    </row>
    <row r="168">
      <c r="A168" s="398"/>
      <c r="B168" s="91"/>
      <c r="C168" s="100"/>
      <c r="D168" s="399"/>
      <c r="E168" s="400"/>
      <c r="F168" s="95"/>
      <c r="G168" s="95"/>
      <c r="H168" s="95"/>
      <c r="I168" s="399"/>
      <c r="J168" s="97"/>
      <c r="K168" s="96"/>
      <c r="L168" s="99"/>
      <c r="M168" s="99"/>
      <c r="N168" s="100"/>
      <c r="O168" s="124"/>
      <c r="P168" s="99"/>
      <c r="Q168" s="99"/>
      <c r="R168" s="99"/>
      <c r="S168" s="99"/>
      <c r="T168" s="99"/>
      <c r="U168" s="381"/>
      <c r="V168" s="381"/>
      <c r="W168" s="381"/>
      <c r="X168" s="381"/>
      <c r="Y168" s="381"/>
      <c r="Z168" s="381"/>
      <c r="AA168" s="381"/>
      <c r="AB168" s="381"/>
      <c r="AC168" s="381"/>
    </row>
    <row r="169">
      <c r="A169" s="395"/>
      <c r="B169" s="102"/>
      <c r="C169" s="110"/>
      <c r="D169" s="396"/>
      <c r="E169" s="397"/>
      <c r="F169" s="106"/>
      <c r="G169" s="106"/>
      <c r="H169" s="106"/>
      <c r="I169" s="396"/>
      <c r="J169" s="108"/>
      <c r="K169" s="107"/>
      <c r="L169" s="109"/>
      <c r="M169" s="109"/>
      <c r="N169" s="110"/>
      <c r="O169" s="123"/>
      <c r="P169" s="109"/>
      <c r="Q169" s="109"/>
      <c r="R169" s="109"/>
      <c r="S169" s="109"/>
      <c r="T169" s="109"/>
      <c r="U169" s="381"/>
      <c r="V169" s="381"/>
      <c r="W169" s="381"/>
      <c r="X169" s="381"/>
      <c r="Y169" s="381"/>
      <c r="Z169" s="381"/>
      <c r="AA169" s="381"/>
      <c r="AB169" s="381"/>
      <c r="AC169" s="381"/>
    </row>
    <row r="170">
      <c r="A170" s="398"/>
      <c r="B170" s="91"/>
      <c r="C170" s="100"/>
      <c r="D170" s="399"/>
      <c r="E170" s="400"/>
      <c r="F170" s="95"/>
      <c r="G170" s="95"/>
      <c r="H170" s="95"/>
      <c r="I170" s="399"/>
      <c r="J170" s="97"/>
      <c r="K170" s="96"/>
      <c r="L170" s="99"/>
      <c r="M170" s="99"/>
      <c r="N170" s="100"/>
      <c r="O170" s="124"/>
      <c r="P170" s="99"/>
      <c r="Q170" s="99"/>
      <c r="R170" s="99"/>
      <c r="S170" s="99"/>
      <c r="T170" s="99"/>
      <c r="U170" s="381"/>
      <c r="V170" s="381"/>
      <c r="W170" s="381"/>
      <c r="X170" s="381"/>
      <c r="Y170" s="381"/>
      <c r="Z170" s="381"/>
      <c r="AA170" s="381"/>
      <c r="AB170" s="381"/>
      <c r="AC170" s="381"/>
    </row>
    <row r="171">
      <c r="A171" s="395"/>
      <c r="B171" s="102"/>
      <c r="C171" s="110"/>
      <c r="D171" s="396"/>
      <c r="E171" s="397"/>
      <c r="F171" s="106"/>
      <c r="G171" s="106"/>
      <c r="H171" s="106"/>
      <c r="I171" s="396"/>
      <c r="J171" s="108"/>
      <c r="K171" s="107"/>
      <c r="L171" s="109"/>
      <c r="M171" s="109"/>
      <c r="N171" s="110"/>
      <c r="O171" s="123"/>
      <c r="P171" s="109"/>
      <c r="Q171" s="109"/>
      <c r="R171" s="109"/>
      <c r="S171" s="109"/>
      <c r="T171" s="109"/>
      <c r="U171" s="381"/>
      <c r="V171" s="381"/>
      <c r="W171" s="381"/>
      <c r="X171" s="381"/>
      <c r="Y171" s="381"/>
      <c r="Z171" s="381"/>
      <c r="AA171" s="381"/>
      <c r="AB171" s="381"/>
      <c r="AC171" s="381"/>
    </row>
    <row r="172">
      <c r="A172" s="398"/>
      <c r="B172" s="91"/>
      <c r="C172" s="100"/>
      <c r="D172" s="399"/>
      <c r="E172" s="400"/>
      <c r="F172" s="95"/>
      <c r="G172" s="95"/>
      <c r="H172" s="95"/>
      <c r="I172" s="399"/>
      <c r="J172" s="97"/>
      <c r="K172" s="96"/>
      <c r="L172" s="99"/>
      <c r="M172" s="99"/>
      <c r="N172" s="100"/>
      <c r="O172" s="124"/>
      <c r="P172" s="99"/>
      <c r="Q172" s="99"/>
      <c r="R172" s="99"/>
      <c r="S172" s="99"/>
      <c r="T172" s="99"/>
      <c r="U172" s="381"/>
      <c r="V172" s="381"/>
      <c r="W172" s="381"/>
      <c r="X172" s="381"/>
      <c r="Y172" s="381"/>
      <c r="Z172" s="381"/>
      <c r="AA172" s="381"/>
      <c r="AB172" s="381"/>
      <c r="AC172" s="381"/>
    </row>
    <row r="173">
      <c r="A173" s="395"/>
      <c r="B173" s="102"/>
      <c r="C173" s="110"/>
      <c r="D173" s="396"/>
      <c r="E173" s="397"/>
      <c r="F173" s="106"/>
      <c r="G173" s="106"/>
      <c r="H173" s="106"/>
      <c r="I173" s="396"/>
      <c r="J173" s="108"/>
      <c r="K173" s="107"/>
      <c r="L173" s="109"/>
      <c r="M173" s="109"/>
      <c r="N173" s="110"/>
      <c r="O173" s="123"/>
      <c r="P173" s="109"/>
      <c r="Q173" s="109"/>
      <c r="R173" s="109"/>
      <c r="S173" s="109"/>
      <c r="T173" s="109"/>
      <c r="U173" s="381"/>
      <c r="V173" s="381"/>
      <c r="W173" s="381"/>
      <c r="X173" s="381"/>
      <c r="Y173" s="381"/>
      <c r="Z173" s="381"/>
      <c r="AA173" s="381"/>
      <c r="AB173" s="381"/>
      <c r="AC173" s="381"/>
    </row>
    <row r="174">
      <c r="A174" s="398"/>
      <c r="B174" s="91"/>
      <c r="C174" s="100"/>
      <c r="D174" s="399"/>
      <c r="E174" s="400"/>
      <c r="F174" s="95"/>
      <c r="G174" s="95"/>
      <c r="H174" s="95"/>
      <c r="I174" s="399"/>
      <c r="J174" s="97"/>
      <c r="K174" s="96"/>
      <c r="L174" s="99"/>
      <c r="M174" s="99"/>
      <c r="N174" s="100"/>
      <c r="O174" s="124"/>
      <c r="P174" s="99"/>
      <c r="Q174" s="99"/>
      <c r="R174" s="99"/>
      <c r="S174" s="99"/>
      <c r="T174" s="99"/>
      <c r="U174" s="381"/>
      <c r="V174" s="381"/>
      <c r="W174" s="381"/>
      <c r="X174" s="381"/>
      <c r="Y174" s="381"/>
      <c r="Z174" s="381"/>
      <c r="AA174" s="381"/>
      <c r="AB174" s="381"/>
      <c r="AC174" s="381"/>
    </row>
    <row r="175">
      <c r="A175" s="395"/>
      <c r="B175" s="102"/>
      <c r="C175" s="110"/>
      <c r="D175" s="396"/>
      <c r="E175" s="397"/>
      <c r="F175" s="106"/>
      <c r="G175" s="106"/>
      <c r="H175" s="106"/>
      <c r="I175" s="396"/>
      <c r="J175" s="108"/>
      <c r="K175" s="107"/>
      <c r="L175" s="109"/>
      <c r="M175" s="109"/>
      <c r="N175" s="110"/>
      <c r="O175" s="123"/>
      <c r="P175" s="109"/>
      <c r="Q175" s="109"/>
      <c r="R175" s="109"/>
      <c r="S175" s="109"/>
      <c r="T175" s="109"/>
      <c r="U175" s="381"/>
      <c r="V175" s="381"/>
      <c r="W175" s="381"/>
      <c r="X175" s="381"/>
      <c r="Y175" s="381"/>
      <c r="Z175" s="381"/>
      <c r="AA175" s="381"/>
      <c r="AB175" s="381"/>
      <c r="AC175" s="381"/>
    </row>
    <row r="176">
      <c r="A176" s="398"/>
      <c r="B176" s="91"/>
      <c r="C176" s="100"/>
      <c r="D176" s="399"/>
      <c r="E176" s="400"/>
      <c r="F176" s="95"/>
      <c r="G176" s="95"/>
      <c r="H176" s="95"/>
      <c r="I176" s="399"/>
      <c r="J176" s="97"/>
      <c r="K176" s="96"/>
      <c r="L176" s="99"/>
      <c r="M176" s="99"/>
      <c r="N176" s="100"/>
      <c r="O176" s="124"/>
      <c r="P176" s="99"/>
      <c r="Q176" s="99"/>
      <c r="R176" s="99"/>
      <c r="S176" s="99"/>
      <c r="T176" s="99"/>
      <c r="U176" s="381"/>
      <c r="V176" s="381"/>
      <c r="W176" s="381"/>
      <c r="X176" s="381"/>
      <c r="Y176" s="381"/>
      <c r="Z176" s="381"/>
      <c r="AA176" s="381"/>
      <c r="AB176" s="381"/>
      <c r="AC176" s="381"/>
    </row>
    <row r="177">
      <c r="A177" s="395"/>
      <c r="B177" s="102"/>
      <c r="C177" s="110"/>
      <c r="D177" s="396"/>
      <c r="E177" s="397"/>
      <c r="F177" s="106"/>
      <c r="G177" s="106"/>
      <c r="H177" s="106"/>
      <c r="I177" s="396"/>
      <c r="J177" s="108"/>
      <c r="K177" s="107"/>
      <c r="L177" s="109"/>
      <c r="M177" s="109"/>
      <c r="N177" s="110"/>
      <c r="O177" s="123"/>
      <c r="P177" s="109"/>
      <c r="Q177" s="109"/>
      <c r="R177" s="109"/>
      <c r="S177" s="109"/>
      <c r="T177" s="109"/>
      <c r="U177" s="381"/>
      <c r="V177" s="381"/>
      <c r="W177" s="381"/>
      <c r="X177" s="381"/>
      <c r="Y177" s="381"/>
      <c r="Z177" s="381"/>
      <c r="AA177" s="381"/>
      <c r="AB177" s="381"/>
      <c r="AC177" s="381"/>
    </row>
    <row r="178">
      <c r="A178" s="398"/>
      <c r="B178" s="91"/>
      <c r="C178" s="100"/>
      <c r="D178" s="399"/>
      <c r="E178" s="400"/>
      <c r="F178" s="95"/>
      <c r="G178" s="95"/>
      <c r="H178" s="95"/>
      <c r="I178" s="399"/>
      <c r="J178" s="97"/>
      <c r="K178" s="96"/>
      <c r="L178" s="99"/>
      <c r="M178" s="99"/>
      <c r="N178" s="100"/>
      <c r="O178" s="124"/>
      <c r="P178" s="99"/>
      <c r="Q178" s="99"/>
      <c r="R178" s="99"/>
      <c r="S178" s="99"/>
      <c r="T178" s="99"/>
      <c r="U178" s="381"/>
      <c r="V178" s="381"/>
      <c r="W178" s="381"/>
      <c r="X178" s="381"/>
      <c r="Y178" s="381"/>
      <c r="Z178" s="381"/>
      <c r="AA178" s="381"/>
      <c r="AB178" s="381"/>
      <c r="AC178" s="381"/>
    </row>
    <row r="179">
      <c r="A179" s="395"/>
      <c r="B179" s="102"/>
      <c r="C179" s="110"/>
      <c r="D179" s="396"/>
      <c r="E179" s="397"/>
      <c r="F179" s="106"/>
      <c r="G179" s="106"/>
      <c r="H179" s="106"/>
      <c r="I179" s="396"/>
      <c r="J179" s="108"/>
      <c r="K179" s="107"/>
      <c r="L179" s="109"/>
      <c r="M179" s="109"/>
      <c r="N179" s="110"/>
      <c r="O179" s="123"/>
      <c r="P179" s="109"/>
      <c r="Q179" s="109"/>
      <c r="R179" s="109"/>
      <c r="S179" s="109"/>
      <c r="T179" s="109"/>
      <c r="U179" s="381"/>
      <c r="V179" s="381"/>
      <c r="W179" s="381"/>
      <c r="X179" s="381"/>
      <c r="Y179" s="381"/>
      <c r="Z179" s="381"/>
      <c r="AA179" s="381"/>
      <c r="AB179" s="381"/>
      <c r="AC179" s="381"/>
    </row>
    <row r="180">
      <c r="A180" s="398"/>
      <c r="B180" s="91"/>
      <c r="C180" s="100"/>
      <c r="D180" s="399"/>
      <c r="E180" s="400"/>
      <c r="F180" s="95"/>
      <c r="G180" s="95"/>
      <c r="H180" s="95"/>
      <c r="I180" s="399"/>
      <c r="J180" s="97"/>
      <c r="K180" s="96"/>
      <c r="L180" s="99"/>
      <c r="M180" s="99"/>
      <c r="N180" s="100"/>
      <c r="O180" s="124"/>
      <c r="P180" s="99"/>
      <c r="Q180" s="99"/>
      <c r="R180" s="99"/>
      <c r="S180" s="99"/>
      <c r="T180" s="99"/>
      <c r="U180" s="381"/>
      <c r="V180" s="381"/>
      <c r="W180" s="381"/>
      <c r="X180" s="381"/>
      <c r="Y180" s="381"/>
      <c r="Z180" s="381"/>
      <c r="AA180" s="381"/>
      <c r="AB180" s="381"/>
      <c r="AC180" s="381"/>
    </row>
    <row r="181">
      <c r="A181" s="395"/>
      <c r="B181" s="102"/>
      <c r="C181" s="110"/>
      <c r="D181" s="396"/>
      <c r="E181" s="397"/>
      <c r="F181" s="106"/>
      <c r="G181" s="106"/>
      <c r="H181" s="106"/>
      <c r="I181" s="396"/>
      <c r="J181" s="108"/>
      <c r="K181" s="107"/>
      <c r="L181" s="109"/>
      <c r="M181" s="109"/>
      <c r="N181" s="110"/>
      <c r="O181" s="123"/>
      <c r="P181" s="109"/>
      <c r="Q181" s="109"/>
      <c r="R181" s="109"/>
      <c r="S181" s="109"/>
      <c r="T181" s="109"/>
      <c r="U181" s="381"/>
      <c r="V181" s="381"/>
      <c r="W181" s="381"/>
      <c r="X181" s="381"/>
      <c r="Y181" s="381"/>
      <c r="Z181" s="381"/>
      <c r="AA181" s="381"/>
      <c r="AB181" s="381"/>
      <c r="AC181" s="381"/>
    </row>
    <row r="182">
      <c r="A182" s="398"/>
      <c r="B182" s="91"/>
      <c r="C182" s="100"/>
      <c r="D182" s="399"/>
      <c r="E182" s="400"/>
      <c r="F182" s="95"/>
      <c r="G182" s="95"/>
      <c r="H182" s="95"/>
      <c r="I182" s="399"/>
      <c r="J182" s="97"/>
      <c r="K182" s="96"/>
      <c r="L182" s="99"/>
      <c r="M182" s="99"/>
      <c r="N182" s="100"/>
      <c r="O182" s="124"/>
      <c r="P182" s="99"/>
      <c r="Q182" s="99"/>
      <c r="R182" s="99"/>
      <c r="S182" s="99"/>
      <c r="T182" s="99"/>
      <c r="U182" s="381"/>
      <c r="V182" s="381"/>
      <c r="W182" s="381"/>
      <c r="X182" s="381"/>
      <c r="Y182" s="381"/>
      <c r="Z182" s="381"/>
      <c r="AA182" s="381"/>
      <c r="AB182" s="381"/>
      <c r="AC182" s="381"/>
    </row>
    <row r="183">
      <c r="A183" s="395"/>
      <c r="B183" s="102"/>
      <c r="C183" s="110"/>
      <c r="D183" s="396"/>
      <c r="E183" s="397"/>
      <c r="F183" s="106"/>
      <c r="G183" s="106"/>
      <c r="H183" s="106"/>
      <c r="I183" s="396"/>
      <c r="J183" s="108"/>
      <c r="K183" s="107"/>
      <c r="L183" s="109"/>
      <c r="M183" s="109"/>
      <c r="N183" s="110"/>
      <c r="O183" s="123"/>
      <c r="P183" s="109"/>
      <c r="Q183" s="109"/>
      <c r="R183" s="109"/>
      <c r="S183" s="109"/>
      <c r="T183" s="109"/>
      <c r="U183" s="381"/>
      <c r="V183" s="381"/>
      <c r="W183" s="381"/>
      <c r="X183" s="381"/>
      <c r="Y183" s="381"/>
      <c r="Z183" s="381"/>
      <c r="AA183" s="381"/>
      <c r="AB183" s="381"/>
      <c r="AC183" s="381"/>
    </row>
    <row r="184">
      <c r="A184" s="398"/>
      <c r="B184" s="91"/>
      <c r="C184" s="100"/>
      <c r="D184" s="399"/>
      <c r="E184" s="400"/>
      <c r="F184" s="95"/>
      <c r="G184" s="95"/>
      <c r="H184" s="95"/>
      <c r="I184" s="399"/>
      <c r="J184" s="97"/>
      <c r="K184" s="96"/>
      <c r="L184" s="99"/>
      <c r="M184" s="99"/>
      <c r="N184" s="100"/>
      <c r="O184" s="124"/>
      <c r="P184" s="99"/>
      <c r="Q184" s="99"/>
      <c r="R184" s="99"/>
      <c r="S184" s="99"/>
      <c r="T184" s="99"/>
      <c r="U184" s="381"/>
      <c r="V184" s="381"/>
      <c r="W184" s="381"/>
      <c r="X184" s="381"/>
      <c r="Y184" s="381"/>
      <c r="Z184" s="381"/>
      <c r="AA184" s="381"/>
      <c r="AB184" s="381"/>
      <c r="AC184" s="381"/>
    </row>
    <row r="185">
      <c r="A185" s="395"/>
      <c r="B185" s="102"/>
      <c r="C185" s="110"/>
      <c r="D185" s="396"/>
      <c r="E185" s="397"/>
      <c r="F185" s="106"/>
      <c r="G185" s="106"/>
      <c r="H185" s="106"/>
      <c r="I185" s="396"/>
      <c r="J185" s="108"/>
      <c r="K185" s="107"/>
      <c r="L185" s="109"/>
      <c r="M185" s="109"/>
      <c r="N185" s="110"/>
      <c r="O185" s="123"/>
      <c r="P185" s="109"/>
      <c r="Q185" s="109"/>
      <c r="R185" s="109"/>
      <c r="S185" s="109"/>
      <c r="T185" s="109"/>
      <c r="U185" s="381"/>
      <c r="V185" s="381"/>
      <c r="W185" s="381"/>
      <c r="X185" s="381"/>
      <c r="Y185" s="381"/>
      <c r="Z185" s="381"/>
      <c r="AA185" s="381"/>
      <c r="AB185" s="381"/>
      <c r="AC185" s="381"/>
    </row>
    <row r="186">
      <c r="A186" s="398"/>
      <c r="B186" s="91"/>
      <c r="C186" s="100"/>
      <c r="D186" s="399"/>
      <c r="E186" s="400"/>
      <c r="F186" s="95"/>
      <c r="G186" s="95"/>
      <c r="H186" s="95"/>
      <c r="I186" s="399"/>
      <c r="J186" s="97"/>
      <c r="K186" s="96"/>
      <c r="L186" s="99"/>
      <c r="M186" s="99"/>
      <c r="N186" s="100"/>
      <c r="O186" s="124"/>
      <c r="P186" s="99"/>
      <c r="Q186" s="99"/>
      <c r="R186" s="99"/>
      <c r="S186" s="99"/>
      <c r="T186" s="99"/>
      <c r="U186" s="381"/>
      <c r="V186" s="381"/>
      <c r="W186" s="381"/>
      <c r="X186" s="381"/>
      <c r="Y186" s="381"/>
      <c r="Z186" s="381"/>
      <c r="AA186" s="381"/>
      <c r="AB186" s="381"/>
      <c r="AC186" s="381"/>
    </row>
    <row r="187">
      <c r="A187" s="395"/>
      <c r="B187" s="102"/>
      <c r="C187" s="110"/>
      <c r="D187" s="396"/>
      <c r="E187" s="397"/>
      <c r="F187" s="106"/>
      <c r="G187" s="106"/>
      <c r="H187" s="106"/>
      <c r="I187" s="396"/>
      <c r="J187" s="108"/>
      <c r="K187" s="107"/>
      <c r="L187" s="109"/>
      <c r="M187" s="109"/>
      <c r="N187" s="110"/>
      <c r="O187" s="123"/>
      <c r="P187" s="109"/>
      <c r="Q187" s="109"/>
      <c r="R187" s="109"/>
      <c r="S187" s="109"/>
      <c r="T187" s="109"/>
      <c r="U187" s="381"/>
      <c r="V187" s="381"/>
      <c r="W187" s="381"/>
      <c r="X187" s="381"/>
      <c r="Y187" s="381"/>
      <c r="Z187" s="381"/>
      <c r="AA187" s="381"/>
      <c r="AB187" s="381"/>
      <c r="AC187" s="381"/>
    </row>
    <row r="188">
      <c r="A188" s="398"/>
      <c r="B188" s="91"/>
      <c r="C188" s="100"/>
      <c r="D188" s="399"/>
      <c r="E188" s="400"/>
      <c r="F188" s="95"/>
      <c r="G188" s="95"/>
      <c r="H188" s="95"/>
      <c r="I188" s="399"/>
      <c r="J188" s="97"/>
      <c r="K188" s="96"/>
      <c r="L188" s="99"/>
      <c r="M188" s="99"/>
      <c r="N188" s="100"/>
      <c r="O188" s="124"/>
      <c r="P188" s="99"/>
      <c r="Q188" s="99"/>
      <c r="R188" s="99"/>
      <c r="S188" s="99"/>
      <c r="T188" s="99"/>
      <c r="U188" s="381"/>
      <c r="V188" s="381"/>
      <c r="W188" s="381"/>
      <c r="X188" s="381"/>
      <c r="Y188" s="381"/>
      <c r="Z188" s="381"/>
      <c r="AA188" s="381"/>
      <c r="AB188" s="381"/>
      <c r="AC188" s="381"/>
    </row>
    <row r="189">
      <c r="A189" s="395"/>
      <c r="B189" s="102"/>
      <c r="C189" s="110"/>
      <c r="D189" s="396"/>
      <c r="E189" s="397"/>
      <c r="F189" s="106"/>
      <c r="G189" s="106"/>
      <c r="H189" s="106"/>
      <c r="I189" s="396"/>
      <c r="J189" s="108"/>
      <c r="K189" s="107"/>
      <c r="L189" s="109"/>
      <c r="M189" s="109"/>
      <c r="N189" s="110"/>
      <c r="O189" s="123"/>
      <c r="P189" s="109"/>
      <c r="Q189" s="109"/>
      <c r="R189" s="109"/>
      <c r="S189" s="109"/>
      <c r="T189" s="109"/>
      <c r="U189" s="381"/>
      <c r="V189" s="381"/>
      <c r="W189" s="381"/>
      <c r="X189" s="381"/>
      <c r="Y189" s="381"/>
      <c r="Z189" s="381"/>
      <c r="AA189" s="381"/>
      <c r="AB189" s="381"/>
      <c r="AC189" s="381"/>
    </row>
    <row r="190">
      <c r="A190" s="398"/>
      <c r="B190" s="91"/>
      <c r="C190" s="100"/>
      <c r="D190" s="399"/>
      <c r="E190" s="400"/>
      <c r="F190" s="95"/>
      <c r="G190" s="95"/>
      <c r="H190" s="95"/>
      <c r="I190" s="399"/>
      <c r="J190" s="97"/>
      <c r="K190" s="96"/>
      <c r="L190" s="99"/>
      <c r="M190" s="99"/>
      <c r="N190" s="100"/>
      <c r="O190" s="124"/>
      <c r="P190" s="99"/>
      <c r="Q190" s="99"/>
      <c r="R190" s="99"/>
      <c r="S190" s="99"/>
      <c r="T190" s="99"/>
      <c r="U190" s="381"/>
      <c r="V190" s="381"/>
      <c r="W190" s="381"/>
      <c r="X190" s="381"/>
      <c r="Y190" s="381"/>
      <c r="Z190" s="381"/>
      <c r="AA190" s="381"/>
      <c r="AB190" s="381"/>
      <c r="AC190" s="381"/>
    </row>
    <row r="191">
      <c r="A191" s="395"/>
      <c r="B191" s="102"/>
      <c r="C191" s="110"/>
      <c r="D191" s="396"/>
      <c r="E191" s="397"/>
      <c r="F191" s="106"/>
      <c r="G191" s="106"/>
      <c r="H191" s="106"/>
      <c r="I191" s="396"/>
      <c r="J191" s="108"/>
      <c r="K191" s="107"/>
      <c r="L191" s="109"/>
      <c r="M191" s="109"/>
      <c r="N191" s="110"/>
      <c r="O191" s="123"/>
      <c r="P191" s="109"/>
      <c r="Q191" s="109"/>
      <c r="R191" s="109"/>
      <c r="S191" s="109"/>
      <c r="T191" s="109"/>
      <c r="U191" s="381"/>
      <c r="V191" s="381"/>
      <c r="W191" s="381"/>
      <c r="X191" s="381"/>
      <c r="Y191" s="381"/>
      <c r="Z191" s="381"/>
      <c r="AA191" s="381"/>
      <c r="AB191" s="381"/>
      <c r="AC191" s="381"/>
    </row>
    <row r="192">
      <c r="A192" s="398"/>
      <c r="B192" s="91"/>
      <c r="C192" s="100"/>
      <c r="D192" s="399"/>
      <c r="E192" s="400"/>
      <c r="F192" s="95"/>
      <c r="G192" s="95"/>
      <c r="H192" s="95"/>
      <c r="I192" s="399"/>
      <c r="J192" s="97"/>
      <c r="K192" s="96"/>
      <c r="L192" s="99"/>
      <c r="M192" s="99"/>
      <c r="N192" s="100"/>
      <c r="O192" s="124"/>
      <c r="P192" s="99"/>
      <c r="Q192" s="99"/>
      <c r="R192" s="99"/>
      <c r="S192" s="99"/>
      <c r="T192" s="99"/>
      <c r="U192" s="381"/>
      <c r="V192" s="381"/>
      <c r="W192" s="381"/>
      <c r="X192" s="381"/>
      <c r="Y192" s="381"/>
      <c r="Z192" s="381"/>
      <c r="AA192" s="381"/>
      <c r="AB192" s="381"/>
      <c r="AC192" s="381"/>
    </row>
    <row r="193">
      <c r="A193" s="395"/>
      <c r="B193" s="102"/>
      <c r="C193" s="110"/>
      <c r="D193" s="396"/>
      <c r="E193" s="397"/>
      <c r="F193" s="106"/>
      <c r="G193" s="106"/>
      <c r="H193" s="106"/>
      <c r="I193" s="396"/>
      <c r="J193" s="108"/>
      <c r="K193" s="107"/>
      <c r="L193" s="109"/>
      <c r="M193" s="109"/>
      <c r="N193" s="110"/>
      <c r="O193" s="123"/>
      <c r="P193" s="109"/>
      <c r="Q193" s="109"/>
      <c r="R193" s="109"/>
      <c r="S193" s="109"/>
      <c r="T193" s="109"/>
      <c r="U193" s="381"/>
      <c r="V193" s="381"/>
      <c r="W193" s="381"/>
      <c r="X193" s="381"/>
      <c r="Y193" s="381"/>
      <c r="Z193" s="381"/>
      <c r="AA193" s="381"/>
      <c r="AB193" s="381"/>
      <c r="AC193" s="381"/>
    </row>
    <row r="194">
      <c r="A194" s="398"/>
      <c r="B194" s="91"/>
      <c r="C194" s="100"/>
      <c r="D194" s="399"/>
      <c r="E194" s="400"/>
      <c r="F194" s="95"/>
      <c r="G194" s="95"/>
      <c r="H194" s="95"/>
      <c r="I194" s="399"/>
      <c r="J194" s="97"/>
      <c r="K194" s="96"/>
      <c r="L194" s="99"/>
      <c r="M194" s="99"/>
      <c r="N194" s="100"/>
      <c r="O194" s="124"/>
      <c r="P194" s="99"/>
      <c r="Q194" s="99"/>
      <c r="R194" s="99"/>
      <c r="S194" s="99"/>
      <c r="T194" s="99"/>
      <c r="U194" s="381"/>
      <c r="V194" s="381"/>
      <c r="W194" s="381"/>
      <c r="X194" s="381"/>
      <c r="Y194" s="381"/>
      <c r="Z194" s="381"/>
      <c r="AA194" s="381"/>
      <c r="AB194" s="381"/>
      <c r="AC194" s="381"/>
    </row>
    <row r="195">
      <c r="A195" s="395"/>
      <c r="B195" s="102"/>
      <c r="C195" s="110"/>
      <c r="D195" s="396"/>
      <c r="E195" s="397"/>
      <c r="F195" s="106"/>
      <c r="G195" s="106"/>
      <c r="H195" s="106"/>
      <c r="I195" s="396"/>
      <c r="J195" s="108"/>
      <c r="K195" s="107"/>
      <c r="L195" s="109"/>
      <c r="M195" s="109"/>
      <c r="N195" s="110"/>
      <c r="O195" s="123"/>
      <c r="P195" s="109"/>
      <c r="Q195" s="109"/>
      <c r="R195" s="109"/>
      <c r="S195" s="109"/>
      <c r="T195" s="109"/>
      <c r="U195" s="381"/>
      <c r="V195" s="381"/>
      <c r="W195" s="381"/>
      <c r="X195" s="381"/>
      <c r="Y195" s="381"/>
      <c r="Z195" s="381"/>
      <c r="AA195" s="381"/>
      <c r="AB195" s="381"/>
      <c r="AC195" s="381"/>
    </row>
    <row r="196">
      <c r="A196" s="398"/>
      <c r="B196" s="91"/>
      <c r="C196" s="100"/>
      <c r="D196" s="399"/>
      <c r="E196" s="400"/>
      <c r="F196" s="95"/>
      <c r="G196" s="95"/>
      <c r="H196" s="95"/>
      <c r="I196" s="399"/>
      <c r="J196" s="97"/>
      <c r="K196" s="96"/>
      <c r="L196" s="99"/>
      <c r="M196" s="99"/>
      <c r="N196" s="100"/>
      <c r="O196" s="124"/>
      <c r="P196" s="99"/>
      <c r="Q196" s="99"/>
      <c r="R196" s="99"/>
      <c r="S196" s="99"/>
      <c r="T196" s="99"/>
      <c r="U196" s="381"/>
      <c r="V196" s="381"/>
      <c r="W196" s="381"/>
      <c r="X196" s="381"/>
      <c r="Y196" s="381"/>
      <c r="Z196" s="381"/>
      <c r="AA196" s="381"/>
      <c r="AB196" s="381"/>
      <c r="AC196" s="381"/>
    </row>
    <row r="197">
      <c r="A197" s="395"/>
      <c r="B197" s="102"/>
      <c r="C197" s="110"/>
      <c r="D197" s="396"/>
      <c r="E197" s="397"/>
      <c r="F197" s="106"/>
      <c r="G197" s="106"/>
      <c r="H197" s="106"/>
      <c r="I197" s="396"/>
      <c r="J197" s="108"/>
      <c r="K197" s="107"/>
      <c r="L197" s="109"/>
      <c r="M197" s="109"/>
      <c r="N197" s="110"/>
      <c r="O197" s="123"/>
      <c r="P197" s="109"/>
      <c r="Q197" s="109"/>
      <c r="R197" s="109"/>
      <c r="S197" s="109"/>
      <c r="T197" s="109"/>
      <c r="U197" s="381"/>
      <c r="V197" s="381"/>
      <c r="W197" s="381"/>
      <c r="X197" s="381"/>
      <c r="Y197" s="381"/>
      <c r="Z197" s="381"/>
      <c r="AA197" s="381"/>
      <c r="AB197" s="381"/>
      <c r="AC197" s="381"/>
    </row>
    <row r="198">
      <c r="A198" s="398"/>
      <c r="B198" s="91"/>
      <c r="C198" s="100"/>
      <c r="D198" s="399"/>
      <c r="E198" s="400"/>
      <c r="F198" s="95"/>
      <c r="G198" s="95"/>
      <c r="H198" s="95"/>
      <c r="I198" s="399"/>
      <c r="J198" s="97"/>
      <c r="K198" s="96"/>
      <c r="L198" s="99"/>
      <c r="M198" s="99"/>
      <c r="N198" s="100"/>
      <c r="O198" s="124"/>
      <c r="P198" s="99"/>
      <c r="Q198" s="99"/>
      <c r="R198" s="99"/>
      <c r="S198" s="99"/>
      <c r="T198" s="99"/>
      <c r="U198" s="381"/>
      <c r="V198" s="381"/>
      <c r="W198" s="381"/>
      <c r="X198" s="381"/>
      <c r="Y198" s="381"/>
      <c r="Z198" s="381"/>
      <c r="AA198" s="381"/>
      <c r="AB198" s="381"/>
      <c r="AC198" s="381"/>
    </row>
    <row r="199">
      <c r="A199" s="395"/>
      <c r="B199" s="102"/>
      <c r="C199" s="110"/>
      <c r="D199" s="396"/>
      <c r="E199" s="397"/>
      <c r="F199" s="106"/>
      <c r="G199" s="106"/>
      <c r="H199" s="106"/>
      <c r="I199" s="396"/>
      <c r="J199" s="108"/>
      <c r="K199" s="107"/>
      <c r="L199" s="109"/>
      <c r="M199" s="109"/>
      <c r="N199" s="110"/>
      <c r="O199" s="123"/>
      <c r="P199" s="109"/>
      <c r="Q199" s="109"/>
      <c r="R199" s="109"/>
      <c r="S199" s="109"/>
      <c r="T199" s="109"/>
      <c r="U199" s="381"/>
      <c r="V199" s="381"/>
      <c r="W199" s="381"/>
      <c r="X199" s="381"/>
      <c r="Y199" s="381"/>
      <c r="Z199" s="381"/>
      <c r="AA199" s="381"/>
      <c r="AB199" s="381"/>
      <c r="AC199" s="381"/>
    </row>
    <row r="200">
      <c r="A200" s="398"/>
      <c r="B200" s="91"/>
      <c r="C200" s="100"/>
      <c r="D200" s="399"/>
      <c r="E200" s="400"/>
      <c r="F200" s="95"/>
      <c r="G200" s="95"/>
      <c r="H200" s="95"/>
      <c r="I200" s="399"/>
      <c r="J200" s="97"/>
      <c r="K200" s="96"/>
      <c r="L200" s="99"/>
      <c r="M200" s="99"/>
      <c r="N200" s="100"/>
      <c r="O200" s="124"/>
      <c r="P200" s="99"/>
      <c r="Q200" s="99"/>
      <c r="R200" s="99"/>
      <c r="S200" s="99"/>
      <c r="T200" s="99"/>
      <c r="U200" s="381"/>
      <c r="V200" s="381"/>
      <c r="W200" s="381"/>
      <c r="X200" s="381"/>
      <c r="Y200" s="381"/>
      <c r="Z200" s="381"/>
      <c r="AA200" s="381"/>
      <c r="AB200" s="381"/>
      <c r="AC200" s="381"/>
    </row>
    <row r="201">
      <c r="A201" s="395"/>
      <c r="B201" s="102"/>
      <c r="C201" s="110"/>
      <c r="D201" s="396"/>
      <c r="E201" s="397"/>
      <c r="F201" s="106"/>
      <c r="G201" s="106"/>
      <c r="H201" s="106"/>
      <c r="I201" s="396"/>
      <c r="J201" s="108"/>
      <c r="K201" s="107"/>
      <c r="L201" s="109"/>
      <c r="M201" s="109"/>
      <c r="N201" s="110"/>
      <c r="O201" s="123"/>
      <c r="P201" s="109"/>
      <c r="Q201" s="109"/>
      <c r="R201" s="109"/>
      <c r="S201" s="109"/>
      <c r="T201" s="109"/>
      <c r="U201" s="381"/>
      <c r="V201" s="381"/>
      <c r="W201" s="381"/>
      <c r="X201" s="381"/>
      <c r="Y201" s="381"/>
      <c r="Z201" s="381"/>
      <c r="AA201" s="381"/>
      <c r="AB201" s="381"/>
      <c r="AC201" s="381"/>
    </row>
    <row r="202">
      <c r="A202" s="398"/>
      <c r="B202" s="91"/>
      <c r="C202" s="100"/>
      <c r="D202" s="399"/>
      <c r="E202" s="400"/>
      <c r="F202" s="95"/>
      <c r="G202" s="95"/>
      <c r="H202" s="95"/>
      <c r="I202" s="399"/>
      <c r="J202" s="97"/>
      <c r="K202" s="96"/>
      <c r="L202" s="99"/>
      <c r="M202" s="99"/>
      <c r="N202" s="100"/>
      <c r="O202" s="124"/>
      <c r="P202" s="99"/>
      <c r="Q202" s="99"/>
      <c r="R202" s="99"/>
      <c r="S202" s="99"/>
      <c r="T202" s="99"/>
      <c r="U202" s="381"/>
      <c r="V202" s="381"/>
      <c r="W202" s="381"/>
      <c r="X202" s="381"/>
      <c r="Y202" s="381"/>
      <c r="Z202" s="381"/>
      <c r="AA202" s="381"/>
      <c r="AB202" s="381"/>
      <c r="AC202" s="381"/>
    </row>
    <row r="203">
      <c r="A203" s="395"/>
      <c r="B203" s="102"/>
      <c r="C203" s="110"/>
      <c r="D203" s="396"/>
      <c r="E203" s="397"/>
      <c r="F203" s="106"/>
      <c r="G203" s="106"/>
      <c r="H203" s="106"/>
      <c r="I203" s="396"/>
      <c r="J203" s="108"/>
      <c r="K203" s="107"/>
      <c r="L203" s="109"/>
      <c r="M203" s="109"/>
      <c r="N203" s="110"/>
      <c r="O203" s="123"/>
      <c r="P203" s="109"/>
      <c r="Q203" s="109"/>
      <c r="R203" s="109"/>
      <c r="S203" s="109"/>
      <c r="T203" s="109"/>
      <c r="U203" s="381"/>
      <c r="V203" s="381"/>
      <c r="W203" s="381"/>
      <c r="X203" s="381"/>
      <c r="Y203" s="381"/>
      <c r="Z203" s="381"/>
      <c r="AA203" s="381"/>
      <c r="AB203" s="381"/>
      <c r="AC203" s="381"/>
    </row>
    <row r="204">
      <c r="A204" s="398"/>
      <c r="B204" s="91"/>
      <c r="C204" s="100"/>
      <c r="D204" s="399"/>
      <c r="E204" s="400"/>
      <c r="F204" s="95"/>
      <c r="G204" s="95"/>
      <c r="H204" s="95"/>
      <c r="I204" s="399"/>
      <c r="J204" s="97"/>
      <c r="K204" s="96"/>
      <c r="L204" s="99"/>
      <c r="M204" s="99"/>
      <c r="N204" s="100"/>
      <c r="O204" s="124"/>
      <c r="P204" s="99"/>
      <c r="Q204" s="99"/>
      <c r="R204" s="99"/>
      <c r="S204" s="99"/>
      <c r="T204" s="99"/>
      <c r="U204" s="381"/>
      <c r="V204" s="381"/>
      <c r="W204" s="381"/>
      <c r="X204" s="381"/>
      <c r="Y204" s="381"/>
      <c r="Z204" s="381"/>
      <c r="AA204" s="381"/>
      <c r="AB204" s="381"/>
      <c r="AC204" s="381"/>
    </row>
    <row r="205">
      <c r="A205" s="395"/>
      <c r="B205" s="102"/>
      <c r="C205" s="110"/>
      <c r="D205" s="396"/>
      <c r="E205" s="397"/>
      <c r="F205" s="106"/>
      <c r="G205" s="106"/>
      <c r="H205" s="106"/>
      <c r="I205" s="396"/>
      <c r="J205" s="108"/>
      <c r="K205" s="107"/>
      <c r="L205" s="109"/>
      <c r="M205" s="109"/>
      <c r="N205" s="110"/>
      <c r="O205" s="123"/>
      <c r="P205" s="109"/>
      <c r="Q205" s="109"/>
      <c r="R205" s="109"/>
      <c r="S205" s="109"/>
      <c r="T205" s="109"/>
      <c r="U205" s="381"/>
      <c r="V205" s="381"/>
      <c r="W205" s="381"/>
      <c r="X205" s="381"/>
      <c r="Y205" s="381"/>
      <c r="Z205" s="381"/>
      <c r="AA205" s="381"/>
      <c r="AB205" s="381"/>
      <c r="AC205" s="381"/>
    </row>
    <row r="206">
      <c r="A206" s="398"/>
      <c r="B206" s="91"/>
      <c r="C206" s="100"/>
      <c r="D206" s="399"/>
      <c r="E206" s="400"/>
      <c r="F206" s="95"/>
      <c r="G206" s="95"/>
      <c r="H206" s="95"/>
      <c r="I206" s="399"/>
      <c r="J206" s="97"/>
      <c r="K206" s="96"/>
      <c r="L206" s="99"/>
      <c r="M206" s="99"/>
      <c r="N206" s="100"/>
      <c r="O206" s="124"/>
      <c r="P206" s="99"/>
      <c r="Q206" s="99"/>
      <c r="R206" s="99"/>
      <c r="S206" s="99"/>
      <c r="T206" s="99"/>
      <c r="U206" s="381"/>
      <c r="V206" s="381"/>
      <c r="W206" s="381"/>
      <c r="X206" s="381"/>
      <c r="Y206" s="381"/>
      <c r="Z206" s="381"/>
      <c r="AA206" s="381"/>
      <c r="AB206" s="381"/>
      <c r="AC206" s="381"/>
    </row>
    <row r="207">
      <c r="A207" s="395"/>
      <c r="B207" s="102"/>
      <c r="C207" s="110"/>
      <c r="D207" s="396"/>
      <c r="E207" s="397"/>
      <c r="F207" s="106"/>
      <c r="G207" s="106"/>
      <c r="H207" s="106"/>
      <c r="I207" s="396"/>
      <c r="J207" s="108"/>
      <c r="K207" s="107"/>
      <c r="L207" s="109"/>
      <c r="M207" s="109"/>
      <c r="N207" s="110"/>
      <c r="O207" s="123"/>
      <c r="P207" s="109"/>
      <c r="Q207" s="109"/>
      <c r="R207" s="109"/>
      <c r="S207" s="109"/>
      <c r="T207" s="109"/>
      <c r="U207" s="381"/>
      <c r="V207" s="381"/>
      <c r="W207" s="381"/>
      <c r="X207" s="381"/>
      <c r="Y207" s="381"/>
      <c r="Z207" s="381"/>
      <c r="AA207" s="381"/>
      <c r="AB207" s="381"/>
      <c r="AC207" s="381"/>
    </row>
    <row r="208">
      <c r="A208" s="398"/>
      <c r="B208" s="91"/>
      <c r="C208" s="100"/>
      <c r="D208" s="399"/>
      <c r="E208" s="400"/>
      <c r="F208" s="95"/>
      <c r="G208" s="95"/>
      <c r="H208" s="95"/>
      <c r="I208" s="399"/>
      <c r="J208" s="97"/>
      <c r="K208" s="96"/>
      <c r="L208" s="99"/>
      <c r="M208" s="99"/>
      <c r="N208" s="100"/>
      <c r="O208" s="124"/>
      <c r="P208" s="99"/>
      <c r="Q208" s="99"/>
      <c r="R208" s="99"/>
      <c r="S208" s="99"/>
      <c r="T208" s="99"/>
      <c r="U208" s="381"/>
      <c r="V208" s="381"/>
      <c r="W208" s="381"/>
      <c r="X208" s="381"/>
      <c r="Y208" s="381"/>
      <c r="Z208" s="381"/>
      <c r="AA208" s="381"/>
      <c r="AB208" s="381"/>
      <c r="AC208" s="381"/>
    </row>
    <row r="209">
      <c r="A209" s="395"/>
      <c r="B209" s="102"/>
      <c r="C209" s="110"/>
      <c r="D209" s="396"/>
      <c r="E209" s="397"/>
      <c r="F209" s="106"/>
      <c r="G209" s="106"/>
      <c r="H209" s="106"/>
      <c r="I209" s="396"/>
      <c r="J209" s="108"/>
      <c r="K209" s="107"/>
      <c r="L209" s="109"/>
      <c r="M209" s="109"/>
      <c r="N209" s="110"/>
      <c r="O209" s="123"/>
      <c r="P209" s="109"/>
      <c r="Q209" s="109"/>
      <c r="R209" s="109"/>
      <c r="S209" s="109"/>
      <c r="T209" s="109"/>
      <c r="U209" s="381"/>
      <c r="V209" s="381"/>
      <c r="W209" s="381"/>
      <c r="X209" s="381"/>
      <c r="Y209" s="381"/>
      <c r="Z209" s="381"/>
      <c r="AA209" s="381"/>
      <c r="AB209" s="381"/>
      <c r="AC209" s="381"/>
    </row>
    <row r="210">
      <c r="A210" s="398"/>
      <c r="B210" s="91"/>
      <c r="C210" s="100"/>
      <c r="D210" s="399"/>
      <c r="E210" s="400"/>
      <c r="F210" s="95"/>
      <c r="G210" s="95"/>
      <c r="H210" s="95"/>
      <c r="I210" s="399"/>
      <c r="J210" s="97"/>
      <c r="K210" s="96"/>
      <c r="L210" s="99"/>
      <c r="M210" s="99"/>
      <c r="N210" s="100"/>
      <c r="O210" s="124"/>
      <c r="P210" s="99"/>
      <c r="Q210" s="99"/>
      <c r="R210" s="99"/>
      <c r="S210" s="99"/>
      <c r="T210" s="99"/>
      <c r="U210" s="381"/>
      <c r="V210" s="381"/>
      <c r="W210" s="381"/>
      <c r="X210" s="381"/>
      <c r="Y210" s="381"/>
      <c r="Z210" s="381"/>
      <c r="AA210" s="381"/>
      <c r="AB210" s="381"/>
      <c r="AC210" s="381"/>
    </row>
    <row r="211">
      <c r="A211" s="395"/>
      <c r="B211" s="102"/>
      <c r="C211" s="110"/>
      <c r="D211" s="396"/>
      <c r="E211" s="397"/>
      <c r="F211" s="106"/>
      <c r="G211" s="106"/>
      <c r="H211" s="106"/>
      <c r="I211" s="396"/>
      <c r="J211" s="108"/>
      <c r="K211" s="107"/>
      <c r="L211" s="109"/>
      <c r="M211" s="109"/>
      <c r="N211" s="110"/>
      <c r="O211" s="123"/>
      <c r="P211" s="109"/>
      <c r="Q211" s="109"/>
      <c r="R211" s="109"/>
      <c r="S211" s="109"/>
      <c r="T211" s="109"/>
      <c r="U211" s="381"/>
      <c r="V211" s="381"/>
      <c r="W211" s="381"/>
      <c r="X211" s="381"/>
      <c r="Y211" s="381"/>
      <c r="Z211" s="381"/>
      <c r="AA211" s="381"/>
      <c r="AB211" s="381"/>
      <c r="AC211" s="381"/>
    </row>
    <row r="212">
      <c r="A212" s="398"/>
      <c r="B212" s="91"/>
      <c r="C212" s="100"/>
      <c r="D212" s="399"/>
      <c r="E212" s="400"/>
      <c r="F212" s="95"/>
      <c r="G212" s="95"/>
      <c r="H212" s="95"/>
      <c r="I212" s="399"/>
      <c r="J212" s="97"/>
      <c r="K212" s="96"/>
      <c r="L212" s="99"/>
      <c r="M212" s="99"/>
      <c r="N212" s="100"/>
      <c r="O212" s="124"/>
      <c r="P212" s="99"/>
      <c r="Q212" s="99"/>
      <c r="R212" s="99"/>
      <c r="S212" s="99"/>
      <c r="T212" s="99"/>
      <c r="U212" s="381"/>
      <c r="V212" s="381"/>
      <c r="W212" s="381"/>
      <c r="X212" s="381"/>
      <c r="Y212" s="381"/>
      <c r="Z212" s="381"/>
      <c r="AA212" s="381"/>
      <c r="AB212" s="381"/>
      <c r="AC212" s="381"/>
    </row>
    <row r="213">
      <c r="A213" s="395"/>
      <c r="B213" s="102"/>
      <c r="C213" s="110"/>
      <c r="D213" s="396"/>
      <c r="E213" s="397"/>
      <c r="F213" s="106"/>
      <c r="G213" s="106"/>
      <c r="H213" s="106"/>
      <c r="I213" s="396"/>
      <c r="J213" s="108"/>
      <c r="K213" s="107"/>
      <c r="L213" s="109"/>
      <c r="M213" s="109"/>
      <c r="N213" s="110"/>
      <c r="O213" s="123"/>
      <c r="P213" s="109"/>
      <c r="Q213" s="109"/>
      <c r="R213" s="109"/>
      <c r="S213" s="109"/>
      <c r="T213" s="109"/>
      <c r="U213" s="381"/>
      <c r="V213" s="381"/>
      <c r="W213" s="381"/>
      <c r="X213" s="381"/>
      <c r="Y213" s="381"/>
      <c r="Z213" s="381"/>
      <c r="AA213" s="381"/>
      <c r="AB213" s="381"/>
      <c r="AC213" s="381"/>
    </row>
    <row r="214">
      <c r="A214" s="398"/>
      <c r="B214" s="91"/>
      <c r="C214" s="100"/>
      <c r="D214" s="399"/>
      <c r="E214" s="400"/>
      <c r="F214" s="95"/>
      <c r="G214" s="95"/>
      <c r="H214" s="95"/>
      <c r="I214" s="399"/>
      <c r="J214" s="97"/>
      <c r="K214" s="96"/>
      <c r="L214" s="99"/>
      <c r="M214" s="99"/>
      <c r="N214" s="100"/>
      <c r="O214" s="124"/>
      <c r="P214" s="99"/>
      <c r="Q214" s="99"/>
      <c r="R214" s="99"/>
      <c r="S214" s="99"/>
      <c r="T214" s="99"/>
      <c r="U214" s="381"/>
      <c r="V214" s="381"/>
      <c r="W214" s="381"/>
      <c r="X214" s="381"/>
      <c r="Y214" s="381"/>
      <c r="Z214" s="381"/>
      <c r="AA214" s="381"/>
      <c r="AB214" s="381"/>
      <c r="AC214" s="381"/>
    </row>
    <row r="215">
      <c r="A215" s="395"/>
      <c r="B215" s="102"/>
      <c r="C215" s="110"/>
      <c r="D215" s="396"/>
      <c r="E215" s="397"/>
      <c r="F215" s="106"/>
      <c r="G215" s="106"/>
      <c r="H215" s="106"/>
      <c r="I215" s="396"/>
      <c r="J215" s="108"/>
      <c r="K215" s="107"/>
      <c r="L215" s="109"/>
      <c r="M215" s="109"/>
      <c r="N215" s="110"/>
      <c r="O215" s="123"/>
      <c r="P215" s="109"/>
      <c r="Q215" s="109"/>
      <c r="R215" s="109"/>
      <c r="S215" s="109"/>
      <c r="T215" s="109"/>
      <c r="U215" s="381"/>
      <c r="V215" s="381"/>
      <c r="W215" s="381"/>
      <c r="X215" s="381"/>
      <c r="Y215" s="381"/>
      <c r="Z215" s="381"/>
      <c r="AA215" s="381"/>
      <c r="AB215" s="381"/>
      <c r="AC215" s="381"/>
    </row>
    <row r="216">
      <c r="A216" s="398"/>
      <c r="B216" s="91"/>
      <c r="C216" s="100"/>
      <c r="D216" s="399"/>
      <c r="E216" s="400"/>
      <c r="F216" s="95"/>
      <c r="G216" s="95"/>
      <c r="H216" s="95"/>
      <c r="I216" s="399"/>
      <c r="J216" s="97"/>
      <c r="K216" s="96"/>
      <c r="L216" s="99"/>
      <c r="M216" s="99"/>
      <c r="N216" s="100"/>
      <c r="O216" s="124"/>
      <c r="P216" s="99"/>
      <c r="Q216" s="99"/>
      <c r="R216" s="99"/>
      <c r="S216" s="99"/>
      <c r="T216" s="99"/>
      <c r="U216" s="381"/>
      <c r="V216" s="381"/>
      <c r="W216" s="381"/>
      <c r="X216" s="381"/>
      <c r="Y216" s="381"/>
      <c r="Z216" s="381"/>
      <c r="AA216" s="381"/>
      <c r="AB216" s="381"/>
      <c r="AC216" s="381"/>
    </row>
    <row r="217">
      <c r="A217" s="395"/>
      <c r="B217" s="102"/>
      <c r="C217" s="110"/>
      <c r="D217" s="396"/>
      <c r="E217" s="397"/>
      <c r="F217" s="106"/>
      <c r="G217" s="106"/>
      <c r="H217" s="106"/>
      <c r="I217" s="396"/>
      <c r="J217" s="108"/>
      <c r="K217" s="107"/>
      <c r="L217" s="109"/>
      <c r="M217" s="109"/>
      <c r="N217" s="110"/>
      <c r="O217" s="123"/>
      <c r="P217" s="109"/>
      <c r="Q217" s="109"/>
      <c r="R217" s="109"/>
      <c r="S217" s="109"/>
      <c r="T217" s="109"/>
      <c r="U217" s="381"/>
      <c r="V217" s="381"/>
      <c r="W217" s="381"/>
      <c r="X217" s="381"/>
      <c r="Y217" s="381"/>
      <c r="Z217" s="381"/>
      <c r="AA217" s="381"/>
      <c r="AB217" s="381"/>
      <c r="AC217" s="381"/>
    </row>
    <row r="218">
      <c r="A218" s="398"/>
      <c r="B218" s="91"/>
      <c r="C218" s="100"/>
      <c r="D218" s="399"/>
      <c r="E218" s="400"/>
      <c r="F218" s="95"/>
      <c r="G218" s="95"/>
      <c r="H218" s="95"/>
      <c r="I218" s="399"/>
      <c r="J218" s="97"/>
      <c r="K218" s="96"/>
      <c r="L218" s="99"/>
      <c r="M218" s="99"/>
      <c r="N218" s="100"/>
      <c r="O218" s="124"/>
      <c r="P218" s="99"/>
      <c r="Q218" s="99"/>
      <c r="R218" s="99"/>
      <c r="S218" s="99"/>
      <c r="T218" s="99"/>
      <c r="U218" s="381"/>
      <c r="V218" s="381"/>
      <c r="W218" s="381"/>
      <c r="X218" s="381"/>
      <c r="Y218" s="381"/>
      <c r="Z218" s="381"/>
      <c r="AA218" s="381"/>
      <c r="AB218" s="381"/>
      <c r="AC218" s="381"/>
    </row>
    <row r="219">
      <c r="A219" s="395"/>
      <c r="B219" s="102"/>
      <c r="C219" s="110"/>
      <c r="D219" s="396"/>
      <c r="E219" s="397"/>
      <c r="F219" s="106"/>
      <c r="G219" s="106"/>
      <c r="H219" s="106"/>
      <c r="I219" s="396"/>
      <c r="J219" s="108"/>
      <c r="K219" s="107"/>
      <c r="L219" s="109"/>
      <c r="M219" s="109"/>
      <c r="N219" s="110"/>
      <c r="O219" s="123"/>
      <c r="P219" s="109"/>
      <c r="Q219" s="109"/>
      <c r="R219" s="109"/>
      <c r="S219" s="109"/>
      <c r="T219" s="109"/>
      <c r="U219" s="381"/>
      <c r="V219" s="381"/>
      <c r="W219" s="381"/>
      <c r="X219" s="381"/>
      <c r="Y219" s="381"/>
      <c r="Z219" s="381"/>
      <c r="AA219" s="381"/>
      <c r="AB219" s="381"/>
      <c r="AC219" s="381"/>
    </row>
    <row r="220">
      <c r="A220" s="398"/>
      <c r="B220" s="91"/>
      <c r="C220" s="100"/>
      <c r="D220" s="399"/>
      <c r="E220" s="400"/>
      <c r="F220" s="95"/>
      <c r="G220" s="95"/>
      <c r="H220" s="95"/>
      <c r="I220" s="399"/>
      <c r="J220" s="97"/>
      <c r="K220" s="96"/>
      <c r="L220" s="99"/>
      <c r="M220" s="99"/>
      <c r="N220" s="100"/>
      <c r="O220" s="124"/>
      <c r="P220" s="99"/>
      <c r="Q220" s="99"/>
      <c r="R220" s="99"/>
      <c r="S220" s="99"/>
      <c r="T220" s="99"/>
      <c r="U220" s="381"/>
      <c r="V220" s="381"/>
      <c r="W220" s="381"/>
      <c r="X220" s="381"/>
      <c r="Y220" s="381"/>
      <c r="Z220" s="381"/>
      <c r="AA220" s="381"/>
      <c r="AB220" s="381"/>
      <c r="AC220" s="381"/>
    </row>
    <row r="221">
      <c r="A221" s="395"/>
      <c r="B221" s="102"/>
      <c r="C221" s="110"/>
      <c r="D221" s="396"/>
      <c r="E221" s="397"/>
      <c r="F221" s="106"/>
      <c r="G221" s="106"/>
      <c r="H221" s="106"/>
      <c r="I221" s="396"/>
      <c r="J221" s="108"/>
      <c r="K221" s="107"/>
      <c r="L221" s="109"/>
      <c r="M221" s="109"/>
      <c r="N221" s="110"/>
      <c r="O221" s="123"/>
      <c r="P221" s="109"/>
      <c r="Q221" s="109"/>
      <c r="R221" s="109"/>
      <c r="S221" s="109"/>
      <c r="T221" s="109"/>
      <c r="U221" s="381"/>
      <c r="V221" s="381"/>
      <c r="W221" s="381"/>
      <c r="X221" s="381"/>
      <c r="Y221" s="381"/>
      <c r="Z221" s="381"/>
      <c r="AA221" s="381"/>
      <c r="AB221" s="381"/>
      <c r="AC221" s="381"/>
    </row>
    <row r="222">
      <c r="A222" s="398"/>
      <c r="B222" s="91"/>
      <c r="C222" s="100"/>
      <c r="D222" s="399"/>
      <c r="E222" s="400"/>
      <c r="F222" s="95"/>
      <c r="G222" s="95"/>
      <c r="H222" s="95"/>
      <c r="I222" s="399"/>
      <c r="J222" s="97"/>
      <c r="K222" s="96"/>
      <c r="L222" s="99"/>
      <c r="M222" s="99"/>
      <c r="N222" s="100"/>
      <c r="O222" s="124"/>
      <c r="P222" s="99"/>
      <c r="Q222" s="99"/>
      <c r="R222" s="99"/>
      <c r="S222" s="99"/>
      <c r="T222" s="99"/>
      <c r="U222" s="381"/>
      <c r="V222" s="381"/>
      <c r="W222" s="381"/>
      <c r="X222" s="381"/>
      <c r="Y222" s="381"/>
      <c r="Z222" s="381"/>
      <c r="AA222" s="381"/>
      <c r="AB222" s="381"/>
      <c r="AC222" s="381"/>
    </row>
    <row r="223">
      <c r="A223" s="395"/>
      <c r="B223" s="102"/>
      <c r="C223" s="110"/>
      <c r="D223" s="396"/>
      <c r="E223" s="397"/>
      <c r="F223" s="106"/>
      <c r="G223" s="106"/>
      <c r="H223" s="106"/>
      <c r="I223" s="396"/>
      <c r="J223" s="108"/>
      <c r="K223" s="107"/>
      <c r="L223" s="109"/>
      <c r="M223" s="109"/>
      <c r="N223" s="110"/>
      <c r="O223" s="123"/>
      <c r="P223" s="109"/>
      <c r="Q223" s="109"/>
      <c r="R223" s="109"/>
      <c r="S223" s="109"/>
      <c r="T223" s="109"/>
      <c r="U223" s="381"/>
      <c r="V223" s="381"/>
      <c r="W223" s="381"/>
      <c r="X223" s="381"/>
      <c r="Y223" s="381"/>
      <c r="Z223" s="381"/>
      <c r="AA223" s="381"/>
      <c r="AB223" s="381"/>
      <c r="AC223" s="381"/>
    </row>
    <row r="224">
      <c r="A224" s="398"/>
      <c r="B224" s="91"/>
      <c r="C224" s="100"/>
      <c r="D224" s="399"/>
      <c r="E224" s="400"/>
      <c r="F224" s="95"/>
      <c r="G224" s="95"/>
      <c r="H224" s="95"/>
      <c r="I224" s="399"/>
      <c r="J224" s="97"/>
      <c r="K224" s="96"/>
      <c r="L224" s="99"/>
      <c r="M224" s="99"/>
      <c r="N224" s="100"/>
      <c r="O224" s="124"/>
      <c r="P224" s="99"/>
      <c r="Q224" s="99"/>
      <c r="R224" s="99"/>
      <c r="S224" s="99"/>
      <c r="T224" s="99"/>
      <c r="U224" s="381"/>
      <c r="V224" s="381"/>
      <c r="W224" s="381"/>
      <c r="X224" s="381"/>
      <c r="Y224" s="381"/>
      <c r="Z224" s="381"/>
      <c r="AA224" s="381"/>
      <c r="AB224" s="381"/>
      <c r="AC224" s="381"/>
    </row>
    <row r="225">
      <c r="A225" s="395"/>
      <c r="B225" s="102"/>
      <c r="C225" s="110"/>
      <c r="D225" s="396"/>
      <c r="E225" s="397"/>
      <c r="F225" s="106"/>
      <c r="G225" s="106"/>
      <c r="H225" s="106"/>
      <c r="I225" s="396"/>
      <c r="J225" s="108"/>
      <c r="K225" s="107"/>
      <c r="L225" s="109"/>
      <c r="M225" s="109"/>
      <c r="N225" s="110"/>
      <c r="O225" s="123"/>
      <c r="P225" s="109"/>
      <c r="Q225" s="109"/>
      <c r="R225" s="109"/>
      <c r="S225" s="109"/>
      <c r="T225" s="109"/>
      <c r="U225" s="381"/>
      <c r="V225" s="381"/>
      <c r="W225" s="381"/>
      <c r="X225" s="381"/>
      <c r="Y225" s="381"/>
      <c r="Z225" s="381"/>
      <c r="AA225" s="381"/>
      <c r="AB225" s="381"/>
      <c r="AC225" s="381"/>
    </row>
    <row r="226">
      <c r="A226" s="398"/>
      <c r="B226" s="91"/>
      <c r="C226" s="100"/>
      <c r="D226" s="399"/>
      <c r="E226" s="400"/>
      <c r="F226" s="95"/>
      <c r="G226" s="95"/>
      <c r="H226" s="95"/>
      <c r="I226" s="399"/>
      <c r="J226" s="97"/>
      <c r="K226" s="96"/>
      <c r="L226" s="99"/>
      <c r="M226" s="99"/>
      <c r="N226" s="100"/>
      <c r="O226" s="124"/>
      <c r="P226" s="99"/>
      <c r="Q226" s="99"/>
      <c r="R226" s="99"/>
      <c r="S226" s="99"/>
      <c r="T226" s="99"/>
      <c r="U226" s="381"/>
      <c r="V226" s="381"/>
      <c r="W226" s="381"/>
      <c r="X226" s="381"/>
      <c r="Y226" s="381"/>
      <c r="Z226" s="381"/>
      <c r="AA226" s="381"/>
      <c r="AB226" s="381"/>
      <c r="AC226" s="381"/>
    </row>
    <row r="227">
      <c r="A227" s="395"/>
      <c r="B227" s="102"/>
      <c r="C227" s="110"/>
      <c r="D227" s="396"/>
      <c r="E227" s="397"/>
      <c r="F227" s="106"/>
      <c r="G227" s="106"/>
      <c r="H227" s="106"/>
      <c r="I227" s="396"/>
      <c r="J227" s="108"/>
      <c r="K227" s="107"/>
      <c r="L227" s="109"/>
      <c r="M227" s="109"/>
      <c r="N227" s="110"/>
      <c r="O227" s="123"/>
      <c r="P227" s="109"/>
      <c r="Q227" s="109"/>
      <c r="R227" s="109"/>
      <c r="S227" s="109"/>
      <c r="T227" s="109"/>
      <c r="U227" s="381"/>
      <c r="V227" s="381"/>
      <c r="W227" s="381"/>
      <c r="X227" s="381"/>
      <c r="Y227" s="381"/>
      <c r="Z227" s="381"/>
      <c r="AA227" s="381"/>
      <c r="AB227" s="381"/>
      <c r="AC227" s="381"/>
    </row>
    <row r="228">
      <c r="A228" s="398"/>
      <c r="B228" s="91"/>
      <c r="C228" s="100"/>
      <c r="D228" s="399"/>
      <c r="E228" s="400"/>
      <c r="F228" s="95"/>
      <c r="G228" s="95"/>
      <c r="H228" s="95"/>
      <c r="I228" s="399"/>
      <c r="J228" s="97"/>
      <c r="K228" s="96"/>
      <c r="L228" s="99"/>
      <c r="M228" s="99"/>
      <c r="N228" s="100"/>
      <c r="O228" s="124"/>
      <c r="P228" s="99"/>
      <c r="Q228" s="99"/>
      <c r="R228" s="99"/>
      <c r="S228" s="99"/>
      <c r="T228" s="99"/>
      <c r="U228" s="381"/>
      <c r="V228" s="381"/>
      <c r="W228" s="381"/>
      <c r="X228" s="381"/>
      <c r="Y228" s="381"/>
      <c r="Z228" s="381"/>
      <c r="AA228" s="381"/>
      <c r="AB228" s="381"/>
      <c r="AC228" s="381"/>
    </row>
    <row r="229">
      <c r="A229" s="395"/>
      <c r="B229" s="102"/>
      <c r="C229" s="110"/>
      <c r="D229" s="396"/>
      <c r="E229" s="397"/>
      <c r="F229" s="106"/>
      <c r="G229" s="106"/>
      <c r="H229" s="106"/>
      <c r="I229" s="396"/>
      <c r="J229" s="108"/>
      <c r="K229" s="107"/>
      <c r="L229" s="109"/>
      <c r="M229" s="109"/>
      <c r="N229" s="110"/>
      <c r="O229" s="123"/>
      <c r="P229" s="109"/>
      <c r="Q229" s="109"/>
      <c r="R229" s="109"/>
      <c r="S229" s="109"/>
      <c r="T229" s="109"/>
      <c r="U229" s="381"/>
      <c r="V229" s="381"/>
      <c r="W229" s="381"/>
      <c r="X229" s="381"/>
      <c r="Y229" s="381"/>
      <c r="Z229" s="381"/>
      <c r="AA229" s="381"/>
      <c r="AB229" s="381"/>
      <c r="AC229" s="381"/>
    </row>
    <row r="230">
      <c r="A230" s="398"/>
      <c r="B230" s="91"/>
      <c r="C230" s="100"/>
      <c r="D230" s="399"/>
      <c r="E230" s="400"/>
      <c r="F230" s="95"/>
      <c r="G230" s="95"/>
      <c r="H230" s="95"/>
      <c r="I230" s="399"/>
      <c r="J230" s="97"/>
      <c r="K230" s="96"/>
      <c r="L230" s="99"/>
      <c r="M230" s="99"/>
      <c r="N230" s="100"/>
      <c r="O230" s="124"/>
      <c r="P230" s="99"/>
      <c r="Q230" s="99"/>
      <c r="R230" s="99"/>
      <c r="S230" s="99"/>
      <c r="T230" s="99"/>
      <c r="U230" s="381"/>
      <c r="V230" s="381"/>
      <c r="W230" s="381"/>
      <c r="X230" s="381"/>
      <c r="Y230" s="381"/>
      <c r="Z230" s="381"/>
      <c r="AA230" s="381"/>
      <c r="AB230" s="381"/>
      <c r="AC230" s="381"/>
    </row>
    <row r="231">
      <c r="A231" s="395"/>
      <c r="B231" s="102"/>
      <c r="C231" s="110"/>
      <c r="D231" s="396"/>
      <c r="E231" s="397"/>
      <c r="F231" s="106"/>
      <c r="G231" s="106"/>
      <c r="H231" s="106"/>
      <c r="I231" s="396"/>
      <c r="J231" s="108"/>
      <c r="K231" s="107"/>
      <c r="L231" s="109"/>
      <c r="M231" s="109"/>
      <c r="N231" s="110"/>
      <c r="O231" s="123"/>
      <c r="P231" s="109"/>
      <c r="Q231" s="109"/>
      <c r="R231" s="109"/>
      <c r="S231" s="109"/>
      <c r="T231" s="109"/>
      <c r="U231" s="381"/>
      <c r="V231" s="381"/>
      <c r="W231" s="381"/>
      <c r="X231" s="381"/>
      <c r="Y231" s="381"/>
      <c r="Z231" s="381"/>
      <c r="AA231" s="381"/>
      <c r="AB231" s="381"/>
      <c r="AC231" s="381"/>
    </row>
    <row r="232">
      <c r="A232" s="398"/>
      <c r="B232" s="91"/>
      <c r="C232" s="100"/>
      <c r="D232" s="399"/>
      <c r="E232" s="400"/>
      <c r="F232" s="95"/>
      <c r="G232" s="95"/>
      <c r="H232" s="95"/>
      <c r="I232" s="399"/>
      <c r="J232" s="97"/>
      <c r="K232" s="96"/>
      <c r="L232" s="99"/>
      <c r="M232" s="99"/>
      <c r="N232" s="100"/>
      <c r="O232" s="124"/>
      <c r="P232" s="99"/>
      <c r="Q232" s="99"/>
      <c r="R232" s="99"/>
      <c r="S232" s="99"/>
      <c r="T232" s="99"/>
      <c r="U232" s="381"/>
      <c r="V232" s="381"/>
      <c r="W232" s="381"/>
      <c r="X232" s="381"/>
      <c r="Y232" s="381"/>
      <c r="Z232" s="381"/>
      <c r="AA232" s="381"/>
      <c r="AB232" s="381"/>
      <c r="AC232" s="381"/>
    </row>
    <row r="233">
      <c r="A233" s="395"/>
      <c r="B233" s="102"/>
      <c r="C233" s="110"/>
      <c r="D233" s="396"/>
      <c r="E233" s="397"/>
      <c r="F233" s="106"/>
      <c r="G233" s="106"/>
      <c r="H233" s="106"/>
      <c r="I233" s="396"/>
      <c r="J233" s="108"/>
      <c r="K233" s="107"/>
      <c r="L233" s="109"/>
      <c r="M233" s="109"/>
      <c r="N233" s="110"/>
      <c r="O233" s="123"/>
      <c r="P233" s="109"/>
      <c r="Q233" s="109"/>
      <c r="R233" s="109"/>
      <c r="S233" s="109"/>
      <c r="T233" s="109"/>
      <c r="U233" s="381"/>
      <c r="V233" s="381"/>
      <c r="W233" s="381"/>
      <c r="X233" s="381"/>
      <c r="Y233" s="381"/>
      <c r="Z233" s="381"/>
      <c r="AA233" s="381"/>
      <c r="AB233" s="381"/>
      <c r="AC233" s="381"/>
    </row>
    <row r="234">
      <c r="A234" s="398"/>
      <c r="B234" s="91"/>
      <c r="C234" s="100"/>
      <c r="D234" s="399"/>
      <c r="E234" s="400"/>
      <c r="F234" s="95"/>
      <c r="G234" s="95"/>
      <c r="H234" s="95"/>
      <c r="I234" s="399"/>
      <c r="J234" s="97"/>
      <c r="K234" s="96"/>
      <c r="L234" s="99"/>
      <c r="M234" s="99"/>
      <c r="N234" s="100"/>
      <c r="O234" s="124"/>
      <c r="P234" s="99"/>
      <c r="Q234" s="99"/>
      <c r="R234" s="99"/>
      <c r="S234" s="99"/>
      <c r="T234" s="99"/>
      <c r="U234" s="381"/>
      <c r="V234" s="381"/>
      <c r="W234" s="381"/>
      <c r="X234" s="381"/>
      <c r="Y234" s="381"/>
      <c r="Z234" s="381"/>
      <c r="AA234" s="381"/>
      <c r="AB234" s="381"/>
      <c r="AC234" s="381"/>
    </row>
    <row r="235">
      <c r="A235" s="395"/>
      <c r="B235" s="102"/>
      <c r="C235" s="110"/>
      <c r="D235" s="396"/>
      <c r="E235" s="397"/>
      <c r="F235" s="106"/>
      <c r="G235" s="106"/>
      <c r="H235" s="106"/>
      <c r="I235" s="396"/>
      <c r="J235" s="108"/>
      <c r="K235" s="107"/>
      <c r="L235" s="109"/>
      <c r="M235" s="109"/>
      <c r="N235" s="110"/>
      <c r="O235" s="123"/>
      <c r="P235" s="109"/>
      <c r="Q235" s="109"/>
      <c r="R235" s="109"/>
      <c r="S235" s="109"/>
      <c r="T235" s="109"/>
      <c r="U235" s="381"/>
      <c r="V235" s="381"/>
      <c r="W235" s="381"/>
      <c r="X235" s="381"/>
      <c r="Y235" s="381"/>
      <c r="Z235" s="381"/>
      <c r="AA235" s="381"/>
      <c r="AB235" s="381"/>
      <c r="AC235" s="381"/>
    </row>
    <row r="236">
      <c r="A236" s="398"/>
      <c r="B236" s="91"/>
      <c r="C236" s="100"/>
      <c r="D236" s="399"/>
      <c r="E236" s="400"/>
      <c r="F236" s="95"/>
      <c r="G236" s="95"/>
      <c r="H236" s="95"/>
      <c r="I236" s="399"/>
      <c r="J236" s="97"/>
      <c r="K236" s="96"/>
      <c r="L236" s="99"/>
      <c r="M236" s="99"/>
      <c r="N236" s="100"/>
      <c r="O236" s="124"/>
      <c r="P236" s="99"/>
      <c r="Q236" s="99"/>
      <c r="R236" s="99"/>
      <c r="S236" s="99"/>
      <c r="T236" s="99"/>
      <c r="U236" s="381"/>
      <c r="V236" s="381"/>
      <c r="W236" s="381"/>
      <c r="X236" s="381"/>
      <c r="Y236" s="381"/>
      <c r="Z236" s="381"/>
      <c r="AA236" s="381"/>
      <c r="AB236" s="381"/>
      <c r="AC236" s="381"/>
    </row>
    <row r="237">
      <c r="A237" s="395"/>
      <c r="B237" s="102"/>
      <c r="C237" s="110"/>
      <c r="D237" s="396"/>
      <c r="E237" s="397"/>
      <c r="F237" s="106"/>
      <c r="G237" s="106"/>
      <c r="H237" s="106"/>
      <c r="I237" s="396"/>
      <c r="J237" s="108"/>
      <c r="K237" s="107"/>
      <c r="L237" s="109"/>
      <c r="M237" s="109"/>
      <c r="N237" s="110"/>
      <c r="O237" s="123"/>
      <c r="P237" s="109"/>
      <c r="Q237" s="109"/>
      <c r="R237" s="109"/>
      <c r="S237" s="109"/>
      <c r="T237" s="109"/>
      <c r="U237" s="381"/>
      <c r="V237" s="381"/>
      <c r="W237" s="381"/>
      <c r="X237" s="381"/>
      <c r="Y237" s="381"/>
      <c r="Z237" s="381"/>
      <c r="AA237" s="381"/>
      <c r="AB237" s="381"/>
      <c r="AC237" s="381"/>
    </row>
    <row r="238">
      <c r="A238" s="398"/>
      <c r="B238" s="91"/>
      <c r="C238" s="100"/>
      <c r="D238" s="399"/>
      <c r="E238" s="400"/>
      <c r="F238" s="95"/>
      <c r="G238" s="95"/>
      <c r="H238" s="95"/>
      <c r="I238" s="399"/>
      <c r="J238" s="97"/>
      <c r="K238" s="96"/>
      <c r="L238" s="99"/>
      <c r="M238" s="99"/>
      <c r="N238" s="100"/>
      <c r="O238" s="124"/>
      <c r="P238" s="99"/>
      <c r="Q238" s="99"/>
      <c r="R238" s="99"/>
      <c r="S238" s="99"/>
      <c r="T238" s="99"/>
      <c r="U238" s="381"/>
      <c r="V238" s="381"/>
      <c r="W238" s="381"/>
      <c r="X238" s="381"/>
      <c r="Y238" s="381"/>
      <c r="Z238" s="381"/>
      <c r="AA238" s="381"/>
      <c r="AB238" s="381"/>
      <c r="AC238" s="381"/>
    </row>
    <row r="239">
      <c r="A239" s="395"/>
      <c r="B239" s="102"/>
      <c r="C239" s="110"/>
      <c r="D239" s="396"/>
      <c r="E239" s="397"/>
      <c r="F239" s="106"/>
      <c r="G239" s="106"/>
      <c r="H239" s="106"/>
      <c r="I239" s="396"/>
      <c r="J239" s="108"/>
      <c r="K239" s="107"/>
      <c r="L239" s="109"/>
      <c r="M239" s="109"/>
      <c r="N239" s="110"/>
      <c r="O239" s="123"/>
      <c r="P239" s="109"/>
      <c r="Q239" s="109"/>
      <c r="R239" s="109"/>
      <c r="S239" s="109"/>
      <c r="T239" s="109"/>
      <c r="U239" s="381"/>
      <c r="V239" s="381"/>
      <c r="W239" s="381"/>
      <c r="X239" s="381"/>
      <c r="Y239" s="381"/>
      <c r="Z239" s="381"/>
      <c r="AA239" s="381"/>
      <c r="AB239" s="381"/>
      <c r="AC239" s="381"/>
    </row>
    <row r="240">
      <c r="A240" s="398"/>
      <c r="B240" s="91"/>
      <c r="C240" s="100"/>
      <c r="D240" s="399"/>
      <c r="E240" s="400"/>
      <c r="F240" s="95"/>
      <c r="G240" s="95"/>
      <c r="H240" s="95"/>
      <c r="I240" s="399"/>
      <c r="J240" s="97"/>
      <c r="K240" s="96"/>
      <c r="L240" s="99"/>
      <c r="M240" s="99"/>
      <c r="N240" s="100"/>
      <c r="O240" s="124"/>
      <c r="P240" s="99"/>
      <c r="Q240" s="99"/>
      <c r="R240" s="99"/>
      <c r="S240" s="99"/>
      <c r="T240" s="99"/>
      <c r="U240" s="381"/>
      <c r="V240" s="381"/>
      <c r="W240" s="381"/>
      <c r="X240" s="381"/>
      <c r="Y240" s="381"/>
      <c r="Z240" s="381"/>
      <c r="AA240" s="381"/>
      <c r="AB240" s="381"/>
      <c r="AC240" s="381"/>
    </row>
    <row r="241">
      <c r="A241" s="395"/>
      <c r="B241" s="102"/>
      <c r="C241" s="110"/>
      <c r="D241" s="396"/>
      <c r="E241" s="397"/>
      <c r="F241" s="106"/>
      <c r="G241" s="106"/>
      <c r="H241" s="106"/>
      <c r="I241" s="396"/>
      <c r="J241" s="108"/>
      <c r="K241" s="107"/>
      <c r="L241" s="109"/>
      <c r="M241" s="109"/>
      <c r="N241" s="110"/>
      <c r="O241" s="123"/>
      <c r="P241" s="109"/>
      <c r="Q241" s="109"/>
      <c r="R241" s="109"/>
      <c r="S241" s="109"/>
      <c r="T241" s="109"/>
      <c r="U241" s="381"/>
      <c r="V241" s="381"/>
      <c r="W241" s="381"/>
      <c r="X241" s="381"/>
      <c r="Y241" s="381"/>
      <c r="Z241" s="381"/>
      <c r="AA241" s="381"/>
      <c r="AB241" s="381"/>
      <c r="AC241" s="381"/>
    </row>
    <row r="242">
      <c r="A242" s="398"/>
      <c r="B242" s="91"/>
      <c r="C242" s="100"/>
      <c r="D242" s="399"/>
      <c r="E242" s="400"/>
      <c r="F242" s="95"/>
      <c r="G242" s="95"/>
      <c r="H242" s="95"/>
      <c r="I242" s="399"/>
      <c r="J242" s="97"/>
      <c r="K242" s="96"/>
      <c r="L242" s="99"/>
      <c r="M242" s="99"/>
      <c r="N242" s="100"/>
      <c r="O242" s="124"/>
      <c r="P242" s="99"/>
      <c r="Q242" s="99"/>
      <c r="R242" s="99"/>
      <c r="S242" s="99"/>
      <c r="T242" s="99"/>
      <c r="U242" s="381"/>
      <c r="V242" s="381"/>
      <c r="W242" s="381"/>
      <c r="X242" s="381"/>
      <c r="Y242" s="381"/>
      <c r="Z242" s="381"/>
      <c r="AA242" s="381"/>
      <c r="AB242" s="381"/>
      <c r="AC242" s="381"/>
    </row>
    <row r="243">
      <c r="A243" s="395"/>
      <c r="B243" s="102"/>
      <c r="C243" s="110"/>
      <c r="D243" s="396"/>
      <c r="E243" s="397"/>
      <c r="F243" s="106"/>
      <c r="G243" s="106"/>
      <c r="H243" s="106"/>
      <c r="I243" s="396"/>
      <c r="J243" s="108"/>
      <c r="K243" s="107"/>
      <c r="L243" s="109"/>
      <c r="M243" s="109"/>
      <c r="N243" s="110"/>
      <c r="O243" s="123"/>
      <c r="P243" s="109"/>
      <c r="Q243" s="109"/>
      <c r="R243" s="109"/>
      <c r="S243" s="109"/>
      <c r="T243" s="109"/>
      <c r="U243" s="381"/>
      <c r="V243" s="381"/>
      <c r="W243" s="381"/>
      <c r="X243" s="381"/>
      <c r="Y243" s="381"/>
      <c r="Z243" s="381"/>
      <c r="AA243" s="381"/>
      <c r="AB243" s="381"/>
      <c r="AC243" s="381"/>
    </row>
    <row r="244">
      <c r="A244" s="398"/>
      <c r="B244" s="91"/>
      <c r="C244" s="100"/>
      <c r="D244" s="399"/>
      <c r="E244" s="400"/>
      <c r="F244" s="95"/>
      <c r="G244" s="95"/>
      <c r="H244" s="95"/>
      <c r="I244" s="399"/>
      <c r="J244" s="97"/>
      <c r="K244" s="96"/>
      <c r="L244" s="99"/>
      <c r="M244" s="99"/>
      <c r="N244" s="100"/>
      <c r="O244" s="124"/>
      <c r="P244" s="99"/>
      <c r="Q244" s="99"/>
      <c r="R244" s="99"/>
      <c r="S244" s="99"/>
      <c r="T244" s="99"/>
      <c r="U244" s="381"/>
      <c r="V244" s="381"/>
      <c r="W244" s="381"/>
      <c r="X244" s="381"/>
      <c r="Y244" s="381"/>
      <c r="Z244" s="381"/>
      <c r="AA244" s="381"/>
      <c r="AB244" s="381"/>
      <c r="AC244" s="381"/>
    </row>
    <row r="245">
      <c r="A245" s="395"/>
      <c r="B245" s="102"/>
      <c r="C245" s="110"/>
      <c r="D245" s="396"/>
      <c r="E245" s="397"/>
      <c r="F245" s="106"/>
      <c r="G245" s="106"/>
      <c r="H245" s="106"/>
      <c r="I245" s="396"/>
      <c r="J245" s="108"/>
      <c r="K245" s="107"/>
      <c r="L245" s="109"/>
      <c r="M245" s="109"/>
      <c r="N245" s="110"/>
      <c r="O245" s="123"/>
      <c r="P245" s="109"/>
      <c r="Q245" s="109"/>
      <c r="R245" s="109"/>
      <c r="S245" s="109"/>
      <c r="T245" s="109"/>
      <c r="U245" s="381"/>
      <c r="V245" s="381"/>
      <c r="W245" s="381"/>
      <c r="X245" s="381"/>
      <c r="Y245" s="381"/>
      <c r="Z245" s="381"/>
      <c r="AA245" s="381"/>
      <c r="AB245" s="381"/>
      <c r="AC245" s="381"/>
    </row>
    <row r="246">
      <c r="A246" s="398"/>
      <c r="B246" s="91"/>
      <c r="C246" s="100"/>
      <c r="D246" s="399"/>
      <c r="E246" s="400"/>
      <c r="F246" s="95"/>
      <c r="G246" s="95"/>
      <c r="H246" s="95"/>
      <c r="I246" s="399"/>
      <c r="J246" s="97"/>
      <c r="K246" s="96"/>
      <c r="L246" s="99"/>
      <c r="M246" s="99"/>
      <c r="N246" s="100"/>
      <c r="O246" s="124"/>
      <c r="P246" s="99"/>
      <c r="Q246" s="99"/>
      <c r="R246" s="99"/>
      <c r="S246" s="99"/>
      <c r="T246" s="99"/>
      <c r="U246" s="381"/>
      <c r="V246" s="381"/>
      <c r="W246" s="381"/>
      <c r="X246" s="381"/>
      <c r="Y246" s="381"/>
      <c r="Z246" s="381"/>
      <c r="AA246" s="381"/>
      <c r="AB246" s="381"/>
      <c r="AC246" s="381"/>
    </row>
    <row r="247">
      <c r="A247" s="395"/>
      <c r="B247" s="102"/>
      <c r="C247" s="110"/>
      <c r="D247" s="396"/>
      <c r="E247" s="397"/>
      <c r="F247" s="106"/>
      <c r="G247" s="106"/>
      <c r="H247" s="106"/>
      <c r="I247" s="396"/>
      <c r="J247" s="108"/>
      <c r="K247" s="107"/>
      <c r="L247" s="109"/>
      <c r="M247" s="109"/>
      <c r="N247" s="110"/>
      <c r="O247" s="123"/>
      <c r="P247" s="109"/>
      <c r="Q247" s="109"/>
      <c r="R247" s="109"/>
      <c r="S247" s="109"/>
      <c r="T247" s="109"/>
      <c r="U247" s="381"/>
      <c r="V247" s="381"/>
      <c r="W247" s="381"/>
      <c r="X247" s="381"/>
      <c r="Y247" s="381"/>
      <c r="Z247" s="381"/>
      <c r="AA247" s="381"/>
      <c r="AB247" s="381"/>
      <c r="AC247" s="381"/>
    </row>
    <row r="248">
      <c r="A248" s="398"/>
      <c r="B248" s="91"/>
      <c r="C248" s="100"/>
      <c r="D248" s="399"/>
      <c r="E248" s="400"/>
      <c r="F248" s="95"/>
      <c r="G248" s="95"/>
      <c r="H248" s="95"/>
      <c r="I248" s="399"/>
      <c r="J248" s="97"/>
      <c r="K248" s="96"/>
      <c r="L248" s="99"/>
      <c r="M248" s="99"/>
      <c r="N248" s="100"/>
      <c r="O248" s="124"/>
      <c r="P248" s="99"/>
      <c r="Q248" s="99"/>
      <c r="R248" s="99"/>
      <c r="S248" s="99"/>
      <c r="T248" s="99"/>
      <c r="U248" s="381"/>
      <c r="V248" s="381"/>
      <c r="W248" s="381"/>
      <c r="X248" s="381"/>
      <c r="Y248" s="381"/>
      <c r="Z248" s="381"/>
      <c r="AA248" s="381"/>
      <c r="AB248" s="381"/>
      <c r="AC248" s="381"/>
    </row>
    <row r="249">
      <c r="A249" s="395"/>
      <c r="B249" s="102"/>
      <c r="C249" s="110"/>
      <c r="D249" s="396"/>
      <c r="E249" s="397"/>
      <c r="F249" s="106"/>
      <c r="G249" s="106"/>
      <c r="H249" s="106"/>
      <c r="I249" s="396"/>
      <c r="J249" s="108"/>
      <c r="K249" s="107"/>
      <c r="L249" s="109"/>
      <c r="M249" s="109"/>
      <c r="N249" s="110"/>
      <c r="O249" s="123"/>
      <c r="P249" s="109"/>
      <c r="Q249" s="109"/>
      <c r="R249" s="109"/>
      <c r="S249" s="109"/>
      <c r="T249" s="109"/>
      <c r="U249" s="381"/>
      <c r="V249" s="381"/>
      <c r="W249" s="381"/>
      <c r="X249" s="381"/>
      <c r="Y249" s="381"/>
      <c r="Z249" s="381"/>
      <c r="AA249" s="381"/>
      <c r="AB249" s="381"/>
      <c r="AC249" s="381"/>
    </row>
    <row r="250">
      <c r="A250" s="398"/>
      <c r="B250" s="91"/>
      <c r="C250" s="100"/>
      <c r="D250" s="399"/>
      <c r="E250" s="400"/>
      <c r="F250" s="95"/>
      <c r="G250" s="95"/>
      <c r="H250" s="95"/>
      <c r="I250" s="399"/>
      <c r="J250" s="97"/>
      <c r="K250" s="96"/>
      <c r="L250" s="99"/>
      <c r="M250" s="99"/>
      <c r="N250" s="100"/>
      <c r="O250" s="124"/>
      <c r="P250" s="99"/>
      <c r="Q250" s="99"/>
      <c r="R250" s="99"/>
      <c r="S250" s="99"/>
      <c r="T250" s="99"/>
      <c r="U250" s="381"/>
      <c r="V250" s="381"/>
      <c r="W250" s="381"/>
      <c r="X250" s="381"/>
      <c r="Y250" s="381"/>
      <c r="Z250" s="381"/>
      <c r="AA250" s="381"/>
      <c r="AB250" s="381"/>
      <c r="AC250" s="381"/>
    </row>
    <row r="251">
      <c r="A251" s="395"/>
      <c r="B251" s="102"/>
      <c r="C251" s="110"/>
      <c r="D251" s="396"/>
      <c r="E251" s="397"/>
      <c r="F251" s="106"/>
      <c r="G251" s="106"/>
      <c r="H251" s="106"/>
      <c r="I251" s="396"/>
      <c r="J251" s="108"/>
      <c r="K251" s="107"/>
      <c r="L251" s="109"/>
      <c r="M251" s="109"/>
      <c r="N251" s="110"/>
      <c r="O251" s="123"/>
      <c r="P251" s="109"/>
      <c r="Q251" s="109"/>
      <c r="R251" s="109"/>
      <c r="S251" s="109"/>
      <c r="T251" s="109"/>
      <c r="U251" s="381"/>
      <c r="V251" s="381"/>
      <c r="W251" s="381"/>
      <c r="X251" s="381"/>
      <c r="Y251" s="381"/>
      <c r="Z251" s="381"/>
      <c r="AA251" s="381"/>
      <c r="AB251" s="381"/>
      <c r="AC251" s="381"/>
    </row>
    <row r="252">
      <c r="A252" s="398"/>
      <c r="B252" s="91"/>
      <c r="C252" s="100"/>
      <c r="D252" s="399"/>
      <c r="E252" s="400"/>
      <c r="F252" s="95"/>
      <c r="G252" s="95"/>
      <c r="H252" s="95"/>
      <c r="I252" s="399"/>
      <c r="J252" s="97"/>
      <c r="K252" s="96"/>
      <c r="L252" s="99"/>
      <c r="M252" s="99"/>
      <c r="N252" s="100"/>
      <c r="O252" s="124"/>
      <c r="P252" s="99"/>
      <c r="Q252" s="99"/>
      <c r="R252" s="99"/>
      <c r="S252" s="99"/>
      <c r="T252" s="99"/>
      <c r="U252" s="381"/>
      <c r="V252" s="381"/>
      <c r="W252" s="381"/>
      <c r="X252" s="381"/>
      <c r="Y252" s="381"/>
      <c r="Z252" s="381"/>
      <c r="AA252" s="381"/>
      <c r="AB252" s="381"/>
      <c r="AC252" s="381"/>
    </row>
    <row r="253">
      <c r="A253" s="395"/>
      <c r="B253" s="102"/>
      <c r="C253" s="110"/>
      <c r="D253" s="396"/>
      <c r="E253" s="397"/>
      <c r="F253" s="106"/>
      <c r="G253" s="106"/>
      <c r="H253" s="106"/>
      <c r="I253" s="396"/>
      <c r="J253" s="108"/>
      <c r="K253" s="107"/>
      <c r="L253" s="109"/>
      <c r="M253" s="109"/>
      <c r="N253" s="110"/>
      <c r="O253" s="123"/>
      <c r="P253" s="109"/>
      <c r="Q253" s="109"/>
      <c r="R253" s="109"/>
      <c r="S253" s="109"/>
      <c r="T253" s="109"/>
      <c r="U253" s="381"/>
      <c r="V253" s="381"/>
      <c r="W253" s="381"/>
      <c r="X253" s="381"/>
      <c r="Y253" s="381"/>
      <c r="Z253" s="381"/>
      <c r="AA253" s="381"/>
      <c r="AB253" s="381"/>
      <c r="AC253" s="381"/>
    </row>
    <row r="254">
      <c r="A254" s="398"/>
      <c r="B254" s="91"/>
      <c r="C254" s="100"/>
      <c r="D254" s="399"/>
      <c r="E254" s="400"/>
      <c r="F254" s="95"/>
      <c r="G254" s="95"/>
      <c r="H254" s="95"/>
      <c r="I254" s="399"/>
      <c r="J254" s="97"/>
      <c r="K254" s="96"/>
      <c r="L254" s="99"/>
      <c r="M254" s="99"/>
      <c r="N254" s="100"/>
      <c r="O254" s="124"/>
      <c r="P254" s="99"/>
      <c r="Q254" s="99"/>
      <c r="R254" s="99"/>
      <c r="S254" s="99"/>
      <c r="T254" s="99"/>
      <c r="U254" s="381"/>
      <c r="V254" s="381"/>
      <c r="W254" s="381"/>
      <c r="X254" s="381"/>
      <c r="Y254" s="381"/>
      <c r="Z254" s="381"/>
      <c r="AA254" s="381"/>
      <c r="AB254" s="381"/>
      <c r="AC254" s="381"/>
    </row>
    <row r="255">
      <c r="A255" s="395"/>
      <c r="B255" s="102"/>
      <c r="C255" s="110"/>
      <c r="D255" s="396"/>
      <c r="E255" s="397"/>
      <c r="F255" s="106"/>
      <c r="G255" s="106"/>
      <c r="H255" s="106"/>
      <c r="I255" s="396"/>
      <c r="J255" s="108"/>
      <c r="K255" s="107"/>
      <c r="L255" s="109"/>
      <c r="M255" s="109"/>
      <c r="N255" s="110"/>
      <c r="O255" s="123"/>
      <c r="P255" s="109"/>
      <c r="Q255" s="109"/>
      <c r="R255" s="109"/>
      <c r="S255" s="109"/>
      <c r="T255" s="109"/>
      <c r="U255" s="381"/>
      <c r="V255" s="381"/>
      <c r="W255" s="381"/>
      <c r="X255" s="381"/>
      <c r="Y255" s="381"/>
      <c r="Z255" s="381"/>
      <c r="AA255" s="381"/>
      <c r="AB255" s="381"/>
      <c r="AC255" s="381"/>
    </row>
    <row r="256">
      <c r="A256" s="398"/>
      <c r="B256" s="91"/>
      <c r="C256" s="100"/>
      <c r="D256" s="399"/>
      <c r="E256" s="400"/>
      <c r="F256" s="95"/>
      <c r="G256" s="95"/>
      <c r="H256" s="95"/>
      <c r="I256" s="399"/>
      <c r="J256" s="97"/>
      <c r="K256" s="96"/>
      <c r="L256" s="99"/>
      <c r="M256" s="99"/>
      <c r="N256" s="100"/>
      <c r="O256" s="124"/>
      <c r="P256" s="99"/>
      <c r="Q256" s="99"/>
      <c r="R256" s="99"/>
      <c r="S256" s="99"/>
      <c r="T256" s="99"/>
      <c r="U256" s="381"/>
      <c r="V256" s="381"/>
      <c r="W256" s="381"/>
      <c r="X256" s="381"/>
      <c r="Y256" s="381"/>
      <c r="Z256" s="381"/>
      <c r="AA256" s="381"/>
      <c r="AB256" s="381"/>
      <c r="AC256" s="381"/>
    </row>
    <row r="257">
      <c r="A257" s="395"/>
      <c r="B257" s="102"/>
      <c r="C257" s="110"/>
      <c r="D257" s="396"/>
      <c r="E257" s="397"/>
      <c r="F257" s="106"/>
      <c r="G257" s="106"/>
      <c r="H257" s="106"/>
      <c r="I257" s="396"/>
      <c r="J257" s="108"/>
      <c r="K257" s="107"/>
      <c r="L257" s="109"/>
      <c r="M257" s="109"/>
      <c r="N257" s="110"/>
      <c r="O257" s="123"/>
      <c r="P257" s="109"/>
      <c r="Q257" s="109"/>
      <c r="R257" s="109"/>
      <c r="S257" s="109"/>
      <c r="T257" s="109"/>
      <c r="U257" s="381"/>
      <c r="V257" s="381"/>
      <c r="W257" s="381"/>
      <c r="X257" s="381"/>
      <c r="Y257" s="381"/>
      <c r="Z257" s="381"/>
      <c r="AA257" s="381"/>
      <c r="AB257" s="381"/>
      <c r="AC257" s="381"/>
    </row>
    <row r="258">
      <c r="A258" s="398"/>
      <c r="B258" s="91"/>
      <c r="C258" s="100"/>
      <c r="D258" s="399"/>
      <c r="E258" s="400"/>
      <c r="F258" s="95"/>
      <c r="G258" s="95"/>
      <c r="H258" s="95"/>
      <c r="I258" s="399"/>
      <c r="J258" s="97"/>
      <c r="K258" s="96"/>
      <c r="L258" s="99"/>
      <c r="M258" s="99"/>
      <c r="N258" s="100"/>
      <c r="O258" s="124"/>
      <c r="P258" s="99"/>
      <c r="Q258" s="99"/>
      <c r="R258" s="99"/>
      <c r="S258" s="99"/>
      <c r="T258" s="99"/>
      <c r="U258" s="381"/>
      <c r="V258" s="381"/>
      <c r="W258" s="381"/>
      <c r="X258" s="381"/>
      <c r="Y258" s="381"/>
      <c r="Z258" s="381"/>
      <c r="AA258" s="381"/>
      <c r="AB258" s="381"/>
      <c r="AC258" s="381"/>
    </row>
    <row r="259">
      <c r="A259" s="395"/>
      <c r="B259" s="102"/>
      <c r="C259" s="110"/>
      <c r="D259" s="396"/>
      <c r="E259" s="397"/>
      <c r="F259" s="106"/>
      <c r="G259" s="106"/>
      <c r="H259" s="106"/>
      <c r="I259" s="396"/>
      <c r="J259" s="108"/>
      <c r="K259" s="107"/>
      <c r="L259" s="109"/>
      <c r="M259" s="109"/>
      <c r="N259" s="110"/>
      <c r="O259" s="123"/>
      <c r="P259" s="109"/>
      <c r="Q259" s="109"/>
      <c r="R259" s="109"/>
      <c r="S259" s="109"/>
      <c r="T259" s="109"/>
      <c r="U259" s="381"/>
      <c r="V259" s="381"/>
      <c r="W259" s="381"/>
      <c r="X259" s="381"/>
      <c r="Y259" s="381"/>
      <c r="Z259" s="381"/>
      <c r="AA259" s="381"/>
      <c r="AB259" s="381"/>
      <c r="AC259" s="381"/>
    </row>
    <row r="260">
      <c r="A260" s="398"/>
      <c r="B260" s="91"/>
      <c r="C260" s="100"/>
      <c r="D260" s="399"/>
      <c r="E260" s="400"/>
      <c r="F260" s="95"/>
      <c r="G260" s="95"/>
      <c r="H260" s="95"/>
      <c r="I260" s="399"/>
      <c r="J260" s="97"/>
      <c r="K260" s="96"/>
      <c r="L260" s="99"/>
      <c r="M260" s="99"/>
      <c r="N260" s="100"/>
      <c r="O260" s="124"/>
      <c r="P260" s="99"/>
      <c r="Q260" s="99"/>
      <c r="R260" s="99"/>
      <c r="S260" s="99"/>
      <c r="T260" s="99"/>
      <c r="U260" s="381"/>
      <c r="V260" s="381"/>
      <c r="W260" s="381"/>
      <c r="X260" s="381"/>
      <c r="Y260" s="381"/>
      <c r="Z260" s="381"/>
      <c r="AA260" s="381"/>
      <c r="AB260" s="381"/>
      <c r="AC260" s="381"/>
    </row>
    <row r="261">
      <c r="A261" s="395"/>
      <c r="B261" s="102"/>
      <c r="C261" s="110"/>
      <c r="D261" s="396"/>
      <c r="E261" s="397"/>
      <c r="F261" s="106"/>
      <c r="G261" s="106"/>
      <c r="H261" s="106"/>
      <c r="I261" s="396"/>
      <c r="J261" s="108"/>
      <c r="K261" s="107"/>
      <c r="L261" s="109"/>
      <c r="M261" s="109"/>
      <c r="N261" s="110"/>
      <c r="O261" s="123"/>
      <c r="P261" s="109"/>
      <c r="Q261" s="109"/>
      <c r="R261" s="109"/>
      <c r="S261" s="109"/>
      <c r="T261" s="109"/>
      <c r="U261" s="381"/>
      <c r="V261" s="381"/>
      <c r="W261" s="381"/>
      <c r="X261" s="381"/>
      <c r="Y261" s="381"/>
      <c r="Z261" s="381"/>
      <c r="AA261" s="381"/>
      <c r="AB261" s="381"/>
      <c r="AC261" s="381"/>
    </row>
    <row r="262">
      <c r="A262" s="398"/>
      <c r="B262" s="91"/>
      <c r="C262" s="100"/>
      <c r="D262" s="399"/>
      <c r="E262" s="400"/>
      <c r="F262" s="95"/>
      <c r="G262" s="95"/>
      <c r="H262" s="95"/>
      <c r="I262" s="399"/>
      <c r="J262" s="97"/>
      <c r="K262" s="96"/>
      <c r="L262" s="99"/>
      <c r="M262" s="99"/>
      <c r="N262" s="100"/>
      <c r="O262" s="124"/>
      <c r="P262" s="99"/>
      <c r="Q262" s="99"/>
      <c r="R262" s="99"/>
      <c r="S262" s="99"/>
      <c r="T262" s="99"/>
      <c r="U262" s="381"/>
      <c r="V262" s="381"/>
      <c r="W262" s="381"/>
      <c r="X262" s="381"/>
      <c r="Y262" s="381"/>
      <c r="Z262" s="381"/>
      <c r="AA262" s="381"/>
      <c r="AB262" s="381"/>
      <c r="AC262" s="381"/>
    </row>
    <row r="263">
      <c r="A263" s="395"/>
      <c r="B263" s="102"/>
      <c r="C263" s="110"/>
      <c r="D263" s="396"/>
      <c r="E263" s="397"/>
      <c r="F263" s="106"/>
      <c r="G263" s="106"/>
      <c r="H263" s="106"/>
      <c r="I263" s="396"/>
      <c r="J263" s="108"/>
      <c r="K263" s="107"/>
      <c r="L263" s="109"/>
      <c r="M263" s="109"/>
      <c r="N263" s="110"/>
      <c r="O263" s="123"/>
      <c r="P263" s="109"/>
      <c r="Q263" s="109"/>
      <c r="R263" s="109"/>
      <c r="S263" s="109"/>
      <c r="T263" s="109"/>
      <c r="U263" s="381"/>
      <c r="V263" s="381"/>
      <c r="W263" s="381"/>
      <c r="X263" s="381"/>
      <c r="Y263" s="381"/>
      <c r="Z263" s="381"/>
      <c r="AA263" s="381"/>
      <c r="AB263" s="381"/>
      <c r="AC263" s="381"/>
    </row>
    <row r="264">
      <c r="A264" s="398"/>
      <c r="B264" s="91"/>
      <c r="C264" s="100"/>
      <c r="D264" s="399"/>
      <c r="E264" s="400"/>
      <c r="F264" s="95"/>
      <c r="G264" s="95"/>
      <c r="H264" s="95"/>
      <c r="I264" s="399"/>
      <c r="J264" s="97"/>
      <c r="K264" s="96"/>
      <c r="L264" s="99"/>
      <c r="M264" s="99"/>
      <c r="N264" s="100"/>
      <c r="O264" s="124"/>
      <c r="P264" s="99"/>
      <c r="Q264" s="99"/>
      <c r="R264" s="99"/>
      <c r="S264" s="99"/>
      <c r="T264" s="99"/>
      <c r="U264" s="381"/>
      <c r="V264" s="381"/>
      <c r="W264" s="381"/>
      <c r="X264" s="381"/>
      <c r="Y264" s="381"/>
      <c r="Z264" s="381"/>
      <c r="AA264" s="381"/>
      <c r="AB264" s="381"/>
      <c r="AC264" s="381"/>
    </row>
    <row r="265">
      <c r="A265" s="395"/>
      <c r="B265" s="102"/>
      <c r="C265" s="110"/>
      <c r="D265" s="396"/>
      <c r="E265" s="397"/>
      <c r="F265" s="106"/>
      <c r="G265" s="106"/>
      <c r="H265" s="106"/>
      <c r="I265" s="396"/>
      <c r="J265" s="108"/>
      <c r="K265" s="107"/>
      <c r="L265" s="109"/>
      <c r="M265" s="109"/>
      <c r="N265" s="110"/>
      <c r="O265" s="123"/>
      <c r="P265" s="109"/>
      <c r="Q265" s="109"/>
      <c r="R265" s="109"/>
      <c r="S265" s="109"/>
      <c r="T265" s="109"/>
      <c r="U265" s="381"/>
      <c r="V265" s="381"/>
      <c r="W265" s="381"/>
      <c r="X265" s="381"/>
      <c r="Y265" s="381"/>
      <c r="Z265" s="381"/>
      <c r="AA265" s="381"/>
      <c r="AB265" s="381"/>
      <c r="AC265" s="381"/>
    </row>
    <row r="266">
      <c r="A266" s="398"/>
      <c r="B266" s="91"/>
      <c r="C266" s="100"/>
      <c r="D266" s="399"/>
      <c r="E266" s="400"/>
      <c r="F266" s="95"/>
      <c r="G266" s="95"/>
      <c r="H266" s="95"/>
      <c r="I266" s="399"/>
      <c r="J266" s="97"/>
      <c r="K266" s="96"/>
      <c r="L266" s="99"/>
      <c r="M266" s="99"/>
      <c r="N266" s="100"/>
      <c r="O266" s="124"/>
      <c r="P266" s="99"/>
      <c r="Q266" s="99"/>
      <c r="R266" s="99"/>
      <c r="S266" s="99"/>
      <c r="T266" s="99"/>
      <c r="U266" s="381"/>
      <c r="V266" s="381"/>
      <c r="W266" s="381"/>
      <c r="X266" s="381"/>
      <c r="Y266" s="381"/>
      <c r="Z266" s="381"/>
      <c r="AA266" s="381"/>
      <c r="AB266" s="381"/>
      <c r="AC266" s="381"/>
    </row>
    <row r="267">
      <c r="A267" s="395"/>
      <c r="B267" s="102"/>
      <c r="C267" s="110"/>
      <c r="D267" s="396"/>
      <c r="E267" s="397"/>
      <c r="F267" s="106"/>
      <c r="G267" s="106"/>
      <c r="H267" s="106"/>
      <c r="I267" s="396"/>
      <c r="J267" s="108"/>
      <c r="K267" s="107"/>
      <c r="L267" s="109"/>
      <c r="M267" s="109"/>
      <c r="N267" s="110"/>
      <c r="O267" s="123"/>
      <c r="P267" s="109"/>
      <c r="Q267" s="109"/>
      <c r="R267" s="109"/>
      <c r="S267" s="109"/>
      <c r="T267" s="109"/>
      <c r="U267" s="381"/>
      <c r="V267" s="381"/>
      <c r="W267" s="381"/>
      <c r="X267" s="381"/>
      <c r="Y267" s="381"/>
      <c r="Z267" s="381"/>
      <c r="AA267" s="381"/>
      <c r="AB267" s="381"/>
      <c r="AC267" s="381"/>
    </row>
    <row r="268">
      <c r="A268" s="398"/>
      <c r="B268" s="91"/>
      <c r="C268" s="100"/>
      <c r="D268" s="399"/>
      <c r="E268" s="400"/>
      <c r="F268" s="95"/>
      <c r="G268" s="95"/>
      <c r="H268" s="95"/>
      <c r="I268" s="399"/>
      <c r="J268" s="97"/>
      <c r="K268" s="96"/>
      <c r="L268" s="99"/>
      <c r="M268" s="99"/>
      <c r="N268" s="100"/>
      <c r="O268" s="124"/>
      <c r="P268" s="99"/>
      <c r="Q268" s="99"/>
      <c r="R268" s="99"/>
      <c r="S268" s="99"/>
      <c r="T268" s="99"/>
      <c r="U268" s="381"/>
      <c r="V268" s="381"/>
      <c r="W268" s="381"/>
      <c r="X268" s="381"/>
      <c r="Y268" s="381"/>
      <c r="Z268" s="381"/>
      <c r="AA268" s="381"/>
      <c r="AB268" s="381"/>
      <c r="AC268" s="381"/>
    </row>
    <row r="269">
      <c r="A269" s="395"/>
      <c r="B269" s="102"/>
      <c r="C269" s="110"/>
      <c r="D269" s="396"/>
      <c r="E269" s="397"/>
      <c r="F269" s="106"/>
      <c r="G269" s="106"/>
      <c r="H269" s="106"/>
      <c r="I269" s="396"/>
      <c r="J269" s="108"/>
      <c r="K269" s="107"/>
      <c r="L269" s="109"/>
      <c r="M269" s="109"/>
      <c r="N269" s="110"/>
      <c r="O269" s="123"/>
      <c r="P269" s="109"/>
      <c r="Q269" s="109"/>
      <c r="R269" s="109"/>
      <c r="S269" s="109"/>
      <c r="T269" s="109"/>
      <c r="U269" s="381"/>
      <c r="V269" s="381"/>
      <c r="W269" s="381"/>
      <c r="X269" s="381"/>
      <c r="Y269" s="381"/>
      <c r="Z269" s="381"/>
      <c r="AA269" s="381"/>
      <c r="AB269" s="381"/>
      <c r="AC269" s="381"/>
    </row>
    <row r="270">
      <c r="A270" s="398"/>
      <c r="B270" s="91"/>
      <c r="C270" s="100"/>
      <c r="D270" s="399"/>
      <c r="E270" s="400"/>
      <c r="F270" s="95"/>
      <c r="G270" s="95"/>
      <c r="H270" s="95"/>
      <c r="I270" s="399"/>
      <c r="J270" s="97"/>
      <c r="K270" s="96"/>
      <c r="L270" s="99"/>
      <c r="M270" s="99"/>
      <c r="N270" s="100"/>
      <c r="O270" s="124"/>
      <c r="P270" s="99"/>
      <c r="Q270" s="99"/>
      <c r="R270" s="99"/>
      <c r="S270" s="99"/>
      <c r="T270" s="99"/>
      <c r="U270" s="381"/>
      <c r="V270" s="381"/>
      <c r="W270" s="381"/>
      <c r="X270" s="381"/>
      <c r="Y270" s="381"/>
      <c r="Z270" s="381"/>
      <c r="AA270" s="381"/>
      <c r="AB270" s="381"/>
      <c r="AC270" s="381"/>
    </row>
    <row r="271">
      <c r="A271" s="395"/>
      <c r="B271" s="102"/>
      <c r="C271" s="110"/>
      <c r="D271" s="396"/>
      <c r="E271" s="397"/>
      <c r="F271" s="106"/>
      <c r="G271" s="106"/>
      <c r="H271" s="106"/>
      <c r="I271" s="396"/>
      <c r="J271" s="108"/>
      <c r="K271" s="107"/>
      <c r="L271" s="109"/>
      <c r="M271" s="109"/>
      <c r="N271" s="110"/>
      <c r="O271" s="123"/>
      <c r="P271" s="109"/>
      <c r="Q271" s="109"/>
      <c r="R271" s="109"/>
      <c r="S271" s="109"/>
      <c r="T271" s="109"/>
      <c r="U271" s="381"/>
      <c r="V271" s="381"/>
      <c r="W271" s="381"/>
      <c r="X271" s="381"/>
      <c r="Y271" s="381"/>
      <c r="Z271" s="381"/>
      <c r="AA271" s="381"/>
      <c r="AB271" s="381"/>
      <c r="AC271" s="381"/>
    </row>
    <row r="272">
      <c r="A272" s="398"/>
      <c r="B272" s="91"/>
      <c r="C272" s="100"/>
      <c r="D272" s="399"/>
      <c r="E272" s="400"/>
      <c r="F272" s="95"/>
      <c r="G272" s="95"/>
      <c r="H272" s="95"/>
      <c r="I272" s="399"/>
      <c r="J272" s="97"/>
      <c r="K272" s="96"/>
      <c r="L272" s="99"/>
      <c r="M272" s="99"/>
      <c r="N272" s="100"/>
      <c r="O272" s="124"/>
      <c r="P272" s="99"/>
      <c r="Q272" s="99"/>
      <c r="R272" s="99"/>
      <c r="S272" s="99"/>
      <c r="T272" s="99"/>
      <c r="U272" s="381"/>
      <c r="V272" s="381"/>
      <c r="W272" s="381"/>
      <c r="X272" s="381"/>
      <c r="Y272" s="381"/>
      <c r="Z272" s="381"/>
      <c r="AA272" s="381"/>
      <c r="AB272" s="381"/>
      <c r="AC272" s="381"/>
    </row>
    <row r="273">
      <c r="A273" s="395"/>
      <c r="B273" s="102"/>
      <c r="C273" s="110"/>
      <c r="D273" s="396"/>
      <c r="E273" s="397"/>
      <c r="F273" s="106"/>
      <c r="G273" s="106"/>
      <c r="H273" s="106"/>
      <c r="I273" s="396"/>
      <c r="J273" s="108"/>
      <c r="K273" s="107"/>
      <c r="L273" s="109"/>
      <c r="M273" s="109"/>
      <c r="N273" s="110"/>
      <c r="O273" s="123"/>
      <c r="P273" s="109"/>
      <c r="Q273" s="109"/>
      <c r="R273" s="109"/>
      <c r="S273" s="109"/>
      <c r="T273" s="109"/>
      <c r="U273" s="381"/>
      <c r="V273" s="381"/>
      <c r="W273" s="381"/>
      <c r="X273" s="381"/>
      <c r="Y273" s="381"/>
      <c r="Z273" s="381"/>
      <c r="AA273" s="381"/>
      <c r="AB273" s="381"/>
      <c r="AC273" s="381"/>
    </row>
    <row r="274">
      <c r="A274" s="398"/>
      <c r="B274" s="91"/>
      <c r="C274" s="100"/>
      <c r="D274" s="399"/>
      <c r="E274" s="400"/>
      <c r="F274" s="95"/>
      <c r="G274" s="95"/>
      <c r="H274" s="95"/>
      <c r="I274" s="399"/>
      <c r="J274" s="97"/>
      <c r="K274" s="96"/>
      <c r="L274" s="99"/>
      <c r="M274" s="99"/>
      <c r="N274" s="100"/>
      <c r="O274" s="124"/>
      <c r="P274" s="99"/>
      <c r="Q274" s="99"/>
      <c r="R274" s="99"/>
      <c r="S274" s="99"/>
      <c r="T274" s="99"/>
      <c r="U274" s="381"/>
      <c r="V274" s="381"/>
      <c r="W274" s="381"/>
      <c r="X274" s="381"/>
      <c r="Y274" s="381"/>
      <c r="Z274" s="381"/>
      <c r="AA274" s="381"/>
      <c r="AB274" s="381"/>
      <c r="AC274" s="381"/>
    </row>
    <row r="275">
      <c r="A275" s="395"/>
      <c r="B275" s="102"/>
      <c r="C275" s="110"/>
      <c r="D275" s="396"/>
      <c r="E275" s="397"/>
      <c r="F275" s="106"/>
      <c r="G275" s="106"/>
      <c r="H275" s="106"/>
      <c r="I275" s="396"/>
      <c r="J275" s="108"/>
      <c r="K275" s="107"/>
      <c r="L275" s="109"/>
      <c r="M275" s="109"/>
      <c r="N275" s="110"/>
      <c r="O275" s="123"/>
      <c r="P275" s="109"/>
      <c r="Q275" s="109"/>
      <c r="R275" s="109"/>
      <c r="S275" s="109"/>
      <c r="T275" s="109"/>
      <c r="U275" s="381"/>
      <c r="V275" s="381"/>
      <c r="W275" s="381"/>
      <c r="X275" s="381"/>
      <c r="Y275" s="381"/>
      <c r="Z275" s="381"/>
      <c r="AA275" s="381"/>
      <c r="AB275" s="381"/>
      <c r="AC275" s="381"/>
    </row>
    <row r="276">
      <c r="A276" s="398"/>
      <c r="B276" s="91"/>
      <c r="C276" s="100"/>
      <c r="D276" s="399"/>
      <c r="E276" s="400"/>
      <c r="F276" s="95"/>
      <c r="G276" s="95"/>
      <c r="H276" s="95"/>
      <c r="I276" s="399"/>
      <c r="J276" s="97"/>
      <c r="K276" s="96"/>
      <c r="L276" s="99"/>
      <c r="M276" s="99"/>
      <c r="N276" s="100"/>
      <c r="O276" s="124"/>
      <c r="P276" s="99"/>
      <c r="Q276" s="99"/>
      <c r="R276" s="99"/>
      <c r="S276" s="99"/>
      <c r="T276" s="99"/>
      <c r="U276" s="381"/>
      <c r="V276" s="381"/>
      <c r="W276" s="381"/>
      <c r="X276" s="381"/>
      <c r="Y276" s="381"/>
      <c r="Z276" s="381"/>
      <c r="AA276" s="381"/>
      <c r="AB276" s="381"/>
      <c r="AC276" s="381"/>
    </row>
    <row r="277">
      <c r="A277" s="395"/>
      <c r="B277" s="102"/>
      <c r="C277" s="110"/>
      <c r="D277" s="396"/>
      <c r="E277" s="397"/>
      <c r="F277" s="106"/>
      <c r="G277" s="106"/>
      <c r="H277" s="106"/>
      <c r="I277" s="396"/>
      <c r="J277" s="108"/>
      <c r="K277" s="107"/>
      <c r="L277" s="109"/>
      <c r="M277" s="109"/>
      <c r="N277" s="110"/>
      <c r="O277" s="123"/>
      <c r="P277" s="109"/>
      <c r="Q277" s="109"/>
      <c r="R277" s="109"/>
      <c r="S277" s="109"/>
      <c r="T277" s="109"/>
      <c r="U277" s="381"/>
      <c r="V277" s="381"/>
      <c r="W277" s="381"/>
      <c r="X277" s="381"/>
      <c r="Y277" s="381"/>
      <c r="Z277" s="381"/>
      <c r="AA277" s="381"/>
      <c r="AB277" s="381"/>
      <c r="AC277" s="381"/>
    </row>
    <row r="278">
      <c r="A278" s="398"/>
      <c r="B278" s="91"/>
      <c r="C278" s="100"/>
      <c r="D278" s="399"/>
      <c r="E278" s="400"/>
      <c r="F278" s="95"/>
      <c r="G278" s="95"/>
      <c r="H278" s="95"/>
      <c r="I278" s="399"/>
      <c r="J278" s="97"/>
      <c r="K278" s="96"/>
      <c r="L278" s="99"/>
      <c r="M278" s="99"/>
      <c r="N278" s="100"/>
      <c r="O278" s="124"/>
      <c r="P278" s="99"/>
      <c r="Q278" s="99"/>
      <c r="R278" s="99"/>
      <c r="S278" s="99"/>
      <c r="T278" s="99"/>
      <c r="U278" s="381"/>
      <c r="V278" s="381"/>
      <c r="W278" s="381"/>
      <c r="X278" s="381"/>
      <c r="Y278" s="381"/>
      <c r="Z278" s="381"/>
      <c r="AA278" s="381"/>
      <c r="AB278" s="381"/>
      <c r="AC278" s="381"/>
    </row>
    <row r="279">
      <c r="A279" s="395"/>
      <c r="B279" s="102"/>
      <c r="C279" s="110"/>
      <c r="D279" s="396"/>
      <c r="E279" s="397"/>
      <c r="F279" s="106"/>
      <c r="G279" s="106"/>
      <c r="H279" s="106"/>
      <c r="I279" s="396"/>
      <c r="J279" s="108"/>
      <c r="K279" s="107"/>
      <c r="L279" s="109"/>
      <c r="M279" s="109"/>
      <c r="N279" s="110"/>
      <c r="O279" s="123"/>
      <c r="P279" s="109"/>
      <c r="Q279" s="109"/>
      <c r="R279" s="109"/>
      <c r="S279" s="109"/>
      <c r="T279" s="109"/>
      <c r="U279" s="381"/>
      <c r="V279" s="381"/>
      <c r="W279" s="381"/>
      <c r="X279" s="381"/>
      <c r="Y279" s="381"/>
      <c r="Z279" s="381"/>
      <c r="AA279" s="381"/>
      <c r="AB279" s="381"/>
      <c r="AC279" s="381"/>
    </row>
    <row r="280">
      <c r="A280" s="398"/>
      <c r="B280" s="91"/>
      <c r="C280" s="100"/>
      <c r="D280" s="399"/>
      <c r="E280" s="400"/>
      <c r="F280" s="95"/>
      <c r="G280" s="95"/>
      <c r="H280" s="95"/>
      <c r="I280" s="399"/>
      <c r="J280" s="97"/>
      <c r="K280" s="96"/>
      <c r="L280" s="99"/>
      <c r="M280" s="99"/>
      <c r="N280" s="100"/>
      <c r="O280" s="124"/>
      <c r="P280" s="99"/>
      <c r="Q280" s="99"/>
      <c r="R280" s="99"/>
      <c r="S280" s="99"/>
      <c r="T280" s="99"/>
      <c r="U280" s="381"/>
      <c r="V280" s="381"/>
      <c r="W280" s="381"/>
      <c r="X280" s="381"/>
      <c r="Y280" s="381"/>
      <c r="Z280" s="381"/>
      <c r="AA280" s="381"/>
      <c r="AB280" s="381"/>
      <c r="AC280" s="381"/>
    </row>
    <row r="281">
      <c r="A281" s="395"/>
      <c r="B281" s="102"/>
      <c r="C281" s="110"/>
      <c r="D281" s="396"/>
      <c r="E281" s="397"/>
      <c r="F281" s="106"/>
      <c r="G281" s="106"/>
      <c r="H281" s="106"/>
      <c r="I281" s="396"/>
      <c r="J281" s="108"/>
      <c r="K281" s="107"/>
      <c r="L281" s="109"/>
      <c r="M281" s="109"/>
      <c r="N281" s="110"/>
      <c r="O281" s="123"/>
      <c r="P281" s="109"/>
      <c r="Q281" s="109"/>
      <c r="R281" s="109"/>
      <c r="S281" s="109"/>
      <c r="T281" s="109"/>
      <c r="U281" s="381"/>
      <c r="V281" s="381"/>
      <c r="W281" s="381"/>
      <c r="X281" s="381"/>
      <c r="Y281" s="381"/>
      <c r="Z281" s="381"/>
      <c r="AA281" s="381"/>
      <c r="AB281" s="381"/>
      <c r="AC281" s="381"/>
    </row>
    <row r="282">
      <c r="A282" s="398"/>
      <c r="B282" s="91"/>
      <c r="C282" s="100"/>
      <c r="D282" s="399"/>
      <c r="E282" s="400"/>
      <c r="F282" s="95"/>
      <c r="G282" s="95"/>
      <c r="H282" s="95"/>
      <c r="I282" s="399"/>
      <c r="J282" s="97"/>
      <c r="K282" s="96"/>
      <c r="L282" s="99"/>
      <c r="M282" s="99"/>
      <c r="N282" s="100"/>
      <c r="O282" s="124"/>
      <c r="P282" s="99"/>
      <c r="Q282" s="99"/>
      <c r="R282" s="99"/>
      <c r="S282" s="99"/>
      <c r="T282" s="99"/>
      <c r="U282" s="381"/>
      <c r="V282" s="381"/>
      <c r="W282" s="381"/>
      <c r="X282" s="381"/>
      <c r="Y282" s="381"/>
      <c r="Z282" s="381"/>
      <c r="AA282" s="381"/>
      <c r="AB282" s="381"/>
      <c r="AC282" s="381"/>
    </row>
    <row r="283">
      <c r="A283" s="395"/>
      <c r="B283" s="102"/>
      <c r="C283" s="110"/>
      <c r="D283" s="396"/>
      <c r="E283" s="397"/>
      <c r="F283" s="106"/>
      <c r="G283" s="106"/>
      <c r="H283" s="106"/>
      <c r="I283" s="396"/>
      <c r="J283" s="108"/>
      <c r="K283" s="107"/>
      <c r="L283" s="109"/>
      <c r="M283" s="109"/>
      <c r="N283" s="110"/>
      <c r="O283" s="123"/>
      <c r="P283" s="109"/>
      <c r="Q283" s="109"/>
      <c r="R283" s="109"/>
      <c r="S283" s="109"/>
      <c r="T283" s="109"/>
      <c r="U283" s="381"/>
      <c r="V283" s="381"/>
      <c r="W283" s="381"/>
      <c r="X283" s="381"/>
      <c r="Y283" s="381"/>
      <c r="Z283" s="381"/>
      <c r="AA283" s="381"/>
      <c r="AB283" s="381"/>
      <c r="AC283" s="381"/>
    </row>
    <row r="284">
      <c r="A284" s="398"/>
      <c r="B284" s="91"/>
      <c r="C284" s="100"/>
      <c r="D284" s="399"/>
      <c r="E284" s="400"/>
      <c r="F284" s="95"/>
      <c r="G284" s="95"/>
      <c r="H284" s="95"/>
      <c r="I284" s="399"/>
      <c r="J284" s="97"/>
      <c r="K284" s="96"/>
      <c r="L284" s="99"/>
      <c r="M284" s="99"/>
      <c r="N284" s="100"/>
      <c r="O284" s="124"/>
      <c r="P284" s="99"/>
      <c r="Q284" s="99"/>
      <c r="R284" s="99"/>
      <c r="S284" s="99"/>
      <c r="T284" s="99"/>
      <c r="U284" s="381"/>
      <c r="V284" s="381"/>
      <c r="W284" s="381"/>
      <c r="X284" s="381"/>
      <c r="Y284" s="381"/>
      <c r="Z284" s="381"/>
      <c r="AA284" s="381"/>
      <c r="AB284" s="381"/>
      <c r="AC284" s="381"/>
    </row>
    <row r="285">
      <c r="A285" s="395"/>
      <c r="B285" s="102"/>
      <c r="C285" s="110"/>
      <c r="D285" s="396"/>
      <c r="E285" s="397"/>
      <c r="F285" s="106"/>
      <c r="G285" s="106"/>
      <c r="H285" s="106"/>
      <c r="I285" s="396"/>
      <c r="J285" s="108"/>
      <c r="K285" s="107"/>
      <c r="L285" s="109"/>
      <c r="M285" s="109"/>
      <c r="N285" s="110"/>
      <c r="O285" s="123"/>
      <c r="P285" s="109"/>
      <c r="Q285" s="109"/>
      <c r="R285" s="109"/>
      <c r="S285" s="109"/>
      <c r="T285" s="109"/>
      <c r="U285" s="381"/>
      <c r="V285" s="381"/>
      <c r="W285" s="381"/>
      <c r="X285" s="381"/>
      <c r="Y285" s="381"/>
      <c r="Z285" s="381"/>
      <c r="AA285" s="381"/>
      <c r="AB285" s="381"/>
      <c r="AC285" s="381"/>
    </row>
    <row r="286">
      <c r="A286" s="398"/>
      <c r="B286" s="91"/>
      <c r="C286" s="100"/>
      <c r="D286" s="399"/>
      <c r="E286" s="400"/>
      <c r="F286" s="95"/>
      <c r="G286" s="95"/>
      <c r="H286" s="95"/>
      <c r="I286" s="399"/>
      <c r="J286" s="97"/>
      <c r="K286" s="96"/>
      <c r="L286" s="99"/>
      <c r="M286" s="99"/>
      <c r="N286" s="100"/>
      <c r="O286" s="124"/>
      <c r="P286" s="99"/>
      <c r="Q286" s="99"/>
      <c r="R286" s="99"/>
      <c r="S286" s="99"/>
      <c r="T286" s="99"/>
      <c r="U286" s="381"/>
      <c r="V286" s="381"/>
      <c r="W286" s="381"/>
      <c r="X286" s="381"/>
      <c r="Y286" s="381"/>
      <c r="Z286" s="381"/>
      <c r="AA286" s="381"/>
      <c r="AB286" s="381"/>
      <c r="AC286" s="381"/>
    </row>
    <row r="287">
      <c r="A287" s="395"/>
      <c r="B287" s="102"/>
      <c r="C287" s="110"/>
      <c r="D287" s="396"/>
      <c r="E287" s="397"/>
      <c r="F287" s="106"/>
      <c r="G287" s="106"/>
      <c r="H287" s="106"/>
      <c r="I287" s="396"/>
      <c r="J287" s="108"/>
      <c r="K287" s="107"/>
      <c r="L287" s="109"/>
      <c r="M287" s="109"/>
      <c r="N287" s="110"/>
      <c r="O287" s="123"/>
      <c r="P287" s="109"/>
      <c r="Q287" s="109"/>
      <c r="R287" s="109"/>
      <c r="S287" s="109"/>
      <c r="T287" s="109"/>
      <c r="U287" s="381"/>
      <c r="V287" s="381"/>
      <c r="W287" s="381"/>
      <c r="X287" s="381"/>
      <c r="Y287" s="381"/>
      <c r="Z287" s="381"/>
      <c r="AA287" s="381"/>
      <c r="AB287" s="381"/>
      <c r="AC287" s="381"/>
    </row>
    <row r="288">
      <c r="A288" s="398"/>
      <c r="B288" s="91"/>
      <c r="C288" s="100"/>
      <c r="D288" s="399"/>
      <c r="E288" s="400"/>
      <c r="F288" s="95"/>
      <c r="G288" s="95"/>
      <c r="H288" s="95"/>
      <c r="I288" s="399"/>
      <c r="J288" s="97"/>
      <c r="K288" s="96"/>
      <c r="L288" s="99"/>
      <c r="M288" s="99"/>
      <c r="N288" s="100"/>
      <c r="O288" s="124"/>
      <c r="P288" s="99"/>
      <c r="Q288" s="99"/>
      <c r="R288" s="99"/>
      <c r="S288" s="99"/>
      <c r="T288" s="99"/>
      <c r="U288" s="381"/>
      <c r="V288" s="381"/>
      <c r="W288" s="381"/>
      <c r="X288" s="381"/>
      <c r="Y288" s="381"/>
      <c r="Z288" s="381"/>
      <c r="AA288" s="381"/>
      <c r="AB288" s="381"/>
      <c r="AC288" s="381"/>
    </row>
    <row r="289">
      <c r="A289" s="395"/>
      <c r="B289" s="102"/>
      <c r="C289" s="110"/>
      <c r="D289" s="396"/>
      <c r="E289" s="397"/>
      <c r="F289" s="106"/>
      <c r="G289" s="106"/>
      <c r="H289" s="106"/>
      <c r="I289" s="396"/>
      <c r="J289" s="108"/>
      <c r="K289" s="107"/>
      <c r="L289" s="109"/>
      <c r="M289" s="109"/>
      <c r="N289" s="110"/>
      <c r="O289" s="123"/>
      <c r="P289" s="109"/>
      <c r="Q289" s="109"/>
      <c r="R289" s="109"/>
      <c r="S289" s="109"/>
      <c r="T289" s="109"/>
      <c r="U289" s="381"/>
      <c r="V289" s="381"/>
      <c r="W289" s="381"/>
      <c r="X289" s="381"/>
      <c r="Y289" s="381"/>
      <c r="Z289" s="381"/>
      <c r="AA289" s="381"/>
      <c r="AB289" s="381"/>
      <c r="AC289" s="381"/>
    </row>
    <row r="290">
      <c r="A290" s="398"/>
      <c r="B290" s="91"/>
      <c r="C290" s="100"/>
      <c r="D290" s="399"/>
      <c r="E290" s="400"/>
      <c r="F290" s="95"/>
      <c r="G290" s="95"/>
      <c r="H290" s="95"/>
      <c r="I290" s="399"/>
      <c r="J290" s="97"/>
      <c r="K290" s="96"/>
      <c r="L290" s="99"/>
      <c r="M290" s="99"/>
      <c r="N290" s="100"/>
      <c r="O290" s="124"/>
      <c r="P290" s="99"/>
      <c r="Q290" s="99"/>
      <c r="R290" s="99"/>
      <c r="S290" s="99"/>
      <c r="T290" s="99"/>
      <c r="U290" s="381"/>
      <c r="V290" s="381"/>
      <c r="W290" s="381"/>
      <c r="X290" s="381"/>
      <c r="Y290" s="381"/>
      <c r="Z290" s="381"/>
      <c r="AA290" s="381"/>
      <c r="AB290" s="381"/>
      <c r="AC290" s="381"/>
    </row>
    <row r="291">
      <c r="A291" s="395"/>
      <c r="B291" s="102"/>
      <c r="C291" s="110"/>
      <c r="D291" s="396"/>
      <c r="E291" s="397"/>
      <c r="F291" s="106"/>
      <c r="G291" s="106"/>
      <c r="H291" s="106"/>
      <c r="I291" s="396"/>
      <c r="J291" s="108"/>
      <c r="K291" s="107"/>
      <c r="L291" s="109"/>
      <c r="M291" s="109"/>
      <c r="N291" s="110"/>
      <c r="O291" s="123"/>
      <c r="P291" s="109"/>
      <c r="Q291" s="109"/>
      <c r="R291" s="109"/>
      <c r="S291" s="109"/>
      <c r="T291" s="109"/>
      <c r="U291" s="381"/>
      <c r="V291" s="381"/>
      <c r="W291" s="381"/>
      <c r="X291" s="381"/>
      <c r="Y291" s="381"/>
      <c r="Z291" s="381"/>
      <c r="AA291" s="381"/>
      <c r="AB291" s="381"/>
      <c r="AC291" s="381"/>
    </row>
    <row r="292">
      <c r="A292" s="398"/>
      <c r="B292" s="91"/>
      <c r="C292" s="100"/>
      <c r="D292" s="399"/>
      <c r="E292" s="400"/>
      <c r="F292" s="95"/>
      <c r="G292" s="95"/>
      <c r="H292" s="95"/>
      <c r="I292" s="399"/>
      <c r="J292" s="97"/>
      <c r="K292" s="96"/>
      <c r="L292" s="99"/>
      <c r="M292" s="99"/>
      <c r="N292" s="100"/>
      <c r="O292" s="124"/>
      <c r="P292" s="99"/>
      <c r="Q292" s="99"/>
      <c r="R292" s="99"/>
      <c r="S292" s="99"/>
      <c r="T292" s="99"/>
      <c r="U292" s="381"/>
      <c r="V292" s="381"/>
      <c r="W292" s="381"/>
      <c r="X292" s="381"/>
      <c r="Y292" s="381"/>
      <c r="Z292" s="381"/>
      <c r="AA292" s="381"/>
      <c r="AB292" s="381"/>
      <c r="AC292" s="381"/>
    </row>
    <row r="293">
      <c r="A293" s="395"/>
      <c r="B293" s="102"/>
      <c r="C293" s="110"/>
      <c r="D293" s="396"/>
      <c r="E293" s="397"/>
      <c r="F293" s="106"/>
      <c r="G293" s="106"/>
      <c r="H293" s="106"/>
      <c r="I293" s="396"/>
      <c r="J293" s="108"/>
      <c r="K293" s="107"/>
      <c r="L293" s="109"/>
      <c r="M293" s="109"/>
      <c r="N293" s="110"/>
      <c r="O293" s="123"/>
      <c r="P293" s="109"/>
      <c r="Q293" s="109"/>
      <c r="R293" s="109"/>
      <c r="S293" s="109"/>
      <c r="T293" s="109"/>
      <c r="U293" s="381"/>
      <c r="V293" s="381"/>
      <c r="W293" s="381"/>
      <c r="X293" s="381"/>
      <c r="Y293" s="381"/>
      <c r="Z293" s="381"/>
      <c r="AA293" s="381"/>
      <c r="AB293" s="381"/>
      <c r="AC293" s="381"/>
    </row>
    <row r="294">
      <c r="A294" s="398"/>
      <c r="B294" s="91"/>
      <c r="C294" s="100"/>
      <c r="D294" s="399"/>
      <c r="E294" s="400"/>
      <c r="F294" s="95"/>
      <c r="G294" s="95"/>
      <c r="H294" s="95"/>
      <c r="I294" s="399"/>
      <c r="J294" s="97"/>
      <c r="K294" s="96"/>
      <c r="L294" s="99"/>
      <c r="M294" s="99"/>
      <c r="N294" s="100"/>
      <c r="O294" s="124"/>
      <c r="P294" s="99"/>
      <c r="Q294" s="99"/>
      <c r="R294" s="99"/>
      <c r="S294" s="99"/>
      <c r="T294" s="99"/>
      <c r="U294" s="381"/>
      <c r="V294" s="381"/>
      <c r="W294" s="381"/>
      <c r="X294" s="381"/>
      <c r="Y294" s="381"/>
      <c r="Z294" s="381"/>
      <c r="AA294" s="381"/>
      <c r="AB294" s="381"/>
      <c r="AC294" s="381"/>
    </row>
    <row r="295">
      <c r="A295" s="395"/>
      <c r="B295" s="102"/>
      <c r="C295" s="110"/>
      <c r="D295" s="396"/>
      <c r="E295" s="397"/>
      <c r="F295" s="106"/>
      <c r="G295" s="106"/>
      <c r="H295" s="106"/>
      <c r="I295" s="396"/>
      <c r="J295" s="108"/>
      <c r="K295" s="107"/>
      <c r="L295" s="109"/>
      <c r="M295" s="109"/>
      <c r="N295" s="110"/>
      <c r="O295" s="123"/>
      <c r="P295" s="109"/>
      <c r="Q295" s="109"/>
      <c r="R295" s="109"/>
      <c r="S295" s="109"/>
      <c r="T295" s="109"/>
      <c r="U295" s="381"/>
      <c r="V295" s="381"/>
      <c r="W295" s="381"/>
      <c r="X295" s="381"/>
      <c r="Y295" s="381"/>
      <c r="Z295" s="381"/>
      <c r="AA295" s="381"/>
      <c r="AB295" s="381"/>
      <c r="AC295" s="381"/>
    </row>
    <row r="296">
      <c r="A296" s="398"/>
      <c r="B296" s="91"/>
      <c r="C296" s="100"/>
      <c r="D296" s="399"/>
      <c r="E296" s="400"/>
      <c r="F296" s="95"/>
      <c r="G296" s="95"/>
      <c r="H296" s="95"/>
      <c r="I296" s="399"/>
      <c r="J296" s="97"/>
      <c r="K296" s="96"/>
      <c r="L296" s="99"/>
      <c r="M296" s="99"/>
      <c r="N296" s="100"/>
      <c r="O296" s="124"/>
      <c r="P296" s="99"/>
      <c r="Q296" s="99"/>
      <c r="R296" s="99"/>
      <c r="S296" s="99"/>
      <c r="T296" s="99"/>
      <c r="U296" s="381"/>
      <c r="V296" s="381"/>
      <c r="W296" s="381"/>
      <c r="X296" s="381"/>
      <c r="Y296" s="381"/>
      <c r="Z296" s="381"/>
      <c r="AA296" s="381"/>
      <c r="AB296" s="381"/>
      <c r="AC296" s="381"/>
    </row>
    <row r="297">
      <c r="A297" s="395"/>
      <c r="B297" s="102"/>
      <c r="C297" s="110"/>
      <c r="D297" s="396"/>
      <c r="E297" s="397"/>
      <c r="F297" s="106"/>
      <c r="G297" s="106"/>
      <c r="H297" s="106"/>
      <c r="I297" s="396"/>
      <c r="J297" s="108"/>
      <c r="K297" s="107"/>
      <c r="L297" s="109"/>
      <c r="M297" s="109"/>
      <c r="N297" s="110"/>
      <c r="O297" s="123"/>
      <c r="P297" s="109"/>
      <c r="Q297" s="109"/>
      <c r="R297" s="109"/>
      <c r="S297" s="109"/>
      <c r="T297" s="109"/>
      <c r="U297" s="381"/>
      <c r="V297" s="381"/>
      <c r="W297" s="381"/>
      <c r="X297" s="381"/>
      <c r="Y297" s="381"/>
      <c r="Z297" s="381"/>
      <c r="AA297" s="381"/>
      <c r="AB297" s="381"/>
      <c r="AC297" s="381"/>
    </row>
    <row r="298">
      <c r="A298" s="398"/>
      <c r="B298" s="91"/>
      <c r="C298" s="100"/>
      <c r="D298" s="399"/>
      <c r="E298" s="400"/>
      <c r="F298" s="95"/>
      <c r="G298" s="95"/>
      <c r="H298" s="95"/>
      <c r="I298" s="399"/>
      <c r="J298" s="97"/>
      <c r="K298" s="96"/>
      <c r="L298" s="99"/>
      <c r="M298" s="99"/>
      <c r="N298" s="100"/>
      <c r="O298" s="124"/>
      <c r="P298" s="99"/>
      <c r="Q298" s="99"/>
      <c r="R298" s="99"/>
      <c r="S298" s="99"/>
      <c r="T298" s="99"/>
      <c r="U298" s="381"/>
      <c r="V298" s="381"/>
      <c r="W298" s="381"/>
      <c r="X298" s="381"/>
      <c r="Y298" s="381"/>
      <c r="Z298" s="381"/>
      <c r="AA298" s="381"/>
      <c r="AB298" s="381"/>
      <c r="AC298" s="381"/>
    </row>
    <row r="299">
      <c r="A299" s="395"/>
      <c r="B299" s="102"/>
      <c r="C299" s="110"/>
      <c r="D299" s="396"/>
      <c r="E299" s="397"/>
      <c r="F299" s="106"/>
      <c r="G299" s="106"/>
      <c r="H299" s="106"/>
      <c r="I299" s="396"/>
      <c r="J299" s="108"/>
      <c r="K299" s="107"/>
      <c r="L299" s="109"/>
      <c r="M299" s="109"/>
      <c r="N299" s="110"/>
      <c r="O299" s="123"/>
      <c r="P299" s="109"/>
      <c r="Q299" s="109"/>
      <c r="R299" s="109"/>
      <c r="S299" s="109"/>
      <c r="T299" s="109"/>
      <c r="U299" s="381"/>
      <c r="V299" s="381"/>
      <c r="W299" s="381"/>
      <c r="X299" s="381"/>
      <c r="Y299" s="381"/>
      <c r="Z299" s="381"/>
      <c r="AA299" s="381"/>
      <c r="AB299" s="381"/>
      <c r="AC299" s="381"/>
    </row>
    <row r="300">
      <c r="A300" s="398"/>
      <c r="B300" s="91"/>
      <c r="C300" s="100"/>
      <c r="D300" s="399"/>
      <c r="E300" s="400"/>
      <c r="F300" s="95"/>
      <c r="G300" s="95"/>
      <c r="H300" s="95"/>
      <c r="I300" s="399"/>
      <c r="J300" s="97"/>
      <c r="K300" s="96"/>
      <c r="L300" s="99"/>
      <c r="M300" s="99"/>
      <c r="N300" s="100"/>
      <c r="O300" s="124"/>
      <c r="P300" s="99"/>
      <c r="Q300" s="99"/>
      <c r="R300" s="99"/>
      <c r="S300" s="99"/>
      <c r="T300" s="99"/>
      <c r="U300" s="381"/>
      <c r="V300" s="381"/>
      <c r="W300" s="381"/>
      <c r="X300" s="381"/>
      <c r="Y300" s="381"/>
      <c r="Z300" s="381"/>
      <c r="AA300" s="381"/>
      <c r="AB300" s="381"/>
      <c r="AC300" s="381"/>
    </row>
    <row r="301">
      <c r="A301" s="395"/>
      <c r="B301" s="102"/>
      <c r="C301" s="110"/>
      <c r="D301" s="396"/>
      <c r="E301" s="397"/>
      <c r="F301" s="106"/>
      <c r="G301" s="106"/>
      <c r="H301" s="106"/>
      <c r="I301" s="396"/>
      <c r="J301" s="108"/>
      <c r="K301" s="107"/>
      <c r="L301" s="109"/>
      <c r="M301" s="109"/>
      <c r="N301" s="110"/>
      <c r="O301" s="123"/>
      <c r="P301" s="109"/>
      <c r="Q301" s="109"/>
      <c r="R301" s="109"/>
      <c r="S301" s="109"/>
      <c r="T301" s="109"/>
      <c r="U301" s="381"/>
      <c r="V301" s="381"/>
      <c r="W301" s="381"/>
      <c r="X301" s="381"/>
      <c r="Y301" s="381"/>
      <c r="Z301" s="381"/>
      <c r="AA301" s="381"/>
      <c r="AB301" s="381"/>
      <c r="AC301" s="381"/>
    </row>
    <row r="302">
      <c r="A302" s="398"/>
      <c r="B302" s="91"/>
      <c r="C302" s="100"/>
      <c r="D302" s="399"/>
      <c r="E302" s="400"/>
      <c r="F302" s="95"/>
      <c r="G302" s="95"/>
      <c r="H302" s="95"/>
      <c r="I302" s="399"/>
      <c r="J302" s="97"/>
      <c r="K302" s="96"/>
      <c r="L302" s="99"/>
      <c r="M302" s="99"/>
      <c r="N302" s="100"/>
      <c r="O302" s="124"/>
      <c r="P302" s="99"/>
      <c r="Q302" s="99"/>
      <c r="R302" s="99"/>
      <c r="S302" s="99"/>
      <c r="T302" s="99"/>
      <c r="U302" s="381"/>
      <c r="V302" s="381"/>
      <c r="W302" s="381"/>
      <c r="X302" s="381"/>
      <c r="Y302" s="381"/>
      <c r="Z302" s="381"/>
      <c r="AA302" s="381"/>
      <c r="AB302" s="381"/>
      <c r="AC302" s="381"/>
    </row>
    <row r="303">
      <c r="A303" s="395"/>
      <c r="B303" s="102"/>
      <c r="C303" s="110"/>
      <c r="D303" s="396"/>
      <c r="E303" s="397"/>
      <c r="F303" s="106"/>
      <c r="G303" s="106"/>
      <c r="H303" s="106"/>
      <c r="I303" s="396"/>
      <c r="J303" s="108"/>
      <c r="K303" s="107"/>
      <c r="L303" s="109"/>
      <c r="M303" s="109"/>
      <c r="N303" s="110"/>
      <c r="O303" s="123"/>
      <c r="P303" s="109"/>
      <c r="Q303" s="109"/>
      <c r="R303" s="109"/>
      <c r="S303" s="109"/>
      <c r="T303" s="109"/>
      <c r="U303" s="381"/>
      <c r="V303" s="381"/>
      <c r="W303" s="381"/>
      <c r="X303" s="381"/>
      <c r="Y303" s="381"/>
      <c r="Z303" s="381"/>
      <c r="AA303" s="381"/>
      <c r="AB303" s="381"/>
      <c r="AC303" s="381"/>
    </row>
    <row r="304">
      <c r="A304" s="398"/>
      <c r="B304" s="91"/>
      <c r="C304" s="100"/>
      <c r="D304" s="399"/>
      <c r="E304" s="400"/>
      <c r="F304" s="95"/>
      <c r="G304" s="95"/>
      <c r="H304" s="95"/>
      <c r="I304" s="399"/>
      <c r="J304" s="97"/>
      <c r="K304" s="96"/>
      <c r="L304" s="99"/>
      <c r="M304" s="99"/>
      <c r="N304" s="100"/>
      <c r="O304" s="124"/>
      <c r="P304" s="99"/>
      <c r="Q304" s="99"/>
      <c r="R304" s="99"/>
      <c r="S304" s="99"/>
      <c r="T304" s="99"/>
      <c r="U304" s="381"/>
      <c r="V304" s="381"/>
      <c r="W304" s="381"/>
      <c r="X304" s="381"/>
      <c r="Y304" s="381"/>
      <c r="Z304" s="381"/>
      <c r="AA304" s="381"/>
      <c r="AB304" s="381"/>
      <c r="AC304" s="381"/>
    </row>
    <row r="305">
      <c r="A305" s="395"/>
      <c r="B305" s="102"/>
      <c r="C305" s="110"/>
      <c r="D305" s="396"/>
      <c r="E305" s="397"/>
      <c r="F305" s="106"/>
      <c r="G305" s="106"/>
      <c r="H305" s="106"/>
      <c r="I305" s="396"/>
      <c r="J305" s="108"/>
      <c r="K305" s="107"/>
      <c r="L305" s="109"/>
      <c r="M305" s="109"/>
      <c r="N305" s="110"/>
      <c r="O305" s="123"/>
      <c r="P305" s="109"/>
      <c r="Q305" s="109"/>
      <c r="R305" s="109"/>
      <c r="S305" s="109"/>
      <c r="T305" s="109"/>
      <c r="U305" s="381"/>
      <c r="V305" s="381"/>
      <c r="W305" s="381"/>
      <c r="X305" s="381"/>
      <c r="Y305" s="381"/>
      <c r="Z305" s="381"/>
      <c r="AA305" s="381"/>
      <c r="AB305" s="381"/>
      <c r="AC305" s="381"/>
    </row>
    <row r="306">
      <c r="A306" s="398"/>
      <c r="B306" s="91"/>
      <c r="C306" s="100"/>
      <c r="D306" s="399"/>
      <c r="E306" s="400"/>
      <c r="F306" s="95"/>
      <c r="G306" s="95"/>
      <c r="H306" s="95"/>
      <c r="I306" s="399"/>
      <c r="J306" s="97"/>
      <c r="K306" s="96"/>
      <c r="L306" s="99"/>
      <c r="M306" s="99"/>
      <c r="N306" s="100"/>
      <c r="O306" s="124"/>
      <c r="P306" s="99"/>
      <c r="Q306" s="99"/>
      <c r="R306" s="99"/>
      <c r="S306" s="99"/>
      <c r="T306" s="99"/>
      <c r="U306" s="381"/>
      <c r="V306" s="381"/>
      <c r="W306" s="381"/>
      <c r="X306" s="381"/>
      <c r="Y306" s="381"/>
      <c r="Z306" s="381"/>
      <c r="AA306" s="381"/>
      <c r="AB306" s="381"/>
      <c r="AC306" s="381"/>
    </row>
    <row r="307">
      <c r="A307" s="395"/>
      <c r="B307" s="102"/>
      <c r="C307" s="110"/>
      <c r="D307" s="396"/>
      <c r="E307" s="397"/>
      <c r="F307" s="106"/>
      <c r="G307" s="106"/>
      <c r="H307" s="106"/>
      <c r="I307" s="396"/>
      <c r="J307" s="108"/>
      <c r="K307" s="107"/>
      <c r="L307" s="109"/>
      <c r="M307" s="109"/>
      <c r="N307" s="110"/>
      <c r="O307" s="123"/>
      <c r="P307" s="109"/>
      <c r="Q307" s="109"/>
      <c r="R307" s="109"/>
      <c r="S307" s="109"/>
      <c r="T307" s="109"/>
      <c r="U307" s="381"/>
      <c r="V307" s="381"/>
      <c r="W307" s="381"/>
      <c r="X307" s="381"/>
      <c r="Y307" s="381"/>
      <c r="Z307" s="381"/>
      <c r="AA307" s="381"/>
      <c r="AB307" s="381"/>
      <c r="AC307" s="381"/>
    </row>
    <row r="308">
      <c r="A308" s="398"/>
      <c r="B308" s="91"/>
      <c r="C308" s="100"/>
      <c r="D308" s="399"/>
      <c r="E308" s="400"/>
      <c r="F308" s="95"/>
      <c r="G308" s="95"/>
      <c r="H308" s="95"/>
      <c r="I308" s="399"/>
      <c r="J308" s="97"/>
      <c r="K308" s="96"/>
      <c r="L308" s="99"/>
      <c r="M308" s="99"/>
      <c r="N308" s="100"/>
      <c r="O308" s="124"/>
      <c r="P308" s="99"/>
      <c r="Q308" s="99"/>
      <c r="R308" s="99"/>
      <c r="S308" s="99"/>
      <c r="T308" s="99"/>
      <c r="U308" s="381"/>
      <c r="V308" s="381"/>
      <c r="W308" s="381"/>
      <c r="X308" s="381"/>
      <c r="Y308" s="381"/>
      <c r="Z308" s="381"/>
      <c r="AA308" s="381"/>
      <c r="AB308" s="381"/>
      <c r="AC308" s="381"/>
    </row>
    <row r="309">
      <c r="A309" s="395"/>
      <c r="B309" s="102"/>
      <c r="C309" s="110"/>
      <c r="D309" s="396"/>
      <c r="E309" s="397"/>
      <c r="F309" s="106"/>
      <c r="G309" s="106"/>
      <c r="H309" s="106"/>
      <c r="I309" s="396"/>
      <c r="J309" s="108"/>
      <c r="K309" s="107"/>
      <c r="L309" s="109"/>
      <c r="M309" s="109"/>
      <c r="N309" s="110"/>
      <c r="O309" s="123"/>
      <c r="P309" s="109"/>
      <c r="Q309" s="109"/>
      <c r="R309" s="109"/>
      <c r="S309" s="109"/>
      <c r="T309" s="109"/>
      <c r="U309" s="381"/>
      <c r="V309" s="381"/>
      <c r="W309" s="381"/>
      <c r="X309" s="381"/>
      <c r="Y309" s="381"/>
      <c r="Z309" s="381"/>
      <c r="AA309" s="381"/>
      <c r="AB309" s="381"/>
      <c r="AC309" s="381"/>
    </row>
    <row r="310">
      <c r="A310" s="398"/>
      <c r="B310" s="91"/>
      <c r="C310" s="100"/>
      <c r="D310" s="399"/>
      <c r="E310" s="400"/>
      <c r="F310" s="95"/>
      <c r="G310" s="95"/>
      <c r="H310" s="95"/>
      <c r="I310" s="399"/>
      <c r="J310" s="97"/>
      <c r="K310" s="96"/>
      <c r="L310" s="99"/>
      <c r="M310" s="99"/>
      <c r="N310" s="100"/>
      <c r="O310" s="124"/>
      <c r="P310" s="99"/>
      <c r="Q310" s="99"/>
      <c r="R310" s="99"/>
      <c r="S310" s="99"/>
      <c r="T310" s="99"/>
      <c r="U310" s="381"/>
      <c r="V310" s="381"/>
      <c r="W310" s="381"/>
      <c r="X310" s="381"/>
      <c r="Y310" s="381"/>
      <c r="Z310" s="381"/>
      <c r="AA310" s="381"/>
      <c r="AB310" s="381"/>
      <c r="AC310" s="381"/>
    </row>
    <row r="311">
      <c r="A311" s="395"/>
      <c r="B311" s="102"/>
      <c r="C311" s="110"/>
      <c r="D311" s="396"/>
      <c r="E311" s="397"/>
      <c r="F311" s="106"/>
      <c r="G311" s="106"/>
      <c r="H311" s="106"/>
      <c r="I311" s="396"/>
      <c r="J311" s="108"/>
      <c r="K311" s="107"/>
      <c r="L311" s="109"/>
      <c r="M311" s="109"/>
      <c r="N311" s="110"/>
      <c r="O311" s="123"/>
      <c r="P311" s="109"/>
      <c r="Q311" s="109"/>
      <c r="R311" s="109"/>
      <c r="S311" s="109"/>
      <c r="T311" s="109"/>
      <c r="U311" s="381"/>
      <c r="V311" s="381"/>
      <c r="W311" s="381"/>
      <c r="X311" s="381"/>
      <c r="Y311" s="381"/>
      <c r="Z311" s="381"/>
      <c r="AA311" s="381"/>
      <c r="AB311" s="381"/>
      <c r="AC311" s="381"/>
    </row>
    <row r="312">
      <c r="A312" s="398"/>
      <c r="B312" s="91"/>
      <c r="C312" s="100"/>
      <c r="D312" s="399"/>
      <c r="E312" s="400"/>
      <c r="F312" s="95"/>
      <c r="G312" s="95"/>
      <c r="H312" s="95"/>
      <c r="I312" s="399"/>
      <c r="J312" s="97"/>
      <c r="K312" s="96"/>
      <c r="L312" s="99"/>
      <c r="M312" s="99"/>
      <c r="N312" s="100"/>
      <c r="O312" s="124"/>
      <c r="P312" s="99"/>
      <c r="Q312" s="99"/>
      <c r="R312" s="99"/>
      <c r="S312" s="99"/>
      <c r="T312" s="99"/>
      <c r="U312" s="381"/>
      <c r="V312" s="381"/>
      <c r="W312" s="381"/>
      <c r="X312" s="381"/>
      <c r="Y312" s="381"/>
      <c r="Z312" s="381"/>
      <c r="AA312" s="381"/>
      <c r="AB312" s="381"/>
      <c r="AC312" s="381"/>
    </row>
    <row r="313">
      <c r="A313" s="395"/>
      <c r="B313" s="102"/>
      <c r="C313" s="110"/>
      <c r="D313" s="396"/>
      <c r="E313" s="397"/>
      <c r="F313" s="106"/>
      <c r="G313" s="106"/>
      <c r="H313" s="106"/>
      <c r="I313" s="396"/>
      <c r="J313" s="108"/>
      <c r="K313" s="107"/>
      <c r="L313" s="109"/>
      <c r="M313" s="109"/>
      <c r="N313" s="110"/>
      <c r="O313" s="123"/>
      <c r="P313" s="109"/>
      <c r="Q313" s="109"/>
      <c r="R313" s="109"/>
      <c r="S313" s="109"/>
      <c r="T313" s="109"/>
      <c r="U313" s="381"/>
      <c r="V313" s="381"/>
      <c r="W313" s="381"/>
      <c r="X313" s="381"/>
      <c r="Y313" s="381"/>
      <c r="Z313" s="381"/>
      <c r="AA313" s="381"/>
      <c r="AB313" s="381"/>
      <c r="AC313" s="381"/>
    </row>
    <row r="314">
      <c r="A314" s="398"/>
      <c r="B314" s="91"/>
      <c r="C314" s="100"/>
      <c r="D314" s="399"/>
      <c r="E314" s="400"/>
      <c r="F314" s="95"/>
      <c r="G314" s="95"/>
      <c r="H314" s="95"/>
      <c r="I314" s="399"/>
      <c r="J314" s="97"/>
      <c r="K314" s="96"/>
      <c r="L314" s="99"/>
      <c r="M314" s="99"/>
      <c r="N314" s="100"/>
      <c r="O314" s="124"/>
      <c r="P314" s="99"/>
      <c r="Q314" s="99"/>
      <c r="R314" s="99"/>
      <c r="S314" s="99"/>
      <c r="T314" s="99"/>
      <c r="U314" s="381"/>
      <c r="V314" s="381"/>
      <c r="W314" s="381"/>
      <c r="X314" s="381"/>
      <c r="Y314" s="381"/>
      <c r="Z314" s="381"/>
      <c r="AA314" s="381"/>
      <c r="AB314" s="381"/>
      <c r="AC314" s="381"/>
    </row>
    <row r="315">
      <c r="A315" s="395"/>
      <c r="B315" s="102"/>
      <c r="C315" s="110"/>
      <c r="D315" s="396"/>
      <c r="E315" s="397"/>
      <c r="F315" s="106"/>
      <c r="G315" s="106"/>
      <c r="H315" s="106"/>
      <c r="I315" s="396"/>
      <c r="J315" s="108"/>
      <c r="K315" s="107"/>
      <c r="L315" s="109"/>
      <c r="M315" s="109"/>
      <c r="N315" s="110"/>
      <c r="O315" s="123"/>
      <c r="P315" s="109"/>
      <c r="Q315" s="109"/>
      <c r="R315" s="109"/>
      <c r="S315" s="109"/>
      <c r="T315" s="109"/>
      <c r="U315" s="381"/>
      <c r="V315" s="381"/>
      <c r="W315" s="381"/>
      <c r="X315" s="381"/>
      <c r="Y315" s="381"/>
      <c r="Z315" s="381"/>
      <c r="AA315" s="381"/>
      <c r="AB315" s="381"/>
      <c r="AC315" s="381"/>
    </row>
    <row r="316">
      <c r="A316" s="398"/>
      <c r="B316" s="91"/>
      <c r="C316" s="100"/>
      <c r="D316" s="399"/>
      <c r="E316" s="400"/>
      <c r="F316" s="95"/>
      <c r="G316" s="95"/>
      <c r="H316" s="95"/>
      <c r="I316" s="399"/>
      <c r="J316" s="97"/>
      <c r="K316" s="96"/>
      <c r="L316" s="99"/>
      <c r="M316" s="99"/>
      <c r="N316" s="100"/>
      <c r="O316" s="124"/>
      <c r="P316" s="99"/>
      <c r="Q316" s="99"/>
      <c r="R316" s="99"/>
      <c r="S316" s="99"/>
      <c r="T316" s="99"/>
      <c r="U316" s="381"/>
      <c r="V316" s="381"/>
      <c r="W316" s="381"/>
      <c r="X316" s="381"/>
      <c r="Y316" s="381"/>
      <c r="Z316" s="381"/>
      <c r="AA316" s="381"/>
      <c r="AB316" s="381"/>
      <c r="AC316" s="381"/>
    </row>
    <row r="317">
      <c r="A317" s="395"/>
      <c r="B317" s="102"/>
      <c r="C317" s="110"/>
      <c r="D317" s="396"/>
      <c r="E317" s="397"/>
      <c r="F317" s="106"/>
      <c r="G317" s="106"/>
      <c r="H317" s="106"/>
      <c r="I317" s="396"/>
      <c r="J317" s="108"/>
      <c r="K317" s="107"/>
      <c r="L317" s="109"/>
      <c r="M317" s="109"/>
      <c r="N317" s="110"/>
      <c r="O317" s="123"/>
      <c r="P317" s="109"/>
      <c r="Q317" s="109"/>
      <c r="R317" s="109"/>
      <c r="S317" s="109"/>
      <c r="T317" s="109"/>
      <c r="U317" s="381"/>
      <c r="V317" s="381"/>
      <c r="W317" s="381"/>
      <c r="X317" s="381"/>
      <c r="Y317" s="381"/>
      <c r="Z317" s="381"/>
      <c r="AA317" s="381"/>
      <c r="AB317" s="381"/>
      <c r="AC317" s="381"/>
    </row>
    <row r="318">
      <c r="A318" s="398"/>
      <c r="B318" s="91"/>
      <c r="C318" s="100"/>
      <c r="D318" s="399"/>
      <c r="E318" s="400"/>
      <c r="F318" s="95"/>
      <c r="G318" s="95"/>
      <c r="H318" s="95"/>
      <c r="I318" s="399"/>
      <c r="J318" s="97"/>
      <c r="K318" s="96"/>
      <c r="L318" s="99"/>
      <c r="M318" s="99"/>
      <c r="N318" s="100"/>
      <c r="O318" s="124"/>
      <c r="P318" s="99"/>
      <c r="Q318" s="99"/>
      <c r="R318" s="99"/>
      <c r="S318" s="99"/>
      <c r="T318" s="99"/>
      <c r="U318" s="381"/>
      <c r="V318" s="381"/>
      <c r="W318" s="381"/>
      <c r="X318" s="381"/>
      <c r="Y318" s="381"/>
      <c r="Z318" s="381"/>
      <c r="AA318" s="381"/>
      <c r="AB318" s="381"/>
      <c r="AC318" s="381"/>
    </row>
    <row r="319">
      <c r="A319" s="395"/>
      <c r="B319" s="102"/>
      <c r="C319" s="110"/>
      <c r="D319" s="396"/>
      <c r="E319" s="397"/>
      <c r="F319" s="106"/>
      <c r="G319" s="106"/>
      <c r="H319" s="106"/>
      <c r="I319" s="396"/>
      <c r="J319" s="108"/>
      <c r="K319" s="107"/>
      <c r="L319" s="109"/>
      <c r="M319" s="109"/>
      <c r="N319" s="110"/>
      <c r="O319" s="123"/>
      <c r="P319" s="109"/>
      <c r="Q319" s="109"/>
      <c r="R319" s="109"/>
      <c r="S319" s="109"/>
      <c r="T319" s="109"/>
      <c r="U319" s="381"/>
      <c r="V319" s="381"/>
      <c r="W319" s="381"/>
      <c r="X319" s="381"/>
      <c r="Y319" s="381"/>
      <c r="Z319" s="381"/>
      <c r="AA319" s="381"/>
      <c r="AB319" s="381"/>
      <c r="AC319" s="381"/>
    </row>
    <row r="320">
      <c r="A320" s="398"/>
      <c r="B320" s="91"/>
      <c r="C320" s="100"/>
      <c r="D320" s="399"/>
      <c r="E320" s="400"/>
      <c r="F320" s="95"/>
      <c r="G320" s="95"/>
      <c r="H320" s="95"/>
      <c r="I320" s="399"/>
      <c r="J320" s="97"/>
      <c r="K320" s="96"/>
      <c r="L320" s="99"/>
      <c r="M320" s="99"/>
      <c r="N320" s="100"/>
      <c r="O320" s="124"/>
      <c r="P320" s="99"/>
      <c r="Q320" s="99"/>
      <c r="R320" s="99"/>
      <c r="S320" s="99"/>
      <c r="T320" s="99"/>
      <c r="U320" s="381"/>
      <c r="V320" s="381"/>
      <c r="W320" s="381"/>
      <c r="X320" s="381"/>
      <c r="Y320" s="381"/>
      <c r="Z320" s="381"/>
      <c r="AA320" s="381"/>
      <c r="AB320" s="381"/>
      <c r="AC320" s="381"/>
    </row>
    <row r="321">
      <c r="A321" s="395"/>
      <c r="B321" s="102"/>
      <c r="C321" s="110"/>
      <c r="D321" s="396"/>
      <c r="E321" s="397"/>
      <c r="F321" s="106"/>
      <c r="G321" s="106"/>
      <c r="H321" s="106"/>
      <c r="I321" s="396"/>
      <c r="J321" s="108"/>
      <c r="K321" s="107"/>
      <c r="L321" s="109"/>
      <c r="M321" s="109"/>
      <c r="N321" s="110"/>
      <c r="O321" s="123"/>
      <c r="P321" s="109"/>
      <c r="Q321" s="109"/>
      <c r="R321" s="109"/>
      <c r="S321" s="109"/>
      <c r="T321" s="109"/>
      <c r="U321" s="381"/>
      <c r="V321" s="381"/>
      <c r="W321" s="381"/>
      <c r="X321" s="381"/>
      <c r="Y321" s="381"/>
      <c r="Z321" s="381"/>
      <c r="AA321" s="381"/>
      <c r="AB321" s="381"/>
      <c r="AC321" s="381"/>
    </row>
    <row r="322">
      <c r="A322" s="398"/>
      <c r="B322" s="91"/>
      <c r="C322" s="100"/>
      <c r="D322" s="399"/>
      <c r="E322" s="400"/>
      <c r="F322" s="95"/>
      <c r="G322" s="95"/>
      <c r="H322" s="95"/>
      <c r="I322" s="399"/>
      <c r="J322" s="97"/>
      <c r="K322" s="96"/>
      <c r="L322" s="99"/>
      <c r="M322" s="99"/>
      <c r="N322" s="100"/>
      <c r="O322" s="124"/>
      <c r="P322" s="99"/>
      <c r="Q322" s="99"/>
      <c r="R322" s="99"/>
      <c r="S322" s="99"/>
      <c r="T322" s="99"/>
      <c r="U322" s="381"/>
      <c r="V322" s="381"/>
      <c r="W322" s="381"/>
      <c r="X322" s="381"/>
      <c r="Y322" s="381"/>
      <c r="Z322" s="381"/>
      <c r="AA322" s="381"/>
      <c r="AB322" s="381"/>
      <c r="AC322" s="381"/>
    </row>
    <row r="323">
      <c r="A323" s="395"/>
      <c r="B323" s="102"/>
      <c r="C323" s="110"/>
      <c r="D323" s="396"/>
      <c r="E323" s="397"/>
      <c r="F323" s="106"/>
      <c r="G323" s="106"/>
      <c r="H323" s="106"/>
      <c r="I323" s="396"/>
      <c r="J323" s="108"/>
      <c r="K323" s="107"/>
      <c r="L323" s="109"/>
      <c r="M323" s="109"/>
      <c r="N323" s="110"/>
      <c r="O323" s="123"/>
      <c r="P323" s="109"/>
      <c r="Q323" s="109"/>
      <c r="R323" s="109"/>
      <c r="S323" s="109"/>
      <c r="T323" s="109"/>
      <c r="U323" s="381"/>
      <c r="V323" s="381"/>
      <c r="W323" s="381"/>
      <c r="X323" s="381"/>
      <c r="Y323" s="381"/>
      <c r="Z323" s="381"/>
      <c r="AA323" s="381"/>
      <c r="AB323" s="381"/>
      <c r="AC323" s="381"/>
    </row>
    <row r="324">
      <c r="A324" s="398"/>
      <c r="B324" s="91"/>
      <c r="C324" s="100"/>
      <c r="D324" s="399"/>
      <c r="E324" s="400"/>
      <c r="F324" s="95"/>
      <c r="G324" s="95"/>
      <c r="H324" s="95"/>
      <c r="I324" s="399"/>
      <c r="J324" s="97"/>
      <c r="K324" s="96"/>
      <c r="L324" s="99"/>
      <c r="M324" s="99"/>
      <c r="N324" s="100"/>
      <c r="O324" s="124"/>
      <c r="P324" s="99"/>
      <c r="Q324" s="99"/>
      <c r="R324" s="99"/>
      <c r="S324" s="99"/>
      <c r="T324" s="99"/>
      <c r="U324" s="381"/>
      <c r="V324" s="381"/>
      <c r="W324" s="381"/>
      <c r="X324" s="381"/>
      <c r="Y324" s="381"/>
      <c r="Z324" s="381"/>
      <c r="AA324" s="381"/>
      <c r="AB324" s="381"/>
      <c r="AC324" s="381"/>
    </row>
    <row r="325">
      <c r="A325" s="395"/>
      <c r="B325" s="102"/>
      <c r="C325" s="110"/>
      <c r="D325" s="396"/>
      <c r="E325" s="397"/>
      <c r="F325" s="106"/>
      <c r="G325" s="106"/>
      <c r="H325" s="106"/>
      <c r="I325" s="396"/>
      <c r="J325" s="108"/>
      <c r="K325" s="107"/>
      <c r="L325" s="109"/>
      <c r="M325" s="109"/>
      <c r="N325" s="110"/>
      <c r="O325" s="123"/>
      <c r="P325" s="109"/>
      <c r="Q325" s="109"/>
      <c r="R325" s="109"/>
      <c r="S325" s="109"/>
      <c r="T325" s="109"/>
      <c r="U325" s="381"/>
      <c r="V325" s="381"/>
      <c r="W325" s="381"/>
      <c r="X325" s="381"/>
      <c r="Y325" s="381"/>
      <c r="Z325" s="381"/>
      <c r="AA325" s="381"/>
      <c r="AB325" s="381"/>
      <c r="AC325" s="381"/>
    </row>
    <row r="326">
      <c r="A326" s="398"/>
      <c r="B326" s="91"/>
      <c r="C326" s="100"/>
      <c r="D326" s="399"/>
      <c r="E326" s="400"/>
      <c r="F326" s="95"/>
      <c r="G326" s="95"/>
      <c r="H326" s="95"/>
      <c r="I326" s="399"/>
      <c r="J326" s="97"/>
      <c r="K326" s="96"/>
      <c r="L326" s="99"/>
      <c r="M326" s="99"/>
      <c r="N326" s="100"/>
      <c r="O326" s="124"/>
      <c r="P326" s="99"/>
      <c r="Q326" s="99"/>
      <c r="R326" s="99"/>
      <c r="S326" s="99"/>
      <c r="T326" s="99"/>
      <c r="U326" s="381"/>
      <c r="V326" s="381"/>
      <c r="W326" s="381"/>
      <c r="X326" s="381"/>
      <c r="Y326" s="381"/>
      <c r="Z326" s="381"/>
      <c r="AA326" s="381"/>
      <c r="AB326" s="381"/>
      <c r="AC326" s="381"/>
    </row>
    <row r="327">
      <c r="A327" s="395"/>
      <c r="B327" s="102"/>
      <c r="C327" s="110"/>
      <c r="D327" s="396"/>
      <c r="E327" s="397"/>
      <c r="F327" s="106"/>
      <c r="G327" s="106"/>
      <c r="H327" s="106"/>
      <c r="I327" s="396"/>
      <c r="J327" s="108"/>
      <c r="K327" s="107"/>
      <c r="L327" s="109"/>
      <c r="M327" s="109"/>
      <c r="N327" s="110"/>
      <c r="O327" s="123"/>
      <c r="P327" s="109"/>
      <c r="Q327" s="109"/>
      <c r="R327" s="109"/>
      <c r="S327" s="109"/>
      <c r="T327" s="109"/>
      <c r="U327" s="381"/>
      <c r="V327" s="381"/>
      <c r="W327" s="381"/>
      <c r="X327" s="381"/>
      <c r="Y327" s="381"/>
      <c r="Z327" s="381"/>
      <c r="AA327" s="381"/>
      <c r="AB327" s="381"/>
      <c r="AC327" s="381"/>
    </row>
    <row r="328">
      <c r="A328" s="398"/>
      <c r="B328" s="91"/>
      <c r="C328" s="100"/>
      <c r="D328" s="399"/>
      <c r="E328" s="400"/>
      <c r="F328" s="95"/>
      <c r="G328" s="95"/>
      <c r="H328" s="95"/>
      <c r="I328" s="399"/>
      <c r="J328" s="97"/>
      <c r="K328" s="96"/>
      <c r="L328" s="99"/>
      <c r="M328" s="99"/>
      <c r="N328" s="100"/>
      <c r="O328" s="124"/>
      <c r="P328" s="99"/>
      <c r="Q328" s="99"/>
      <c r="R328" s="99"/>
      <c r="S328" s="99"/>
      <c r="T328" s="99"/>
      <c r="U328" s="381"/>
      <c r="V328" s="381"/>
      <c r="W328" s="381"/>
      <c r="X328" s="381"/>
      <c r="Y328" s="381"/>
      <c r="Z328" s="381"/>
      <c r="AA328" s="381"/>
      <c r="AB328" s="381"/>
      <c r="AC328" s="381"/>
    </row>
    <row r="329">
      <c r="A329" s="395"/>
      <c r="B329" s="102"/>
      <c r="C329" s="110"/>
      <c r="D329" s="396"/>
      <c r="E329" s="397"/>
      <c r="F329" s="106"/>
      <c r="G329" s="106"/>
      <c r="H329" s="106"/>
      <c r="I329" s="396"/>
      <c r="J329" s="108"/>
      <c r="K329" s="107"/>
      <c r="L329" s="109"/>
      <c r="M329" s="109"/>
      <c r="N329" s="110"/>
      <c r="O329" s="123"/>
      <c r="P329" s="109"/>
      <c r="Q329" s="109"/>
      <c r="R329" s="109"/>
      <c r="S329" s="109"/>
      <c r="T329" s="109"/>
      <c r="U329" s="381"/>
      <c r="V329" s="381"/>
      <c r="W329" s="381"/>
      <c r="X329" s="381"/>
      <c r="Y329" s="381"/>
      <c r="Z329" s="381"/>
      <c r="AA329" s="381"/>
      <c r="AB329" s="381"/>
      <c r="AC329" s="381"/>
    </row>
    <row r="330">
      <c r="A330" s="398"/>
      <c r="B330" s="91"/>
      <c r="C330" s="100"/>
      <c r="D330" s="399"/>
      <c r="E330" s="400"/>
      <c r="F330" s="95"/>
      <c r="G330" s="95"/>
      <c r="H330" s="95"/>
      <c r="I330" s="399"/>
      <c r="J330" s="97"/>
      <c r="K330" s="96"/>
      <c r="L330" s="99"/>
      <c r="M330" s="99"/>
      <c r="N330" s="100"/>
      <c r="O330" s="124"/>
      <c r="P330" s="99"/>
      <c r="Q330" s="99"/>
      <c r="R330" s="99"/>
      <c r="S330" s="99"/>
      <c r="T330" s="99"/>
      <c r="U330" s="381"/>
      <c r="V330" s="381"/>
      <c r="W330" s="381"/>
      <c r="X330" s="381"/>
      <c r="Y330" s="381"/>
      <c r="Z330" s="381"/>
      <c r="AA330" s="381"/>
      <c r="AB330" s="381"/>
      <c r="AC330" s="381"/>
    </row>
    <row r="331">
      <c r="A331" s="395"/>
      <c r="B331" s="102"/>
      <c r="C331" s="110"/>
      <c r="D331" s="396"/>
      <c r="E331" s="397"/>
      <c r="F331" s="106"/>
      <c r="G331" s="106"/>
      <c r="H331" s="106"/>
      <c r="I331" s="396"/>
      <c r="J331" s="108"/>
      <c r="K331" s="107"/>
      <c r="L331" s="109"/>
      <c r="M331" s="109"/>
      <c r="N331" s="110"/>
      <c r="O331" s="123"/>
      <c r="P331" s="109"/>
      <c r="Q331" s="109"/>
      <c r="R331" s="109"/>
      <c r="S331" s="109"/>
      <c r="T331" s="109"/>
      <c r="U331" s="381"/>
      <c r="V331" s="381"/>
      <c r="W331" s="381"/>
      <c r="X331" s="381"/>
      <c r="Y331" s="381"/>
      <c r="Z331" s="381"/>
      <c r="AA331" s="381"/>
      <c r="AB331" s="381"/>
      <c r="AC331" s="381"/>
    </row>
    <row r="332">
      <c r="A332" s="398"/>
      <c r="B332" s="91"/>
      <c r="C332" s="100"/>
      <c r="D332" s="399"/>
      <c r="E332" s="400"/>
      <c r="F332" s="95"/>
      <c r="G332" s="95"/>
      <c r="H332" s="95"/>
      <c r="I332" s="399"/>
      <c r="J332" s="97"/>
      <c r="K332" s="96"/>
      <c r="L332" s="99"/>
      <c r="M332" s="99"/>
      <c r="N332" s="100"/>
      <c r="O332" s="124"/>
      <c r="P332" s="99"/>
      <c r="Q332" s="99"/>
      <c r="R332" s="99"/>
      <c r="S332" s="99"/>
      <c r="T332" s="99"/>
      <c r="U332" s="381"/>
      <c r="V332" s="381"/>
      <c r="W332" s="381"/>
      <c r="X332" s="381"/>
      <c r="Y332" s="381"/>
      <c r="Z332" s="381"/>
      <c r="AA332" s="381"/>
      <c r="AB332" s="381"/>
      <c r="AC332" s="381"/>
    </row>
    <row r="333">
      <c r="A333" s="395"/>
      <c r="B333" s="102"/>
      <c r="C333" s="110"/>
      <c r="D333" s="396"/>
      <c r="E333" s="397"/>
      <c r="F333" s="106"/>
      <c r="G333" s="106"/>
      <c r="H333" s="106"/>
      <c r="I333" s="396"/>
      <c r="J333" s="108"/>
      <c r="K333" s="107"/>
      <c r="L333" s="109"/>
      <c r="M333" s="109"/>
      <c r="N333" s="110"/>
      <c r="O333" s="123"/>
      <c r="P333" s="109"/>
      <c r="Q333" s="109"/>
      <c r="R333" s="109"/>
      <c r="S333" s="109"/>
      <c r="T333" s="109"/>
      <c r="U333" s="381"/>
      <c r="V333" s="381"/>
      <c r="W333" s="381"/>
      <c r="X333" s="381"/>
      <c r="Y333" s="381"/>
      <c r="Z333" s="381"/>
      <c r="AA333" s="381"/>
      <c r="AB333" s="381"/>
      <c r="AC333" s="381"/>
    </row>
    <row r="334">
      <c r="A334" s="398"/>
      <c r="B334" s="91"/>
      <c r="C334" s="100"/>
      <c r="D334" s="399"/>
      <c r="E334" s="400"/>
      <c r="F334" s="95"/>
      <c r="G334" s="95"/>
      <c r="H334" s="95"/>
      <c r="I334" s="399"/>
      <c r="J334" s="97"/>
      <c r="K334" s="96"/>
      <c r="L334" s="99"/>
      <c r="M334" s="99"/>
      <c r="N334" s="100"/>
      <c r="O334" s="124"/>
      <c r="P334" s="99"/>
      <c r="Q334" s="99"/>
      <c r="R334" s="99"/>
      <c r="S334" s="99"/>
      <c r="T334" s="99"/>
      <c r="U334" s="381"/>
      <c r="V334" s="381"/>
      <c r="W334" s="381"/>
      <c r="X334" s="381"/>
      <c r="Y334" s="381"/>
      <c r="Z334" s="381"/>
      <c r="AA334" s="381"/>
      <c r="AB334" s="381"/>
      <c r="AC334" s="381"/>
    </row>
    <row r="335">
      <c r="A335" s="395"/>
      <c r="B335" s="102"/>
      <c r="C335" s="110"/>
      <c r="D335" s="396"/>
      <c r="E335" s="397"/>
      <c r="F335" s="106"/>
      <c r="G335" s="106"/>
      <c r="H335" s="106"/>
      <c r="I335" s="396"/>
      <c r="J335" s="108"/>
      <c r="K335" s="107"/>
      <c r="L335" s="109"/>
      <c r="M335" s="109"/>
      <c r="N335" s="110"/>
      <c r="O335" s="123"/>
      <c r="P335" s="109"/>
      <c r="Q335" s="109"/>
      <c r="R335" s="109"/>
      <c r="S335" s="109"/>
      <c r="T335" s="109"/>
      <c r="U335" s="381"/>
      <c r="V335" s="381"/>
      <c r="W335" s="381"/>
      <c r="X335" s="381"/>
      <c r="Y335" s="381"/>
      <c r="Z335" s="381"/>
      <c r="AA335" s="381"/>
      <c r="AB335" s="381"/>
      <c r="AC335" s="381"/>
    </row>
    <row r="336">
      <c r="A336" s="398"/>
      <c r="B336" s="91"/>
      <c r="C336" s="100"/>
      <c r="D336" s="399"/>
      <c r="E336" s="400"/>
      <c r="F336" s="95"/>
      <c r="G336" s="95"/>
      <c r="H336" s="95"/>
      <c r="I336" s="399"/>
      <c r="J336" s="97"/>
      <c r="K336" s="96"/>
      <c r="L336" s="99"/>
      <c r="M336" s="99"/>
      <c r="N336" s="100"/>
      <c r="O336" s="124"/>
      <c r="P336" s="99"/>
      <c r="Q336" s="99"/>
      <c r="R336" s="99"/>
      <c r="S336" s="99"/>
      <c r="T336" s="99"/>
      <c r="U336" s="381"/>
      <c r="V336" s="381"/>
      <c r="W336" s="381"/>
      <c r="X336" s="381"/>
      <c r="Y336" s="381"/>
      <c r="Z336" s="381"/>
      <c r="AA336" s="381"/>
      <c r="AB336" s="381"/>
      <c r="AC336" s="381"/>
    </row>
    <row r="337">
      <c r="A337" s="395"/>
      <c r="B337" s="102"/>
      <c r="C337" s="110"/>
      <c r="D337" s="396"/>
      <c r="E337" s="397"/>
      <c r="F337" s="106"/>
      <c r="G337" s="106"/>
      <c r="H337" s="106"/>
      <c r="I337" s="396"/>
      <c r="J337" s="108"/>
      <c r="K337" s="107"/>
      <c r="L337" s="109"/>
      <c r="M337" s="109"/>
      <c r="N337" s="110"/>
      <c r="O337" s="123"/>
      <c r="P337" s="109"/>
      <c r="Q337" s="109"/>
      <c r="R337" s="109"/>
      <c r="S337" s="109"/>
      <c r="T337" s="109"/>
      <c r="U337" s="381"/>
      <c r="V337" s="381"/>
      <c r="W337" s="381"/>
      <c r="X337" s="381"/>
      <c r="Y337" s="381"/>
      <c r="Z337" s="381"/>
      <c r="AA337" s="381"/>
      <c r="AB337" s="381"/>
      <c r="AC337" s="381"/>
    </row>
    <row r="338">
      <c r="A338" s="398"/>
      <c r="B338" s="91"/>
      <c r="C338" s="100"/>
      <c r="D338" s="399"/>
      <c r="E338" s="400"/>
      <c r="F338" s="95"/>
      <c r="G338" s="95"/>
      <c r="H338" s="95"/>
      <c r="I338" s="399"/>
      <c r="J338" s="97"/>
      <c r="K338" s="96"/>
      <c r="L338" s="99"/>
      <c r="M338" s="99"/>
      <c r="N338" s="100"/>
      <c r="O338" s="124"/>
      <c r="P338" s="99"/>
      <c r="Q338" s="99"/>
      <c r="R338" s="99"/>
      <c r="S338" s="99"/>
      <c r="T338" s="99"/>
      <c r="U338" s="381"/>
      <c r="V338" s="381"/>
      <c r="W338" s="381"/>
      <c r="X338" s="381"/>
      <c r="Y338" s="381"/>
      <c r="Z338" s="381"/>
      <c r="AA338" s="381"/>
      <c r="AB338" s="381"/>
      <c r="AC338" s="381"/>
    </row>
    <row r="339">
      <c r="A339" s="395"/>
      <c r="B339" s="102"/>
      <c r="C339" s="110"/>
      <c r="D339" s="396"/>
      <c r="E339" s="397"/>
      <c r="F339" s="106"/>
      <c r="G339" s="106"/>
      <c r="H339" s="106"/>
      <c r="I339" s="396"/>
      <c r="J339" s="108"/>
      <c r="K339" s="107"/>
      <c r="L339" s="109"/>
      <c r="M339" s="109"/>
      <c r="N339" s="110"/>
      <c r="O339" s="123"/>
      <c r="P339" s="109"/>
      <c r="Q339" s="109"/>
      <c r="R339" s="109"/>
      <c r="S339" s="109"/>
      <c r="T339" s="109"/>
      <c r="U339" s="381"/>
      <c r="V339" s="381"/>
      <c r="W339" s="381"/>
      <c r="X339" s="381"/>
      <c r="Y339" s="381"/>
      <c r="Z339" s="381"/>
      <c r="AA339" s="381"/>
      <c r="AB339" s="381"/>
      <c r="AC339" s="381"/>
    </row>
    <row r="340">
      <c r="A340" s="398"/>
      <c r="B340" s="91"/>
      <c r="C340" s="100"/>
      <c r="D340" s="399"/>
      <c r="E340" s="400"/>
      <c r="F340" s="95"/>
      <c r="G340" s="95"/>
      <c r="H340" s="95"/>
      <c r="I340" s="399"/>
      <c r="J340" s="97"/>
      <c r="K340" s="96"/>
      <c r="L340" s="99"/>
      <c r="M340" s="99"/>
      <c r="N340" s="100"/>
      <c r="O340" s="124"/>
      <c r="P340" s="99"/>
      <c r="Q340" s="99"/>
      <c r="R340" s="99"/>
      <c r="S340" s="99"/>
      <c r="T340" s="99"/>
      <c r="U340" s="381"/>
      <c r="V340" s="381"/>
      <c r="W340" s="381"/>
      <c r="X340" s="381"/>
      <c r="Y340" s="381"/>
      <c r="Z340" s="381"/>
      <c r="AA340" s="381"/>
      <c r="AB340" s="381"/>
      <c r="AC340" s="381"/>
    </row>
    <row r="341">
      <c r="A341" s="395"/>
      <c r="B341" s="102"/>
      <c r="C341" s="110"/>
      <c r="D341" s="396"/>
      <c r="E341" s="397"/>
      <c r="F341" s="106"/>
      <c r="G341" s="106"/>
      <c r="H341" s="106"/>
      <c r="I341" s="396"/>
      <c r="J341" s="108"/>
      <c r="K341" s="107"/>
      <c r="L341" s="109"/>
      <c r="M341" s="109"/>
      <c r="N341" s="110"/>
      <c r="O341" s="123"/>
      <c r="P341" s="109"/>
      <c r="Q341" s="109"/>
      <c r="R341" s="109"/>
      <c r="S341" s="109"/>
      <c r="T341" s="109"/>
      <c r="U341" s="381"/>
      <c r="V341" s="381"/>
      <c r="W341" s="381"/>
      <c r="X341" s="381"/>
      <c r="Y341" s="381"/>
      <c r="Z341" s="381"/>
      <c r="AA341" s="381"/>
      <c r="AB341" s="381"/>
      <c r="AC341" s="381"/>
    </row>
    <row r="342">
      <c r="A342" s="398"/>
      <c r="B342" s="91"/>
      <c r="C342" s="100"/>
      <c r="D342" s="399"/>
      <c r="E342" s="400"/>
      <c r="F342" s="95"/>
      <c r="G342" s="95"/>
      <c r="H342" s="95"/>
      <c r="I342" s="399"/>
      <c r="J342" s="97"/>
      <c r="K342" s="96"/>
      <c r="L342" s="99"/>
      <c r="M342" s="99"/>
      <c r="N342" s="100"/>
      <c r="O342" s="124"/>
      <c r="P342" s="99"/>
      <c r="Q342" s="99"/>
      <c r="R342" s="99"/>
      <c r="S342" s="99"/>
      <c r="T342" s="99"/>
      <c r="U342" s="381"/>
      <c r="V342" s="381"/>
      <c r="W342" s="381"/>
      <c r="X342" s="381"/>
      <c r="Y342" s="381"/>
      <c r="Z342" s="381"/>
      <c r="AA342" s="381"/>
      <c r="AB342" s="381"/>
      <c r="AC342" s="381"/>
    </row>
    <row r="343">
      <c r="A343" s="395"/>
      <c r="B343" s="102"/>
      <c r="C343" s="110"/>
      <c r="D343" s="396"/>
      <c r="E343" s="397"/>
      <c r="F343" s="106"/>
      <c r="G343" s="106"/>
      <c r="H343" s="106"/>
      <c r="I343" s="396"/>
      <c r="J343" s="108"/>
      <c r="K343" s="107"/>
      <c r="L343" s="109"/>
      <c r="M343" s="109"/>
      <c r="N343" s="110"/>
      <c r="O343" s="123"/>
      <c r="P343" s="109"/>
      <c r="Q343" s="109"/>
      <c r="R343" s="109"/>
      <c r="S343" s="109"/>
      <c r="T343" s="109"/>
      <c r="U343" s="381"/>
      <c r="V343" s="381"/>
      <c r="W343" s="381"/>
      <c r="X343" s="381"/>
      <c r="Y343" s="381"/>
      <c r="Z343" s="381"/>
      <c r="AA343" s="381"/>
      <c r="AB343" s="381"/>
      <c r="AC343" s="381"/>
    </row>
    <row r="344">
      <c r="A344" s="398"/>
      <c r="B344" s="91"/>
      <c r="C344" s="100"/>
      <c r="D344" s="399"/>
      <c r="E344" s="400"/>
      <c r="F344" s="95"/>
      <c r="G344" s="95"/>
      <c r="H344" s="95"/>
      <c r="I344" s="399"/>
      <c r="J344" s="97"/>
      <c r="K344" s="96"/>
      <c r="L344" s="99"/>
      <c r="M344" s="99"/>
      <c r="N344" s="100"/>
      <c r="O344" s="124"/>
      <c r="P344" s="99"/>
      <c r="Q344" s="99"/>
      <c r="R344" s="99"/>
      <c r="S344" s="99"/>
      <c r="T344" s="99"/>
      <c r="U344" s="381"/>
      <c r="V344" s="381"/>
      <c r="W344" s="381"/>
      <c r="X344" s="381"/>
      <c r="Y344" s="381"/>
      <c r="Z344" s="381"/>
      <c r="AA344" s="381"/>
      <c r="AB344" s="381"/>
      <c r="AC344" s="381"/>
    </row>
    <row r="345">
      <c r="A345" s="395"/>
      <c r="B345" s="102"/>
      <c r="C345" s="110"/>
      <c r="D345" s="396"/>
      <c r="E345" s="397"/>
      <c r="F345" s="106"/>
      <c r="G345" s="106"/>
      <c r="H345" s="106"/>
      <c r="I345" s="396"/>
      <c r="J345" s="108"/>
      <c r="K345" s="107"/>
      <c r="L345" s="109"/>
      <c r="M345" s="109"/>
      <c r="N345" s="110"/>
      <c r="O345" s="123"/>
      <c r="P345" s="109"/>
      <c r="Q345" s="109"/>
      <c r="R345" s="109"/>
      <c r="S345" s="109"/>
      <c r="T345" s="109"/>
      <c r="U345" s="381"/>
      <c r="V345" s="381"/>
      <c r="W345" s="381"/>
      <c r="X345" s="381"/>
      <c r="Y345" s="381"/>
      <c r="Z345" s="381"/>
      <c r="AA345" s="381"/>
      <c r="AB345" s="381"/>
      <c r="AC345" s="381"/>
    </row>
    <row r="346">
      <c r="A346" s="398"/>
      <c r="B346" s="91"/>
      <c r="C346" s="100"/>
      <c r="D346" s="399"/>
      <c r="E346" s="400"/>
      <c r="F346" s="95"/>
      <c r="G346" s="95"/>
      <c r="H346" s="95"/>
      <c r="I346" s="399"/>
      <c r="J346" s="97"/>
      <c r="K346" s="96"/>
      <c r="L346" s="99"/>
      <c r="M346" s="99"/>
      <c r="N346" s="100"/>
      <c r="O346" s="124"/>
      <c r="P346" s="99"/>
      <c r="Q346" s="99"/>
      <c r="R346" s="99"/>
      <c r="S346" s="99"/>
      <c r="T346" s="99"/>
      <c r="U346" s="381"/>
      <c r="V346" s="381"/>
      <c r="W346" s="381"/>
      <c r="X346" s="381"/>
      <c r="Y346" s="381"/>
      <c r="Z346" s="381"/>
      <c r="AA346" s="381"/>
      <c r="AB346" s="381"/>
      <c r="AC346" s="381"/>
    </row>
    <row r="347">
      <c r="A347" s="395"/>
      <c r="B347" s="102"/>
      <c r="C347" s="110"/>
      <c r="D347" s="396"/>
      <c r="E347" s="397"/>
      <c r="F347" s="106"/>
      <c r="G347" s="106"/>
      <c r="H347" s="106"/>
      <c r="I347" s="396"/>
      <c r="J347" s="108"/>
      <c r="K347" s="107"/>
      <c r="L347" s="109"/>
      <c r="M347" s="109"/>
      <c r="N347" s="110"/>
      <c r="O347" s="123"/>
      <c r="P347" s="109"/>
      <c r="Q347" s="109"/>
      <c r="R347" s="109"/>
      <c r="S347" s="109"/>
      <c r="T347" s="109"/>
      <c r="U347" s="381"/>
      <c r="V347" s="381"/>
      <c r="W347" s="381"/>
      <c r="X347" s="381"/>
      <c r="Y347" s="381"/>
      <c r="Z347" s="381"/>
      <c r="AA347" s="381"/>
      <c r="AB347" s="381"/>
      <c r="AC347" s="381"/>
    </row>
    <row r="348">
      <c r="A348" s="398"/>
      <c r="B348" s="91"/>
      <c r="C348" s="100"/>
      <c r="D348" s="399"/>
      <c r="E348" s="400"/>
      <c r="F348" s="95"/>
      <c r="G348" s="95"/>
      <c r="H348" s="95"/>
      <c r="I348" s="399"/>
      <c r="J348" s="97"/>
      <c r="K348" s="96"/>
      <c r="L348" s="99"/>
      <c r="M348" s="99"/>
      <c r="N348" s="100"/>
      <c r="O348" s="124"/>
      <c r="P348" s="99"/>
      <c r="Q348" s="99"/>
      <c r="R348" s="99"/>
      <c r="S348" s="99"/>
      <c r="T348" s="99"/>
      <c r="U348" s="381"/>
      <c r="V348" s="381"/>
      <c r="W348" s="381"/>
      <c r="X348" s="381"/>
      <c r="Y348" s="381"/>
      <c r="Z348" s="381"/>
      <c r="AA348" s="381"/>
      <c r="AB348" s="381"/>
      <c r="AC348" s="381"/>
    </row>
    <row r="349">
      <c r="A349" s="395"/>
      <c r="B349" s="102"/>
      <c r="C349" s="110"/>
      <c r="D349" s="396"/>
      <c r="E349" s="397"/>
      <c r="F349" s="106"/>
      <c r="G349" s="106"/>
      <c r="H349" s="106"/>
      <c r="I349" s="396"/>
      <c r="J349" s="108"/>
      <c r="K349" s="107"/>
      <c r="L349" s="109"/>
      <c r="M349" s="109"/>
      <c r="N349" s="110"/>
      <c r="O349" s="123"/>
      <c r="P349" s="109"/>
      <c r="Q349" s="109"/>
      <c r="R349" s="109"/>
      <c r="S349" s="109"/>
      <c r="T349" s="109"/>
      <c r="U349" s="381"/>
      <c r="V349" s="381"/>
      <c r="W349" s="381"/>
      <c r="X349" s="381"/>
      <c r="Y349" s="381"/>
      <c r="Z349" s="381"/>
      <c r="AA349" s="381"/>
      <c r="AB349" s="381"/>
      <c r="AC349" s="381"/>
    </row>
    <row r="350">
      <c r="A350" s="398"/>
      <c r="B350" s="91"/>
      <c r="C350" s="100"/>
      <c r="D350" s="399"/>
      <c r="E350" s="400"/>
      <c r="F350" s="95"/>
      <c r="G350" s="95"/>
      <c r="H350" s="95"/>
      <c r="I350" s="399"/>
      <c r="J350" s="97"/>
      <c r="K350" s="96"/>
      <c r="L350" s="99"/>
      <c r="M350" s="99"/>
      <c r="N350" s="100"/>
      <c r="O350" s="124"/>
      <c r="P350" s="99"/>
      <c r="Q350" s="99"/>
      <c r="R350" s="99"/>
      <c r="S350" s="99"/>
      <c r="T350" s="99"/>
      <c r="U350" s="381"/>
      <c r="V350" s="381"/>
      <c r="W350" s="381"/>
      <c r="X350" s="381"/>
      <c r="Y350" s="381"/>
      <c r="Z350" s="381"/>
      <c r="AA350" s="381"/>
      <c r="AB350" s="381"/>
      <c r="AC350" s="381"/>
    </row>
    <row r="351">
      <c r="A351" s="395"/>
      <c r="B351" s="102"/>
      <c r="C351" s="110"/>
      <c r="D351" s="396"/>
      <c r="E351" s="397"/>
      <c r="F351" s="106"/>
      <c r="G351" s="106"/>
      <c r="H351" s="106"/>
      <c r="I351" s="396"/>
      <c r="J351" s="108"/>
      <c r="K351" s="107"/>
      <c r="L351" s="109"/>
      <c r="M351" s="109"/>
      <c r="N351" s="110"/>
      <c r="O351" s="123"/>
      <c r="P351" s="109"/>
      <c r="Q351" s="109"/>
      <c r="R351" s="109"/>
      <c r="S351" s="109"/>
      <c r="T351" s="109"/>
      <c r="U351" s="381"/>
      <c r="V351" s="381"/>
      <c r="W351" s="381"/>
      <c r="X351" s="381"/>
      <c r="Y351" s="381"/>
      <c r="Z351" s="381"/>
      <c r="AA351" s="381"/>
      <c r="AB351" s="381"/>
      <c r="AC351" s="381"/>
    </row>
    <row r="352">
      <c r="A352" s="398"/>
      <c r="B352" s="91"/>
      <c r="C352" s="100"/>
      <c r="D352" s="399"/>
      <c r="E352" s="400"/>
      <c r="F352" s="95"/>
      <c r="G352" s="95"/>
      <c r="H352" s="95"/>
      <c r="I352" s="399"/>
      <c r="J352" s="97"/>
      <c r="K352" s="96"/>
      <c r="L352" s="99"/>
      <c r="M352" s="99"/>
      <c r="N352" s="100"/>
      <c r="O352" s="124"/>
      <c r="P352" s="99"/>
      <c r="Q352" s="99"/>
      <c r="R352" s="99"/>
      <c r="S352" s="99"/>
      <c r="T352" s="99"/>
      <c r="U352" s="381"/>
      <c r="V352" s="381"/>
      <c r="W352" s="381"/>
      <c r="X352" s="381"/>
      <c r="Y352" s="381"/>
      <c r="Z352" s="381"/>
      <c r="AA352" s="381"/>
      <c r="AB352" s="381"/>
      <c r="AC352" s="381"/>
    </row>
    <row r="353">
      <c r="A353" s="395"/>
      <c r="B353" s="102"/>
      <c r="C353" s="110"/>
      <c r="D353" s="396"/>
      <c r="E353" s="397"/>
      <c r="F353" s="106"/>
      <c r="G353" s="106"/>
      <c r="H353" s="106"/>
      <c r="I353" s="396"/>
      <c r="J353" s="108"/>
      <c r="K353" s="107"/>
      <c r="L353" s="109"/>
      <c r="M353" s="109"/>
      <c r="N353" s="110"/>
      <c r="O353" s="123"/>
      <c r="P353" s="109"/>
      <c r="Q353" s="109"/>
      <c r="R353" s="109"/>
      <c r="S353" s="109"/>
      <c r="T353" s="109"/>
      <c r="U353" s="381"/>
      <c r="V353" s="381"/>
      <c r="W353" s="381"/>
      <c r="X353" s="381"/>
      <c r="Y353" s="381"/>
      <c r="Z353" s="381"/>
      <c r="AA353" s="381"/>
      <c r="AB353" s="381"/>
      <c r="AC353" s="381"/>
    </row>
    <row r="354">
      <c r="A354" s="398"/>
      <c r="B354" s="91"/>
      <c r="C354" s="100"/>
      <c r="D354" s="399"/>
      <c r="E354" s="400"/>
      <c r="F354" s="95"/>
      <c r="G354" s="95"/>
      <c r="H354" s="95"/>
      <c r="I354" s="399"/>
      <c r="J354" s="97"/>
      <c r="K354" s="96"/>
      <c r="L354" s="99"/>
      <c r="M354" s="99"/>
      <c r="N354" s="100"/>
      <c r="O354" s="124"/>
      <c r="P354" s="99"/>
      <c r="Q354" s="99"/>
      <c r="R354" s="99"/>
      <c r="S354" s="99"/>
      <c r="T354" s="99"/>
      <c r="U354" s="381"/>
      <c r="V354" s="381"/>
      <c r="W354" s="381"/>
      <c r="X354" s="381"/>
      <c r="Y354" s="381"/>
      <c r="Z354" s="381"/>
      <c r="AA354" s="381"/>
      <c r="AB354" s="381"/>
      <c r="AC354" s="381"/>
    </row>
    <row r="355">
      <c r="A355" s="395"/>
      <c r="B355" s="102"/>
      <c r="C355" s="110"/>
      <c r="D355" s="396"/>
      <c r="E355" s="397"/>
      <c r="F355" s="106"/>
      <c r="G355" s="106"/>
      <c r="H355" s="106"/>
      <c r="I355" s="396"/>
      <c r="J355" s="108"/>
      <c r="K355" s="107"/>
      <c r="L355" s="109"/>
      <c r="M355" s="109"/>
      <c r="N355" s="110"/>
      <c r="O355" s="123"/>
      <c r="P355" s="109"/>
      <c r="Q355" s="109"/>
      <c r="R355" s="109"/>
      <c r="S355" s="109"/>
      <c r="T355" s="109"/>
      <c r="U355" s="381"/>
      <c r="V355" s="381"/>
      <c r="W355" s="381"/>
      <c r="X355" s="381"/>
      <c r="Y355" s="381"/>
      <c r="Z355" s="381"/>
      <c r="AA355" s="381"/>
      <c r="AB355" s="381"/>
      <c r="AC355" s="381"/>
    </row>
    <row r="356">
      <c r="A356" s="398"/>
      <c r="B356" s="91"/>
      <c r="C356" s="100"/>
      <c r="D356" s="399"/>
      <c r="E356" s="400"/>
      <c r="F356" s="95"/>
      <c r="G356" s="95"/>
      <c r="H356" s="95"/>
      <c r="I356" s="399"/>
      <c r="J356" s="97"/>
      <c r="K356" s="96"/>
      <c r="L356" s="99"/>
      <c r="M356" s="99"/>
      <c r="N356" s="100"/>
      <c r="O356" s="124"/>
      <c r="P356" s="99"/>
      <c r="Q356" s="99"/>
      <c r="R356" s="99"/>
      <c r="S356" s="99"/>
      <c r="T356" s="99"/>
      <c r="U356" s="381"/>
      <c r="V356" s="381"/>
      <c r="W356" s="381"/>
      <c r="X356" s="381"/>
      <c r="Y356" s="381"/>
      <c r="Z356" s="381"/>
      <c r="AA356" s="381"/>
      <c r="AB356" s="381"/>
      <c r="AC356" s="381"/>
    </row>
    <row r="357">
      <c r="A357" s="395"/>
      <c r="B357" s="102"/>
      <c r="C357" s="110"/>
      <c r="D357" s="396"/>
      <c r="E357" s="397"/>
      <c r="F357" s="106"/>
      <c r="G357" s="106"/>
      <c r="H357" s="106"/>
      <c r="I357" s="396"/>
      <c r="J357" s="108"/>
      <c r="K357" s="107"/>
      <c r="L357" s="109"/>
      <c r="M357" s="109"/>
      <c r="N357" s="110"/>
      <c r="O357" s="123"/>
      <c r="P357" s="109"/>
      <c r="Q357" s="109"/>
      <c r="R357" s="109"/>
      <c r="S357" s="109"/>
      <c r="T357" s="109"/>
      <c r="U357" s="381"/>
      <c r="V357" s="381"/>
      <c r="W357" s="381"/>
      <c r="X357" s="381"/>
      <c r="Y357" s="381"/>
      <c r="Z357" s="381"/>
      <c r="AA357" s="381"/>
      <c r="AB357" s="381"/>
      <c r="AC357" s="381"/>
    </row>
    <row r="358">
      <c r="A358" s="398"/>
      <c r="B358" s="91"/>
      <c r="C358" s="100"/>
      <c r="D358" s="399"/>
      <c r="E358" s="400"/>
      <c r="F358" s="95"/>
      <c r="G358" s="95"/>
      <c r="H358" s="95"/>
      <c r="I358" s="399"/>
      <c r="J358" s="97"/>
      <c r="K358" s="96"/>
      <c r="L358" s="99"/>
      <c r="M358" s="99"/>
      <c r="N358" s="100"/>
      <c r="O358" s="124"/>
      <c r="P358" s="99"/>
      <c r="Q358" s="99"/>
      <c r="R358" s="99"/>
      <c r="S358" s="99"/>
      <c r="T358" s="99"/>
      <c r="U358" s="381"/>
      <c r="V358" s="381"/>
      <c r="W358" s="381"/>
      <c r="X358" s="381"/>
      <c r="Y358" s="381"/>
      <c r="Z358" s="381"/>
      <c r="AA358" s="381"/>
      <c r="AB358" s="381"/>
      <c r="AC358" s="381"/>
    </row>
    <row r="359">
      <c r="A359" s="395"/>
      <c r="B359" s="102"/>
      <c r="C359" s="110"/>
      <c r="D359" s="396"/>
      <c r="E359" s="397"/>
      <c r="F359" s="106"/>
      <c r="G359" s="106"/>
      <c r="H359" s="106"/>
      <c r="I359" s="396"/>
      <c r="J359" s="108"/>
      <c r="K359" s="107"/>
      <c r="L359" s="109"/>
      <c r="M359" s="109"/>
      <c r="N359" s="110"/>
      <c r="O359" s="123"/>
      <c r="P359" s="109"/>
      <c r="Q359" s="109"/>
      <c r="R359" s="109"/>
      <c r="S359" s="109"/>
      <c r="T359" s="109"/>
      <c r="U359" s="381"/>
      <c r="V359" s="381"/>
      <c r="W359" s="381"/>
      <c r="X359" s="381"/>
      <c r="Y359" s="381"/>
      <c r="Z359" s="381"/>
      <c r="AA359" s="381"/>
      <c r="AB359" s="381"/>
      <c r="AC359" s="381"/>
    </row>
    <row r="360">
      <c r="A360" s="398"/>
      <c r="B360" s="91"/>
      <c r="C360" s="100"/>
      <c r="D360" s="399"/>
      <c r="E360" s="400"/>
      <c r="F360" s="95"/>
      <c r="G360" s="95"/>
      <c r="H360" s="95"/>
      <c r="I360" s="399"/>
      <c r="J360" s="97"/>
      <c r="K360" s="96"/>
      <c r="L360" s="99"/>
      <c r="M360" s="99"/>
      <c r="N360" s="100"/>
      <c r="O360" s="124"/>
      <c r="P360" s="99"/>
      <c r="Q360" s="99"/>
      <c r="R360" s="99"/>
      <c r="S360" s="99"/>
      <c r="T360" s="99"/>
      <c r="U360" s="381"/>
      <c r="V360" s="381"/>
      <c r="W360" s="381"/>
      <c r="X360" s="381"/>
      <c r="Y360" s="381"/>
      <c r="Z360" s="381"/>
      <c r="AA360" s="381"/>
      <c r="AB360" s="381"/>
      <c r="AC360" s="381"/>
    </row>
    <row r="361">
      <c r="A361" s="395"/>
      <c r="B361" s="102"/>
      <c r="C361" s="110"/>
      <c r="D361" s="396"/>
      <c r="E361" s="397"/>
      <c r="F361" s="106"/>
      <c r="G361" s="106"/>
      <c r="H361" s="106"/>
      <c r="I361" s="396"/>
      <c r="J361" s="108"/>
      <c r="K361" s="107"/>
      <c r="L361" s="109"/>
      <c r="M361" s="109"/>
      <c r="N361" s="110"/>
      <c r="O361" s="123"/>
      <c r="P361" s="109"/>
      <c r="Q361" s="109"/>
      <c r="R361" s="109"/>
      <c r="S361" s="109"/>
      <c r="T361" s="109"/>
      <c r="U361" s="381"/>
      <c r="V361" s="381"/>
      <c r="W361" s="381"/>
      <c r="X361" s="381"/>
      <c r="Y361" s="381"/>
      <c r="Z361" s="381"/>
      <c r="AA361" s="381"/>
      <c r="AB361" s="381"/>
      <c r="AC361" s="381"/>
    </row>
    <row r="362">
      <c r="A362" s="398"/>
      <c r="B362" s="91"/>
      <c r="C362" s="100"/>
      <c r="D362" s="399"/>
      <c r="E362" s="400"/>
      <c r="F362" s="95"/>
      <c r="G362" s="95"/>
      <c r="H362" s="95"/>
      <c r="I362" s="399"/>
      <c r="J362" s="97"/>
      <c r="K362" s="96"/>
      <c r="L362" s="99"/>
      <c r="M362" s="99"/>
      <c r="N362" s="100"/>
      <c r="O362" s="124"/>
      <c r="P362" s="99"/>
      <c r="Q362" s="99"/>
      <c r="R362" s="99"/>
      <c r="S362" s="99"/>
      <c r="T362" s="99"/>
      <c r="U362" s="381"/>
      <c r="V362" s="381"/>
      <c r="W362" s="381"/>
      <c r="X362" s="381"/>
      <c r="Y362" s="381"/>
      <c r="Z362" s="381"/>
      <c r="AA362" s="381"/>
      <c r="AB362" s="381"/>
      <c r="AC362" s="381"/>
    </row>
    <row r="363">
      <c r="A363" s="395"/>
      <c r="B363" s="102"/>
      <c r="C363" s="110"/>
      <c r="D363" s="396"/>
      <c r="E363" s="397"/>
      <c r="F363" s="106"/>
      <c r="G363" s="106"/>
      <c r="H363" s="106"/>
      <c r="I363" s="396"/>
      <c r="J363" s="108"/>
      <c r="K363" s="107"/>
      <c r="L363" s="109"/>
      <c r="M363" s="109"/>
      <c r="N363" s="110"/>
      <c r="O363" s="123"/>
      <c r="P363" s="109"/>
      <c r="Q363" s="109"/>
      <c r="R363" s="109"/>
      <c r="S363" s="109"/>
      <c r="T363" s="109"/>
      <c r="U363" s="381"/>
      <c r="V363" s="381"/>
      <c r="W363" s="381"/>
      <c r="X363" s="381"/>
      <c r="Y363" s="381"/>
      <c r="Z363" s="381"/>
      <c r="AA363" s="381"/>
      <c r="AB363" s="381"/>
      <c r="AC363" s="381"/>
    </row>
    <row r="364">
      <c r="A364" s="398"/>
      <c r="B364" s="91"/>
      <c r="C364" s="100"/>
      <c r="D364" s="399"/>
      <c r="E364" s="400"/>
      <c r="F364" s="95"/>
      <c r="G364" s="95"/>
      <c r="H364" s="95"/>
      <c r="I364" s="399"/>
      <c r="J364" s="97"/>
      <c r="K364" s="96"/>
      <c r="L364" s="99"/>
      <c r="M364" s="99"/>
      <c r="N364" s="100"/>
      <c r="O364" s="124"/>
      <c r="P364" s="99"/>
      <c r="Q364" s="99"/>
      <c r="R364" s="99"/>
      <c r="S364" s="99"/>
      <c r="T364" s="99"/>
      <c r="U364" s="381"/>
      <c r="V364" s="381"/>
      <c r="W364" s="381"/>
      <c r="X364" s="381"/>
      <c r="Y364" s="381"/>
      <c r="Z364" s="381"/>
      <c r="AA364" s="381"/>
      <c r="AB364" s="381"/>
      <c r="AC364" s="381"/>
    </row>
    <row r="365">
      <c r="A365" s="395"/>
      <c r="B365" s="102"/>
      <c r="C365" s="110"/>
      <c r="D365" s="396"/>
      <c r="E365" s="397"/>
      <c r="F365" s="106"/>
      <c r="G365" s="106"/>
      <c r="H365" s="106"/>
      <c r="I365" s="396"/>
      <c r="J365" s="108"/>
      <c r="K365" s="107"/>
      <c r="L365" s="109"/>
      <c r="M365" s="109"/>
      <c r="N365" s="110"/>
      <c r="O365" s="123"/>
      <c r="P365" s="109"/>
      <c r="Q365" s="109"/>
      <c r="R365" s="109"/>
      <c r="S365" s="109"/>
      <c r="T365" s="109"/>
      <c r="U365" s="381"/>
      <c r="V365" s="381"/>
      <c r="W365" s="381"/>
      <c r="X365" s="381"/>
      <c r="Y365" s="381"/>
      <c r="Z365" s="381"/>
      <c r="AA365" s="381"/>
      <c r="AB365" s="381"/>
      <c r="AC365" s="381"/>
    </row>
    <row r="366">
      <c r="A366" s="398"/>
      <c r="B366" s="91"/>
      <c r="C366" s="100"/>
      <c r="D366" s="399"/>
      <c r="E366" s="400"/>
      <c r="F366" s="95"/>
      <c r="G366" s="95"/>
      <c r="H366" s="95"/>
      <c r="I366" s="399"/>
      <c r="J366" s="97"/>
      <c r="K366" s="96"/>
      <c r="L366" s="99"/>
      <c r="M366" s="99"/>
      <c r="N366" s="100"/>
      <c r="O366" s="124"/>
      <c r="P366" s="99"/>
      <c r="Q366" s="99"/>
      <c r="R366" s="99"/>
      <c r="S366" s="99"/>
      <c r="T366" s="99"/>
      <c r="U366" s="381"/>
      <c r="V366" s="381"/>
      <c r="W366" s="381"/>
      <c r="X366" s="381"/>
      <c r="Y366" s="381"/>
      <c r="Z366" s="381"/>
      <c r="AA366" s="381"/>
      <c r="AB366" s="381"/>
      <c r="AC366" s="381"/>
    </row>
    <row r="367">
      <c r="A367" s="395"/>
      <c r="B367" s="102"/>
      <c r="C367" s="110"/>
      <c r="D367" s="396"/>
      <c r="E367" s="397"/>
      <c r="F367" s="106"/>
      <c r="G367" s="106"/>
      <c r="H367" s="106"/>
      <c r="I367" s="396"/>
      <c r="J367" s="108"/>
      <c r="K367" s="107"/>
      <c r="L367" s="109"/>
      <c r="M367" s="109"/>
      <c r="N367" s="110"/>
      <c r="O367" s="123"/>
      <c r="P367" s="109"/>
      <c r="Q367" s="109"/>
      <c r="R367" s="109"/>
      <c r="S367" s="109"/>
      <c r="T367" s="109"/>
      <c r="U367" s="381"/>
      <c r="V367" s="381"/>
      <c r="W367" s="381"/>
      <c r="X367" s="381"/>
      <c r="Y367" s="381"/>
      <c r="Z367" s="381"/>
      <c r="AA367" s="381"/>
      <c r="AB367" s="381"/>
      <c r="AC367" s="381"/>
    </row>
    <row r="368">
      <c r="A368" s="398"/>
      <c r="B368" s="91"/>
      <c r="C368" s="100"/>
      <c r="D368" s="399"/>
      <c r="E368" s="400"/>
      <c r="F368" s="95"/>
      <c r="G368" s="95"/>
      <c r="H368" s="95"/>
      <c r="I368" s="399"/>
      <c r="J368" s="97"/>
      <c r="K368" s="96"/>
      <c r="L368" s="99"/>
      <c r="M368" s="99"/>
      <c r="N368" s="100"/>
      <c r="O368" s="124"/>
      <c r="P368" s="99"/>
      <c r="Q368" s="99"/>
      <c r="R368" s="99"/>
      <c r="S368" s="99"/>
      <c r="T368" s="99"/>
      <c r="U368" s="381"/>
      <c r="V368" s="381"/>
      <c r="W368" s="381"/>
      <c r="X368" s="381"/>
      <c r="Y368" s="381"/>
      <c r="Z368" s="381"/>
      <c r="AA368" s="381"/>
      <c r="AB368" s="381"/>
      <c r="AC368" s="381"/>
    </row>
    <row r="369">
      <c r="A369" s="395"/>
      <c r="B369" s="102"/>
      <c r="C369" s="110"/>
      <c r="D369" s="396"/>
      <c r="E369" s="397"/>
      <c r="F369" s="106"/>
      <c r="G369" s="106"/>
      <c r="H369" s="106"/>
      <c r="I369" s="396"/>
      <c r="J369" s="108"/>
      <c r="K369" s="107"/>
      <c r="L369" s="109"/>
      <c r="M369" s="109"/>
      <c r="N369" s="110"/>
      <c r="O369" s="123"/>
      <c r="P369" s="109"/>
      <c r="Q369" s="109"/>
      <c r="R369" s="109"/>
      <c r="S369" s="109"/>
      <c r="T369" s="109"/>
      <c r="U369" s="381"/>
      <c r="V369" s="381"/>
      <c r="W369" s="381"/>
      <c r="X369" s="381"/>
      <c r="Y369" s="381"/>
      <c r="Z369" s="381"/>
      <c r="AA369" s="381"/>
      <c r="AB369" s="381"/>
      <c r="AC369" s="381"/>
    </row>
    <row r="370">
      <c r="A370" s="398"/>
      <c r="B370" s="91"/>
      <c r="C370" s="100"/>
      <c r="D370" s="399"/>
      <c r="E370" s="400"/>
      <c r="F370" s="95"/>
      <c r="G370" s="95"/>
      <c r="H370" s="95"/>
      <c r="I370" s="399"/>
      <c r="J370" s="97"/>
      <c r="K370" s="96"/>
      <c r="L370" s="99"/>
      <c r="M370" s="99"/>
      <c r="N370" s="100"/>
      <c r="O370" s="124"/>
      <c r="P370" s="99"/>
      <c r="Q370" s="99"/>
      <c r="R370" s="99"/>
      <c r="S370" s="99"/>
      <c r="T370" s="99"/>
      <c r="U370" s="381"/>
      <c r="V370" s="381"/>
      <c r="W370" s="381"/>
      <c r="X370" s="381"/>
      <c r="Y370" s="381"/>
      <c r="Z370" s="381"/>
      <c r="AA370" s="381"/>
      <c r="AB370" s="381"/>
      <c r="AC370" s="381"/>
    </row>
    <row r="371">
      <c r="A371" s="395"/>
      <c r="B371" s="102"/>
      <c r="C371" s="110"/>
      <c r="D371" s="396"/>
      <c r="E371" s="397"/>
      <c r="F371" s="106"/>
      <c r="G371" s="106"/>
      <c r="H371" s="106"/>
      <c r="I371" s="396"/>
      <c r="J371" s="108"/>
      <c r="K371" s="107"/>
      <c r="L371" s="109"/>
      <c r="M371" s="109"/>
      <c r="N371" s="110"/>
      <c r="O371" s="123"/>
      <c r="P371" s="109"/>
      <c r="Q371" s="109"/>
      <c r="R371" s="109"/>
      <c r="S371" s="109"/>
      <c r="T371" s="109"/>
      <c r="U371" s="381"/>
      <c r="V371" s="381"/>
      <c r="W371" s="381"/>
      <c r="X371" s="381"/>
      <c r="Y371" s="381"/>
      <c r="Z371" s="381"/>
      <c r="AA371" s="381"/>
      <c r="AB371" s="381"/>
      <c r="AC371" s="381"/>
    </row>
    <row r="372">
      <c r="A372" s="398"/>
      <c r="B372" s="91"/>
      <c r="C372" s="100"/>
      <c r="D372" s="399"/>
      <c r="E372" s="400"/>
      <c r="F372" s="95"/>
      <c r="G372" s="95"/>
      <c r="H372" s="95"/>
      <c r="I372" s="399"/>
      <c r="J372" s="97"/>
      <c r="K372" s="96"/>
      <c r="L372" s="99"/>
      <c r="M372" s="99"/>
      <c r="N372" s="100"/>
      <c r="O372" s="124"/>
      <c r="P372" s="99"/>
      <c r="Q372" s="99"/>
      <c r="R372" s="99"/>
      <c r="S372" s="99"/>
      <c r="T372" s="99"/>
      <c r="U372" s="381"/>
      <c r="V372" s="381"/>
      <c r="W372" s="381"/>
      <c r="X372" s="381"/>
      <c r="Y372" s="381"/>
      <c r="Z372" s="381"/>
      <c r="AA372" s="381"/>
      <c r="AB372" s="381"/>
      <c r="AC372" s="381"/>
    </row>
    <row r="373">
      <c r="A373" s="395"/>
      <c r="B373" s="102"/>
      <c r="C373" s="110"/>
      <c r="D373" s="396"/>
      <c r="E373" s="397"/>
      <c r="F373" s="106"/>
      <c r="G373" s="106"/>
      <c r="H373" s="106"/>
      <c r="I373" s="396"/>
      <c r="J373" s="108"/>
      <c r="K373" s="107"/>
      <c r="L373" s="109"/>
      <c r="M373" s="109"/>
      <c r="N373" s="110"/>
      <c r="O373" s="123"/>
      <c r="P373" s="109"/>
      <c r="Q373" s="109"/>
      <c r="R373" s="109"/>
      <c r="S373" s="109"/>
      <c r="T373" s="109"/>
      <c r="U373" s="381"/>
      <c r="V373" s="381"/>
      <c r="W373" s="381"/>
      <c r="X373" s="381"/>
      <c r="Y373" s="381"/>
      <c r="Z373" s="381"/>
      <c r="AA373" s="381"/>
      <c r="AB373" s="381"/>
      <c r="AC373" s="381"/>
    </row>
    <row r="374">
      <c r="A374" s="398"/>
      <c r="B374" s="91"/>
      <c r="C374" s="100"/>
      <c r="D374" s="399"/>
      <c r="E374" s="400"/>
      <c r="F374" s="95"/>
      <c r="G374" s="95"/>
      <c r="H374" s="95"/>
      <c r="I374" s="399"/>
      <c r="J374" s="97"/>
      <c r="K374" s="96"/>
      <c r="L374" s="99"/>
      <c r="M374" s="99"/>
      <c r="N374" s="100"/>
      <c r="O374" s="124"/>
      <c r="P374" s="99"/>
      <c r="Q374" s="99"/>
      <c r="R374" s="99"/>
      <c r="S374" s="99"/>
      <c r="T374" s="99"/>
      <c r="U374" s="381"/>
      <c r="V374" s="381"/>
      <c r="W374" s="381"/>
      <c r="X374" s="381"/>
      <c r="Y374" s="381"/>
      <c r="Z374" s="381"/>
      <c r="AA374" s="381"/>
      <c r="AB374" s="381"/>
      <c r="AC374" s="381"/>
    </row>
    <row r="375">
      <c r="A375" s="395"/>
      <c r="B375" s="102"/>
      <c r="C375" s="110"/>
      <c r="D375" s="396"/>
      <c r="E375" s="397"/>
      <c r="F375" s="106"/>
      <c r="G375" s="106"/>
      <c r="H375" s="106"/>
      <c r="I375" s="396"/>
      <c r="J375" s="108"/>
      <c r="K375" s="107"/>
      <c r="L375" s="109"/>
      <c r="M375" s="109"/>
      <c r="N375" s="110"/>
      <c r="O375" s="123"/>
      <c r="P375" s="109"/>
      <c r="Q375" s="109"/>
      <c r="R375" s="109"/>
      <c r="S375" s="109"/>
      <c r="T375" s="109"/>
      <c r="U375" s="381"/>
      <c r="V375" s="381"/>
      <c r="W375" s="381"/>
      <c r="X375" s="381"/>
      <c r="Y375" s="381"/>
      <c r="Z375" s="381"/>
      <c r="AA375" s="381"/>
      <c r="AB375" s="381"/>
      <c r="AC375" s="381"/>
    </row>
    <row r="376">
      <c r="A376" s="398"/>
      <c r="B376" s="91"/>
      <c r="C376" s="100"/>
      <c r="D376" s="399"/>
      <c r="E376" s="400"/>
      <c r="F376" s="95"/>
      <c r="G376" s="95"/>
      <c r="H376" s="95"/>
      <c r="I376" s="399"/>
      <c r="J376" s="97"/>
      <c r="K376" s="96"/>
      <c r="L376" s="99"/>
      <c r="M376" s="99"/>
      <c r="N376" s="100"/>
      <c r="O376" s="124"/>
      <c r="P376" s="99"/>
      <c r="Q376" s="99"/>
      <c r="R376" s="99"/>
      <c r="S376" s="99"/>
      <c r="T376" s="99"/>
      <c r="U376" s="381"/>
      <c r="V376" s="381"/>
      <c r="W376" s="381"/>
      <c r="X376" s="381"/>
      <c r="Y376" s="381"/>
      <c r="Z376" s="381"/>
      <c r="AA376" s="381"/>
      <c r="AB376" s="381"/>
      <c r="AC376" s="381"/>
    </row>
    <row r="377">
      <c r="A377" s="395"/>
      <c r="B377" s="102"/>
      <c r="C377" s="110"/>
      <c r="D377" s="396"/>
      <c r="E377" s="397"/>
      <c r="F377" s="106"/>
      <c r="G377" s="106"/>
      <c r="H377" s="106"/>
      <c r="I377" s="396"/>
      <c r="J377" s="108"/>
      <c r="K377" s="107"/>
      <c r="L377" s="109"/>
      <c r="M377" s="109"/>
      <c r="N377" s="110"/>
      <c r="O377" s="123"/>
      <c r="P377" s="109"/>
      <c r="Q377" s="109"/>
      <c r="R377" s="109"/>
      <c r="S377" s="109"/>
      <c r="T377" s="109"/>
      <c r="U377" s="381"/>
      <c r="V377" s="381"/>
      <c r="W377" s="381"/>
      <c r="X377" s="381"/>
      <c r="Y377" s="381"/>
      <c r="Z377" s="381"/>
      <c r="AA377" s="381"/>
      <c r="AB377" s="381"/>
      <c r="AC377" s="381"/>
    </row>
    <row r="378">
      <c r="A378" s="398"/>
      <c r="B378" s="91"/>
      <c r="C378" s="100"/>
      <c r="D378" s="399"/>
      <c r="E378" s="400"/>
      <c r="F378" s="95"/>
      <c r="G378" s="95"/>
      <c r="H378" s="95"/>
      <c r="I378" s="399"/>
      <c r="J378" s="97"/>
      <c r="K378" s="96"/>
      <c r="L378" s="99"/>
      <c r="M378" s="99"/>
      <c r="N378" s="100"/>
      <c r="O378" s="124"/>
      <c r="P378" s="99"/>
      <c r="Q378" s="99"/>
      <c r="R378" s="99"/>
      <c r="S378" s="99"/>
      <c r="T378" s="99"/>
      <c r="U378" s="381"/>
      <c r="V378" s="381"/>
      <c r="W378" s="381"/>
      <c r="X378" s="381"/>
      <c r="Y378" s="381"/>
      <c r="Z378" s="381"/>
      <c r="AA378" s="381"/>
      <c r="AB378" s="381"/>
      <c r="AC378" s="381"/>
    </row>
    <row r="379">
      <c r="A379" s="395"/>
      <c r="B379" s="102"/>
      <c r="C379" s="110"/>
      <c r="D379" s="396"/>
      <c r="E379" s="397"/>
      <c r="F379" s="106"/>
      <c r="G379" s="106"/>
      <c r="H379" s="106"/>
      <c r="I379" s="396"/>
      <c r="J379" s="108"/>
      <c r="K379" s="107"/>
      <c r="L379" s="109"/>
      <c r="M379" s="109"/>
      <c r="N379" s="110"/>
      <c r="O379" s="123"/>
      <c r="P379" s="109"/>
      <c r="Q379" s="109"/>
      <c r="R379" s="109"/>
      <c r="S379" s="109"/>
      <c r="T379" s="109"/>
      <c r="U379" s="381"/>
      <c r="V379" s="381"/>
      <c r="W379" s="381"/>
      <c r="X379" s="381"/>
      <c r="Y379" s="381"/>
      <c r="Z379" s="381"/>
      <c r="AA379" s="381"/>
      <c r="AB379" s="381"/>
      <c r="AC379" s="381"/>
    </row>
    <row r="380">
      <c r="A380" s="398"/>
      <c r="B380" s="91"/>
      <c r="C380" s="100"/>
      <c r="D380" s="399"/>
      <c r="E380" s="400"/>
      <c r="F380" s="95"/>
      <c r="G380" s="95"/>
      <c r="H380" s="95"/>
      <c r="I380" s="399"/>
      <c r="J380" s="97"/>
      <c r="K380" s="96"/>
      <c r="L380" s="99"/>
      <c r="M380" s="99"/>
      <c r="N380" s="100"/>
      <c r="O380" s="124"/>
      <c r="P380" s="99"/>
      <c r="Q380" s="99"/>
      <c r="R380" s="99"/>
      <c r="S380" s="99"/>
      <c r="T380" s="99"/>
      <c r="U380" s="381"/>
      <c r="V380" s="381"/>
      <c r="W380" s="381"/>
      <c r="X380" s="381"/>
      <c r="Y380" s="381"/>
      <c r="Z380" s="381"/>
      <c r="AA380" s="381"/>
      <c r="AB380" s="381"/>
      <c r="AC380" s="381"/>
    </row>
    <row r="381">
      <c r="A381" s="395"/>
      <c r="B381" s="102"/>
      <c r="C381" s="110"/>
      <c r="D381" s="396"/>
      <c r="E381" s="397"/>
      <c r="F381" s="106"/>
      <c r="G381" s="106"/>
      <c r="H381" s="106"/>
      <c r="I381" s="396"/>
      <c r="J381" s="108"/>
      <c r="K381" s="107"/>
      <c r="L381" s="109"/>
      <c r="M381" s="109"/>
      <c r="N381" s="110"/>
      <c r="O381" s="123"/>
      <c r="P381" s="109"/>
      <c r="Q381" s="109"/>
      <c r="R381" s="109"/>
      <c r="S381" s="109"/>
      <c r="T381" s="109"/>
      <c r="U381" s="381"/>
      <c r="V381" s="381"/>
      <c r="W381" s="381"/>
      <c r="X381" s="381"/>
      <c r="Y381" s="381"/>
      <c r="Z381" s="381"/>
      <c r="AA381" s="381"/>
      <c r="AB381" s="381"/>
      <c r="AC381" s="381"/>
    </row>
    <row r="382">
      <c r="A382" s="398"/>
      <c r="B382" s="91"/>
      <c r="C382" s="100"/>
      <c r="D382" s="399"/>
      <c r="E382" s="400"/>
      <c r="F382" s="95"/>
      <c r="G382" s="95"/>
      <c r="H382" s="95"/>
      <c r="I382" s="399"/>
      <c r="J382" s="97"/>
      <c r="K382" s="96"/>
      <c r="L382" s="99"/>
      <c r="M382" s="99"/>
      <c r="N382" s="100"/>
      <c r="O382" s="124"/>
      <c r="P382" s="99"/>
      <c r="Q382" s="99"/>
      <c r="R382" s="99"/>
      <c r="S382" s="99"/>
      <c r="T382" s="99"/>
      <c r="U382" s="381"/>
      <c r="V382" s="381"/>
      <c r="W382" s="381"/>
      <c r="X382" s="381"/>
      <c r="Y382" s="381"/>
      <c r="Z382" s="381"/>
      <c r="AA382" s="381"/>
      <c r="AB382" s="381"/>
      <c r="AC382" s="381"/>
    </row>
    <row r="383">
      <c r="A383" s="395"/>
      <c r="B383" s="102"/>
      <c r="C383" s="110"/>
      <c r="D383" s="396"/>
      <c r="E383" s="397"/>
      <c r="F383" s="106"/>
      <c r="G383" s="106"/>
      <c r="H383" s="106"/>
      <c r="I383" s="396"/>
      <c r="J383" s="108"/>
      <c r="K383" s="107"/>
      <c r="L383" s="109"/>
      <c r="M383" s="109"/>
      <c r="N383" s="110"/>
      <c r="O383" s="123"/>
      <c r="P383" s="109"/>
      <c r="Q383" s="109"/>
      <c r="R383" s="109"/>
      <c r="S383" s="109"/>
      <c r="T383" s="109"/>
      <c r="U383" s="381"/>
      <c r="V383" s="381"/>
      <c r="W383" s="381"/>
      <c r="X383" s="381"/>
      <c r="Y383" s="381"/>
      <c r="Z383" s="381"/>
      <c r="AA383" s="381"/>
      <c r="AB383" s="381"/>
      <c r="AC383" s="381"/>
    </row>
    <row r="384">
      <c r="A384" s="398"/>
      <c r="B384" s="91"/>
      <c r="C384" s="100"/>
      <c r="D384" s="399"/>
      <c r="E384" s="400"/>
      <c r="F384" s="95"/>
      <c r="G384" s="95"/>
      <c r="H384" s="95"/>
      <c r="I384" s="399"/>
      <c r="J384" s="97"/>
      <c r="K384" s="96"/>
      <c r="L384" s="99"/>
      <c r="M384" s="99"/>
      <c r="N384" s="100"/>
      <c r="O384" s="124"/>
      <c r="P384" s="99"/>
      <c r="Q384" s="99"/>
      <c r="R384" s="99"/>
      <c r="S384" s="99"/>
      <c r="T384" s="99"/>
      <c r="U384" s="381"/>
      <c r="V384" s="381"/>
      <c r="W384" s="381"/>
      <c r="X384" s="381"/>
      <c r="Y384" s="381"/>
      <c r="Z384" s="381"/>
      <c r="AA384" s="381"/>
      <c r="AB384" s="381"/>
      <c r="AC384" s="381"/>
    </row>
    <row r="385">
      <c r="A385" s="395"/>
      <c r="B385" s="102"/>
      <c r="C385" s="110"/>
      <c r="D385" s="396"/>
      <c r="E385" s="397"/>
      <c r="F385" s="106"/>
      <c r="G385" s="106"/>
      <c r="H385" s="106"/>
      <c r="I385" s="396"/>
      <c r="J385" s="108"/>
      <c r="K385" s="107"/>
      <c r="L385" s="109"/>
      <c r="M385" s="109"/>
      <c r="N385" s="110"/>
      <c r="O385" s="123"/>
      <c r="P385" s="109"/>
      <c r="Q385" s="109"/>
      <c r="R385" s="109"/>
      <c r="S385" s="109"/>
      <c r="T385" s="109"/>
      <c r="U385" s="381"/>
      <c r="V385" s="381"/>
      <c r="W385" s="381"/>
      <c r="X385" s="381"/>
      <c r="Y385" s="381"/>
      <c r="Z385" s="381"/>
      <c r="AA385" s="381"/>
      <c r="AB385" s="381"/>
      <c r="AC385" s="381"/>
    </row>
    <row r="386">
      <c r="A386" s="398"/>
      <c r="B386" s="91"/>
      <c r="C386" s="100"/>
      <c r="D386" s="399"/>
      <c r="E386" s="400"/>
      <c r="F386" s="95"/>
      <c r="G386" s="95"/>
      <c r="H386" s="95"/>
      <c r="I386" s="399"/>
      <c r="J386" s="97"/>
      <c r="K386" s="96"/>
      <c r="L386" s="99"/>
      <c r="M386" s="99"/>
      <c r="N386" s="100"/>
      <c r="O386" s="124"/>
      <c r="P386" s="99"/>
      <c r="Q386" s="99"/>
      <c r="R386" s="99"/>
      <c r="S386" s="99"/>
      <c r="T386" s="99"/>
      <c r="U386" s="381"/>
      <c r="V386" s="381"/>
      <c r="W386" s="381"/>
      <c r="X386" s="381"/>
      <c r="Y386" s="381"/>
      <c r="Z386" s="381"/>
      <c r="AA386" s="381"/>
      <c r="AB386" s="381"/>
      <c r="AC386" s="381"/>
    </row>
    <row r="387">
      <c r="A387" s="395"/>
      <c r="B387" s="102"/>
      <c r="C387" s="110"/>
      <c r="D387" s="396"/>
      <c r="E387" s="397"/>
      <c r="F387" s="106"/>
      <c r="G387" s="106"/>
      <c r="H387" s="106"/>
      <c r="I387" s="396"/>
      <c r="J387" s="108"/>
      <c r="K387" s="107"/>
      <c r="L387" s="109"/>
      <c r="M387" s="109"/>
      <c r="N387" s="110"/>
      <c r="O387" s="123"/>
      <c r="P387" s="109"/>
      <c r="Q387" s="109"/>
      <c r="R387" s="109"/>
      <c r="S387" s="109"/>
      <c r="T387" s="109"/>
      <c r="U387" s="381"/>
      <c r="V387" s="381"/>
      <c r="W387" s="381"/>
      <c r="X387" s="381"/>
      <c r="Y387" s="381"/>
      <c r="Z387" s="381"/>
      <c r="AA387" s="381"/>
      <c r="AB387" s="381"/>
      <c r="AC387" s="381"/>
    </row>
    <row r="388">
      <c r="A388" s="398"/>
      <c r="B388" s="91"/>
      <c r="C388" s="100"/>
      <c r="D388" s="399"/>
      <c r="E388" s="400"/>
      <c r="F388" s="95"/>
      <c r="G388" s="95"/>
      <c r="H388" s="95"/>
      <c r="I388" s="399"/>
      <c r="J388" s="97"/>
      <c r="K388" s="96"/>
      <c r="L388" s="99"/>
      <c r="M388" s="99"/>
      <c r="N388" s="100"/>
      <c r="O388" s="124"/>
      <c r="P388" s="99"/>
      <c r="Q388" s="99"/>
      <c r="R388" s="99"/>
      <c r="S388" s="99"/>
      <c r="T388" s="99"/>
      <c r="U388" s="381"/>
      <c r="V388" s="381"/>
      <c r="W388" s="381"/>
      <c r="X388" s="381"/>
      <c r="Y388" s="381"/>
      <c r="Z388" s="381"/>
      <c r="AA388" s="381"/>
      <c r="AB388" s="381"/>
      <c r="AC388" s="381"/>
    </row>
    <row r="389">
      <c r="A389" s="395"/>
      <c r="B389" s="102"/>
      <c r="C389" s="110"/>
      <c r="D389" s="396"/>
      <c r="E389" s="397"/>
      <c r="F389" s="106"/>
      <c r="G389" s="106"/>
      <c r="H389" s="106"/>
      <c r="I389" s="396"/>
      <c r="J389" s="108"/>
      <c r="K389" s="107"/>
      <c r="L389" s="109"/>
      <c r="M389" s="109"/>
      <c r="N389" s="110"/>
      <c r="O389" s="123"/>
      <c r="P389" s="109"/>
      <c r="Q389" s="109"/>
      <c r="R389" s="109"/>
      <c r="S389" s="109"/>
      <c r="T389" s="109"/>
      <c r="U389" s="381"/>
      <c r="V389" s="381"/>
      <c r="W389" s="381"/>
      <c r="X389" s="381"/>
      <c r="Y389" s="381"/>
      <c r="Z389" s="381"/>
      <c r="AA389" s="381"/>
      <c r="AB389" s="381"/>
      <c r="AC389" s="381"/>
    </row>
    <row r="390">
      <c r="A390" s="398"/>
      <c r="B390" s="91"/>
      <c r="C390" s="100"/>
      <c r="D390" s="399"/>
      <c r="E390" s="400"/>
      <c r="F390" s="95"/>
      <c r="G390" s="95"/>
      <c r="H390" s="95"/>
      <c r="I390" s="399"/>
      <c r="J390" s="97"/>
      <c r="K390" s="96"/>
      <c r="L390" s="99"/>
      <c r="M390" s="99"/>
      <c r="N390" s="100"/>
      <c r="O390" s="124"/>
      <c r="P390" s="99"/>
      <c r="Q390" s="99"/>
      <c r="R390" s="99"/>
      <c r="S390" s="99"/>
      <c r="T390" s="99"/>
      <c r="U390" s="381"/>
      <c r="V390" s="381"/>
      <c r="W390" s="381"/>
      <c r="X390" s="381"/>
      <c r="Y390" s="381"/>
      <c r="Z390" s="381"/>
      <c r="AA390" s="381"/>
      <c r="AB390" s="381"/>
      <c r="AC390" s="381"/>
    </row>
    <row r="391">
      <c r="A391" s="395"/>
      <c r="B391" s="102"/>
      <c r="C391" s="110"/>
      <c r="D391" s="396"/>
      <c r="E391" s="397"/>
      <c r="F391" s="106"/>
      <c r="G391" s="106"/>
      <c r="H391" s="106"/>
      <c r="I391" s="396"/>
      <c r="J391" s="108"/>
      <c r="K391" s="107"/>
      <c r="L391" s="109"/>
      <c r="M391" s="109"/>
      <c r="N391" s="110"/>
      <c r="O391" s="123"/>
      <c r="P391" s="109"/>
      <c r="Q391" s="109"/>
      <c r="R391" s="109"/>
      <c r="S391" s="109"/>
      <c r="T391" s="109"/>
      <c r="U391" s="381"/>
      <c r="V391" s="381"/>
      <c r="W391" s="381"/>
      <c r="X391" s="381"/>
      <c r="Y391" s="381"/>
      <c r="Z391" s="381"/>
      <c r="AA391" s="381"/>
      <c r="AB391" s="381"/>
      <c r="AC391" s="381"/>
    </row>
    <row r="392">
      <c r="A392" s="398"/>
      <c r="B392" s="91"/>
      <c r="C392" s="100"/>
      <c r="D392" s="399"/>
      <c r="E392" s="400"/>
      <c r="F392" s="95"/>
      <c r="G392" s="95"/>
      <c r="H392" s="95"/>
      <c r="I392" s="399"/>
      <c r="J392" s="97"/>
      <c r="K392" s="96"/>
      <c r="L392" s="99"/>
      <c r="M392" s="99"/>
      <c r="N392" s="100"/>
      <c r="O392" s="124"/>
      <c r="P392" s="99"/>
      <c r="Q392" s="99"/>
      <c r="R392" s="99"/>
      <c r="S392" s="99"/>
      <c r="T392" s="99"/>
      <c r="U392" s="381"/>
      <c r="V392" s="381"/>
      <c r="W392" s="381"/>
      <c r="X392" s="381"/>
      <c r="Y392" s="381"/>
      <c r="Z392" s="381"/>
      <c r="AA392" s="381"/>
      <c r="AB392" s="381"/>
      <c r="AC392" s="381"/>
    </row>
    <row r="393">
      <c r="A393" s="395"/>
      <c r="B393" s="102"/>
      <c r="C393" s="110"/>
      <c r="D393" s="396"/>
      <c r="E393" s="397"/>
      <c r="F393" s="106"/>
      <c r="G393" s="106"/>
      <c r="H393" s="106"/>
      <c r="I393" s="396"/>
      <c r="J393" s="108"/>
      <c r="K393" s="107"/>
      <c r="L393" s="109"/>
      <c r="M393" s="109"/>
      <c r="N393" s="110"/>
      <c r="O393" s="123"/>
      <c r="P393" s="109"/>
      <c r="Q393" s="109"/>
      <c r="R393" s="109"/>
      <c r="S393" s="109"/>
      <c r="T393" s="109"/>
      <c r="U393" s="381"/>
      <c r="V393" s="381"/>
      <c r="W393" s="381"/>
      <c r="X393" s="381"/>
      <c r="Y393" s="381"/>
      <c r="Z393" s="381"/>
      <c r="AA393" s="381"/>
      <c r="AB393" s="381"/>
      <c r="AC393" s="381"/>
    </row>
    <row r="394">
      <c r="A394" s="398"/>
      <c r="B394" s="91"/>
      <c r="C394" s="100"/>
      <c r="D394" s="399"/>
      <c r="E394" s="400"/>
      <c r="F394" s="95"/>
      <c r="G394" s="95"/>
      <c r="H394" s="95"/>
      <c r="I394" s="399"/>
      <c r="J394" s="97"/>
      <c r="K394" s="96"/>
      <c r="L394" s="99"/>
      <c r="M394" s="99"/>
      <c r="N394" s="100"/>
      <c r="O394" s="124"/>
      <c r="P394" s="99"/>
      <c r="Q394" s="99"/>
      <c r="R394" s="99"/>
      <c r="S394" s="99"/>
      <c r="T394" s="99"/>
      <c r="U394" s="381"/>
      <c r="V394" s="381"/>
      <c r="W394" s="381"/>
      <c r="X394" s="381"/>
      <c r="Y394" s="381"/>
      <c r="Z394" s="381"/>
      <c r="AA394" s="381"/>
      <c r="AB394" s="381"/>
      <c r="AC394" s="381"/>
    </row>
    <row r="395">
      <c r="A395" s="395"/>
      <c r="B395" s="102"/>
      <c r="C395" s="110"/>
      <c r="D395" s="396"/>
      <c r="E395" s="397"/>
      <c r="F395" s="106"/>
      <c r="G395" s="106"/>
      <c r="H395" s="106"/>
      <c r="I395" s="396"/>
      <c r="J395" s="108"/>
      <c r="K395" s="107"/>
      <c r="L395" s="109"/>
      <c r="M395" s="109"/>
      <c r="N395" s="110"/>
      <c r="O395" s="123"/>
      <c r="P395" s="109"/>
      <c r="Q395" s="109"/>
      <c r="R395" s="109"/>
      <c r="S395" s="109"/>
      <c r="T395" s="109"/>
      <c r="U395" s="381"/>
      <c r="V395" s="381"/>
      <c r="W395" s="381"/>
      <c r="X395" s="381"/>
      <c r="Y395" s="381"/>
      <c r="Z395" s="381"/>
      <c r="AA395" s="381"/>
      <c r="AB395" s="381"/>
      <c r="AC395" s="381"/>
    </row>
    <row r="396">
      <c r="A396" s="398"/>
      <c r="B396" s="91"/>
      <c r="C396" s="100"/>
      <c r="D396" s="399"/>
      <c r="E396" s="400"/>
      <c r="F396" s="95"/>
      <c r="G396" s="95"/>
      <c r="H396" s="95"/>
      <c r="I396" s="399"/>
      <c r="J396" s="97"/>
      <c r="K396" s="96"/>
      <c r="L396" s="99"/>
      <c r="M396" s="99"/>
      <c r="N396" s="100"/>
      <c r="O396" s="124"/>
      <c r="P396" s="99"/>
      <c r="Q396" s="99"/>
      <c r="R396" s="99"/>
      <c r="S396" s="99"/>
      <c r="T396" s="99"/>
      <c r="U396" s="381"/>
      <c r="V396" s="381"/>
      <c r="W396" s="381"/>
      <c r="X396" s="381"/>
      <c r="Y396" s="381"/>
      <c r="Z396" s="381"/>
      <c r="AA396" s="381"/>
      <c r="AB396" s="381"/>
      <c r="AC396" s="381"/>
    </row>
    <row r="397">
      <c r="A397" s="395"/>
      <c r="B397" s="102"/>
      <c r="C397" s="110"/>
      <c r="D397" s="396"/>
      <c r="E397" s="397"/>
      <c r="F397" s="106"/>
      <c r="G397" s="106"/>
      <c r="H397" s="106"/>
      <c r="I397" s="396"/>
      <c r="J397" s="108"/>
      <c r="K397" s="107"/>
      <c r="L397" s="109"/>
      <c r="M397" s="109"/>
      <c r="N397" s="110"/>
      <c r="O397" s="123"/>
      <c r="P397" s="109"/>
      <c r="Q397" s="109"/>
      <c r="R397" s="109"/>
      <c r="S397" s="109"/>
      <c r="T397" s="109"/>
      <c r="U397" s="381"/>
      <c r="V397" s="381"/>
      <c r="W397" s="381"/>
      <c r="X397" s="381"/>
      <c r="Y397" s="381"/>
      <c r="Z397" s="381"/>
      <c r="AA397" s="381"/>
      <c r="AB397" s="381"/>
      <c r="AC397" s="381"/>
    </row>
    <row r="398">
      <c r="A398" s="398"/>
      <c r="B398" s="91"/>
      <c r="C398" s="100"/>
      <c r="D398" s="399"/>
      <c r="E398" s="400"/>
      <c r="F398" s="95"/>
      <c r="G398" s="95"/>
      <c r="H398" s="95"/>
      <c r="I398" s="399"/>
      <c r="J398" s="97"/>
      <c r="K398" s="96"/>
      <c r="L398" s="99"/>
      <c r="M398" s="99"/>
      <c r="N398" s="100"/>
      <c r="O398" s="124"/>
      <c r="P398" s="99"/>
      <c r="Q398" s="99"/>
      <c r="R398" s="99"/>
      <c r="S398" s="99"/>
      <c r="T398" s="99"/>
      <c r="U398" s="381"/>
      <c r="V398" s="381"/>
      <c r="W398" s="381"/>
      <c r="X398" s="381"/>
      <c r="Y398" s="381"/>
      <c r="Z398" s="381"/>
      <c r="AA398" s="381"/>
      <c r="AB398" s="381"/>
      <c r="AC398" s="381"/>
    </row>
    <row r="399">
      <c r="A399" s="395"/>
      <c r="B399" s="102"/>
      <c r="C399" s="110"/>
      <c r="D399" s="396"/>
      <c r="E399" s="397"/>
      <c r="F399" s="106"/>
      <c r="G399" s="106"/>
      <c r="H399" s="106"/>
      <c r="I399" s="396"/>
      <c r="J399" s="108"/>
      <c r="K399" s="107"/>
      <c r="L399" s="109"/>
      <c r="M399" s="109"/>
      <c r="N399" s="110"/>
      <c r="O399" s="123"/>
      <c r="P399" s="109"/>
      <c r="Q399" s="109"/>
      <c r="R399" s="109"/>
      <c r="S399" s="109"/>
      <c r="T399" s="109"/>
      <c r="U399" s="381"/>
      <c r="V399" s="381"/>
      <c r="W399" s="381"/>
      <c r="X399" s="381"/>
      <c r="Y399" s="381"/>
      <c r="Z399" s="381"/>
      <c r="AA399" s="381"/>
      <c r="AB399" s="381"/>
      <c r="AC399" s="381"/>
    </row>
    <row r="400">
      <c r="A400" s="398"/>
      <c r="B400" s="91"/>
      <c r="C400" s="100"/>
      <c r="D400" s="399"/>
      <c r="E400" s="400"/>
      <c r="F400" s="95"/>
      <c r="G400" s="95"/>
      <c r="H400" s="95"/>
      <c r="I400" s="399"/>
      <c r="J400" s="97"/>
      <c r="K400" s="96"/>
      <c r="L400" s="99"/>
      <c r="M400" s="99"/>
      <c r="N400" s="100"/>
      <c r="O400" s="124"/>
      <c r="P400" s="99"/>
      <c r="Q400" s="99"/>
      <c r="R400" s="99"/>
      <c r="S400" s="99"/>
      <c r="T400" s="99"/>
      <c r="U400" s="381"/>
      <c r="V400" s="381"/>
      <c r="W400" s="381"/>
      <c r="X400" s="381"/>
      <c r="Y400" s="381"/>
      <c r="Z400" s="381"/>
      <c r="AA400" s="381"/>
      <c r="AB400" s="381"/>
      <c r="AC400" s="381"/>
    </row>
    <row r="401">
      <c r="A401" s="395"/>
      <c r="B401" s="102"/>
      <c r="C401" s="110"/>
      <c r="D401" s="396"/>
      <c r="E401" s="397"/>
      <c r="F401" s="106"/>
      <c r="G401" s="106"/>
      <c r="H401" s="106"/>
      <c r="I401" s="396"/>
      <c r="J401" s="108"/>
      <c r="K401" s="107"/>
      <c r="L401" s="109"/>
      <c r="M401" s="109"/>
      <c r="N401" s="110"/>
      <c r="O401" s="123"/>
      <c r="P401" s="109"/>
      <c r="Q401" s="109"/>
      <c r="R401" s="109"/>
      <c r="S401" s="109"/>
      <c r="T401" s="109"/>
      <c r="U401" s="381"/>
      <c r="V401" s="381"/>
      <c r="W401" s="381"/>
      <c r="X401" s="381"/>
      <c r="Y401" s="381"/>
      <c r="Z401" s="381"/>
      <c r="AA401" s="381"/>
      <c r="AB401" s="381"/>
      <c r="AC401" s="381"/>
    </row>
    <row r="402">
      <c r="A402" s="398"/>
      <c r="B402" s="91"/>
      <c r="C402" s="100"/>
      <c r="D402" s="399"/>
      <c r="E402" s="400"/>
      <c r="F402" s="95"/>
      <c r="G402" s="95"/>
      <c r="H402" s="95"/>
      <c r="I402" s="399"/>
      <c r="J402" s="97"/>
      <c r="K402" s="96"/>
      <c r="L402" s="99"/>
      <c r="M402" s="99"/>
      <c r="N402" s="100"/>
      <c r="O402" s="124"/>
      <c r="P402" s="99"/>
      <c r="Q402" s="99"/>
      <c r="R402" s="99"/>
      <c r="S402" s="99"/>
      <c r="T402" s="99"/>
      <c r="U402" s="381"/>
      <c r="V402" s="381"/>
      <c r="W402" s="381"/>
      <c r="X402" s="381"/>
      <c r="Y402" s="381"/>
      <c r="Z402" s="381"/>
      <c r="AA402" s="381"/>
      <c r="AB402" s="381"/>
      <c r="AC402" s="381"/>
    </row>
    <row r="403">
      <c r="A403" s="395"/>
      <c r="B403" s="102"/>
      <c r="C403" s="110"/>
      <c r="D403" s="396"/>
      <c r="E403" s="397"/>
      <c r="F403" s="106"/>
      <c r="G403" s="106"/>
      <c r="H403" s="106"/>
      <c r="I403" s="396"/>
      <c r="J403" s="108"/>
      <c r="K403" s="107"/>
      <c r="L403" s="109"/>
      <c r="M403" s="109"/>
      <c r="N403" s="110"/>
      <c r="O403" s="123"/>
      <c r="P403" s="109"/>
      <c r="Q403" s="109"/>
      <c r="R403" s="109"/>
      <c r="S403" s="109"/>
      <c r="T403" s="109"/>
      <c r="U403" s="381"/>
      <c r="V403" s="381"/>
      <c r="W403" s="381"/>
      <c r="X403" s="381"/>
      <c r="Y403" s="381"/>
      <c r="Z403" s="381"/>
      <c r="AA403" s="381"/>
      <c r="AB403" s="381"/>
      <c r="AC403" s="381"/>
    </row>
    <row r="404">
      <c r="A404" s="398"/>
      <c r="B404" s="91"/>
      <c r="C404" s="100"/>
      <c r="D404" s="399"/>
      <c r="E404" s="400"/>
      <c r="F404" s="95"/>
      <c r="G404" s="95"/>
      <c r="H404" s="95"/>
      <c r="I404" s="399"/>
      <c r="J404" s="97"/>
      <c r="K404" s="96"/>
      <c r="L404" s="99"/>
      <c r="M404" s="99"/>
      <c r="N404" s="100"/>
      <c r="O404" s="124"/>
      <c r="P404" s="99"/>
      <c r="Q404" s="99"/>
      <c r="R404" s="99"/>
      <c r="S404" s="99"/>
      <c r="T404" s="99"/>
      <c r="U404" s="381"/>
      <c r="V404" s="381"/>
      <c r="W404" s="381"/>
      <c r="X404" s="381"/>
      <c r="Y404" s="381"/>
      <c r="Z404" s="381"/>
      <c r="AA404" s="381"/>
      <c r="AB404" s="381"/>
      <c r="AC404" s="381"/>
    </row>
    <row r="405">
      <c r="A405" s="395"/>
      <c r="B405" s="102"/>
      <c r="C405" s="110"/>
      <c r="D405" s="396"/>
      <c r="E405" s="397"/>
      <c r="F405" s="106"/>
      <c r="G405" s="106"/>
      <c r="H405" s="106"/>
      <c r="I405" s="396"/>
      <c r="J405" s="108"/>
      <c r="K405" s="107"/>
      <c r="L405" s="109"/>
      <c r="M405" s="109"/>
      <c r="N405" s="110"/>
      <c r="O405" s="123"/>
      <c r="P405" s="109"/>
      <c r="Q405" s="109"/>
      <c r="R405" s="109"/>
      <c r="S405" s="109"/>
      <c r="T405" s="109"/>
      <c r="U405" s="381"/>
      <c r="V405" s="381"/>
      <c r="W405" s="381"/>
      <c r="X405" s="381"/>
      <c r="Y405" s="381"/>
      <c r="Z405" s="381"/>
      <c r="AA405" s="381"/>
      <c r="AB405" s="381"/>
      <c r="AC405" s="381"/>
    </row>
    <row r="406">
      <c r="A406" s="398"/>
      <c r="B406" s="91"/>
      <c r="C406" s="100"/>
      <c r="D406" s="399"/>
      <c r="E406" s="400"/>
      <c r="F406" s="95"/>
      <c r="G406" s="95"/>
      <c r="H406" s="95"/>
      <c r="I406" s="399"/>
      <c r="J406" s="97"/>
      <c r="K406" s="96"/>
      <c r="L406" s="99"/>
      <c r="M406" s="99"/>
      <c r="N406" s="100"/>
      <c r="O406" s="124"/>
      <c r="P406" s="99"/>
      <c r="Q406" s="99"/>
      <c r="R406" s="99"/>
      <c r="S406" s="99"/>
      <c r="T406" s="99"/>
      <c r="U406" s="381"/>
      <c r="V406" s="381"/>
      <c r="W406" s="381"/>
      <c r="X406" s="381"/>
      <c r="Y406" s="381"/>
      <c r="Z406" s="381"/>
      <c r="AA406" s="381"/>
      <c r="AB406" s="381"/>
      <c r="AC406" s="381"/>
    </row>
    <row r="407">
      <c r="A407" s="395"/>
      <c r="B407" s="102"/>
      <c r="C407" s="110"/>
      <c r="D407" s="396"/>
      <c r="E407" s="397"/>
      <c r="F407" s="106"/>
      <c r="G407" s="106"/>
      <c r="H407" s="106"/>
      <c r="I407" s="396"/>
      <c r="J407" s="108"/>
      <c r="K407" s="107"/>
      <c r="L407" s="109"/>
      <c r="M407" s="109"/>
      <c r="N407" s="110"/>
      <c r="O407" s="123"/>
      <c r="P407" s="109"/>
      <c r="Q407" s="109"/>
      <c r="R407" s="109"/>
      <c r="S407" s="109"/>
      <c r="T407" s="109"/>
      <c r="U407" s="381"/>
      <c r="V407" s="381"/>
      <c r="W407" s="381"/>
      <c r="X407" s="381"/>
      <c r="Y407" s="381"/>
      <c r="Z407" s="381"/>
      <c r="AA407" s="381"/>
      <c r="AB407" s="381"/>
      <c r="AC407" s="381"/>
    </row>
    <row r="408">
      <c r="A408" s="398"/>
      <c r="B408" s="91"/>
      <c r="C408" s="100"/>
      <c r="D408" s="399"/>
      <c r="E408" s="400"/>
      <c r="F408" s="95"/>
      <c r="G408" s="95"/>
      <c r="H408" s="95"/>
      <c r="I408" s="399"/>
      <c r="J408" s="97"/>
      <c r="K408" s="96"/>
      <c r="L408" s="99"/>
      <c r="M408" s="99"/>
      <c r="N408" s="100"/>
      <c r="O408" s="124"/>
      <c r="P408" s="99"/>
      <c r="Q408" s="99"/>
      <c r="R408" s="99"/>
      <c r="S408" s="99"/>
      <c r="T408" s="99"/>
      <c r="U408" s="381"/>
      <c r="V408" s="381"/>
      <c r="W408" s="381"/>
      <c r="X408" s="381"/>
      <c r="Y408" s="381"/>
      <c r="Z408" s="381"/>
      <c r="AA408" s="381"/>
      <c r="AB408" s="381"/>
      <c r="AC408" s="381"/>
    </row>
    <row r="409">
      <c r="A409" s="395"/>
      <c r="B409" s="102"/>
      <c r="C409" s="110"/>
      <c r="D409" s="396"/>
      <c r="E409" s="397"/>
      <c r="F409" s="106"/>
      <c r="G409" s="106"/>
      <c r="H409" s="106"/>
      <c r="I409" s="396"/>
      <c r="J409" s="108"/>
      <c r="K409" s="107"/>
      <c r="L409" s="109"/>
      <c r="M409" s="109"/>
      <c r="N409" s="110"/>
      <c r="O409" s="123"/>
      <c r="P409" s="109"/>
      <c r="Q409" s="109"/>
      <c r="R409" s="109"/>
      <c r="S409" s="109"/>
      <c r="T409" s="109"/>
      <c r="U409" s="381"/>
      <c r="V409" s="381"/>
      <c r="W409" s="381"/>
      <c r="X409" s="381"/>
      <c r="Y409" s="381"/>
      <c r="Z409" s="381"/>
      <c r="AA409" s="381"/>
      <c r="AB409" s="381"/>
      <c r="AC409" s="381"/>
    </row>
    <row r="410">
      <c r="A410" s="398"/>
      <c r="B410" s="91"/>
      <c r="C410" s="100"/>
      <c r="D410" s="399"/>
      <c r="E410" s="400"/>
      <c r="F410" s="95"/>
      <c r="G410" s="95"/>
      <c r="H410" s="95"/>
      <c r="I410" s="399"/>
      <c r="J410" s="97"/>
      <c r="K410" s="96"/>
      <c r="L410" s="99"/>
      <c r="M410" s="99"/>
      <c r="N410" s="100"/>
      <c r="O410" s="124"/>
      <c r="P410" s="99"/>
      <c r="Q410" s="99"/>
      <c r="R410" s="99"/>
      <c r="S410" s="99"/>
      <c r="T410" s="99"/>
      <c r="U410" s="381"/>
      <c r="V410" s="381"/>
      <c r="W410" s="381"/>
      <c r="X410" s="381"/>
      <c r="Y410" s="381"/>
      <c r="Z410" s="381"/>
      <c r="AA410" s="381"/>
      <c r="AB410" s="381"/>
      <c r="AC410" s="381"/>
    </row>
    <row r="411">
      <c r="A411" s="395"/>
      <c r="B411" s="102"/>
      <c r="C411" s="110"/>
      <c r="D411" s="396"/>
      <c r="E411" s="397"/>
      <c r="F411" s="106"/>
      <c r="G411" s="106"/>
      <c r="H411" s="106"/>
      <c r="I411" s="396"/>
      <c r="J411" s="108"/>
      <c r="K411" s="107"/>
      <c r="L411" s="109"/>
      <c r="M411" s="109"/>
      <c r="N411" s="110"/>
      <c r="O411" s="123"/>
      <c r="P411" s="109"/>
      <c r="Q411" s="109"/>
      <c r="R411" s="109"/>
      <c r="S411" s="109"/>
      <c r="T411" s="109"/>
      <c r="U411" s="381"/>
      <c r="V411" s="381"/>
      <c r="W411" s="381"/>
      <c r="X411" s="381"/>
      <c r="Y411" s="381"/>
      <c r="Z411" s="381"/>
      <c r="AA411" s="381"/>
      <c r="AB411" s="381"/>
      <c r="AC411" s="381"/>
    </row>
    <row r="412">
      <c r="A412" s="398"/>
      <c r="B412" s="91"/>
      <c r="C412" s="100"/>
      <c r="D412" s="399"/>
      <c r="E412" s="400"/>
      <c r="F412" s="95"/>
      <c r="G412" s="95"/>
      <c r="H412" s="95"/>
      <c r="I412" s="399"/>
      <c r="J412" s="97"/>
      <c r="K412" s="96"/>
      <c r="L412" s="99"/>
      <c r="M412" s="99"/>
      <c r="N412" s="100"/>
      <c r="O412" s="124"/>
      <c r="P412" s="99"/>
      <c r="Q412" s="99"/>
      <c r="R412" s="99"/>
      <c r="S412" s="99"/>
      <c r="T412" s="99"/>
      <c r="U412" s="381"/>
      <c r="V412" s="381"/>
      <c r="W412" s="381"/>
      <c r="X412" s="381"/>
      <c r="Y412" s="381"/>
      <c r="Z412" s="381"/>
      <c r="AA412" s="381"/>
      <c r="AB412" s="381"/>
      <c r="AC412" s="381"/>
    </row>
    <row r="413">
      <c r="A413" s="395"/>
      <c r="B413" s="102"/>
      <c r="C413" s="110"/>
      <c r="D413" s="396"/>
      <c r="E413" s="397"/>
      <c r="F413" s="106"/>
      <c r="G413" s="106"/>
      <c r="H413" s="106"/>
      <c r="I413" s="396"/>
      <c r="J413" s="108"/>
      <c r="K413" s="107"/>
      <c r="L413" s="109"/>
      <c r="M413" s="109"/>
      <c r="N413" s="110"/>
      <c r="O413" s="123"/>
      <c r="P413" s="109"/>
      <c r="Q413" s="109"/>
      <c r="R413" s="109"/>
      <c r="S413" s="109"/>
      <c r="T413" s="109"/>
      <c r="U413" s="381"/>
      <c r="V413" s="381"/>
      <c r="W413" s="381"/>
      <c r="X413" s="381"/>
      <c r="Y413" s="381"/>
      <c r="Z413" s="381"/>
      <c r="AA413" s="381"/>
      <c r="AB413" s="381"/>
      <c r="AC413" s="381"/>
    </row>
    <row r="414">
      <c r="A414" s="398"/>
      <c r="B414" s="91"/>
      <c r="C414" s="100"/>
      <c r="D414" s="399"/>
      <c r="E414" s="400"/>
      <c r="F414" s="95"/>
      <c r="G414" s="95"/>
      <c r="H414" s="95"/>
      <c r="I414" s="399"/>
      <c r="J414" s="97"/>
      <c r="K414" s="96"/>
      <c r="L414" s="99"/>
      <c r="M414" s="99"/>
      <c r="N414" s="100"/>
      <c r="O414" s="124"/>
      <c r="P414" s="99"/>
      <c r="Q414" s="99"/>
      <c r="R414" s="99"/>
      <c r="S414" s="99"/>
      <c r="T414" s="99"/>
      <c r="U414" s="381"/>
      <c r="V414" s="381"/>
      <c r="W414" s="381"/>
      <c r="X414" s="381"/>
      <c r="Y414" s="381"/>
      <c r="Z414" s="381"/>
      <c r="AA414" s="381"/>
      <c r="AB414" s="381"/>
      <c r="AC414" s="381"/>
    </row>
    <row r="415">
      <c r="A415" s="395"/>
      <c r="B415" s="102"/>
      <c r="C415" s="110"/>
      <c r="D415" s="396"/>
      <c r="E415" s="397"/>
      <c r="F415" s="106"/>
      <c r="G415" s="106"/>
      <c r="H415" s="106"/>
      <c r="I415" s="396"/>
      <c r="J415" s="108"/>
      <c r="K415" s="107"/>
      <c r="L415" s="109"/>
      <c r="M415" s="109"/>
      <c r="N415" s="110"/>
      <c r="O415" s="123"/>
      <c r="P415" s="109"/>
      <c r="Q415" s="109"/>
      <c r="R415" s="109"/>
      <c r="S415" s="109"/>
      <c r="T415" s="109"/>
      <c r="U415" s="381"/>
      <c r="V415" s="381"/>
      <c r="W415" s="381"/>
      <c r="X415" s="381"/>
      <c r="Y415" s="381"/>
      <c r="Z415" s="381"/>
      <c r="AA415" s="381"/>
      <c r="AB415" s="381"/>
      <c r="AC415" s="381"/>
    </row>
    <row r="416">
      <c r="A416" s="398"/>
      <c r="B416" s="91"/>
      <c r="C416" s="100"/>
      <c r="D416" s="399"/>
      <c r="E416" s="400"/>
      <c r="F416" s="95"/>
      <c r="G416" s="95"/>
      <c r="H416" s="95"/>
      <c r="I416" s="399"/>
      <c r="J416" s="97"/>
      <c r="K416" s="96"/>
      <c r="L416" s="99"/>
      <c r="M416" s="99"/>
      <c r="N416" s="100"/>
      <c r="O416" s="124"/>
      <c r="P416" s="99"/>
      <c r="Q416" s="99"/>
      <c r="R416" s="99"/>
      <c r="S416" s="99"/>
      <c r="T416" s="99"/>
      <c r="U416" s="381"/>
      <c r="V416" s="381"/>
      <c r="W416" s="381"/>
      <c r="X416" s="381"/>
      <c r="Y416" s="381"/>
      <c r="Z416" s="381"/>
      <c r="AA416" s="381"/>
      <c r="AB416" s="381"/>
      <c r="AC416" s="381"/>
    </row>
    <row r="417">
      <c r="A417" s="395"/>
      <c r="B417" s="102"/>
      <c r="C417" s="110"/>
      <c r="D417" s="396"/>
      <c r="E417" s="397"/>
      <c r="F417" s="106"/>
      <c r="G417" s="106"/>
      <c r="H417" s="106"/>
      <c r="I417" s="396"/>
      <c r="J417" s="108"/>
      <c r="K417" s="107"/>
      <c r="L417" s="109"/>
      <c r="M417" s="109"/>
      <c r="N417" s="110"/>
      <c r="O417" s="123"/>
      <c r="P417" s="109"/>
      <c r="Q417" s="109"/>
      <c r="R417" s="109"/>
      <c r="S417" s="109"/>
      <c r="T417" s="109"/>
      <c r="U417" s="381"/>
      <c r="V417" s="381"/>
      <c r="W417" s="381"/>
      <c r="X417" s="381"/>
      <c r="Y417" s="381"/>
      <c r="Z417" s="381"/>
      <c r="AA417" s="381"/>
      <c r="AB417" s="381"/>
      <c r="AC417" s="381"/>
    </row>
    <row r="418">
      <c r="A418" s="398"/>
      <c r="B418" s="91"/>
      <c r="C418" s="100"/>
      <c r="D418" s="399"/>
      <c r="E418" s="400"/>
      <c r="F418" s="95"/>
      <c r="G418" s="95"/>
      <c r="H418" s="95"/>
      <c r="I418" s="399"/>
      <c r="J418" s="97"/>
      <c r="K418" s="96"/>
      <c r="L418" s="99"/>
      <c r="M418" s="99"/>
      <c r="N418" s="100"/>
      <c r="O418" s="124"/>
      <c r="P418" s="99"/>
      <c r="Q418" s="99"/>
      <c r="R418" s="99"/>
      <c r="S418" s="99"/>
      <c r="T418" s="99"/>
      <c r="U418" s="381"/>
      <c r="V418" s="381"/>
      <c r="W418" s="381"/>
      <c r="X418" s="381"/>
      <c r="Y418" s="381"/>
      <c r="Z418" s="381"/>
      <c r="AA418" s="381"/>
      <c r="AB418" s="381"/>
      <c r="AC418" s="381"/>
    </row>
    <row r="419">
      <c r="A419" s="395"/>
      <c r="B419" s="102"/>
      <c r="C419" s="110"/>
      <c r="D419" s="396"/>
      <c r="E419" s="397"/>
      <c r="F419" s="106"/>
      <c r="G419" s="106"/>
      <c r="H419" s="106"/>
      <c r="I419" s="396"/>
      <c r="J419" s="108"/>
      <c r="K419" s="107"/>
      <c r="L419" s="109"/>
      <c r="M419" s="109"/>
      <c r="N419" s="110"/>
      <c r="O419" s="123"/>
      <c r="P419" s="109"/>
      <c r="Q419" s="109"/>
      <c r="R419" s="109"/>
      <c r="S419" s="109"/>
      <c r="T419" s="109"/>
      <c r="U419" s="381"/>
      <c r="V419" s="381"/>
      <c r="W419" s="381"/>
      <c r="X419" s="381"/>
      <c r="Y419" s="381"/>
      <c r="Z419" s="381"/>
      <c r="AA419" s="381"/>
      <c r="AB419" s="381"/>
      <c r="AC419" s="381"/>
    </row>
    <row r="420">
      <c r="A420" s="398"/>
      <c r="B420" s="91"/>
      <c r="C420" s="100"/>
      <c r="D420" s="399"/>
      <c r="E420" s="400"/>
      <c r="F420" s="95"/>
      <c r="G420" s="95"/>
      <c r="H420" s="95"/>
      <c r="I420" s="399"/>
      <c r="J420" s="97"/>
      <c r="K420" s="96"/>
      <c r="L420" s="99"/>
      <c r="M420" s="99"/>
      <c r="N420" s="100"/>
      <c r="O420" s="124"/>
      <c r="P420" s="99"/>
      <c r="Q420" s="99"/>
      <c r="R420" s="99"/>
      <c r="S420" s="99"/>
      <c r="T420" s="99"/>
      <c r="U420" s="381"/>
      <c r="V420" s="381"/>
      <c r="W420" s="381"/>
      <c r="X420" s="381"/>
      <c r="Y420" s="381"/>
      <c r="Z420" s="381"/>
      <c r="AA420" s="381"/>
      <c r="AB420" s="381"/>
      <c r="AC420" s="381"/>
    </row>
    <row r="421">
      <c r="A421" s="395"/>
      <c r="B421" s="102"/>
      <c r="C421" s="110"/>
      <c r="D421" s="396"/>
      <c r="E421" s="397"/>
      <c r="F421" s="106"/>
      <c r="G421" s="106"/>
      <c r="H421" s="106"/>
      <c r="I421" s="396"/>
      <c r="J421" s="108"/>
      <c r="K421" s="107"/>
      <c r="L421" s="109"/>
      <c r="M421" s="109"/>
      <c r="N421" s="110"/>
      <c r="O421" s="123"/>
      <c r="P421" s="109"/>
      <c r="Q421" s="109"/>
      <c r="R421" s="109"/>
      <c r="S421" s="109"/>
      <c r="T421" s="109"/>
      <c r="U421" s="381"/>
      <c r="V421" s="381"/>
      <c r="W421" s="381"/>
      <c r="X421" s="381"/>
      <c r="Y421" s="381"/>
      <c r="Z421" s="381"/>
      <c r="AA421" s="381"/>
      <c r="AB421" s="381"/>
      <c r="AC421" s="381"/>
    </row>
    <row r="422">
      <c r="A422" s="398"/>
      <c r="B422" s="91"/>
      <c r="C422" s="100"/>
      <c r="D422" s="399"/>
      <c r="E422" s="400"/>
      <c r="F422" s="95"/>
      <c r="G422" s="95"/>
      <c r="H422" s="95"/>
      <c r="I422" s="399"/>
      <c r="J422" s="97"/>
      <c r="K422" s="96"/>
      <c r="L422" s="99"/>
      <c r="M422" s="99"/>
      <c r="N422" s="100"/>
      <c r="O422" s="124"/>
      <c r="P422" s="99"/>
      <c r="Q422" s="99"/>
      <c r="R422" s="99"/>
      <c r="S422" s="99"/>
      <c r="T422" s="99"/>
      <c r="U422" s="381"/>
      <c r="V422" s="381"/>
      <c r="W422" s="381"/>
      <c r="X422" s="381"/>
      <c r="Y422" s="381"/>
      <c r="Z422" s="381"/>
      <c r="AA422" s="381"/>
      <c r="AB422" s="381"/>
      <c r="AC422" s="381"/>
    </row>
    <row r="423">
      <c r="A423" s="395"/>
      <c r="B423" s="102"/>
      <c r="C423" s="110"/>
      <c r="D423" s="396"/>
      <c r="E423" s="397"/>
      <c r="F423" s="106"/>
      <c r="G423" s="106"/>
      <c r="H423" s="106"/>
      <c r="I423" s="396"/>
      <c r="J423" s="108"/>
      <c r="K423" s="107"/>
      <c r="L423" s="109"/>
      <c r="M423" s="109"/>
      <c r="N423" s="110"/>
      <c r="O423" s="123"/>
      <c r="P423" s="109"/>
      <c r="Q423" s="109"/>
      <c r="R423" s="109"/>
      <c r="S423" s="109"/>
      <c r="T423" s="109"/>
      <c r="U423" s="381"/>
      <c r="V423" s="381"/>
      <c r="W423" s="381"/>
      <c r="X423" s="381"/>
      <c r="Y423" s="381"/>
      <c r="Z423" s="381"/>
      <c r="AA423" s="381"/>
      <c r="AB423" s="381"/>
      <c r="AC423" s="381"/>
    </row>
    <row r="424">
      <c r="A424" s="398"/>
      <c r="B424" s="91"/>
      <c r="C424" s="100"/>
      <c r="D424" s="399"/>
      <c r="E424" s="400"/>
      <c r="F424" s="95"/>
      <c r="G424" s="95"/>
      <c r="H424" s="95"/>
      <c r="I424" s="399"/>
      <c r="J424" s="97"/>
      <c r="K424" s="96"/>
      <c r="L424" s="99"/>
      <c r="M424" s="99"/>
      <c r="N424" s="100"/>
      <c r="O424" s="124"/>
      <c r="P424" s="99"/>
      <c r="Q424" s="99"/>
      <c r="R424" s="99"/>
      <c r="S424" s="99"/>
      <c r="T424" s="99"/>
      <c r="U424" s="381"/>
      <c r="V424" s="381"/>
      <c r="W424" s="381"/>
      <c r="X424" s="381"/>
      <c r="Y424" s="381"/>
      <c r="Z424" s="381"/>
      <c r="AA424" s="381"/>
      <c r="AB424" s="381"/>
      <c r="AC424" s="381"/>
    </row>
    <row r="425">
      <c r="A425" s="395"/>
      <c r="B425" s="102"/>
      <c r="C425" s="110"/>
      <c r="D425" s="396"/>
      <c r="E425" s="397"/>
      <c r="F425" s="106"/>
      <c r="G425" s="106"/>
      <c r="H425" s="106"/>
      <c r="I425" s="396"/>
      <c r="J425" s="108"/>
      <c r="K425" s="107"/>
      <c r="L425" s="109"/>
      <c r="M425" s="109"/>
      <c r="N425" s="110"/>
      <c r="O425" s="123"/>
      <c r="P425" s="109"/>
      <c r="Q425" s="109"/>
      <c r="R425" s="109"/>
      <c r="S425" s="109"/>
      <c r="T425" s="109"/>
      <c r="U425" s="381"/>
      <c r="V425" s="381"/>
      <c r="W425" s="381"/>
      <c r="X425" s="381"/>
      <c r="Y425" s="381"/>
      <c r="Z425" s="381"/>
      <c r="AA425" s="381"/>
      <c r="AB425" s="381"/>
      <c r="AC425" s="381"/>
    </row>
    <row r="426">
      <c r="A426" s="398"/>
      <c r="B426" s="91"/>
      <c r="C426" s="100"/>
      <c r="D426" s="399"/>
      <c r="E426" s="400"/>
      <c r="F426" s="95"/>
      <c r="G426" s="95"/>
      <c r="H426" s="95"/>
      <c r="I426" s="399"/>
      <c r="J426" s="97"/>
      <c r="K426" s="96"/>
      <c r="L426" s="99"/>
      <c r="M426" s="99"/>
      <c r="N426" s="100"/>
      <c r="O426" s="124"/>
      <c r="P426" s="99"/>
      <c r="Q426" s="99"/>
      <c r="R426" s="99"/>
      <c r="S426" s="99"/>
      <c r="T426" s="99"/>
      <c r="U426" s="381"/>
      <c r="V426" s="381"/>
      <c r="W426" s="381"/>
      <c r="X426" s="381"/>
      <c r="Y426" s="381"/>
      <c r="Z426" s="381"/>
      <c r="AA426" s="381"/>
      <c r="AB426" s="381"/>
      <c r="AC426" s="381"/>
    </row>
    <row r="427">
      <c r="A427" s="395"/>
      <c r="B427" s="102"/>
      <c r="C427" s="110"/>
      <c r="D427" s="396"/>
      <c r="E427" s="397"/>
      <c r="F427" s="106"/>
      <c r="G427" s="106"/>
      <c r="H427" s="106"/>
      <c r="I427" s="396"/>
      <c r="J427" s="108"/>
      <c r="K427" s="107"/>
      <c r="L427" s="109"/>
      <c r="M427" s="109"/>
      <c r="N427" s="110"/>
      <c r="O427" s="123"/>
      <c r="P427" s="109"/>
      <c r="Q427" s="109"/>
      <c r="R427" s="109"/>
      <c r="S427" s="109"/>
      <c r="T427" s="109"/>
      <c r="U427" s="381"/>
      <c r="V427" s="381"/>
      <c r="W427" s="381"/>
      <c r="X427" s="381"/>
      <c r="Y427" s="381"/>
      <c r="Z427" s="381"/>
      <c r="AA427" s="381"/>
      <c r="AB427" s="381"/>
      <c r="AC427" s="381"/>
    </row>
    <row r="428">
      <c r="A428" s="398"/>
      <c r="B428" s="91"/>
      <c r="C428" s="100"/>
      <c r="D428" s="399"/>
      <c r="E428" s="400"/>
      <c r="F428" s="95"/>
      <c r="G428" s="95"/>
      <c r="H428" s="95"/>
      <c r="I428" s="399"/>
      <c r="J428" s="97"/>
      <c r="K428" s="96"/>
      <c r="L428" s="99"/>
      <c r="M428" s="99"/>
      <c r="N428" s="100"/>
      <c r="O428" s="124"/>
      <c r="P428" s="99"/>
      <c r="Q428" s="99"/>
      <c r="R428" s="99"/>
      <c r="S428" s="99"/>
      <c r="T428" s="99"/>
      <c r="U428" s="381"/>
      <c r="V428" s="381"/>
      <c r="W428" s="381"/>
      <c r="X428" s="381"/>
      <c r="Y428" s="381"/>
      <c r="Z428" s="381"/>
      <c r="AA428" s="381"/>
      <c r="AB428" s="381"/>
      <c r="AC428" s="381"/>
    </row>
    <row r="429">
      <c r="A429" s="395"/>
      <c r="B429" s="102"/>
      <c r="C429" s="110"/>
      <c r="D429" s="396"/>
      <c r="E429" s="397"/>
      <c r="F429" s="106"/>
      <c r="G429" s="106"/>
      <c r="H429" s="106"/>
      <c r="I429" s="396"/>
      <c r="J429" s="108"/>
      <c r="K429" s="107"/>
      <c r="L429" s="109"/>
      <c r="M429" s="109"/>
      <c r="N429" s="110"/>
      <c r="O429" s="123"/>
      <c r="P429" s="109"/>
      <c r="Q429" s="109"/>
      <c r="R429" s="109"/>
      <c r="S429" s="109"/>
      <c r="T429" s="109"/>
      <c r="U429" s="381"/>
      <c r="V429" s="381"/>
      <c r="W429" s="381"/>
      <c r="X429" s="381"/>
      <c r="Y429" s="381"/>
      <c r="Z429" s="381"/>
      <c r="AA429" s="381"/>
      <c r="AB429" s="381"/>
      <c r="AC429" s="381"/>
    </row>
    <row r="430">
      <c r="A430" s="398"/>
      <c r="B430" s="91"/>
      <c r="C430" s="100"/>
      <c r="D430" s="399"/>
      <c r="E430" s="400"/>
      <c r="F430" s="95"/>
      <c r="G430" s="95"/>
      <c r="H430" s="95"/>
      <c r="I430" s="399"/>
      <c r="J430" s="97"/>
      <c r="K430" s="96"/>
      <c r="L430" s="99"/>
      <c r="M430" s="99"/>
      <c r="N430" s="100"/>
      <c r="O430" s="124"/>
      <c r="P430" s="99"/>
      <c r="Q430" s="99"/>
      <c r="R430" s="99"/>
      <c r="S430" s="99"/>
      <c r="T430" s="99"/>
      <c r="U430" s="381"/>
      <c r="V430" s="381"/>
      <c r="W430" s="381"/>
      <c r="X430" s="381"/>
      <c r="Y430" s="381"/>
      <c r="Z430" s="381"/>
      <c r="AA430" s="381"/>
      <c r="AB430" s="381"/>
      <c r="AC430" s="381"/>
    </row>
    <row r="431">
      <c r="A431" s="395"/>
      <c r="B431" s="102"/>
      <c r="C431" s="110"/>
      <c r="D431" s="396"/>
      <c r="E431" s="397"/>
      <c r="F431" s="106"/>
      <c r="G431" s="106"/>
      <c r="H431" s="106"/>
      <c r="I431" s="396"/>
      <c r="J431" s="108"/>
      <c r="K431" s="107"/>
      <c r="L431" s="109"/>
      <c r="M431" s="109"/>
      <c r="N431" s="110"/>
      <c r="O431" s="123"/>
      <c r="P431" s="109"/>
      <c r="Q431" s="109"/>
      <c r="R431" s="109"/>
      <c r="S431" s="109"/>
      <c r="T431" s="109"/>
      <c r="U431" s="381"/>
      <c r="V431" s="381"/>
      <c r="W431" s="381"/>
      <c r="X431" s="381"/>
      <c r="Y431" s="381"/>
      <c r="Z431" s="381"/>
      <c r="AA431" s="381"/>
      <c r="AB431" s="381"/>
      <c r="AC431" s="381"/>
    </row>
    <row r="432">
      <c r="A432" s="398"/>
      <c r="B432" s="91"/>
      <c r="C432" s="100"/>
      <c r="D432" s="399"/>
      <c r="E432" s="400"/>
      <c r="F432" s="95"/>
      <c r="G432" s="95"/>
      <c r="H432" s="95"/>
      <c r="I432" s="399"/>
      <c r="J432" s="97"/>
      <c r="K432" s="96"/>
      <c r="L432" s="99"/>
      <c r="M432" s="99"/>
      <c r="N432" s="100"/>
      <c r="O432" s="124"/>
      <c r="P432" s="99"/>
      <c r="Q432" s="99"/>
      <c r="R432" s="99"/>
      <c r="S432" s="99"/>
      <c r="T432" s="99"/>
      <c r="U432" s="381"/>
      <c r="V432" s="381"/>
      <c r="W432" s="381"/>
      <c r="X432" s="381"/>
      <c r="Y432" s="381"/>
      <c r="Z432" s="381"/>
      <c r="AA432" s="381"/>
      <c r="AB432" s="381"/>
      <c r="AC432" s="381"/>
    </row>
    <row r="433">
      <c r="A433" s="395"/>
      <c r="B433" s="102"/>
      <c r="C433" s="110"/>
      <c r="D433" s="396"/>
      <c r="E433" s="397"/>
      <c r="F433" s="106"/>
      <c r="G433" s="106"/>
      <c r="H433" s="106"/>
      <c r="I433" s="396"/>
      <c r="J433" s="108"/>
      <c r="K433" s="107"/>
      <c r="L433" s="109"/>
      <c r="M433" s="109"/>
      <c r="N433" s="110"/>
      <c r="O433" s="123"/>
      <c r="P433" s="109"/>
      <c r="Q433" s="109"/>
      <c r="R433" s="109"/>
      <c r="S433" s="109"/>
      <c r="T433" s="109"/>
      <c r="U433" s="381"/>
      <c r="V433" s="381"/>
      <c r="W433" s="381"/>
      <c r="X433" s="381"/>
      <c r="Y433" s="381"/>
      <c r="Z433" s="381"/>
      <c r="AA433" s="381"/>
      <c r="AB433" s="381"/>
      <c r="AC433" s="381"/>
    </row>
    <row r="434">
      <c r="A434" s="398"/>
      <c r="B434" s="91"/>
      <c r="C434" s="100"/>
      <c r="D434" s="399"/>
      <c r="E434" s="400"/>
      <c r="F434" s="95"/>
      <c r="G434" s="95"/>
      <c r="H434" s="95"/>
      <c r="I434" s="399"/>
      <c r="J434" s="97"/>
      <c r="K434" s="96"/>
      <c r="L434" s="99"/>
      <c r="M434" s="99"/>
      <c r="N434" s="100"/>
      <c r="O434" s="124"/>
      <c r="P434" s="99"/>
      <c r="Q434" s="99"/>
      <c r="R434" s="99"/>
      <c r="S434" s="99"/>
      <c r="T434" s="99"/>
      <c r="U434" s="381"/>
      <c r="V434" s="381"/>
      <c r="W434" s="381"/>
      <c r="X434" s="381"/>
      <c r="Y434" s="381"/>
      <c r="Z434" s="381"/>
      <c r="AA434" s="381"/>
      <c r="AB434" s="381"/>
      <c r="AC434" s="381"/>
    </row>
    <row r="435">
      <c r="A435" s="395"/>
      <c r="B435" s="102"/>
      <c r="C435" s="110"/>
      <c r="D435" s="396"/>
      <c r="E435" s="397"/>
      <c r="F435" s="106"/>
      <c r="G435" s="106"/>
      <c r="H435" s="106"/>
      <c r="I435" s="396"/>
      <c r="J435" s="108"/>
      <c r="K435" s="107"/>
      <c r="L435" s="109"/>
      <c r="M435" s="109"/>
      <c r="N435" s="110"/>
      <c r="O435" s="123"/>
      <c r="P435" s="109"/>
      <c r="Q435" s="109"/>
      <c r="R435" s="109"/>
      <c r="S435" s="109"/>
      <c r="T435" s="109"/>
      <c r="U435" s="381"/>
      <c r="V435" s="381"/>
      <c r="W435" s="381"/>
      <c r="X435" s="381"/>
      <c r="Y435" s="381"/>
      <c r="Z435" s="381"/>
      <c r="AA435" s="381"/>
      <c r="AB435" s="381"/>
      <c r="AC435" s="381"/>
    </row>
    <row r="436">
      <c r="A436" s="398"/>
      <c r="B436" s="91"/>
      <c r="C436" s="100"/>
      <c r="D436" s="399"/>
      <c r="E436" s="400"/>
      <c r="F436" s="95"/>
      <c r="G436" s="95"/>
      <c r="H436" s="95"/>
      <c r="I436" s="399"/>
      <c r="J436" s="97"/>
      <c r="K436" s="96"/>
      <c r="L436" s="99"/>
      <c r="M436" s="99"/>
      <c r="N436" s="100"/>
      <c r="O436" s="124"/>
      <c r="P436" s="99"/>
      <c r="Q436" s="99"/>
      <c r="R436" s="99"/>
      <c r="S436" s="99"/>
      <c r="T436" s="99"/>
      <c r="U436" s="381"/>
      <c r="V436" s="381"/>
      <c r="W436" s="381"/>
      <c r="X436" s="381"/>
      <c r="Y436" s="381"/>
      <c r="Z436" s="381"/>
      <c r="AA436" s="381"/>
      <c r="AB436" s="381"/>
      <c r="AC436" s="381"/>
    </row>
    <row r="437">
      <c r="A437" s="395"/>
      <c r="B437" s="102"/>
      <c r="C437" s="110"/>
      <c r="D437" s="396"/>
      <c r="E437" s="397"/>
      <c r="F437" s="106"/>
      <c r="G437" s="106"/>
      <c r="H437" s="106"/>
      <c r="I437" s="396"/>
      <c r="J437" s="108"/>
      <c r="K437" s="107"/>
      <c r="L437" s="109"/>
      <c r="M437" s="109"/>
      <c r="N437" s="110"/>
      <c r="O437" s="123"/>
      <c r="P437" s="109"/>
      <c r="Q437" s="109"/>
      <c r="R437" s="109"/>
      <c r="S437" s="109"/>
      <c r="T437" s="109"/>
      <c r="U437" s="381"/>
      <c r="V437" s="381"/>
      <c r="W437" s="381"/>
      <c r="X437" s="381"/>
      <c r="Y437" s="381"/>
      <c r="Z437" s="381"/>
      <c r="AA437" s="381"/>
      <c r="AB437" s="381"/>
      <c r="AC437" s="381"/>
    </row>
    <row r="438">
      <c r="A438" s="398"/>
      <c r="B438" s="91"/>
      <c r="C438" s="100"/>
      <c r="D438" s="399"/>
      <c r="E438" s="400"/>
      <c r="F438" s="95"/>
      <c r="G438" s="95"/>
      <c r="H438" s="95"/>
      <c r="I438" s="399"/>
      <c r="J438" s="97"/>
      <c r="K438" s="96"/>
      <c r="L438" s="99"/>
      <c r="M438" s="99"/>
      <c r="N438" s="100"/>
      <c r="O438" s="124"/>
      <c r="P438" s="99"/>
      <c r="Q438" s="99"/>
      <c r="R438" s="99"/>
      <c r="S438" s="99"/>
      <c r="T438" s="99"/>
      <c r="U438" s="381"/>
      <c r="V438" s="381"/>
      <c r="W438" s="381"/>
      <c r="X438" s="381"/>
      <c r="Y438" s="381"/>
      <c r="Z438" s="381"/>
      <c r="AA438" s="381"/>
      <c r="AB438" s="381"/>
      <c r="AC438" s="381"/>
    </row>
    <row r="439">
      <c r="A439" s="395"/>
      <c r="B439" s="102"/>
      <c r="C439" s="110"/>
      <c r="D439" s="396"/>
      <c r="E439" s="397"/>
      <c r="F439" s="106"/>
      <c r="G439" s="106"/>
      <c r="H439" s="106"/>
      <c r="I439" s="396"/>
      <c r="J439" s="108"/>
      <c r="K439" s="107"/>
      <c r="L439" s="109"/>
      <c r="M439" s="109"/>
      <c r="N439" s="110"/>
      <c r="O439" s="123"/>
      <c r="P439" s="109"/>
      <c r="Q439" s="109"/>
      <c r="R439" s="109"/>
      <c r="S439" s="109"/>
      <c r="T439" s="109"/>
      <c r="U439" s="381"/>
      <c r="V439" s="381"/>
      <c r="W439" s="381"/>
      <c r="X439" s="381"/>
      <c r="Y439" s="381"/>
      <c r="Z439" s="381"/>
      <c r="AA439" s="381"/>
      <c r="AB439" s="381"/>
      <c r="AC439" s="381"/>
    </row>
    <row r="440">
      <c r="A440" s="398"/>
      <c r="B440" s="91"/>
      <c r="C440" s="100"/>
      <c r="D440" s="399"/>
      <c r="E440" s="400"/>
      <c r="F440" s="95"/>
      <c r="G440" s="95"/>
      <c r="H440" s="95"/>
      <c r="I440" s="399"/>
      <c r="J440" s="97"/>
      <c r="K440" s="96"/>
      <c r="L440" s="99"/>
      <c r="M440" s="99"/>
      <c r="N440" s="100"/>
      <c r="O440" s="124"/>
      <c r="P440" s="99"/>
      <c r="Q440" s="99"/>
      <c r="R440" s="99"/>
      <c r="S440" s="99"/>
      <c r="T440" s="99"/>
      <c r="U440" s="381"/>
      <c r="V440" s="381"/>
      <c r="W440" s="381"/>
      <c r="X440" s="381"/>
      <c r="Y440" s="381"/>
      <c r="Z440" s="381"/>
      <c r="AA440" s="381"/>
      <c r="AB440" s="381"/>
      <c r="AC440" s="381"/>
    </row>
    <row r="441">
      <c r="A441" s="395"/>
      <c r="B441" s="102"/>
      <c r="C441" s="110"/>
      <c r="D441" s="396"/>
      <c r="E441" s="397"/>
      <c r="F441" s="106"/>
      <c r="G441" s="106"/>
      <c r="H441" s="106"/>
      <c r="I441" s="396"/>
      <c r="J441" s="108"/>
      <c r="K441" s="107"/>
      <c r="L441" s="109"/>
      <c r="M441" s="109"/>
      <c r="N441" s="110"/>
      <c r="O441" s="123"/>
      <c r="P441" s="109"/>
      <c r="Q441" s="109"/>
      <c r="R441" s="109"/>
      <c r="S441" s="109"/>
      <c r="T441" s="109"/>
      <c r="U441" s="381"/>
      <c r="V441" s="381"/>
      <c r="W441" s="381"/>
      <c r="X441" s="381"/>
      <c r="Y441" s="381"/>
      <c r="Z441" s="381"/>
      <c r="AA441" s="381"/>
      <c r="AB441" s="381"/>
      <c r="AC441" s="381"/>
    </row>
    <row r="442">
      <c r="A442" s="398"/>
      <c r="B442" s="91"/>
      <c r="C442" s="100"/>
      <c r="D442" s="399"/>
      <c r="E442" s="400"/>
      <c r="F442" s="95"/>
      <c r="G442" s="95"/>
      <c r="H442" s="95"/>
      <c r="I442" s="399"/>
      <c r="J442" s="97"/>
      <c r="K442" s="96"/>
      <c r="L442" s="99"/>
      <c r="M442" s="99"/>
      <c r="N442" s="100"/>
      <c r="O442" s="124"/>
      <c r="P442" s="99"/>
      <c r="Q442" s="99"/>
      <c r="R442" s="99"/>
      <c r="S442" s="99"/>
      <c r="T442" s="99"/>
      <c r="U442" s="381"/>
      <c r="V442" s="381"/>
      <c r="W442" s="381"/>
      <c r="X442" s="381"/>
      <c r="Y442" s="381"/>
      <c r="Z442" s="381"/>
      <c r="AA442" s="381"/>
      <c r="AB442" s="381"/>
      <c r="AC442" s="381"/>
    </row>
    <row r="443">
      <c r="A443" s="395"/>
      <c r="B443" s="102"/>
      <c r="C443" s="110"/>
      <c r="D443" s="396"/>
      <c r="E443" s="397"/>
      <c r="F443" s="106"/>
      <c r="G443" s="106"/>
      <c r="H443" s="106"/>
      <c r="I443" s="396"/>
      <c r="J443" s="108"/>
      <c r="K443" s="107"/>
      <c r="L443" s="109"/>
      <c r="M443" s="109"/>
      <c r="N443" s="110"/>
      <c r="O443" s="123"/>
      <c r="P443" s="109"/>
      <c r="Q443" s="109"/>
      <c r="R443" s="109"/>
      <c r="S443" s="109"/>
      <c r="T443" s="109"/>
      <c r="U443" s="381"/>
      <c r="V443" s="381"/>
      <c r="W443" s="381"/>
      <c r="X443" s="381"/>
      <c r="Y443" s="381"/>
      <c r="Z443" s="381"/>
      <c r="AA443" s="381"/>
      <c r="AB443" s="381"/>
      <c r="AC443" s="381"/>
    </row>
    <row r="444">
      <c r="A444" s="398"/>
      <c r="B444" s="91"/>
      <c r="C444" s="100"/>
      <c r="D444" s="399"/>
      <c r="E444" s="400"/>
      <c r="F444" s="95"/>
      <c r="G444" s="95"/>
      <c r="H444" s="95"/>
      <c r="I444" s="399"/>
      <c r="J444" s="97"/>
      <c r="K444" s="96"/>
      <c r="L444" s="99"/>
      <c r="M444" s="99"/>
      <c r="N444" s="100"/>
      <c r="O444" s="124"/>
      <c r="P444" s="99"/>
      <c r="Q444" s="99"/>
      <c r="R444" s="99"/>
      <c r="S444" s="99"/>
      <c r="T444" s="99"/>
      <c r="U444" s="381"/>
      <c r="V444" s="381"/>
      <c r="W444" s="381"/>
      <c r="X444" s="381"/>
      <c r="Y444" s="381"/>
      <c r="Z444" s="381"/>
      <c r="AA444" s="381"/>
      <c r="AB444" s="381"/>
      <c r="AC444" s="381"/>
    </row>
    <row r="445">
      <c r="A445" s="395"/>
      <c r="B445" s="102"/>
      <c r="C445" s="110"/>
      <c r="D445" s="396"/>
      <c r="E445" s="397"/>
      <c r="F445" s="106"/>
      <c r="G445" s="106"/>
      <c r="H445" s="106"/>
      <c r="I445" s="396"/>
      <c r="J445" s="108"/>
      <c r="K445" s="107"/>
      <c r="L445" s="109"/>
      <c r="M445" s="109"/>
      <c r="N445" s="110"/>
      <c r="O445" s="123"/>
      <c r="P445" s="109"/>
      <c r="Q445" s="109"/>
      <c r="R445" s="109"/>
      <c r="S445" s="109"/>
      <c r="T445" s="109"/>
      <c r="U445" s="381"/>
      <c r="V445" s="381"/>
      <c r="W445" s="381"/>
      <c r="X445" s="381"/>
      <c r="Y445" s="381"/>
      <c r="Z445" s="381"/>
      <c r="AA445" s="381"/>
      <c r="AB445" s="381"/>
      <c r="AC445" s="381"/>
    </row>
    <row r="446">
      <c r="A446" s="398"/>
      <c r="B446" s="91"/>
      <c r="C446" s="100"/>
      <c r="D446" s="399"/>
      <c r="E446" s="400"/>
      <c r="F446" s="95"/>
      <c r="G446" s="95"/>
      <c r="H446" s="95"/>
      <c r="I446" s="399"/>
      <c r="J446" s="97"/>
      <c r="K446" s="96"/>
      <c r="L446" s="99"/>
      <c r="M446" s="99"/>
      <c r="N446" s="100"/>
      <c r="O446" s="124"/>
      <c r="P446" s="99"/>
      <c r="Q446" s="99"/>
      <c r="R446" s="99"/>
      <c r="S446" s="99"/>
      <c r="T446" s="99"/>
      <c r="U446" s="381"/>
      <c r="V446" s="381"/>
      <c r="W446" s="381"/>
      <c r="X446" s="381"/>
      <c r="Y446" s="381"/>
      <c r="Z446" s="381"/>
      <c r="AA446" s="381"/>
      <c r="AB446" s="381"/>
      <c r="AC446" s="381"/>
    </row>
    <row r="447">
      <c r="A447" s="395"/>
      <c r="B447" s="102"/>
      <c r="C447" s="110"/>
      <c r="D447" s="396"/>
      <c r="E447" s="397"/>
      <c r="F447" s="106"/>
      <c r="G447" s="106"/>
      <c r="H447" s="106"/>
      <c r="I447" s="396"/>
      <c r="J447" s="108"/>
      <c r="K447" s="107"/>
      <c r="L447" s="109"/>
      <c r="M447" s="109"/>
      <c r="N447" s="110"/>
      <c r="O447" s="123"/>
      <c r="P447" s="109"/>
      <c r="Q447" s="109"/>
      <c r="R447" s="109"/>
      <c r="S447" s="109"/>
      <c r="T447" s="109"/>
      <c r="U447" s="381"/>
      <c r="V447" s="381"/>
      <c r="W447" s="381"/>
      <c r="X447" s="381"/>
      <c r="Y447" s="381"/>
      <c r="Z447" s="381"/>
      <c r="AA447" s="381"/>
      <c r="AB447" s="381"/>
      <c r="AC447" s="381"/>
    </row>
    <row r="448">
      <c r="A448" s="398"/>
      <c r="B448" s="91"/>
      <c r="C448" s="100"/>
      <c r="D448" s="399"/>
      <c r="E448" s="400"/>
      <c r="F448" s="95"/>
      <c r="G448" s="95"/>
      <c r="H448" s="95"/>
      <c r="I448" s="399"/>
      <c r="J448" s="97"/>
      <c r="K448" s="96"/>
      <c r="L448" s="99"/>
      <c r="M448" s="99"/>
      <c r="N448" s="100"/>
      <c r="O448" s="124"/>
      <c r="P448" s="99"/>
      <c r="Q448" s="99"/>
      <c r="R448" s="99"/>
      <c r="S448" s="99"/>
      <c r="T448" s="99"/>
      <c r="U448" s="381"/>
      <c r="V448" s="381"/>
      <c r="W448" s="381"/>
      <c r="X448" s="381"/>
      <c r="Y448" s="381"/>
      <c r="Z448" s="381"/>
      <c r="AA448" s="381"/>
      <c r="AB448" s="381"/>
      <c r="AC448" s="381"/>
    </row>
    <row r="449">
      <c r="A449" s="395"/>
      <c r="B449" s="102"/>
      <c r="C449" s="110"/>
      <c r="D449" s="396"/>
      <c r="E449" s="397"/>
      <c r="F449" s="106"/>
      <c r="G449" s="106"/>
      <c r="H449" s="106"/>
      <c r="I449" s="396"/>
      <c r="J449" s="108"/>
      <c r="K449" s="107"/>
      <c r="L449" s="109"/>
      <c r="M449" s="109"/>
      <c r="N449" s="110"/>
      <c r="O449" s="123"/>
      <c r="P449" s="109"/>
      <c r="Q449" s="109"/>
      <c r="R449" s="109"/>
      <c r="S449" s="109"/>
      <c r="T449" s="109"/>
      <c r="U449" s="381"/>
      <c r="V449" s="381"/>
      <c r="W449" s="381"/>
      <c r="X449" s="381"/>
      <c r="Y449" s="381"/>
      <c r="Z449" s="381"/>
      <c r="AA449" s="381"/>
      <c r="AB449" s="381"/>
      <c r="AC449" s="381"/>
    </row>
    <row r="450">
      <c r="A450" s="398"/>
      <c r="B450" s="91"/>
      <c r="C450" s="100"/>
      <c r="D450" s="399"/>
      <c r="E450" s="400"/>
      <c r="F450" s="95"/>
      <c r="G450" s="95"/>
      <c r="H450" s="95"/>
      <c r="I450" s="399"/>
      <c r="J450" s="97"/>
      <c r="K450" s="96"/>
      <c r="L450" s="99"/>
      <c r="M450" s="99"/>
      <c r="N450" s="100"/>
      <c r="O450" s="124"/>
      <c r="P450" s="99"/>
      <c r="Q450" s="99"/>
      <c r="R450" s="99"/>
      <c r="S450" s="99"/>
      <c r="T450" s="99"/>
      <c r="U450" s="381"/>
      <c r="V450" s="381"/>
      <c r="W450" s="381"/>
      <c r="X450" s="381"/>
      <c r="Y450" s="381"/>
      <c r="Z450" s="381"/>
      <c r="AA450" s="381"/>
      <c r="AB450" s="381"/>
      <c r="AC450" s="381"/>
    </row>
    <row r="451">
      <c r="A451" s="395"/>
      <c r="B451" s="102"/>
      <c r="C451" s="110"/>
      <c r="D451" s="396"/>
      <c r="E451" s="397"/>
      <c r="F451" s="106"/>
      <c r="G451" s="106"/>
      <c r="H451" s="106"/>
      <c r="I451" s="396"/>
      <c r="J451" s="108"/>
      <c r="K451" s="107"/>
      <c r="L451" s="109"/>
      <c r="M451" s="109"/>
      <c r="N451" s="110"/>
      <c r="O451" s="123"/>
      <c r="P451" s="109"/>
      <c r="Q451" s="109"/>
      <c r="R451" s="109"/>
      <c r="S451" s="109"/>
      <c r="T451" s="109"/>
      <c r="U451" s="381"/>
      <c r="V451" s="381"/>
      <c r="W451" s="381"/>
      <c r="X451" s="381"/>
      <c r="Y451" s="381"/>
      <c r="Z451" s="381"/>
      <c r="AA451" s="381"/>
      <c r="AB451" s="381"/>
      <c r="AC451" s="381"/>
    </row>
    <row r="452">
      <c r="A452" s="398"/>
      <c r="B452" s="91"/>
      <c r="C452" s="100"/>
      <c r="D452" s="399"/>
      <c r="E452" s="400"/>
      <c r="F452" s="95"/>
      <c r="G452" s="95"/>
      <c r="H452" s="95"/>
      <c r="I452" s="399"/>
      <c r="J452" s="97"/>
      <c r="K452" s="96"/>
      <c r="L452" s="99"/>
      <c r="M452" s="99"/>
      <c r="N452" s="100"/>
      <c r="O452" s="124"/>
      <c r="P452" s="99"/>
      <c r="Q452" s="99"/>
      <c r="R452" s="99"/>
      <c r="S452" s="99"/>
      <c r="T452" s="99"/>
      <c r="U452" s="381"/>
      <c r="V452" s="381"/>
      <c r="W452" s="381"/>
      <c r="X452" s="381"/>
      <c r="Y452" s="381"/>
      <c r="Z452" s="381"/>
      <c r="AA452" s="381"/>
      <c r="AB452" s="381"/>
      <c r="AC452" s="381"/>
    </row>
    <row r="453">
      <c r="A453" s="395"/>
      <c r="B453" s="102"/>
      <c r="C453" s="110"/>
      <c r="D453" s="396"/>
      <c r="E453" s="397"/>
      <c r="F453" s="106"/>
      <c r="G453" s="106"/>
      <c r="H453" s="106"/>
      <c r="I453" s="396"/>
      <c r="J453" s="108"/>
      <c r="K453" s="107"/>
      <c r="L453" s="109"/>
      <c r="M453" s="109"/>
      <c r="N453" s="110"/>
      <c r="O453" s="123"/>
      <c r="P453" s="109"/>
      <c r="Q453" s="109"/>
      <c r="R453" s="109"/>
      <c r="S453" s="109"/>
      <c r="T453" s="109"/>
      <c r="U453" s="381"/>
      <c r="V453" s="381"/>
      <c r="W453" s="381"/>
      <c r="X453" s="381"/>
      <c r="Y453" s="381"/>
      <c r="Z453" s="381"/>
      <c r="AA453" s="381"/>
      <c r="AB453" s="381"/>
      <c r="AC453" s="381"/>
    </row>
    <row r="454">
      <c r="A454" s="398"/>
      <c r="B454" s="91"/>
      <c r="C454" s="100"/>
      <c r="D454" s="399"/>
      <c r="E454" s="400"/>
      <c r="F454" s="95"/>
      <c r="G454" s="95"/>
      <c r="H454" s="95"/>
      <c r="I454" s="399"/>
      <c r="J454" s="97"/>
      <c r="K454" s="96"/>
      <c r="L454" s="99"/>
      <c r="M454" s="99"/>
      <c r="N454" s="100"/>
      <c r="O454" s="124"/>
      <c r="P454" s="99"/>
      <c r="Q454" s="99"/>
      <c r="R454" s="99"/>
      <c r="S454" s="99"/>
      <c r="T454" s="99"/>
      <c r="U454" s="381"/>
      <c r="V454" s="381"/>
      <c r="W454" s="381"/>
      <c r="X454" s="381"/>
      <c r="Y454" s="381"/>
      <c r="Z454" s="381"/>
      <c r="AA454" s="381"/>
      <c r="AB454" s="381"/>
      <c r="AC454" s="381"/>
    </row>
    <row r="455">
      <c r="A455" s="395"/>
      <c r="B455" s="102"/>
      <c r="C455" s="110"/>
      <c r="D455" s="396"/>
      <c r="E455" s="397"/>
      <c r="F455" s="106"/>
      <c r="G455" s="106"/>
      <c r="H455" s="106"/>
      <c r="I455" s="396"/>
      <c r="J455" s="108"/>
      <c r="K455" s="107"/>
      <c r="L455" s="109"/>
      <c r="M455" s="109"/>
      <c r="N455" s="110"/>
      <c r="O455" s="123"/>
      <c r="P455" s="109"/>
      <c r="Q455" s="109"/>
      <c r="R455" s="109"/>
      <c r="S455" s="109"/>
      <c r="T455" s="109"/>
      <c r="U455" s="381"/>
      <c r="V455" s="381"/>
      <c r="W455" s="381"/>
      <c r="X455" s="381"/>
      <c r="Y455" s="381"/>
      <c r="Z455" s="381"/>
      <c r="AA455" s="381"/>
      <c r="AB455" s="381"/>
      <c r="AC455" s="381"/>
    </row>
    <row r="456">
      <c r="A456" s="398"/>
      <c r="B456" s="91"/>
      <c r="C456" s="100"/>
      <c r="D456" s="399"/>
      <c r="E456" s="400"/>
      <c r="F456" s="95"/>
      <c r="G456" s="95"/>
      <c r="H456" s="95"/>
      <c r="I456" s="399"/>
      <c r="J456" s="97"/>
      <c r="K456" s="96"/>
      <c r="L456" s="99"/>
      <c r="M456" s="99"/>
      <c r="N456" s="100"/>
      <c r="O456" s="124"/>
      <c r="P456" s="99"/>
      <c r="Q456" s="99"/>
      <c r="R456" s="99"/>
      <c r="S456" s="99"/>
      <c r="T456" s="99"/>
      <c r="U456" s="381"/>
      <c r="V456" s="381"/>
      <c r="W456" s="381"/>
      <c r="X456" s="381"/>
      <c r="Y456" s="381"/>
      <c r="Z456" s="381"/>
      <c r="AA456" s="381"/>
      <c r="AB456" s="381"/>
      <c r="AC456" s="381"/>
    </row>
    <row r="457">
      <c r="A457" s="395"/>
      <c r="B457" s="102"/>
      <c r="C457" s="110"/>
      <c r="D457" s="396"/>
      <c r="E457" s="397"/>
      <c r="F457" s="106"/>
      <c r="G457" s="106"/>
      <c r="H457" s="106"/>
      <c r="I457" s="396"/>
      <c r="J457" s="108"/>
      <c r="K457" s="107"/>
      <c r="L457" s="109"/>
      <c r="M457" s="109"/>
      <c r="N457" s="110"/>
      <c r="O457" s="123"/>
      <c r="P457" s="109"/>
      <c r="Q457" s="109"/>
      <c r="R457" s="109"/>
      <c r="S457" s="109"/>
      <c r="T457" s="109"/>
      <c r="U457" s="381"/>
      <c r="V457" s="381"/>
      <c r="W457" s="381"/>
      <c r="X457" s="381"/>
      <c r="Y457" s="381"/>
      <c r="Z457" s="381"/>
      <c r="AA457" s="381"/>
      <c r="AB457" s="381"/>
      <c r="AC457" s="381"/>
    </row>
    <row r="458">
      <c r="A458" s="398"/>
      <c r="B458" s="91"/>
      <c r="C458" s="100"/>
      <c r="D458" s="399"/>
      <c r="E458" s="400"/>
      <c r="F458" s="95"/>
      <c r="G458" s="95"/>
      <c r="H458" s="95"/>
      <c r="I458" s="399"/>
      <c r="J458" s="97"/>
      <c r="K458" s="96"/>
      <c r="L458" s="99"/>
      <c r="M458" s="99"/>
      <c r="N458" s="100"/>
      <c r="O458" s="124"/>
      <c r="P458" s="99"/>
      <c r="Q458" s="99"/>
      <c r="R458" s="99"/>
      <c r="S458" s="99"/>
      <c r="T458" s="99"/>
      <c r="U458" s="381"/>
      <c r="V458" s="381"/>
      <c r="W458" s="381"/>
      <c r="X458" s="381"/>
      <c r="Y458" s="381"/>
      <c r="Z458" s="381"/>
      <c r="AA458" s="381"/>
      <c r="AB458" s="381"/>
      <c r="AC458" s="381"/>
    </row>
    <row r="459">
      <c r="A459" s="395"/>
      <c r="B459" s="102"/>
      <c r="C459" s="110"/>
      <c r="D459" s="396"/>
      <c r="E459" s="397"/>
      <c r="F459" s="106"/>
      <c r="G459" s="106"/>
      <c r="H459" s="106"/>
      <c r="I459" s="396"/>
      <c r="J459" s="108"/>
      <c r="K459" s="107"/>
      <c r="L459" s="109"/>
      <c r="M459" s="109"/>
      <c r="N459" s="110"/>
      <c r="O459" s="123"/>
      <c r="P459" s="109"/>
      <c r="Q459" s="109"/>
      <c r="R459" s="109"/>
      <c r="S459" s="109"/>
      <c r="T459" s="109"/>
      <c r="U459" s="381"/>
      <c r="V459" s="381"/>
      <c r="W459" s="381"/>
      <c r="X459" s="381"/>
      <c r="Y459" s="381"/>
      <c r="Z459" s="381"/>
      <c r="AA459" s="381"/>
      <c r="AB459" s="381"/>
      <c r="AC459" s="381"/>
    </row>
    <row r="460">
      <c r="A460" s="398"/>
      <c r="B460" s="91"/>
      <c r="C460" s="100"/>
      <c r="D460" s="399"/>
      <c r="E460" s="400"/>
      <c r="F460" s="95"/>
      <c r="G460" s="95"/>
      <c r="H460" s="95"/>
      <c r="I460" s="399"/>
      <c r="J460" s="97"/>
      <c r="K460" s="96"/>
      <c r="L460" s="99"/>
      <c r="M460" s="99"/>
      <c r="N460" s="100"/>
      <c r="O460" s="124"/>
      <c r="P460" s="99"/>
      <c r="Q460" s="99"/>
      <c r="R460" s="99"/>
      <c r="S460" s="99"/>
      <c r="T460" s="99"/>
      <c r="U460" s="381"/>
      <c r="V460" s="381"/>
      <c r="W460" s="381"/>
      <c r="X460" s="381"/>
      <c r="Y460" s="381"/>
      <c r="Z460" s="381"/>
      <c r="AA460" s="381"/>
      <c r="AB460" s="381"/>
      <c r="AC460" s="381"/>
    </row>
    <row r="461">
      <c r="A461" s="395"/>
      <c r="B461" s="102"/>
      <c r="C461" s="110"/>
      <c r="D461" s="396"/>
      <c r="E461" s="397"/>
      <c r="F461" s="106"/>
      <c r="G461" s="106"/>
      <c r="H461" s="106"/>
      <c r="I461" s="396"/>
      <c r="J461" s="108"/>
      <c r="K461" s="107"/>
      <c r="L461" s="109"/>
      <c r="M461" s="109"/>
      <c r="N461" s="110"/>
      <c r="O461" s="123"/>
      <c r="P461" s="109"/>
      <c r="Q461" s="109"/>
      <c r="R461" s="109"/>
      <c r="S461" s="109"/>
      <c r="T461" s="109"/>
      <c r="U461" s="381"/>
      <c r="V461" s="381"/>
      <c r="W461" s="381"/>
      <c r="X461" s="381"/>
      <c r="Y461" s="381"/>
      <c r="Z461" s="381"/>
      <c r="AA461" s="381"/>
      <c r="AB461" s="381"/>
      <c r="AC461" s="381"/>
    </row>
    <row r="462">
      <c r="A462" s="398"/>
      <c r="B462" s="91"/>
      <c r="C462" s="100"/>
      <c r="D462" s="399"/>
      <c r="E462" s="400"/>
      <c r="F462" s="95"/>
      <c r="G462" s="95"/>
      <c r="H462" s="95"/>
      <c r="I462" s="399"/>
      <c r="J462" s="97"/>
      <c r="K462" s="96"/>
      <c r="L462" s="99"/>
      <c r="M462" s="99"/>
      <c r="N462" s="100"/>
      <c r="O462" s="124"/>
      <c r="P462" s="99"/>
      <c r="Q462" s="99"/>
      <c r="R462" s="99"/>
      <c r="S462" s="99"/>
      <c r="T462" s="99"/>
      <c r="U462" s="381"/>
      <c r="V462" s="381"/>
      <c r="W462" s="381"/>
      <c r="X462" s="381"/>
      <c r="Y462" s="381"/>
      <c r="Z462" s="381"/>
      <c r="AA462" s="381"/>
      <c r="AB462" s="381"/>
      <c r="AC462" s="381"/>
    </row>
    <row r="463">
      <c r="A463" s="395"/>
      <c r="B463" s="102"/>
      <c r="C463" s="110"/>
      <c r="D463" s="396"/>
      <c r="E463" s="397"/>
      <c r="F463" s="106"/>
      <c r="G463" s="106"/>
      <c r="H463" s="106"/>
      <c r="I463" s="396"/>
      <c r="J463" s="108"/>
      <c r="K463" s="107"/>
      <c r="L463" s="109"/>
      <c r="M463" s="109"/>
      <c r="N463" s="110"/>
      <c r="O463" s="123"/>
      <c r="P463" s="109"/>
      <c r="Q463" s="109"/>
      <c r="R463" s="109"/>
      <c r="S463" s="109"/>
      <c r="T463" s="109"/>
      <c r="U463" s="381"/>
      <c r="V463" s="381"/>
      <c r="W463" s="381"/>
      <c r="X463" s="381"/>
      <c r="Y463" s="381"/>
      <c r="Z463" s="381"/>
      <c r="AA463" s="381"/>
      <c r="AB463" s="381"/>
      <c r="AC463" s="381"/>
    </row>
    <row r="464">
      <c r="A464" s="398"/>
      <c r="B464" s="91"/>
      <c r="C464" s="100"/>
      <c r="D464" s="399"/>
      <c r="E464" s="400"/>
      <c r="F464" s="95"/>
      <c r="G464" s="95"/>
      <c r="H464" s="95"/>
      <c r="I464" s="399"/>
      <c r="J464" s="97"/>
      <c r="K464" s="96"/>
      <c r="L464" s="99"/>
      <c r="M464" s="99"/>
      <c r="N464" s="100"/>
      <c r="O464" s="124"/>
      <c r="P464" s="99"/>
      <c r="Q464" s="99"/>
      <c r="R464" s="99"/>
      <c r="S464" s="99"/>
      <c r="T464" s="99"/>
      <c r="U464" s="381"/>
      <c r="V464" s="381"/>
      <c r="W464" s="381"/>
      <c r="X464" s="381"/>
      <c r="Y464" s="381"/>
      <c r="Z464" s="381"/>
      <c r="AA464" s="381"/>
      <c r="AB464" s="381"/>
      <c r="AC464" s="381"/>
    </row>
    <row r="465">
      <c r="A465" s="395"/>
      <c r="B465" s="102"/>
      <c r="C465" s="110"/>
      <c r="D465" s="396"/>
      <c r="E465" s="397"/>
      <c r="F465" s="106"/>
      <c r="G465" s="106"/>
      <c r="H465" s="106"/>
      <c r="I465" s="396"/>
      <c r="J465" s="108"/>
      <c r="K465" s="107"/>
      <c r="L465" s="109"/>
      <c r="M465" s="109"/>
      <c r="N465" s="110"/>
      <c r="O465" s="123"/>
      <c r="P465" s="109"/>
      <c r="Q465" s="109"/>
      <c r="R465" s="109"/>
      <c r="S465" s="109"/>
      <c r="T465" s="109"/>
      <c r="U465" s="381"/>
      <c r="V465" s="381"/>
      <c r="W465" s="381"/>
      <c r="X465" s="381"/>
      <c r="Y465" s="381"/>
      <c r="Z465" s="381"/>
      <c r="AA465" s="381"/>
      <c r="AB465" s="381"/>
      <c r="AC465" s="381"/>
    </row>
    <row r="466">
      <c r="A466" s="398"/>
      <c r="B466" s="91"/>
      <c r="C466" s="100"/>
      <c r="D466" s="399"/>
      <c r="E466" s="400"/>
      <c r="F466" s="95"/>
      <c r="G466" s="95"/>
      <c r="H466" s="95"/>
      <c r="I466" s="399"/>
      <c r="J466" s="97"/>
      <c r="K466" s="96"/>
      <c r="L466" s="99"/>
      <c r="M466" s="99"/>
      <c r="N466" s="100"/>
      <c r="O466" s="124"/>
      <c r="P466" s="99"/>
      <c r="Q466" s="99"/>
      <c r="R466" s="99"/>
      <c r="S466" s="99"/>
      <c r="T466" s="99"/>
      <c r="U466" s="381"/>
      <c r="V466" s="381"/>
      <c r="W466" s="381"/>
      <c r="X466" s="381"/>
      <c r="Y466" s="381"/>
      <c r="Z466" s="381"/>
      <c r="AA466" s="381"/>
      <c r="AB466" s="381"/>
      <c r="AC466" s="381"/>
    </row>
    <row r="467">
      <c r="A467" s="395"/>
      <c r="B467" s="102"/>
      <c r="C467" s="110"/>
      <c r="D467" s="396"/>
      <c r="E467" s="397"/>
      <c r="F467" s="106"/>
      <c r="G467" s="106"/>
      <c r="H467" s="106"/>
      <c r="I467" s="396"/>
      <c r="J467" s="108"/>
      <c r="K467" s="107"/>
      <c r="L467" s="109"/>
      <c r="M467" s="109"/>
      <c r="N467" s="110"/>
      <c r="O467" s="123"/>
      <c r="P467" s="109"/>
      <c r="Q467" s="109"/>
      <c r="R467" s="109"/>
      <c r="S467" s="109"/>
      <c r="T467" s="109"/>
      <c r="U467" s="381"/>
      <c r="V467" s="381"/>
      <c r="W467" s="381"/>
      <c r="X467" s="381"/>
      <c r="Y467" s="381"/>
      <c r="Z467" s="381"/>
      <c r="AA467" s="381"/>
      <c r="AB467" s="381"/>
      <c r="AC467" s="381"/>
    </row>
    <row r="468">
      <c r="A468" s="398"/>
      <c r="B468" s="91"/>
      <c r="C468" s="100"/>
      <c r="D468" s="399"/>
      <c r="E468" s="400"/>
      <c r="F468" s="95"/>
      <c r="G468" s="95"/>
      <c r="H468" s="95"/>
      <c r="I468" s="399"/>
      <c r="J468" s="97"/>
      <c r="K468" s="96"/>
      <c r="L468" s="99"/>
      <c r="M468" s="99"/>
      <c r="N468" s="100"/>
      <c r="O468" s="124"/>
      <c r="P468" s="99"/>
      <c r="Q468" s="99"/>
      <c r="R468" s="99"/>
      <c r="S468" s="99"/>
      <c r="T468" s="99"/>
      <c r="U468" s="381"/>
      <c r="V468" s="381"/>
      <c r="W468" s="381"/>
      <c r="X468" s="381"/>
      <c r="Y468" s="381"/>
      <c r="Z468" s="381"/>
      <c r="AA468" s="381"/>
      <c r="AB468" s="381"/>
      <c r="AC468" s="381"/>
    </row>
    <row r="469">
      <c r="A469" s="395"/>
      <c r="B469" s="102"/>
      <c r="C469" s="110"/>
      <c r="D469" s="396"/>
      <c r="E469" s="397"/>
      <c r="F469" s="106"/>
      <c r="G469" s="106"/>
      <c r="H469" s="106"/>
      <c r="I469" s="396"/>
      <c r="J469" s="108"/>
      <c r="K469" s="107"/>
      <c r="L469" s="109"/>
      <c r="M469" s="109"/>
      <c r="N469" s="110"/>
      <c r="O469" s="123"/>
      <c r="P469" s="109"/>
      <c r="Q469" s="109"/>
      <c r="R469" s="109"/>
      <c r="S469" s="109"/>
      <c r="T469" s="109"/>
      <c r="U469" s="381"/>
      <c r="V469" s="381"/>
      <c r="W469" s="381"/>
      <c r="X469" s="381"/>
      <c r="Y469" s="381"/>
      <c r="Z469" s="381"/>
      <c r="AA469" s="381"/>
      <c r="AB469" s="381"/>
      <c r="AC469" s="381"/>
    </row>
    <row r="470">
      <c r="A470" s="398"/>
      <c r="B470" s="91"/>
      <c r="C470" s="100"/>
      <c r="D470" s="399"/>
      <c r="E470" s="400"/>
      <c r="F470" s="95"/>
      <c r="G470" s="95"/>
      <c r="H470" s="95"/>
      <c r="I470" s="399"/>
      <c r="J470" s="97"/>
      <c r="K470" s="96"/>
      <c r="L470" s="99"/>
      <c r="M470" s="99"/>
      <c r="N470" s="100"/>
      <c r="O470" s="124"/>
      <c r="P470" s="99"/>
      <c r="Q470" s="99"/>
      <c r="R470" s="99"/>
      <c r="S470" s="99"/>
      <c r="T470" s="99"/>
      <c r="U470" s="381"/>
      <c r="V470" s="381"/>
      <c r="W470" s="381"/>
      <c r="X470" s="381"/>
      <c r="Y470" s="381"/>
      <c r="Z470" s="381"/>
      <c r="AA470" s="381"/>
      <c r="AB470" s="381"/>
      <c r="AC470" s="381"/>
    </row>
    <row r="471">
      <c r="A471" s="395"/>
      <c r="B471" s="102"/>
      <c r="C471" s="110"/>
      <c r="D471" s="396"/>
      <c r="E471" s="397"/>
      <c r="F471" s="106"/>
      <c r="G471" s="106"/>
      <c r="H471" s="106"/>
      <c r="I471" s="396"/>
      <c r="J471" s="108"/>
      <c r="K471" s="107"/>
      <c r="L471" s="109"/>
      <c r="M471" s="109"/>
      <c r="N471" s="110"/>
      <c r="O471" s="123"/>
      <c r="P471" s="109"/>
      <c r="Q471" s="109"/>
      <c r="R471" s="109"/>
      <c r="S471" s="109"/>
      <c r="T471" s="109"/>
      <c r="U471" s="381"/>
      <c r="V471" s="381"/>
      <c r="W471" s="381"/>
      <c r="X471" s="381"/>
      <c r="Y471" s="381"/>
      <c r="Z471" s="381"/>
      <c r="AA471" s="381"/>
      <c r="AB471" s="381"/>
      <c r="AC471" s="381"/>
    </row>
    <row r="472">
      <c r="A472" s="398"/>
      <c r="B472" s="91"/>
      <c r="C472" s="100"/>
      <c r="D472" s="399"/>
      <c r="E472" s="400"/>
      <c r="F472" s="95"/>
      <c r="G472" s="95"/>
      <c r="H472" s="95"/>
      <c r="I472" s="399"/>
      <c r="J472" s="97"/>
      <c r="K472" s="96"/>
      <c r="L472" s="99"/>
      <c r="M472" s="99"/>
      <c r="N472" s="100"/>
      <c r="O472" s="124"/>
      <c r="P472" s="99"/>
      <c r="Q472" s="99"/>
      <c r="R472" s="99"/>
      <c r="S472" s="99"/>
      <c r="T472" s="99"/>
      <c r="U472" s="381"/>
      <c r="V472" s="381"/>
      <c r="W472" s="381"/>
      <c r="X472" s="381"/>
      <c r="Y472" s="381"/>
      <c r="Z472" s="381"/>
      <c r="AA472" s="381"/>
      <c r="AB472" s="381"/>
      <c r="AC472" s="381"/>
    </row>
    <row r="473">
      <c r="A473" s="395"/>
      <c r="B473" s="102"/>
      <c r="C473" s="110"/>
      <c r="D473" s="396"/>
      <c r="E473" s="397"/>
      <c r="F473" s="106"/>
      <c r="G473" s="106"/>
      <c r="H473" s="106"/>
      <c r="I473" s="396"/>
      <c r="J473" s="108"/>
      <c r="K473" s="107"/>
      <c r="L473" s="109"/>
      <c r="M473" s="109"/>
      <c r="N473" s="110"/>
      <c r="O473" s="123"/>
      <c r="P473" s="109"/>
      <c r="Q473" s="109"/>
      <c r="R473" s="109"/>
      <c r="S473" s="109"/>
      <c r="T473" s="109"/>
      <c r="U473" s="381"/>
      <c r="V473" s="381"/>
      <c r="W473" s="381"/>
      <c r="X473" s="381"/>
      <c r="Y473" s="381"/>
      <c r="Z473" s="381"/>
      <c r="AA473" s="381"/>
      <c r="AB473" s="381"/>
      <c r="AC473" s="381"/>
    </row>
    <row r="474">
      <c r="A474" s="398"/>
      <c r="B474" s="91"/>
      <c r="C474" s="100"/>
      <c r="D474" s="399"/>
      <c r="E474" s="400"/>
      <c r="F474" s="95"/>
      <c r="G474" s="95"/>
      <c r="H474" s="95"/>
      <c r="I474" s="399"/>
      <c r="J474" s="97"/>
      <c r="K474" s="96"/>
      <c r="L474" s="99"/>
      <c r="M474" s="99"/>
      <c r="N474" s="100"/>
      <c r="O474" s="124"/>
      <c r="P474" s="99"/>
      <c r="Q474" s="99"/>
      <c r="R474" s="99"/>
      <c r="S474" s="99"/>
      <c r="T474" s="99"/>
      <c r="U474" s="381"/>
      <c r="V474" s="381"/>
      <c r="W474" s="381"/>
      <c r="X474" s="381"/>
      <c r="Y474" s="381"/>
      <c r="Z474" s="381"/>
      <c r="AA474" s="381"/>
      <c r="AB474" s="381"/>
      <c r="AC474" s="381"/>
    </row>
    <row r="475">
      <c r="A475" s="395"/>
      <c r="B475" s="102"/>
      <c r="C475" s="110"/>
      <c r="D475" s="396"/>
      <c r="E475" s="397"/>
      <c r="F475" s="106"/>
      <c r="G475" s="106"/>
      <c r="H475" s="106"/>
      <c r="I475" s="396"/>
      <c r="J475" s="108"/>
      <c r="K475" s="107"/>
      <c r="L475" s="109"/>
      <c r="M475" s="109"/>
      <c r="N475" s="110"/>
      <c r="O475" s="123"/>
      <c r="P475" s="109"/>
      <c r="Q475" s="109"/>
      <c r="R475" s="109"/>
      <c r="S475" s="109"/>
      <c r="T475" s="109"/>
      <c r="U475" s="381"/>
      <c r="V475" s="381"/>
      <c r="W475" s="381"/>
      <c r="X475" s="381"/>
      <c r="Y475" s="381"/>
      <c r="Z475" s="381"/>
      <c r="AA475" s="381"/>
      <c r="AB475" s="381"/>
      <c r="AC475" s="381"/>
    </row>
    <row r="476">
      <c r="A476" s="398"/>
      <c r="B476" s="91"/>
      <c r="C476" s="100"/>
      <c r="D476" s="399"/>
      <c r="E476" s="400"/>
      <c r="F476" s="95"/>
      <c r="G476" s="95"/>
      <c r="H476" s="95"/>
      <c r="I476" s="399"/>
      <c r="J476" s="97"/>
      <c r="K476" s="96"/>
      <c r="L476" s="99"/>
      <c r="M476" s="99"/>
      <c r="N476" s="100"/>
      <c r="O476" s="124"/>
      <c r="P476" s="99"/>
      <c r="Q476" s="99"/>
      <c r="R476" s="99"/>
      <c r="S476" s="99"/>
      <c r="T476" s="99"/>
      <c r="U476" s="381"/>
      <c r="V476" s="381"/>
      <c r="W476" s="381"/>
      <c r="X476" s="381"/>
      <c r="Y476" s="381"/>
      <c r="Z476" s="381"/>
      <c r="AA476" s="381"/>
      <c r="AB476" s="381"/>
      <c r="AC476" s="381"/>
    </row>
    <row r="477">
      <c r="A477" s="395"/>
      <c r="B477" s="102"/>
      <c r="C477" s="110"/>
      <c r="D477" s="396"/>
      <c r="E477" s="397"/>
      <c r="F477" s="106"/>
      <c r="G477" s="106"/>
      <c r="H477" s="106"/>
      <c r="I477" s="396"/>
      <c r="J477" s="108"/>
      <c r="K477" s="107"/>
      <c r="L477" s="109"/>
      <c r="M477" s="109"/>
      <c r="N477" s="110"/>
      <c r="O477" s="123"/>
      <c r="P477" s="109"/>
      <c r="Q477" s="109"/>
      <c r="R477" s="109"/>
      <c r="S477" s="109"/>
      <c r="T477" s="109"/>
      <c r="U477" s="381"/>
      <c r="V477" s="381"/>
      <c r="W477" s="381"/>
      <c r="X477" s="381"/>
      <c r="Y477" s="381"/>
      <c r="Z477" s="381"/>
      <c r="AA477" s="381"/>
      <c r="AB477" s="381"/>
      <c r="AC477" s="381"/>
    </row>
    <row r="478">
      <c r="A478" s="398"/>
      <c r="B478" s="91"/>
      <c r="C478" s="100"/>
      <c r="D478" s="399"/>
      <c r="E478" s="400"/>
      <c r="F478" s="95"/>
      <c r="G478" s="95"/>
      <c r="H478" s="95"/>
      <c r="I478" s="399"/>
      <c r="J478" s="97"/>
      <c r="K478" s="96"/>
      <c r="L478" s="99"/>
      <c r="M478" s="99"/>
      <c r="N478" s="100"/>
      <c r="O478" s="124"/>
      <c r="P478" s="99"/>
      <c r="Q478" s="99"/>
      <c r="R478" s="99"/>
      <c r="S478" s="99"/>
      <c r="T478" s="99"/>
      <c r="U478" s="381"/>
      <c r="V478" s="381"/>
      <c r="W478" s="381"/>
      <c r="X478" s="381"/>
      <c r="Y478" s="381"/>
      <c r="Z478" s="381"/>
      <c r="AA478" s="381"/>
      <c r="AB478" s="381"/>
      <c r="AC478" s="381"/>
    </row>
    <row r="479">
      <c r="A479" s="395"/>
      <c r="B479" s="102"/>
      <c r="C479" s="110"/>
      <c r="D479" s="396"/>
      <c r="E479" s="397"/>
      <c r="F479" s="106"/>
      <c r="G479" s="106"/>
      <c r="H479" s="106"/>
      <c r="I479" s="396"/>
      <c r="J479" s="108"/>
      <c r="K479" s="107"/>
      <c r="L479" s="109"/>
      <c r="M479" s="109"/>
      <c r="N479" s="110"/>
      <c r="O479" s="123"/>
      <c r="P479" s="109"/>
      <c r="Q479" s="109"/>
      <c r="R479" s="109"/>
      <c r="S479" s="109"/>
      <c r="T479" s="109"/>
      <c r="U479" s="381"/>
      <c r="V479" s="381"/>
      <c r="W479" s="381"/>
      <c r="X479" s="381"/>
      <c r="Y479" s="381"/>
      <c r="Z479" s="381"/>
      <c r="AA479" s="381"/>
      <c r="AB479" s="381"/>
      <c r="AC479" s="381"/>
    </row>
    <row r="480">
      <c r="A480" s="398"/>
      <c r="B480" s="91"/>
      <c r="C480" s="100"/>
      <c r="D480" s="399"/>
      <c r="E480" s="400"/>
      <c r="F480" s="95"/>
      <c r="G480" s="95"/>
      <c r="H480" s="95"/>
      <c r="I480" s="399"/>
      <c r="J480" s="97"/>
      <c r="K480" s="96"/>
      <c r="L480" s="99"/>
      <c r="M480" s="99"/>
      <c r="N480" s="100"/>
      <c r="O480" s="124"/>
      <c r="P480" s="99"/>
      <c r="Q480" s="99"/>
      <c r="R480" s="99"/>
      <c r="S480" s="99"/>
      <c r="T480" s="99"/>
      <c r="U480" s="381"/>
      <c r="V480" s="381"/>
      <c r="W480" s="381"/>
      <c r="X480" s="381"/>
      <c r="Y480" s="381"/>
      <c r="Z480" s="381"/>
      <c r="AA480" s="381"/>
      <c r="AB480" s="381"/>
      <c r="AC480" s="381"/>
    </row>
    <row r="481">
      <c r="A481" s="395"/>
      <c r="B481" s="102"/>
      <c r="C481" s="110"/>
      <c r="D481" s="396"/>
      <c r="E481" s="397"/>
      <c r="F481" s="106"/>
      <c r="G481" s="106"/>
      <c r="H481" s="106"/>
      <c r="I481" s="396"/>
      <c r="J481" s="108"/>
      <c r="K481" s="107"/>
      <c r="L481" s="109"/>
      <c r="M481" s="109"/>
      <c r="N481" s="110"/>
      <c r="O481" s="123"/>
      <c r="P481" s="109"/>
      <c r="Q481" s="109"/>
      <c r="R481" s="109"/>
      <c r="S481" s="109"/>
      <c r="T481" s="109"/>
      <c r="U481" s="381"/>
      <c r="V481" s="381"/>
      <c r="W481" s="381"/>
      <c r="X481" s="381"/>
      <c r="Y481" s="381"/>
      <c r="Z481" s="381"/>
      <c r="AA481" s="381"/>
      <c r="AB481" s="381"/>
      <c r="AC481" s="381"/>
    </row>
    <row r="482">
      <c r="A482" s="398"/>
      <c r="B482" s="91"/>
      <c r="C482" s="100"/>
      <c r="D482" s="399"/>
      <c r="E482" s="400"/>
      <c r="F482" s="95"/>
      <c r="G482" s="95"/>
      <c r="H482" s="95"/>
      <c r="I482" s="399"/>
      <c r="J482" s="97"/>
      <c r="K482" s="96"/>
      <c r="L482" s="99"/>
      <c r="M482" s="99"/>
      <c r="N482" s="100"/>
      <c r="O482" s="124"/>
      <c r="P482" s="99"/>
      <c r="Q482" s="99"/>
      <c r="R482" s="99"/>
      <c r="S482" s="99"/>
      <c r="T482" s="99"/>
      <c r="U482" s="381"/>
      <c r="V482" s="381"/>
      <c r="W482" s="381"/>
      <c r="X482" s="381"/>
      <c r="Y482" s="381"/>
      <c r="Z482" s="381"/>
      <c r="AA482" s="381"/>
      <c r="AB482" s="381"/>
      <c r="AC482" s="381"/>
    </row>
    <row r="483">
      <c r="A483" s="395"/>
      <c r="B483" s="102"/>
      <c r="C483" s="110"/>
      <c r="D483" s="396"/>
      <c r="E483" s="397"/>
      <c r="F483" s="106"/>
      <c r="G483" s="106"/>
      <c r="H483" s="106"/>
      <c r="I483" s="396"/>
      <c r="J483" s="108"/>
      <c r="K483" s="107"/>
      <c r="L483" s="109"/>
      <c r="M483" s="109"/>
      <c r="N483" s="110"/>
      <c r="O483" s="123"/>
      <c r="P483" s="109"/>
      <c r="Q483" s="109"/>
      <c r="R483" s="109"/>
      <c r="S483" s="109"/>
      <c r="T483" s="109"/>
      <c r="U483" s="381"/>
      <c r="V483" s="381"/>
      <c r="W483" s="381"/>
      <c r="X483" s="381"/>
      <c r="Y483" s="381"/>
      <c r="Z483" s="381"/>
      <c r="AA483" s="381"/>
      <c r="AB483" s="381"/>
      <c r="AC483" s="381"/>
    </row>
    <row r="484">
      <c r="A484" s="398"/>
      <c r="B484" s="91"/>
      <c r="C484" s="100"/>
      <c r="D484" s="399"/>
      <c r="E484" s="400"/>
      <c r="F484" s="95"/>
      <c r="G484" s="95"/>
      <c r="H484" s="95"/>
      <c r="I484" s="399"/>
      <c r="J484" s="97"/>
      <c r="K484" s="96"/>
      <c r="L484" s="99"/>
      <c r="M484" s="99"/>
      <c r="N484" s="100"/>
      <c r="O484" s="124"/>
      <c r="P484" s="99"/>
      <c r="Q484" s="99"/>
      <c r="R484" s="99"/>
      <c r="S484" s="99"/>
      <c r="T484" s="99"/>
      <c r="U484" s="381"/>
      <c r="V484" s="381"/>
      <c r="W484" s="381"/>
      <c r="X484" s="381"/>
      <c r="Y484" s="381"/>
      <c r="Z484" s="381"/>
      <c r="AA484" s="381"/>
      <c r="AB484" s="381"/>
      <c r="AC484" s="381"/>
    </row>
    <row r="485">
      <c r="A485" s="395"/>
      <c r="B485" s="102"/>
      <c r="C485" s="110"/>
      <c r="D485" s="396"/>
      <c r="E485" s="397"/>
      <c r="F485" s="106"/>
      <c r="G485" s="106"/>
      <c r="H485" s="106"/>
      <c r="I485" s="396"/>
      <c r="J485" s="108"/>
      <c r="K485" s="107"/>
      <c r="L485" s="109"/>
      <c r="M485" s="109"/>
      <c r="N485" s="110"/>
      <c r="O485" s="123"/>
      <c r="P485" s="109"/>
      <c r="Q485" s="109"/>
      <c r="R485" s="109"/>
      <c r="S485" s="109"/>
      <c r="T485" s="109"/>
      <c r="U485" s="381"/>
      <c r="V485" s="381"/>
      <c r="W485" s="381"/>
      <c r="X485" s="381"/>
      <c r="Y485" s="381"/>
      <c r="Z485" s="381"/>
      <c r="AA485" s="381"/>
      <c r="AB485" s="381"/>
      <c r="AC485" s="381"/>
    </row>
    <row r="486">
      <c r="A486" s="398"/>
      <c r="B486" s="91"/>
      <c r="C486" s="100"/>
      <c r="D486" s="399"/>
      <c r="E486" s="400"/>
      <c r="F486" s="95"/>
      <c r="G486" s="95"/>
      <c r="H486" s="95"/>
      <c r="I486" s="399"/>
      <c r="J486" s="97"/>
      <c r="K486" s="96"/>
      <c r="L486" s="99"/>
      <c r="M486" s="99"/>
      <c r="N486" s="100"/>
      <c r="O486" s="124"/>
      <c r="P486" s="99"/>
      <c r="Q486" s="99"/>
      <c r="R486" s="99"/>
      <c r="S486" s="99"/>
      <c r="T486" s="99"/>
      <c r="U486" s="381"/>
      <c r="V486" s="381"/>
      <c r="W486" s="381"/>
      <c r="X486" s="381"/>
      <c r="Y486" s="381"/>
      <c r="Z486" s="381"/>
      <c r="AA486" s="381"/>
      <c r="AB486" s="381"/>
      <c r="AC486" s="381"/>
    </row>
    <row r="487">
      <c r="A487" s="395"/>
      <c r="B487" s="102"/>
      <c r="C487" s="110"/>
      <c r="D487" s="396"/>
      <c r="E487" s="397"/>
      <c r="F487" s="106"/>
      <c r="G487" s="106"/>
      <c r="H487" s="106"/>
      <c r="I487" s="396"/>
      <c r="J487" s="108"/>
      <c r="K487" s="107"/>
      <c r="L487" s="109"/>
      <c r="M487" s="109"/>
      <c r="N487" s="110"/>
      <c r="O487" s="123"/>
      <c r="P487" s="109"/>
      <c r="Q487" s="109"/>
      <c r="R487" s="109"/>
      <c r="S487" s="109"/>
      <c r="T487" s="109"/>
      <c r="U487" s="381"/>
      <c r="V487" s="381"/>
      <c r="W487" s="381"/>
      <c r="X487" s="381"/>
      <c r="Y487" s="381"/>
      <c r="Z487" s="381"/>
      <c r="AA487" s="381"/>
      <c r="AB487" s="381"/>
      <c r="AC487" s="381"/>
    </row>
    <row r="488">
      <c r="A488" s="398"/>
      <c r="B488" s="91"/>
      <c r="C488" s="100"/>
      <c r="D488" s="399"/>
      <c r="E488" s="400"/>
      <c r="F488" s="95"/>
      <c r="G488" s="95"/>
      <c r="H488" s="95"/>
      <c r="I488" s="399"/>
      <c r="J488" s="97"/>
      <c r="K488" s="96"/>
      <c r="L488" s="99"/>
      <c r="M488" s="99"/>
      <c r="N488" s="100"/>
      <c r="O488" s="124"/>
      <c r="P488" s="99"/>
      <c r="Q488" s="99"/>
      <c r="R488" s="99"/>
      <c r="S488" s="99"/>
      <c r="T488" s="99"/>
      <c r="U488" s="381"/>
      <c r="V488" s="381"/>
      <c r="W488" s="381"/>
      <c r="X488" s="381"/>
      <c r="Y488" s="381"/>
      <c r="Z488" s="381"/>
      <c r="AA488" s="381"/>
      <c r="AB488" s="381"/>
      <c r="AC488" s="381"/>
    </row>
    <row r="489">
      <c r="A489" s="395"/>
      <c r="B489" s="102"/>
      <c r="C489" s="110"/>
      <c r="D489" s="396"/>
      <c r="E489" s="397"/>
      <c r="F489" s="106"/>
      <c r="G489" s="106"/>
      <c r="H489" s="106"/>
      <c r="I489" s="396"/>
      <c r="J489" s="108"/>
      <c r="K489" s="107"/>
      <c r="L489" s="109"/>
      <c r="M489" s="109"/>
      <c r="N489" s="110"/>
      <c r="O489" s="123"/>
      <c r="P489" s="109"/>
      <c r="Q489" s="109"/>
      <c r="R489" s="109"/>
      <c r="S489" s="109"/>
      <c r="T489" s="109"/>
      <c r="U489" s="381"/>
      <c r="V489" s="381"/>
      <c r="W489" s="381"/>
      <c r="X489" s="381"/>
      <c r="Y489" s="381"/>
      <c r="Z489" s="381"/>
      <c r="AA489" s="381"/>
      <c r="AB489" s="381"/>
      <c r="AC489" s="381"/>
    </row>
    <row r="490">
      <c r="A490" s="398"/>
      <c r="B490" s="91"/>
      <c r="C490" s="100"/>
      <c r="D490" s="399"/>
      <c r="E490" s="400"/>
      <c r="F490" s="95"/>
      <c r="G490" s="95"/>
      <c r="H490" s="95"/>
      <c r="I490" s="399"/>
      <c r="J490" s="97"/>
      <c r="K490" s="96"/>
      <c r="L490" s="99"/>
      <c r="M490" s="99"/>
      <c r="N490" s="100"/>
      <c r="O490" s="124"/>
      <c r="P490" s="99"/>
      <c r="Q490" s="99"/>
      <c r="R490" s="99"/>
      <c r="S490" s="99"/>
      <c r="T490" s="99"/>
      <c r="U490" s="381"/>
      <c r="V490" s="381"/>
      <c r="W490" s="381"/>
      <c r="X490" s="381"/>
      <c r="Y490" s="381"/>
      <c r="Z490" s="381"/>
      <c r="AA490" s="381"/>
      <c r="AB490" s="381"/>
      <c r="AC490" s="381"/>
    </row>
    <row r="491">
      <c r="A491" s="395"/>
      <c r="B491" s="102"/>
      <c r="C491" s="110"/>
      <c r="D491" s="396"/>
      <c r="E491" s="397"/>
      <c r="F491" s="106"/>
      <c r="G491" s="106"/>
      <c r="H491" s="106"/>
      <c r="I491" s="396"/>
      <c r="J491" s="108"/>
      <c r="K491" s="107"/>
      <c r="L491" s="109"/>
      <c r="M491" s="109"/>
      <c r="N491" s="110"/>
      <c r="O491" s="123"/>
      <c r="P491" s="109"/>
      <c r="Q491" s="109"/>
      <c r="R491" s="109"/>
      <c r="S491" s="109"/>
      <c r="T491" s="109"/>
      <c r="U491" s="381"/>
      <c r="V491" s="381"/>
      <c r="W491" s="381"/>
      <c r="X491" s="381"/>
      <c r="Y491" s="381"/>
      <c r="Z491" s="381"/>
      <c r="AA491" s="381"/>
      <c r="AB491" s="381"/>
      <c r="AC491" s="381"/>
    </row>
    <row r="492">
      <c r="A492" s="398"/>
      <c r="B492" s="91"/>
      <c r="C492" s="100"/>
      <c r="D492" s="399"/>
      <c r="E492" s="400"/>
      <c r="F492" s="95"/>
      <c r="G492" s="95"/>
      <c r="H492" s="95"/>
      <c r="I492" s="399"/>
      <c r="J492" s="97"/>
      <c r="K492" s="96"/>
      <c r="L492" s="99"/>
      <c r="M492" s="99"/>
      <c r="N492" s="100"/>
      <c r="O492" s="124"/>
      <c r="P492" s="99"/>
      <c r="Q492" s="99"/>
      <c r="R492" s="99"/>
      <c r="S492" s="99"/>
      <c r="T492" s="99"/>
      <c r="U492" s="381"/>
      <c r="V492" s="381"/>
      <c r="W492" s="381"/>
      <c r="X492" s="381"/>
      <c r="Y492" s="381"/>
      <c r="Z492" s="381"/>
      <c r="AA492" s="381"/>
      <c r="AB492" s="381"/>
      <c r="AC492" s="381"/>
    </row>
    <row r="493">
      <c r="A493" s="395"/>
      <c r="B493" s="102"/>
      <c r="C493" s="110"/>
      <c r="D493" s="396"/>
      <c r="E493" s="397"/>
      <c r="F493" s="106"/>
      <c r="G493" s="106"/>
      <c r="H493" s="106"/>
      <c r="I493" s="396"/>
      <c r="J493" s="108"/>
      <c r="K493" s="107"/>
      <c r="L493" s="109"/>
      <c r="M493" s="109"/>
      <c r="N493" s="110"/>
      <c r="O493" s="123"/>
      <c r="P493" s="109"/>
      <c r="Q493" s="109"/>
      <c r="R493" s="109"/>
      <c r="S493" s="109"/>
      <c r="T493" s="109"/>
      <c r="U493" s="381"/>
      <c r="V493" s="381"/>
      <c r="W493" s="381"/>
      <c r="X493" s="381"/>
      <c r="Y493" s="381"/>
      <c r="Z493" s="381"/>
      <c r="AA493" s="381"/>
      <c r="AB493" s="381"/>
      <c r="AC493" s="381"/>
    </row>
    <row r="494">
      <c r="A494" s="398"/>
      <c r="B494" s="91"/>
      <c r="C494" s="100"/>
      <c r="D494" s="399"/>
      <c r="E494" s="400"/>
      <c r="F494" s="95"/>
      <c r="G494" s="95"/>
      <c r="H494" s="95"/>
      <c r="I494" s="399"/>
      <c r="J494" s="97"/>
      <c r="K494" s="96"/>
      <c r="L494" s="99"/>
      <c r="M494" s="99"/>
      <c r="N494" s="100"/>
      <c r="O494" s="124"/>
      <c r="P494" s="99"/>
      <c r="Q494" s="99"/>
      <c r="R494" s="99"/>
      <c r="S494" s="99"/>
      <c r="T494" s="99"/>
      <c r="U494" s="381"/>
      <c r="V494" s="381"/>
      <c r="W494" s="381"/>
      <c r="X494" s="381"/>
      <c r="Y494" s="381"/>
      <c r="Z494" s="381"/>
      <c r="AA494" s="381"/>
      <c r="AB494" s="381"/>
      <c r="AC494" s="381"/>
    </row>
    <row r="495">
      <c r="A495" s="395"/>
      <c r="B495" s="102"/>
      <c r="C495" s="110"/>
      <c r="D495" s="396"/>
      <c r="E495" s="397"/>
      <c r="F495" s="106"/>
      <c r="G495" s="106"/>
      <c r="H495" s="106"/>
      <c r="I495" s="396"/>
      <c r="J495" s="108"/>
      <c r="K495" s="107"/>
      <c r="L495" s="109"/>
      <c r="M495" s="109"/>
      <c r="N495" s="110"/>
      <c r="O495" s="123"/>
      <c r="P495" s="109"/>
      <c r="Q495" s="109"/>
      <c r="R495" s="109"/>
      <c r="S495" s="109"/>
      <c r="T495" s="109"/>
      <c r="U495" s="381"/>
      <c r="V495" s="381"/>
      <c r="W495" s="381"/>
      <c r="X495" s="381"/>
      <c r="Y495" s="381"/>
      <c r="Z495" s="381"/>
      <c r="AA495" s="381"/>
      <c r="AB495" s="381"/>
      <c r="AC495" s="381"/>
    </row>
    <row r="496">
      <c r="A496" s="398"/>
      <c r="B496" s="91"/>
      <c r="C496" s="100"/>
      <c r="D496" s="399"/>
      <c r="E496" s="400"/>
      <c r="F496" s="95"/>
      <c r="G496" s="95"/>
      <c r="H496" s="95"/>
      <c r="I496" s="399"/>
      <c r="J496" s="97"/>
      <c r="K496" s="96"/>
      <c r="L496" s="99"/>
      <c r="M496" s="99"/>
      <c r="N496" s="100"/>
      <c r="O496" s="124"/>
      <c r="P496" s="99"/>
      <c r="Q496" s="99"/>
      <c r="R496" s="99"/>
      <c r="S496" s="99"/>
      <c r="T496" s="99"/>
      <c r="U496" s="381"/>
      <c r="V496" s="381"/>
      <c r="W496" s="381"/>
      <c r="X496" s="381"/>
      <c r="Y496" s="381"/>
      <c r="Z496" s="381"/>
      <c r="AA496" s="381"/>
      <c r="AB496" s="381"/>
      <c r="AC496" s="381"/>
    </row>
    <row r="497">
      <c r="A497" s="395"/>
      <c r="B497" s="102"/>
      <c r="C497" s="110"/>
      <c r="D497" s="396"/>
      <c r="E497" s="397"/>
      <c r="F497" s="106"/>
      <c r="G497" s="106"/>
      <c r="H497" s="106"/>
      <c r="I497" s="396"/>
      <c r="J497" s="108"/>
      <c r="K497" s="107"/>
      <c r="L497" s="109"/>
      <c r="M497" s="109"/>
      <c r="N497" s="110"/>
      <c r="O497" s="123"/>
      <c r="P497" s="109"/>
      <c r="Q497" s="109"/>
      <c r="R497" s="109"/>
      <c r="S497" s="109"/>
      <c r="T497" s="109"/>
      <c r="U497" s="381"/>
      <c r="V497" s="381"/>
      <c r="W497" s="381"/>
      <c r="X497" s="381"/>
      <c r="Y497" s="381"/>
      <c r="Z497" s="381"/>
      <c r="AA497" s="381"/>
      <c r="AB497" s="381"/>
      <c r="AC497" s="381"/>
    </row>
    <row r="498">
      <c r="A498" s="398"/>
      <c r="B498" s="91"/>
      <c r="C498" s="100"/>
      <c r="D498" s="399"/>
      <c r="E498" s="400"/>
      <c r="F498" s="95"/>
      <c r="G498" s="95"/>
      <c r="H498" s="95"/>
      <c r="I498" s="399"/>
      <c r="J498" s="97"/>
      <c r="K498" s="96"/>
      <c r="L498" s="99"/>
      <c r="M498" s="99"/>
      <c r="N498" s="100"/>
      <c r="O498" s="124"/>
      <c r="P498" s="99"/>
      <c r="Q498" s="99"/>
      <c r="R498" s="99"/>
      <c r="S498" s="99"/>
      <c r="T498" s="99"/>
      <c r="U498" s="381"/>
      <c r="V498" s="381"/>
      <c r="W498" s="381"/>
      <c r="X498" s="381"/>
      <c r="Y498" s="381"/>
      <c r="Z498" s="381"/>
      <c r="AA498" s="381"/>
      <c r="AB498" s="381"/>
      <c r="AC498" s="381"/>
    </row>
    <row r="499">
      <c r="A499" s="395"/>
      <c r="B499" s="102"/>
      <c r="C499" s="110"/>
      <c r="D499" s="396"/>
      <c r="E499" s="397"/>
      <c r="F499" s="106"/>
      <c r="G499" s="106"/>
      <c r="H499" s="106"/>
      <c r="I499" s="396"/>
      <c r="J499" s="108"/>
      <c r="K499" s="107"/>
      <c r="L499" s="109"/>
      <c r="M499" s="109"/>
      <c r="N499" s="110"/>
      <c r="O499" s="123"/>
      <c r="P499" s="109"/>
      <c r="Q499" s="109"/>
      <c r="R499" s="109"/>
      <c r="S499" s="109"/>
      <c r="T499" s="109"/>
      <c r="U499" s="381"/>
      <c r="V499" s="381"/>
      <c r="W499" s="381"/>
      <c r="X499" s="381"/>
      <c r="Y499" s="381"/>
      <c r="Z499" s="381"/>
      <c r="AA499" s="381"/>
      <c r="AB499" s="381"/>
      <c r="AC499" s="381"/>
    </row>
    <row r="500">
      <c r="A500" s="398"/>
      <c r="B500" s="91"/>
      <c r="C500" s="100"/>
      <c r="D500" s="399"/>
      <c r="E500" s="400"/>
      <c r="F500" s="95"/>
      <c r="G500" s="95"/>
      <c r="H500" s="95"/>
      <c r="I500" s="399"/>
      <c r="J500" s="97"/>
      <c r="K500" s="96"/>
      <c r="L500" s="99"/>
      <c r="M500" s="99"/>
      <c r="N500" s="100"/>
      <c r="O500" s="124"/>
      <c r="P500" s="99"/>
      <c r="Q500" s="99"/>
      <c r="R500" s="99"/>
      <c r="S500" s="99"/>
      <c r="T500" s="99"/>
      <c r="U500" s="381"/>
      <c r="V500" s="381"/>
      <c r="W500" s="381"/>
      <c r="X500" s="381"/>
      <c r="Y500" s="381"/>
      <c r="Z500" s="381"/>
      <c r="AA500" s="381"/>
      <c r="AB500" s="381"/>
      <c r="AC500" s="381"/>
    </row>
    <row r="501">
      <c r="A501" s="395"/>
      <c r="B501" s="102"/>
      <c r="C501" s="110"/>
      <c r="D501" s="396"/>
      <c r="E501" s="397"/>
      <c r="F501" s="106"/>
      <c r="G501" s="106"/>
      <c r="H501" s="106"/>
      <c r="I501" s="396"/>
      <c r="J501" s="108"/>
      <c r="K501" s="107"/>
      <c r="L501" s="109"/>
      <c r="M501" s="109"/>
      <c r="N501" s="110"/>
      <c r="O501" s="123"/>
      <c r="P501" s="109"/>
      <c r="Q501" s="109"/>
      <c r="R501" s="109"/>
      <c r="S501" s="109"/>
      <c r="T501" s="109"/>
      <c r="U501" s="381"/>
      <c r="V501" s="381"/>
      <c r="W501" s="381"/>
      <c r="X501" s="381"/>
      <c r="Y501" s="381"/>
      <c r="Z501" s="381"/>
      <c r="AA501" s="381"/>
      <c r="AB501" s="381"/>
      <c r="AC501" s="381"/>
    </row>
    <row r="502">
      <c r="A502" s="398"/>
      <c r="B502" s="91"/>
      <c r="C502" s="100"/>
      <c r="D502" s="399"/>
      <c r="E502" s="400"/>
      <c r="F502" s="95"/>
      <c r="G502" s="95"/>
      <c r="H502" s="95"/>
      <c r="I502" s="399"/>
      <c r="J502" s="97"/>
      <c r="K502" s="96"/>
      <c r="L502" s="99"/>
      <c r="M502" s="99"/>
      <c r="N502" s="100"/>
      <c r="O502" s="124"/>
      <c r="P502" s="99"/>
      <c r="Q502" s="99"/>
      <c r="R502" s="99"/>
      <c r="S502" s="99"/>
      <c r="T502" s="99"/>
      <c r="U502" s="381"/>
      <c r="V502" s="381"/>
      <c r="W502" s="381"/>
      <c r="X502" s="381"/>
      <c r="Y502" s="381"/>
      <c r="Z502" s="381"/>
      <c r="AA502" s="381"/>
      <c r="AB502" s="381"/>
      <c r="AC502" s="381"/>
    </row>
    <row r="503">
      <c r="A503" s="395"/>
      <c r="B503" s="102"/>
      <c r="C503" s="110"/>
      <c r="D503" s="396"/>
      <c r="E503" s="397"/>
      <c r="F503" s="106"/>
      <c r="G503" s="106"/>
      <c r="H503" s="106"/>
      <c r="I503" s="396"/>
      <c r="J503" s="108"/>
      <c r="K503" s="107"/>
      <c r="L503" s="109"/>
      <c r="M503" s="109"/>
      <c r="N503" s="110"/>
      <c r="O503" s="123"/>
      <c r="P503" s="109"/>
      <c r="Q503" s="109"/>
      <c r="R503" s="109"/>
      <c r="S503" s="109"/>
      <c r="T503" s="109"/>
      <c r="U503" s="381"/>
      <c r="V503" s="381"/>
      <c r="W503" s="381"/>
      <c r="X503" s="381"/>
      <c r="Y503" s="381"/>
      <c r="Z503" s="381"/>
      <c r="AA503" s="381"/>
      <c r="AB503" s="381"/>
      <c r="AC503" s="381"/>
    </row>
    <row r="504">
      <c r="A504" s="398"/>
      <c r="B504" s="91"/>
      <c r="C504" s="100"/>
      <c r="D504" s="399"/>
      <c r="E504" s="400"/>
      <c r="F504" s="95"/>
      <c r="G504" s="95"/>
      <c r="H504" s="95"/>
      <c r="I504" s="399"/>
      <c r="J504" s="97"/>
      <c r="K504" s="96"/>
      <c r="L504" s="99"/>
      <c r="M504" s="99"/>
      <c r="N504" s="100"/>
      <c r="O504" s="124"/>
      <c r="P504" s="99"/>
      <c r="Q504" s="99"/>
      <c r="R504" s="99"/>
      <c r="S504" s="99"/>
      <c r="T504" s="99"/>
      <c r="U504" s="381"/>
      <c r="V504" s="381"/>
      <c r="W504" s="381"/>
      <c r="X504" s="381"/>
      <c r="Y504" s="381"/>
      <c r="Z504" s="381"/>
      <c r="AA504" s="381"/>
      <c r="AB504" s="381"/>
      <c r="AC504" s="381"/>
    </row>
    <row r="505">
      <c r="A505" s="395"/>
      <c r="B505" s="102"/>
      <c r="C505" s="110"/>
      <c r="D505" s="396"/>
      <c r="E505" s="397"/>
      <c r="F505" s="106"/>
      <c r="G505" s="106"/>
      <c r="H505" s="106"/>
      <c r="I505" s="396"/>
      <c r="J505" s="108"/>
      <c r="K505" s="107"/>
      <c r="L505" s="109"/>
      <c r="M505" s="109"/>
      <c r="N505" s="110"/>
      <c r="O505" s="123"/>
      <c r="P505" s="109"/>
      <c r="Q505" s="109"/>
      <c r="R505" s="109"/>
      <c r="S505" s="109"/>
      <c r="T505" s="109"/>
      <c r="U505" s="381"/>
      <c r="V505" s="381"/>
      <c r="W505" s="381"/>
      <c r="X505" s="381"/>
      <c r="Y505" s="381"/>
      <c r="Z505" s="381"/>
      <c r="AA505" s="381"/>
      <c r="AB505" s="381"/>
      <c r="AC505" s="381"/>
    </row>
    <row r="506">
      <c r="A506" s="398"/>
      <c r="B506" s="91"/>
      <c r="C506" s="100"/>
      <c r="D506" s="399"/>
      <c r="E506" s="400"/>
      <c r="F506" s="95"/>
      <c r="G506" s="95"/>
      <c r="H506" s="95"/>
      <c r="I506" s="399"/>
      <c r="J506" s="97"/>
      <c r="K506" s="96"/>
      <c r="L506" s="99"/>
      <c r="M506" s="99"/>
      <c r="N506" s="100"/>
      <c r="O506" s="124"/>
      <c r="P506" s="99"/>
      <c r="Q506" s="99"/>
      <c r="R506" s="99"/>
      <c r="S506" s="99"/>
      <c r="T506" s="99"/>
      <c r="U506" s="381"/>
      <c r="V506" s="381"/>
      <c r="W506" s="381"/>
      <c r="X506" s="381"/>
      <c r="Y506" s="381"/>
      <c r="Z506" s="381"/>
      <c r="AA506" s="381"/>
      <c r="AB506" s="381"/>
      <c r="AC506" s="381"/>
    </row>
    <row r="507">
      <c r="A507" s="395"/>
      <c r="B507" s="102"/>
      <c r="C507" s="110"/>
      <c r="D507" s="396"/>
      <c r="E507" s="397"/>
      <c r="F507" s="106"/>
      <c r="G507" s="106"/>
      <c r="H507" s="106"/>
      <c r="I507" s="396"/>
      <c r="J507" s="108"/>
      <c r="K507" s="107"/>
      <c r="L507" s="109"/>
      <c r="M507" s="109"/>
      <c r="N507" s="110"/>
      <c r="O507" s="123"/>
      <c r="P507" s="109"/>
      <c r="Q507" s="109"/>
      <c r="R507" s="109"/>
      <c r="S507" s="109"/>
      <c r="T507" s="109"/>
      <c r="U507" s="381"/>
      <c r="V507" s="381"/>
      <c r="W507" s="381"/>
      <c r="X507" s="381"/>
      <c r="Y507" s="381"/>
      <c r="Z507" s="381"/>
      <c r="AA507" s="381"/>
      <c r="AB507" s="381"/>
      <c r="AC507" s="381"/>
    </row>
    <row r="508">
      <c r="A508" s="398"/>
      <c r="B508" s="91"/>
      <c r="C508" s="100"/>
      <c r="D508" s="399"/>
      <c r="E508" s="400"/>
      <c r="F508" s="95"/>
      <c r="G508" s="95"/>
      <c r="H508" s="95"/>
      <c r="I508" s="399"/>
      <c r="J508" s="97"/>
      <c r="K508" s="96"/>
      <c r="L508" s="99"/>
      <c r="M508" s="99"/>
      <c r="N508" s="100"/>
      <c r="O508" s="124"/>
      <c r="P508" s="99"/>
      <c r="Q508" s="99"/>
      <c r="R508" s="99"/>
      <c r="S508" s="99"/>
      <c r="T508" s="99"/>
      <c r="U508" s="381"/>
      <c r="V508" s="381"/>
      <c r="W508" s="381"/>
      <c r="X508" s="381"/>
      <c r="Y508" s="381"/>
      <c r="Z508" s="381"/>
      <c r="AA508" s="381"/>
      <c r="AB508" s="381"/>
      <c r="AC508" s="381"/>
    </row>
    <row r="509">
      <c r="A509" s="395"/>
      <c r="B509" s="102"/>
      <c r="C509" s="110"/>
      <c r="D509" s="396"/>
      <c r="E509" s="397"/>
      <c r="F509" s="106"/>
      <c r="G509" s="106"/>
      <c r="H509" s="106"/>
      <c r="I509" s="396"/>
      <c r="J509" s="108"/>
      <c r="K509" s="107"/>
      <c r="L509" s="109"/>
      <c r="M509" s="109"/>
      <c r="N509" s="110"/>
      <c r="O509" s="123"/>
      <c r="P509" s="109"/>
      <c r="Q509" s="109"/>
      <c r="R509" s="109"/>
      <c r="S509" s="109"/>
      <c r="T509" s="109"/>
      <c r="U509" s="381"/>
      <c r="V509" s="381"/>
      <c r="W509" s="381"/>
      <c r="X509" s="381"/>
      <c r="Y509" s="381"/>
      <c r="Z509" s="381"/>
      <c r="AA509" s="381"/>
      <c r="AB509" s="381"/>
      <c r="AC509" s="381"/>
    </row>
    <row r="510">
      <c r="A510" s="398"/>
      <c r="B510" s="91"/>
      <c r="C510" s="100"/>
      <c r="D510" s="399"/>
      <c r="E510" s="400"/>
      <c r="F510" s="95"/>
      <c r="G510" s="95"/>
      <c r="H510" s="95"/>
      <c r="I510" s="399"/>
      <c r="J510" s="97"/>
      <c r="K510" s="96"/>
      <c r="L510" s="99"/>
      <c r="M510" s="99"/>
      <c r="N510" s="100"/>
      <c r="O510" s="124"/>
      <c r="P510" s="99"/>
      <c r="Q510" s="99"/>
      <c r="R510" s="99"/>
      <c r="S510" s="99"/>
      <c r="T510" s="99"/>
      <c r="U510" s="381"/>
      <c r="V510" s="381"/>
      <c r="W510" s="381"/>
      <c r="X510" s="381"/>
      <c r="Y510" s="381"/>
      <c r="Z510" s="381"/>
      <c r="AA510" s="381"/>
      <c r="AB510" s="381"/>
      <c r="AC510" s="381"/>
    </row>
    <row r="511">
      <c r="A511" s="395"/>
      <c r="B511" s="102"/>
      <c r="C511" s="110"/>
      <c r="D511" s="396"/>
      <c r="E511" s="397"/>
      <c r="F511" s="106"/>
      <c r="G511" s="106"/>
      <c r="H511" s="106"/>
      <c r="I511" s="396"/>
      <c r="J511" s="108"/>
      <c r="K511" s="107"/>
      <c r="L511" s="109"/>
      <c r="M511" s="109"/>
      <c r="N511" s="110"/>
      <c r="O511" s="123"/>
      <c r="P511" s="109"/>
      <c r="Q511" s="109"/>
      <c r="R511" s="109"/>
      <c r="S511" s="109"/>
      <c r="T511" s="109"/>
      <c r="U511" s="381"/>
      <c r="V511" s="381"/>
      <c r="W511" s="381"/>
      <c r="X511" s="381"/>
      <c r="Y511" s="381"/>
      <c r="Z511" s="381"/>
      <c r="AA511" s="381"/>
      <c r="AB511" s="381"/>
      <c r="AC511" s="381"/>
    </row>
    <row r="512">
      <c r="A512" s="398"/>
      <c r="B512" s="91"/>
      <c r="C512" s="100"/>
      <c r="D512" s="399"/>
      <c r="E512" s="400"/>
      <c r="F512" s="95"/>
      <c r="G512" s="95"/>
      <c r="H512" s="95"/>
      <c r="I512" s="399"/>
      <c r="J512" s="97"/>
      <c r="K512" s="96"/>
      <c r="L512" s="99"/>
      <c r="M512" s="99"/>
      <c r="N512" s="100"/>
      <c r="O512" s="124"/>
      <c r="P512" s="99"/>
      <c r="Q512" s="99"/>
      <c r="R512" s="99"/>
      <c r="S512" s="99"/>
      <c r="T512" s="99"/>
      <c r="U512" s="381"/>
      <c r="V512" s="381"/>
      <c r="W512" s="381"/>
      <c r="X512" s="381"/>
      <c r="Y512" s="381"/>
      <c r="Z512" s="381"/>
      <c r="AA512" s="381"/>
      <c r="AB512" s="381"/>
      <c r="AC512" s="381"/>
    </row>
    <row r="513">
      <c r="A513" s="395"/>
      <c r="B513" s="102"/>
      <c r="C513" s="110"/>
      <c r="D513" s="396"/>
      <c r="E513" s="397"/>
      <c r="F513" s="106"/>
      <c r="G513" s="106"/>
      <c r="H513" s="106"/>
      <c r="I513" s="396"/>
      <c r="J513" s="108"/>
      <c r="K513" s="107"/>
      <c r="L513" s="109"/>
      <c r="M513" s="109"/>
      <c r="N513" s="110"/>
      <c r="O513" s="123"/>
      <c r="P513" s="109"/>
      <c r="Q513" s="109"/>
      <c r="R513" s="109"/>
      <c r="S513" s="109"/>
      <c r="T513" s="109"/>
      <c r="U513" s="381"/>
      <c r="V513" s="381"/>
      <c r="W513" s="381"/>
      <c r="X513" s="381"/>
      <c r="Y513" s="381"/>
      <c r="Z513" s="381"/>
      <c r="AA513" s="381"/>
      <c r="AB513" s="381"/>
      <c r="AC513" s="381"/>
    </row>
    <row r="514">
      <c r="A514" s="398"/>
      <c r="B514" s="91"/>
      <c r="C514" s="100"/>
      <c r="D514" s="399"/>
      <c r="E514" s="400"/>
      <c r="F514" s="95"/>
      <c r="G514" s="95"/>
      <c r="H514" s="95"/>
      <c r="I514" s="399"/>
      <c r="J514" s="97"/>
      <c r="K514" s="96"/>
      <c r="L514" s="99"/>
      <c r="M514" s="99"/>
      <c r="N514" s="100"/>
      <c r="O514" s="124"/>
      <c r="P514" s="99"/>
      <c r="Q514" s="99"/>
      <c r="R514" s="99"/>
      <c r="S514" s="99"/>
      <c r="T514" s="99"/>
      <c r="U514" s="381"/>
      <c r="V514" s="381"/>
      <c r="W514" s="381"/>
      <c r="X514" s="381"/>
      <c r="Y514" s="381"/>
      <c r="Z514" s="381"/>
      <c r="AA514" s="381"/>
      <c r="AB514" s="381"/>
      <c r="AC514" s="381"/>
    </row>
    <row r="515">
      <c r="A515" s="395"/>
      <c r="B515" s="102"/>
      <c r="C515" s="110"/>
      <c r="D515" s="396"/>
      <c r="E515" s="397"/>
      <c r="F515" s="106"/>
      <c r="G515" s="106"/>
      <c r="H515" s="106"/>
      <c r="I515" s="396"/>
      <c r="J515" s="108"/>
      <c r="K515" s="107"/>
      <c r="L515" s="109"/>
      <c r="M515" s="109"/>
      <c r="N515" s="110"/>
      <c r="O515" s="123"/>
      <c r="P515" s="109"/>
      <c r="Q515" s="109"/>
      <c r="R515" s="109"/>
      <c r="S515" s="109"/>
      <c r="T515" s="109"/>
      <c r="U515" s="381"/>
      <c r="V515" s="381"/>
      <c r="W515" s="381"/>
      <c r="X515" s="381"/>
      <c r="Y515" s="381"/>
      <c r="Z515" s="381"/>
      <c r="AA515" s="381"/>
      <c r="AB515" s="381"/>
      <c r="AC515" s="381"/>
    </row>
    <row r="516">
      <c r="A516" s="398"/>
      <c r="B516" s="91"/>
      <c r="C516" s="100"/>
      <c r="D516" s="399"/>
      <c r="E516" s="400"/>
      <c r="F516" s="95"/>
      <c r="G516" s="95"/>
      <c r="H516" s="95"/>
      <c r="I516" s="399"/>
      <c r="J516" s="97"/>
      <c r="K516" s="96"/>
      <c r="L516" s="99"/>
      <c r="M516" s="99"/>
      <c r="N516" s="100"/>
      <c r="O516" s="124"/>
      <c r="P516" s="99"/>
      <c r="Q516" s="99"/>
      <c r="R516" s="99"/>
      <c r="S516" s="99"/>
      <c r="T516" s="99"/>
      <c r="U516" s="381"/>
      <c r="V516" s="381"/>
      <c r="W516" s="381"/>
      <c r="X516" s="381"/>
      <c r="Y516" s="381"/>
      <c r="Z516" s="381"/>
      <c r="AA516" s="381"/>
      <c r="AB516" s="381"/>
      <c r="AC516" s="381"/>
    </row>
    <row r="517">
      <c r="A517" s="395"/>
      <c r="B517" s="102"/>
      <c r="C517" s="110"/>
      <c r="D517" s="396"/>
      <c r="E517" s="397"/>
      <c r="F517" s="106"/>
      <c r="G517" s="106"/>
      <c r="H517" s="106"/>
      <c r="I517" s="396"/>
      <c r="J517" s="108"/>
      <c r="K517" s="107"/>
      <c r="L517" s="109"/>
      <c r="M517" s="109"/>
      <c r="N517" s="110"/>
      <c r="O517" s="123"/>
      <c r="P517" s="109"/>
      <c r="Q517" s="109"/>
      <c r="R517" s="109"/>
      <c r="S517" s="109"/>
      <c r="T517" s="109"/>
      <c r="U517" s="381"/>
      <c r="V517" s="381"/>
      <c r="W517" s="381"/>
      <c r="X517" s="381"/>
      <c r="Y517" s="381"/>
      <c r="Z517" s="381"/>
      <c r="AA517" s="381"/>
      <c r="AB517" s="381"/>
      <c r="AC517" s="381"/>
    </row>
    <row r="518">
      <c r="A518" s="398"/>
      <c r="B518" s="91"/>
      <c r="C518" s="100"/>
      <c r="D518" s="399"/>
      <c r="E518" s="400"/>
      <c r="F518" s="95"/>
      <c r="G518" s="95"/>
      <c r="H518" s="95"/>
      <c r="I518" s="399"/>
      <c r="J518" s="97"/>
      <c r="K518" s="96"/>
      <c r="L518" s="99"/>
      <c r="M518" s="99"/>
      <c r="N518" s="100"/>
      <c r="O518" s="124"/>
      <c r="P518" s="99"/>
      <c r="Q518" s="99"/>
      <c r="R518" s="99"/>
      <c r="S518" s="99"/>
      <c r="T518" s="99"/>
      <c r="U518" s="381"/>
      <c r="V518" s="381"/>
      <c r="W518" s="381"/>
      <c r="X518" s="381"/>
      <c r="Y518" s="381"/>
      <c r="Z518" s="381"/>
      <c r="AA518" s="381"/>
      <c r="AB518" s="381"/>
      <c r="AC518" s="381"/>
    </row>
    <row r="519">
      <c r="A519" s="395"/>
      <c r="B519" s="102"/>
      <c r="C519" s="110"/>
      <c r="D519" s="396"/>
      <c r="E519" s="397"/>
      <c r="F519" s="106"/>
      <c r="G519" s="106"/>
      <c r="H519" s="106"/>
      <c r="I519" s="396"/>
      <c r="J519" s="108"/>
      <c r="K519" s="107"/>
      <c r="L519" s="109"/>
      <c r="M519" s="109"/>
      <c r="N519" s="110"/>
      <c r="O519" s="123"/>
      <c r="P519" s="109"/>
      <c r="Q519" s="109"/>
      <c r="R519" s="109"/>
      <c r="S519" s="109"/>
      <c r="T519" s="109"/>
      <c r="U519" s="381"/>
      <c r="V519" s="381"/>
      <c r="W519" s="381"/>
      <c r="X519" s="381"/>
      <c r="Y519" s="381"/>
      <c r="Z519" s="381"/>
      <c r="AA519" s="381"/>
      <c r="AB519" s="381"/>
      <c r="AC519" s="381"/>
    </row>
    <row r="520">
      <c r="A520" s="398"/>
      <c r="B520" s="91"/>
      <c r="C520" s="100"/>
      <c r="D520" s="399"/>
      <c r="E520" s="400"/>
      <c r="F520" s="95"/>
      <c r="G520" s="95"/>
      <c r="H520" s="95"/>
      <c r="I520" s="399"/>
      <c r="J520" s="97"/>
      <c r="K520" s="96"/>
      <c r="L520" s="99"/>
      <c r="M520" s="99"/>
      <c r="N520" s="100"/>
      <c r="O520" s="124"/>
      <c r="P520" s="99"/>
      <c r="Q520" s="99"/>
      <c r="R520" s="99"/>
      <c r="S520" s="99"/>
      <c r="T520" s="99"/>
      <c r="U520" s="381"/>
      <c r="V520" s="381"/>
      <c r="W520" s="381"/>
      <c r="X520" s="381"/>
      <c r="Y520" s="381"/>
      <c r="Z520" s="381"/>
      <c r="AA520" s="381"/>
      <c r="AB520" s="381"/>
      <c r="AC520" s="381"/>
    </row>
    <row r="521">
      <c r="A521" s="395"/>
      <c r="B521" s="102"/>
      <c r="C521" s="110"/>
      <c r="D521" s="396"/>
      <c r="E521" s="397"/>
      <c r="F521" s="106"/>
      <c r="G521" s="106"/>
      <c r="H521" s="106"/>
      <c r="I521" s="396"/>
      <c r="J521" s="108"/>
      <c r="K521" s="107"/>
      <c r="L521" s="109"/>
      <c r="M521" s="109"/>
      <c r="N521" s="110"/>
      <c r="O521" s="123"/>
      <c r="P521" s="109"/>
      <c r="Q521" s="109"/>
      <c r="R521" s="109"/>
      <c r="S521" s="109"/>
      <c r="T521" s="109"/>
      <c r="U521" s="381"/>
      <c r="V521" s="381"/>
      <c r="W521" s="381"/>
      <c r="X521" s="381"/>
      <c r="Y521" s="381"/>
      <c r="Z521" s="381"/>
      <c r="AA521" s="381"/>
      <c r="AB521" s="381"/>
      <c r="AC521" s="381"/>
    </row>
    <row r="522">
      <c r="A522" s="398"/>
      <c r="B522" s="91"/>
      <c r="C522" s="100"/>
      <c r="D522" s="399"/>
      <c r="E522" s="400"/>
      <c r="F522" s="95"/>
      <c r="G522" s="95"/>
      <c r="H522" s="95"/>
      <c r="I522" s="399"/>
      <c r="J522" s="97"/>
      <c r="K522" s="96"/>
      <c r="L522" s="99"/>
      <c r="M522" s="99"/>
      <c r="N522" s="100"/>
      <c r="O522" s="124"/>
      <c r="P522" s="99"/>
      <c r="Q522" s="99"/>
      <c r="R522" s="99"/>
      <c r="S522" s="99"/>
      <c r="T522" s="99"/>
      <c r="U522" s="381"/>
      <c r="V522" s="381"/>
      <c r="W522" s="381"/>
      <c r="X522" s="381"/>
      <c r="Y522" s="381"/>
      <c r="Z522" s="381"/>
      <c r="AA522" s="381"/>
      <c r="AB522" s="381"/>
      <c r="AC522" s="381"/>
    </row>
    <row r="523">
      <c r="A523" s="395"/>
      <c r="B523" s="102"/>
      <c r="C523" s="110"/>
      <c r="D523" s="396"/>
      <c r="E523" s="397"/>
      <c r="F523" s="106"/>
      <c r="G523" s="106"/>
      <c r="H523" s="106"/>
      <c r="I523" s="396"/>
      <c r="J523" s="108"/>
      <c r="K523" s="107"/>
      <c r="L523" s="109"/>
      <c r="M523" s="109"/>
      <c r="N523" s="110"/>
      <c r="O523" s="123"/>
      <c r="P523" s="109"/>
      <c r="Q523" s="109"/>
      <c r="R523" s="109"/>
      <c r="S523" s="109"/>
      <c r="T523" s="109"/>
      <c r="U523" s="381"/>
      <c r="V523" s="381"/>
      <c r="W523" s="381"/>
      <c r="X523" s="381"/>
      <c r="Y523" s="381"/>
      <c r="Z523" s="381"/>
      <c r="AA523" s="381"/>
      <c r="AB523" s="381"/>
      <c r="AC523" s="381"/>
    </row>
    <row r="524">
      <c r="A524" s="398"/>
      <c r="B524" s="91"/>
      <c r="C524" s="100"/>
      <c r="D524" s="399"/>
      <c r="E524" s="400"/>
      <c r="F524" s="95"/>
      <c r="G524" s="95"/>
      <c r="H524" s="95"/>
      <c r="I524" s="399"/>
      <c r="J524" s="97"/>
      <c r="K524" s="96"/>
      <c r="L524" s="99"/>
      <c r="M524" s="99"/>
      <c r="N524" s="100"/>
      <c r="O524" s="124"/>
      <c r="P524" s="99"/>
      <c r="Q524" s="99"/>
      <c r="R524" s="99"/>
      <c r="S524" s="99"/>
      <c r="T524" s="99"/>
      <c r="U524" s="381"/>
      <c r="V524" s="381"/>
      <c r="W524" s="381"/>
      <c r="X524" s="381"/>
      <c r="Y524" s="381"/>
      <c r="Z524" s="381"/>
      <c r="AA524" s="381"/>
      <c r="AB524" s="381"/>
      <c r="AC524" s="381"/>
    </row>
    <row r="525">
      <c r="A525" s="395"/>
      <c r="B525" s="102"/>
      <c r="C525" s="110"/>
      <c r="D525" s="396"/>
      <c r="E525" s="397"/>
      <c r="F525" s="106"/>
      <c r="G525" s="106"/>
      <c r="H525" s="106"/>
      <c r="I525" s="396"/>
      <c r="J525" s="108"/>
      <c r="K525" s="107"/>
      <c r="L525" s="109"/>
      <c r="M525" s="109"/>
      <c r="N525" s="110"/>
      <c r="O525" s="123"/>
      <c r="P525" s="109"/>
      <c r="Q525" s="109"/>
      <c r="R525" s="109"/>
      <c r="S525" s="109"/>
      <c r="T525" s="109"/>
      <c r="U525" s="381"/>
      <c r="V525" s="381"/>
      <c r="W525" s="381"/>
      <c r="X525" s="381"/>
      <c r="Y525" s="381"/>
      <c r="Z525" s="381"/>
      <c r="AA525" s="381"/>
      <c r="AB525" s="381"/>
      <c r="AC525" s="381"/>
    </row>
    <row r="526">
      <c r="A526" s="398"/>
      <c r="B526" s="91"/>
      <c r="C526" s="100"/>
      <c r="D526" s="399"/>
      <c r="E526" s="400"/>
      <c r="F526" s="95"/>
      <c r="G526" s="95"/>
      <c r="H526" s="95"/>
      <c r="I526" s="399"/>
      <c r="J526" s="97"/>
      <c r="K526" s="96"/>
      <c r="L526" s="99"/>
      <c r="M526" s="99"/>
      <c r="N526" s="100"/>
      <c r="O526" s="124"/>
      <c r="P526" s="99"/>
      <c r="Q526" s="99"/>
      <c r="R526" s="99"/>
      <c r="S526" s="99"/>
      <c r="T526" s="99"/>
      <c r="U526" s="381"/>
      <c r="V526" s="381"/>
      <c r="W526" s="381"/>
      <c r="X526" s="381"/>
      <c r="Y526" s="381"/>
      <c r="Z526" s="381"/>
      <c r="AA526" s="381"/>
      <c r="AB526" s="381"/>
      <c r="AC526" s="381"/>
    </row>
    <row r="527">
      <c r="A527" s="395"/>
      <c r="B527" s="102"/>
      <c r="C527" s="110"/>
      <c r="D527" s="396"/>
      <c r="E527" s="397"/>
      <c r="F527" s="106"/>
      <c r="G527" s="106"/>
      <c r="H527" s="106"/>
      <c r="I527" s="396"/>
      <c r="J527" s="108"/>
      <c r="K527" s="107"/>
      <c r="L527" s="109"/>
      <c r="M527" s="109"/>
      <c r="N527" s="110"/>
      <c r="O527" s="123"/>
      <c r="P527" s="109"/>
      <c r="Q527" s="109"/>
      <c r="R527" s="109"/>
      <c r="S527" s="109"/>
      <c r="T527" s="109"/>
      <c r="U527" s="381"/>
      <c r="V527" s="381"/>
      <c r="W527" s="381"/>
      <c r="X527" s="381"/>
      <c r="Y527" s="381"/>
      <c r="Z527" s="381"/>
      <c r="AA527" s="381"/>
      <c r="AB527" s="381"/>
      <c r="AC527" s="381"/>
    </row>
    <row r="528">
      <c r="A528" s="398"/>
      <c r="B528" s="91"/>
      <c r="C528" s="100"/>
      <c r="D528" s="399"/>
      <c r="E528" s="400"/>
      <c r="F528" s="95"/>
      <c r="G528" s="95"/>
      <c r="H528" s="95"/>
      <c r="I528" s="399"/>
      <c r="J528" s="97"/>
      <c r="K528" s="96"/>
      <c r="L528" s="99"/>
      <c r="M528" s="99"/>
      <c r="N528" s="100"/>
      <c r="O528" s="124"/>
      <c r="P528" s="99"/>
      <c r="Q528" s="99"/>
      <c r="R528" s="99"/>
      <c r="S528" s="99"/>
      <c r="T528" s="99"/>
      <c r="U528" s="381"/>
      <c r="V528" s="381"/>
      <c r="W528" s="381"/>
      <c r="X528" s="381"/>
      <c r="Y528" s="381"/>
      <c r="Z528" s="381"/>
      <c r="AA528" s="381"/>
      <c r="AB528" s="381"/>
      <c r="AC528" s="381"/>
    </row>
    <row r="529">
      <c r="A529" s="395"/>
      <c r="B529" s="102"/>
      <c r="C529" s="110"/>
      <c r="D529" s="396"/>
      <c r="E529" s="397"/>
      <c r="F529" s="106"/>
      <c r="G529" s="106"/>
      <c r="H529" s="106"/>
      <c r="I529" s="396"/>
      <c r="J529" s="108"/>
      <c r="K529" s="107"/>
      <c r="L529" s="109"/>
      <c r="M529" s="109"/>
      <c r="N529" s="110"/>
      <c r="O529" s="123"/>
      <c r="P529" s="109"/>
      <c r="Q529" s="109"/>
      <c r="R529" s="109"/>
      <c r="S529" s="109"/>
      <c r="T529" s="109"/>
      <c r="U529" s="381"/>
      <c r="V529" s="381"/>
      <c r="W529" s="381"/>
      <c r="X529" s="381"/>
      <c r="Y529" s="381"/>
      <c r="Z529" s="381"/>
      <c r="AA529" s="381"/>
      <c r="AB529" s="381"/>
      <c r="AC529" s="381"/>
    </row>
    <row r="530">
      <c r="A530" s="398"/>
      <c r="B530" s="91"/>
      <c r="C530" s="100"/>
      <c r="D530" s="399"/>
      <c r="E530" s="400"/>
      <c r="F530" s="95"/>
      <c r="G530" s="95"/>
      <c r="H530" s="95"/>
      <c r="I530" s="399"/>
      <c r="J530" s="97"/>
      <c r="K530" s="96"/>
      <c r="L530" s="99"/>
      <c r="M530" s="99"/>
      <c r="N530" s="100"/>
      <c r="O530" s="124"/>
      <c r="P530" s="99"/>
      <c r="Q530" s="99"/>
      <c r="R530" s="99"/>
      <c r="S530" s="99"/>
      <c r="T530" s="99"/>
      <c r="U530" s="381"/>
      <c r="V530" s="381"/>
      <c r="W530" s="381"/>
      <c r="X530" s="381"/>
      <c r="Y530" s="381"/>
      <c r="Z530" s="381"/>
      <c r="AA530" s="381"/>
      <c r="AB530" s="381"/>
      <c r="AC530" s="381"/>
    </row>
    <row r="531">
      <c r="A531" s="395"/>
      <c r="B531" s="102"/>
      <c r="C531" s="110"/>
      <c r="D531" s="396"/>
      <c r="E531" s="397"/>
      <c r="F531" s="106"/>
      <c r="G531" s="106"/>
      <c r="H531" s="106"/>
      <c r="I531" s="396"/>
      <c r="J531" s="108"/>
      <c r="K531" s="107"/>
      <c r="L531" s="109"/>
      <c r="M531" s="109"/>
      <c r="N531" s="110"/>
      <c r="O531" s="123"/>
      <c r="P531" s="109"/>
      <c r="Q531" s="109"/>
      <c r="R531" s="109"/>
      <c r="S531" s="109"/>
      <c r="T531" s="109"/>
      <c r="U531" s="381"/>
      <c r="V531" s="381"/>
      <c r="W531" s="381"/>
      <c r="X531" s="381"/>
      <c r="Y531" s="381"/>
      <c r="Z531" s="381"/>
      <c r="AA531" s="381"/>
      <c r="AB531" s="381"/>
      <c r="AC531" s="381"/>
    </row>
    <row r="532">
      <c r="A532" s="398"/>
      <c r="B532" s="91"/>
      <c r="C532" s="100"/>
      <c r="D532" s="399"/>
      <c r="E532" s="400"/>
      <c r="F532" s="95"/>
      <c r="G532" s="95"/>
      <c r="H532" s="95"/>
      <c r="I532" s="399"/>
      <c r="J532" s="97"/>
      <c r="K532" s="96"/>
      <c r="L532" s="99"/>
      <c r="M532" s="99"/>
      <c r="N532" s="100"/>
      <c r="O532" s="124"/>
      <c r="P532" s="99"/>
      <c r="Q532" s="99"/>
      <c r="R532" s="99"/>
      <c r="S532" s="99"/>
      <c r="T532" s="99"/>
      <c r="U532" s="381"/>
      <c r="V532" s="381"/>
      <c r="W532" s="381"/>
      <c r="X532" s="381"/>
      <c r="Y532" s="381"/>
      <c r="Z532" s="381"/>
      <c r="AA532" s="381"/>
      <c r="AB532" s="381"/>
      <c r="AC532" s="381"/>
    </row>
    <row r="533">
      <c r="A533" s="395"/>
      <c r="B533" s="102"/>
      <c r="C533" s="110"/>
      <c r="D533" s="396"/>
      <c r="E533" s="397"/>
      <c r="F533" s="106"/>
      <c r="G533" s="106"/>
      <c r="H533" s="106"/>
      <c r="I533" s="396"/>
      <c r="J533" s="108"/>
      <c r="K533" s="107"/>
      <c r="L533" s="109"/>
      <c r="M533" s="109"/>
      <c r="N533" s="110"/>
      <c r="O533" s="123"/>
      <c r="P533" s="109"/>
      <c r="Q533" s="109"/>
      <c r="R533" s="109"/>
      <c r="S533" s="109"/>
      <c r="T533" s="109"/>
      <c r="U533" s="381"/>
      <c r="V533" s="381"/>
      <c r="W533" s="381"/>
      <c r="X533" s="381"/>
      <c r="Y533" s="381"/>
      <c r="Z533" s="381"/>
      <c r="AA533" s="381"/>
      <c r="AB533" s="381"/>
      <c r="AC533" s="381"/>
    </row>
    <row r="534">
      <c r="A534" s="398"/>
      <c r="B534" s="91"/>
      <c r="C534" s="100"/>
      <c r="D534" s="399"/>
      <c r="E534" s="400"/>
      <c r="F534" s="95"/>
      <c r="G534" s="95"/>
      <c r="H534" s="95"/>
      <c r="I534" s="399"/>
      <c r="J534" s="97"/>
      <c r="K534" s="96"/>
      <c r="L534" s="99"/>
      <c r="M534" s="99"/>
      <c r="N534" s="100"/>
      <c r="O534" s="124"/>
      <c r="P534" s="99"/>
      <c r="Q534" s="99"/>
      <c r="R534" s="99"/>
      <c r="S534" s="99"/>
      <c r="T534" s="99"/>
      <c r="U534" s="381"/>
      <c r="V534" s="381"/>
      <c r="W534" s="381"/>
      <c r="X534" s="381"/>
      <c r="Y534" s="381"/>
      <c r="Z534" s="381"/>
      <c r="AA534" s="381"/>
      <c r="AB534" s="381"/>
      <c r="AC534" s="381"/>
    </row>
    <row r="535">
      <c r="A535" s="395"/>
      <c r="B535" s="102"/>
      <c r="C535" s="110"/>
      <c r="D535" s="396"/>
      <c r="E535" s="397"/>
      <c r="F535" s="106"/>
      <c r="G535" s="106"/>
      <c r="H535" s="106"/>
      <c r="I535" s="396"/>
      <c r="J535" s="108"/>
      <c r="K535" s="107"/>
      <c r="L535" s="109"/>
      <c r="M535" s="109"/>
      <c r="N535" s="110"/>
      <c r="O535" s="123"/>
      <c r="P535" s="109"/>
      <c r="Q535" s="109"/>
      <c r="R535" s="109"/>
      <c r="S535" s="109"/>
      <c r="T535" s="109"/>
      <c r="U535" s="381"/>
      <c r="V535" s="381"/>
      <c r="W535" s="381"/>
      <c r="X535" s="381"/>
      <c r="Y535" s="381"/>
      <c r="Z535" s="381"/>
      <c r="AA535" s="381"/>
      <c r="AB535" s="381"/>
      <c r="AC535" s="381"/>
    </row>
    <row r="536">
      <c r="A536" s="398"/>
      <c r="B536" s="91"/>
      <c r="C536" s="100"/>
      <c r="D536" s="399"/>
      <c r="E536" s="400"/>
      <c r="F536" s="95"/>
      <c r="G536" s="95"/>
      <c r="H536" s="95"/>
      <c r="I536" s="399"/>
      <c r="J536" s="97"/>
      <c r="K536" s="96"/>
      <c r="L536" s="99"/>
      <c r="M536" s="99"/>
      <c r="N536" s="100"/>
      <c r="O536" s="124"/>
      <c r="P536" s="99"/>
      <c r="Q536" s="99"/>
      <c r="R536" s="99"/>
      <c r="S536" s="99"/>
      <c r="T536" s="99"/>
      <c r="U536" s="381"/>
      <c r="V536" s="381"/>
      <c r="W536" s="381"/>
      <c r="X536" s="381"/>
      <c r="Y536" s="381"/>
      <c r="Z536" s="381"/>
      <c r="AA536" s="381"/>
      <c r="AB536" s="381"/>
      <c r="AC536" s="381"/>
    </row>
    <row r="537">
      <c r="A537" s="395"/>
      <c r="B537" s="102"/>
      <c r="C537" s="110"/>
      <c r="D537" s="396"/>
      <c r="E537" s="397"/>
      <c r="F537" s="106"/>
      <c r="G537" s="106"/>
      <c r="H537" s="106"/>
      <c r="I537" s="396"/>
      <c r="J537" s="108"/>
      <c r="K537" s="107"/>
      <c r="L537" s="109"/>
      <c r="M537" s="109"/>
      <c r="N537" s="110"/>
      <c r="O537" s="123"/>
      <c r="P537" s="109"/>
      <c r="Q537" s="109"/>
      <c r="R537" s="109"/>
      <c r="S537" s="109"/>
      <c r="T537" s="109"/>
      <c r="U537" s="381"/>
      <c r="V537" s="381"/>
      <c r="W537" s="381"/>
      <c r="X537" s="381"/>
      <c r="Y537" s="381"/>
      <c r="Z537" s="381"/>
      <c r="AA537" s="381"/>
      <c r="AB537" s="381"/>
      <c r="AC537" s="381"/>
    </row>
    <row r="538">
      <c r="A538" s="398"/>
      <c r="B538" s="91"/>
      <c r="C538" s="100"/>
      <c r="D538" s="399"/>
      <c r="E538" s="400"/>
      <c r="F538" s="95"/>
      <c r="G538" s="95"/>
      <c r="H538" s="95"/>
      <c r="I538" s="399"/>
      <c r="J538" s="97"/>
      <c r="K538" s="96"/>
      <c r="L538" s="99"/>
      <c r="M538" s="99"/>
      <c r="N538" s="100"/>
      <c r="O538" s="124"/>
      <c r="P538" s="99"/>
      <c r="Q538" s="99"/>
      <c r="R538" s="99"/>
      <c r="S538" s="99"/>
      <c r="T538" s="99"/>
      <c r="U538" s="381"/>
      <c r="V538" s="381"/>
      <c r="W538" s="381"/>
      <c r="X538" s="381"/>
      <c r="Y538" s="381"/>
      <c r="Z538" s="381"/>
      <c r="AA538" s="381"/>
      <c r="AB538" s="381"/>
      <c r="AC538" s="381"/>
    </row>
    <row r="539">
      <c r="A539" s="395"/>
      <c r="B539" s="102"/>
      <c r="C539" s="110"/>
      <c r="D539" s="396"/>
      <c r="E539" s="397"/>
      <c r="F539" s="106"/>
      <c r="G539" s="106"/>
      <c r="H539" s="106"/>
      <c r="I539" s="396"/>
      <c r="J539" s="108"/>
      <c r="K539" s="107"/>
      <c r="L539" s="109"/>
      <c r="M539" s="109"/>
      <c r="N539" s="110"/>
      <c r="O539" s="123"/>
      <c r="P539" s="109"/>
      <c r="Q539" s="109"/>
      <c r="R539" s="109"/>
      <c r="S539" s="109"/>
      <c r="T539" s="109"/>
      <c r="U539" s="381"/>
      <c r="V539" s="381"/>
      <c r="W539" s="381"/>
      <c r="X539" s="381"/>
      <c r="Y539" s="381"/>
      <c r="Z539" s="381"/>
      <c r="AA539" s="381"/>
      <c r="AB539" s="381"/>
      <c r="AC539" s="381"/>
    </row>
    <row r="540">
      <c r="A540" s="398"/>
      <c r="B540" s="91"/>
      <c r="C540" s="100"/>
      <c r="D540" s="399"/>
      <c r="E540" s="400"/>
      <c r="F540" s="95"/>
      <c r="G540" s="95"/>
      <c r="H540" s="95"/>
      <c r="I540" s="399"/>
      <c r="J540" s="97"/>
      <c r="K540" s="96"/>
      <c r="L540" s="99"/>
      <c r="M540" s="99"/>
      <c r="N540" s="100"/>
      <c r="O540" s="124"/>
      <c r="P540" s="99"/>
      <c r="Q540" s="99"/>
      <c r="R540" s="99"/>
      <c r="S540" s="99"/>
      <c r="T540" s="99"/>
      <c r="U540" s="381"/>
      <c r="V540" s="381"/>
      <c r="W540" s="381"/>
      <c r="X540" s="381"/>
      <c r="Y540" s="381"/>
      <c r="Z540" s="381"/>
      <c r="AA540" s="381"/>
      <c r="AB540" s="381"/>
      <c r="AC540" s="381"/>
    </row>
    <row r="541">
      <c r="A541" s="395"/>
      <c r="B541" s="102"/>
      <c r="C541" s="110"/>
      <c r="D541" s="396"/>
      <c r="E541" s="397"/>
      <c r="F541" s="106"/>
      <c r="G541" s="106"/>
      <c r="H541" s="106"/>
      <c r="I541" s="396"/>
      <c r="J541" s="108"/>
      <c r="K541" s="107"/>
      <c r="L541" s="109"/>
      <c r="M541" s="109"/>
      <c r="N541" s="110"/>
      <c r="O541" s="123"/>
      <c r="P541" s="109"/>
      <c r="Q541" s="109"/>
      <c r="R541" s="109"/>
      <c r="S541" s="109"/>
      <c r="T541" s="109"/>
      <c r="U541" s="381"/>
      <c r="V541" s="381"/>
      <c r="W541" s="381"/>
      <c r="X541" s="381"/>
      <c r="Y541" s="381"/>
      <c r="Z541" s="381"/>
      <c r="AA541" s="381"/>
      <c r="AB541" s="381"/>
      <c r="AC541" s="381"/>
    </row>
    <row r="542">
      <c r="A542" s="398"/>
      <c r="B542" s="91"/>
      <c r="C542" s="100"/>
      <c r="D542" s="399"/>
      <c r="E542" s="400"/>
      <c r="F542" s="95"/>
      <c r="G542" s="95"/>
      <c r="H542" s="95"/>
      <c r="I542" s="399"/>
      <c r="J542" s="97"/>
      <c r="K542" s="96"/>
      <c r="L542" s="99"/>
      <c r="M542" s="99"/>
      <c r="N542" s="100"/>
      <c r="O542" s="124"/>
      <c r="P542" s="99"/>
      <c r="Q542" s="99"/>
      <c r="R542" s="99"/>
      <c r="S542" s="99"/>
      <c r="T542" s="99"/>
      <c r="U542" s="381"/>
      <c r="V542" s="381"/>
      <c r="W542" s="381"/>
      <c r="X542" s="381"/>
      <c r="Y542" s="381"/>
      <c r="Z542" s="381"/>
      <c r="AA542" s="381"/>
      <c r="AB542" s="381"/>
      <c r="AC542" s="381"/>
    </row>
    <row r="543">
      <c r="A543" s="395"/>
      <c r="B543" s="102"/>
      <c r="C543" s="110"/>
      <c r="D543" s="396"/>
      <c r="E543" s="397"/>
      <c r="F543" s="106"/>
      <c r="G543" s="106"/>
      <c r="H543" s="106"/>
      <c r="I543" s="396"/>
      <c r="J543" s="108"/>
      <c r="K543" s="107"/>
      <c r="L543" s="109"/>
      <c r="M543" s="109"/>
      <c r="N543" s="110"/>
      <c r="O543" s="123"/>
      <c r="P543" s="109"/>
      <c r="Q543" s="109"/>
      <c r="R543" s="109"/>
      <c r="S543" s="109"/>
      <c r="T543" s="109"/>
      <c r="U543" s="381"/>
      <c r="V543" s="381"/>
      <c r="W543" s="381"/>
      <c r="X543" s="381"/>
      <c r="Y543" s="381"/>
      <c r="Z543" s="381"/>
      <c r="AA543" s="381"/>
      <c r="AB543" s="381"/>
      <c r="AC543" s="381"/>
    </row>
    <row r="544">
      <c r="A544" s="398"/>
      <c r="B544" s="91"/>
      <c r="C544" s="100"/>
      <c r="D544" s="399"/>
      <c r="E544" s="400"/>
      <c r="F544" s="95"/>
      <c r="G544" s="95"/>
      <c r="H544" s="95"/>
      <c r="I544" s="399"/>
      <c r="J544" s="97"/>
      <c r="K544" s="96"/>
      <c r="L544" s="99"/>
      <c r="M544" s="99"/>
      <c r="N544" s="100"/>
      <c r="O544" s="124"/>
      <c r="P544" s="99"/>
      <c r="Q544" s="99"/>
      <c r="R544" s="99"/>
      <c r="S544" s="99"/>
      <c r="T544" s="99"/>
      <c r="U544" s="381"/>
      <c r="V544" s="381"/>
      <c r="W544" s="381"/>
      <c r="X544" s="381"/>
      <c r="Y544" s="381"/>
      <c r="Z544" s="381"/>
      <c r="AA544" s="381"/>
      <c r="AB544" s="381"/>
      <c r="AC544" s="381"/>
    </row>
    <row r="545">
      <c r="A545" s="395"/>
      <c r="B545" s="102"/>
      <c r="C545" s="110"/>
      <c r="D545" s="396"/>
      <c r="E545" s="397"/>
      <c r="F545" s="106"/>
      <c r="G545" s="106"/>
      <c r="H545" s="106"/>
      <c r="I545" s="396"/>
      <c r="J545" s="108"/>
      <c r="K545" s="107"/>
      <c r="L545" s="109"/>
      <c r="M545" s="109"/>
      <c r="N545" s="110"/>
      <c r="O545" s="123"/>
      <c r="P545" s="109"/>
      <c r="Q545" s="109"/>
      <c r="R545" s="109"/>
      <c r="S545" s="109"/>
      <c r="T545" s="109"/>
      <c r="U545" s="381"/>
      <c r="V545" s="381"/>
      <c r="W545" s="381"/>
      <c r="X545" s="381"/>
      <c r="Y545" s="381"/>
      <c r="Z545" s="381"/>
      <c r="AA545" s="381"/>
      <c r="AB545" s="381"/>
      <c r="AC545" s="381"/>
    </row>
    <row r="546">
      <c r="A546" s="398"/>
      <c r="B546" s="91"/>
      <c r="C546" s="100"/>
      <c r="D546" s="399"/>
      <c r="E546" s="400"/>
      <c r="F546" s="95"/>
      <c r="G546" s="95"/>
      <c r="H546" s="95"/>
      <c r="I546" s="399"/>
      <c r="J546" s="97"/>
      <c r="K546" s="96"/>
      <c r="L546" s="99"/>
      <c r="M546" s="99"/>
      <c r="N546" s="100"/>
      <c r="O546" s="124"/>
      <c r="P546" s="99"/>
      <c r="Q546" s="99"/>
      <c r="R546" s="99"/>
      <c r="S546" s="99"/>
      <c r="T546" s="99"/>
      <c r="U546" s="381"/>
      <c r="V546" s="381"/>
      <c r="W546" s="381"/>
      <c r="X546" s="381"/>
      <c r="Y546" s="381"/>
      <c r="Z546" s="381"/>
      <c r="AA546" s="381"/>
      <c r="AB546" s="381"/>
      <c r="AC546" s="381"/>
    </row>
    <row r="547">
      <c r="A547" s="395"/>
      <c r="B547" s="102"/>
      <c r="C547" s="110"/>
      <c r="D547" s="396"/>
      <c r="E547" s="397"/>
      <c r="F547" s="106"/>
      <c r="G547" s="106"/>
      <c r="H547" s="106"/>
      <c r="I547" s="396"/>
      <c r="J547" s="108"/>
      <c r="K547" s="107"/>
      <c r="L547" s="109"/>
      <c r="M547" s="109"/>
      <c r="N547" s="110"/>
      <c r="O547" s="123"/>
      <c r="P547" s="109"/>
      <c r="Q547" s="109"/>
      <c r="R547" s="109"/>
      <c r="S547" s="109"/>
      <c r="T547" s="109"/>
      <c r="U547" s="381"/>
      <c r="V547" s="381"/>
      <c r="W547" s="381"/>
      <c r="X547" s="381"/>
      <c r="Y547" s="381"/>
      <c r="Z547" s="381"/>
      <c r="AA547" s="381"/>
      <c r="AB547" s="381"/>
      <c r="AC547" s="381"/>
    </row>
    <row r="548">
      <c r="A548" s="398"/>
      <c r="B548" s="91"/>
      <c r="C548" s="100"/>
      <c r="D548" s="399"/>
      <c r="E548" s="400"/>
      <c r="F548" s="95"/>
      <c r="G548" s="95"/>
      <c r="H548" s="95"/>
      <c r="I548" s="399"/>
      <c r="J548" s="97"/>
      <c r="K548" s="96"/>
      <c r="L548" s="99"/>
      <c r="M548" s="99"/>
      <c r="N548" s="100"/>
      <c r="O548" s="124"/>
      <c r="P548" s="99"/>
      <c r="Q548" s="99"/>
      <c r="R548" s="99"/>
      <c r="S548" s="99"/>
      <c r="T548" s="99"/>
      <c r="U548" s="381"/>
      <c r="V548" s="381"/>
      <c r="W548" s="381"/>
      <c r="X548" s="381"/>
      <c r="Y548" s="381"/>
      <c r="Z548" s="381"/>
      <c r="AA548" s="381"/>
      <c r="AB548" s="381"/>
      <c r="AC548" s="381"/>
    </row>
    <row r="549">
      <c r="A549" s="395"/>
      <c r="B549" s="102"/>
      <c r="C549" s="110"/>
      <c r="D549" s="396"/>
      <c r="E549" s="397"/>
      <c r="F549" s="106"/>
      <c r="G549" s="106"/>
      <c r="H549" s="106"/>
      <c r="I549" s="396"/>
      <c r="J549" s="108"/>
      <c r="K549" s="107"/>
      <c r="L549" s="109"/>
      <c r="M549" s="109"/>
      <c r="N549" s="110"/>
      <c r="O549" s="123"/>
      <c r="P549" s="109"/>
      <c r="Q549" s="109"/>
      <c r="R549" s="109"/>
      <c r="S549" s="109"/>
      <c r="T549" s="109"/>
      <c r="U549" s="381"/>
      <c r="V549" s="381"/>
      <c r="W549" s="381"/>
      <c r="X549" s="381"/>
      <c r="Y549" s="381"/>
      <c r="Z549" s="381"/>
      <c r="AA549" s="381"/>
      <c r="AB549" s="381"/>
      <c r="AC549" s="381"/>
    </row>
    <row r="550">
      <c r="A550" s="398"/>
      <c r="B550" s="91"/>
      <c r="C550" s="100"/>
      <c r="D550" s="399"/>
      <c r="E550" s="400"/>
      <c r="F550" s="95"/>
      <c r="G550" s="95"/>
      <c r="H550" s="95"/>
      <c r="I550" s="399"/>
      <c r="J550" s="97"/>
      <c r="K550" s="96"/>
      <c r="L550" s="99"/>
      <c r="M550" s="99"/>
      <c r="N550" s="100"/>
      <c r="O550" s="124"/>
      <c r="P550" s="99"/>
      <c r="Q550" s="99"/>
      <c r="R550" s="99"/>
      <c r="S550" s="99"/>
      <c r="T550" s="99"/>
      <c r="U550" s="381"/>
      <c r="V550" s="381"/>
      <c r="W550" s="381"/>
      <c r="X550" s="381"/>
      <c r="Y550" s="381"/>
      <c r="Z550" s="381"/>
      <c r="AA550" s="381"/>
      <c r="AB550" s="381"/>
      <c r="AC550" s="381"/>
    </row>
    <row r="551">
      <c r="A551" s="395"/>
      <c r="B551" s="102"/>
      <c r="C551" s="110"/>
      <c r="D551" s="396"/>
      <c r="E551" s="397"/>
      <c r="F551" s="106"/>
      <c r="G551" s="106"/>
      <c r="H551" s="106"/>
      <c r="I551" s="396"/>
      <c r="J551" s="108"/>
      <c r="K551" s="107"/>
      <c r="L551" s="109"/>
      <c r="M551" s="109"/>
      <c r="N551" s="110"/>
      <c r="O551" s="123"/>
      <c r="P551" s="109"/>
      <c r="Q551" s="109"/>
      <c r="R551" s="109"/>
      <c r="S551" s="109"/>
      <c r="T551" s="109"/>
      <c r="U551" s="381"/>
      <c r="V551" s="381"/>
      <c r="W551" s="381"/>
      <c r="X551" s="381"/>
      <c r="Y551" s="381"/>
      <c r="Z551" s="381"/>
      <c r="AA551" s="381"/>
      <c r="AB551" s="381"/>
      <c r="AC551" s="381"/>
    </row>
    <row r="552">
      <c r="A552" s="398"/>
      <c r="B552" s="91"/>
      <c r="C552" s="100"/>
      <c r="D552" s="399"/>
      <c r="E552" s="400"/>
      <c r="F552" s="95"/>
      <c r="G552" s="95"/>
      <c r="H552" s="95"/>
      <c r="I552" s="399"/>
      <c r="J552" s="97"/>
      <c r="K552" s="96"/>
      <c r="L552" s="99"/>
      <c r="M552" s="99"/>
      <c r="N552" s="100"/>
      <c r="O552" s="124"/>
      <c r="P552" s="99"/>
      <c r="Q552" s="99"/>
      <c r="R552" s="99"/>
      <c r="S552" s="99"/>
      <c r="T552" s="99"/>
      <c r="U552" s="381"/>
      <c r="V552" s="381"/>
      <c r="W552" s="381"/>
      <c r="X552" s="381"/>
      <c r="Y552" s="381"/>
      <c r="Z552" s="381"/>
      <c r="AA552" s="381"/>
      <c r="AB552" s="381"/>
      <c r="AC552" s="381"/>
    </row>
    <row r="553">
      <c r="A553" s="395"/>
      <c r="B553" s="102"/>
      <c r="C553" s="110"/>
      <c r="D553" s="396"/>
      <c r="E553" s="397"/>
      <c r="F553" s="106"/>
      <c r="G553" s="106"/>
      <c r="H553" s="106"/>
      <c r="I553" s="396"/>
      <c r="J553" s="108"/>
      <c r="K553" s="107"/>
      <c r="L553" s="109"/>
      <c r="M553" s="109"/>
      <c r="N553" s="110"/>
      <c r="O553" s="123"/>
      <c r="P553" s="109"/>
      <c r="Q553" s="109"/>
      <c r="R553" s="109"/>
      <c r="S553" s="109"/>
      <c r="T553" s="109"/>
      <c r="U553" s="381"/>
      <c r="V553" s="381"/>
      <c r="W553" s="381"/>
      <c r="X553" s="381"/>
      <c r="Y553" s="381"/>
      <c r="Z553" s="381"/>
      <c r="AA553" s="381"/>
      <c r="AB553" s="381"/>
      <c r="AC553" s="381"/>
    </row>
    <row r="554">
      <c r="A554" s="398"/>
      <c r="B554" s="91"/>
      <c r="C554" s="100"/>
      <c r="D554" s="399"/>
      <c r="E554" s="400"/>
      <c r="F554" s="95"/>
      <c r="G554" s="95"/>
      <c r="H554" s="95"/>
      <c r="I554" s="399"/>
      <c r="J554" s="97"/>
      <c r="K554" s="96"/>
      <c r="L554" s="99"/>
      <c r="M554" s="99"/>
      <c r="N554" s="100"/>
      <c r="O554" s="124"/>
      <c r="P554" s="99"/>
      <c r="Q554" s="99"/>
      <c r="R554" s="99"/>
      <c r="S554" s="99"/>
      <c r="T554" s="99"/>
      <c r="U554" s="381"/>
      <c r="V554" s="381"/>
      <c r="W554" s="381"/>
      <c r="X554" s="381"/>
      <c r="Y554" s="381"/>
      <c r="Z554" s="381"/>
      <c r="AA554" s="381"/>
      <c r="AB554" s="381"/>
      <c r="AC554" s="381"/>
    </row>
    <row r="555">
      <c r="A555" s="395"/>
      <c r="B555" s="102"/>
      <c r="C555" s="110"/>
      <c r="D555" s="396"/>
      <c r="E555" s="397"/>
      <c r="F555" s="106"/>
      <c r="G555" s="106"/>
      <c r="H555" s="106"/>
      <c r="I555" s="396"/>
      <c r="J555" s="108"/>
      <c r="K555" s="107"/>
      <c r="L555" s="109"/>
      <c r="M555" s="109"/>
      <c r="N555" s="110"/>
      <c r="O555" s="123"/>
      <c r="P555" s="109"/>
      <c r="Q555" s="109"/>
      <c r="R555" s="109"/>
      <c r="S555" s="109"/>
      <c r="T555" s="109"/>
      <c r="U555" s="381"/>
      <c r="V555" s="381"/>
      <c r="W555" s="381"/>
      <c r="X555" s="381"/>
      <c r="Y555" s="381"/>
      <c r="Z555" s="381"/>
      <c r="AA555" s="381"/>
      <c r="AB555" s="381"/>
      <c r="AC555" s="381"/>
    </row>
    <row r="556">
      <c r="A556" s="398"/>
      <c r="B556" s="91"/>
      <c r="C556" s="100"/>
      <c r="D556" s="399"/>
      <c r="E556" s="400"/>
      <c r="F556" s="95"/>
      <c r="G556" s="95"/>
      <c r="H556" s="95"/>
      <c r="I556" s="399"/>
      <c r="J556" s="97"/>
      <c r="K556" s="96"/>
      <c r="L556" s="99"/>
      <c r="M556" s="99"/>
      <c r="N556" s="100"/>
      <c r="O556" s="124"/>
      <c r="P556" s="99"/>
      <c r="Q556" s="99"/>
      <c r="R556" s="99"/>
      <c r="S556" s="99"/>
      <c r="T556" s="99"/>
      <c r="U556" s="381"/>
      <c r="V556" s="381"/>
      <c r="W556" s="381"/>
      <c r="X556" s="381"/>
      <c r="Y556" s="381"/>
      <c r="Z556" s="381"/>
      <c r="AA556" s="381"/>
      <c r="AB556" s="381"/>
      <c r="AC556" s="381"/>
    </row>
    <row r="557">
      <c r="A557" s="395"/>
      <c r="B557" s="102"/>
      <c r="C557" s="110"/>
      <c r="D557" s="396"/>
      <c r="E557" s="397"/>
      <c r="F557" s="106"/>
      <c r="G557" s="106"/>
      <c r="H557" s="106"/>
      <c r="I557" s="396"/>
      <c r="J557" s="108"/>
      <c r="K557" s="107"/>
      <c r="L557" s="109"/>
      <c r="M557" s="109"/>
      <c r="N557" s="110"/>
      <c r="O557" s="123"/>
      <c r="P557" s="109"/>
      <c r="Q557" s="109"/>
      <c r="R557" s="109"/>
      <c r="S557" s="109"/>
      <c r="T557" s="109"/>
      <c r="U557" s="381"/>
      <c r="V557" s="381"/>
      <c r="W557" s="381"/>
      <c r="X557" s="381"/>
      <c r="Y557" s="381"/>
      <c r="Z557" s="381"/>
      <c r="AA557" s="381"/>
      <c r="AB557" s="381"/>
      <c r="AC557" s="381"/>
    </row>
    <row r="558">
      <c r="A558" s="398"/>
      <c r="B558" s="91"/>
      <c r="C558" s="100"/>
      <c r="D558" s="399"/>
      <c r="E558" s="400"/>
      <c r="F558" s="95"/>
      <c r="G558" s="95"/>
      <c r="H558" s="95"/>
      <c r="I558" s="399"/>
      <c r="J558" s="97"/>
      <c r="K558" s="96"/>
      <c r="L558" s="99"/>
      <c r="M558" s="99"/>
      <c r="N558" s="100"/>
      <c r="O558" s="124"/>
      <c r="P558" s="99"/>
      <c r="Q558" s="99"/>
      <c r="R558" s="99"/>
      <c r="S558" s="99"/>
      <c r="T558" s="99"/>
      <c r="U558" s="381"/>
      <c r="V558" s="381"/>
      <c r="W558" s="381"/>
      <c r="X558" s="381"/>
      <c r="Y558" s="381"/>
      <c r="Z558" s="381"/>
      <c r="AA558" s="381"/>
      <c r="AB558" s="381"/>
      <c r="AC558" s="381"/>
    </row>
    <row r="559">
      <c r="A559" s="395"/>
      <c r="B559" s="102"/>
      <c r="C559" s="110"/>
      <c r="D559" s="396"/>
      <c r="E559" s="397"/>
      <c r="F559" s="106"/>
      <c r="G559" s="106"/>
      <c r="H559" s="106"/>
      <c r="I559" s="396"/>
      <c r="J559" s="108"/>
      <c r="K559" s="107"/>
      <c r="L559" s="109"/>
      <c r="M559" s="109"/>
      <c r="N559" s="110"/>
      <c r="O559" s="123"/>
      <c r="P559" s="109"/>
      <c r="Q559" s="109"/>
      <c r="R559" s="109"/>
      <c r="S559" s="109"/>
      <c r="T559" s="109"/>
      <c r="U559" s="381"/>
      <c r="V559" s="381"/>
      <c r="W559" s="381"/>
      <c r="X559" s="381"/>
      <c r="Y559" s="381"/>
      <c r="Z559" s="381"/>
      <c r="AA559" s="381"/>
      <c r="AB559" s="381"/>
      <c r="AC559" s="381"/>
    </row>
    <row r="560">
      <c r="A560" s="398"/>
      <c r="B560" s="91"/>
      <c r="C560" s="100"/>
      <c r="D560" s="399"/>
      <c r="E560" s="400"/>
      <c r="F560" s="95"/>
      <c r="G560" s="95"/>
      <c r="H560" s="95"/>
      <c r="I560" s="399"/>
      <c r="J560" s="97"/>
      <c r="K560" s="96"/>
      <c r="L560" s="99"/>
      <c r="M560" s="99"/>
      <c r="N560" s="100"/>
      <c r="O560" s="124"/>
      <c r="P560" s="99"/>
      <c r="Q560" s="99"/>
      <c r="R560" s="99"/>
      <c r="S560" s="99"/>
      <c r="T560" s="99"/>
      <c r="U560" s="381"/>
      <c r="V560" s="381"/>
      <c r="W560" s="381"/>
      <c r="X560" s="381"/>
      <c r="Y560" s="381"/>
      <c r="Z560" s="381"/>
      <c r="AA560" s="381"/>
      <c r="AB560" s="381"/>
      <c r="AC560" s="381"/>
    </row>
    <row r="561">
      <c r="A561" s="395"/>
      <c r="B561" s="102"/>
      <c r="C561" s="110"/>
      <c r="D561" s="396"/>
      <c r="E561" s="397"/>
      <c r="F561" s="106"/>
      <c r="G561" s="106"/>
      <c r="H561" s="106"/>
      <c r="I561" s="396"/>
      <c r="J561" s="108"/>
      <c r="K561" s="107"/>
      <c r="L561" s="109"/>
      <c r="M561" s="109"/>
      <c r="N561" s="110"/>
      <c r="O561" s="123"/>
      <c r="P561" s="109"/>
      <c r="Q561" s="109"/>
      <c r="R561" s="109"/>
      <c r="S561" s="109"/>
      <c r="T561" s="109"/>
      <c r="U561" s="381"/>
      <c r="V561" s="381"/>
      <c r="W561" s="381"/>
      <c r="X561" s="381"/>
      <c r="Y561" s="381"/>
      <c r="Z561" s="381"/>
      <c r="AA561" s="381"/>
      <c r="AB561" s="381"/>
      <c r="AC561" s="381"/>
    </row>
    <row r="562">
      <c r="A562" s="398"/>
      <c r="B562" s="91"/>
      <c r="C562" s="100"/>
      <c r="D562" s="399"/>
      <c r="E562" s="400"/>
      <c r="F562" s="95"/>
      <c r="G562" s="95"/>
      <c r="H562" s="95"/>
      <c r="I562" s="399"/>
      <c r="J562" s="97"/>
      <c r="K562" s="96"/>
      <c r="L562" s="99"/>
      <c r="M562" s="99"/>
      <c r="N562" s="100"/>
      <c r="O562" s="124"/>
      <c r="P562" s="99"/>
      <c r="Q562" s="99"/>
      <c r="R562" s="99"/>
      <c r="S562" s="99"/>
      <c r="T562" s="99"/>
      <c r="U562" s="381"/>
      <c r="V562" s="381"/>
      <c r="W562" s="381"/>
      <c r="X562" s="381"/>
      <c r="Y562" s="381"/>
      <c r="Z562" s="381"/>
      <c r="AA562" s="381"/>
      <c r="AB562" s="381"/>
      <c r="AC562" s="381"/>
    </row>
    <row r="563">
      <c r="A563" s="395"/>
      <c r="B563" s="102"/>
      <c r="C563" s="110"/>
      <c r="D563" s="396"/>
      <c r="E563" s="397"/>
      <c r="F563" s="106"/>
      <c r="G563" s="106"/>
      <c r="H563" s="106"/>
      <c r="I563" s="396"/>
      <c r="J563" s="108"/>
      <c r="K563" s="107"/>
      <c r="L563" s="109"/>
      <c r="M563" s="109"/>
      <c r="N563" s="110"/>
      <c r="O563" s="123"/>
      <c r="P563" s="109"/>
      <c r="Q563" s="109"/>
      <c r="R563" s="109"/>
      <c r="S563" s="109"/>
      <c r="T563" s="109"/>
      <c r="U563" s="381"/>
      <c r="V563" s="381"/>
      <c r="W563" s="381"/>
      <c r="X563" s="381"/>
      <c r="Y563" s="381"/>
      <c r="Z563" s="381"/>
      <c r="AA563" s="381"/>
      <c r="AB563" s="381"/>
      <c r="AC563" s="381"/>
    </row>
    <row r="564">
      <c r="A564" s="398"/>
      <c r="B564" s="91"/>
      <c r="C564" s="100"/>
      <c r="D564" s="399"/>
      <c r="E564" s="400"/>
      <c r="F564" s="95"/>
      <c r="G564" s="95"/>
      <c r="H564" s="95"/>
      <c r="I564" s="399"/>
      <c r="J564" s="97"/>
      <c r="K564" s="96"/>
      <c r="L564" s="99"/>
      <c r="M564" s="99"/>
      <c r="N564" s="100"/>
      <c r="O564" s="124"/>
      <c r="P564" s="99"/>
      <c r="Q564" s="99"/>
      <c r="R564" s="99"/>
      <c r="S564" s="99"/>
      <c r="T564" s="99"/>
      <c r="U564" s="381"/>
      <c r="V564" s="381"/>
      <c r="W564" s="381"/>
      <c r="X564" s="381"/>
      <c r="Y564" s="381"/>
      <c r="Z564" s="381"/>
      <c r="AA564" s="381"/>
      <c r="AB564" s="381"/>
      <c r="AC564" s="381"/>
    </row>
    <row r="565">
      <c r="A565" s="395"/>
      <c r="B565" s="102"/>
      <c r="C565" s="110"/>
      <c r="D565" s="396"/>
      <c r="E565" s="397"/>
      <c r="F565" s="106"/>
      <c r="G565" s="106"/>
      <c r="H565" s="106"/>
      <c r="I565" s="396"/>
      <c r="J565" s="108"/>
      <c r="K565" s="107"/>
      <c r="L565" s="109"/>
      <c r="M565" s="109"/>
      <c r="N565" s="110"/>
      <c r="O565" s="123"/>
      <c r="P565" s="109"/>
      <c r="Q565" s="109"/>
      <c r="R565" s="109"/>
      <c r="S565" s="109"/>
      <c r="T565" s="109"/>
      <c r="U565" s="381"/>
      <c r="V565" s="381"/>
      <c r="W565" s="381"/>
      <c r="X565" s="381"/>
      <c r="Y565" s="381"/>
      <c r="Z565" s="381"/>
      <c r="AA565" s="381"/>
      <c r="AB565" s="381"/>
      <c r="AC565" s="381"/>
    </row>
    <row r="566">
      <c r="A566" s="398"/>
      <c r="B566" s="91"/>
      <c r="C566" s="100"/>
      <c r="D566" s="399"/>
      <c r="E566" s="400"/>
      <c r="F566" s="95"/>
      <c r="G566" s="95"/>
      <c r="H566" s="95"/>
      <c r="I566" s="399"/>
      <c r="J566" s="97"/>
      <c r="K566" s="96"/>
      <c r="L566" s="99"/>
      <c r="M566" s="99"/>
      <c r="N566" s="100"/>
      <c r="O566" s="124"/>
      <c r="P566" s="99"/>
      <c r="Q566" s="99"/>
      <c r="R566" s="99"/>
      <c r="S566" s="99"/>
      <c r="T566" s="99"/>
      <c r="U566" s="381"/>
      <c r="V566" s="381"/>
      <c r="W566" s="381"/>
      <c r="X566" s="381"/>
      <c r="Y566" s="381"/>
      <c r="Z566" s="381"/>
      <c r="AA566" s="381"/>
      <c r="AB566" s="381"/>
      <c r="AC566" s="381"/>
    </row>
    <row r="567">
      <c r="A567" s="395"/>
      <c r="B567" s="102"/>
      <c r="C567" s="110"/>
      <c r="D567" s="396"/>
      <c r="E567" s="397"/>
      <c r="F567" s="106"/>
      <c r="G567" s="106"/>
      <c r="H567" s="106"/>
      <c r="I567" s="396"/>
      <c r="J567" s="108"/>
      <c r="K567" s="107"/>
      <c r="L567" s="109"/>
      <c r="M567" s="109"/>
      <c r="N567" s="110"/>
      <c r="O567" s="123"/>
      <c r="P567" s="109"/>
      <c r="Q567" s="109"/>
      <c r="R567" s="109"/>
      <c r="S567" s="109"/>
      <c r="T567" s="109"/>
      <c r="U567" s="381"/>
      <c r="V567" s="381"/>
      <c r="W567" s="381"/>
      <c r="X567" s="381"/>
      <c r="Y567" s="381"/>
      <c r="Z567" s="381"/>
      <c r="AA567" s="381"/>
      <c r="AB567" s="381"/>
      <c r="AC567" s="381"/>
    </row>
    <row r="568">
      <c r="A568" s="398"/>
      <c r="B568" s="91"/>
      <c r="C568" s="100"/>
      <c r="D568" s="399"/>
      <c r="E568" s="400"/>
      <c r="F568" s="95"/>
      <c r="G568" s="95"/>
      <c r="H568" s="95"/>
      <c r="I568" s="399"/>
      <c r="J568" s="97"/>
      <c r="K568" s="96"/>
      <c r="L568" s="99"/>
      <c r="M568" s="99"/>
      <c r="N568" s="100"/>
      <c r="O568" s="124"/>
      <c r="P568" s="99"/>
      <c r="Q568" s="99"/>
      <c r="R568" s="99"/>
      <c r="S568" s="99"/>
      <c r="T568" s="99"/>
      <c r="U568" s="381"/>
      <c r="V568" s="381"/>
      <c r="W568" s="381"/>
      <c r="X568" s="381"/>
      <c r="Y568" s="381"/>
      <c r="Z568" s="381"/>
      <c r="AA568" s="381"/>
      <c r="AB568" s="381"/>
      <c r="AC568" s="381"/>
    </row>
    <row r="569">
      <c r="A569" s="395"/>
      <c r="B569" s="102"/>
      <c r="C569" s="110"/>
      <c r="D569" s="396"/>
      <c r="E569" s="397"/>
      <c r="F569" s="106"/>
      <c r="G569" s="106"/>
      <c r="H569" s="106"/>
      <c r="I569" s="396"/>
      <c r="J569" s="108"/>
      <c r="K569" s="107"/>
      <c r="L569" s="109"/>
      <c r="M569" s="109"/>
      <c r="N569" s="110"/>
      <c r="O569" s="123"/>
      <c r="P569" s="109"/>
      <c r="Q569" s="109"/>
      <c r="R569" s="109"/>
      <c r="S569" s="109"/>
      <c r="T569" s="109"/>
      <c r="U569" s="381"/>
      <c r="V569" s="381"/>
      <c r="W569" s="381"/>
      <c r="X569" s="381"/>
      <c r="Y569" s="381"/>
      <c r="Z569" s="381"/>
      <c r="AA569" s="381"/>
      <c r="AB569" s="381"/>
      <c r="AC569" s="381"/>
    </row>
    <row r="570">
      <c r="A570" s="398"/>
      <c r="B570" s="91"/>
      <c r="C570" s="100"/>
      <c r="D570" s="399"/>
      <c r="E570" s="400"/>
      <c r="F570" s="95"/>
      <c r="G570" s="95"/>
      <c r="H570" s="95"/>
      <c r="I570" s="399"/>
      <c r="J570" s="97"/>
      <c r="K570" s="96"/>
      <c r="L570" s="99"/>
      <c r="M570" s="99"/>
      <c r="N570" s="100"/>
      <c r="O570" s="124"/>
      <c r="P570" s="99"/>
      <c r="Q570" s="99"/>
      <c r="R570" s="99"/>
      <c r="S570" s="99"/>
      <c r="T570" s="99"/>
      <c r="U570" s="381"/>
      <c r="V570" s="381"/>
      <c r="W570" s="381"/>
      <c r="X570" s="381"/>
      <c r="Y570" s="381"/>
      <c r="Z570" s="381"/>
      <c r="AA570" s="381"/>
      <c r="AB570" s="381"/>
      <c r="AC570" s="381"/>
    </row>
    <row r="571">
      <c r="A571" s="395"/>
      <c r="B571" s="102"/>
      <c r="C571" s="110"/>
      <c r="D571" s="396"/>
      <c r="E571" s="397"/>
      <c r="F571" s="106"/>
      <c r="G571" s="106"/>
      <c r="H571" s="106"/>
      <c r="I571" s="396"/>
      <c r="J571" s="108"/>
      <c r="K571" s="107"/>
      <c r="L571" s="109"/>
      <c r="M571" s="109"/>
      <c r="N571" s="110"/>
      <c r="O571" s="123"/>
      <c r="P571" s="109"/>
      <c r="Q571" s="109"/>
      <c r="R571" s="109"/>
      <c r="S571" s="109"/>
      <c r="T571" s="109"/>
      <c r="U571" s="381"/>
      <c r="V571" s="381"/>
      <c r="W571" s="381"/>
      <c r="X571" s="381"/>
      <c r="Y571" s="381"/>
      <c r="Z571" s="381"/>
      <c r="AA571" s="381"/>
      <c r="AB571" s="381"/>
      <c r="AC571" s="381"/>
    </row>
    <row r="572">
      <c r="A572" s="398"/>
      <c r="B572" s="91"/>
      <c r="C572" s="100"/>
      <c r="D572" s="399"/>
      <c r="E572" s="400"/>
      <c r="F572" s="95"/>
      <c r="G572" s="95"/>
      <c r="H572" s="95"/>
      <c r="I572" s="399"/>
      <c r="J572" s="97"/>
      <c r="K572" s="96"/>
      <c r="L572" s="99"/>
      <c r="M572" s="99"/>
      <c r="N572" s="100"/>
      <c r="O572" s="124"/>
      <c r="P572" s="99"/>
      <c r="Q572" s="99"/>
      <c r="R572" s="99"/>
      <c r="S572" s="99"/>
      <c r="T572" s="99"/>
      <c r="U572" s="381"/>
      <c r="V572" s="381"/>
      <c r="W572" s="381"/>
      <c r="X572" s="381"/>
      <c r="Y572" s="381"/>
      <c r="Z572" s="381"/>
      <c r="AA572" s="381"/>
      <c r="AB572" s="381"/>
      <c r="AC572" s="381"/>
    </row>
    <row r="573">
      <c r="A573" s="395"/>
      <c r="B573" s="102"/>
      <c r="C573" s="110"/>
      <c r="D573" s="396"/>
      <c r="E573" s="397"/>
      <c r="F573" s="106"/>
      <c r="G573" s="106"/>
      <c r="H573" s="106"/>
      <c r="I573" s="396"/>
      <c r="J573" s="108"/>
      <c r="K573" s="107"/>
      <c r="L573" s="109"/>
      <c r="M573" s="109"/>
      <c r="N573" s="110"/>
      <c r="O573" s="123"/>
      <c r="P573" s="109"/>
      <c r="Q573" s="109"/>
      <c r="R573" s="109"/>
      <c r="S573" s="109"/>
      <c r="T573" s="109"/>
      <c r="U573" s="381"/>
      <c r="V573" s="381"/>
      <c r="W573" s="381"/>
      <c r="X573" s="381"/>
      <c r="Y573" s="381"/>
      <c r="Z573" s="381"/>
      <c r="AA573" s="381"/>
      <c r="AB573" s="381"/>
      <c r="AC573" s="381"/>
    </row>
    <row r="574">
      <c r="A574" s="398"/>
      <c r="B574" s="91"/>
      <c r="C574" s="100"/>
      <c r="D574" s="399"/>
      <c r="E574" s="400"/>
      <c r="F574" s="95"/>
      <c r="G574" s="95"/>
      <c r="H574" s="95"/>
      <c r="I574" s="399"/>
      <c r="J574" s="97"/>
      <c r="K574" s="96"/>
      <c r="L574" s="99"/>
      <c r="M574" s="99"/>
      <c r="N574" s="100"/>
      <c r="O574" s="124"/>
      <c r="P574" s="99"/>
      <c r="Q574" s="99"/>
      <c r="R574" s="99"/>
      <c r="S574" s="99"/>
      <c r="T574" s="99"/>
      <c r="U574" s="381"/>
      <c r="V574" s="381"/>
      <c r="W574" s="381"/>
      <c r="X574" s="381"/>
      <c r="Y574" s="381"/>
      <c r="Z574" s="381"/>
      <c r="AA574" s="381"/>
      <c r="AB574" s="381"/>
      <c r="AC574" s="381"/>
    </row>
    <row r="575">
      <c r="A575" s="395"/>
      <c r="B575" s="102"/>
      <c r="C575" s="110"/>
      <c r="D575" s="396"/>
      <c r="E575" s="397"/>
      <c r="F575" s="106"/>
      <c r="G575" s="106"/>
      <c r="H575" s="106"/>
      <c r="I575" s="396"/>
      <c r="J575" s="108"/>
      <c r="K575" s="107"/>
      <c r="L575" s="109"/>
      <c r="M575" s="109"/>
      <c r="N575" s="110"/>
      <c r="O575" s="123"/>
      <c r="P575" s="109"/>
      <c r="Q575" s="109"/>
      <c r="R575" s="109"/>
      <c r="S575" s="109"/>
      <c r="T575" s="109"/>
      <c r="U575" s="381"/>
      <c r="V575" s="381"/>
      <c r="W575" s="381"/>
      <c r="X575" s="381"/>
      <c r="Y575" s="381"/>
      <c r="Z575" s="381"/>
      <c r="AA575" s="381"/>
      <c r="AB575" s="381"/>
      <c r="AC575" s="381"/>
    </row>
    <row r="576">
      <c r="A576" s="398"/>
      <c r="B576" s="91"/>
      <c r="C576" s="100"/>
      <c r="D576" s="399"/>
      <c r="E576" s="400"/>
      <c r="F576" s="95"/>
      <c r="G576" s="95"/>
      <c r="H576" s="95"/>
      <c r="I576" s="399"/>
      <c r="J576" s="97"/>
      <c r="K576" s="96"/>
      <c r="L576" s="99"/>
      <c r="M576" s="99"/>
      <c r="N576" s="100"/>
      <c r="O576" s="124"/>
      <c r="P576" s="99"/>
      <c r="Q576" s="99"/>
      <c r="R576" s="99"/>
      <c r="S576" s="99"/>
      <c r="T576" s="99"/>
      <c r="U576" s="381"/>
      <c r="V576" s="381"/>
      <c r="W576" s="381"/>
      <c r="X576" s="381"/>
      <c r="Y576" s="381"/>
      <c r="Z576" s="381"/>
      <c r="AA576" s="381"/>
      <c r="AB576" s="381"/>
      <c r="AC576" s="381"/>
    </row>
    <row r="577">
      <c r="A577" s="395"/>
      <c r="B577" s="102"/>
      <c r="C577" s="110"/>
      <c r="D577" s="396"/>
      <c r="E577" s="397"/>
      <c r="F577" s="106"/>
      <c r="G577" s="106"/>
      <c r="H577" s="106"/>
      <c r="I577" s="396"/>
      <c r="J577" s="108"/>
      <c r="K577" s="107"/>
      <c r="L577" s="109"/>
      <c r="M577" s="109"/>
      <c r="N577" s="110"/>
      <c r="O577" s="123"/>
      <c r="P577" s="109"/>
      <c r="Q577" s="109"/>
      <c r="R577" s="109"/>
      <c r="S577" s="109"/>
      <c r="T577" s="109"/>
      <c r="U577" s="381"/>
      <c r="V577" s="381"/>
      <c r="W577" s="381"/>
      <c r="X577" s="381"/>
      <c r="Y577" s="381"/>
      <c r="Z577" s="381"/>
      <c r="AA577" s="381"/>
      <c r="AB577" s="381"/>
      <c r="AC577" s="381"/>
    </row>
    <row r="578">
      <c r="A578" s="398"/>
      <c r="B578" s="91"/>
      <c r="C578" s="100"/>
      <c r="D578" s="399"/>
      <c r="E578" s="400"/>
      <c r="F578" s="95"/>
      <c r="G578" s="95"/>
      <c r="H578" s="95"/>
      <c r="I578" s="399"/>
      <c r="J578" s="97"/>
      <c r="K578" s="96"/>
      <c r="L578" s="99"/>
      <c r="M578" s="99"/>
      <c r="N578" s="100"/>
      <c r="O578" s="124"/>
      <c r="P578" s="99"/>
      <c r="Q578" s="99"/>
      <c r="R578" s="99"/>
      <c r="S578" s="99"/>
      <c r="T578" s="99"/>
      <c r="U578" s="381"/>
      <c r="V578" s="381"/>
      <c r="W578" s="381"/>
      <c r="X578" s="381"/>
      <c r="Y578" s="381"/>
      <c r="Z578" s="381"/>
      <c r="AA578" s="381"/>
      <c r="AB578" s="381"/>
      <c r="AC578" s="381"/>
    </row>
    <row r="579">
      <c r="A579" s="395"/>
      <c r="B579" s="102"/>
      <c r="C579" s="110"/>
      <c r="D579" s="396"/>
      <c r="E579" s="397"/>
      <c r="F579" s="106"/>
      <c r="G579" s="106"/>
      <c r="H579" s="106"/>
      <c r="I579" s="396"/>
      <c r="J579" s="108"/>
      <c r="K579" s="107"/>
      <c r="L579" s="109"/>
      <c r="M579" s="109"/>
      <c r="N579" s="110"/>
      <c r="O579" s="123"/>
      <c r="P579" s="109"/>
      <c r="Q579" s="109"/>
      <c r="R579" s="109"/>
      <c r="S579" s="109"/>
      <c r="T579" s="109"/>
      <c r="U579" s="381"/>
      <c r="V579" s="381"/>
      <c r="W579" s="381"/>
      <c r="X579" s="381"/>
      <c r="Y579" s="381"/>
      <c r="Z579" s="381"/>
      <c r="AA579" s="381"/>
      <c r="AB579" s="381"/>
      <c r="AC579" s="381"/>
    </row>
    <row r="580">
      <c r="A580" s="398"/>
      <c r="B580" s="91"/>
      <c r="C580" s="100"/>
      <c r="D580" s="399"/>
      <c r="E580" s="400"/>
      <c r="F580" s="95"/>
      <c r="G580" s="95"/>
      <c r="H580" s="95"/>
      <c r="I580" s="399"/>
      <c r="J580" s="97"/>
      <c r="K580" s="96"/>
      <c r="L580" s="99"/>
      <c r="M580" s="99"/>
      <c r="N580" s="100"/>
      <c r="O580" s="124"/>
      <c r="P580" s="99"/>
      <c r="Q580" s="99"/>
      <c r="R580" s="99"/>
      <c r="S580" s="99"/>
      <c r="T580" s="99"/>
      <c r="U580" s="381"/>
      <c r="V580" s="381"/>
      <c r="W580" s="381"/>
      <c r="X580" s="381"/>
      <c r="Y580" s="381"/>
      <c r="Z580" s="381"/>
      <c r="AA580" s="381"/>
      <c r="AB580" s="381"/>
      <c r="AC580" s="381"/>
    </row>
    <row r="581">
      <c r="A581" s="395"/>
      <c r="B581" s="102"/>
      <c r="C581" s="110"/>
      <c r="D581" s="396"/>
      <c r="E581" s="397"/>
      <c r="F581" s="106"/>
      <c r="G581" s="106"/>
      <c r="H581" s="106"/>
      <c r="I581" s="396"/>
      <c r="J581" s="108"/>
      <c r="K581" s="107"/>
      <c r="L581" s="109"/>
      <c r="M581" s="109"/>
      <c r="N581" s="110"/>
      <c r="O581" s="123"/>
      <c r="P581" s="109"/>
      <c r="Q581" s="109"/>
      <c r="R581" s="109"/>
      <c r="S581" s="109"/>
      <c r="T581" s="109"/>
      <c r="U581" s="381"/>
      <c r="V581" s="381"/>
      <c r="W581" s="381"/>
      <c r="X581" s="381"/>
      <c r="Y581" s="381"/>
      <c r="Z581" s="381"/>
      <c r="AA581" s="381"/>
      <c r="AB581" s="381"/>
      <c r="AC581" s="381"/>
    </row>
    <row r="582">
      <c r="A582" s="398"/>
      <c r="B582" s="91"/>
      <c r="C582" s="100"/>
      <c r="D582" s="399"/>
      <c r="E582" s="400"/>
      <c r="F582" s="95"/>
      <c r="G582" s="95"/>
      <c r="H582" s="95"/>
      <c r="I582" s="399"/>
      <c r="J582" s="97"/>
      <c r="K582" s="96"/>
      <c r="L582" s="99"/>
      <c r="M582" s="99"/>
      <c r="N582" s="100"/>
      <c r="O582" s="124"/>
      <c r="P582" s="99"/>
      <c r="Q582" s="99"/>
      <c r="R582" s="99"/>
      <c r="S582" s="99"/>
      <c r="T582" s="99"/>
      <c r="U582" s="381"/>
      <c r="V582" s="381"/>
      <c r="W582" s="381"/>
      <c r="X582" s="381"/>
      <c r="Y582" s="381"/>
      <c r="Z582" s="381"/>
      <c r="AA582" s="381"/>
      <c r="AB582" s="381"/>
      <c r="AC582" s="381"/>
    </row>
    <row r="583">
      <c r="A583" s="395"/>
      <c r="B583" s="102"/>
      <c r="C583" s="110"/>
      <c r="D583" s="396"/>
      <c r="E583" s="397"/>
      <c r="F583" s="106"/>
      <c r="G583" s="106"/>
      <c r="H583" s="106"/>
      <c r="I583" s="396"/>
      <c r="J583" s="108"/>
      <c r="K583" s="107"/>
      <c r="L583" s="109"/>
      <c r="M583" s="109"/>
      <c r="N583" s="110"/>
      <c r="O583" s="123"/>
      <c r="P583" s="109"/>
      <c r="Q583" s="109"/>
      <c r="R583" s="109"/>
      <c r="S583" s="109"/>
      <c r="T583" s="109"/>
      <c r="U583" s="381"/>
      <c r="V583" s="381"/>
      <c r="W583" s="381"/>
      <c r="X583" s="381"/>
      <c r="Y583" s="381"/>
      <c r="Z583" s="381"/>
      <c r="AA583" s="381"/>
      <c r="AB583" s="381"/>
      <c r="AC583" s="381"/>
    </row>
    <row r="584">
      <c r="A584" s="398"/>
      <c r="B584" s="91"/>
      <c r="C584" s="100"/>
      <c r="D584" s="399"/>
      <c r="E584" s="400"/>
      <c r="F584" s="95"/>
      <c r="G584" s="95"/>
      <c r="H584" s="95"/>
      <c r="I584" s="399"/>
      <c r="J584" s="97"/>
      <c r="K584" s="96"/>
      <c r="L584" s="99"/>
      <c r="M584" s="99"/>
      <c r="N584" s="100"/>
      <c r="O584" s="124"/>
      <c r="P584" s="99"/>
      <c r="Q584" s="99"/>
      <c r="R584" s="99"/>
      <c r="S584" s="99"/>
      <c r="T584" s="99"/>
      <c r="U584" s="381"/>
      <c r="V584" s="381"/>
      <c r="W584" s="381"/>
      <c r="X584" s="381"/>
      <c r="Y584" s="381"/>
      <c r="Z584" s="381"/>
      <c r="AA584" s="381"/>
      <c r="AB584" s="381"/>
      <c r="AC584" s="381"/>
    </row>
    <row r="585">
      <c r="A585" s="395"/>
      <c r="B585" s="102"/>
      <c r="C585" s="110"/>
      <c r="D585" s="396"/>
      <c r="E585" s="397"/>
      <c r="F585" s="106"/>
      <c r="G585" s="106"/>
      <c r="H585" s="106"/>
      <c r="I585" s="396"/>
      <c r="J585" s="108"/>
      <c r="K585" s="107"/>
      <c r="L585" s="109"/>
      <c r="M585" s="109"/>
      <c r="N585" s="110"/>
      <c r="O585" s="123"/>
      <c r="P585" s="109"/>
      <c r="Q585" s="109"/>
      <c r="R585" s="109"/>
      <c r="S585" s="109"/>
      <c r="T585" s="109"/>
      <c r="U585" s="381"/>
      <c r="V585" s="381"/>
      <c r="W585" s="381"/>
      <c r="X585" s="381"/>
      <c r="Y585" s="381"/>
      <c r="Z585" s="381"/>
      <c r="AA585" s="381"/>
      <c r="AB585" s="381"/>
      <c r="AC585" s="381"/>
    </row>
    <row r="586">
      <c r="A586" s="398"/>
      <c r="B586" s="91"/>
      <c r="C586" s="100"/>
      <c r="D586" s="399"/>
      <c r="E586" s="400"/>
      <c r="F586" s="95"/>
      <c r="G586" s="95"/>
      <c r="H586" s="95"/>
      <c r="I586" s="399"/>
      <c r="J586" s="97"/>
      <c r="K586" s="96"/>
      <c r="L586" s="99"/>
      <c r="M586" s="99"/>
      <c r="N586" s="100"/>
      <c r="O586" s="124"/>
      <c r="P586" s="99"/>
      <c r="Q586" s="99"/>
      <c r="R586" s="99"/>
      <c r="S586" s="99"/>
      <c r="T586" s="99"/>
      <c r="U586" s="381"/>
      <c r="V586" s="381"/>
      <c r="W586" s="381"/>
      <c r="X586" s="381"/>
      <c r="Y586" s="381"/>
      <c r="Z586" s="381"/>
      <c r="AA586" s="381"/>
      <c r="AB586" s="381"/>
      <c r="AC586" s="381"/>
    </row>
    <row r="587">
      <c r="A587" s="395"/>
      <c r="B587" s="102"/>
      <c r="C587" s="110"/>
      <c r="D587" s="396"/>
      <c r="E587" s="397"/>
      <c r="F587" s="106"/>
      <c r="G587" s="106"/>
      <c r="H587" s="106"/>
      <c r="I587" s="396"/>
      <c r="J587" s="108"/>
      <c r="K587" s="107"/>
      <c r="L587" s="109"/>
      <c r="M587" s="109"/>
      <c r="N587" s="110"/>
      <c r="O587" s="123"/>
      <c r="P587" s="109"/>
      <c r="Q587" s="109"/>
      <c r="R587" s="109"/>
      <c r="S587" s="109"/>
      <c r="T587" s="109"/>
      <c r="U587" s="381"/>
      <c r="V587" s="381"/>
      <c r="W587" s="381"/>
      <c r="X587" s="381"/>
      <c r="Y587" s="381"/>
      <c r="Z587" s="381"/>
      <c r="AA587" s="381"/>
      <c r="AB587" s="381"/>
      <c r="AC587" s="381"/>
    </row>
    <row r="588">
      <c r="A588" s="398"/>
      <c r="B588" s="91"/>
      <c r="C588" s="100"/>
      <c r="D588" s="399"/>
      <c r="E588" s="400"/>
      <c r="F588" s="95"/>
      <c r="G588" s="95"/>
      <c r="H588" s="95"/>
      <c r="I588" s="399"/>
      <c r="J588" s="97"/>
      <c r="K588" s="96"/>
      <c r="L588" s="99"/>
      <c r="M588" s="99"/>
      <c r="N588" s="100"/>
      <c r="O588" s="124"/>
      <c r="P588" s="99"/>
      <c r="Q588" s="99"/>
      <c r="R588" s="99"/>
      <c r="S588" s="99"/>
      <c r="T588" s="99"/>
      <c r="U588" s="381"/>
      <c r="V588" s="381"/>
      <c r="W588" s="381"/>
      <c r="X588" s="381"/>
      <c r="Y588" s="381"/>
      <c r="Z588" s="381"/>
      <c r="AA588" s="381"/>
      <c r="AB588" s="381"/>
      <c r="AC588" s="381"/>
    </row>
    <row r="589">
      <c r="A589" s="395"/>
      <c r="B589" s="102"/>
      <c r="C589" s="110"/>
      <c r="D589" s="396"/>
      <c r="E589" s="397"/>
      <c r="F589" s="106"/>
      <c r="G589" s="106"/>
      <c r="H589" s="106"/>
      <c r="I589" s="396"/>
      <c r="J589" s="108"/>
      <c r="K589" s="107"/>
      <c r="L589" s="109"/>
      <c r="M589" s="109"/>
      <c r="N589" s="110"/>
      <c r="O589" s="123"/>
      <c r="P589" s="109"/>
      <c r="Q589" s="109"/>
      <c r="R589" s="109"/>
      <c r="S589" s="109"/>
      <c r="T589" s="109"/>
      <c r="U589" s="381"/>
      <c r="V589" s="381"/>
      <c r="W589" s="381"/>
      <c r="X589" s="381"/>
      <c r="Y589" s="381"/>
      <c r="Z589" s="381"/>
      <c r="AA589" s="381"/>
      <c r="AB589" s="381"/>
      <c r="AC589" s="381"/>
    </row>
    <row r="590">
      <c r="A590" s="398"/>
      <c r="B590" s="91"/>
      <c r="C590" s="100"/>
      <c r="D590" s="399"/>
      <c r="E590" s="400"/>
      <c r="F590" s="95"/>
      <c r="G590" s="95"/>
      <c r="H590" s="95"/>
      <c r="I590" s="399"/>
      <c r="J590" s="97"/>
      <c r="K590" s="96"/>
      <c r="L590" s="99"/>
      <c r="M590" s="99"/>
      <c r="N590" s="100"/>
      <c r="O590" s="124"/>
      <c r="P590" s="99"/>
      <c r="Q590" s="99"/>
      <c r="R590" s="99"/>
      <c r="S590" s="99"/>
      <c r="T590" s="99"/>
      <c r="U590" s="381"/>
      <c r="V590" s="381"/>
      <c r="W590" s="381"/>
      <c r="X590" s="381"/>
      <c r="Y590" s="381"/>
      <c r="Z590" s="381"/>
      <c r="AA590" s="381"/>
      <c r="AB590" s="381"/>
      <c r="AC590" s="381"/>
    </row>
    <row r="591">
      <c r="A591" s="395"/>
      <c r="B591" s="102"/>
      <c r="C591" s="110"/>
      <c r="D591" s="396"/>
      <c r="E591" s="397"/>
      <c r="F591" s="106"/>
      <c r="G591" s="106"/>
      <c r="H591" s="106"/>
      <c r="I591" s="396"/>
      <c r="J591" s="108"/>
      <c r="K591" s="107"/>
      <c r="L591" s="109"/>
      <c r="M591" s="109"/>
      <c r="N591" s="110"/>
      <c r="O591" s="123"/>
      <c r="P591" s="109"/>
      <c r="Q591" s="109"/>
      <c r="R591" s="109"/>
      <c r="S591" s="109"/>
      <c r="T591" s="109"/>
      <c r="U591" s="381"/>
      <c r="V591" s="381"/>
      <c r="W591" s="381"/>
      <c r="X591" s="381"/>
      <c r="Y591" s="381"/>
      <c r="Z591" s="381"/>
      <c r="AA591" s="381"/>
      <c r="AB591" s="381"/>
      <c r="AC591" s="381"/>
    </row>
    <row r="592">
      <c r="A592" s="398"/>
      <c r="B592" s="91"/>
      <c r="C592" s="100"/>
      <c r="D592" s="399"/>
      <c r="E592" s="400"/>
      <c r="F592" s="95"/>
      <c r="G592" s="95"/>
      <c r="H592" s="95"/>
      <c r="I592" s="399"/>
      <c r="J592" s="97"/>
      <c r="K592" s="96"/>
      <c r="L592" s="99"/>
      <c r="M592" s="99"/>
      <c r="N592" s="100"/>
      <c r="O592" s="124"/>
      <c r="P592" s="99"/>
      <c r="Q592" s="99"/>
      <c r="R592" s="99"/>
      <c r="S592" s="99"/>
      <c r="T592" s="99"/>
      <c r="U592" s="381"/>
      <c r="V592" s="381"/>
      <c r="W592" s="381"/>
      <c r="X592" s="381"/>
      <c r="Y592" s="381"/>
      <c r="Z592" s="381"/>
      <c r="AA592" s="381"/>
      <c r="AB592" s="381"/>
      <c r="AC592" s="381"/>
    </row>
    <row r="593">
      <c r="A593" s="395"/>
      <c r="B593" s="102"/>
      <c r="C593" s="110"/>
      <c r="D593" s="396"/>
      <c r="E593" s="397"/>
      <c r="F593" s="106"/>
      <c r="G593" s="106"/>
      <c r="H593" s="106"/>
      <c r="I593" s="396"/>
      <c r="J593" s="108"/>
      <c r="K593" s="107"/>
      <c r="L593" s="109"/>
      <c r="M593" s="109"/>
      <c r="N593" s="110"/>
      <c r="O593" s="123"/>
      <c r="P593" s="109"/>
      <c r="Q593" s="109"/>
      <c r="R593" s="109"/>
      <c r="S593" s="109"/>
      <c r="T593" s="109"/>
      <c r="U593" s="381"/>
      <c r="V593" s="381"/>
      <c r="W593" s="381"/>
      <c r="X593" s="381"/>
      <c r="Y593" s="381"/>
      <c r="Z593" s="381"/>
      <c r="AA593" s="381"/>
      <c r="AB593" s="381"/>
      <c r="AC593" s="381"/>
    </row>
    <row r="594">
      <c r="A594" s="398"/>
      <c r="B594" s="91"/>
      <c r="C594" s="100"/>
      <c r="D594" s="399"/>
      <c r="E594" s="400"/>
      <c r="F594" s="95"/>
      <c r="G594" s="95"/>
      <c r="H594" s="95"/>
      <c r="I594" s="399"/>
      <c r="J594" s="97"/>
      <c r="K594" s="96"/>
      <c r="L594" s="99"/>
      <c r="M594" s="99"/>
      <c r="N594" s="100"/>
      <c r="O594" s="124"/>
      <c r="P594" s="99"/>
      <c r="Q594" s="99"/>
      <c r="R594" s="99"/>
      <c r="S594" s="99"/>
      <c r="T594" s="99"/>
      <c r="U594" s="381"/>
      <c r="V594" s="381"/>
      <c r="W594" s="381"/>
      <c r="X594" s="381"/>
      <c r="Y594" s="381"/>
      <c r="Z594" s="381"/>
      <c r="AA594" s="381"/>
      <c r="AB594" s="381"/>
      <c r="AC594" s="381"/>
    </row>
    <row r="595">
      <c r="A595" s="395"/>
      <c r="B595" s="102"/>
      <c r="C595" s="110"/>
      <c r="D595" s="396"/>
      <c r="E595" s="397"/>
      <c r="F595" s="106"/>
      <c r="G595" s="106"/>
      <c r="H595" s="106"/>
      <c r="I595" s="396"/>
      <c r="J595" s="108"/>
      <c r="K595" s="107"/>
      <c r="L595" s="109"/>
      <c r="M595" s="109"/>
      <c r="N595" s="110"/>
      <c r="O595" s="123"/>
      <c r="P595" s="109"/>
      <c r="Q595" s="109"/>
      <c r="R595" s="109"/>
      <c r="S595" s="109"/>
      <c r="T595" s="109"/>
      <c r="U595" s="381"/>
      <c r="V595" s="381"/>
      <c r="W595" s="381"/>
      <c r="X595" s="381"/>
      <c r="Y595" s="381"/>
      <c r="Z595" s="381"/>
      <c r="AA595" s="381"/>
      <c r="AB595" s="381"/>
      <c r="AC595" s="381"/>
    </row>
    <row r="596">
      <c r="A596" s="398"/>
      <c r="B596" s="91"/>
      <c r="C596" s="100"/>
      <c r="D596" s="399"/>
      <c r="E596" s="400"/>
      <c r="F596" s="95"/>
      <c r="G596" s="95"/>
      <c r="H596" s="95"/>
      <c r="I596" s="399"/>
      <c r="J596" s="97"/>
      <c r="K596" s="96"/>
      <c r="L596" s="99"/>
      <c r="M596" s="99"/>
      <c r="N596" s="100"/>
      <c r="O596" s="124"/>
      <c r="P596" s="99"/>
      <c r="Q596" s="99"/>
      <c r="R596" s="99"/>
      <c r="S596" s="99"/>
      <c r="T596" s="99"/>
      <c r="U596" s="381"/>
      <c r="V596" s="381"/>
      <c r="W596" s="381"/>
      <c r="X596" s="381"/>
      <c r="Y596" s="381"/>
      <c r="Z596" s="381"/>
      <c r="AA596" s="381"/>
      <c r="AB596" s="381"/>
      <c r="AC596" s="381"/>
    </row>
    <row r="597">
      <c r="A597" s="395"/>
      <c r="B597" s="102"/>
      <c r="C597" s="110"/>
      <c r="D597" s="396"/>
      <c r="E597" s="397"/>
      <c r="F597" s="106"/>
      <c r="G597" s="106"/>
      <c r="H597" s="106"/>
      <c r="I597" s="396"/>
      <c r="J597" s="108"/>
      <c r="K597" s="107"/>
      <c r="L597" s="109"/>
      <c r="M597" s="109"/>
      <c r="N597" s="110"/>
      <c r="O597" s="123"/>
      <c r="P597" s="109"/>
      <c r="Q597" s="109"/>
      <c r="R597" s="109"/>
      <c r="S597" s="109"/>
      <c r="T597" s="109"/>
      <c r="U597" s="381"/>
      <c r="V597" s="381"/>
      <c r="W597" s="381"/>
      <c r="X597" s="381"/>
      <c r="Y597" s="381"/>
      <c r="Z597" s="381"/>
      <c r="AA597" s="381"/>
      <c r="AB597" s="381"/>
      <c r="AC597" s="381"/>
    </row>
    <row r="598">
      <c r="A598" s="398"/>
      <c r="B598" s="91"/>
      <c r="C598" s="100"/>
      <c r="D598" s="399"/>
      <c r="E598" s="400"/>
      <c r="F598" s="95"/>
      <c r="G598" s="95"/>
      <c r="H598" s="95"/>
      <c r="I598" s="399"/>
      <c r="J598" s="97"/>
      <c r="K598" s="96"/>
      <c r="L598" s="99"/>
      <c r="M598" s="99"/>
      <c r="N598" s="100"/>
      <c r="O598" s="124"/>
      <c r="P598" s="99"/>
      <c r="Q598" s="99"/>
      <c r="R598" s="99"/>
      <c r="S598" s="99"/>
      <c r="T598" s="99"/>
      <c r="U598" s="381"/>
      <c r="V598" s="381"/>
      <c r="W598" s="381"/>
      <c r="X598" s="381"/>
      <c r="Y598" s="381"/>
      <c r="Z598" s="381"/>
      <c r="AA598" s="381"/>
      <c r="AB598" s="381"/>
      <c r="AC598" s="381"/>
    </row>
    <row r="599">
      <c r="A599" s="395"/>
      <c r="B599" s="102"/>
      <c r="C599" s="110"/>
      <c r="D599" s="396"/>
      <c r="E599" s="397"/>
      <c r="F599" s="106"/>
      <c r="G599" s="106"/>
      <c r="H599" s="106"/>
      <c r="I599" s="396"/>
      <c r="J599" s="108"/>
      <c r="K599" s="107"/>
      <c r="L599" s="109"/>
      <c r="M599" s="109"/>
      <c r="N599" s="110"/>
      <c r="O599" s="123"/>
      <c r="P599" s="109"/>
      <c r="Q599" s="109"/>
      <c r="R599" s="109"/>
      <c r="S599" s="109"/>
      <c r="T599" s="109"/>
      <c r="U599" s="381"/>
      <c r="V599" s="381"/>
      <c r="W599" s="381"/>
      <c r="X599" s="381"/>
      <c r="Y599" s="381"/>
      <c r="Z599" s="381"/>
      <c r="AA599" s="381"/>
      <c r="AB599" s="381"/>
      <c r="AC599" s="381"/>
    </row>
    <row r="600">
      <c r="A600" s="398"/>
      <c r="B600" s="91"/>
      <c r="C600" s="100"/>
      <c r="D600" s="399"/>
      <c r="E600" s="400"/>
      <c r="F600" s="95"/>
      <c r="G600" s="95"/>
      <c r="H600" s="95"/>
      <c r="I600" s="399"/>
      <c r="J600" s="97"/>
      <c r="K600" s="96"/>
      <c r="L600" s="99"/>
      <c r="M600" s="99"/>
      <c r="N600" s="100"/>
      <c r="O600" s="124"/>
      <c r="P600" s="99"/>
      <c r="Q600" s="99"/>
      <c r="R600" s="99"/>
      <c r="S600" s="99"/>
      <c r="T600" s="99"/>
      <c r="U600" s="381"/>
      <c r="V600" s="381"/>
      <c r="W600" s="381"/>
      <c r="X600" s="381"/>
      <c r="Y600" s="381"/>
      <c r="Z600" s="381"/>
      <c r="AA600" s="381"/>
      <c r="AB600" s="381"/>
      <c r="AC600" s="381"/>
    </row>
    <row r="601">
      <c r="A601" s="395"/>
      <c r="B601" s="102"/>
      <c r="C601" s="110"/>
      <c r="D601" s="396"/>
      <c r="E601" s="397"/>
      <c r="F601" s="106"/>
      <c r="G601" s="106"/>
      <c r="H601" s="106"/>
      <c r="I601" s="396"/>
      <c r="J601" s="108"/>
      <c r="K601" s="107"/>
      <c r="L601" s="109"/>
      <c r="M601" s="109"/>
      <c r="N601" s="110"/>
      <c r="O601" s="123"/>
      <c r="P601" s="109"/>
      <c r="Q601" s="109"/>
      <c r="R601" s="109"/>
      <c r="S601" s="109"/>
      <c r="T601" s="109"/>
      <c r="U601" s="381"/>
      <c r="V601" s="381"/>
      <c r="W601" s="381"/>
      <c r="X601" s="381"/>
      <c r="Y601" s="381"/>
      <c r="Z601" s="381"/>
      <c r="AA601" s="381"/>
      <c r="AB601" s="381"/>
      <c r="AC601" s="381"/>
    </row>
    <row r="602">
      <c r="A602" s="398"/>
      <c r="B602" s="91"/>
      <c r="C602" s="100"/>
      <c r="D602" s="399"/>
      <c r="E602" s="400"/>
      <c r="F602" s="95"/>
      <c r="G602" s="95"/>
      <c r="H602" s="95"/>
      <c r="I602" s="399"/>
      <c r="J602" s="97"/>
      <c r="K602" s="96"/>
      <c r="L602" s="99"/>
      <c r="M602" s="99"/>
      <c r="N602" s="100"/>
      <c r="O602" s="124"/>
      <c r="P602" s="99"/>
      <c r="Q602" s="99"/>
      <c r="R602" s="99"/>
      <c r="S602" s="99"/>
      <c r="T602" s="99"/>
      <c r="U602" s="381"/>
      <c r="V602" s="381"/>
      <c r="W602" s="381"/>
      <c r="X602" s="381"/>
      <c r="Y602" s="381"/>
      <c r="Z602" s="381"/>
      <c r="AA602" s="381"/>
      <c r="AB602" s="381"/>
      <c r="AC602" s="381"/>
    </row>
    <row r="603">
      <c r="A603" s="395"/>
      <c r="B603" s="102"/>
      <c r="C603" s="110"/>
      <c r="D603" s="396"/>
      <c r="E603" s="397"/>
      <c r="F603" s="106"/>
      <c r="G603" s="106"/>
      <c r="H603" s="106"/>
      <c r="I603" s="396"/>
      <c r="J603" s="108"/>
      <c r="K603" s="107"/>
      <c r="L603" s="109"/>
      <c r="M603" s="109"/>
      <c r="N603" s="110"/>
      <c r="O603" s="123"/>
      <c r="P603" s="109"/>
      <c r="Q603" s="109"/>
      <c r="R603" s="109"/>
      <c r="S603" s="109"/>
      <c r="T603" s="109"/>
      <c r="U603" s="381"/>
      <c r="V603" s="381"/>
      <c r="W603" s="381"/>
      <c r="X603" s="381"/>
      <c r="Y603" s="381"/>
      <c r="Z603" s="381"/>
      <c r="AA603" s="381"/>
      <c r="AB603" s="381"/>
      <c r="AC603" s="381"/>
    </row>
    <row r="604">
      <c r="A604" s="398"/>
      <c r="B604" s="91"/>
      <c r="C604" s="100"/>
      <c r="D604" s="399"/>
      <c r="E604" s="400"/>
      <c r="F604" s="95"/>
      <c r="G604" s="95"/>
      <c r="H604" s="95"/>
      <c r="I604" s="399"/>
      <c r="J604" s="97"/>
      <c r="K604" s="96"/>
      <c r="L604" s="99"/>
      <c r="M604" s="99"/>
      <c r="N604" s="100"/>
      <c r="O604" s="124"/>
      <c r="P604" s="99"/>
      <c r="Q604" s="99"/>
      <c r="R604" s="99"/>
      <c r="S604" s="99"/>
      <c r="T604" s="99"/>
      <c r="U604" s="381"/>
      <c r="V604" s="381"/>
      <c r="W604" s="381"/>
      <c r="X604" s="381"/>
      <c r="Y604" s="381"/>
      <c r="Z604" s="381"/>
      <c r="AA604" s="381"/>
      <c r="AB604" s="381"/>
      <c r="AC604" s="381"/>
    </row>
    <row r="605">
      <c r="A605" s="395"/>
      <c r="B605" s="102"/>
      <c r="C605" s="110"/>
      <c r="D605" s="396"/>
      <c r="E605" s="397"/>
      <c r="F605" s="106"/>
      <c r="G605" s="106"/>
      <c r="H605" s="106"/>
      <c r="I605" s="396"/>
      <c r="J605" s="108"/>
      <c r="K605" s="107"/>
      <c r="L605" s="109"/>
      <c r="M605" s="109"/>
      <c r="N605" s="110"/>
      <c r="O605" s="123"/>
      <c r="P605" s="109"/>
      <c r="Q605" s="109"/>
      <c r="R605" s="109"/>
      <c r="S605" s="109"/>
      <c r="T605" s="109"/>
      <c r="U605" s="381"/>
      <c r="V605" s="381"/>
      <c r="W605" s="381"/>
      <c r="X605" s="381"/>
      <c r="Y605" s="381"/>
      <c r="Z605" s="381"/>
      <c r="AA605" s="381"/>
      <c r="AB605" s="381"/>
      <c r="AC605" s="381"/>
    </row>
    <row r="606">
      <c r="A606" s="398"/>
      <c r="B606" s="91"/>
      <c r="C606" s="100"/>
      <c r="D606" s="399"/>
      <c r="E606" s="400"/>
      <c r="F606" s="95"/>
      <c r="G606" s="95"/>
      <c r="H606" s="95"/>
      <c r="I606" s="399"/>
      <c r="J606" s="97"/>
      <c r="K606" s="96"/>
      <c r="L606" s="99"/>
      <c r="M606" s="99"/>
      <c r="N606" s="100"/>
      <c r="O606" s="124"/>
      <c r="P606" s="99"/>
      <c r="Q606" s="99"/>
      <c r="R606" s="99"/>
      <c r="S606" s="99"/>
      <c r="T606" s="99"/>
      <c r="U606" s="381"/>
      <c r="V606" s="381"/>
      <c r="W606" s="381"/>
      <c r="X606" s="381"/>
      <c r="Y606" s="381"/>
      <c r="Z606" s="381"/>
      <c r="AA606" s="381"/>
      <c r="AB606" s="381"/>
      <c r="AC606" s="381"/>
    </row>
    <row r="607">
      <c r="A607" s="395"/>
      <c r="B607" s="102"/>
      <c r="C607" s="110"/>
      <c r="D607" s="396"/>
      <c r="E607" s="397"/>
      <c r="F607" s="106"/>
      <c r="G607" s="106"/>
      <c r="H607" s="106"/>
      <c r="I607" s="396"/>
      <c r="J607" s="108"/>
      <c r="K607" s="107"/>
      <c r="L607" s="109"/>
      <c r="M607" s="109"/>
      <c r="N607" s="110"/>
      <c r="O607" s="123"/>
      <c r="P607" s="109"/>
      <c r="Q607" s="109"/>
      <c r="R607" s="109"/>
      <c r="S607" s="109"/>
      <c r="T607" s="109"/>
      <c r="U607" s="381"/>
      <c r="V607" s="381"/>
      <c r="W607" s="381"/>
      <c r="X607" s="381"/>
      <c r="Y607" s="381"/>
      <c r="Z607" s="381"/>
      <c r="AA607" s="381"/>
      <c r="AB607" s="381"/>
      <c r="AC607" s="381"/>
    </row>
    <row r="608">
      <c r="A608" s="398"/>
      <c r="B608" s="91"/>
      <c r="C608" s="100"/>
      <c r="D608" s="399"/>
      <c r="E608" s="400"/>
      <c r="F608" s="95"/>
      <c r="G608" s="95"/>
      <c r="H608" s="95"/>
      <c r="I608" s="399"/>
      <c r="J608" s="97"/>
      <c r="K608" s="96"/>
      <c r="L608" s="99"/>
      <c r="M608" s="99"/>
      <c r="N608" s="100"/>
      <c r="O608" s="124"/>
      <c r="P608" s="99"/>
      <c r="Q608" s="99"/>
      <c r="R608" s="99"/>
      <c r="S608" s="99"/>
      <c r="T608" s="99"/>
      <c r="U608" s="381"/>
      <c r="V608" s="381"/>
      <c r="W608" s="381"/>
      <c r="X608" s="381"/>
      <c r="Y608" s="381"/>
      <c r="Z608" s="381"/>
      <c r="AA608" s="381"/>
      <c r="AB608" s="381"/>
      <c r="AC608" s="381"/>
    </row>
    <row r="609">
      <c r="A609" s="395"/>
      <c r="B609" s="102"/>
      <c r="C609" s="110"/>
      <c r="D609" s="396"/>
      <c r="E609" s="397"/>
      <c r="F609" s="106"/>
      <c r="G609" s="106"/>
      <c r="H609" s="106"/>
      <c r="I609" s="396"/>
      <c r="J609" s="108"/>
      <c r="K609" s="107"/>
      <c r="L609" s="109"/>
      <c r="M609" s="109"/>
      <c r="N609" s="110"/>
      <c r="O609" s="123"/>
      <c r="P609" s="109"/>
      <c r="Q609" s="109"/>
      <c r="R609" s="109"/>
      <c r="S609" s="109"/>
      <c r="T609" s="109"/>
      <c r="U609" s="381"/>
      <c r="V609" s="381"/>
      <c r="W609" s="381"/>
      <c r="X609" s="381"/>
      <c r="Y609" s="381"/>
      <c r="Z609" s="381"/>
      <c r="AA609" s="381"/>
      <c r="AB609" s="381"/>
      <c r="AC609" s="381"/>
    </row>
    <row r="610">
      <c r="A610" s="398"/>
      <c r="B610" s="91"/>
      <c r="C610" s="100"/>
      <c r="D610" s="399"/>
      <c r="E610" s="400"/>
      <c r="F610" s="95"/>
      <c r="G610" s="95"/>
      <c r="H610" s="95"/>
      <c r="I610" s="399"/>
      <c r="J610" s="97"/>
      <c r="K610" s="96"/>
      <c r="L610" s="99"/>
      <c r="M610" s="99"/>
      <c r="N610" s="100"/>
      <c r="O610" s="124"/>
      <c r="P610" s="99"/>
      <c r="Q610" s="99"/>
      <c r="R610" s="99"/>
      <c r="S610" s="99"/>
      <c r="T610" s="99"/>
      <c r="U610" s="381"/>
      <c r="V610" s="381"/>
      <c r="W610" s="381"/>
      <c r="X610" s="381"/>
      <c r="Y610" s="381"/>
      <c r="Z610" s="381"/>
      <c r="AA610" s="381"/>
      <c r="AB610" s="381"/>
      <c r="AC610" s="381"/>
    </row>
    <row r="611">
      <c r="A611" s="395"/>
      <c r="B611" s="102"/>
      <c r="C611" s="110"/>
      <c r="D611" s="396"/>
      <c r="E611" s="397"/>
      <c r="F611" s="106"/>
      <c r="G611" s="106"/>
      <c r="H611" s="106"/>
      <c r="I611" s="396"/>
      <c r="J611" s="108"/>
      <c r="K611" s="107"/>
      <c r="L611" s="109"/>
      <c r="M611" s="109"/>
      <c r="N611" s="110"/>
      <c r="O611" s="123"/>
      <c r="P611" s="109"/>
      <c r="Q611" s="109"/>
      <c r="R611" s="109"/>
      <c r="S611" s="109"/>
      <c r="T611" s="109"/>
      <c r="U611" s="381"/>
      <c r="V611" s="381"/>
      <c r="W611" s="381"/>
      <c r="X611" s="381"/>
      <c r="Y611" s="381"/>
      <c r="Z611" s="381"/>
      <c r="AA611" s="381"/>
      <c r="AB611" s="381"/>
      <c r="AC611" s="381"/>
    </row>
    <row r="612">
      <c r="A612" s="398"/>
      <c r="B612" s="91"/>
      <c r="C612" s="100"/>
      <c r="D612" s="399"/>
      <c r="E612" s="400"/>
      <c r="F612" s="95"/>
      <c r="G612" s="95"/>
      <c r="H612" s="95"/>
      <c r="I612" s="399"/>
      <c r="J612" s="97"/>
      <c r="K612" s="96"/>
      <c r="L612" s="99"/>
      <c r="M612" s="99"/>
      <c r="N612" s="100"/>
      <c r="O612" s="124"/>
      <c r="P612" s="99"/>
      <c r="Q612" s="99"/>
      <c r="R612" s="99"/>
      <c r="S612" s="99"/>
      <c r="T612" s="99"/>
      <c r="U612" s="381"/>
      <c r="V612" s="381"/>
      <c r="W612" s="381"/>
      <c r="X612" s="381"/>
      <c r="Y612" s="381"/>
      <c r="Z612" s="381"/>
      <c r="AA612" s="381"/>
      <c r="AB612" s="381"/>
      <c r="AC612" s="381"/>
    </row>
    <row r="613">
      <c r="A613" s="395"/>
      <c r="B613" s="102"/>
      <c r="C613" s="110"/>
      <c r="D613" s="396"/>
      <c r="E613" s="397"/>
      <c r="F613" s="106"/>
      <c r="G613" s="106"/>
      <c r="H613" s="106"/>
      <c r="I613" s="396"/>
      <c r="J613" s="108"/>
      <c r="K613" s="107"/>
      <c r="L613" s="109"/>
      <c r="M613" s="109"/>
      <c r="N613" s="110"/>
      <c r="O613" s="123"/>
      <c r="P613" s="109"/>
      <c r="Q613" s="109"/>
      <c r="R613" s="109"/>
      <c r="S613" s="109"/>
      <c r="T613" s="109"/>
      <c r="U613" s="381"/>
      <c r="V613" s="381"/>
      <c r="W613" s="381"/>
      <c r="X613" s="381"/>
      <c r="Y613" s="381"/>
      <c r="Z613" s="381"/>
      <c r="AA613" s="381"/>
      <c r="AB613" s="381"/>
      <c r="AC613" s="381"/>
    </row>
    <row r="614">
      <c r="A614" s="398"/>
      <c r="B614" s="91"/>
      <c r="C614" s="100"/>
      <c r="D614" s="399"/>
      <c r="E614" s="400"/>
      <c r="F614" s="95"/>
      <c r="G614" s="95"/>
      <c r="H614" s="95"/>
      <c r="I614" s="399"/>
      <c r="J614" s="97"/>
      <c r="K614" s="96"/>
      <c r="L614" s="99"/>
      <c r="M614" s="99"/>
      <c r="N614" s="100"/>
      <c r="O614" s="124"/>
      <c r="P614" s="99"/>
      <c r="Q614" s="99"/>
      <c r="R614" s="99"/>
      <c r="S614" s="99"/>
      <c r="T614" s="99"/>
      <c r="U614" s="381"/>
      <c r="V614" s="381"/>
      <c r="W614" s="381"/>
      <c r="X614" s="381"/>
      <c r="Y614" s="381"/>
      <c r="Z614" s="381"/>
      <c r="AA614" s="381"/>
      <c r="AB614" s="381"/>
      <c r="AC614" s="381"/>
    </row>
    <row r="615">
      <c r="A615" s="395"/>
      <c r="B615" s="102"/>
      <c r="C615" s="110"/>
      <c r="D615" s="396"/>
      <c r="E615" s="397"/>
      <c r="F615" s="106"/>
      <c r="G615" s="106"/>
      <c r="H615" s="106"/>
      <c r="I615" s="396"/>
      <c r="J615" s="108"/>
      <c r="K615" s="107"/>
      <c r="L615" s="109"/>
      <c r="M615" s="109"/>
      <c r="N615" s="110"/>
      <c r="O615" s="123"/>
      <c r="P615" s="109"/>
      <c r="Q615" s="109"/>
      <c r="R615" s="109"/>
      <c r="S615" s="109"/>
      <c r="T615" s="109"/>
      <c r="U615" s="381"/>
      <c r="V615" s="381"/>
      <c r="W615" s="381"/>
      <c r="X615" s="381"/>
      <c r="Y615" s="381"/>
      <c r="Z615" s="381"/>
      <c r="AA615" s="381"/>
      <c r="AB615" s="381"/>
      <c r="AC615" s="381"/>
    </row>
    <row r="616">
      <c r="A616" s="398"/>
      <c r="B616" s="91"/>
      <c r="C616" s="100"/>
      <c r="D616" s="399"/>
      <c r="E616" s="400"/>
      <c r="F616" s="95"/>
      <c r="G616" s="95"/>
      <c r="H616" s="95"/>
      <c r="I616" s="399"/>
      <c r="J616" s="97"/>
      <c r="K616" s="96"/>
      <c r="L616" s="99"/>
      <c r="M616" s="99"/>
      <c r="N616" s="100"/>
      <c r="O616" s="124"/>
      <c r="P616" s="99"/>
      <c r="Q616" s="99"/>
      <c r="R616" s="99"/>
      <c r="S616" s="99"/>
      <c r="T616" s="99"/>
      <c r="U616" s="381"/>
      <c r="V616" s="381"/>
      <c r="W616" s="381"/>
      <c r="X616" s="381"/>
      <c r="Y616" s="381"/>
      <c r="Z616" s="381"/>
      <c r="AA616" s="381"/>
      <c r="AB616" s="381"/>
      <c r="AC616" s="381"/>
    </row>
    <row r="617">
      <c r="A617" s="395"/>
      <c r="B617" s="102"/>
      <c r="C617" s="110"/>
      <c r="D617" s="396"/>
      <c r="E617" s="397"/>
      <c r="F617" s="106"/>
      <c r="G617" s="106"/>
      <c r="H617" s="106"/>
      <c r="I617" s="396"/>
      <c r="J617" s="108"/>
      <c r="K617" s="107"/>
      <c r="L617" s="109"/>
      <c r="M617" s="109"/>
      <c r="N617" s="110"/>
      <c r="O617" s="123"/>
      <c r="P617" s="109"/>
      <c r="Q617" s="109"/>
      <c r="R617" s="109"/>
      <c r="S617" s="109"/>
      <c r="T617" s="109"/>
      <c r="U617" s="381"/>
      <c r="V617" s="381"/>
      <c r="W617" s="381"/>
      <c r="X617" s="381"/>
      <c r="Y617" s="381"/>
      <c r="Z617" s="381"/>
      <c r="AA617" s="381"/>
      <c r="AB617" s="381"/>
      <c r="AC617" s="381"/>
    </row>
    <row r="618">
      <c r="A618" s="398"/>
      <c r="B618" s="91"/>
      <c r="C618" s="100"/>
      <c r="D618" s="399"/>
      <c r="E618" s="400"/>
      <c r="F618" s="95"/>
      <c r="G618" s="95"/>
      <c r="H618" s="95"/>
      <c r="I618" s="399"/>
      <c r="J618" s="97"/>
      <c r="K618" s="96"/>
      <c r="L618" s="99"/>
      <c r="M618" s="99"/>
      <c r="N618" s="100"/>
      <c r="O618" s="124"/>
      <c r="P618" s="99"/>
      <c r="Q618" s="99"/>
      <c r="R618" s="99"/>
      <c r="S618" s="99"/>
      <c r="T618" s="99"/>
      <c r="U618" s="381"/>
      <c r="V618" s="381"/>
      <c r="W618" s="381"/>
      <c r="X618" s="381"/>
      <c r="Y618" s="381"/>
      <c r="Z618" s="381"/>
      <c r="AA618" s="381"/>
      <c r="AB618" s="381"/>
      <c r="AC618" s="381"/>
    </row>
    <row r="619">
      <c r="A619" s="395"/>
      <c r="B619" s="102"/>
      <c r="C619" s="110"/>
      <c r="D619" s="396"/>
      <c r="E619" s="397"/>
      <c r="F619" s="106"/>
      <c r="G619" s="106"/>
      <c r="H619" s="106"/>
      <c r="I619" s="396"/>
      <c r="J619" s="108"/>
      <c r="K619" s="107"/>
      <c r="L619" s="109"/>
      <c r="M619" s="109"/>
      <c r="N619" s="110"/>
      <c r="O619" s="123"/>
      <c r="P619" s="109"/>
      <c r="Q619" s="109"/>
      <c r="R619" s="109"/>
      <c r="S619" s="109"/>
      <c r="T619" s="109"/>
      <c r="U619" s="381"/>
      <c r="V619" s="381"/>
      <c r="W619" s="381"/>
      <c r="X619" s="381"/>
      <c r="Y619" s="381"/>
      <c r="Z619" s="381"/>
      <c r="AA619" s="381"/>
      <c r="AB619" s="381"/>
      <c r="AC619" s="381"/>
    </row>
    <row r="620">
      <c r="A620" s="398"/>
      <c r="B620" s="91"/>
      <c r="C620" s="100"/>
      <c r="D620" s="399"/>
      <c r="E620" s="400"/>
      <c r="F620" s="95"/>
      <c r="G620" s="95"/>
      <c r="H620" s="95"/>
      <c r="I620" s="399"/>
      <c r="J620" s="97"/>
      <c r="K620" s="96"/>
      <c r="L620" s="99"/>
      <c r="M620" s="99"/>
      <c r="N620" s="100"/>
      <c r="O620" s="124"/>
      <c r="P620" s="99"/>
      <c r="Q620" s="99"/>
      <c r="R620" s="99"/>
      <c r="S620" s="99"/>
      <c r="T620" s="99"/>
      <c r="U620" s="381"/>
      <c r="V620" s="381"/>
      <c r="W620" s="381"/>
      <c r="X620" s="381"/>
      <c r="Y620" s="381"/>
      <c r="Z620" s="381"/>
      <c r="AA620" s="381"/>
      <c r="AB620" s="381"/>
      <c r="AC620" s="381"/>
    </row>
    <row r="621">
      <c r="A621" s="395"/>
      <c r="B621" s="102"/>
      <c r="C621" s="110"/>
      <c r="D621" s="396"/>
      <c r="E621" s="397"/>
      <c r="F621" s="106"/>
      <c r="G621" s="106"/>
      <c r="H621" s="106"/>
      <c r="I621" s="396"/>
      <c r="J621" s="108"/>
      <c r="K621" s="107"/>
      <c r="L621" s="109"/>
      <c r="M621" s="109"/>
      <c r="N621" s="110"/>
      <c r="O621" s="123"/>
      <c r="P621" s="109"/>
      <c r="Q621" s="109"/>
      <c r="R621" s="109"/>
      <c r="S621" s="109"/>
      <c r="T621" s="109"/>
      <c r="U621" s="381"/>
      <c r="V621" s="381"/>
      <c r="W621" s="381"/>
      <c r="X621" s="381"/>
      <c r="Y621" s="381"/>
      <c r="Z621" s="381"/>
      <c r="AA621" s="381"/>
      <c r="AB621" s="381"/>
      <c r="AC621" s="381"/>
    </row>
    <row r="622">
      <c r="A622" s="398"/>
      <c r="B622" s="91"/>
      <c r="C622" s="100"/>
      <c r="D622" s="399"/>
      <c r="E622" s="400"/>
      <c r="F622" s="95"/>
      <c r="G622" s="95"/>
      <c r="H622" s="95"/>
      <c r="I622" s="399"/>
      <c r="J622" s="97"/>
      <c r="K622" s="96"/>
      <c r="L622" s="99"/>
      <c r="M622" s="99"/>
      <c r="N622" s="100"/>
      <c r="O622" s="124"/>
      <c r="P622" s="99"/>
      <c r="Q622" s="99"/>
      <c r="R622" s="99"/>
      <c r="S622" s="99"/>
      <c r="T622" s="99"/>
      <c r="U622" s="381"/>
      <c r="V622" s="381"/>
      <c r="W622" s="381"/>
      <c r="X622" s="381"/>
      <c r="Y622" s="381"/>
      <c r="Z622" s="381"/>
      <c r="AA622" s="381"/>
      <c r="AB622" s="381"/>
      <c r="AC622" s="381"/>
    </row>
    <row r="623">
      <c r="A623" s="395"/>
      <c r="B623" s="102"/>
      <c r="C623" s="110"/>
      <c r="D623" s="396"/>
      <c r="E623" s="397"/>
      <c r="F623" s="106"/>
      <c r="G623" s="106"/>
      <c r="H623" s="106"/>
      <c r="I623" s="396"/>
      <c r="J623" s="108"/>
      <c r="K623" s="107"/>
      <c r="L623" s="109"/>
      <c r="M623" s="109"/>
      <c r="N623" s="110"/>
      <c r="O623" s="123"/>
      <c r="P623" s="109"/>
      <c r="Q623" s="109"/>
      <c r="R623" s="109"/>
      <c r="S623" s="109"/>
      <c r="T623" s="109"/>
      <c r="U623" s="381"/>
      <c r="V623" s="381"/>
      <c r="W623" s="381"/>
      <c r="X623" s="381"/>
      <c r="Y623" s="381"/>
      <c r="Z623" s="381"/>
      <c r="AA623" s="381"/>
      <c r="AB623" s="381"/>
      <c r="AC623" s="381"/>
    </row>
    <row r="624">
      <c r="A624" s="398"/>
      <c r="B624" s="91"/>
      <c r="C624" s="100"/>
      <c r="D624" s="399"/>
      <c r="E624" s="400"/>
      <c r="F624" s="95"/>
      <c r="G624" s="95"/>
      <c r="H624" s="95"/>
      <c r="I624" s="399"/>
      <c r="J624" s="97"/>
      <c r="K624" s="96"/>
      <c r="L624" s="99"/>
      <c r="M624" s="99"/>
      <c r="N624" s="100"/>
      <c r="O624" s="124"/>
      <c r="P624" s="99"/>
      <c r="Q624" s="99"/>
      <c r="R624" s="99"/>
      <c r="S624" s="99"/>
      <c r="T624" s="99"/>
      <c r="U624" s="381"/>
      <c r="V624" s="381"/>
      <c r="W624" s="381"/>
      <c r="X624" s="381"/>
      <c r="Y624" s="381"/>
      <c r="Z624" s="381"/>
      <c r="AA624" s="381"/>
      <c r="AB624" s="381"/>
      <c r="AC624" s="381"/>
    </row>
    <row r="625">
      <c r="A625" s="395"/>
      <c r="B625" s="102"/>
      <c r="C625" s="110"/>
      <c r="D625" s="396"/>
      <c r="E625" s="397"/>
      <c r="F625" s="106"/>
      <c r="G625" s="106"/>
      <c r="H625" s="106"/>
      <c r="I625" s="396"/>
      <c r="J625" s="108"/>
      <c r="K625" s="107"/>
      <c r="L625" s="109"/>
      <c r="M625" s="109"/>
      <c r="N625" s="110"/>
      <c r="O625" s="123"/>
      <c r="P625" s="109"/>
      <c r="Q625" s="109"/>
      <c r="R625" s="109"/>
      <c r="S625" s="109"/>
      <c r="T625" s="109"/>
      <c r="U625" s="381"/>
      <c r="V625" s="381"/>
      <c r="W625" s="381"/>
      <c r="X625" s="381"/>
      <c r="Y625" s="381"/>
      <c r="Z625" s="381"/>
      <c r="AA625" s="381"/>
      <c r="AB625" s="381"/>
      <c r="AC625" s="381"/>
    </row>
    <row r="626">
      <c r="A626" s="398"/>
      <c r="B626" s="91"/>
      <c r="C626" s="100"/>
      <c r="D626" s="399"/>
      <c r="E626" s="400"/>
      <c r="F626" s="95"/>
      <c r="G626" s="95"/>
      <c r="H626" s="95"/>
      <c r="I626" s="399"/>
      <c r="J626" s="97"/>
      <c r="K626" s="96"/>
      <c r="L626" s="99"/>
      <c r="M626" s="99"/>
      <c r="N626" s="100"/>
      <c r="O626" s="124"/>
      <c r="P626" s="99"/>
      <c r="Q626" s="99"/>
      <c r="R626" s="99"/>
      <c r="S626" s="99"/>
      <c r="T626" s="99"/>
      <c r="U626" s="381"/>
      <c r="V626" s="381"/>
      <c r="W626" s="381"/>
      <c r="X626" s="381"/>
      <c r="Y626" s="381"/>
      <c r="Z626" s="381"/>
      <c r="AA626" s="381"/>
      <c r="AB626" s="381"/>
      <c r="AC626" s="381"/>
    </row>
    <row r="627">
      <c r="A627" s="395"/>
      <c r="B627" s="102"/>
      <c r="C627" s="110"/>
      <c r="D627" s="396"/>
      <c r="E627" s="397"/>
      <c r="F627" s="106"/>
      <c r="G627" s="106"/>
      <c r="H627" s="106"/>
      <c r="I627" s="396"/>
      <c r="J627" s="108"/>
      <c r="K627" s="107"/>
      <c r="L627" s="109"/>
      <c r="M627" s="109"/>
      <c r="N627" s="110"/>
      <c r="O627" s="123"/>
      <c r="P627" s="109"/>
      <c r="Q627" s="109"/>
      <c r="R627" s="109"/>
      <c r="S627" s="109"/>
      <c r="T627" s="109"/>
      <c r="U627" s="381"/>
      <c r="V627" s="381"/>
      <c r="W627" s="381"/>
      <c r="X627" s="381"/>
      <c r="Y627" s="381"/>
      <c r="Z627" s="381"/>
      <c r="AA627" s="381"/>
      <c r="AB627" s="381"/>
      <c r="AC627" s="381"/>
    </row>
    <row r="628">
      <c r="A628" s="398"/>
      <c r="B628" s="91"/>
      <c r="C628" s="100"/>
      <c r="D628" s="399"/>
      <c r="E628" s="400"/>
      <c r="F628" s="95"/>
      <c r="G628" s="95"/>
      <c r="H628" s="95"/>
      <c r="I628" s="399"/>
      <c r="J628" s="97"/>
      <c r="K628" s="96"/>
      <c r="L628" s="99"/>
      <c r="M628" s="99"/>
      <c r="N628" s="100"/>
      <c r="O628" s="124"/>
      <c r="P628" s="99"/>
      <c r="Q628" s="99"/>
      <c r="R628" s="99"/>
      <c r="S628" s="99"/>
      <c r="T628" s="99"/>
      <c r="U628" s="381"/>
      <c r="V628" s="381"/>
      <c r="W628" s="381"/>
      <c r="X628" s="381"/>
      <c r="Y628" s="381"/>
      <c r="Z628" s="381"/>
      <c r="AA628" s="381"/>
      <c r="AB628" s="381"/>
      <c r="AC628" s="381"/>
    </row>
    <row r="629">
      <c r="A629" s="395"/>
      <c r="B629" s="102"/>
      <c r="C629" s="110"/>
      <c r="D629" s="396"/>
      <c r="E629" s="397"/>
      <c r="F629" s="106"/>
      <c r="G629" s="106"/>
      <c r="H629" s="106"/>
      <c r="I629" s="396"/>
      <c r="J629" s="108"/>
      <c r="K629" s="107"/>
      <c r="L629" s="109"/>
      <c r="M629" s="109"/>
      <c r="N629" s="110"/>
      <c r="O629" s="123"/>
      <c r="P629" s="109"/>
      <c r="Q629" s="109"/>
      <c r="R629" s="109"/>
      <c r="S629" s="109"/>
      <c r="T629" s="109"/>
      <c r="U629" s="381"/>
      <c r="V629" s="381"/>
      <c r="W629" s="381"/>
      <c r="X629" s="381"/>
      <c r="Y629" s="381"/>
      <c r="Z629" s="381"/>
      <c r="AA629" s="381"/>
      <c r="AB629" s="381"/>
      <c r="AC629" s="381"/>
    </row>
    <row r="630">
      <c r="A630" s="398"/>
      <c r="B630" s="91"/>
      <c r="C630" s="100"/>
      <c r="D630" s="399"/>
      <c r="E630" s="400"/>
      <c r="F630" s="95"/>
      <c r="G630" s="95"/>
      <c r="H630" s="95"/>
      <c r="I630" s="399"/>
      <c r="J630" s="97"/>
      <c r="K630" s="96"/>
      <c r="L630" s="99"/>
      <c r="M630" s="99"/>
      <c r="N630" s="100"/>
      <c r="O630" s="124"/>
      <c r="P630" s="99"/>
      <c r="Q630" s="99"/>
      <c r="R630" s="99"/>
      <c r="S630" s="99"/>
      <c r="T630" s="99"/>
      <c r="U630" s="381"/>
      <c r="V630" s="381"/>
      <c r="W630" s="381"/>
      <c r="X630" s="381"/>
      <c r="Y630" s="381"/>
      <c r="Z630" s="381"/>
      <c r="AA630" s="381"/>
      <c r="AB630" s="381"/>
      <c r="AC630" s="381"/>
    </row>
    <row r="631">
      <c r="A631" s="395"/>
      <c r="B631" s="102"/>
      <c r="C631" s="110"/>
      <c r="D631" s="396"/>
      <c r="E631" s="397"/>
      <c r="F631" s="106"/>
      <c r="G631" s="106"/>
      <c r="H631" s="106"/>
      <c r="I631" s="396"/>
      <c r="J631" s="108"/>
      <c r="K631" s="107"/>
      <c r="L631" s="109"/>
      <c r="M631" s="109"/>
      <c r="N631" s="110"/>
      <c r="O631" s="123"/>
      <c r="P631" s="109"/>
      <c r="Q631" s="109"/>
      <c r="R631" s="109"/>
      <c r="S631" s="109"/>
      <c r="T631" s="109"/>
      <c r="U631" s="381"/>
      <c r="V631" s="381"/>
      <c r="W631" s="381"/>
      <c r="X631" s="381"/>
      <c r="Y631" s="381"/>
      <c r="Z631" s="381"/>
      <c r="AA631" s="381"/>
      <c r="AB631" s="381"/>
      <c r="AC631" s="381"/>
    </row>
    <row r="632">
      <c r="A632" s="398"/>
      <c r="B632" s="91"/>
      <c r="C632" s="100"/>
      <c r="D632" s="399"/>
      <c r="E632" s="400"/>
      <c r="F632" s="95"/>
      <c r="G632" s="95"/>
      <c r="H632" s="95"/>
      <c r="I632" s="399"/>
      <c r="J632" s="97"/>
      <c r="K632" s="96"/>
      <c r="L632" s="99"/>
      <c r="M632" s="99"/>
      <c r="N632" s="100"/>
      <c r="O632" s="124"/>
      <c r="P632" s="99"/>
      <c r="Q632" s="99"/>
      <c r="R632" s="99"/>
      <c r="S632" s="99"/>
      <c r="T632" s="99"/>
      <c r="U632" s="381"/>
      <c r="V632" s="381"/>
      <c r="W632" s="381"/>
      <c r="X632" s="381"/>
      <c r="Y632" s="381"/>
      <c r="Z632" s="381"/>
      <c r="AA632" s="381"/>
      <c r="AB632" s="381"/>
      <c r="AC632" s="381"/>
    </row>
    <row r="633">
      <c r="A633" s="395"/>
      <c r="B633" s="102"/>
      <c r="C633" s="110"/>
      <c r="D633" s="396"/>
      <c r="E633" s="397"/>
      <c r="F633" s="106"/>
      <c r="G633" s="106"/>
      <c r="H633" s="106"/>
      <c r="I633" s="396"/>
      <c r="J633" s="108"/>
      <c r="K633" s="107"/>
      <c r="L633" s="109"/>
      <c r="M633" s="109"/>
      <c r="N633" s="110"/>
      <c r="O633" s="123"/>
      <c r="P633" s="109"/>
      <c r="Q633" s="109"/>
      <c r="R633" s="109"/>
      <c r="S633" s="109"/>
      <c r="T633" s="109"/>
      <c r="U633" s="381"/>
      <c r="V633" s="381"/>
      <c r="W633" s="381"/>
      <c r="X633" s="381"/>
      <c r="Y633" s="381"/>
      <c r="Z633" s="381"/>
      <c r="AA633" s="381"/>
      <c r="AB633" s="381"/>
      <c r="AC633" s="381"/>
    </row>
    <row r="634">
      <c r="A634" s="398"/>
      <c r="B634" s="91"/>
      <c r="C634" s="100"/>
      <c r="D634" s="399"/>
      <c r="E634" s="400"/>
      <c r="F634" s="95"/>
      <c r="G634" s="95"/>
      <c r="H634" s="95"/>
      <c r="I634" s="399"/>
      <c r="J634" s="97"/>
      <c r="K634" s="96"/>
      <c r="L634" s="99"/>
      <c r="M634" s="99"/>
      <c r="N634" s="100"/>
      <c r="O634" s="124"/>
      <c r="P634" s="99"/>
      <c r="Q634" s="99"/>
      <c r="R634" s="99"/>
      <c r="S634" s="99"/>
      <c r="T634" s="99"/>
      <c r="U634" s="381"/>
      <c r="V634" s="381"/>
      <c r="W634" s="381"/>
      <c r="X634" s="381"/>
      <c r="Y634" s="381"/>
      <c r="Z634" s="381"/>
      <c r="AA634" s="381"/>
      <c r="AB634" s="381"/>
      <c r="AC634" s="381"/>
    </row>
    <row r="635">
      <c r="A635" s="395"/>
      <c r="B635" s="102"/>
      <c r="C635" s="110"/>
      <c r="D635" s="396"/>
      <c r="E635" s="397"/>
      <c r="F635" s="106"/>
      <c r="G635" s="106"/>
      <c r="H635" s="106"/>
      <c r="I635" s="396"/>
      <c r="J635" s="108"/>
      <c r="K635" s="107"/>
      <c r="L635" s="109"/>
      <c r="M635" s="109"/>
      <c r="N635" s="110"/>
      <c r="O635" s="123"/>
      <c r="P635" s="109"/>
      <c r="Q635" s="109"/>
      <c r="R635" s="109"/>
      <c r="S635" s="109"/>
      <c r="T635" s="109"/>
      <c r="U635" s="381"/>
      <c r="V635" s="381"/>
      <c r="W635" s="381"/>
      <c r="X635" s="381"/>
      <c r="Y635" s="381"/>
      <c r="Z635" s="381"/>
      <c r="AA635" s="381"/>
      <c r="AB635" s="381"/>
      <c r="AC635" s="381"/>
    </row>
    <row r="636">
      <c r="A636" s="398"/>
      <c r="B636" s="91"/>
      <c r="C636" s="100"/>
      <c r="D636" s="399"/>
      <c r="E636" s="400"/>
      <c r="F636" s="95"/>
      <c r="G636" s="95"/>
      <c r="H636" s="95"/>
      <c r="I636" s="399"/>
      <c r="J636" s="97"/>
      <c r="K636" s="96"/>
      <c r="L636" s="99"/>
      <c r="M636" s="99"/>
      <c r="N636" s="100"/>
      <c r="O636" s="124"/>
      <c r="P636" s="99"/>
      <c r="Q636" s="99"/>
      <c r="R636" s="99"/>
      <c r="S636" s="99"/>
      <c r="T636" s="99"/>
      <c r="U636" s="381"/>
      <c r="V636" s="381"/>
      <c r="W636" s="381"/>
      <c r="X636" s="381"/>
      <c r="Y636" s="381"/>
      <c r="Z636" s="381"/>
      <c r="AA636" s="381"/>
      <c r="AB636" s="381"/>
      <c r="AC636" s="381"/>
    </row>
    <row r="637">
      <c r="A637" s="395"/>
      <c r="B637" s="102"/>
      <c r="C637" s="110"/>
      <c r="D637" s="396"/>
      <c r="E637" s="397"/>
      <c r="F637" s="106"/>
      <c r="G637" s="106"/>
      <c r="H637" s="106"/>
      <c r="I637" s="396"/>
      <c r="J637" s="108"/>
      <c r="K637" s="107"/>
      <c r="L637" s="109"/>
      <c r="M637" s="109"/>
      <c r="N637" s="110"/>
      <c r="O637" s="123"/>
      <c r="P637" s="109"/>
      <c r="Q637" s="109"/>
      <c r="R637" s="109"/>
      <c r="S637" s="109"/>
      <c r="T637" s="109"/>
      <c r="U637" s="381"/>
      <c r="V637" s="381"/>
      <c r="W637" s="381"/>
      <c r="X637" s="381"/>
      <c r="Y637" s="381"/>
      <c r="Z637" s="381"/>
      <c r="AA637" s="381"/>
      <c r="AB637" s="381"/>
      <c r="AC637" s="381"/>
    </row>
    <row r="638">
      <c r="A638" s="398"/>
      <c r="B638" s="91"/>
      <c r="C638" s="100"/>
      <c r="D638" s="399"/>
      <c r="E638" s="400"/>
      <c r="F638" s="95"/>
      <c r="G638" s="95"/>
      <c r="H638" s="95"/>
      <c r="I638" s="399"/>
      <c r="J638" s="97"/>
      <c r="K638" s="96"/>
      <c r="L638" s="99"/>
      <c r="M638" s="99"/>
      <c r="N638" s="100"/>
      <c r="O638" s="124"/>
      <c r="P638" s="99"/>
      <c r="Q638" s="99"/>
      <c r="R638" s="99"/>
      <c r="S638" s="99"/>
      <c r="T638" s="99"/>
      <c r="U638" s="381"/>
      <c r="V638" s="381"/>
      <c r="W638" s="381"/>
      <c r="X638" s="381"/>
      <c r="Y638" s="381"/>
      <c r="Z638" s="381"/>
      <c r="AA638" s="381"/>
      <c r="AB638" s="381"/>
      <c r="AC638" s="381"/>
    </row>
    <row r="639">
      <c r="A639" s="395"/>
      <c r="B639" s="102"/>
      <c r="C639" s="110"/>
      <c r="D639" s="396"/>
      <c r="E639" s="397"/>
      <c r="F639" s="106"/>
      <c r="G639" s="106"/>
      <c r="H639" s="106"/>
      <c r="I639" s="396"/>
      <c r="J639" s="108"/>
      <c r="K639" s="107"/>
      <c r="L639" s="109"/>
      <c r="M639" s="109"/>
      <c r="N639" s="110"/>
      <c r="O639" s="123"/>
      <c r="P639" s="109"/>
      <c r="Q639" s="109"/>
      <c r="R639" s="109"/>
      <c r="S639" s="109"/>
      <c r="T639" s="109"/>
      <c r="U639" s="381"/>
      <c r="V639" s="381"/>
      <c r="W639" s="381"/>
      <c r="X639" s="381"/>
      <c r="Y639" s="381"/>
      <c r="Z639" s="381"/>
      <c r="AA639" s="381"/>
      <c r="AB639" s="381"/>
      <c r="AC639" s="381"/>
    </row>
    <row r="640">
      <c r="A640" s="398"/>
      <c r="B640" s="91"/>
      <c r="C640" s="100"/>
      <c r="D640" s="399"/>
      <c r="E640" s="400"/>
      <c r="F640" s="95"/>
      <c r="G640" s="95"/>
      <c r="H640" s="95"/>
      <c r="I640" s="399"/>
      <c r="J640" s="97"/>
      <c r="K640" s="96"/>
      <c r="L640" s="99"/>
      <c r="M640" s="99"/>
      <c r="N640" s="100"/>
      <c r="O640" s="124"/>
      <c r="P640" s="99"/>
      <c r="Q640" s="99"/>
      <c r="R640" s="99"/>
      <c r="S640" s="99"/>
      <c r="T640" s="99"/>
      <c r="U640" s="381"/>
      <c r="V640" s="381"/>
      <c r="W640" s="381"/>
      <c r="X640" s="381"/>
      <c r="Y640" s="381"/>
      <c r="Z640" s="381"/>
      <c r="AA640" s="381"/>
      <c r="AB640" s="381"/>
      <c r="AC640" s="381"/>
    </row>
    <row r="641">
      <c r="A641" s="395"/>
      <c r="B641" s="102"/>
      <c r="C641" s="110"/>
      <c r="D641" s="396"/>
      <c r="E641" s="397"/>
      <c r="F641" s="106"/>
      <c r="G641" s="106"/>
      <c r="H641" s="106"/>
      <c r="I641" s="396"/>
      <c r="J641" s="108"/>
      <c r="K641" s="107"/>
      <c r="L641" s="109"/>
      <c r="M641" s="109"/>
      <c r="N641" s="110"/>
      <c r="O641" s="123"/>
      <c r="P641" s="109"/>
      <c r="Q641" s="109"/>
      <c r="R641" s="109"/>
      <c r="S641" s="109"/>
      <c r="T641" s="109"/>
      <c r="U641" s="381"/>
      <c r="V641" s="381"/>
      <c r="W641" s="381"/>
      <c r="X641" s="381"/>
      <c r="Y641" s="381"/>
      <c r="Z641" s="381"/>
      <c r="AA641" s="381"/>
      <c r="AB641" s="381"/>
      <c r="AC641" s="381"/>
    </row>
    <row r="642">
      <c r="A642" s="398"/>
      <c r="B642" s="91"/>
      <c r="C642" s="100"/>
      <c r="D642" s="399"/>
      <c r="E642" s="400"/>
      <c r="F642" s="95"/>
      <c r="G642" s="95"/>
      <c r="H642" s="95"/>
      <c r="I642" s="399"/>
      <c r="J642" s="97"/>
      <c r="K642" s="96"/>
      <c r="L642" s="99"/>
      <c r="M642" s="99"/>
      <c r="N642" s="100"/>
      <c r="O642" s="124"/>
      <c r="P642" s="99"/>
      <c r="Q642" s="99"/>
      <c r="R642" s="99"/>
      <c r="S642" s="99"/>
      <c r="T642" s="99"/>
      <c r="U642" s="381"/>
      <c r="V642" s="381"/>
      <c r="W642" s="381"/>
      <c r="X642" s="381"/>
      <c r="Y642" s="381"/>
      <c r="Z642" s="381"/>
      <c r="AA642" s="381"/>
      <c r="AB642" s="381"/>
      <c r="AC642" s="381"/>
    </row>
    <row r="643">
      <c r="A643" s="395"/>
      <c r="B643" s="102"/>
      <c r="C643" s="110"/>
      <c r="D643" s="396"/>
      <c r="E643" s="397"/>
      <c r="F643" s="106"/>
      <c r="G643" s="106"/>
      <c r="H643" s="106"/>
      <c r="I643" s="396"/>
      <c r="J643" s="108"/>
      <c r="K643" s="107"/>
      <c r="L643" s="109"/>
      <c r="M643" s="109"/>
      <c r="N643" s="110"/>
      <c r="O643" s="123"/>
      <c r="P643" s="109"/>
      <c r="Q643" s="109"/>
      <c r="R643" s="109"/>
      <c r="S643" s="109"/>
      <c r="T643" s="109"/>
      <c r="U643" s="381"/>
      <c r="V643" s="381"/>
      <c r="W643" s="381"/>
      <c r="X643" s="381"/>
      <c r="Y643" s="381"/>
      <c r="Z643" s="381"/>
      <c r="AA643" s="381"/>
      <c r="AB643" s="381"/>
      <c r="AC643" s="381"/>
    </row>
    <row r="644">
      <c r="A644" s="398"/>
      <c r="B644" s="91"/>
      <c r="C644" s="100"/>
      <c r="D644" s="399"/>
      <c r="E644" s="400"/>
      <c r="F644" s="95"/>
      <c r="G644" s="95"/>
      <c r="H644" s="95"/>
      <c r="I644" s="399"/>
      <c r="J644" s="97"/>
      <c r="K644" s="96"/>
      <c r="L644" s="99"/>
      <c r="M644" s="99"/>
      <c r="N644" s="100"/>
      <c r="O644" s="124"/>
      <c r="P644" s="99"/>
      <c r="Q644" s="99"/>
      <c r="R644" s="99"/>
      <c r="S644" s="99"/>
      <c r="T644" s="99"/>
      <c r="U644" s="381"/>
      <c r="V644" s="381"/>
      <c r="W644" s="381"/>
      <c r="X644" s="381"/>
      <c r="Y644" s="381"/>
      <c r="Z644" s="381"/>
      <c r="AA644" s="381"/>
      <c r="AB644" s="381"/>
      <c r="AC644" s="381"/>
    </row>
    <row r="645">
      <c r="A645" s="395"/>
      <c r="B645" s="102"/>
      <c r="C645" s="110"/>
      <c r="D645" s="396"/>
      <c r="E645" s="397"/>
      <c r="F645" s="106"/>
      <c r="G645" s="106"/>
      <c r="H645" s="106"/>
      <c r="I645" s="396"/>
      <c r="J645" s="108"/>
      <c r="K645" s="107"/>
      <c r="L645" s="109"/>
      <c r="M645" s="109"/>
      <c r="N645" s="110"/>
      <c r="O645" s="123"/>
      <c r="P645" s="109"/>
      <c r="Q645" s="109"/>
      <c r="R645" s="109"/>
      <c r="S645" s="109"/>
      <c r="T645" s="109"/>
      <c r="U645" s="381"/>
      <c r="V645" s="381"/>
      <c r="W645" s="381"/>
      <c r="X645" s="381"/>
      <c r="Y645" s="381"/>
      <c r="Z645" s="381"/>
      <c r="AA645" s="381"/>
      <c r="AB645" s="381"/>
      <c r="AC645" s="381"/>
    </row>
    <row r="646">
      <c r="A646" s="398"/>
      <c r="B646" s="91"/>
      <c r="C646" s="100"/>
      <c r="D646" s="399"/>
      <c r="E646" s="400"/>
      <c r="F646" s="95"/>
      <c r="G646" s="95"/>
      <c r="H646" s="95"/>
      <c r="I646" s="399"/>
      <c r="J646" s="97"/>
      <c r="K646" s="96"/>
      <c r="L646" s="99"/>
      <c r="M646" s="99"/>
      <c r="N646" s="100"/>
      <c r="O646" s="124"/>
      <c r="P646" s="99"/>
      <c r="Q646" s="99"/>
      <c r="R646" s="99"/>
      <c r="S646" s="99"/>
      <c r="T646" s="99"/>
      <c r="U646" s="381"/>
      <c r="V646" s="381"/>
      <c r="W646" s="381"/>
      <c r="X646" s="381"/>
      <c r="Y646" s="381"/>
      <c r="Z646" s="381"/>
      <c r="AA646" s="381"/>
      <c r="AB646" s="381"/>
      <c r="AC646" s="381"/>
    </row>
    <row r="647">
      <c r="A647" s="395"/>
      <c r="B647" s="102"/>
      <c r="C647" s="110"/>
      <c r="D647" s="396"/>
      <c r="E647" s="397"/>
      <c r="F647" s="106"/>
      <c r="G647" s="106"/>
      <c r="H647" s="106"/>
      <c r="I647" s="396"/>
      <c r="J647" s="108"/>
      <c r="K647" s="107"/>
      <c r="L647" s="109"/>
      <c r="M647" s="109"/>
      <c r="N647" s="110"/>
      <c r="O647" s="123"/>
      <c r="P647" s="109"/>
      <c r="Q647" s="109"/>
      <c r="R647" s="109"/>
      <c r="S647" s="109"/>
      <c r="T647" s="109"/>
      <c r="U647" s="381"/>
      <c r="V647" s="381"/>
      <c r="W647" s="381"/>
      <c r="X647" s="381"/>
      <c r="Y647" s="381"/>
      <c r="Z647" s="381"/>
      <c r="AA647" s="381"/>
      <c r="AB647" s="381"/>
      <c r="AC647" s="381"/>
    </row>
    <row r="648">
      <c r="A648" s="398"/>
      <c r="B648" s="91"/>
      <c r="C648" s="100"/>
      <c r="D648" s="399"/>
      <c r="E648" s="400"/>
      <c r="F648" s="95"/>
      <c r="G648" s="95"/>
      <c r="H648" s="95"/>
      <c r="I648" s="399"/>
      <c r="J648" s="97"/>
      <c r="K648" s="96"/>
      <c r="L648" s="99"/>
      <c r="M648" s="99"/>
      <c r="N648" s="100"/>
      <c r="O648" s="124"/>
      <c r="P648" s="99"/>
      <c r="Q648" s="99"/>
      <c r="R648" s="99"/>
      <c r="S648" s="99"/>
      <c r="T648" s="99"/>
      <c r="U648" s="381"/>
      <c r="V648" s="381"/>
      <c r="W648" s="381"/>
      <c r="X648" s="381"/>
      <c r="Y648" s="381"/>
      <c r="Z648" s="381"/>
      <c r="AA648" s="381"/>
      <c r="AB648" s="381"/>
      <c r="AC648" s="381"/>
    </row>
    <row r="649">
      <c r="A649" s="395"/>
      <c r="B649" s="102"/>
      <c r="C649" s="110"/>
      <c r="D649" s="396"/>
      <c r="E649" s="397"/>
      <c r="F649" s="106"/>
      <c r="G649" s="106"/>
      <c r="H649" s="106"/>
      <c r="I649" s="396"/>
      <c r="J649" s="108"/>
      <c r="K649" s="107"/>
      <c r="L649" s="109"/>
      <c r="M649" s="109"/>
      <c r="N649" s="110"/>
      <c r="O649" s="123"/>
      <c r="P649" s="109"/>
      <c r="Q649" s="109"/>
      <c r="R649" s="109"/>
      <c r="S649" s="109"/>
      <c r="T649" s="109"/>
      <c r="U649" s="381"/>
      <c r="V649" s="381"/>
      <c r="W649" s="381"/>
      <c r="X649" s="381"/>
      <c r="Y649" s="381"/>
      <c r="Z649" s="381"/>
      <c r="AA649" s="381"/>
      <c r="AB649" s="381"/>
      <c r="AC649" s="381"/>
    </row>
    <row r="650">
      <c r="A650" s="398"/>
      <c r="B650" s="91"/>
      <c r="C650" s="100"/>
      <c r="D650" s="399"/>
      <c r="E650" s="400"/>
      <c r="F650" s="95"/>
      <c r="G650" s="95"/>
      <c r="H650" s="95"/>
      <c r="I650" s="399"/>
      <c r="J650" s="97"/>
      <c r="K650" s="96"/>
      <c r="L650" s="99"/>
      <c r="M650" s="99"/>
      <c r="N650" s="100"/>
      <c r="O650" s="124"/>
      <c r="P650" s="99"/>
      <c r="Q650" s="99"/>
      <c r="R650" s="99"/>
      <c r="S650" s="99"/>
      <c r="T650" s="99"/>
      <c r="U650" s="381"/>
      <c r="V650" s="381"/>
      <c r="W650" s="381"/>
      <c r="X650" s="381"/>
      <c r="Y650" s="381"/>
      <c r="Z650" s="381"/>
      <c r="AA650" s="381"/>
      <c r="AB650" s="381"/>
      <c r="AC650" s="381"/>
    </row>
    <row r="651">
      <c r="A651" s="395"/>
      <c r="B651" s="102"/>
      <c r="C651" s="110"/>
      <c r="D651" s="396"/>
      <c r="E651" s="397"/>
      <c r="F651" s="106"/>
      <c r="G651" s="106"/>
      <c r="H651" s="106"/>
      <c r="I651" s="396"/>
      <c r="J651" s="108"/>
      <c r="K651" s="107"/>
      <c r="L651" s="109"/>
      <c r="M651" s="109"/>
      <c r="N651" s="110"/>
      <c r="O651" s="123"/>
      <c r="P651" s="109"/>
      <c r="Q651" s="109"/>
      <c r="R651" s="109"/>
      <c r="S651" s="109"/>
      <c r="T651" s="109"/>
      <c r="U651" s="381"/>
      <c r="V651" s="381"/>
      <c r="W651" s="381"/>
      <c r="X651" s="381"/>
      <c r="Y651" s="381"/>
      <c r="Z651" s="381"/>
      <c r="AA651" s="381"/>
      <c r="AB651" s="381"/>
      <c r="AC651" s="381"/>
    </row>
    <row r="652">
      <c r="A652" s="398"/>
      <c r="B652" s="91"/>
      <c r="C652" s="100"/>
      <c r="D652" s="399"/>
      <c r="E652" s="400"/>
      <c r="F652" s="95"/>
      <c r="G652" s="95"/>
      <c r="H652" s="95"/>
      <c r="I652" s="399"/>
      <c r="J652" s="97"/>
      <c r="K652" s="96"/>
      <c r="L652" s="99"/>
      <c r="M652" s="99"/>
      <c r="N652" s="100"/>
      <c r="O652" s="124"/>
      <c r="P652" s="99"/>
      <c r="Q652" s="99"/>
      <c r="R652" s="99"/>
      <c r="S652" s="99"/>
      <c r="T652" s="99"/>
      <c r="U652" s="381"/>
      <c r="V652" s="381"/>
      <c r="W652" s="381"/>
      <c r="X652" s="381"/>
      <c r="Y652" s="381"/>
      <c r="Z652" s="381"/>
      <c r="AA652" s="381"/>
      <c r="AB652" s="381"/>
      <c r="AC652" s="381"/>
    </row>
    <row r="653">
      <c r="A653" s="395"/>
      <c r="B653" s="102"/>
      <c r="C653" s="110"/>
      <c r="D653" s="396"/>
      <c r="E653" s="397"/>
      <c r="F653" s="106"/>
      <c r="G653" s="106"/>
      <c r="H653" s="106"/>
      <c r="I653" s="396"/>
      <c r="J653" s="108"/>
      <c r="K653" s="107"/>
      <c r="L653" s="109"/>
      <c r="M653" s="109"/>
      <c r="N653" s="110"/>
      <c r="O653" s="123"/>
      <c r="P653" s="109"/>
      <c r="Q653" s="109"/>
      <c r="R653" s="109"/>
      <c r="S653" s="109"/>
      <c r="T653" s="109"/>
      <c r="U653" s="381"/>
      <c r="V653" s="381"/>
      <c r="W653" s="381"/>
      <c r="X653" s="381"/>
      <c r="Y653" s="381"/>
      <c r="Z653" s="381"/>
      <c r="AA653" s="381"/>
      <c r="AB653" s="381"/>
      <c r="AC653" s="381"/>
    </row>
    <row r="654">
      <c r="A654" s="398"/>
      <c r="B654" s="91"/>
      <c r="C654" s="100"/>
      <c r="D654" s="399"/>
      <c r="E654" s="400"/>
      <c r="F654" s="95"/>
      <c r="G654" s="95"/>
      <c r="H654" s="95"/>
      <c r="I654" s="399"/>
      <c r="J654" s="97"/>
      <c r="K654" s="96"/>
      <c r="L654" s="99"/>
      <c r="M654" s="99"/>
      <c r="N654" s="100"/>
      <c r="O654" s="124"/>
      <c r="P654" s="99"/>
      <c r="Q654" s="99"/>
      <c r="R654" s="99"/>
      <c r="S654" s="99"/>
      <c r="T654" s="99"/>
      <c r="U654" s="381"/>
      <c r="V654" s="381"/>
      <c r="W654" s="381"/>
      <c r="X654" s="381"/>
      <c r="Y654" s="381"/>
      <c r="Z654" s="381"/>
      <c r="AA654" s="381"/>
      <c r="AB654" s="381"/>
      <c r="AC654" s="381"/>
    </row>
    <row r="655">
      <c r="A655" s="395"/>
      <c r="B655" s="102"/>
      <c r="C655" s="110"/>
      <c r="D655" s="396"/>
      <c r="E655" s="397"/>
      <c r="F655" s="106"/>
      <c r="G655" s="106"/>
      <c r="H655" s="106"/>
      <c r="I655" s="396"/>
      <c r="J655" s="108"/>
      <c r="K655" s="107"/>
      <c r="L655" s="109"/>
      <c r="M655" s="109"/>
      <c r="N655" s="110"/>
      <c r="O655" s="123"/>
      <c r="P655" s="109"/>
      <c r="Q655" s="109"/>
      <c r="R655" s="109"/>
      <c r="S655" s="109"/>
      <c r="T655" s="109"/>
      <c r="U655" s="381"/>
      <c r="V655" s="381"/>
      <c r="W655" s="381"/>
      <c r="X655" s="381"/>
      <c r="Y655" s="381"/>
      <c r="Z655" s="381"/>
      <c r="AA655" s="381"/>
      <c r="AB655" s="381"/>
      <c r="AC655" s="381"/>
    </row>
    <row r="656">
      <c r="A656" s="398"/>
      <c r="B656" s="91"/>
      <c r="C656" s="100"/>
      <c r="D656" s="399"/>
      <c r="E656" s="400"/>
      <c r="F656" s="95"/>
      <c r="G656" s="95"/>
      <c r="H656" s="95"/>
      <c r="I656" s="399"/>
      <c r="J656" s="97"/>
      <c r="K656" s="96"/>
      <c r="L656" s="99"/>
      <c r="M656" s="99"/>
      <c r="N656" s="100"/>
      <c r="O656" s="124"/>
      <c r="P656" s="99"/>
      <c r="Q656" s="99"/>
      <c r="R656" s="99"/>
      <c r="S656" s="99"/>
      <c r="T656" s="99"/>
      <c r="U656" s="381"/>
      <c r="V656" s="381"/>
      <c r="W656" s="381"/>
      <c r="X656" s="381"/>
      <c r="Y656" s="381"/>
      <c r="Z656" s="381"/>
      <c r="AA656" s="381"/>
      <c r="AB656" s="381"/>
      <c r="AC656" s="381"/>
    </row>
    <row r="657">
      <c r="A657" s="395"/>
      <c r="B657" s="102"/>
      <c r="C657" s="110"/>
      <c r="D657" s="396"/>
      <c r="E657" s="397"/>
      <c r="F657" s="106"/>
      <c r="G657" s="106"/>
      <c r="H657" s="106"/>
      <c r="I657" s="396"/>
      <c r="J657" s="108"/>
      <c r="K657" s="107"/>
      <c r="L657" s="109"/>
      <c r="M657" s="109"/>
      <c r="N657" s="110"/>
      <c r="O657" s="123"/>
      <c r="P657" s="109"/>
      <c r="Q657" s="109"/>
      <c r="R657" s="109"/>
      <c r="S657" s="109"/>
      <c r="T657" s="109"/>
      <c r="U657" s="381"/>
      <c r="V657" s="381"/>
      <c r="W657" s="381"/>
      <c r="X657" s="381"/>
      <c r="Y657" s="381"/>
      <c r="Z657" s="381"/>
      <c r="AA657" s="381"/>
      <c r="AB657" s="381"/>
      <c r="AC657" s="381"/>
    </row>
    <row r="658">
      <c r="A658" s="398"/>
      <c r="B658" s="91"/>
      <c r="C658" s="100"/>
      <c r="D658" s="399"/>
      <c r="E658" s="400"/>
      <c r="F658" s="95"/>
      <c r="G658" s="95"/>
      <c r="H658" s="95"/>
      <c r="I658" s="399"/>
      <c r="J658" s="97"/>
      <c r="K658" s="96"/>
      <c r="L658" s="99"/>
      <c r="M658" s="99"/>
      <c r="N658" s="100"/>
      <c r="O658" s="124"/>
      <c r="P658" s="99"/>
      <c r="Q658" s="99"/>
      <c r="R658" s="99"/>
      <c r="S658" s="99"/>
      <c r="T658" s="99"/>
      <c r="U658" s="381"/>
      <c r="V658" s="381"/>
      <c r="W658" s="381"/>
      <c r="X658" s="381"/>
      <c r="Y658" s="381"/>
      <c r="Z658" s="381"/>
      <c r="AA658" s="381"/>
      <c r="AB658" s="381"/>
      <c r="AC658" s="381"/>
    </row>
    <row r="659">
      <c r="A659" s="395"/>
      <c r="B659" s="102"/>
      <c r="C659" s="110"/>
      <c r="D659" s="396"/>
      <c r="E659" s="397"/>
      <c r="F659" s="106"/>
      <c r="G659" s="106"/>
      <c r="H659" s="106"/>
      <c r="I659" s="396"/>
      <c r="J659" s="108"/>
      <c r="K659" s="107"/>
      <c r="L659" s="109"/>
      <c r="M659" s="109"/>
      <c r="N659" s="110"/>
      <c r="O659" s="123"/>
      <c r="P659" s="109"/>
      <c r="Q659" s="109"/>
      <c r="R659" s="109"/>
      <c r="S659" s="109"/>
      <c r="T659" s="109"/>
      <c r="U659" s="381"/>
      <c r="V659" s="381"/>
      <c r="W659" s="381"/>
      <c r="X659" s="381"/>
      <c r="Y659" s="381"/>
      <c r="Z659" s="381"/>
      <c r="AA659" s="381"/>
      <c r="AB659" s="381"/>
      <c r="AC659" s="381"/>
    </row>
    <row r="660">
      <c r="A660" s="398"/>
      <c r="B660" s="91"/>
      <c r="C660" s="100"/>
      <c r="D660" s="399"/>
      <c r="E660" s="400"/>
      <c r="F660" s="95"/>
      <c r="G660" s="95"/>
      <c r="H660" s="95"/>
      <c r="I660" s="399"/>
      <c r="J660" s="97"/>
      <c r="K660" s="96"/>
      <c r="L660" s="99"/>
      <c r="M660" s="99"/>
      <c r="N660" s="100"/>
      <c r="O660" s="124"/>
      <c r="P660" s="99"/>
      <c r="Q660" s="99"/>
      <c r="R660" s="99"/>
      <c r="S660" s="99"/>
      <c r="T660" s="99"/>
      <c r="U660" s="381"/>
      <c r="V660" s="381"/>
      <c r="W660" s="381"/>
      <c r="X660" s="381"/>
      <c r="Y660" s="381"/>
      <c r="Z660" s="381"/>
      <c r="AA660" s="381"/>
      <c r="AB660" s="381"/>
      <c r="AC660" s="381"/>
    </row>
    <row r="661">
      <c r="A661" s="395"/>
      <c r="B661" s="102"/>
      <c r="C661" s="110"/>
      <c r="D661" s="396"/>
      <c r="E661" s="397"/>
      <c r="F661" s="106"/>
      <c r="G661" s="106"/>
      <c r="H661" s="106"/>
      <c r="I661" s="396"/>
      <c r="J661" s="108"/>
      <c r="K661" s="107"/>
      <c r="L661" s="109"/>
      <c r="M661" s="109"/>
      <c r="N661" s="110"/>
      <c r="O661" s="123"/>
      <c r="P661" s="109"/>
      <c r="Q661" s="109"/>
      <c r="R661" s="109"/>
      <c r="S661" s="109"/>
      <c r="T661" s="109"/>
      <c r="U661" s="381"/>
      <c r="V661" s="381"/>
      <c r="W661" s="381"/>
      <c r="X661" s="381"/>
      <c r="Y661" s="381"/>
      <c r="Z661" s="381"/>
      <c r="AA661" s="381"/>
      <c r="AB661" s="381"/>
      <c r="AC661" s="381"/>
    </row>
    <row r="662">
      <c r="A662" s="398"/>
      <c r="B662" s="91"/>
      <c r="C662" s="100"/>
      <c r="D662" s="399"/>
      <c r="E662" s="400"/>
      <c r="F662" s="95"/>
      <c r="G662" s="95"/>
      <c r="H662" s="95"/>
      <c r="I662" s="399"/>
      <c r="J662" s="97"/>
      <c r="K662" s="96"/>
      <c r="L662" s="99"/>
      <c r="M662" s="99"/>
      <c r="N662" s="100"/>
      <c r="O662" s="124"/>
      <c r="P662" s="99"/>
      <c r="Q662" s="99"/>
      <c r="R662" s="99"/>
      <c r="S662" s="99"/>
      <c r="T662" s="99"/>
      <c r="U662" s="381"/>
      <c r="V662" s="381"/>
      <c r="W662" s="381"/>
      <c r="X662" s="381"/>
      <c r="Y662" s="381"/>
      <c r="Z662" s="381"/>
      <c r="AA662" s="381"/>
      <c r="AB662" s="381"/>
      <c r="AC662" s="381"/>
    </row>
    <row r="663">
      <c r="A663" s="395"/>
      <c r="B663" s="102"/>
      <c r="C663" s="110"/>
      <c r="D663" s="396"/>
      <c r="E663" s="397"/>
      <c r="F663" s="106"/>
      <c r="G663" s="106"/>
      <c r="H663" s="106"/>
      <c r="I663" s="396"/>
      <c r="J663" s="108"/>
      <c r="K663" s="107"/>
      <c r="L663" s="109"/>
      <c r="M663" s="109"/>
      <c r="N663" s="110"/>
      <c r="O663" s="123"/>
      <c r="P663" s="109"/>
      <c r="Q663" s="109"/>
      <c r="R663" s="109"/>
      <c r="S663" s="109"/>
      <c r="T663" s="109"/>
      <c r="U663" s="381"/>
      <c r="V663" s="381"/>
      <c r="W663" s="381"/>
      <c r="X663" s="381"/>
      <c r="Y663" s="381"/>
      <c r="Z663" s="381"/>
      <c r="AA663" s="381"/>
      <c r="AB663" s="381"/>
      <c r="AC663" s="381"/>
    </row>
    <row r="664">
      <c r="A664" s="398"/>
      <c r="B664" s="91"/>
      <c r="C664" s="100"/>
      <c r="D664" s="399"/>
      <c r="E664" s="400"/>
      <c r="F664" s="95"/>
      <c r="G664" s="95"/>
      <c r="H664" s="95"/>
      <c r="I664" s="399"/>
      <c r="J664" s="97"/>
      <c r="K664" s="96"/>
      <c r="L664" s="99"/>
      <c r="M664" s="99"/>
      <c r="N664" s="100"/>
      <c r="O664" s="124"/>
      <c r="P664" s="99"/>
      <c r="Q664" s="99"/>
      <c r="R664" s="99"/>
      <c r="S664" s="99"/>
      <c r="T664" s="99"/>
      <c r="U664" s="381"/>
      <c r="V664" s="381"/>
      <c r="W664" s="381"/>
      <c r="X664" s="381"/>
      <c r="Y664" s="381"/>
      <c r="Z664" s="381"/>
      <c r="AA664" s="381"/>
      <c r="AB664" s="381"/>
      <c r="AC664" s="381"/>
    </row>
    <row r="665">
      <c r="A665" s="395"/>
      <c r="B665" s="102"/>
      <c r="C665" s="110"/>
      <c r="D665" s="396"/>
      <c r="E665" s="397"/>
      <c r="F665" s="106"/>
      <c r="G665" s="106"/>
      <c r="H665" s="106"/>
      <c r="I665" s="396"/>
      <c r="J665" s="108"/>
      <c r="K665" s="107"/>
      <c r="L665" s="109"/>
      <c r="M665" s="109"/>
      <c r="N665" s="110"/>
      <c r="O665" s="123"/>
      <c r="P665" s="109"/>
      <c r="Q665" s="109"/>
      <c r="R665" s="109"/>
      <c r="S665" s="109"/>
      <c r="T665" s="109"/>
      <c r="U665" s="381"/>
      <c r="V665" s="381"/>
      <c r="W665" s="381"/>
      <c r="X665" s="381"/>
      <c r="Y665" s="381"/>
      <c r="Z665" s="381"/>
      <c r="AA665" s="381"/>
      <c r="AB665" s="381"/>
      <c r="AC665" s="381"/>
    </row>
    <row r="666">
      <c r="A666" s="398"/>
      <c r="B666" s="91"/>
      <c r="C666" s="100"/>
      <c r="D666" s="399"/>
      <c r="E666" s="400"/>
      <c r="F666" s="95"/>
      <c r="G666" s="95"/>
      <c r="H666" s="95"/>
      <c r="I666" s="399"/>
      <c r="J666" s="97"/>
      <c r="K666" s="96"/>
      <c r="L666" s="99"/>
      <c r="M666" s="99"/>
      <c r="N666" s="100"/>
      <c r="O666" s="124"/>
      <c r="P666" s="99"/>
      <c r="Q666" s="99"/>
      <c r="R666" s="99"/>
      <c r="S666" s="99"/>
      <c r="T666" s="99"/>
      <c r="U666" s="381"/>
      <c r="V666" s="381"/>
      <c r="W666" s="381"/>
      <c r="X666" s="381"/>
      <c r="Y666" s="381"/>
      <c r="Z666" s="381"/>
      <c r="AA666" s="381"/>
      <c r="AB666" s="381"/>
      <c r="AC666" s="381"/>
    </row>
    <row r="667">
      <c r="A667" s="395"/>
      <c r="B667" s="102"/>
      <c r="C667" s="110"/>
      <c r="D667" s="396"/>
      <c r="E667" s="397"/>
      <c r="F667" s="106"/>
      <c r="G667" s="106"/>
      <c r="H667" s="106"/>
      <c r="I667" s="396"/>
      <c r="J667" s="108"/>
      <c r="K667" s="107"/>
      <c r="L667" s="109"/>
      <c r="M667" s="109"/>
      <c r="N667" s="110"/>
      <c r="O667" s="123"/>
      <c r="P667" s="109"/>
      <c r="Q667" s="109"/>
      <c r="R667" s="109"/>
      <c r="S667" s="109"/>
      <c r="T667" s="109"/>
      <c r="U667" s="381"/>
      <c r="V667" s="381"/>
      <c r="W667" s="381"/>
      <c r="X667" s="381"/>
      <c r="Y667" s="381"/>
      <c r="Z667" s="381"/>
      <c r="AA667" s="381"/>
      <c r="AB667" s="381"/>
      <c r="AC667" s="381"/>
    </row>
    <row r="668">
      <c r="A668" s="398"/>
      <c r="B668" s="91"/>
      <c r="C668" s="100"/>
      <c r="D668" s="399"/>
      <c r="E668" s="400"/>
      <c r="F668" s="95"/>
      <c r="G668" s="95"/>
      <c r="H668" s="95"/>
      <c r="I668" s="399"/>
      <c r="J668" s="97"/>
      <c r="K668" s="96"/>
      <c r="L668" s="99"/>
      <c r="M668" s="99"/>
      <c r="N668" s="100"/>
      <c r="O668" s="124"/>
      <c r="P668" s="99"/>
      <c r="Q668" s="99"/>
      <c r="R668" s="99"/>
      <c r="S668" s="99"/>
      <c r="T668" s="99"/>
      <c r="U668" s="381"/>
      <c r="V668" s="381"/>
      <c r="W668" s="381"/>
      <c r="X668" s="381"/>
      <c r="Y668" s="381"/>
      <c r="Z668" s="381"/>
      <c r="AA668" s="381"/>
      <c r="AB668" s="381"/>
      <c r="AC668" s="381"/>
    </row>
    <row r="669">
      <c r="A669" s="395"/>
      <c r="B669" s="102"/>
      <c r="C669" s="110"/>
      <c r="D669" s="396"/>
      <c r="E669" s="397"/>
      <c r="F669" s="106"/>
      <c r="G669" s="106"/>
      <c r="H669" s="106"/>
      <c r="I669" s="396"/>
      <c r="J669" s="108"/>
      <c r="K669" s="107"/>
      <c r="L669" s="109"/>
      <c r="M669" s="109"/>
      <c r="N669" s="110"/>
      <c r="O669" s="123"/>
      <c r="P669" s="109"/>
      <c r="Q669" s="109"/>
      <c r="R669" s="109"/>
      <c r="S669" s="109"/>
      <c r="T669" s="109"/>
      <c r="U669" s="381"/>
      <c r="V669" s="381"/>
      <c r="W669" s="381"/>
      <c r="X669" s="381"/>
      <c r="Y669" s="381"/>
      <c r="Z669" s="381"/>
      <c r="AA669" s="381"/>
      <c r="AB669" s="381"/>
      <c r="AC669" s="381"/>
    </row>
    <row r="670">
      <c r="A670" s="398"/>
      <c r="B670" s="91"/>
      <c r="C670" s="100"/>
      <c r="D670" s="399"/>
      <c r="E670" s="400"/>
      <c r="F670" s="95"/>
      <c r="G670" s="95"/>
      <c r="H670" s="95"/>
      <c r="I670" s="399"/>
      <c r="J670" s="97"/>
      <c r="K670" s="96"/>
      <c r="L670" s="99"/>
      <c r="M670" s="99"/>
      <c r="N670" s="100"/>
      <c r="O670" s="124"/>
      <c r="P670" s="99"/>
      <c r="Q670" s="99"/>
      <c r="R670" s="99"/>
      <c r="S670" s="99"/>
      <c r="T670" s="99"/>
      <c r="U670" s="381"/>
      <c r="V670" s="381"/>
      <c r="W670" s="381"/>
      <c r="X670" s="381"/>
      <c r="Y670" s="381"/>
      <c r="Z670" s="381"/>
      <c r="AA670" s="381"/>
      <c r="AB670" s="381"/>
      <c r="AC670" s="381"/>
    </row>
    <row r="671">
      <c r="A671" s="395"/>
      <c r="B671" s="102"/>
      <c r="C671" s="110"/>
      <c r="D671" s="396"/>
      <c r="E671" s="397"/>
      <c r="F671" s="106"/>
      <c r="G671" s="106"/>
      <c r="H671" s="106"/>
      <c r="I671" s="396"/>
      <c r="J671" s="108"/>
      <c r="K671" s="107"/>
      <c r="L671" s="109"/>
      <c r="M671" s="109"/>
      <c r="N671" s="110"/>
      <c r="O671" s="123"/>
      <c r="P671" s="109"/>
      <c r="Q671" s="109"/>
      <c r="R671" s="109"/>
      <c r="S671" s="109"/>
      <c r="T671" s="109"/>
      <c r="U671" s="381"/>
      <c r="V671" s="381"/>
      <c r="W671" s="381"/>
      <c r="X671" s="381"/>
      <c r="Y671" s="381"/>
      <c r="Z671" s="381"/>
      <c r="AA671" s="381"/>
      <c r="AB671" s="381"/>
      <c r="AC671" s="381"/>
    </row>
    <row r="672">
      <c r="A672" s="398"/>
      <c r="B672" s="91"/>
      <c r="C672" s="100"/>
      <c r="D672" s="399"/>
      <c r="E672" s="400"/>
      <c r="F672" s="95"/>
      <c r="G672" s="95"/>
      <c r="H672" s="95"/>
      <c r="I672" s="399"/>
      <c r="J672" s="97"/>
      <c r="K672" s="96"/>
      <c r="L672" s="99"/>
      <c r="M672" s="99"/>
      <c r="N672" s="100"/>
      <c r="O672" s="124"/>
      <c r="P672" s="99"/>
      <c r="Q672" s="99"/>
      <c r="R672" s="99"/>
      <c r="S672" s="99"/>
      <c r="T672" s="99"/>
      <c r="U672" s="381"/>
      <c r="V672" s="381"/>
      <c r="W672" s="381"/>
      <c r="X672" s="381"/>
      <c r="Y672" s="381"/>
      <c r="Z672" s="381"/>
      <c r="AA672" s="381"/>
      <c r="AB672" s="381"/>
      <c r="AC672" s="381"/>
    </row>
    <row r="673">
      <c r="A673" s="395"/>
      <c r="B673" s="102"/>
      <c r="C673" s="110"/>
      <c r="D673" s="396"/>
      <c r="E673" s="397"/>
      <c r="F673" s="106"/>
      <c r="G673" s="106"/>
      <c r="H673" s="106"/>
      <c r="I673" s="396"/>
      <c r="J673" s="108"/>
      <c r="K673" s="107"/>
      <c r="L673" s="109"/>
      <c r="M673" s="109"/>
      <c r="N673" s="110"/>
      <c r="O673" s="123"/>
      <c r="P673" s="109"/>
      <c r="Q673" s="109"/>
      <c r="R673" s="109"/>
      <c r="S673" s="109"/>
      <c r="T673" s="109"/>
      <c r="U673" s="381"/>
      <c r="V673" s="381"/>
      <c r="W673" s="381"/>
      <c r="X673" s="381"/>
      <c r="Y673" s="381"/>
      <c r="Z673" s="381"/>
      <c r="AA673" s="381"/>
      <c r="AB673" s="381"/>
      <c r="AC673" s="381"/>
    </row>
    <row r="674">
      <c r="A674" s="398"/>
      <c r="B674" s="91"/>
      <c r="C674" s="100"/>
      <c r="D674" s="399"/>
      <c r="E674" s="400"/>
      <c r="F674" s="95"/>
      <c r="G674" s="95"/>
      <c r="H674" s="95"/>
      <c r="I674" s="399"/>
      <c r="J674" s="97"/>
      <c r="K674" s="96"/>
      <c r="L674" s="99"/>
      <c r="M674" s="99"/>
      <c r="N674" s="100"/>
      <c r="O674" s="124"/>
      <c r="P674" s="99"/>
      <c r="Q674" s="99"/>
      <c r="R674" s="99"/>
      <c r="S674" s="99"/>
      <c r="T674" s="99"/>
      <c r="U674" s="381"/>
      <c r="V674" s="381"/>
      <c r="W674" s="381"/>
      <c r="X674" s="381"/>
      <c r="Y674" s="381"/>
      <c r="Z674" s="381"/>
      <c r="AA674" s="381"/>
      <c r="AB674" s="381"/>
      <c r="AC674" s="381"/>
    </row>
    <row r="675">
      <c r="A675" s="395"/>
      <c r="B675" s="102"/>
      <c r="C675" s="110"/>
      <c r="D675" s="396"/>
      <c r="E675" s="397"/>
      <c r="F675" s="106"/>
      <c r="G675" s="106"/>
      <c r="H675" s="106"/>
      <c r="I675" s="396"/>
      <c r="J675" s="108"/>
      <c r="K675" s="107"/>
      <c r="L675" s="109"/>
      <c r="M675" s="109"/>
      <c r="N675" s="110"/>
      <c r="O675" s="123"/>
      <c r="P675" s="109"/>
      <c r="Q675" s="109"/>
      <c r="R675" s="109"/>
      <c r="S675" s="109"/>
      <c r="T675" s="109"/>
      <c r="U675" s="381"/>
      <c r="V675" s="381"/>
      <c r="W675" s="381"/>
      <c r="X675" s="381"/>
      <c r="Y675" s="381"/>
      <c r="Z675" s="381"/>
      <c r="AA675" s="381"/>
      <c r="AB675" s="381"/>
      <c r="AC675" s="381"/>
    </row>
    <row r="676">
      <c r="A676" s="398"/>
      <c r="B676" s="91"/>
      <c r="C676" s="100"/>
      <c r="D676" s="399"/>
      <c r="E676" s="400"/>
      <c r="F676" s="95"/>
      <c r="G676" s="95"/>
      <c r="H676" s="95"/>
      <c r="I676" s="399"/>
      <c r="J676" s="97"/>
      <c r="K676" s="96"/>
      <c r="L676" s="99"/>
      <c r="M676" s="99"/>
      <c r="N676" s="100"/>
      <c r="O676" s="124"/>
      <c r="P676" s="99"/>
      <c r="Q676" s="99"/>
      <c r="R676" s="99"/>
      <c r="S676" s="99"/>
      <c r="T676" s="99"/>
      <c r="U676" s="381"/>
      <c r="V676" s="381"/>
      <c r="W676" s="381"/>
      <c r="X676" s="381"/>
      <c r="Y676" s="381"/>
      <c r="Z676" s="381"/>
      <c r="AA676" s="381"/>
      <c r="AB676" s="381"/>
      <c r="AC676" s="381"/>
    </row>
    <row r="677">
      <c r="A677" s="395"/>
      <c r="B677" s="102"/>
      <c r="C677" s="110"/>
      <c r="D677" s="396"/>
      <c r="E677" s="397"/>
      <c r="F677" s="106"/>
      <c r="G677" s="106"/>
      <c r="H677" s="106"/>
      <c r="I677" s="396"/>
      <c r="J677" s="108"/>
      <c r="K677" s="107"/>
      <c r="L677" s="109"/>
      <c r="M677" s="109"/>
      <c r="N677" s="110"/>
      <c r="O677" s="123"/>
      <c r="P677" s="109"/>
      <c r="Q677" s="109"/>
      <c r="R677" s="109"/>
      <c r="S677" s="109"/>
      <c r="T677" s="109"/>
      <c r="U677" s="381"/>
      <c r="V677" s="381"/>
      <c r="W677" s="381"/>
      <c r="X677" s="381"/>
      <c r="Y677" s="381"/>
      <c r="Z677" s="381"/>
      <c r="AA677" s="381"/>
      <c r="AB677" s="381"/>
      <c r="AC677" s="381"/>
    </row>
    <row r="678">
      <c r="A678" s="398"/>
      <c r="B678" s="91"/>
      <c r="C678" s="100"/>
      <c r="D678" s="399"/>
      <c r="E678" s="400"/>
      <c r="F678" s="95"/>
      <c r="G678" s="95"/>
      <c r="H678" s="95"/>
      <c r="I678" s="399"/>
      <c r="J678" s="97"/>
      <c r="K678" s="96"/>
      <c r="L678" s="99"/>
      <c r="M678" s="99"/>
      <c r="N678" s="100"/>
      <c r="O678" s="124"/>
      <c r="P678" s="99"/>
      <c r="Q678" s="99"/>
      <c r="R678" s="99"/>
      <c r="S678" s="99"/>
      <c r="T678" s="99"/>
      <c r="U678" s="381"/>
      <c r="V678" s="381"/>
      <c r="W678" s="381"/>
      <c r="X678" s="381"/>
      <c r="Y678" s="381"/>
      <c r="Z678" s="381"/>
      <c r="AA678" s="381"/>
      <c r="AB678" s="381"/>
      <c r="AC678" s="381"/>
    </row>
    <row r="679">
      <c r="A679" s="395"/>
      <c r="B679" s="102"/>
      <c r="C679" s="110"/>
      <c r="D679" s="396"/>
      <c r="E679" s="397"/>
      <c r="F679" s="106"/>
      <c r="G679" s="106"/>
      <c r="H679" s="106"/>
      <c r="I679" s="396"/>
      <c r="J679" s="108"/>
      <c r="K679" s="107"/>
      <c r="L679" s="109"/>
      <c r="M679" s="109"/>
      <c r="N679" s="110"/>
      <c r="O679" s="123"/>
      <c r="P679" s="109"/>
      <c r="Q679" s="109"/>
      <c r="R679" s="109"/>
      <c r="S679" s="109"/>
      <c r="T679" s="109"/>
      <c r="U679" s="381"/>
      <c r="V679" s="381"/>
      <c r="W679" s="381"/>
      <c r="X679" s="381"/>
      <c r="Y679" s="381"/>
      <c r="Z679" s="381"/>
      <c r="AA679" s="381"/>
      <c r="AB679" s="381"/>
      <c r="AC679" s="381"/>
    </row>
    <row r="680">
      <c r="A680" s="398"/>
      <c r="B680" s="91"/>
      <c r="C680" s="100"/>
      <c r="D680" s="399"/>
      <c r="E680" s="400"/>
      <c r="F680" s="95"/>
      <c r="G680" s="95"/>
      <c r="H680" s="95"/>
      <c r="I680" s="399"/>
      <c r="J680" s="97"/>
      <c r="K680" s="96"/>
      <c r="L680" s="99"/>
      <c r="M680" s="99"/>
      <c r="N680" s="100"/>
      <c r="O680" s="124"/>
      <c r="P680" s="99"/>
      <c r="Q680" s="99"/>
      <c r="R680" s="99"/>
      <c r="S680" s="99"/>
      <c r="T680" s="99"/>
      <c r="U680" s="381"/>
      <c r="V680" s="381"/>
      <c r="W680" s="381"/>
      <c r="X680" s="381"/>
      <c r="Y680" s="381"/>
      <c r="Z680" s="381"/>
      <c r="AA680" s="381"/>
      <c r="AB680" s="381"/>
      <c r="AC680" s="381"/>
    </row>
    <row r="681">
      <c r="A681" s="395"/>
      <c r="B681" s="102"/>
      <c r="C681" s="110"/>
      <c r="D681" s="396"/>
      <c r="E681" s="397"/>
      <c r="F681" s="106"/>
      <c r="G681" s="106"/>
      <c r="H681" s="106"/>
      <c r="I681" s="396"/>
      <c r="J681" s="108"/>
      <c r="K681" s="107"/>
      <c r="L681" s="109"/>
      <c r="M681" s="109"/>
      <c r="N681" s="110"/>
      <c r="O681" s="123"/>
      <c r="P681" s="109"/>
      <c r="Q681" s="109"/>
      <c r="R681" s="109"/>
      <c r="S681" s="109"/>
      <c r="T681" s="109"/>
      <c r="U681" s="381"/>
      <c r="V681" s="381"/>
      <c r="W681" s="381"/>
      <c r="X681" s="381"/>
      <c r="Y681" s="381"/>
      <c r="Z681" s="381"/>
      <c r="AA681" s="381"/>
      <c r="AB681" s="381"/>
      <c r="AC681" s="381"/>
    </row>
    <row r="682">
      <c r="A682" s="398"/>
      <c r="B682" s="91"/>
      <c r="C682" s="100"/>
      <c r="D682" s="399"/>
      <c r="E682" s="400"/>
      <c r="F682" s="95"/>
      <c r="G682" s="95"/>
      <c r="H682" s="95"/>
      <c r="I682" s="399"/>
      <c r="J682" s="97"/>
      <c r="K682" s="96"/>
      <c r="L682" s="99"/>
      <c r="M682" s="99"/>
      <c r="N682" s="100"/>
      <c r="O682" s="124"/>
      <c r="P682" s="99"/>
      <c r="Q682" s="99"/>
      <c r="R682" s="99"/>
      <c r="S682" s="99"/>
      <c r="T682" s="99"/>
      <c r="U682" s="381"/>
      <c r="V682" s="381"/>
      <c r="W682" s="381"/>
      <c r="X682" s="381"/>
      <c r="Y682" s="381"/>
      <c r="Z682" s="381"/>
      <c r="AA682" s="381"/>
      <c r="AB682" s="381"/>
      <c r="AC682" s="381"/>
    </row>
    <row r="683">
      <c r="A683" s="395"/>
      <c r="B683" s="102"/>
      <c r="C683" s="110"/>
      <c r="D683" s="396"/>
      <c r="E683" s="397"/>
      <c r="F683" s="106"/>
      <c r="G683" s="106"/>
      <c r="H683" s="106"/>
      <c r="I683" s="396"/>
      <c r="J683" s="108"/>
      <c r="K683" s="107"/>
      <c r="L683" s="109"/>
      <c r="M683" s="109"/>
      <c r="N683" s="110"/>
      <c r="O683" s="123"/>
      <c r="P683" s="109"/>
      <c r="Q683" s="109"/>
      <c r="R683" s="109"/>
      <c r="S683" s="109"/>
      <c r="T683" s="109"/>
      <c r="U683" s="381"/>
      <c r="V683" s="381"/>
      <c r="W683" s="381"/>
      <c r="X683" s="381"/>
      <c r="Y683" s="381"/>
      <c r="Z683" s="381"/>
      <c r="AA683" s="381"/>
      <c r="AB683" s="381"/>
      <c r="AC683" s="381"/>
    </row>
    <row r="684">
      <c r="A684" s="398"/>
      <c r="B684" s="91"/>
      <c r="C684" s="100"/>
      <c r="D684" s="399"/>
      <c r="E684" s="400"/>
      <c r="F684" s="95"/>
      <c r="G684" s="95"/>
      <c r="H684" s="95"/>
      <c r="I684" s="399"/>
      <c r="J684" s="97"/>
      <c r="K684" s="96"/>
      <c r="L684" s="99"/>
      <c r="M684" s="99"/>
      <c r="N684" s="100"/>
      <c r="O684" s="124"/>
      <c r="P684" s="99"/>
      <c r="Q684" s="99"/>
      <c r="R684" s="99"/>
      <c r="S684" s="99"/>
      <c r="T684" s="99"/>
      <c r="U684" s="381"/>
      <c r="V684" s="381"/>
      <c r="W684" s="381"/>
      <c r="X684" s="381"/>
      <c r="Y684" s="381"/>
      <c r="Z684" s="381"/>
      <c r="AA684" s="381"/>
      <c r="AB684" s="381"/>
      <c r="AC684" s="381"/>
    </row>
    <row r="685">
      <c r="A685" s="395"/>
      <c r="B685" s="102"/>
      <c r="C685" s="110"/>
      <c r="D685" s="396"/>
      <c r="E685" s="397"/>
      <c r="F685" s="106"/>
      <c r="G685" s="106"/>
      <c r="H685" s="106"/>
      <c r="I685" s="396"/>
      <c r="J685" s="108"/>
      <c r="K685" s="107"/>
      <c r="L685" s="109"/>
      <c r="M685" s="109"/>
      <c r="N685" s="110"/>
      <c r="O685" s="123"/>
      <c r="P685" s="109"/>
      <c r="Q685" s="109"/>
      <c r="R685" s="109"/>
      <c r="S685" s="109"/>
      <c r="T685" s="109"/>
      <c r="U685" s="381"/>
      <c r="V685" s="381"/>
      <c r="W685" s="381"/>
      <c r="X685" s="381"/>
      <c r="Y685" s="381"/>
      <c r="Z685" s="381"/>
      <c r="AA685" s="381"/>
      <c r="AB685" s="381"/>
      <c r="AC685" s="381"/>
    </row>
    <row r="686">
      <c r="A686" s="398"/>
      <c r="B686" s="91"/>
      <c r="C686" s="100"/>
      <c r="D686" s="399"/>
      <c r="E686" s="400"/>
      <c r="F686" s="95"/>
      <c r="G686" s="95"/>
      <c r="H686" s="95"/>
      <c r="I686" s="399"/>
      <c r="J686" s="97"/>
      <c r="K686" s="96"/>
      <c r="L686" s="99"/>
      <c r="M686" s="99"/>
      <c r="N686" s="100"/>
      <c r="O686" s="124"/>
      <c r="P686" s="99"/>
      <c r="Q686" s="99"/>
      <c r="R686" s="99"/>
      <c r="S686" s="99"/>
      <c r="T686" s="99"/>
      <c r="U686" s="381"/>
      <c r="V686" s="381"/>
      <c r="W686" s="381"/>
      <c r="X686" s="381"/>
      <c r="Y686" s="381"/>
      <c r="Z686" s="381"/>
      <c r="AA686" s="381"/>
      <c r="AB686" s="381"/>
      <c r="AC686" s="381"/>
    </row>
    <row r="687">
      <c r="A687" s="395"/>
      <c r="B687" s="102"/>
      <c r="C687" s="110"/>
      <c r="D687" s="396"/>
      <c r="E687" s="397"/>
      <c r="F687" s="106"/>
      <c r="G687" s="106"/>
      <c r="H687" s="106"/>
      <c r="I687" s="396"/>
      <c r="J687" s="108"/>
      <c r="K687" s="107"/>
      <c r="L687" s="109"/>
      <c r="M687" s="109"/>
      <c r="N687" s="110"/>
      <c r="O687" s="123"/>
      <c r="P687" s="109"/>
      <c r="Q687" s="109"/>
      <c r="R687" s="109"/>
      <c r="S687" s="109"/>
      <c r="T687" s="109"/>
      <c r="U687" s="381"/>
      <c r="V687" s="381"/>
      <c r="W687" s="381"/>
      <c r="X687" s="381"/>
      <c r="Y687" s="381"/>
      <c r="Z687" s="381"/>
      <c r="AA687" s="381"/>
      <c r="AB687" s="381"/>
      <c r="AC687" s="381"/>
    </row>
    <row r="688">
      <c r="A688" s="398"/>
      <c r="B688" s="91"/>
      <c r="C688" s="100"/>
      <c r="D688" s="399"/>
      <c r="E688" s="400"/>
      <c r="F688" s="95"/>
      <c r="G688" s="95"/>
      <c r="H688" s="95"/>
      <c r="I688" s="399"/>
      <c r="J688" s="97"/>
      <c r="K688" s="96"/>
      <c r="L688" s="99"/>
      <c r="M688" s="99"/>
      <c r="N688" s="100"/>
      <c r="O688" s="124"/>
      <c r="P688" s="99"/>
      <c r="Q688" s="99"/>
      <c r="R688" s="99"/>
      <c r="S688" s="99"/>
      <c r="T688" s="99"/>
      <c r="U688" s="381"/>
      <c r="V688" s="381"/>
      <c r="W688" s="381"/>
      <c r="X688" s="381"/>
      <c r="Y688" s="381"/>
      <c r="Z688" s="381"/>
      <c r="AA688" s="381"/>
      <c r="AB688" s="381"/>
      <c r="AC688" s="381"/>
    </row>
    <row r="689">
      <c r="A689" s="395"/>
      <c r="B689" s="102"/>
      <c r="C689" s="110"/>
      <c r="D689" s="396"/>
      <c r="E689" s="397"/>
      <c r="F689" s="106"/>
      <c r="G689" s="106"/>
      <c r="H689" s="106"/>
      <c r="I689" s="396"/>
      <c r="J689" s="108"/>
      <c r="K689" s="107"/>
      <c r="L689" s="109"/>
      <c r="M689" s="109"/>
      <c r="N689" s="110"/>
      <c r="O689" s="123"/>
      <c r="P689" s="109"/>
      <c r="Q689" s="109"/>
      <c r="R689" s="109"/>
      <c r="S689" s="109"/>
      <c r="T689" s="109"/>
      <c r="U689" s="381"/>
      <c r="V689" s="381"/>
      <c r="W689" s="381"/>
      <c r="X689" s="381"/>
      <c r="Y689" s="381"/>
      <c r="Z689" s="381"/>
      <c r="AA689" s="381"/>
      <c r="AB689" s="381"/>
      <c r="AC689" s="381"/>
    </row>
    <row r="690">
      <c r="A690" s="398"/>
      <c r="B690" s="91"/>
      <c r="C690" s="100"/>
      <c r="D690" s="399"/>
      <c r="E690" s="400"/>
      <c r="F690" s="95"/>
      <c r="G690" s="95"/>
      <c r="H690" s="95"/>
      <c r="I690" s="399"/>
      <c r="J690" s="97"/>
      <c r="K690" s="96"/>
      <c r="L690" s="99"/>
      <c r="M690" s="99"/>
      <c r="N690" s="100"/>
      <c r="O690" s="124"/>
      <c r="P690" s="99"/>
      <c r="Q690" s="99"/>
      <c r="R690" s="99"/>
      <c r="S690" s="99"/>
      <c r="T690" s="99"/>
      <c r="U690" s="381"/>
      <c r="V690" s="381"/>
      <c r="W690" s="381"/>
      <c r="X690" s="381"/>
      <c r="Y690" s="381"/>
      <c r="Z690" s="381"/>
      <c r="AA690" s="381"/>
      <c r="AB690" s="381"/>
      <c r="AC690" s="381"/>
    </row>
    <row r="691">
      <c r="A691" s="395"/>
      <c r="B691" s="102"/>
      <c r="C691" s="110"/>
      <c r="D691" s="396"/>
      <c r="E691" s="397"/>
      <c r="F691" s="106"/>
      <c r="G691" s="106"/>
      <c r="H691" s="106"/>
      <c r="I691" s="396"/>
      <c r="J691" s="108"/>
      <c r="K691" s="107"/>
      <c r="L691" s="109"/>
      <c r="M691" s="109"/>
      <c r="N691" s="110"/>
      <c r="O691" s="123"/>
      <c r="P691" s="109"/>
      <c r="Q691" s="109"/>
      <c r="R691" s="109"/>
      <c r="S691" s="109"/>
      <c r="T691" s="109"/>
      <c r="U691" s="381"/>
      <c r="V691" s="381"/>
      <c r="W691" s="381"/>
      <c r="X691" s="381"/>
      <c r="Y691" s="381"/>
      <c r="Z691" s="381"/>
      <c r="AA691" s="381"/>
      <c r="AB691" s="381"/>
      <c r="AC691" s="381"/>
    </row>
    <row r="692">
      <c r="A692" s="398"/>
      <c r="B692" s="91"/>
      <c r="C692" s="100"/>
      <c r="D692" s="399"/>
      <c r="E692" s="400"/>
      <c r="F692" s="95"/>
      <c r="G692" s="95"/>
      <c r="H692" s="95"/>
      <c r="I692" s="399"/>
      <c r="J692" s="97"/>
      <c r="K692" s="96"/>
      <c r="L692" s="99"/>
      <c r="M692" s="99"/>
      <c r="N692" s="100"/>
      <c r="O692" s="124"/>
      <c r="P692" s="99"/>
      <c r="Q692" s="99"/>
      <c r="R692" s="99"/>
      <c r="S692" s="99"/>
      <c r="T692" s="99"/>
      <c r="U692" s="381"/>
      <c r="V692" s="381"/>
      <c r="W692" s="381"/>
      <c r="X692" s="381"/>
      <c r="Y692" s="381"/>
      <c r="Z692" s="381"/>
      <c r="AA692" s="381"/>
      <c r="AB692" s="381"/>
      <c r="AC692" s="381"/>
    </row>
    <row r="693">
      <c r="A693" s="395"/>
      <c r="B693" s="102"/>
      <c r="C693" s="110"/>
      <c r="D693" s="396"/>
      <c r="E693" s="397"/>
      <c r="F693" s="106"/>
      <c r="G693" s="106"/>
      <c r="H693" s="106"/>
      <c r="I693" s="396"/>
      <c r="J693" s="108"/>
      <c r="K693" s="107"/>
      <c r="L693" s="109"/>
      <c r="M693" s="109"/>
      <c r="N693" s="110"/>
      <c r="O693" s="123"/>
      <c r="P693" s="109"/>
      <c r="Q693" s="109"/>
      <c r="R693" s="109"/>
      <c r="S693" s="109"/>
      <c r="T693" s="109"/>
      <c r="U693" s="381"/>
      <c r="V693" s="381"/>
      <c r="W693" s="381"/>
      <c r="X693" s="381"/>
      <c r="Y693" s="381"/>
      <c r="Z693" s="381"/>
      <c r="AA693" s="381"/>
      <c r="AB693" s="381"/>
      <c r="AC693" s="381"/>
    </row>
    <row r="694">
      <c r="A694" s="398"/>
      <c r="B694" s="91"/>
      <c r="C694" s="100"/>
      <c r="D694" s="399"/>
      <c r="E694" s="400"/>
      <c r="F694" s="95"/>
      <c r="G694" s="95"/>
      <c r="H694" s="95"/>
      <c r="I694" s="399"/>
      <c r="J694" s="97"/>
      <c r="K694" s="96"/>
      <c r="L694" s="99"/>
      <c r="M694" s="99"/>
      <c r="N694" s="100"/>
      <c r="O694" s="124"/>
      <c r="P694" s="99"/>
      <c r="Q694" s="99"/>
      <c r="R694" s="99"/>
      <c r="S694" s="99"/>
      <c r="T694" s="99"/>
      <c r="U694" s="381"/>
      <c r="V694" s="381"/>
      <c r="W694" s="381"/>
      <c r="X694" s="381"/>
      <c r="Y694" s="381"/>
      <c r="Z694" s="381"/>
      <c r="AA694" s="381"/>
      <c r="AB694" s="381"/>
      <c r="AC694" s="381"/>
    </row>
    <row r="695">
      <c r="A695" s="395"/>
      <c r="B695" s="102"/>
      <c r="C695" s="110"/>
      <c r="D695" s="396"/>
      <c r="E695" s="397"/>
      <c r="F695" s="106"/>
      <c r="G695" s="106"/>
      <c r="H695" s="106"/>
      <c r="I695" s="396"/>
      <c r="J695" s="108"/>
      <c r="K695" s="107"/>
      <c r="L695" s="109"/>
      <c r="M695" s="109"/>
      <c r="N695" s="110"/>
      <c r="O695" s="123"/>
      <c r="P695" s="109"/>
      <c r="Q695" s="109"/>
      <c r="R695" s="109"/>
      <c r="S695" s="109"/>
      <c r="T695" s="109"/>
      <c r="U695" s="381"/>
      <c r="V695" s="381"/>
      <c r="W695" s="381"/>
      <c r="X695" s="381"/>
      <c r="Y695" s="381"/>
      <c r="Z695" s="381"/>
      <c r="AA695" s="381"/>
      <c r="AB695" s="381"/>
      <c r="AC695" s="381"/>
    </row>
    <row r="696">
      <c r="A696" s="398"/>
      <c r="B696" s="91"/>
      <c r="C696" s="100"/>
      <c r="D696" s="399"/>
      <c r="E696" s="400"/>
      <c r="F696" s="95"/>
      <c r="G696" s="95"/>
      <c r="H696" s="95"/>
      <c r="I696" s="399"/>
      <c r="J696" s="97"/>
      <c r="K696" s="96"/>
      <c r="L696" s="99"/>
      <c r="M696" s="99"/>
      <c r="N696" s="100"/>
      <c r="O696" s="124"/>
      <c r="P696" s="99"/>
      <c r="Q696" s="99"/>
      <c r="R696" s="99"/>
      <c r="S696" s="99"/>
      <c r="T696" s="99"/>
      <c r="U696" s="381"/>
      <c r="V696" s="381"/>
      <c r="W696" s="381"/>
      <c r="X696" s="381"/>
      <c r="Y696" s="381"/>
      <c r="Z696" s="381"/>
      <c r="AA696" s="381"/>
      <c r="AB696" s="381"/>
      <c r="AC696" s="381"/>
    </row>
    <row r="697">
      <c r="A697" s="395"/>
      <c r="B697" s="102"/>
      <c r="C697" s="110"/>
      <c r="D697" s="396"/>
      <c r="E697" s="397"/>
      <c r="F697" s="106"/>
      <c r="G697" s="106"/>
      <c r="H697" s="106"/>
      <c r="I697" s="396"/>
      <c r="J697" s="108"/>
      <c r="K697" s="107"/>
      <c r="L697" s="109"/>
      <c r="M697" s="109"/>
      <c r="N697" s="110"/>
      <c r="O697" s="123"/>
      <c r="P697" s="109"/>
      <c r="Q697" s="109"/>
      <c r="R697" s="109"/>
      <c r="S697" s="109"/>
      <c r="T697" s="109"/>
      <c r="U697" s="381"/>
      <c r="V697" s="381"/>
      <c r="W697" s="381"/>
      <c r="X697" s="381"/>
      <c r="Y697" s="381"/>
      <c r="Z697" s="381"/>
      <c r="AA697" s="381"/>
      <c r="AB697" s="381"/>
      <c r="AC697" s="381"/>
    </row>
    <row r="698">
      <c r="A698" s="398"/>
      <c r="B698" s="91"/>
      <c r="C698" s="100"/>
      <c r="D698" s="399"/>
      <c r="E698" s="400"/>
      <c r="F698" s="95"/>
      <c r="G698" s="95"/>
      <c r="H698" s="95"/>
      <c r="I698" s="399"/>
      <c r="J698" s="97"/>
      <c r="K698" s="96"/>
      <c r="L698" s="99"/>
      <c r="M698" s="99"/>
      <c r="N698" s="100"/>
      <c r="O698" s="124"/>
      <c r="P698" s="99"/>
      <c r="Q698" s="99"/>
      <c r="R698" s="99"/>
      <c r="S698" s="99"/>
      <c r="T698" s="99"/>
      <c r="U698" s="381"/>
      <c r="V698" s="381"/>
      <c r="W698" s="381"/>
      <c r="X698" s="381"/>
      <c r="Y698" s="381"/>
      <c r="Z698" s="381"/>
      <c r="AA698" s="381"/>
      <c r="AB698" s="381"/>
      <c r="AC698" s="381"/>
    </row>
    <row r="699">
      <c r="A699" s="395"/>
      <c r="B699" s="102"/>
      <c r="C699" s="110"/>
      <c r="D699" s="396"/>
      <c r="E699" s="397"/>
      <c r="F699" s="106"/>
      <c r="G699" s="106"/>
      <c r="H699" s="106"/>
      <c r="I699" s="396"/>
      <c r="J699" s="108"/>
      <c r="K699" s="107"/>
      <c r="L699" s="109"/>
      <c r="M699" s="109"/>
      <c r="N699" s="110"/>
      <c r="O699" s="123"/>
      <c r="P699" s="109"/>
      <c r="Q699" s="109"/>
      <c r="R699" s="109"/>
      <c r="S699" s="109"/>
      <c r="T699" s="109"/>
      <c r="U699" s="381"/>
      <c r="V699" s="381"/>
      <c r="W699" s="381"/>
      <c r="X699" s="381"/>
      <c r="Y699" s="381"/>
      <c r="Z699" s="381"/>
      <c r="AA699" s="381"/>
      <c r="AB699" s="381"/>
      <c r="AC699" s="381"/>
    </row>
    <row r="700">
      <c r="A700" s="398"/>
      <c r="B700" s="91"/>
      <c r="C700" s="100"/>
      <c r="D700" s="399"/>
      <c r="E700" s="400"/>
      <c r="F700" s="95"/>
      <c r="G700" s="95"/>
      <c r="H700" s="95"/>
      <c r="I700" s="399"/>
      <c r="J700" s="97"/>
      <c r="K700" s="96"/>
      <c r="L700" s="99"/>
      <c r="M700" s="99"/>
      <c r="N700" s="100"/>
      <c r="O700" s="124"/>
      <c r="P700" s="99"/>
      <c r="Q700" s="99"/>
      <c r="R700" s="99"/>
      <c r="S700" s="99"/>
      <c r="T700" s="99"/>
      <c r="U700" s="381"/>
      <c r="V700" s="381"/>
      <c r="W700" s="381"/>
      <c r="X700" s="381"/>
      <c r="Y700" s="381"/>
      <c r="Z700" s="381"/>
      <c r="AA700" s="381"/>
      <c r="AB700" s="381"/>
      <c r="AC700" s="381"/>
    </row>
    <row r="701">
      <c r="A701" s="395"/>
      <c r="B701" s="102"/>
      <c r="C701" s="110"/>
      <c r="D701" s="396"/>
      <c r="E701" s="397"/>
      <c r="F701" s="106"/>
      <c r="G701" s="106"/>
      <c r="H701" s="106"/>
      <c r="I701" s="396"/>
      <c r="J701" s="108"/>
      <c r="K701" s="107"/>
      <c r="L701" s="109"/>
      <c r="M701" s="109"/>
      <c r="N701" s="110"/>
      <c r="O701" s="123"/>
      <c r="P701" s="109"/>
      <c r="Q701" s="109"/>
      <c r="R701" s="109"/>
      <c r="S701" s="109"/>
      <c r="T701" s="109"/>
      <c r="U701" s="381"/>
      <c r="V701" s="381"/>
      <c r="W701" s="381"/>
      <c r="X701" s="381"/>
      <c r="Y701" s="381"/>
      <c r="Z701" s="381"/>
      <c r="AA701" s="381"/>
      <c r="AB701" s="381"/>
      <c r="AC701" s="381"/>
    </row>
    <row r="702">
      <c r="A702" s="398"/>
      <c r="B702" s="91"/>
      <c r="C702" s="100"/>
      <c r="D702" s="399"/>
      <c r="E702" s="400"/>
      <c r="F702" s="95"/>
      <c r="G702" s="95"/>
      <c r="H702" s="95"/>
      <c r="I702" s="399"/>
      <c r="J702" s="97"/>
      <c r="K702" s="96"/>
      <c r="L702" s="99"/>
      <c r="M702" s="99"/>
      <c r="N702" s="100"/>
      <c r="O702" s="124"/>
      <c r="P702" s="99"/>
      <c r="Q702" s="99"/>
      <c r="R702" s="99"/>
      <c r="S702" s="99"/>
      <c r="T702" s="99"/>
      <c r="U702" s="381"/>
      <c r="V702" s="381"/>
      <c r="W702" s="381"/>
      <c r="X702" s="381"/>
      <c r="Y702" s="381"/>
      <c r="Z702" s="381"/>
      <c r="AA702" s="381"/>
      <c r="AB702" s="381"/>
      <c r="AC702" s="381"/>
    </row>
    <row r="703">
      <c r="A703" s="395"/>
      <c r="B703" s="102"/>
      <c r="C703" s="110"/>
      <c r="D703" s="396"/>
      <c r="E703" s="397"/>
      <c r="F703" s="106"/>
      <c r="G703" s="106"/>
      <c r="H703" s="106"/>
      <c r="I703" s="396"/>
      <c r="J703" s="108"/>
      <c r="K703" s="107"/>
      <c r="L703" s="109"/>
      <c r="M703" s="109"/>
      <c r="N703" s="110"/>
      <c r="O703" s="123"/>
      <c r="P703" s="109"/>
      <c r="Q703" s="109"/>
      <c r="R703" s="109"/>
      <c r="S703" s="109"/>
      <c r="T703" s="109"/>
      <c r="U703" s="381"/>
      <c r="V703" s="381"/>
      <c r="W703" s="381"/>
      <c r="X703" s="381"/>
      <c r="Y703" s="381"/>
      <c r="Z703" s="381"/>
      <c r="AA703" s="381"/>
      <c r="AB703" s="381"/>
      <c r="AC703" s="381"/>
    </row>
    <row r="704">
      <c r="A704" s="398"/>
      <c r="B704" s="91"/>
      <c r="C704" s="100"/>
      <c r="D704" s="399"/>
      <c r="E704" s="400"/>
      <c r="F704" s="95"/>
      <c r="G704" s="95"/>
      <c r="H704" s="95"/>
      <c r="I704" s="399"/>
      <c r="J704" s="97"/>
      <c r="K704" s="96"/>
      <c r="L704" s="99"/>
      <c r="M704" s="99"/>
      <c r="N704" s="100"/>
      <c r="O704" s="124"/>
      <c r="P704" s="99"/>
      <c r="Q704" s="99"/>
      <c r="R704" s="99"/>
      <c r="S704" s="99"/>
      <c r="T704" s="99"/>
      <c r="U704" s="381"/>
      <c r="V704" s="381"/>
      <c r="W704" s="381"/>
      <c r="X704" s="381"/>
      <c r="Y704" s="381"/>
      <c r="Z704" s="381"/>
      <c r="AA704" s="381"/>
      <c r="AB704" s="381"/>
      <c r="AC704" s="381"/>
    </row>
    <row r="705">
      <c r="A705" s="395"/>
      <c r="B705" s="102"/>
      <c r="C705" s="110"/>
      <c r="D705" s="396"/>
      <c r="E705" s="397"/>
      <c r="F705" s="106"/>
      <c r="G705" s="106"/>
      <c r="H705" s="106"/>
      <c r="I705" s="396"/>
      <c r="J705" s="108"/>
      <c r="K705" s="107"/>
      <c r="L705" s="109"/>
      <c r="M705" s="109"/>
      <c r="N705" s="110"/>
      <c r="O705" s="123"/>
      <c r="P705" s="109"/>
      <c r="Q705" s="109"/>
      <c r="R705" s="109"/>
      <c r="S705" s="109"/>
      <c r="T705" s="109"/>
      <c r="U705" s="381"/>
      <c r="V705" s="381"/>
      <c r="W705" s="381"/>
      <c r="X705" s="381"/>
      <c r="Y705" s="381"/>
      <c r="Z705" s="381"/>
      <c r="AA705" s="381"/>
      <c r="AB705" s="381"/>
      <c r="AC705" s="381"/>
    </row>
    <row r="706">
      <c r="A706" s="398"/>
      <c r="B706" s="91"/>
      <c r="C706" s="100"/>
      <c r="D706" s="399"/>
      <c r="E706" s="400"/>
      <c r="F706" s="95"/>
      <c r="G706" s="95"/>
      <c r="H706" s="95"/>
      <c r="I706" s="399"/>
      <c r="J706" s="97"/>
      <c r="K706" s="96"/>
      <c r="L706" s="99"/>
      <c r="M706" s="99"/>
      <c r="N706" s="100"/>
      <c r="O706" s="124"/>
      <c r="P706" s="99"/>
      <c r="Q706" s="99"/>
      <c r="R706" s="99"/>
      <c r="S706" s="99"/>
      <c r="T706" s="99"/>
      <c r="U706" s="381"/>
      <c r="V706" s="381"/>
      <c r="W706" s="381"/>
      <c r="X706" s="381"/>
      <c r="Y706" s="381"/>
      <c r="Z706" s="381"/>
      <c r="AA706" s="381"/>
      <c r="AB706" s="381"/>
      <c r="AC706" s="381"/>
    </row>
    <row r="707">
      <c r="A707" s="395"/>
      <c r="B707" s="102"/>
      <c r="C707" s="110"/>
      <c r="D707" s="396"/>
      <c r="E707" s="397"/>
      <c r="F707" s="106"/>
      <c r="G707" s="106"/>
      <c r="H707" s="106"/>
      <c r="I707" s="396"/>
      <c r="J707" s="108"/>
      <c r="K707" s="107"/>
      <c r="L707" s="109"/>
      <c r="M707" s="109"/>
      <c r="N707" s="110"/>
      <c r="O707" s="123"/>
      <c r="P707" s="109"/>
      <c r="Q707" s="109"/>
      <c r="R707" s="109"/>
      <c r="S707" s="109"/>
      <c r="T707" s="109"/>
      <c r="U707" s="381"/>
      <c r="V707" s="381"/>
      <c r="W707" s="381"/>
      <c r="X707" s="381"/>
      <c r="Y707" s="381"/>
      <c r="Z707" s="381"/>
      <c r="AA707" s="381"/>
      <c r="AB707" s="381"/>
      <c r="AC707" s="381"/>
    </row>
    <row r="708">
      <c r="A708" s="398"/>
      <c r="B708" s="91"/>
      <c r="C708" s="100"/>
      <c r="D708" s="399"/>
      <c r="E708" s="400"/>
      <c r="F708" s="95"/>
      <c r="G708" s="95"/>
      <c r="H708" s="95"/>
      <c r="I708" s="399"/>
      <c r="J708" s="97"/>
      <c r="K708" s="96"/>
      <c r="L708" s="99"/>
      <c r="M708" s="99"/>
      <c r="N708" s="100"/>
      <c r="O708" s="124"/>
      <c r="P708" s="99"/>
      <c r="Q708" s="99"/>
      <c r="R708" s="99"/>
      <c r="S708" s="99"/>
      <c r="T708" s="99"/>
      <c r="U708" s="381"/>
      <c r="V708" s="381"/>
      <c r="W708" s="381"/>
      <c r="X708" s="381"/>
      <c r="Y708" s="381"/>
      <c r="Z708" s="381"/>
      <c r="AA708" s="381"/>
      <c r="AB708" s="381"/>
      <c r="AC708" s="381"/>
    </row>
    <row r="709">
      <c r="A709" s="395"/>
      <c r="B709" s="102"/>
      <c r="C709" s="110"/>
      <c r="D709" s="396"/>
      <c r="E709" s="397"/>
      <c r="F709" s="106"/>
      <c r="G709" s="106"/>
      <c r="H709" s="106"/>
      <c r="I709" s="396"/>
      <c r="J709" s="108"/>
      <c r="K709" s="107"/>
      <c r="L709" s="109"/>
      <c r="M709" s="109"/>
      <c r="N709" s="110"/>
      <c r="O709" s="123"/>
      <c r="P709" s="109"/>
      <c r="Q709" s="109"/>
      <c r="R709" s="109"/>
      <c r="S709" s="109"/>
      <c r="T709" s="109"/>
      <c r="U709" s="381"/>
      <c r="V709" s="381"/>
      <c r="W709" s="381"/>
      <c r="X709" s="381"/>
      <c r="Y709" s="381"/>
      <c r="Z709" s="381"/>
      <c r="AA709" s="381"/>
      <c r="AB709" s="381"/>
      <c r="AC709" s="381"/>
    </row>
    <row r="710">
      <c r="A710" s="398"/>
      <c r="B710" s="91"/>
      <c r="C710" s="100"/>
      <c r="D710" s="399"/>
      <c r="E710" s="400"/>
      <c r="F710" s="95"/>
      <c r="G710" s="95"/>
      <c r="H710" s="95"/>
      <c r="I710" s="399"/>
      <c r="J710" s="97"/>
      <c r="K710" s="96"/>
      <c r="L710" s="99"/>
      <c r="M710" s="99"/>
      <c r="N710" s="100"/>
      <c r="O710" s="124"/>
      <c r="P710" s="99"/>
      <c r="Q710" s="99"/>
      <c r="R710" s="99"/>
      <c r="S710" s="99"/>
      <c r="T710" s="99"/>
      <c r="U710" s="381"/>
      <c r="V710" s="381"/>
      <c r="W710" s="381"/>
      <c r="X710" s="381"/>
      <c r="Y710" s="381"/>
      <c r="Z710" s="381"/>
      <c r="AA710" s="381"/>
      <c r="AB710" s="381"/>
      <c r="AC710" s="381"/>
    </row>
    <row r="711">
      <c r="A711" s="395"/>
      <c r="B711" s="102"/>
      <c r="C711" s="110"/>
      <c r="D711" s="396"/>
      <c r="E711" s="397"/>
      <c r="F711" s="106"/>
      <c r="G711" s="106"/>
      <c r="H711" s="106"/>
      <c r="I711" s="396"/>
      <c r="J711" s="108"/>
      <c r="K711" s="107"/>
      <c r="L711" s="109"/>
      <c r="M711" s="109"/>
      <c r="N711" s="110"/>
      <c r="O711" s="123"/>
      <c r="P711" s="109"/>
      <c r="Q711" s="109"/>
      <c r="R711" s="109"/>
      <c r="S711" s="109"/>
      <c r="T711" s="109"/>
      <c r="U711" s="381"/>
      <c r="V711" s="381"/>
      <c r="W711" s="381"/>
      <c r="X711" s="381"/>
      <c r="Y711" s="381"/>
      <c r="Z711" s="381"/>
      <c r="AA711" s="381"/>
      <c r="AB711" s="381"/>
      <c r="AC711" s="381"/>
    </row>
    <row r="712">
      <c r="A712" s="398"/>
      <c r="B712" s="91"/>
      <c r="C712" s="100"/>
      <c r="D712" s="399"/>
      <c r="E712" s="400"/>
      <c r="F712" s="95"/>
      <c r="G712" s="95"/>
      <c r="H712" s="95"/>
      <c r="I712" s="399"/>
      <c r="J712" s="97"/>
      <c r="K712" s="96"/>
      <c r="L712" s="99"/>
      <c r="M712" s="99"/>
      <c r="N712" s="100"/>
      <c r="O712" s="124"/>
      <c r="P712" s="99"/>
      <c r="Q712" s="99"/>
      <c r="R712" s="99"/>
      <c r="S712" s="99"/>
      <c r="T712" s="99"/>
      <c r="U712" s="381"/>
      <c r="V712" s="381"/>
      <c r="W712" s="381"/>
      <c r="X712" s="381"/>
      <c r="Y712" s="381"/>
      <c r="Z712" s="381"/>
      <c r="AA712" s="381"/>
      <c r="AB712" s="381"/>
      <c r="AC712" s="381"/>
    </row>
    <row r="713">
      <c r="A713" s="395"/>
      <c r="B713" s="102"/>
      <c r="C713" s="110"/>
      <c r="D713" s="396"/>
      <c r="E713" s="397"/>
      <c r="F713" s="106"/>
      <c r="G713" s="106"/>
      <c r="H713" s="106"/>
      <c r="I713" s="396"/>
      <c r="J713" s="108"/>
      <c r="K713" s="107"/>
      <c r="L713" s="109"/>
      <c r="M713" s="109"/>
      <c r="N713" s="110"/>
      <c r="O713" s="123"/>
      <c r="P713" s="109"/>
      <c r="Q713" s="109"/>
      <c r="R713" s="109"/>
      <c r="S713" s="109"/>
      <c r="T713" s="109"/>
      <c r="U713" s="381"/>
      <c r="V713" s="381"/>
      <c r="W713" s="381"/>
      <c r="X713" s="381"/>
      <c r="Y713" s="381"/>
      <c r="Z713" s="381"/>
      <c r="AA713" s="381"/>
      <c r="AB713" s="381"/>
      <c r="AC713" s="381"/>
    </row>
    <row r="714">
      <c r="A714" s="398"/>
      <c r="B714" s="91"/>
      <c r="C714" s="100"/>
      <c r="D714" s="399"/>
      <c r="E714" s="400"/>
      <c r="F714" s="95"/>
      <c r="G714" s="95"/>
      <c r="H714" s="95"/>
      <c r="I714" s="399"/>
      <c r="J714" s="97"/>
      <c r="K714" s="96"/>
      <c r="L714" s="99"/>
      <c r="M714" s="99"/>
      <c r="N714" s="100"/>
      <c r="O714" s="124"/>
      <c r="P714" s="99"/>
      <c r="Q714" s="99"/>
      <c r="R714" s="99"/>
      <c r="S714" s="99"/>
      <c r="T714" s="99"/>
      <c r="U714" s="381"/>
      <c r="V714" s="381"/>
      <c r="W714" s="381"/>
      <c r="X714" s="381"/>
      <c r="Y714" s="381"/>
      <c r="Z714" s="381"/>
      <c r="AA714" s="381"/>
      <c r="AB714" s="381"/>
      <c r="AC714" s="381"/>
    </row>
    <row r="715">
      <c r="A715" s="395"/>
      <c r="B715" s="102"/>
      <c r="C715" s="110"/>
      <c r="D715" s="396"/>
      <c r="E715" s="397"/>
      <c r="F715" s="106"/>
      <c r="G715" s="106"/>
      <c r="H715" s="106"/>
      <c r="I715" s="396"/>
      <c r="J715" s="108"/>
      <c r="K715" s="107"/>
      <c r="L715" s="109"/>
      <c r="M715" s="109"/>
      <c r="N715" s="110"/>
      <c r="O715" s="123"/>
      <c r="P715" s="109"/>
      <c r="Q715" s="109"/>
      <c r="R715" s="109"/>
      <c r="S715" s="109"/>
      <c r="T715" s="109"/>
      <c r="U715" s="381"/>
      <c r="V715" s="381"/>
      <c r="W715" s="381"/>
      <c r="X715" s="381"/>
      <c r="Y715" s="381"/>
      <c r="Z715" s="381"/>
      <c r="AA715" s="381"/>
      <c r="AB715" s="381"/>
      <c r="AC715" s="381"/>
    </row>
    <row r="716">
      <c r="A716" s="398"/>
      <c r="B716" s="91"/>
      <c r="C716" s="100"/>
      <c r="D716" s="399"/>
      <c r="E716" s="400"/>
      <c r="F716" s="95"/>
      <c r="G716" s="95"/>
      <c r="H716" s="95"/>
      <c r="I716" s="399"/>
      <c r="J716" s="97"/>
      <c r="K716" s="96"/>
      <c r="L716" s="99"/>
      <c r="M716" s="99"/>
      <c r="N716" s="100"/>
      <c r="O716" s="124"/>
      <c r="P716" s="99"/>
      <c r="Q716" s="99"/>
      <c r="R716" s="99"/>
      <c r="S716" s="99"/>
      <c r="T716" s="99"/>
      <c r="U716" s="381"/>
      <c r="V716" s="381"/>
      <c r="W716" s="381"/>
      <c r="X716" s="381"/>
      <c r="Y716" s="381"/>
      <c r="Z716" s="381"/>
      <c r="AA716" s="381"/>
      <c r="AB716" s="381"/>
      <c r="AC716" s="381"/>
    </row>
    <row r="717">
      <c r="A717" s="395"/>
      <c r="B717" s="102"/>
      <c r="C717" s="110"/>
      <c r="D717" s="396"/>
      <c r="E717" s="397"/>
      <c r="F717" s="106"/>
      <c r="G717" s="106"/>
      <c r="H717" s="106"/>
      <c r="I717" s="396"/>
      <c r="J717" s="108"/>
      <c r="K717" s="107"/>
      <c r="L717" s="109"/>
      <c r="M717" s="109"/>
      <c r="N717" s="110"/>
      <c r="O717" s="123"/>
      <c r="P717" s="109"/>
      <c r="Q717" s="109"/>
      <c r="R717" s="109"/>
      <c r="S717" s="109"/>
      <c r="T717" s="109"/>
      <c r="U717" s="381"/>
      <c r="V717" s="381"/>
      <c r="W717" s="381"/>
      <c r="X717" s="381"/>
      <c r="Y717" s="381"/>
      <c r="Z717" s="381"/>
      <c r="AA717" s="381"/>
      <c r="AB717" s="381"/>
      <c r="AC717" s="381"/>
    </row>
    <row r="718">
      <c r="A718" s="398"/>
      <c r="B718" s="91"/>
      <c r="C718" s="100"/>
      <c r="D718" s="399"/>
      <c r="E718" s="400"/>
      <c r="F718" s="95"/>
      <c r="G718" s="95"/>
      <c r="H718" s="95"/>
      <c r="I718" s="399"/>
      <c r="J718" s="97"/>
      <c r="K718" s="96"/>
      <c r="L718" s="99"/>
      <c r="M718" s="99"/>
      <c r="N718" s="100"/>
      <c r="O718" s="124"/>
      <c r="P718" s="99"/>
      <c r="Q718" s="99"/>
      <c r="R718" s="99"/>
      <c r="S718" s="99"/>
      <c r="T718" s="99"/>
      <c r="U718" s="381"/>
      <c r="V718" s="381"/>
      <c r="W718" s="381"/>
      <c r="X718" s="381"/>
      <c r="Y718" s="381"/>
      <c r="Z718" s="381"/>
      <c r="AA718" s="381"/>
      <c r="AB718" s="381"/>
      <c r="AC718" s="381"/>
    </row>
    <row r="719">
      <c r="A719" s="395"/>
      <c r="B719" s="102"/>
      <c r="C719" s="110"/>
      <c r="D719" s="396"/>
      <c r="E719" s="397"/>
      <c r="F719" s="106"/>
      <c r="G719" s="106"/>
      <c r="H719" s="106"/>
      <c r="I719" s="396"/>
      <c r="J719" s="108"/>
      <c r="K719" s="107"/>
      <c r="L719" s="109"/>
      <c r="M719" s="109"/>
      <c r="N719" s="110"/>
      <c r="O719" s="123"/>
      <c r="P719" s="109"/>
      <c r="Q719" s="109"/>
      <c r="R719" s="109"/>
      <c r="S719" s="109"/>
      <c r="T719" s="109"/>
      <c r="U719" s="381"/>
      <c r="V719" s="381"/>
      <c r="W719" s="381"/>
      <c r="X719" s="381"/>
      <c r="Y719" s="381"/>
      <c r="Z719" s="381"/>
      <c r="AA719" s="381"/>
      <c r="AB719" s="381"/>
      <c r="AC719" s="381"/>
    </row>
    <row r="720">
      <c r="A720" s="398"/>
      <c r="B720" s="91"/>
      <c r="C720" s="100"/>
      <c r="D720" s="399"/>
      <c r="E720" s="400"/>
      <c r="F720" s="95"/>
      <c r="G720" s="95"/>
      <c r="H720" s="95"/>
      <c r="I720" s="399"/>
      <c r="J720" s="97"/>
      <c r="K720" s="96"/>
      <c r="L720" s="99"/>
      <c r="M720" s="99"/>
      <c r="N720" s="100"/>
      <c r="O720" s="124"/>
      <c r="P720" s="99"/>
      <c r="Q720" s="99"/>
      <c r="R720" s="99"/>
      <c r="S720" s="99"/>
      <c r="T720" s="99"/>
      <c r="U720" s="381"/>
      <c r="V720" s="381"/>
      <c r="W720" s="381"/>
      <c r="X720" s="381"/>
      <c r="Y720" s="381"/>
      <c r="Z720" s="381"/>
      <c r="AA720" s="381"/>
      <c r="AB720" s="381"/>
      <c r="AC720" s="381"/>
    </row>
    <row r="721">
      <c r="A721" s="395"/>
      <c r="B721" s="102"/>
      <c r="C721" s="110"/>
      <c r="D721" s="396"/>
      <c r="E721" s="397"/>
      <c r="F721" s="106"/>
      <c r="G721" s="106"/>
      <c r="H721" s="106"/>
      <c r="I721" s="396"/>
      <c r="J721" s="108"/>
      <c r="K721" s="107"/>
      <c r="L721" s="109"/>
      <c r="M721" s="109"/>
      <c r="N721" s="110"/>
      <c r="O721" s="123"/>
      <c r="P721" s="109"/>
      <c r="Q721" s="109"/>
      <c r="R721" s="109"/>
      <c r="S721" s="109"/>
      <c r="T721" s="109"/>
      <c r="U721" s="381"/>
      <c r="V721" s="381"/>
      <c r="W721" s="381"/>
      <c r="X721" s="381"/>
      <c r="Y721" s="381"/>
      <c r="Z721" s="381"/>
      <c r="AA721" s="381"/>
      <c r="AB721" s="381"/>
      <c r="AC721" s="381"/>
    </row>
    <row r="722">
      <c r="A722" s="398"/>
      <c r="B722" s="91"/>
      <c r="C722" s="100"/>
      <c r="D722" s="399"/>
      <c r="E722" s="400"/>
      <c r="F722" s="95"/>
      <c r="G722" s="95"/>
      <c r="H722" s="95"/>
      <c r="I722" s="399"/>
      <c r="J722" s="97"/>
      <c r="K722" s="96"/>
      <c r="L722" s="99"/>
      <c r="M722" s="99"/>
      <c r="N722" s="100"/>
      <c r="O722" s="124"/>
      <c r="P722" s="99"/>
      <c r="Q722" s="99"/>
      <c r="R722" s="99"/>
      <c r="S722" s="99"/>
      <c r="T722" s="99"/>
      <c r="U722" s="381"/>
      <c r="V722" s="381"/>
      <c r="W722" s="381"/>
      <c r="X722" s="381"/>
      <c r="Y722" s="381"/>
      <c r="Z722" s="381"/>
      <c r="AA722" s="381"/>
      <c r="AB722" s="381"/>
      <c r="AC722" s="381"/>
    </row>
    <row r="723">
      <c r="A723" s="395"/>
      <c r="B723" s="102"/>
      <c r="C723" s="110"/>
      <c r="D723" s="396"/>
      <c r="E723" s="397"/>
      <c r="F723" s="106"/>
      <c r="G723" s="106"/>
      <c r="H723" s="106"/>
      <c r="I723" s="396"/>
      <c r="J723" s="108"/>
      <c r="K723" s="107"/>
      <c r="L723" s="109"/>
      <c r="M723" s="109"/>
      <c r="N723" s="110"/>
      <c r="O723" s="123"/>
      <c r="P723" s="109"/>
      <c r="Q723" s="109"/>
      <c r="R723" s="109"/>
      <c r="S723" s="109"/>
      <c r="T723" s="109"/>
      <c r="U723" s="381"/>
      <c r="V723" s="381"/>
      <c r="W723" s="381"/>
      <c r="X723" s="381"/>
      <c r="Y723" s="381"/>
      <c r="Z723" s="381"/>
      <c r="AA723" s="381"/>
      <c r="AB723" s="381"/>
      <c r="AC723" s="381"/>
    </row>
    <row r="724">
      <c r="A724" s="398"/>
      <c r="B724" s="91"/>
      <c r="C724" s="100"/>
      <c r="D724" s="399"/>
      <c r="E724" s="400"/>
      <c r="F724" s="95"/>
      <c r="G724" s="95"/>
      <c r="H724" s="95"/>
      <c r="I724" s="399"/>
      <c r="J724" s="97"/>
      <c r="K724" s="96"/>
      <c r="L724" s="99"/>
      <c r="M724" s="99"/>
      <c r="N724" s="100"/>
      <c r="O724" s="124"/>
      <c r="P724" s="99"/>
      <c r="Q724" s="99"/>
      <c r="R724" s="99"/>
      <c r="S724" s="99"/>
      <c r="T724" s="99"/>
      <c r="U724" s="381"/>
      <c r="V724" s="381"/>
      <c r="W724" s="381"/>
      <c r="X724" s="381"/>
      <c r="Y724" s="381"/>
      <c r="Z724" s="381"/>
      <c r="AA724" s="381"/>
      <c r="AB724" s="381"/>
      <c r="AC724" s="381"/>
    </row>
    <row r="725">
      <c r="A725" s="395"/>
      <c r="B725" s="102"/>
      <c r="C725" s="110"/>
      <c r="D725" s="396"/>
      <c r="E725" s="397"/>
      <c r="F725" s="106"/>
      <c r="G725" s="106"/>
      <c r="H725" s="106"/>
      <c r="I725" s="396"/>
      <c r="J725" s="108"/>
      <c r="K725" s="107"/>
      <c r="L725" s="109"/>
      <c r="M725" s="109"/>
      <c r="N725" s="110"/>
      <c r="O725" s="123"/>
      <c r="P725" s="109"/>
      <c r="Q725" s="109"/>
      <c r="R725" s="109"/>
      <c r="S725" s="109"/>
      <c r="T725" s="109"/>
      <c r="U725" s="381"/>
      <c r="V725" s="381"/>
      <c r="W725" s="381"/>
      <c r="X725" s="381"/>
      <c r="Y725" s="381"/>
      <c r="Z725" s="381"/>
      <c r="AA725" s="381"/>
      <c r="AB725" s="381"/>
      <c r="AC725" s="381"/>
    </row>
    <row r="726">
      <c r="A726" s="398"/>
      <c r="B726" s="91"/>
      <c r="C726" s="100"/>
      <c r="D726" s="399"/>
      <c r="E726" s="400"/>
      <c r="F726" s="95"/>
      <c r="G726" s="95"/>
      <c r="H726" s="95"/>
      <c r="I726" s="399"/>
      <c r="J726" s="97"/>
      <c r="K726" s="96"/>
      <c r="L726" s="99"/>
      <c r="M726" s="99"/>
      <c r="N726" s="100"/>
      <c r="O726" s="124"/>
      <c r="P726" s="99"/>
      <c r="Q726" s="99"/>
      <c r="R726" s="99"/>
      <c r="S726" s="99"/>
      <c r="T726" s="99"/>
      <c r="U726" s="381"/>
      <c r="V726" s="381"/>
      <c r="W726" s="381"/>
      <c r="X726" s="381"/>
      <c r="Y726" s="381"/>
      <c r="Z726" s="381"/>
      <c r="AA726" s="381"/>
      <c r="AB726" s="381"/>
      <c r="AC726" s="381"/>
    </row>
    <row r="727">
      <c r="A727" s="395"/>
      <c r="B727" s="102"/>
      <c r="C727" s="110"/>
      <c r="D727" s="396"/>
      <c r="E727" s="397"/>
      <c r="F727" s="106"/>
      <c r="G727" s="106"/>
      <c r="H727" s="106"/>
      <c r="I727" s="396"/>
      <c r="J727" s="108"/>
      <c r="K727" s="107"/>
      <c r="L727" s="109"/>
      <c r="M727" s="109"/>
      <c r="N727" s="110"/>
      <c r="O727" s="123"/>
      <c r="P727" s="109"/>
      <c r="Q727" s="109"/>
      <c r="R727" s="109"/>
      <c r="S727" s="109"/>
      <c r="T727" s="109"/>
      <c r="U727" s="381"/>
      <c r="V727" s="381"/>
      <c r="W727" s="381"/>
      <c r="X727" s="381"/>
      <c r="Y727" s="381"/>
      <c r="Z727" s="381"/>
      <c r="AA727" s="381"/>
      <c r="AB727" s="381"/>
      <c r="AC727" s="381"/>
    </row>
    <row r="728">
      <c r="A728" s="398"/>
      <c r="B728" s="91"/>
      <c r="C728" s="100"/>
      <c r="D728" s="399"/>
      <c r="E728" s="400"/>
      <c r="F728" s="95"/>
      <c r="G728" s="95"/>
      <c r="H728" s="95"/>
      <c r="I728" s="399"/>
      <c r="J728" s="97"/>
      <c r="K728" s="96"/>
      <c r="L728" s="99"/>
      <c r="M728" s="99"/>
      <c r="N728" s="100"/>
      <c r="O728" s="124"/>
      <c r="P728" s="99"/>
      <c r="Q728" s="99"/>
      <c r="R728" s="99"/>
      <c r="S728" s="99"/>
      <c r="T728" s="99"/>
      <c r="U728" s="381"/>
      <c r="V728" s="381"/>
      <c r="W728" s="381"/>
      <c r="X728" s="381"/>
      <c r="Y728" s="381"/>
      <c r="Z728" s="381"/>
      <c r="AA728" s="381"/>
      <c r="AB728" s="381"/>
      <c r="AC728" s="381"/>
    </row>
    <row r="729">
      <c r="A729" s="395"/>
      <c r="B729" s="102"/>
      <c r="C729" s="110"/>
      <c r="D729" s="396"/>
      <c r="E729" s="397"/>
      <c r="F729" s="106"/>
      <c r="G729" s="106"/>
      <c r="H729" s="106"/>
      <c r="I729" s="396"/>
      <c r="J729" s="108"/>
      <c r="K729" s="107"/>
      <c r="L729" s="109"/>
      <c r="M729" s="109"/>
      <c r="N729" s="110"/>
      <c r="O729" s="123"/>
      <c r="P729" s="109"/>
      <c r="Q729" s="109"/>
      <c r="R729" s="109"/>
      <c r="S729" s="109"/>
      <c r="T729" s="109"/>
      <c r="U729" s="381"/>
      <c r="V729" s="381"/>
      <c r="W729" s="381"/>
      <c r="X729" s="381"/>
      <c r="Y729" s="381"/>
      <c r="Z729" s="381"/>
      <c r="AA729" s="381"/>
      <c r="AB729" s="381"/>
      <c r="AC729" s="381"/>
    </row>
    <row r="730">
      <c r="A730" s="398"/>
      <c r="B730" s="91"/>
      <c r="C730" s="100"/>
      <c r="D730" s="399"/>
      <c r="E730" s="400"/>
      <c r="F730" s="95"/>
      <c r="G730" s="95"/>
      <c r="H730" s="95"/>
      <c r="I730" s="399"/>
      <c r="J730" s="97"/>
      <c r="K730" s="96"/>
      <c r="L730" s="99"/>
      <c r="M730" s="99"/>
      <c r="N730" s="100"/>
      <c r="O730" s="124"/>
      <c r="P730" s="99"/>
      <c r="Q730" s="99"/>
      <c r="R730" s="99"/>
      <c r="S730" s="99"/>
      <c r="T730" s="99"/>
      <c r="U730" s="381"/>
      <c r="V730" s="381"/>
      <c r="W730" s="381"/>
      <c r="X730" s="381"/>
      <c r="Y730" s="381"/>
      <c r="Z730" s="381"/>
      <c r="AA730" s="381"/>
      <c r="AB730" s="381"/>
      <c r="AC730" s="381"/>
    </row>
    <row r="731">
      <c r="A731" s="395"/>
      <c r="B731" s="102"/>
      <c r="C731" s="110"/>
      <c r="D731" s="396"/>
      <c r="E731" s="397"/>
      <c r="F731" s="106"/>
      <c r="G731" s="106"/>
      <c r="H731" s="106"/>
      <c r="I731" s="396"/>
      <c r="J731" s="108"/>
      <c r="K731" s="107"/>
      <c r="L731" s="109"/>
      <c r="M731" s="109"/>
      <c r="N731" s="110"/>
      <c r="O731" s="123"/>
      <c r="P731" s="109"/>
      <c r="Q731" s="109"/>
      <c r="R731" s="109"/>
      <c r="S731" s="109"/>
      <c r="T731" s="109"/>
      <c r="U731" s="381"/>
      <c r="V731" s="381"/>
      <c r="W731" s="381"/>
      <c r="X731" s="381"/>
      <c r="Y731" s="381"/>
      <c r="Z731" s="381"/>
      <c r="AA731" s="381"/>
      <c r="AB731" s="381"/>
      <c r="AC731" s="381"/>
    </row>
    <row r="732">
      <c r="A732" s="398"/>
      <c r="B732" s="91"/>
      <c r="C732" s="100"/>
      <c r="D732" s="399"/>
      <c r="E732" s="400"/>
      <c r="F732" s="95"/>
      <c r="G732" s="95"/>
      <c r="H732" s="95"/>
      <c r="I732" s="399"/>
      <c r="J732" s="97"/>
      <c r="K732" s="96"/>
      <c r="L732" s="99"/>
      <c r="M732" s="99"/>
      <c r="N732" s="100"/>
      <c r="O732" s="124"/>
      <c r="P732" s="99"/>
      <c r="Q732" s="99"/>
      <c r="R732" s="99"/>
      <c r="S732" s="99"/>
      <c r="T732" s="99"/>
      <c r="U732" s="381"/>
      <c r="V732" s="381"/>
      <c r="W732" s="381"/>
      <c r="X732" s="381"/>
      <c r="Y732" s="381"/>
      <c r="Z732" s="381"/>
      <c r="AA732" s="381"/>
      <c r="AB732" s="381"/>
      <c r="AC732" s="381"/>
    </row>
    <row r="733">
      <c r="A733" s="395"/>
      <c r="B733" s="102"/>
      <c r="C733" s="110"/>
      <c r="D733" s="396"/>
      <c r="E733" s="397"/>
      <c r="F733" s="106"/>
      <c r="G733" s="106"/>
      <c r="H733" s="106"/>
      <c r="I733" s="396"/>
      <c r="J733" s="108"/>
      <c r="K733" s="107"/>
      <c r="L733" s="109"/>
      <c r="M733" s="109"/>
      <c r="N733" s="110"/>
      <c r="O733" s="123"/>
      <c r="P733" s="109"/>
      <c r="Q733" s="109"/>
      <c r="R733" s="109"/>
      <c r="S733" s="109"/>
      <c r="T733" s="109"/>
      <c r="U733" s="381"/>
      <c r="V733" s="381"/>
      <c r="W733" s="381"/>
      <c r="X733" s="381"/>
      <c r="Y733" s="381"/>
      <c r="Z733" s="381"/>
      <c r="AA733" s="381"/>
      <c r="AB733" s="381"/>
      <c r="AC733" s="381"/>
    </row>
    <row r="734">
      <c r="A734" s="398"/>
      <c r="B734" s="91"/>
      <c r="C734" s="100"/>
      <c r="D734" s="399"/>
      <c r="E734" s="400"/>
      <c r="F734" s="95"/>
      <c r="G734" s="95"/>
      <c r="H734" s="95"/>
      <c r="I734" s="399"/>
      <c r="J734" s="97"/>
      <c r="K734" s="96"/>
      <c r="L734" s="99"/>
      <c r="M734" s="99"/>
      <c r="N734" s="100"/>
      <c r="O734" s="124"/>
      <c r="P734" s="99"/>
      <c r="Q734" s="99"/>
      <c r="R734" s="99"/>
      <c r="S734" s="99"/>
      <c r="T734" s="99"/>
      <c r="U734" s="381"/>
      <c r="V734" s="381"/>
      <c r="W734" s="381"/>
      <c r="X734" s="381"/>
      <c r="Y734" s="381"/>
      <c r="Z734" s="381"/>
      <c r="AA734" s="381"/>
      <c r="AB734" s="381"/>
      <c r="AC734" s="381"/>
    </row>
    <row r="735">
      <c r="A735" s="395"/>
      <c r="B735" s="102"/>
      <c r="C735" s="110"/>
      <c r="D735" s="396"/>
      <c r="E735" s="397"/>
      <c r="F735" s="106"/>
      <c r="G735" s="106"/>
      <c r="H735" s="106"/>
      <c r="I735" s="396"/>
      <c r="J735" s="108"/>
      <c r="K735" s="107"/>
      <c r="L735" s="109"/>
      <c r="M735" s="109"/>
      <c r="N735" s="110"/>
      <c r="O735" s="123"/>
      <c r="P735" s="109"/>
      <c r="Q735" s="109"/>
      <c r="R735" s="109"/>
      <c r="S735" s="109"/>
      <c r="T735" s="109"/>
      <c r="U735" s="381"/>
      <c r="V735" s="381"/>
      <c r="W735" s="381"/>
      <c r="X735" s="381"/>
      <c r="Y735" s="381"/>
      <c r="Z735" s="381"/>
      <c r="AA735" s="381"/>
      <c r="AB735" s="381"/>
      <c r="AC735" s="381"/>
    </row>
    <row r="736">
      <c r="A736" s="398"/>
      <c r="B736" s="91"/>
      <c r="C736" s="100"/>
      <c r="D736" s="399"/>
      <c r="E736" s="400"/>
      <c r="F736" s="95"/>
      <c r="G736" s="95"/>
      <c r="H736" s="95"/>
      <c r="I736" s="399"/>
      <c r="J736" s="97"/>
      <c r="K736" s="96"/>
      <c r="L736" s="99"/>
      <c r="M736" s="99"/>
      <c r="N736" s="100"/>
      <c r="O736" s="124"/>
      <c r="P736" s="99"/>
      <c r="Q736" s="99"/>
      <c r="R736" s="99"/>
      <c r="S736" s="99"/>
      <c r="T736" s="99"/>
      <c r="U736" s="381"/>
      <c r="V736" s="381"/>
      <c r="W736" s="381"/>
      <c r="X736" s="381"/>
      <c r="Y736" s="381"/>
      <c r="Z736" s="381"/>
      <c r="AA736" s="381"/>
      <c r="AB736" s="381"/>
      <c r="AC736" s="381"/>
    </row>
    <row r="737">
      <c r="A737" s="395"/>
      <c r="B737" s="102"/>
      <c r="C737" s="110"/>
      <c r="D737" s="396"/>
      <c r="E737" s="397"/>
      <c r="F737" s="106"/>
      <c r="G737" s="106"/>
      <c r="H737" s="106"/>
      <c r="I737" s="396"/>
      <c r="J737" s="108"/>
      <c r="K737" s="107"/>
      <c r="L737" s="109"/>
      <c r="M737" s="109"/>
      <c r="N737" s="110"/>
      <c r="O737" s="123"/>
      <c r="P737" s="109"/>
      <c r="Q737" s="109"/>
      <c r="R737" s="109"/>
      <c r="S737" s="109"/>
      <c r="T737" s="109"/>
      <c r="U737" s="381"/>
      <c r="V737" s="381"/>
      <c r="W737" s="381"/>
      <c r="X737" s="381"/>
      <c r="Y737" s="381"/>
      <c r="Z737" s="381"/>
      <c r="AA737" s="381"/>
      <c r="AB737" s="381"/>
      <c r="AC737" s="381"/>
    </row>
    <row r="738">
      <c r="A738" s="398"/>
      <c r="B738" s="91"/>
      <c r="C738" s="100"/>
      <c r="D738" s="399"/>
      <c r="E738" s="400"/>
      <c r="F738" s="95"/>
      <c r="G738" s="95"/>
      <c r="H738" s="95"/>
      <c r="I738" s="399"/>
      <c r="J738" s="97"/>
      <c r="K738" s="96"/>
      <c r="L738" s="99"/>
      <c r="M738" s="99"/>
      <c r="N738" s="100"/>
      <c r="O738" s="124"/>
      <c r="P738" s="99"/>
      <c r="Q738" s="99"/>
      <c r="R738" s="99"/>
      <c r="S738" s="99"/>
      <c r="T738" s="99"/>
      <c r="U738" s="381"/>
      <c r="V738" s="381"/>
      <c r="W738" s="381"/>
      <c r="X738" s="381"/>
      <c r="Y738" s="381"/>
      <c r="Z738" s="381"/>
      <c r="AA738" s="381"/>
      <c r="AB738" s="381"/>
      <c r="AC738" s="381"/>
    </row>
    <row r="739">
      <c r="A739" s="395"/>
      <c r="B739" s="102"/>
      <c r="C739" s="110"/>
      <c r="D739" s="396"/>
      <c r="E739" s="397"/>
      <c r="F739" s="106"/>
      <c r="G739" s="106"/>
      <c r="H739" s="106"/>
      <c r="I739" s="396"/>
      <c r="J739" s="108"/>
      <c r="K739" s="107"/>
      <c r="L739" s="109"/>
      <c r="M739" s="109"/>
      <c r="N739" s="110"/>
      <c r="O739" s="123"/>
      <c r="P739" s="109"/>
      <c r="Q739" s="109"/>
      <c r="R739" s="109"/>
      <c r="S739" s="109"/>
      <c r="T739" s="109"/>
      <c r="U739" s="381"/>
      <c r="V739" s="381"/>
      <c r="W739" s="381"/>
      <c r="X739" s="381"/>
      <c r="Y739" s="381"/>
      <c r="Z739" s="381"/>
      <c r="AA739" s="381"/>
      <c r="AB739" s="381"/>
      <c r="AC739" s="381"/>
    </row>
    <row r="740">
      <c r="A740" s="398"/>
      <c r="B740" s="91"/>
      <c r="C740" s="100"/>
      <c r="D740" s="399"/>
      <c r="E740" s="400"/>
      <c r="F740" s="95"/>
      <c r="G740" s="95"/>
      <c r="H740" s="95"/>
      <c r="I740" s="399"/>
      <c r="J740" s="97"/>
      <c r="K740" s="96"/>
      <c r="L740" s="99"/>
      <c r="M740" s="99"/>
      <c r="N740" s="100"/>
      <c r="O740" s="124"/>
      <c r="P740" s="99"/>
      <c r="Q740" s="99"/>
      <c r="R740" s="99"/>
      <c r="S740" s="99"/>
      <c r="T740" s="99"/>
      <c r="U740" s="381"/>
      <c r="V740" s="381"/>
      <c r="W740" s="381"/>
      <c r="X740" s="381"/>
      <c r="Y740" s="381"/>
      <c r="Z740" s="381"/>
      <c r="AA740" s="381"/>
      <c r="AB740" s="381"/>
      <c r="AC740" s="381"/>
    </row>
    <row r="741">
      <c r="A741" s="395"/>
      <c r="B741" s="102"/>
      <c r="C741" s="110"/>
      <c r="D741" s="396"/>
      <c r="E741" s="397"/>
      <c r="F741" s="106"/>
      <c r="G741" s="106"/>
      <c r="H741" s="106"/>
      <c r="I741" s="396"/>
      <c r="J741" s="108"/>
      <c r="K741" s="107"/>
      <c r="L741" s="109"/>
      <c r="M741" s="109"/>
      <c r="N741" s="110"/>
      <c r="O741" s="123"/>
      <c r="P741" s="109"/>
      <c r="Q741" s="109"/>
      <c r="R741" s="109"/>
      <c r="S741" s="109"/>
      <c r="T741" s="109"/>
      <c r="U741" s="381"/>
      <c r="V741" s="381"/>
      <c r="W741" s="381"/>
      <c r="X741" s="381"/>
      <c r="Y741" s="381"/>
      <c r="Z741" s="381"/>
      <c r="AA741" s="381"/>
      <c r="AB741" s="381"/>
      <c r="AC741" s="381"/>
    </row>
    <row r="742">
      <c r="A742" s="398"/>
      <c r="B742" s="91"/>
      <c r="C742" s="100"/>
      <c r="D742" s="399"/>
      <c r="E742" s="400"/>
      <c r="F742" s="95"/>
      <c r="G742" s="95"/>
      <c r="H742" s="95"/>
      <c r="I742" s="399"/>
      <c r="J742" s="97"/>
      <c r="K742" s="96"/>
      <c r="L742" s="99"/>
      <c r="M742" s="99"/>
      <c r="N742" s="100"/>
      <c r="O742" s="124"/>
      <c r="P742" s="99"/>
      <c r="Q742" s="99"/>
      <c r="R742" s="99"/>
      <c r="S742" s="99"/>
      <c r="T742" s="99"/>
      <c r="U742" s="381"/>
      <c r="V742" s="381"/>
      <c r="W742" s="381"/>
      <c r="X742" s="381"/>
      <c r="Y742" s="381"/>
      <c r="Z742" s="381"/>
      <c r="AA742" s="381"/>
      <c r="AB742" s="381"/>
      <c r="AC742" s="381"/>
    </row>
    <row r="743">
      <c r="A743" s="395"/>
      <c r="B743" s="102"/>
      <c r="C743" s="110"/>
      <c r="D743" s="396"/>
      <c r="E743" s="397"/>
      <c r="F743" s="106"/>
      <c r="G743" s="106"/>
      <c r="H743" s="106"/>
      <c r="I743" s="396"/>
      <c r="J743" s="108"/>
      <c r="K743" s="107"/>
      <c r="L743" s="109"/>
      <c r="M743" s="109"/>
      <c r="N743" s="110"/>
      <c r="O743" s="123"/>
      <c r="P743" s="109"/>
      <c r="Q743" s="109"/>
      <c r="R743" s="109"/>
      <c r="S743" s="109"/>
      <c r="T743" s="109"/>
      <c r="U743" s="381"/>
      <c r="V743" s="381"/>
      <c r="W743" s="381"/>
      <c r="X743" s="381"/>
      <c r="Y743" s="381"/>
      <c r="Z743" s="381"/>
      <c r="AA743" s="381"/>
      <c r="AB743" s="381"/>
      <c r="AC743" s="381"/>
    </row>
    <row r="744">
      <c r="A744" s="398"/>
      <c r="B744" s="91"/>
      <c r="C744" s="100"/>
      <c r="D744" s="399"/>
      <c r="E744" s="400"/>
      <c r="F744" s="95"/>
      <c r="G744" s="95"/>
      <c r="H744" s="95"/>
      <c r="I744" s="399"/>
      <c r="J744" s="97"/>
      <c r="K744" s="96"/>
      <c r="L744" s="99"/>
      <c r="M744" s="99"/>
      <c r="N744" s="100"/>
      <c r="O744" s="124"/>
      <c r="P744" s="99"/>
      <c r="Q744" s="99"/>
      <c r="R744" s="99"/>
      <c r="S744" s="99"/>
      <c r="T744" s="99"/>
      <c r="U744" s="381"/>
      <c r="V744" s="381"/>
      <c r="W744" s="381"/>
      <c r="X744" s="381"/>
      <c r="Y744" s="381"/>
      <c r="Z744" s="381"/>
      <c r="AA744" s="381"/>
      <c r="AB744" s="381"/>
      <c r="AC744" s="381"/>
    </row>
    <row r="745">
      <c r="A745" s="395"/>
      <c r="B745" s="102"/>
      <c r="C745" s="110"/>
      <c r="D745" s="396"/>
      <c r="E745" s="397"/>
      <c r="F745" s="106"/>
      <c r="G745" s="106"/>
      <c r="H745" s="106"/>
      <c r="I745" s="396"/>
      <c r="J745" s="108"/>
      <c r="K745" s="107"/>
      <c r="L745" s="109"/>
      <c r="M745" s="109"/>
      <c r="N745" s="110"/>
      <c r="O745" s="123"/>
      <c r="P745" s="109"/>
      <c r="Q745" s="109"/>
      <c r="R745" s="109"/>
      <c r="S745" s="109"/>
      <c r="T745" s="109"/>
      <c r="U745" s="381"/>
      <c r="V745" s="381"/>
      <c r="W745" s="381"/>
      <c r="X745" s="381"/>
      <c r="Y745" s="381"/>
      <c r="Z745" s="381"/>
      <c r="AA745" s="381"/>
      <c r="AB745" s="381"/>
      <c r="AC745" s="381"/>
    </row>
    <row r="746">
      <c r="A746" s="398"/>
      <c r="B746" s="91"/>
      <c r="C746" s="100"/>
      <c r="D746" s="399"/>
      <c r="E746" s="400"/>
      <c r="F746" s="95"/>
      <c r="G746" s="95"/>
      <c r="H746" s="95"/>
      <c r="I746" s="399"/>
      <c r="J746" s="97"/>
      <c r="K746" s="96"/>
      <c r="L746" s="99"/>
      <c r="M746" s="99"/>
      <c r="N746" s="100"/>
      <c r="O746" s="124"/>
      <c r="P746" s="99"/>
      <c r="Q746" s="99"/>
      <c r="R746" s="99"/>
      <c r="S746" s="99"/>
      <c r="T746" s="99"/>
      <c r="U746" s="381"/>
      <c r="V746" s="381"/>
      <c r="W746" s="381"/>
      <c r="X746" s="381"/>
      <c r="Y746" s="381"/>
      <c r="Z746" s="381"/>
      <c r="AA746" s="381"/>
      <c r="AB746" s="381"/>
      <c r="AC746" s="381"/>
    </row>
    <row r="747">
      <c r="A747" s="395"/>
      <c r="B747" s="102"/>
      <c r="C747" s="110"/>
      <c r="D747" s="396"/>
      <c r="E747" s="397"/>
      <c r="F747" s="106"/>
      <c r="G747" s="106"/>
      <c r="H747" s="106"/>
      <c r="I747" s="396"/>
      <c r="J747" s="108"/>
      <c r="K747" s="107"/>
      <c r="L747" s="109"/>
      <c r="M747" s="109"/>
      <c r="N747" s="110"/>
      <c r="O747" s="123"/>
      <c r="P747" s="109"/>
      <c r="Q747" s="109"/>
      <c r="R747" s="109"/>
      <c r="S747" s="109"/>
      <c r="T747" s="109"/>
      <c r="U747" s="381"/>
      <c r="V747" s="381"/>
      <c r="W747" s="381"/>
      <c r="X747" s="381"/>
      <c r="Y747" s="381"/>
      <c r="Z747" s="381"/>
      <c r="AA747" s="381"/>
      <c r="AB747" s="381"/>
      <c r="AC747" s="381"/>
    </row>
    <row r="748">
      <c r="A748" s="398"/>
      <c r="B748" s="91"/>
      <c r="C748" s="100"/>
      <c r="D748" s="399"/>
      <c r="E748" s="400"/>
      <c r="F748" s="95"/>
      <c r="G748" s="95"/>
      <c r="H748" s="95"/>
      <c r="I748" s="399"/>
      <c r="J748" s="97"/>
      <c r="K748" s="96"/>
      <c r="L748" s="99"/>
      <c r="M748" s="99"/>
      <c r="N748" s="100"/>
      <c r="O748" s="124"/>
      <c r="P748" s="99"/>
      <c r="Q748" s="99"/>
      <c r="R748" s="99"/>
      <c r="S748" s="99"/>
      <c r="T748" s="99"/>
      <c r="U748" s="381"/>
      <c r="V748" s="381"/>
      <c r="W748" s="381"/>
      <c r="X748" s="381"/>
      <c r="Y748" s="381"/>
      <c r="Z748" s="381"/>
      <c r="AA748" s="381"/>
      <c r="AB748" s="381"/>
      <c r="AC748" s="381"/>
    </row>
    <row r="749">
      <c r="A749" s="395"/>
      <c r="B749" s="102"/>
      <c r="C749" s="110"/>
      <c r="D749" s="396"/>
      <c r="E749" s="397"/>
      <c r="F749" s="106"/>
      <c r="G749" s="106"/>
      <c r="H749" s="106"/>
      <c r="I749" s="396"/>
      <c r="J749" s="108"/>
      <c r="K749" s="107"/>
      <c r="L749" s="109"/>
      <c r="M749" s="109"/>
      <c r="N749" s="110"/>
      <c r="O749" s="123"/>
      <c r="P749" s="109"/>
      <c r="Q749" s="109"/>
      <c r="R749" s="109"/>
      <c r="S749" s="109"/>
      <c r="T749" s="109"/>
      <c r="U749" s="381"/>
      <c r="V749" s="381"/>
      <c r="W749" s="381"/>
      <c r="X749" s="381"/>
      <c r="Y749" s="381"/>
      <c r="Z749" s="381"/>
      <c r="AA749" s="381"/>
      <c r="AB749" s="381"/>
      <c r="AC749" s="381"/>
    </row>
    <row r="750">
      <c r="A750" s="398"/>
      <c r="B750" s="91"/>
      <c r="C750" s="100"/>
      <c r="D750" s="399"/>
      <c r="E750" s="400"/>
      <c r="F750" s="95"/>
      <c r="G750" s="95"/>
      <c r="H750" s="95"/>
      <c r="I750" s="399"/>
      <c r="J750" s="97"/>
      <c r="K750" s="96"/>
      <c r="L750" s="99"/>
      <c r="M750" s="99"/>
      <c r="N750" s="100"/>
      <c r="O750" s="124"/>
      <c r="P750" s="99"/>
      <c r="Q750" s="99"/>
      <c r="R750" s="99"/>
      <c r="S750" s="99"/>
      <c r="T750" s="99"/>
      <c r="U750" s="381"/>
      <c r="V750" s="381"/>
      <c r="W750" s="381"/>
      <c r="X750" s="381"/>
      <c r="Y750" s="381"/>
      <c r="Z750" s="381"/>
      <c r="AA750" s="381"/>
      <c r="AB750" s="381"/>
      <c r="AC750" s="381"/>
    </row>
    <row r="751">
      <c r="A751" s="395"/>
      <c r="B751" s="102"/>
      <c r="C751" s="110"/>
      <c r="D751" s="396"/>
      <c r="E751" s="397"/>
      <c r="F751" s="106"/>
      <c r="G751" s="106"/>
      <c r="H751" s="106"/>
      <c r="I751" s="396"/>
      <c r="J751" s="108"/>
      <c r="K751" s="107"/>
      <c r="L751" s="109"/>
      <c r="M751" s="109"/>
      <c r="N751" s="110"/>
      <c r="O751" s="123"/>
      <c r="P751" s="109"/>
      <c r="Q751" s="109"/>
      <c r="R751" s="109"/>
      <c r="S751" s="109"/>
      <c r="T751" s="109"/>
      <c r="U751" s="381"/>
      <c r="V751" s="381"/>
      <c r="W751" s="381"/>
      <c r="X751" s="381"/>
      <c r="Y751" s="381"/>
      <c r="Z751" s="381"/>
      <c r="AA751" s="381"/>
      <c r="AB751" s="381"/>
      <c r="AC751" s="381"/>
    </row>
    <row r="752">
      <c r="A752" s="398"/>
      <c r="B752" s="91"/>
      <c r="C752" s="100"/>
      <c r="D752" s="399"/>
      <c r="E752" s="400"/>
      <c r="F752" s="95"/>
      <c r="G752" s="95"/>
      <c r="H752" s="95"/>
      <c r="I752" s="399"/>
      <c r="J752" s="97"/>
      <c r="K752" s="96"/>
      <c r="L752" s="99"/>
      <c r="M752" s="99"/>
      <c r="N752" s="100"/>
      <c r="O752" s="124"/>
      <c r="P752" s="99"/>
      <c r="Q752" s="99"/>
      <c r="R752" s="99"/>
      <c r="S752" s="99"/>
      <c r="T752" s="99"/>
      <c r="U752" s="381"/>
      <c r="V752" s="381"/>
      <c r="W752" s="381"/>
      <c r="X752" s="381"/>
      <c r="Y752" s="381"/>
      <c r="Z752" s="381"/>
      <c r="AA752" s="381"/>
      <c r="AB752" s="381"/>
      <c r="AC752" s="381"/>
    </row>
    <row r="753">
      <c r="A753" s="395"/>
      <c r="B753" s="102"/>
      <c r="C753" s="110"/>
      <c r="D753" s="396"/>
      <c r="E753" s="397"/>
      <c r="F753" s="106"/>
      <c r="G753" s="106"/>
      <c r="H753" s="106"/>
      <c r="I753" s="396"/>
      <c r="J753" s="108"/>
      <c r="K753" s="107"/>
      <c r="L753" s="109"/>
      <c r="M753" s="109"/>
      <c r="N753" s="110"/>
      <c r="O753" s="123"/>
      <c r="P753" s="109"/>
      <c r="Q753" s="109"/>
      <c r="R753" s="109"/>
      <c r="S753" s="109"/>
      <c r="T753" s="109"/>
      <c r="U753" s="381"/>
      <c r="V753" s="381"/>
      <c r="W753" s="381"/>
      <c r="X753" s="381"/>
      <c r="Y753" s="381"/>
      <c r="Z753" s="381"/>
      <c r="AA753" s="381"/>
      <c r="AB753" s="381"/>
      <c r="AC753" s="381"/>
    </row>
    <row r="754">
      <c r="A754" s="398"/>
      <c r="B754" s="91"/>
      <c r="C754" s="100"/>
      <c r="D754" s="399"/>
      <c r="E754" s="400"/>
      <c r="F754" s="95"/>
      <c r="G754" s="95"/>
      <c r="H754" s="95"/>
      <c r="I754" s="399"/>
      <c r="J754" s="97"/>
      <c r="K754" s="96"/>
      <c r="L754" s="99"/>
      <c r="M754" s="99"/>
      <c r="N754" s="100"/>
      <c r="O754" s="124"/>
      <c r="P754" s="99"/>
      <c r="Q754" s="99"/>
      <c r="R754" s="99"/>
      <c r="S754" s="99"/>
      <c r="T754" s="99"/>
      <c r="U754" s="381"/>
      <c r="V754" s="381"/>
      <c r="W754" s="381"/>
      <c r="X754" s="381"/>
      <c r="Y754" s="381"/>
      <c r="Z754" s="381"/>
      <c r="AA754" s="381"/>
      <c r="AB754" s="381"/>
      <c r="AC754" s="381"/>
    </row>
    <row r="755">
      <c r="A755" s="395"/>
      <c r="B755" s="102"/>
      <c r="C755" s="110"/>
      <c r="D755" s="396"/>
      <c r="E755" s="397"/>
      <c r="F755" s="106"/>
      <c r="G755" s="106"/>
      <c r="H755" s="106"/>
      <c r="I755" s="396"/>
      <c r="J755" s="108"/>
      <c r="K755" s="107"/>
      <c r="L755" s="109"/>
      <c r="M755" s="109"/>
      <c r="N755" s="110"/>
      <c r="O755" s="123"/>
      <c r="P755" s="109"/>
      <c r="Q755" s="109"/>
      <c r="R755" s="109"/>
      <c r="S755" s="109"/>
      <c r="T755" s="109"/>
      <c r="U755" s="381"/>
      <c r="V755" s="381"/>
      <c r="W755" s="381"/>
      <c r="X755" s="381"/>
      <c r="Y755" s="381"/>
      <c r="Z755" s="381"/>
      <c r="AA755" s="381"/>
      <c r="AB755" s="381"/>
      <c r="AC755" s="381"/>
    </row>
    <row r="756">
      <c r="A756" s="398"/>
      <c r="B756" s="91"/>
      <c r="C756" s="100"/>
      <c r="D756" s="399"/>
      <c r="E756" s="400"/>
      <c r="F756" s="95"/>
      <c r="G756" s="95"/>
      <c r="H756" s="95"/>
      <c r="I756" s="399"/>
      <c r="J756" s="97"/>
      <c r="K756" s="96"/>
      <c r="L756" s="99"/>
      <c r="M756" s="99"/>
      <c r="N756" s="100"/>
      <c r="O756" s="124"/>
      <c r="P756" s="99"/>
      <c r="Q756" s="99"/>
      <c r="R756" s="99"/>
      <c r="S756" s="99"/>
      <c r="T756" s="99"/>
      <c r="U756" s="381"/>
      <c r="V756" s="381"/>
      <c r="W756" s="381"/>
      <c r="X756" s="381"/>
      <c r="Y756" s="381"/>
      <c r="Z756" s="381"/>
      <c r="AA756" s="381"/>
      <c r="AB756" s="381"/>
      <c r="AC756" s="381"/>
    </row>
    <row r="757">
      <c r="A757" s="395"/>
      <c r="B757" s="102"/>
      <c r="C757" s="110"/>
      <c r="D757" s="396"/>
      <c r="E757" s="397"/>
      <c r="F757" s="106"/>
      <c r="G757" s="106"/>
      <c r="H757" s="106"/>
      <c r="I757" s="396"/>
      <c r="J757" s="108"/>
      <c r="K757" s="107"/>
      <c r="L757" s="109"/>
      <c r="M757" s="109"/>
      <c r="N757" s="110"/>
      <c r="O757" s="123"/>
      <c r="P757" s="109"/>
      <c r="Q757" s="109"/>
      <c r="R757" s="109"/>
      <c r="S757" s="109"/>
      <c r="T757" s="109"/>
      <c r="U757" s="381"/>
      <c r="V757" s="381"/>
      <c r="W757" s="381"/>
      <c r="X757" s="381"/>
      <c r="Y757" s="381"/>
      <c r="Z757" s="381"/>
      <c r="AA757" s="381"/>
      <c r="AB757" s="381"/>
      <c r="AC757" s="381"/>
    </row>
    <row r="758">
      <c r="A758" s="398"/>
      <c r="B758" s="91"/>
      <c r="C758" s="100"/>
      <c r="D758" s="399"/>
      <c r="E758" s="400"/>
      <c r="F758" s="95"/>
      <c r="G758" s="95"/>
      <c r="H758" s="95"/>
      <c r="I758" s="399"/>
      <c r="J758" s="97"/>
      <c r="K758" s="96"/>
      <c r="L758" s="99"/>
      <c r="M758" s="99"/>
      <c r="N758" s="100"/>
      <c r="O758" s="124"/>
      <c r="P758" s="99"/>
      <c r="Q758" s="99"/>
      <c r="R758" s="99"/>
      <c r="S758" s="99"/>
      <c r="T758" s="99"/>
      <c r="U758" s="381"/>
      <c r="V758" s="381"/>
      <c r="W758" s="381"/>
      <c r="X758" s="381"/>
      <c r="Y758" s="381"/>
      <c r="Z758" s="381"/>
      <c r="AA758" s="381"/>
      <c r="AB758" s="381"/>
      <c r="AC758" s="381"/>
    </row>
    <row r="759">
      <c r="A759" s="395"/>
      <c r="B759" s="102"/>
      <c r="C759" s="110"/>
      <c r="D759" s="396"/>
      <c r="E759" s="397"/>
      <c r="F759" s="106"/>
      <c r="G759" s="106"/>
      <c r="H759" s="106"/>
      <c r="I759" s="396"/>
      <c r="J759" s="108"/>
      <c r="K759" s="107"/>
      <c r="L759" s="109"/>
      <c r="M759" s="109"/>
      <c r="N759" s="110"/>
      <c r="O759" s="123"/>
      <c r="P759" s="109"/>
      <c r="Q759" s="109"/>
      <c r="R759" s="109"/>
      <c r="S759" s="109"/>
      <c r="T759" s="109"/>
      <c r="U759" s="381"/>
      <c r="V759" s="381"/>
      <c r="W759" s="381"/>
      <c r="X759" s="381"/>
      <c r="Y759" s="381"/>
      <c r="Z759" s="381"/>
      <c r="AA759" s="381"/>
      <c r="AB759" s="381"/>
      <c r="AC759" s="381"/>
    </row>
    <row r="760">
      <c r="A760" s="398"/>
      <c r="B760" s="91"/>
      <c r="C760" s="100"/>
      <c r="D760" s="399"/>
      <c r="E760" s="400"/>
      <c r="F760" s="95"/>
      <c r="G760" s="95"/>
      <c r="H760" s="95"/>
      <c r="I760" s="399"/>
      <c r="J760" s="97"/>
      <c r="K760" s="96"/>
      <c r="L760" s="99"/>
      <c r="M760" s="99"/>
      <c r="N760" s="100"/>
      <c r="O760" s="124"/>
      <c r="P760" s="99"/>
      <c r="Q760" s="99"/>
      <c r="R760" s="99"/>
      <c r="S760" s="99"/>
      <c r="T760" s="99"/>
      <c r="U760" s="381"/>
      <c r="V760" s="381"/>
      <c r="W760" s="381"/>
      <c r="X760" s="381"/>
      <c r="Y760" s="381"/>
      <c r="Z760" s="381"/>
      <c r="AA760" s="381"/>
      <c r="AB760" s="381"/>
      <c r="AC760" s="381"/>
    </row>
    <row r="761">
      <c r="A761" s="395"/>
      <c r="B761" s="102"/>
      <c r="C761" s="110"/>
      <c r="D761" s="396"/>
      <c r="E761" s="397"/>
      <c r="F761" s="106"/>
      <c r="G761" s="106"/>
      <c r="H761" s="106"/>
      <c r="I761" s="396"/>
      <c r="J761" s="108"/>
      <c r="K761" s="107"/>
      <c r="L761" s="109"/>
      <c r="M761" s="109"/>
      <c r="N761" s="110"/>
      <c r="O761" s="123"/>
      <c r="P761" s="109"/>
      <c r="Q761" s="109"/>
      <c r="R761" s="109"/>
      <c r="S761" s="109"/>
      <c r="T761" s="109"/>
      <c r="U761" s="381"/>
      <c r="V761" s="381"/>
      <c r="W761" s="381"/>
      <c r="X761" s="381"/>
      <c r="Y761" s="381"/>
      <c r="Z761" s="381"/>
      <c r="AA761" s="381"/>
      <c r="AB761" s="381"/>
      <c r="AC761" s="381"/>
    </row>
    <row r="762">
      <c r="A762" s="398"/>
      <c r="B762" s="91"/>
      <c r="C762" s="100"/>
      <c r="D762" s="399"/>
      <c r="E762" s="400"/>
      <c r="F762" s="95"/>
      <c r="G762" s="95"/>
      <c r="H762" s="95"/>
      <c r="I762" s="399"/>
      <c r="J762" s="97"/>
      <c r="K762" s="96"/>
      <c r="L762" s="99"/>
      <c r="M762" s="99"/>
      <c r="N762" s="100"/>
      <c r="O762" s="124"/>
      <c r="P762" s="99"/>
      <c r="Q762" s="99"/>
      <c r="R762" s="99"/>
      <c r="S762" s="99"/>
      <c r="T762" s="99"/>
      <c r="U762" s="381"/>
      <c r="V762" s="381"/>
      <c r="W762" s="381"/>
      <c r="X762" s="381"/>
      <c r="Y762" s="381"/>
      <c r="Z762" s="381"/>
      <c r="AA762" s="381"/>
      <c r="AB762" s="381"/>
      <c r="AC762" s="381"/>
    </row>
    <row r="763">
      <c r="A763" s="395"/>
      <c r="B763" s="102"/>
      <c r="C763" s="110"/>
      <c r="D763" s="396"/>
      <c r="E763" s="397"/>
      <c r="F763" s="106"/>
      <c r="G763" s="106"/>
      <c r="H763" s="106"/>
      <c r="I763" s="396"/>
      <c r="J763" s="108"/>
      <c r="K763" s="107"/>
      <c r="L763" s="109"/>
      <c r="M763" s="109"/>
      <c r="N763" s="110"/>
      <c r="O763" s="123"/>
      <c r="P763" s="109"/>
      <c r="Q763" s="109"/>
      <c r="R763" s="109"/>
      <c r="S763" s="109"/>
      <c r="T763" s="109"/>
      <c r="U763" s="381"/>
      <c r="V763" s="381"/>
      <c r="W763" s="381"/>
      <c r="X763" s="381"/>
      <c r="Y763" s="381"/>
      <c r="Z763" s="381"/>
      <c r="AA763" s="381"/>
      <c r="AB763" s="381"/>
      <c r="AC763" s="381"/>
    </row>
    <row r="764">
      <c r="A764" s="398"/>
      <c r="B764" s="91"/>
      <c r="C764" s="100"/>
      <c r="D764" s="399"/>
      <c r="E764" s="400"/>
      <c r="F764" s="95"/>
      <c r="G764" s="95"/>
      <c r="H764" s="95"/>
      <c r="I764" s="399"/>
      <c r="J764" s="97"/>
      <c r="K764" s="96"/>
      <c r="L764" s="99"/>
      <c r="M764" s="99"/>
      <c r="N764" s="100"/>
      <c r="O764" s="124"/>
      <c r="P764" s="99"/>
      <c r="Q764" s="99"/>
      <c r="R764" s="99"/>
      <c r="S764" s="99"/>
      <c r="T764" s="99"/>
      <c r="U764" s="381"/>
      <c r="V764" s="381"/>
      <c r="W764" s="381"/>
      <c r="X764" s="381"/>
      <c r="Y764" s="381"/>
      <c r="Z764" s="381"/>
      <c r="AA764" s="381"/>
      <c r="AB764" s="381"/>
      <c r="AC764" s="381"/>
    </row>
    <row r="765">
      <c r="A765" s="395"/>
      <c r="B765" s="102"/>
      <c r="C765" s="110"/>
      <c r="D765" s="396"/>
      <c r="E765" s="397"/>
      <c r="F765" s="106"/>
      <c r="G765" s="106"/>
      <c r="H765" s="106"/>
      <c r="I765" s="396"/>
      <c r="J765" s="108"/>
      <c r="K765" s="107"/>
      <c r="L765" s="109"/>
      <c r="M765" s="109"/>
      <c r="N765" s="110"/>
      <c r="O765" s="123"/>
      <c r="P765" s="109"/>
      <c r="Q765" s="109"/>
      <c r="R765" s="109"/>
      <c r="S765" s="109"/>
      <c r="T765" s="109"/>
      <c r="U765" s="381"/>
      <c r="V765" s="381"/>
      <c r="W765" s="381"/>
      <c r="X765" s="381"/>
      <c r="Y765" s="381"/>
      <c r="Z765" s="381"/>
      <c r="AA765" s="381"/>
      <c r="AB765" s="381"/>
      <c r="AC765" s="381"/>
    </row>
    <row r="766">
      <c r="A766" s="398"/>
      <c r="B766" s="91"/>
      <c r="C766" s="100"/>
      <c r="D766" s="399"/>
      <c r="E766" s="400"/>
      <c r="F766" s="95"/>
      <c r="G766" s="95"/>
      <c r="H766" s="95"/>
      <c r="I766" s="399"/>
      <c r="J766" s="97"/>
      <c r="K766" s="96"/>
      <c r="L766" s="99"/>
      <c r="M766" s="99"/>
      <c r="N766" s="100"/>
      <c r="O766" s="124"/>
      <c r="P766" s="99"/>
      <c r="Q766" s="99"/>
      <c r="R766" s="99"/>
      <c r="S766" s="99"/>
      <c r="T766" s="99"/>
      <c r="U766" s="381"/>
      <c r="V766" s="381"/>
      <c r="W766" s="381"/>
      <c r="X766" s="381"/>
      <c r="Y766" s="381"/>
      <c r="Z766" s="381"/>
      <c r="AA766" s="381"/>
      <c r="AB766" s="381"/>
      <c r="AC766" s="381"/>
    </row>
    <row r="767">
      <c r="A767" s="395"/>
      <c r="B767" s="102"/>
      <c r="C767" s="110"/>
      <c r="D767" s="396"/>
      <c r="E767" s="397"/>
      <c r="F767" s="106"/>
      <c r="G767" s="106"/>
      <c r="H767" s="106"/>
      <c r="I767" s="396"/>
      <c r="J767" s="108"/>
      <c r="K767" s="107"/>
      <c r="L767" s="109"/>
      <c r="M767" s="109"/>
      <c r="N767" s="110"/>
      <c r="O767" s="123"/>
      <c r="P767" s="109"/>
      <c r="Q767" s="109"/>
      <c r="R767" s="109"/>
      <c r="S767" s="109"/>
      <c r="T767" s="109"/>
      <c r="U767" s="381"/>
      <c r="V767" s="381"/>
      <c r="W767" s="381"/>
      <c r="X767" s="381"/>
      <c r="Y767" s="381"/>
      <c r="Z767" s="381"/>
      <c r="AA767" s="381"/>
      <c r="AB767" s="381"/>
      <c r="AC767" s="381"/>
    </row>
    <row r="768">
      <c r="A768" s="398"/>
      <c r="B768" s="91"/>
      <c r="C768" s="100"/>
      <c r="D768" s="399"/>
      <c r="E768" s="400"/>
      <c r="F768" s="95"/>
      <c r="G768" s="95"/>
      <c r="H768" s="95"/>
      <c r="I768" s="399"/>
      <c r="J768" s="97"/>
      <c r="K768" s="96"/>
      <c r="L768" s="99"/>
      <c r="M768" s="99"/>
      <c r="N768" s="100"/>
      <c r="O768" s="124"/>
      <c r="P768" s="99"/>
      <c r="Q768" s="99"/>
      <c r="R768" s="99"/>
      <c r="S768" s="99"/>
      <c r="T768" s="99"/>
      <c r="U768" s="381"/>
      <c r="V768" s="381"/>
      <c r="W768" s="381"/>
      <c r="X768" s="381"/>
      <c r="Y768" s="381"/>
      <c r="Z768" s="381"/>
      <c r="AA768" s="381"/>
      <c r="AB768" s="381"/>
      <c r="AC768" s="381"/>
    </row>
    <row r="769">
      <c r="A769" s="395"/>
      <c r="B769" s="102"/>
      <c r="C769" s="110"/>
      <c r="D769" s="396"/>
      <c r="E769" s="397"/>
      <c r="F769" s="106"/>
      <c r="G769" s="106"/>
      <c r="H769" s="106"/>
      <c r="I769" s="396"/>
      <c r="J769" s="108"/>
      <c r="K769" s="107"/>
      <c r="L769" s="109"/>
      <c r="M769" s="109"/>
      <c r="N769" s="110"/>
      <c r="O769" s="123"/>
      <c r="P769" s="109"/>
      <c r="Q769" s="109"/>
      <c r="R769" s="109"/>
      <c r="S769" s="109"/>
      <c r="T769" s="109"/>
      <c r="U769" s="381"/>
      <c r="V769" s="381"/>
      <c r="W769" s="381"/>
      <c r="X769" s="381"/>
      <c r="Y769" s="381"/>
      <c r="Z769" s="381"/>
      <c r="AA769" s="381"/>
      <c r="AB769" s="381"/>
      <c r="AC769" s="381"/>
    </row>
    <row r="770">
      <c r="A770" s="398"/>
      <c r="B770" s="91"/>
      <c r="C770" s="100"/>
      <c r="D770" s="399"/>
      <c r="E770" s="400"/>
      <c r="F770" s="95"/>
      <c r="G770" s="95"/>
      <c r="H770" s="95"/>
      <c r="I770" s="399"/>
      <c r="J770" s="97"/>
      <c r="K770" s="96"/>
      <c r="L770" s="99"/>
      <c r="M770" s="99"/>
      <c r="N770" s="100"/>
      <c r="O770" s="124"/>
      <c r="P770" s="99"/>
      <c r="Q770" s="99"/>
      <c r="R770" s="99"/>
      <c r="S770" s="99"/>
      <c r="T770" s="99"/>
      <c r="U770" s="381"/>
      <c r="V770" s="381"/>
      <c r="W770" s="381"/>
      <c r="X770" s="381"/>
      <c r="Y770" s="381"/>
      <c r="Z770" s="381"/>
      <c r="AA770" s="381"/>
      <c r="AB770" s="381"/>
      <c r="AC770" s="381"/>
    </row>
    <row r="771">
      <c r="A771" s="395"/>
      <c r="B771" s="102"/>
      <c r="C771" s="110"/>
      <c r="D771" s="396"/>
      <c r="E771" s="397"/>
      <c r="F771" s="106"/>
      <c r="G771" s="106"/>
      <c r="H771" s="106"/>
      <c r="I771" s="396"/>
      <c r="J771" s="108"/>
      <c r="K771" s="107"/>
      <c r="L771" s="109"/>
      <c r="M771" s="109"/>
      <c r="N771" s="110"/>
      <c r="O771" s="123"/>
      <c r="P771" s="109"/>
      <c r="Q771" s="109"/>
      <c r="R771" s="109"/>
      <c r="S771" s="109"/>
      <c r="T771" s="109"/>
      <c r="U771" s="381"/>
      <c r="V771" s="381"/>
      <c r="W771" s="381"/>
      <c r="X771" s="381"/>
      <c r="Y771" s="381"/>
      <c r="Z771" s="381"/>
      <c r="AA771" s="381"/>
      <c r="AB771" s="381"/>
      <c r="AC771" s="381"/>
    </row>
    <row r="772">
      <c r="A772" s="398"/>
      <c r="B772" s="91"/>
      <c r="C772" s="100"/>
      <c r="D772" s="399"/>
      <c r="E772" s="400"/>
      <c r="F772" s="95"/>
      <c r="G772" s="95"/>
      <c r="H772" s="95"/>
      <c r="I772" s="399"/>
      <c r="J772" s="97"/>
      <c r="K772" s="96"/>
      <c r="L772" s="99"/>
      <c r="M772" s="99"/>
      <c r="N772" s="100"/>
      <c r="O772" s="124"/>
      <c r="P772" s="99"/>
      <c r="Q772" s="99"/>
      <c r="R772" s="99"/>
      <c r="S772" s="99"/>
      <c r="T772" s="99"/>
      <c r="U772" s="381"/>
      <c r="V772" s="381"/>
      <c r="W772" s="381"/>
      <c r="X772" s="381"/>
      <c r="Y772" s="381"/>
      <c r="Z772" s="381"/>
      <c r="AA772" s="381"/>
      <c r="AB772" s="381"/>
      <c r="AC772" s="381"/>
    </row>
    <row r="773">
      <c r="A773" s="395"/>
      <c r="B773" s="102"/>
      <c r="C773" s="110"/>
      <c r="D773" s="396"/>
      <c r="E773" s="397"/>
      <c r="F773" s="106"/>
      <c r="G773" s="106"/>
      <c r="H773" s="106"/>
      <c r="I773" s="396"/>
      <c r="J773" s="108"/>
      <c r="K773" s="107"/>
      <c r="L773" s="109"/>
      <c r="M773" s="109"/>
      <c r="N773" s="110"/>
      <c r="O773" s="123"/>
      <c r="P773" s="109"/>
      <c r="Q773" s="109"/>
      <c r="R773" s="109"/>
      <c r="S773" s="109"/>
      <c r="T773" s="109"/>
      <c r="U773" s="381"/>
      <c r="V773" s="381"/>
      <c r="W773" s="381"/>
      <c r="X773" s="381"/>
      <c r="Y773" s="381"/>
      <c r="Z773" s="381"/>
      <c r="AA773" s="381"/>
      <c r="AB773" s="381"/>
      <c r="AC773" s="381"/>
    </row>
    <row r="774">
      <c r="A774" s="398"/>
      <c r="B774" s="91"/>
      <c r="C774" s="100"/>
      <c r="D774" s="399"/>
      <c r="E774" s="400"/>
      <c r="F774" s="95"/>
      <c r="G774" s="95"/>
      <c r="H774" s="95"/>
      <c r="I774" s="399"/>
      <c r="J774" s="97"/>
      <c r="K774" s="96"/>
      <c r="L774" s="99"/>
      <c r="M774" s="99"/>
      <c r="N774" s="100"/>
      <c r="O774" s="124"/>
      <c r="P774" s="99"/>
      <c r="Q774" s="99"/>
      <c r="R774" s="99"/>
      <c r="S774" s="99"/>
      <c r="T774" s="99"/>
      <c r="U774" s="381"/>
      <c r="V774" s="381"/>
      <c r="W774" s="381"/>
      <c r="X774" s="381"/>
      <c r="Y774" s="381"/>
      <c r="Z774" s="381"/>
      <c r="AA774" s="381"/>
      <c r="AB774" s="381"/>
      <c r="AC774" s="381"/>
    </row>
    <row r="775">
      <c r="A775" s="395"/>
      <c r="B775" s="102"/>
      <c r="C775" s="110"/>
      <c r="D775" s="396"/>
      <c r="E775" s="397"/>
      <c r="F775" s="106"/>
      <c r="G775" s="106"/>
      <c r="H775" s="106"/>
      <c r="I775" s="396"/>
      <c r="J775" s="108"/>
      <c r="K775" s="107"/>
      <c r="L775" s="109"/>
      <c r="M775" s="109"/>
      <c r="N775" s="110"/>
      <c r="O775" s="123"/>
      <c r="P775" s="109"/>
      <c r="Q775" s="109"/>
      <c r="R775" s="109"/>
      <c r="S775" s="109"/>
      <c r="T775" s="109"/>
      <c r="U775" s="381"/>
      <c r="V775" s="381"/>
      <c r="W775" s="381"/>
      <c r="X775" s="381"/>
      <c r="Y775" s="381"/>
      <c r="Z775" s="381"/>
      <c r="AA775" s="381"/>
      <c r="AB775" s="381"/>
      <c r="AC775" s="381"/>
    </row>
    <row r="776">
      <c r="A776" s="398"/>
      <c r="B776" s="91"/>
      <c r="C776" s="100"/>
      <c r="D776" s="399"/>
      <c r="E776" s="400"/>
      <c r="F776" s="95"/>
      <c r="G776" s="95"/>
      <c r="H776" s="95"/>
      <c r="I776" s="399"/>
      <c r="J776" s="97"/>
      <c r="K776" s="96"/>
      <c r="L776" s="99"/>
      <c r="M776" s="99"/>
      <c r="N776" s="100"/>
      <c r="O776" s="124"/>
      <c r="P776" s="99"/>
      <c r="Q776" s="99"/>
      <c r="R776" s="99"/>
      <c r="S776" s="99"/>
      <c r="T776" s="99"/>
      <c r="U776" s="381"/>
      <c r="V776" s="381"/>
      <c r="W776" s="381"/>
      <c r="X776" s="381"/>
      <c r="Y776" s="381"/>
      <c r="Z776" s="381"/>
      <c r="AA776" s="381"/>
      <c r="AB776" s="381"/>
      <c r="AC776" s="381"/>
    </row>
    <row r="777">
      <c r="A777" s="395"/>
      <c r="B777" s="102"/>
      <c r="C777" s="110"/>
      <c r="D777" s="396"/>
      <c r="E777" s="397"/>
      <c r="F777" s="106"/>
      <c r="G777" s="106"/>
      <c r="H777" s="106"/>
      <c r="I777" s="396"/>
      <c r="J777" s="108"/>
      <c r="K777" s="107"/>
      <c r="L777" s="109"/>
      <c r="M777" s="109"/>
      <c r="N777" s="110"/>
      <c r="O777" s="123"/>
      <c r="P777" s="109"/>
      <c r="Q777" s="109"/>
      <c r="R777" s="109"/>
      <c r="S777" s="109"/>
      <c r="T777" s="109"/>
      <c r="U777" s="381"/>
      <c r="V777" s="381"/>
      <c r="W777" s="381"/>
      <c r="X777" s="381"/>
      <c r="Y777" s="381"/>
      <c r="Z777" s="381"/>
      <c r="AA777" s="381"/>
      <c r="AB777" s="381"/>
      <c r="AC777" s="381"/>
    </row>
    <row r="778">
      <c r="A778" s="398"/>
      <c r="B778" s="91"/>
      <c r="C778" s="100"/>
      <c r="D778" s="399"/>
      <c r="E778" s="400"/>
      <c r="F778" s="95"/>
      <c r="G778" s="95"/>
      <c r="H778" s="95"/>
      <c r="I778" s="399"/>
      <c r="J778" s="97"/>
      <c r="K778" s="96"/>
      <c r="L778" s="99"/>
      <c r="M778" s="99"/>
      <c r="N778" s="100"/>
      <c r="O778" s="124"/>
      <c r="P778" s="99"/>
      <c r="Q778" s="99"/>
      <c r="R778" s="99"/>
      <c r="S778" s="99"/>
      <c r="T778" s="99"/>
      <c r="U778" s="381"/>
      <c r="V778" s="381"/>
      <c r="W778" s="381"/>
      <c r="X778" s="381"/>
      <c r="Y778" s="381"/>
      <c r="Z778" s="381"/>
      <c r="AA778" s="381"/>
      <c r="AB778" s="381"/>
      <c r="AC778" s="381"/>
    </row>
    <row r="779">
      <c r="A779" s="395"/>
      <c r="B779" s="102"/>
      <c r="C779" s="110"/>
      <c r="D779" s="396"/>
      <c r="E779" s="397"/>
      <c r="F779" s="106"/>
      <c r="G779" s="106"/>
      <c r="H779" s="106"/>
      <c r="I779" s="396"/>
      <c r="J779" s="108"/>
      <c r="K779" s="107"/>
      <c r="L779" s="109"/>
      <c r="M779" s="109"/>
      <c r="N779" s="110"/>
      <c r="O779" s="123"/>
      <c r="P779" s="109"/>
      <c r="Q779" s="109"/>
      <c r="R779" s="109"/>
      <c r="S779" s="109"/>
      <c r="T779" s="109"/>
      <c r="U779" s="381"/>
      <c r="V779" s="381"/>
      <c r="W779" s="381"/>
      <c r="X779" s="381"/>
      <c r="Y779" s="381"/>
      <c r="Z779" s="381"/>
      <c r="AA779" s="381"/>
      <c r="AB779" s="381"/>
      <c r="AC779" s="381"/>
    </row>
    <row r="780">
      <c r="A780" s="398"/>
      <c r="B780" s="91"/>
      <c r="C780" s="100"/>
      <c r="D780" s="399"/>
      <c r="E780" s="400"/>
      <c r="F780" s="95"/>
      <c r="G780" s="95"/>
      <c r="H780" s="95"/>
      <c r="I780" s="399"/>
      <c r="J780" s="97"/>
      <c r="K780" s="96"/>
      <c r="L780" s="99"/>
      <c r="M780" s="99"/>
      <c r="N780" s="100"/>
      <c r="O780" s="124"/>
      <c r="P780" s="99"/>
      <c r="Q780" s="99"/>
      <c r="R780" s="99"/>
      <c r="S780" s="99"/>
      <c r="T780" s="99"/>
      <c r="U780" s="381"/>
      <c r="V780" s="381"/>
      <c r="W780" s="381"/>
      <c r="X780" s="381"/>
      <c r="Y780" s="381"/>
      <c r="Z780" s="381"/>
      <c r="AA780" s="381"/>
      <c r="AB780" s="381"/>
      <c r="AC780" s="381"/>
    </row>
    <row r="781">
      <c r="A781" s="395"/>
      <c r="B781" s="102"/>
      <c r="C781" s="110"/>
      <c r="D781" s="396"/>
      <c r="E781" s="397"/>
      <c r="F781" s="106"/>
      <c r="G781" s="106"/>
      <c r="H781" s="106"/>
      <c r="I781" s="396"/>
      <c r="J781" s="108"/>
      <c r="K781" s="107"/>
      <c r="L781" s="109"/>
      <c r="M781" s="109"/>
      <c r="N781" s="110"/>
      <c r="O781" s="123"/>
      <c r="P781" s="109"/>
      <c r="Q781" s="109"/>
      <c r="R781" s="109"/>
      <c r="S781" s="109"/>
      <c r="T781" s="109"/>
      <c r="U781" s="381"/>
      <c r="V781" s="381"/>
      <c r="W781" s="381"/>
      <c r="X781" s="381"/>
      <c r="Y781" s="381"/>
      <c r="Z781" s="381"/>
      <c r="AA781" s="381"/>
      <c r="AB781" s="381"/>
      <c r="AC781" s="381"/>
    </row>
    <row r="782">
      <c r="A782" s="398"/>
      <c r="B782" s="91"/>
      <c r="C782" s="100"/>
      <c r="D782" s="399"/>
      <c r="E782" s="400"/>
      <c r="F782" s="95"/>
      <c r="G782" s="95"/>
      <c r="H782" s="95"/>
      <c r="I782" s="399"/>
      <c r="J782" s="97"/>
      <c r="K782" s="96"/>
      <c r="L782" s="99"/>
      <c r="M782" s="99"/>
      <c r="N782" s="100"/>
      <c r="O782" s="124"/>
      <c r="P782" s="99"/>
      <c r="Q782" s="99"/>
      <c r="R782" s="99"/>
      <c r="S782" s="99"/>
      <c r="T782" s="99"/>
      <c r="U782" s="381"/>
      <c r="V782" s="381"/>
      <c r="W782" s="381"/>
      <c r="X782" s="381"/>
      <c r="Y782" s="381"/>
      <c r="Z782" s="381"/>
      <c r="AA782" s="381"/>
      <c r="AB782" s="381"/>
      <c r="AC782" s="381"/>
    </row>
    <row r="783">
      <c r="A783" s="395"/>
      <c r="B783" s="102"/>
      <c r="C783" s="110"/>
      <c r="D783" s="396"/>
      <c r="E783" s="397"/>
      <c r="F783" s="106"/>
      <c r="G783" s="106"/>
      <c r="H783" s="106"/>
      <c r="I783" s="396"/>
      <c r="J783" s="108"/>
      <c r="K783" s="107"/>
      <c r="L783" s="109"/>
      <c r="M783" s="109"/>
      <c r="N783" s="110"/>
      <c r="O783" s="123"/>
      <c r="P783" s="109"/>
      <c r="Q783" s="109"/>
      <c r="R783" s="109"/>
      <c r="S783" s="109"/>
      <c r="T783" s="109"/>
      <c r="U783" s="381"/>
      <c r="V783" s="381"/>
      <c r="W783" s="381"/>
      <c r="X783" s="381"/>
      <c r="Y783" s="381"/>
      <c r="Z783" s="381"/>
      <c r="AA783" s="381"/>
      <c r="AB783" s="381"/>
      <c r="AC783" s="381"/>
    </row>
    <row r="784">
      <c r="A784" s="398"/>
      <c r="B784" s="91"/>
      <c r="C784" s="100"/>
      <c r="D784" s="399"/>
      <c r="E784" s="400"/>
      <c r="F784" s="95"/>
      <c r="G784" s="95"/>
      <c r="H784" s="95"/>
      <c r="I784" s="399"/>
      <c r="J784" s="97"/>
      <c r="K784" s="96"/>
      <c r="L784" s="99"/>
      <c r="M784" s="99"/>
      <c r="N784" s="100"/>
      <c r="O784" s="124"/>
      <c r="P784" s="99"/>
      <c r="Q784" s="99"/>
      <c r="R784" s="99"/>
      <c r="S784" s="99"/>
      <c r="T784" s="99"/>
      <c r="U784" s="381"/>
      <c r="V784" s="381"/>
      <c r="W784" s="381"/>
      <c r="X784" s="381"/>
      <c r="Y784" s="381"/>
      <c r="Z784" s="381"/>
      <c r="AA784" s="381"/>
      <c r="AB784" s="381"/>
      <c r="AC784" s="381"/>
    </row>
    <row r="785">
      <c r="A785" s="395"/>
      <c r="B785" s="102"/>
      <c r="C785" s="110"/>
      <c r="D785" s="396"/>
      <c r="E785" s="397"/>
      <c r="F785" s="106"/>
      <c r="G785" s="106"/>
      <c r="H785" s="106"/>
      <c r="I785" s="396"/>
      <c r="J785" s="108"/>
      <c r="K785" s="107"/>
      <c r="L785" s="109"/>
      <c r="M785" s="109"/>
      <c r="N785" s="110"/>
      <c r="O785" s="123"/>
      <c r="P785" s="109"/>
      <c r="Q785" s="109"/>
      <c r="R785" s="109"/>
      <c r="S785" s="109"/>
      <c r="T785" s="109"/>
      <c r="U785" s="381"/>
      <c r="V785" s="381"/>
      <c r="W785" s="381"/>
      <c r="X785" s="381"/>
      <c r="Y785" s="381"/>
      <c r="Z785" s="381"/>
      <c r="AA785" s="381"/>
      <c r="AB785" s="381"/>
      <c r="AC785" s="381"/>
    </row>
    <row r="786">
      <c r="A786" s="398"/>
      <c r="B786" s="91"/>
      <c r="C786" s="100"/>
      <c r="D786" s="399"/>
      <c r="E786" s="400"/>
      <c r="F786" s="95"/>
      <c r="G786" s="95"/>
      <c r="H786" s="95"/>
      <c r="I786" s="399"/>
      <c r="J786" s="97"/>
      <c r="K786" s="96"/>
      <c r="L786" s="99"/>
      <c r="M786" s="99"/>
      <c r="N786" s="100"/>
      <c r="O786" s="124"/>
      <c r="P786" s="99"/>
      <c r="Q786" s="99"/>
      <c r="R786" s="99"/>
      <c r="S786" s="99"/>
      <c r="T786" s="99"/>
      <c r="U786" s="381"/>
      <c r="V786" s="381"/>
      <c r="W786" s="381"/>
      <c r="X786" s="381"/>
      <c r="Y786" s="381"/>
      <c r="Z786" s="381"/>
      <c r="AA786" s="381"/>
      <c r="AB786" s="381"/>
      <c r="AC786" s="381"/>
    </row>
    <row r="787">
      <c r="A787" s="395"/>
      <c r="B787" s="102"/>
      <c r="C787" s="110"/>
      <c r="D787" s="396"/>
      <c r="E787" s="397"/>
      <c r="F787" s="106"/>
      <c r="G787" s="106"/>
      <c r="H787" s="106"/>
      <c r="I787" s="396"/>
      <c r="J787" s="108"/>
      <c r="K787" s="107"/>
      <c r="L787" s="109"/>
      <c r="M787" s="109"/>
      <c r="N787" s="110"/>
      <c r="O787" s="123"/>
      <c r="P787" s="109"/>
      <c r="Q787" s="109"/>
      <c r="R787" s="109"/>
      <c r="S787" s="109"/>
      <c r="T787" s="109"/>
      <c r="U787" s="381"/>
      <c r="V787" s="381"/>
      <c r="W787" s="381"/>
      <c r="X787" s="381"/>
      <c r="Y787" s="381"/>
      <c r="Z787" s="381"/>
      <c r="AA787" s="381"/>
      <c r="AB787" s="381"/>
      <c r="AC787" s="381"/>
    </row>
    <row r="788">
      <c r="A788" s="398"/>
      <c r="B788" s="91"/>
      <c r="C788" s="100"/>
      <c r="D788" s="399"/>
      <c r="E788" s="400"/>
      <c r="F788" s="95"/>
      <c r="G788" s="95"/>
      <c r="H788" s="95"/>
      <c r="I788" s="399"/>
      <c r="J788" s="97"/>
      <c r="K788" s="96"/>
      <c r="L788" s="99"/>
      <c r="M788" s="99"/>
      <c r="N788" s="100"/>
      <c r="O788" s="124"/>
      <c r="P788" s="99"/>
      <c r="Q788" s="99"/>
      <c r="R788" s="99"/>
      <c r="S788" s="99"/>
      <c r="T788" s="99"/>
      <c r="U788" s="381"/>
      <c r="V788" s="381"/>
      <c r="W788" s="381"/>
      <c r="X788" s="381"/>
      <c r="Y788" s="381"/>
      <c r="Z788" s="381"/>
      <c r="AA788" s="381"/>
      <c r="AB788" s="381"/>
      <c r="AC788" s="381"/>
    </row>
    <row r="789">
      <c r="A789" s="395"/>
      <c r="B789" s="102"/>
      <c r="C789" s="110"/>
      <c r="D789" s="396"/>
      <c r="E789" s="397"/>
      <c r="F789" s="106"/>
      <c r="G789" s="106"/>
      <c r="H789" s="106"/>
      <c r="I789" s="396"/>
      <c r="J789" s="108"/>
      <c r="K789" s="107"/>
      <c r="L789" s="109"/>
      <c r="M789" s="109"/>
      <c r="N789" s="110"/>
      <c r="O789" s="123"/>
      <c r="P789" s="109"/>
      <c r="Q789" s="109"/>
      <c r="R789" s="109"/>
      <c r="S789" s="109"/>
      <c r="T789" s="109"/>
      <c r="U789" s="381"/>
      <c r="V789" s="381"/>
      <c r="W789" s="381"/>
      <c r="X789" s="381"/>
      <c r="Y789" s="381"/>
      <c r="Z789" s="381"/>
      <c r="AA789" s="381"/>
      <c r="AB789" s="381"/>
      <c r="AC789" s="381"/>
    </row>
    <row r="790">
      <c r="A790" s="398"/>
      <c r="B790" s="91"/>
      <c r="C790" s="100"/>
      <c r="D790" s="399"/>
      <c r="E790" s="400"/>
      <c r="F790" s="95"/>
      <c r="G790" s="95"/>
      <c r="H790" s="95"/>
      <c r="I790" s="399"/>
      <c r="J790" s="97"/>
      <c r="K790" s="96"/>
      <c r="L790" s="99"/>
      <c r="M790" s="99"/>
      <c r="N790" s="100"/>
      <c r="O790" s="124"/>
      <c r="P790" s="99"/>
      <c r="Q790" s="99"/>
      <c r="R790" s="99"/>
      <c r="S790" s="99"/>
      <c r="T790" s="99"/>
      <c r="U790" s="381"/>
      <c r="V790" s="381"/>
      <c r="W790" s="381"/>
      <c r="X790" s="381"/>
      <c r="Y790" s="381"/>
      <c r="Z790" s="381"/>
      <c r="AA790" s="381"/>
      <c r="AB790" s="381"/>
      <c r="AC790" s="381"/>
    </row>
    <row r="791">
      <c r="A791" s="395"/>
      <c r="B791" s="102"/>
      <c r="C791" s="110"/>
      <c r="D791" s="396"/>
      <c r="E791" s="397"/>
      <c r="F791" s="106"/>
      <c r="G791" s="106"/>
      <c r="H791" s="106"/>
      <c r="I791" s="396"/>
      <c r="J791" s="108"/>
      <c r="K791" s="107"/>
      <c r="L791" s="109"/>
      <c r="M791" s="109"/>
      <c r="N791" s="110"/>
      <c r="O791" s="123"/>
      <c r="P791" s="109"/>
      <c r="Q791" s="109"/>
      <c r="R791" s="109"/>
      <c r="S791" s="109"/>
      <c r="T791" s="109"/>
      <c r="U791" s="381"/>
      <c r="V791" s="381"/>
      <c r="W791" s="381"/>
      <c r="X791" s="381"/>
      <c r="Y791" s="381"/>
      <c r="Z791" s="381"/>
      <c r="AA791" s="381"/>
      <c r="AB791" s="381"/>
      <c r="AC791" s="381"/>
    </row>
    <row r="792">
      <c r="A792" s="398"/>
      <c r="B792" s="91"/>
      <c r="C792" s="100"/>
      <c r="D792" s="399"/>
      <c r="E792" s="400"/>
      <c r="F792" s="95"/>
      <c r="G792" s="95"/>
      <c r="H792" s="95"/>
      <c r="I792" s="399"/>
      <c r="J792" s="97"/>
      <c r="K792" s="96"/>
      <c r="L792" s="99"/>
      <c r="M792" s="99"/>
      <c r="N792" s="100"/>
      <c r="O792" s="124"/>
      <c r="P792" s="99"/>
      <c r="Q792" s="99"/>
      <c r="R792" s="99"/>
      <c r="S792" s="99"/>
      <c r="T792" s="99"/>
      <c r="U792" s="381"/>
      <c r="V792" s="381"/>
      <c r="W792" s="381"/>
      <c r="X792" s="381"/>
      <c r="Y792" s="381"/>
      <c r="Z792" s="381"/>
      <c r="AA792" s="381"/>
      <c r="AB792" s="381"/>
      <c r="AC792" s="381"/>
    </row>
    <row r="793">
      <c r="A793" s="395"/>
      <c r="B793" s="102"/>
      <c r="C793" s="110"/>
      <c r="D793" s="396"/>
      <c r="E793" s="397"/>
      <c r="F793" s="106"/>
      <c r="G793" s="106"/>
      <c r="H793" s="106"/>
      <c r="I793" s="396"/>
      <c r="J793" s="108"/>
      <c r="K793" s="107"/>
      <c r="L793" s="109"/>
      <c r="M793" s="109"/>
      <c r="N793" s="110"/>
      <c r="O793" s="123"/>
      <c r="P793" s="109"/>
      <c r="Q793" s="109"/>
      <c r="R793" s="109"/>
      <c r="S793" s="109"/>
      <c r="T793" s="109"/>
      <c r="U793" s="381"/>
      <c r="V793" s="381"/>
      <c r="W793" s="381"/>
      <c r="X793" s="381"/>
      <c r="Y793" s="381"/>
      <c r="Z793" s="381"/>
      <c r="AA793" s="381"/>
      <c r="AB793" s="381"/>
      <c r="AC793" s="381"/>
    </row>
    <row r="794">
      <c r="A794" s="398"/>
      <c r="B794" s="91"/>
      <c r="C794" s="100"/>
      <c r="D794" s="399"/>
      <c r="E794" s="400"/>
      <c r="F794" s="95"/>
      <c r="G794" s="95"/>
      <c r="H794" s="95"/>
      <c r="I794" s="399"/>
      <c r="J794" s="97"/>
      <c r="K794" s="96"/>
      <c r="L794" s="99"/>
      <c r="M794" s="99"/>
      <c r="N794" s="100"/>
      <c r="O794" s="124"/>
      <c r="P794" s="99"/>
      <c r="Q794" s="99"/>
      <c r="R794" s="99"/>
      <c r="S794" s="99"/>
      <c r="T794" s="99"/>
      <c r="U794" s="381"/>
      <c r="V794" s="381"/>
      <c r="W794" s="381"/>
      <c r="X794" s="381"/>
      <c r="Y794" s="381"/>
      <c r="Z794" s="381"/>
      <c r="AA794" s="381"/>
      <c r="AB794" s="381"/>
      <c r="AC794" s="381"/>
    </row>
    <row r="795">
      <c r="A795" s="395"/>
      <c r="B795" s="102"/>
      <c r="C795" s="110"/>
      <c r="D795" s="396"/>
      <c r="E795" s="397"/>
      <c r="F795" s="106"/>
      <c r="G795" s="106"/>
      <c r="H795" s="106"/>
      <c r="I795" s="396"/>
      <c r="J795" s="108"/>
      <c r="K795" s="107"/>
      <c r="L795" s="109"/>
      <c r="M795" s="109"/>
      <c r="N795" s="110"/>
      <c r="O795" s="123"/>
      <c r="P795" s="109"/>
      <c r="Q795" s="109"/>
      <c r="R795" s="109"/>
      <c r="S795" s="109"/>
      <c r="T795" s="109"/>
      <c r="U795" s="381"/>
      <c r="V795" s="381"/>
      <c r="W795" s="381"/>
      <c r="X795" s="381"/>
      <c r="Y795" s="381"/>
      <c r="Z795" s="381"/>
      <c r="AA795" s="381"/>
      <c r="AB795" s="381"/>
      <c r="AC795" s="381"/>
    </row>
    <row r="796">
      <c r="A796" s="398"/>
      <c r="B796" s="91"/>
      <c r="C796" s="100"/>
      <c r="D796" s="399"/>
      <c r="E796" s="400"/>
      <c r="F796" s="95"/>
      <c r="G796" s="95"/>
      <c r="H796" s="95"/>
      <c r="I796" s="399"/>
      <c r="J796" s="97"/>
      <c r="K796" s="96"/>
      <c r="L796" s="99"/>
      <c r="M796" s="99"/>
      <c r="N796" s="100"/>
      <c r="O796" s="124"/>
      <c r="P796" s="99"/>
      <c r="Q796" s="99"/>
      <c r="R796" s="99"/>
      <c r="S796" s="99"/>
      <c r="T796" s="99"/>
      <c r="U796" s="381"/>
      <c r="V796" s="381"/>
      <c r="W796" s="381"/>
      <c r="X796" s="381"/>
      <c r="Y796" s="381"/>
      <c r="Z796" s="381"/>
      <c r="AA796" s="381"/>
      <c r="AB796" s="381"/>
      <c r="AC796" s="381"/>
    </row>
    <row r="797">
      <c r="A797" s="395"/>
      <c r="B797" s="102"/>
      <c r="C797" s="110"/>
      <c r="D797" s="396"/>
      <c r="E797" s="397"/>
      <c r="F797" s="106"/>
      <c r="G797" s="106"/>
      <c r="H797" s="106"/>
      <c r="I797" s="396"/>
      <c r="J797" s="108"/>
      <c r="K797" s="107"/>
      <c r="L797" s="109"/>
      <c r="M797" s="109"/>
      <c r="N797" s="110"/>
      <c r="O797" s="123"/>
      <c r="P797" s="109"/>
      <c r="Q797" s="109"/>
      <c r="R797" s="109"/>
      <c r="S797" s="109"/>
      <c r="T797" s="109"/>
      <c r="U797" s="381"/>
      <c r="V797" s="381"/>
      <c r="W797" s="381"/>
      <c r="X797" s="381"/>
      <c r="Y797" s="381"/>
      <c r="Z797" s="381"/>
      <c r="AA797" s="381"/>
      <c r="AB797" s="381"/>
      <c r="AC797" s="381"/>
    </row>
    <row r="798">
      <c r="A798" s="398"/>
      <c r="B798" s="91"/>
      <c r="C798" s="100"/>
      <c r="D798" s="399"/>
      <c r="E798" s="400"/>
      <c r="F798" s="95"/>
      <c r="G798" s="95"/>
      <c r="H798" s="95"/>
      <c r="I798" s="399"/>
      <c r="J798" s="97"/>
      <c r="K798" s="96"/>
      <c r="L798" s="99"/>
      <c r="M798" s="99"/>
      <c r="N798" s="100"/>
      <c r="O798" s="124"/>
      <c r="P798" s="99"/>
      <c r="Q798" s="99"/>
      <c r="R798" s="99"/>
      <c r="S798" s="99"/>
      <c r="T798" s="99"/>
      <c r="U798" s="381"/>
      <c r="V798" s="381"/>
      <c r="W798" s="381"/>
      <c r="X798" s="381"/>
      <c r="Y798" s="381"/>
      <c r="Z798" s="381"/>
      <c r="AA798" s="381"/>
      <c r="AB798" s="381"/>
      <c r="AC798" s="381"/>
    </row>
    <row r="799">
      <c r="A799" s="395"/>
      <c r="B799" s="102"/>
      <c r="C799" s="110"/>
      <c r="D799" s="396"/>
      <c r="E799" s="397"/>
      <c r="F799" s="106"/>
      <c r="G799" s="106"/>
      <c r="H799" s="106"/>
      <c r="I799" s="396"/>
      <c r="J799" s="108"/>
      <c r="K799" s="107"/>
      <c r="L799" s="109"/>
      <c r="M799" s="109"/>
      <c r="N799" s="110"/>
      <c r="O799" s="123"/>
      <c r="P799" s="109"/>
      <c r="Q799" s="109"/>
      <c r="R799" s="109"/>
      <c r="S799" s="109"/>
      <c r="T799" s="109"/>
      <c r="U799" s="381"/>
      <c r="V799" s="381"/>
      <c r="W799" s="381"/>
      <c r="X799" s="381"/>
      <c r="Y799" s="381"/>
      <c r="Z799" s="381"/>
      <c r="AA799" s="381"/>
      <c r="AB799" s="381"/>
      <c r="AC799" s="381"/>
    </row>
    <row r="800">
      <c r="A800" s="398"/>
      <c r="B800" s="91"/>
      <c r="C800" s="100"/>
      <c r="D800" s="399"/>
      <c r="E800" s="400"/>
      <c r="F800" s="95"/>
      <c r="G800" s="95"/>
      <c r="H800" s="95"/>
      <c r="I800" s="399"/>
      <c r="J800" s="97"/>
      <c r="K800" s="96"/>
      <c r="L800" s="99"/>
      <c r="M800" s="99"/>
      <c r="N800" s="100"/>
      <c r="O800" s="124"/>
      <c r="P800" s="99"/>
      <c r="Q800" s="99"/>
      <c r="R800" s="99"/>
      <c r="S800" s="99"/>
      <c r="T800" s="99"/>
      <c r="U800" s="381"/>
      <c r="V800" s="381"/>
      <c r="W800" s="381"/>
      <c r="X800" s="381"/>
      <c r="Y800" s="381"/>
      <c r="Z800" s="381"/>
      <c r="AA800" s="381"/>
      <c r="AB800" s="381"/>
      <c r="AC800" s="381"/>
    </row>
    <row r="801">
      <c r="A801" s="395"/>
      <c r="B801" s="102"/>
      <c r="C801" s="110"/>
      <c r="D801" s="396"/>
      <c r="E801" s="397"/>
      <c r="F801" s="106"/>
      <c r="G801" s="106"/>
      <c r="H801" s="106"/>
      <c r="I801" s="396"/>
      <c r="J801" s="108"/>
      <c r="K801" s="107"/>
      <c r="L801" s="109"/>
      <c r="M801" s="109"/>
      <c r="N801" s="110"/>
      <c r="O801" s="123"/>
      <c r="P801" s="109"/>
      <c r="Q801" s="109"/>
      <c r="R801" s="109"/>
      <c r="S801" s="109"/>
      <c r="T801" s="109"/>
      <c r="U801" s="381"/>
      <c r="V801" s="381"/>
      <c r="W801" s="381"/>
      <c r="X801" s="381"/>
      <c r="Y801" s="381"/>
      <c r="Z801" s="381"/>
      <c r="AA801" s="381"/>
      <c r="AB801" s="381"/>
      <c r="AC801" s="381"/>
    </row>
    <row r="802">
      <c r="A802" s="398"/>
      <c r="B802" s="91"/>
      <c r="C802" s="100"/>
      <c r="D802" s="399"/>
      <c r="E802" s="400"/>
      <c r="F802" s="95"/>
      <c r="G802" s="95"/>
      <c r="H802" s="95"/>
      <c r="I802" s="399"/>
      <c r="J802" s="97"/>
      <c r="K802" s="96"/>
      <c r="L802" s="99"/>
      <c r="M802" s="99"/>
      <c r="N802" s="100"/>
      <c r="O802" s="124"/>
      <c r="P802" s="99"/>
      <c r="Q802" s="99"/>
      <c r="R802" s="99"/>
      <c r="S802" s="99"/>
      <c r="T802" s="99"/>
      <c r="U802" s="381"/>
      <c r="V802" s="381"/>
      <c r="W802" s="381"/>
      <c r="X802" s="381"/>
      <c r="Y802" s="381"/>
      <c r="Z802" s="381"/>
      <c r="AA802" s="381"/>
      <c r="AB802" s="381"/>
      <c r="AC802" s="381"/>
    </row>
    <row r="803">
      <c r="A803" s="395"/>
      <c r="B803" s="102"/>
      <c r="C803" s="110"/>
      <c r="D803" s="396"/>
      <c r="E803" s="397"/>
      <c r="F803" s="106"/>
      <c r="G803" s="106"/>
      <c r="H803" s="106"/>
      <c r="I803" s="396"/>
      <c r="J803" s="108"/>
      <c r="K803" s="107"/>
      <c r="L803" s="109"/>
      <c r="M803" s="109"/>
      <c r="N803" s="110"/>
      <c r="O803" s="123"/>
      <c r="P803" s="109"/>
      <c r="Q803" s="109"/>
      <c r="R803" s="109"/>
      <c r="S803" s="109"/>
      <c r="T803" s="109"/>
      <c r="U803" s="381"/>
      <c r="V803" s="381"/>
      <c r="W803" s="381"/>
      <c r="X803" s="381"/>
      <c r="Y803" s="381"/>
      <c r="Z803" s="381"/>
      <c r="AA803" s="381"/>
      <c r="AB803" s="381"/>
      <c r="AC803" s="381"/>
    </row>
    <row r="804">
      <c r="A804" s="398"/>
      <c r="B804" s="91"/>
      <c r="C804" s="100"/>
      <c r="D804" s="399"/>
      <c r="E804" s="400"/>
      <c r="F804" s="95"/>
      <c r="G804" s="95"/>
      <c r="H804" s="95"/>
      <c r="I804" s="399"/>
      <c r="J804" s="97"/>
      <c r="K804" s="96"/>
      <c r="L804" s="99"/>
      <c r="M804" s="99"/>
      <c r="N804" s="100"/>
      <c r="O804" s="124"/>
      <c r="P804" s="99"/>
      <c r="Q804" s="99"/>
      <c r="R804" s="99"/>
      <c r="S804" s="99"/>
      <c r="T804" s="99"/>
      <c r="U804" s="381"/>
      <c r="V804" s="381"/>
      <c r="W804" s="381"/>
      <c r="X804" s="381"/>
      <c r="Y804" s="381"/>
      <c r="Z804" s="381"/>
      <c r="AA804" s="381"/>
      <c r="AB804" s="381"/>
      <c r="AC804" s="381"/>
    </row>
    <row r="805">
      <c r="A805" s="395"/>
      <c r="B805" s="102"/>
      <c r="C805" s="110"/>
      <c r="D805" s="396"/>
      <c r="E805" s="397"/>
      <c r="F805" s="106"/>
      <c r="G805" s="106"/>
      <c r="H805" s="106"/>
      <c r="I805" s="396"/>
      <c r="J805" s="108"/>
      <c r="K805" s="107"/>
      <c r="L805" s="109"/>
      <c r="M805" s="109"/>
      <c r="N805" s="110"/>
      <c r="O805" s="123"/>
      <c r="P805" s="109"/>
      <c r="Q805" s="109"/>
      <c r="R805" s="109"/>
      <c r="S805" s="109"/>
      <c r="T805" s="109"/>
      <c r="U805" s="381"/>
      <c r="V805" s="381"/>
      <c r="W805" s="381"/>
      <c r="X805" s="381"/>
      <c r="Y805" s="381"/>
      <c r="Z805" s="381"/>
      <c r="AA805" s="381"/>
      <c r="AB805" s="381"/>
      <c r="AC805" s="381"/>
    </row>
    <row r="806">
      <c r="A806" s="398"/>
      <c r="B806" s="91"/>
      <c r="C806" s="100"/>
      <c r="D806" s="399"/>
      <c r="E806" s="400"/>
      <c r="F806" s="95"/>
      <c r="G806" s="95"/>
      <c r="H806" s="95"/>
      <c r="I806" s="399"/>
      <c r="J806" s="97"/>
      <c r="K806" s="96"/>
      <c r="L806" s="99"/>
      <c r="M806" s="99"/>
      <c r="N806" s="100"/>
      <c r="O806" s="124"/>
      <c r="P806" s="99"/>
      <c r="Q806" s="99"/>
      <c r="R806" s="99"/>
      <c r="S806" s="99"/>
      <c r="T806" s="99"/>
      <c r="U806" s="381"/>
      <c r="V806" s="381"/>
      <c r="W806" s="381"/>
      <c r="X806" s="381"/>
      <c r="Y806" s="381"/>
      <c r="Z806" s="381"/>
      <c r="AA806" s="381"/>
      <c r="AB806" s="381"/>
      <c r="AC806" s="381"/>
    </row>
    <row r="807">
      <c r="A807" s="395"/>
      <c r="B807" s="102"/>
      <c r="C807" s="110"/>
      <c r="D807" s="396"/>
      <c r="E807" s="397"/>
      <c r="F807" s="106"/>
      <c r="G807" s="106"/>
      <c r="H807" s="106"/>
      <c r="I807" s="396"/>
      <c r="J807" s="108"/>
      <c r="K807" s="107"/>
      <c r="L807" s="109"/>
      <c r="M807" s="109"/>
      <c r="N807" s="110"/>
      <c r="O807" s="123"/>
      <c r="P807" s="109"/>
      <c r="Q807" s="109"/>
      <c r="R807" s="109"/>
      <c r="S807" s="109"/>
      <c r="T807" s="109"/>
      <c r="U807" s="381"/>
      <c r="V807" s="381"/>
      <c r="W807" s="381"/>
      <c r="X807" s="381"/>
      <c r="Y807" s="381"/>
      <c r="Z807" s="381"/>
      <c r="AA807" s="381"/>
      <c r="AB807" s="381"/>
      <c r="AC807" s="381"/>
    </row>
    <row r="808">
      <c r="A808" s="398"/>
      <c r="B808" s="91"/>
      <c r="C808" s="100"/>
      <c r="D808" s="399"/>
      <c r="E808" s="400"/>
      <c r="F808" s="95"/>
      <c r="G808" s="95"/>
      <c r="H808" s="95"/>
      <c r="I808" s="399"/>
      <c r="J808" s="97"/>
      <c r="K808" s="96"/>
      <c r="L808" s="99"/>
      <c r="M808" s="99"/>
      <c r="N808" s="100"/>
      <c r="O808" s="124"/>
      <c r="P808" s="99"/>
      <c r="Q808" s="99"/>
      <c r="R808" s="99"/>
      <c r="S808" s="99"/>
      <c r="T808" s="99"/>
      <c r="U808" s="381"/>
      <c r="V808" s="381"/>
      <c r="W808" s="381"/>
      <c r="X808" s="381"/>
      <c r="Y808" s="381"/>
      <c r="Z808" s="381"/>
      <c r="AA808" s="381"/>
      <c r="AB808" s="381"/>
      <c r="AC808" s="381"/>
    </row>
    <row r="809">
      <c r="A809" s="395"/>
      <c r="B809" s="102"/>
      <c r="C809" s="110"/>
      <c r="D809" s="396"/>
      <c r="E809" s="397"/>
      <c r="F809" s="106"/>
      <c r="G809" s="106"/>
      <c r="H809" s="106"/>
      <c r="I809" s="396"/>
      <c r="J809" s="108"/>
      <c r="K809" s="107"/>
      <c r="L809" s="109"/>
      <c r="M809" s="109"/>
      <c r="N809" s="110"/>
      <c r="O809" s="123"/>
      <c r="P809" s="109"/>
      <c r="Q809" s="109"/>
      <c r="R809" s="109"/>
      <c r="S809" s="109"/>
      <c r="T809" s="109"/>
      <c r="U809" s="381"/>
      <c r="V809" s="381"/>
      <c r="W809" s="381"/>
      <c r="X809" s="381"/>
      <c r="Y809" s="381"/>
      <c r="Z809" s="381"/>
      <c r="AA809" s="381"/>
      <c r="AB809" s="381"/>
      <c r="AC809" s="381"/>
    </row>
    <row r="810">
      <c r="A810" s="398"/>
      <c r="B810" s="91"/>
      <c r="C810" s="100"/>
      <c r="D810" s="399"/>
      <c r="E810" s="400"/>
      <c r="F810" s="95"/>
      <c r="G810" s="95"/>
      <c r="H810" s="95"/>
      <c r="I810" s="399"/>
      <c r="J810" s="97"/>
      <c r="K810" s="96"/>
      <c r="L810" s="99"/>
      <c r="M810" s="99"/>
      <c r="N810" s="100"/>
      <c r="O810" s="124"/>
      <c r="P810" s="99"/>
      <c r="Q810" s="99"/>
      <c r="R810" s="99"/>
      <c r="S810" s="99"/>
      <c r="T810" s="99"/>
      <c r="U810" s="381"/>
      <c r="V810" s="381"/>
      <c r="W810" s="381"/>
      <c r="X810" s="381"/>
      <c r="Y810" s="381"/>
      <c r="Z810" s="381"/>
      <c r="AA810" s="381"/>
      <c r="AB810" s="381"/>
      <c r="AC810" s="381"/>
    </row>
    <row r="811">
      <c r="A811" s="395"/>
      <c r="B811" s="102"/>
      <c r="C811" s="110"/>
      <c r="D811" s="396"/>
      <c r="E811" s="397"/>
      <c r="F811" s="106"/>
      <c r="G811" s="106"/>
      <c r="H811" s="106"/>
      <c r="I811" s="396"/>
      <c r="J811" s="108"/>
      <c r="K811" s="107"/>
      <c r="L811" s="109"/>
      <c r="M811" s="109"/>
      <c r="N811" s="110"/>
      <c r="O811" s="123"/>
      <c r="P811" s="109"/>
      <c r="Q811" s="109"/>
      <c r="R811" s="109"/>
      <c r="S811" s="109"/>
      <c r="T811" s="109"/>
      <c r="U811" s="381"/>
      <c r="V811" s="381"/>
      <c r="W811" s="381"/>
      <c r="X811" s="381"/>
      <c r="Y811" s="381"/>
      <c r="Z811" s="381"/>
      <c r="AA811" s="381"/>
      <c r="AB811" s="381"/>
      <c r="AC811" s="381"/>
    </row>
    <row r="812">
      <c r="A812" s="398"/>
      <c r="B812" s="91"/>
      <c r="C812" s="100"/>
      <c r="D812" s="399"/>
      <c r="E812" s="400"/>
      <c r="F812" s="95"/>
      <c r="G812" s="95"/>
      <c r="H812" s="95"/>
      <c r="I812" s="399"/>
      <c r="J812" s="97"/>
      <c r="K812" s="96"/>
      <c r="L812" s="99"/>
      <c r="M812" s="99"/>
      <c r="N812" s="100"/>
      <c r="O812" s="124"/>
      <c r="P812" s="99"/>
      <c r="Q812" s="99"/>
      <c r="R812" s="99"/>
      <c r="S812" s="99"/>
      <c r="T812" s="99"/>
      <c r="U812" s="381"/>
      <c r="V812" s="381"/>
      <c r="W812" s="381"/>
      <c r="X812" s="381"/>
      <c r="Y812" s="381"/>
      <c r="Z812" s="381"/>
      <c r="AA812" s="381"/>
      <c r="AB812" s="381"/>
      <c r="AC812" s="381"/>
    </row>
    <row r="813">
      <c r="A813" s="395"/>
      <c r="B813" s="102"/>
      <c r="C813" s="110"/>
      <c r="D813" s="396"/>
      <c r="E813" s="397"/>
      <c r="F813" s="106"/>
      <c r="G813" s="106"/>
      <c r="H813" s="106"/>
      <c r="I813" s="396"/>
      <c r="J813" s="108"/>
      <c r="K813" s="107"/>
      <c r="L813" s="109"/>
      <c r="M813" s="109"/>
      <c r="N813" s="110"/>
      <c r="O813" s="123"/>
      <c r="P813" s="109"/>
      <c r="Q813" s="109"/>
      <c r="R813" s="109"/>
      <c r="S813" s="109"/>
      <c r="T813" s="109"/>
      <c r="U813" s="381"/>
      <c r="V813" s="381"/>
      <c r="W813" s="381"/>
      <c r="X813" s="381"/>
      <c r="Y813" s="381"/>
      <c r="Z813" s="381"/>
      <c r="AA813" s="381"/>
      <c r="AB813" s="381"/>
      <c r="AC813" s="381"/>
    </row>
    <row r="814">
      <c r="A814" s="398"/>
      <c r="B814" s="91"/>
      <c r="C814" s="100"/>
      <c r="D814" s="399"/>
      <c r="E814" s="400"/>
      <c r="F814" s="95"/>
      <c r="G814" s="95"/>
      <c r="H814" s="95"/>
      <c r="I814" s="399"/>
      <c r="J814" s="97"/>
      <c r="K814" s="96"/>
      <c r="L814" s="99"/>
      <c r="M814" s="99"/>
      <c r="N814" s="100"/>
      <c r="O814" s="124"/>
      <c r="P814" s="99"/>
      <c r="Q814" s="99"/>
      <c r="R814" s="99"/>
      <c r="S814" s="99"/>
      <c r="T814" s="99"/>
      <c r="U814" s="381"/>
      <c r="V814" s="381"/>
      <c r="W814" s="381"/>
      <c r="X814" s="381"/>
      <c r="Y814" s="381"/>
      <c r="Z814" s="381"/>
      <c r="AA814" s="381"/>
      <c r="AB814" s="381"/>
      <c r="AC814" s="381"/>
    </row>
    <row r="815">
      <c r="A815" s="395"/>
      <c r="B815" s="102"/>
      <c r="C815" s="110"/>
      <c r="D815" s="396"/>
      <c r="E815" s="397"/>
      <c r="F815" s="106"/>
      <c r="G815" s="106"/>
      <c r="H815" s="106"/>
      <c r="I815" s="396"/>
      <c r="J815" s="108"/>
      <c r="K815" s="107"/>
      <c r="L815" s="109"/>
      <c r="M815" s="109"/>
      <c r="N815" s="110"/>
      <c r="O815" s="123"/>
      <c r="P815" s="109"/>
      <c r="Q815" s="109"/>
      <c r="R815" s="109"/>
      <c r="S815" s="109"/>
      <c r="T815" s="109"/>
      <c r="U815" s="381"/>
      <c r="V815" s="381"/>
      <c r="W815" s="381"/>
      <c r="X815" s="381"/>
      <c r="Y815" s="381"/>
      <c r="Z815" s="381"/>
      <c r="AA815" s="381"/>
      <c r="AB815" s="381"/>
      <c r="AC815" s="381"/>
    </row>
    <row r="816">
      <c r="A816" s="398"/>
      <c r="B816" s="91"/>
      <c r="C816" s="100"/>
      <c r="D816" s="399"/>
      <c r="E816" s="400"/>
      <c r="F816" s="95"/>
      <c r="G816" s="95"/>
      <c r="H816" s="95"/>
      <c r="I816" s="399"/>
      <c r="J816" s="97"/>
      <c r="K816" s="96"/>
      <c r="L816" s="99"/>
      <c r="M816" s="99"/>
      <c r="N816" s="100"/>
      <c r="O816" s="124"/>
      <c r="P816" s="99"/>
      <c r="Q816" s="99"/>
      <c r="R816" s="99"/>
      <c r="S816" s="99"/>
      <c r="T816" s="99"/>
      <c r="U816" s="381"/>
      <c r="V816" s="381"/>
      <c r="W816" s="381"/>
      <c r="X816" s="381"/>
      <c r="Y816" s="381"/>
      <c r="Z816" s="381"/>
      <c r="AA816" s="381"/>
      <c r="AB816" s="381"/>
      <c r="AC816" s="381"/>
    </row>
    <row r="817">
      <c r="A817" s="395"/>
      <c r="B817" s="102"/>
      <c r="C817" s="110"/>
      <c r="D817" s="396"/>
      <c r="E817" s="397"/>
      <c r="F817" s="106"/>
      <c r="G817" s="106"/>
      <c r="H817" s="106"/>
      <c r="I817" s="396"/>
      <c r="J817" s="108"/>
      <c r="K817" s="107"/>
      <c r="L817" s="109"/>
      <c r="M817" s="109"/>
      <c r="N817" s="110"/>
      <c r="O817" s="123"/>
      <c r="P817" s="109"/>
      <c r="Q817" s="109"/>
      <c r="R817" s="109"/>
      <c r="S817" s="109"/>
      <c r="T817" s="109"/>
      <c r="U817" s="381"/>
      <c r="V817" s="381"/>
      <c r="W817" s="381"/>
      <c r="X817" s="381"/>
      <c r="Y817" s="381"/>
      <c r="Z817" s="381"/>
      <c r="AA817" s="381"/>
      <c r="AB817" s="381"/>
      <c r="AC817" s="381"/>
    </row>
    <row r="818">
      <c r="A818" s="398"/>
      <c r="B818" s="91"/>
      <c r="C818" s="100"/>
      <c r="D818" s="399"/>
      <c r="E818" s="400"/>
      <c r="F818" s="95"/>
      <c r="G818" s="95"/>
      <c r="H818" s="95"/>
      <c r="I818" s="399"/>
      <c r="J818" s="97"/>
      <c r="K818" s="96"/>
      <c r="L818" s="99"/>
      <c r="M818" s="99"/>
      <c r="N818" s="100"/>
      <c r="O818" s="124"/>
      <c r="P818" s="99"/>
      <c r="Q818" s="99"/>
      <c r="R818" s="99"/>
      <c r="S818" s="99"/>
      <c r="T818" s="99"/>
      <c r="U818" s="381"/>
      <c r="V818" s="381"/>
      <c r="W818" s="381"/>
      <c r="X818" s="381"/>
      <c r="Y818" s="381"/>
      <c r="Z818" s="381"/>
      <c r="AA818" s="381"/>
      <c r="AB818" s="381"/>
      <c r="AC818" s="381"/>
    </row>
    <row r="819">
      <c r="A819" s="395"/>
      <c r="B819" s="102"/>
      <c r="C819" s="110"/>
      <c r="D819" s="396"/>
      <c r="E819" s="397"/>
      <c r="F819" s="106"/>
      <c r="G819" s="106"/>
      <c r="H819" s="106"/>
      <c r="I819" s="396"/>
      <c r="J819" s="108"/>
      <c r="K819" s="107"/>
      <c r="L819" s="109"/>
      <c r="M819" s="109"/>
      <c r="N819" s="110"/>
      <c r="O819" s="123"/>
      <c r="P819" s="109"/>
      <c r="Q819" s="109"/>
      <c r="R819" s="109"/>
      <c r="S819" s="109"/>
      <c r="T819" s="109"/>
      <c r="U819" s="381"/>
      <c r="V819" s="381"/>
      <c r="W819" s="381"/>
      <c r="X819" s="381"/>
      <c r="Y819" s="381"/>
      <c r="Z819" s="381"/>
      <c r="AA819" s="381"/>
      <c r="AB819" s="381"/>
      <c r="AC819" s="381"/>
    </row>
    <row r="820">
      <c r="A820" s="398"/>
      <c r="B820" s="91"/>
      <c r="C820" s="100"/>
      <c r="D820" s="399"/>
      <c r="E820" s="400"/>
      <c r="F820" s="95"/>
      <c r="G820" s="95"/>
      <c r="H820" s="95"/>
      <c r="I820" s="399"/>
      <c r="J820" s="97"/>
      <c r="K820" s="96"/>
      <c r="L820" s="99"/>
      <c r="M820" s="99"/>
      <c r="N820" s="100"/>
      <c r="O820" s="124"/>
      <c r="P820" s="99"/>
      <c r="Q820" s="99"/>
      <c r="R820" s="99"/>
      <c r="S820" s="99"/>
      <c r="T820" s="99"/>
      <c r="U820" s="381"/>
      <c r="V820" s="381"/>
      <c r="W820" s="381"/>
      <c r="X820" s="381"/>
      <c r="Y820" s="381"/>
      <c r="Z820" s="381"/>
      <c r="AA820" s="381"/>
      <c r="AB820" s="381"/>
      <c r="AC820" s="381"/>
    </row>
    <row r="821">
      <c r="A821" s="395"/>
      <c r="B821" s="102"/>
      <c r="C821" s="110"/>
      <c r="D821" s="396"/>
      <c r="E821" s="397"/>
      <c r="F821" s="106"/>
      <c r="G821" s="106"/>
      <c r="H821" s="106"/>
      <c r="I821" s="396"/>
      <c r="J821" s="108"/>
      <c r="K821" s="107"/>
      <c r="L821" s="109"/>
      <c r="M821" s="109"/>
      <c r="N821" s="110"/>
      <c r="O821" s="123"/>
      <c r="P821" s="109"/>
      <c r="Q821" s="109"/>
      <c r="R821" s="109"/>
      <c r="S821" s="109"/>
      <c r="T821" s="109"/>
      <c r="U821" s="381"/>
      <c r="V821" s="381"/>
      <c r="W821" s="381"/>
      <c r="X821" s="381"/>
      <c r="Y821" s="381"/>
      <c r="Z821" s="381"/>
      <c r="AA821" s="381"/>
      <c r="AB821" s="381"/>
      <c r="AC821" s="381"/>
    </row>
    <row r="822">
      <c r="A822" s="398"/>
      <c r="B822" s="91"/>
      <c r="C822" s="100"/>
      <c r="D822" s="399"/>
      <c r="E822" s="400"/>
      <c r="F822" s="95"/>
      <c r="G822" s="95"/>
      <c r="H822" s="95"/>
      <c r="I822" s="399"/>
      <c r="J822" s="97"/>
      <c r="K822" s="96"/>
      <c r="L822" s="99"/>
      <c r="M822" s="99"/>
      <c r="N822" s="100"/>
      <c r="O822" s="124"/>
      <c r="P822" s="99"/>
      <c r="Q822" s="99"/>
      <c r="R822" s="99"/>
      <c r="S822" s="99"/>
      <c r="T822" s="99"/>
      <c r="U822" s="381"/>
      <c r="V822" s="381"/>
      <c r="W822" s="381"/>
      <c r="X822" s="381"/>
      <c r="Y822" s="381"/>
      <c r="Z822" s="381"/>
      <c r="AA822" s="381"/>
      <c r="AB822" s="381"/>
      <c r="AC822" s="381"/>
    </row>
    <row r="823">
      <c r="A823" s="395"/>
      <c r="B823" s="102"/>
      <c r="C823" s="110"/>
      <c r="D823" s="396"/>
      <c r="E823" s="397"/>
      <c r="F823" s="106"/>
      <c r="G823" s="106"/>
      <c r="H823" s="106"/>
      <c r="I823" s="396"/>
      <c r="J823" s="108"/>
      <c r="K823" s="107"/>
      <c r="L823" s="109"/>
      <c r="M823" s="109"/>
      <c r="N823" s="110"/>
      <c r="O823" s="123"/>
      <c r="P823" s="109"/>
      <c r="Q823" s="109"/>
      <c r="R823" s="109"/>
      <c r="S823" s="109"/>
      <c r="T823" s="109"/>
      <c r="U823" s="381"/>
      <c r="V823" s="381"/>
      <c r="W823" s="381"/>
      <c r="X823" s="381"/>
      <c r="Y823" s="381"/>
      <c r="Z823" s="381"/>
      <c r="AA823" s="381"/>
      <c r="AB823" s="381"/>
      <c r="AC823" s="381"/>
    </row>
    <row r="824">
      <c r="A824" s="398"/>
      <c r="B824" s="91"/>
      <c r="C824" s="100"/>
      <c r="D824" s="399"/>
      <c r="E824" s="400"/>
      <c r="F824" s="95"/>
      <c r="G824" s="95"/>
      <c r="H824" s="95"/>
      <c r="I824" s="399"/>
      <c r="J824" s="97"/>
      <c r="K824" s="96"/>
      <c r="L824" s="99"/>
      <c r="M824" s="99"/>
      <c r="N824" s="100"/>
      <c r="O824" s="124"/>
      <c r="P824" s="99"/>
      <c r="Q824" s="99"/>
      <c r="R824" s="99"/>
      <c r="S824" s="99"/>
      <c r="T824" s="99"/>
      <c r="U824" s="381"/>
      <c r="V824" s="381"/>
      <c r="W824" s="381"/>
      <c r="X824" s="381"/>
      <c r="Y824" s="381"/>
      <c r="Z824" s="381"/>
      <c r="AA824" s="381"/>
      <c r="AB824" s="381"/>
      <c r="AC824" s="381"/>
    </row>
    <row r="825">
      <c r="A825" s="395"/>
      <c r="B825" s="102"/>
      <c r="C825" s="110"/>
      <c r="D825" s="396"/>
      <c r="E825" s="397"/>
      <c r="F825" s="106"/>
      <c r="G825" s="106"/>
      <c r="H825" s="106"/>
      <c r="I825" s="396"/>
      <c r="J825" s="108"/>
      <c r="K825" s="107"/>
      <c r="L825" s="109"/>
      <c r="M825" s="109"/>
      <c r="N825" s="110"/>
      <c r="O825" s="123"/>
      <c r="P825" s="109"/>
      <c r="Q825" s="109"/>
      <c r="R825" s="109"/>
      <c r="S825" s="109"/>
      <c r="T825" s="109"/>
      <c r="U825" s="381"/>
      <c r="V825" s="381"/>
      <c r="W825" s="381"/>
      <c r="X825" s="381"/>
      <c r="Y825" s="381"/>
      <c r="Z825" s="381"/>
      <c r="AA825" s="381"/>
      <c r="AB825" s="381"/>
      <c r="AC825" s="381"/>
    </row>
    <row r="826">
      <c r="A826" s="398"/>
      <c r="B826" s="91"/>
      <c r="C826" s="100"/>
      <c r="D826" s="399"/>
      <c r="E826" s="400"/>
      <c r="F826" s="95"/>
      <c r="G826" s="95"/>
      <c r="H826" s="95"/>
      <c r="I826" s="399"/>
      <c r="J826" s="97"/>
      <c r="K826" s="96"/>
      <c r="L826" s="99"/>
      <c r="M826" s="99"/>
      <c r="N826" s="100"/>
      <c r="O826" s="124"/>
      <c r="P826" s="99"/>
      <c r="Q826" s="99"/>
      <c r="R826" s="99"/>
      <c r="S826" s="99"/>
      <c r="T826" s="99"/>
      <c r="U826" s="381"/>
      <c r="V826" s="381"/>
      <c r="W826" s="381"/>
      <c r="X826" s="381"/>
      <c r="Y826" s="381"/>
      <c r="Z826" s="381"/>
      <c r="AA826" s="381"/>
      <c r="AB826" s="381"/>
      <c r="AC826" s="381"/>
    </row>
    <row r="827">
      <c r="A827" s="395"/>
      <c r="B827" s="102"/>
      <c r="C827" s="110"/>
      <c r="D827" s="396"/>
      <c r="E827" s="397"/>
      <c r="F827" s="106"/>
      <c r="G827" s="106"/>
      <c r="H827" s="106"/>
      <c r="I827" s="396"/>
      <c r="J827" s="108"/>
      <c r="K827" s="107"/>
      <c r="L827" s="109"/>
      <c r="M827" s="109"/>
      <c r="N827" s="110"/>
      <c r="O827" s="123"/>
      <c r="P827" s="109"/>
      <c r="Q827" s="109"/>
      <c r="R827" s="109"/>
      <c r="S827" s="109"/>
      <c r="T827" s="109"/>
      <c r="U827" s="381"/>
      <c r="V827" s="381"/>
      <c r="W827" s="381"/>
      <c r="X827" s="381"/>
      <c r="Y827" s="381"/>
      <c r="Z827" s="381"/>
      <c r="AA827" s="381"/>
      <c r="AB827" s="381"/>
      <c r="AC827" s="381"/>
    </row>
    <row r="828">
      <c r="A828" s="398"/>
      <c r="B828" s="91"/>
      <c r="C828" s="100"/>
      <c r="D828" s="399"/>
      <c r="E828" s="400"/>
      <c r="F828" s="95"/>
      <c r="G828" s="95"/>
      <c r="H828" s="95"/>
      <c r="I828" s="399"/>
      <c r="J828" s="97"/>
      <c r="K828" s="96"/>
      <c r="L828" s="99"/>
      <c r="M828" s="99"/>
      <c r="N828" s="100"/>
      <c r="O828" s="124"/>
      <c r="P828" s="99"/>
      <c r="Q828" s="99"/>
      <c r="R828" s="99"/>
      <c r="S828" s="99"/>
      <c r="T828" s="99"/>
      <c r="U828" s="381"/>
      <c r="V828" s="381"/>
      <c r="W828" s="381"/>
      <c r="X828" s="381"/>
      <c r="Y828" s="381"/>
      <c r="Z828" s="381"/>
      <c r="AA828" s="381"/>
      <c r="AB828" s="381"/>
      <c r="AC828" s="381"/>
    </row>
    <row r="829">
      <c r="A829" s="395"/>
      <c r="B829" s="102"/>
      <c r="C829" s="110"/>
      <c r="D829" s="396"/>
      <c r="E829" s="397"/>
      <c r="F829" s="106"/>
      <c r="G829" s="106"/>
      <c r="H829" s="106"/>
      <c r="I829" s="396"/>
      <c r="J829" s="108"/>
      <c r="K829" s="107"/>
      <c r="L829" s="109"/>
      <c r="M829" s="109"/>
      <c r="N829" s="110"/>
      <c r="O829" s="123"/>
      <c r="P829" s="109"/>
      <c r="Q829" s="109"/>
      <c r="R829" s="109"/>
      <c r="S829" s="109"/>
      <c r="T829" s="109"/>
      <c r="U829" s="381"/>
      <c r="V829" s="381"/>
      <c r="W829" s="381"/>
      <c r="X829" s="381"/>
      <c r="Y829" s="381"/>
      <c r="Z829" s="381"/>
      <c r="AA829" s="381"/>
      <c r="AB829" s="381"/>
      <c r="AC829" s="381"/>
    </row>
    <row r="830">
      <c r="A830" s="398"/>
      <c r="B830" s="91"/>
      <c r="C830" s="100"/>
      <c r="D830" s="399"/>
      <c r="E830" s="400"/>
      <c r="F830" s="95"/>
      <c r="G830" s="95"/>
      <c r="H830" s="95"/>
      <c r="I830" s="399"/>
      <c r="J830" s="97"/>
      <c r="K830" s="96"/>
      <c r="L830" s="99"/>
      <c r="M830" s="99"/>
      <c r="N830" s="100"/>
      <c r="O830" s="124"/>
      <c r="P830" s="99"/>
      <c r="Q830" s="99"/>
      <c r="R830" s="99"/>
      <c r="S830" s="99"/>
      <c r="T830" s="99"/>
      <c r="U830" s="381"/>
      <c r="V830" s="381"/>
      <c r="W830" s="381"/>
      <c r="X830" s="381"/>
      <c r="Y830" s="381"/>
      <c r="Z830" s="381"/>
      <c r="AA830" s="381"/>
      <c r="AB830" s="381"/>
      <c r="AC830" s="381"/>
    </row>
    <row r="831">
      <c r="A831" s="395"/>
      <c r="B831" s="102"/>
      <c r="C831" s="110"/>
      <c r="D831" s="396"/>
      <c r="E831" s="397"/>
      <c r="F831" s="106"/>
      <c r="G831" s="106"/>
      <c r="H831" s="106"/>
      <c r="I831" s="396"/>
      <c r="J831" s="108"/>
      <c r="K831" s="107"/>
      <c r="L831" s="109"/>
      <c r="M831" s="109"/>
      <c r="N831" s="110"/>
      <c r="O831" s="123"/>
      <c r="P831" s="109"/>
      <c r="Q831" s="109"/>
      <c r="R831" s="109"/>
      <c r="S831" s="109"/>
      <c r="T831" s="109"/>
      <c r="U831" s="381"/>
      <c r="V831" s="381"/>
      <c r="W831" s="381"/>
      <c r="X831" s="381"/>
      <c r="Y831" s="381"/>
      <c r="Z831" s="381"/>
      <c r="AA831" s="381"/>
      <c r="AB831" s="381"/>
      <c r="AC831" s="381"/>
    </row>
    <row r="832">
      <c r="A832" s="398"/>
      <c r="B832" s="91"/>
      <c r="C832" s="100"/>
      <c r="D832" s="399"/>
      <c r="E832" s="400"/>
      <c r="F832" s="95"/>
      <c r="G832" s="95"/>
      <c r="H832" s="95"/>
      <c r="I832" s="399"/>
      <c r="J832" s="97"/>
      <c r="K832" s="96"/>
      <c r="L832" s="99"/>
      <c r="M832" s="99"/>
      <c r="N832" s="100"/>
      <c r="O832" s="124"/>
      <c r="P832" s="99"/>
      <c r="Q832" s="99"/>
      <c r="R832" s="99"/>
      <c r="S832" s="99"/>
      <c r="T832" s="99"/>
      <c r="U832" s="381"/>
      <c r="V832" s="381"/>
      <c r="W832" s="381"/>
      <c r="X832" s="381"/>
      <c r="Y832" s="381"/>
      <c r="Z832" s="381"/>
      <c r="AA832" s="381"/>
      <c r="AB832" s="381"/>
      <c r="AC832" s="381"/>
    </row>
    <row r="833">
      <c r="A833" s="395"/>
      <c r="B833" s="102"/>
      <c r="C833" s="110"/>
      <c r="D833" s="396"/>
      <c r="E833" s="397"/>
      <c r="F833" s="106"/>
      <c r="G833" s="106"/>
      <c r="H833" s="106"/>
      <c r="I833" s="396"/>
      <c r="J833" s="108"/>
      <c r="K833" s="107"/>
      <c r="L833" s="109"/>
      <c r="M833" s="109"/>
      <c r="N833" s="110"/>
      <c r="O833" s="123"/>
      <c r="P833" s="109"/>
      <c r="Q833" s="109"/>
      <c r="R833" s="109"/>
      <c r="S833" s="109"/>
      <c r="T833" s="109"/>
      <c r="U833" s="381"/>
      <c r="V833" s="381"/>
      <c r="W833" s="381"/>
      <c r="X833" s="381"/>
      <c r="Y833" s="381"/>
      <c r="Z833" s="381"/>
      <c r="AA833" s="381"/>
      <c r="AB833" s="381"/>
      <c r="AC833" s="381"/>
    </row>
    <row r="834">
      <c r="A834" s="398"/>
      <c r="B834" s="91"/>
      <c r="C834" s="100"/>
      <c r="D834" s="399"/>
      <c r="E834" s="400"/>
      <c r="F834" s="95"/>
      <c r="G834" s="95"/>
      <c r="H834" s="95"/>
      <c r="I834" s="399"/>
      <c r="J834" s="97"/>
      <c r="K834" s="96"/>
      <c r="L834" s="99"/>
      <c r="M834" s="99"/>
      <c r="N834" s="100"/>
      <c r="O834" s="124"/>
      <c r="P834" s="99"/>
      <c r="Q834" s="99"/>
      <c r="R834" s="99"/>
      <c r="S834" s="99"/>
      <c r="T834" s="99"/>
      <c r="U834" s="381"/>
      <c r="V834" s="381"/>
      <c r="W834" s="381"/>
      <c r="X834" s="381"/>
      <c r="Y834" s="381"/>
      <c r="Z834" s="381"/>
      <c r="AA834" s="381"/>
      <c r="AB834" s="381"/>
      <c r="AC834" s="381"/>
    </row>
    <row r="835">
      <c r="A835" s="395"/>
      <c r="B835" s="102"/>
      <c r="C835" s="110"/>
      <c r="D835" s="396"/>
      <c r="E835" s="397"/>
      <c r="F835" s="106"/>
      <c r="G835" s="106"/>
      <c r="H835" s="106"/>
      <c r="I835" s="396"/>
      <c r="J835" s="108"/>
      <c r="K835" s="107"/>
      <c r="L835" s="109"/>
      <c r="M835" s="109"/>
      <c r="N835" s="110"/>
      <c r="O835" s="123"/>
      <c r="P835" s="109"/>
      <c r="Q835" s="109"/>
      <c r="R835" s="109"/>
      <c r="S835" s="109"/>
      <c r="T835" s="109"/>
      <c r="U835" s="381"/>
      <c r="V835" s="381"/>
      <c r="W835" s="381"/>
      <c r="X835" s="381"/>
      <c r="Y835" s="381"/>
      <c r="Z835" s="381"/>
      <c r="AA835" s="381"/>
      <c r="AB835" s="381"/>
      <c r="AC835" s="381"/>
    </row>
    <row r="836">
      <c r="A836" s="398"/>
      <c r="B836" s="91"/>
      <c r="C836" s="100"/>
      <c r="D836" s="399"/>
      <c r="E836" s="400"/>
      <c r="F836" s="95"/>
      <c r="G836" s="95"/>
      <c r="H836" s="95"/>
      <c r="I836" s="399"/>
      <c r="J836" s="97"/>
      <c r="K836" s="96"/>
      <c r="L836" s="99"/>
      <c r="M836" s="99"/>
      <c r="N836" s="100"/>
      <c r="O836" s="124"/>
      <c r="P836" s="99"/>
      <c r="Q836" s="99"/>
      <c r="R836" s="99"/>
      <c r="S836" s="99"/>
      <c r="T836" s="99"/>
      <c r="U836" s="381"/>
      <c r="V836" s="381"/>
      <c r="W836" s="381"/>
      <c r="X836" s="381"/>
      <c r="Y836" s="381"/>
      <c r="Z836" s="381"/>
      <c r="AA836" s="381"/>
      <c r="AB836" s="381"/>
      <c r="AC836" s="381"/>
    </row>
    <row r="837">
      <c r="A837" s="395"/>
      <c r="B837" s="102"/>
      <c r="C837" s="110"/>
      <c r="D837" s="396"/>
      <c r="E837" s="397"/>
      <c r="F837" s="106"/>
      <c r="G837" s="106"/>
      <c r="H837" s="106"/>
      <c r="I837" s="396"/>
      <c r="J837" s="108"/>
      <c r="K837" s="107"/>
      <c r="L837" s="109"/>
      <c r="M837" s="109"/>
      <c r="N837" s="110"/>
      <c r="O837" s="123"/>
      <c r="P837" s="109"/>
      <c r="Q837" s="109"/>
      <c r="R837" s="109"/>
      <c r="S837" s="109"/>
      <c r="T837" s="109"/>
      <c r="U837" s="381"/>
      <c r="V837" s="381"/>
      <c r="W837" s="381"/>
      <c r="X837" s="381"/>
      <c r="Y837" s="381"/>
      <c r="Z837" s="381"/>
      <c r="AA837" s="381"/>
      <c r="AB837" s="381"/>
      <c r="AC837" s="381"/>
    </row>
    <row r="838">
      <c r="A838" s="398"/>
      <c r="B838" s="91"/>
      <c r="C838" s="100"/>
      <c r="D838" s="399"/>
      <c r="E838" s="400"/>
      <c r="F838" s="95"/>
      <c r="G838" s="95"/>
      <c r="H838" s="95"/>
      <c r="I838" s="399"/>
      <c r="J838" s="97"/>
      <c r="K838" s="96"/>
      <c r="L838" s="99"/>
      <c r="M838" s="99"/>
      <c r="N838" s="100"/>
      <c r="O838" s="124"/>
      <c r="P838" s="99"/>
      <c r="Q838" s="99"/>
      <c r="R838" s="99"/>
      <c r="S838" s="99"/>
      <c r="T838" s="99"/>
      <c r="U838" s="381"/>
      <c r="V838" s="381"/>
      <c r="W838" s="381"/>
      <c r="X838" s="381"/>
      <c r="Y838" s="381"/>
      <c r="Z838" s="381"/>
      <c r="AA838" s="381"/>
      <c r="AB838" s="381"/>
      <c r="AC838" s="381"/>
    </row>
    <row r="839">
      <c r="A839" s="395"/>
      <c r="B839" s="102"/>
      <c r="C839" s="110"/>
      <c r="D839" s="396"/>
      <c r="E839" s="397"/>
      <c r="F839" s="106"/>
      <c r="G839" s="106"/>
      <c r="H839" s="106"/>
      <c r="I839" s="396"/>
      <c r="J839" s="108"/>
      <c r="K839" s="107"/>
      <c r="L839" s="109"/>
      <c r="M839" s="109"/>
      <c r="N839" s="110"/>
      <c r="O839" s="123"/>
      <c r="P839" s="109"/>
      <c r="Q839" s="109"/>
      <c r="R839" s="109"/>
      <c r="S839" s="109"/>
      <c r="T839" s="109"/>
      <c r="U839" s="381"/>
      <c r="V839" s="381"/>
      <c r="W839" s="381"/>
      <c r="X839" s="381"/>
      <c r="Y839" s="381"/>
      <c r="Z839" s="381"/>
      <c r="AA839" s="381"/>
      <c r="AB839" s="381"/>
      <c r="AC839" s="381"/>
    </row>
    <row r="840">
      <c r="A840" s="398"/>
      <c r="B840" s="91"/>
      <c r="C840" s="100"/>
      <c r="D840" s="399"/>
      <c r="E840" s="400"/>
      <c r="F840" s="95"/>
      <c r="G840" s="95"/>
      <c r="H840" s="95"/>
      <c r="I840" s="399"/>
      <c r="J840" s="97"/>
      <c r="K840" s="96"/>
      <c r="L840" s="99"/>
      <c r="M840" s="99"/>
      <c r="N840" s="100"/>
      <c r="O840" s="124"/>
      <c r="P840" s="99"/>
      <c r="Q840" s="99"/>
      <c r="R840" s="99"/>
      <c r="S840" s="99"/>
      <c r="T840" s="99"/>
      <c r="U840" s="381"/>
      <c r="V840" s="381"/>
      <c r="W840" s="381"/>
      <c r="X840" s="381"/>
      <c r="Y840" s="381"/>
      <c r="Z840" s="381"/>
      <c r="AA840" s="381"/>
      <c r="AB840" s="381"/>
      <c r="AC840" s="381"/>
    </row>
    <row r="841">
      <c r="A841" s="395"/>
      <c r="B841" s="102"/>
      <c r="C841" s="110"/>
      <c r="D841" s="396"/>
      <c r="E841" s="397"/>
      <c r="F841" s="106"/>
      <c r="G841" s="106"/>
      <c r="H841" s="106"/>
      <c r="I841" s="396"/>
      <c r="J841" s="108"/>
      <c r="K841" s="107"/>
      <c r="L841" s="109"/>
      <c r="M841" s="109"/>
      <c r="N841" s="110"/>
      <c r="O841" s="123"/>
      <c r="P841" s="109"/>
      <c r="Q841" s="109"/>
      <c r="R841" s="109"/>
      <c r="S841" s="109"/>
      <c r="T841" s="109"/>
      <c r="U841" s="381"/>
      <c r="V841" s="381"/>
      <c r="W841" s="381"/>
      <c r="X841" s="381"/>
      <c r="Y841" s="381"/>
      <c r="Z841" s="381"/>
      <c r="AA841" s="381"/>
      <c r="AB841" s="381"/>
      <c r="AC841" s="381"/>
    </row>
    <row r="842">
      <c r="A842" s="398"/>
      <c r="B842" s="91"/>
      <c r="C842" s="100"/>
      <c r="D842" s="399"/>
      <c r="E842" s="400"/>
      <c r="F842" s="95"/>
      <c r="G842" s="95"/>
      <c r="H842" s="95"/>
      <c r="I842" s="399"/>
      <c r="J842" s="97"/>
      <c r="K842" s="96"/>
      <c r="L842" s="99"/>
      <c r="M842" s="99"/>
      <c r="N842" s="100"/>
      <c r="O842" s="124"/>
      <c r="P842" s="99"/>
      <c r="Q842" s="99"/>
      <c r="R842" s="99"/>
      <c r="S842" s="99"/>
      <c r="T842" s="99"/>
      <c r="U842" s="381"/>
      <c r="V842" s="381"/>
      <c r="W842" s="381"/>
      <c r="X842" s="381"/>
      <c r="Y842" s="381"/>
      <c r="Z842" s="381"/>
      <c r="AA842" s="381"/>
      <c r="AB842" s="381"/>
      <c r="AC842" s="381"/>
    </row>
    <row r="843">
      <c r="A843" s="395"/>
      <c r="B843" s="102"/>
      <c r="C843" s="110"/>
      <c r="D843" s="396"/>
      <c r="E843" s="397"/>
      <c r="F843" s="106"/>
      <c r="G843" s="106"/>
      <c r="H843" s="106"/>
      <c r="I843" s="396"/>
      <c r="J843" s="108"/>
      <c r="K843" s="107"/>
      <c r="L843" s="109"/>
      <c r="M843" s="109"/>
      <c r="N843" s="110"/>
      <c r="O843" s="123"/>
      <c r="P843" s="109"/>
      <c r="Q843" s="109"/>
      <c r="R843" s="109"/>
      <c r="S843" s="109"/>
      <c r="T843" s="109"/>
      <c r="U843" s="381"/>
      <c r="V843" s="381"/>
      <c r="W843" s="381"/>
      <c r="X843" s="381"/>
      <c r="Y843" s="381"/>
      <c r="Z843" s="381"/>
      <c r="AA843" s="381"/>
      <c r="AB843" s="381"/>
      <c r="AC843" s="381"/>
    </row>
    <row r="844">
      <c r="A844" s="398"/>
      <c r="B844" s="91"/>
      <c r="C844" s="100"/>
      <c r="D844" s="399"/>
      <c r="E844" s="400"/>
      <c r="F844" s="95"/>
      <c r="G844" s="95"/>
      <c r="H844" s="95"/>
      <c r="I844" s="399"/>
      <c r="J844" s="97"/>
      <c r="K844" s="96"/>
      <c r="L844" s="99"/>
      <c r="M844" s="99"/>
      <c r="N844" s="100"/>
      <c r="O844" s="124"/>
      <c r="P844" s="99"/>
      <c r="Q844" s="99"/>
      <c r="R844" s="99"/>
      <c r="S844" s="99"/>
      <c r="T844" s="99"/>
      <c r="U844" s="381"/>
      <c r="V844" s="381"/>
      <c r="W844" s="381"/>
      <c r="X844" s="381"/>
      <c r="Y844" s="381"/>
      <c r="Z844" s="381"/>
      <c r="AA844" s="381"/>
      <c r="AB844" s="381"/>
      <c r="AC844" s="381"/>
    </row>
    <row r="845">
      <c r="A845" s="395"/>
      <c r="B845" s="102"/>
      <c r="C845" s="110"/>
      <c r="D845" s="396"/>
      <c r="E845" s="397"/>
      <c r="F845" s="106"/>
      <c r="G845" s="106"/>
      <c r="H845" s="106"/>
      <c r="I845" s="396"/>
      <c r="J845" s="108"/>
      <c r="K845" s="107"/>
      <c r="L845" s="109"/>
      <c r="M845" s="109"/>
      <c r="N845" s="110"/>
      <c r="O845" s="123"/>
      <c r="P845" s="109"/>
      <c r="Q845" s="109"/>
      <c r="R845" s="109"/>
      <c r="S845" s="109"/>
      <c r="T845" s="109"/>
      <c r="U845" s="381"/>
      <c r="V845" s="381"/>
      <c r="W845" s="381"/>
      <c r="X845" s="381"/>
      <c r="Y845" s="381"/>
      <c r="Z845" s="381"/>
      <c r="AA845" s="381"/>
      <c r="AB845" s="381"/>
      <c r="AC845" s="381"/>
    </row>
    <row r="846">
      <c r="A846" s="398"/>
      <c r="B846" s="91"/>
      <c r="C846" s="100"/>
      <c r="D846" s="399"/>
      <c r="E846" s="400"/>
      <c r="F846" s="95"/>
      <c r="G846" s="95"/>
      <c r="H846" s="95"/>
      <c r="I846" s="399"/>
      <c r="J846" s="97"/>
      <c r="K846" s="96"/>
      <c r="L846" s="99"/>
      <c r="M846" s="99"/>
      <c r="N846" s="100"/>
      <c r="O846" s="124"/>
      <c r="P846" s="99"/>
      <c r="Q846" s="99"/>
      <c r="R846" s="99"/>
      <c r="S846" s="99"/>
      <c r="T846" s="99"/>
      <c r="U846" s="381"/>
      <c r="V846" s="381"/>
      <c r="W846" s="381"/>
      <c r="X846" s="381"/>
      <c r="Y846" s="381"/>
      <c r="Z846" s="381"/>
      <c r="AA846" s="381"/>
      <c r="AB846" s="381"/>
      <c r="AC846" s="381"/>
    </row>
    <row r="847">
      <c r="A847" s="395"/>
      <c r="B847" s="102"/>
      <c r="C847" s="110"/>
      <c r="D847" s="396"/>
      <c r="E847" s="397"/>
      <c r="F847" s="106"/>
      <c r="G847" s="106"/>
      <c r="H847" s="106"/>
      <c r="I847" s="396"/>
      <c r="J847" s="108"/>
      <c r="K847" s="107"/>
      <c r="L847" s="109"/>
      <c r="M847" s="109"/>
      <c r="N847" s="110"/>
      <c r="O847" s="123"/>
      <c r="P847" s="109"/>
      <c r="Q847" s="109"/>
      <c r="R847" s="109"/>
      <c r="S847" s="109"/>
      <c r="T847" s="109"/>
      <c r="U847" s="381"/>
      <c r="V847" s="381"/>
      <c r="W847" s="381"/>
      <c r="X847" s="381"/>
      <c r="Y847" s="381"/>
      <c r="Z847" s="381"/>
      <c r="AA847" s="381"/>
      <c r="AB847" s="381"/>
      <c r="AC847" s="381"/>
    </row>
    <row r="848">
      <c r="A848" s="398"/>
      <c r="B848" s="91"/>
      <c r="C848" s="100"/>
      <c r="D848" s="399"/>
      <c r="E848" s="400"/>
      <c r="F848" s="95"/>
      <c r="G848" s="95"/>
      <c r="H848" s="95"/>
      <c r="I848" s="399"/>
      <c r="J848" s="97"/>
      <c r="K848" s="96"/>
      <c r="L848" s="99"/>
      <c r="M848" s="99"/>
      <c r="N848" s="100"/>
      <c r="O848" s="124"/>
      <c r="P848" s="99"/>
      <c r="Q848" s="99"/>
      <c r="R848" s="99"/>
      <c r="S848" s="99"/>
      <c r="T848" s="99"/>
      <c r="U848" s="381"/>
      <c r="V848" s="381"/>
      <c r="W848" s="381"/>
      <c r="X848" s="381"/>
      <c r="Y848" s="381"/>
      <c r="Z848" s="381"/>
      <c r="AA848" s="381"/>
      <c r="AB848" s="381"/>
      <c r="AC848" s="381"/>
    </row>
    <row r="849">
      <c r="A849" s="395"/>
      <c r="B849" s="102"/>
      <c r="C849" s="110"/>
      <c r="D849" s="396"/>
      <c r="E849" s="397"/>
      <c r="F849" s="106"/>
      <c r="G849" s="106"/>
      <c r="H849" s="106"/>
      <c r="I849" s="396"/>
      <c r="J849" s="108"/>
      <c r="K849" s="107"/>
      <c r="L849" s="109"/>
      <c r="M849" s="109"/>
      <c r="N849" s="110"/>
      <c r="O849" s="123"/>
      <c r="P849" s="109"/>
      <c r="Q849" s="109"/>
      <c r="R849" s="109"/>
      <c r="S849" s="109"/>
      <c r="T849" s="109"/>
      <c r="U849" s="381"/>
      <c r="V849" s="381"/>
      <c r="W849" s="381"/>
      <c r="X849" s="381"/>
      <c r="Y849" s="381"/>
      <c r="Z849" s="381"/>
      <c r="AA849" s="381"/>
      <c r="AB849" s="381"/>
      <c r="AC849" s="381"/>
    </row>
    <row r="850">
      <c r="A850" s="398"/>
      <c r="B850" s="91"/>
      <c r="C850" s="100"/>
      <c r="D850" s="399"/>
      <c r="E850" s="400"/>
      <c r="F850" s="95"/>
      <c r="G850" s="95"/>
      <c r="H850" s="95"/>
      <c r="I850" s="399"/>
      <c r="J850" s="97"/>
      <c r="K850" s="96"/>
      <c r="L850" s="99"/>
      <c r="M850" s="99"/>
      <c r="N850" s="100"/>
      <c r="O850" s="124"/>
      <c r="P850" s="99"/>
      <c r="Q850" s="99"/>
      <c r="R850" s="99"/>
      <c r="S850" s="99"/>
      <c r="T850" s="99"/>
      <c r="U850" s="381"/>
      <c r="V850" s="381"/>
      <c r="W850" s="381"/>
      <c r="X850" s="381"/>
      <c r="Y850" s="381"/>
      <c r="Z850" s="381"/>
      <c r="AA850" s="381"/>
      <c r="AB850" s="381"/>
      <c r="AC850" s="381"/>
    </row>
    <row r="851">
      <c r="A851" s="395"/>
      <c r="B851" s="102"/>
      <c r="C851" s="110"/>
      <c r="D851" s="396"/>
      <c r="E851" s="397"/>
      <c r="F851" s="106"/>
      <c r="G851" s="106"/>
      <c r="H851" s="106"/>
      <c r="I851" s="396"/>
      <c r="J851" s="108"/>
      <c r="K851" s="107"/>
      <c r="L851" s="109"/>
      <c r="M851" s="109"/>
      <c r="N851" s="110"/>
      <c r="O851" s="123"/>
      <c r="P851" s="109"/>
      <c r="Q851" s="109"/>
      <c r="R851" s="109"/>
      <c r="S851" s="109"/>
      <c r="T851" s="109"/>
      <c r="U851" s="381"/>
      <c r="V851" s="381"/>
      <c r="W851" s="381"/>
      <c r="X851" s="381"/>
      <c r="Y851" s="381"/>
      <c r="Z851" s="381"/>
      <c r="AA851" s="381"/>
      <c r="AB851" s="381"/>
      <c r="AC851" s="381"/>
    </row>
    <row r="852">
      <c r="A852" s="398"/>
      <c r="B852" s="91"/>
      <c r="C852" s="100"/>
      <c r="D852" s="399"/>
      <c r="E852" s="400"/>
      <c r="F852" s="95"/>
      <c r="G852" s="95"/>
      <c r="H852" s="95"/>
      <c r="I852" s="399"/>
      <c r="J852" s="97"/>
      <c r="K852" s="96"/>
      <c r="L852" s="99"/>
      <c r="M852" s="99"/>
      <c r="N852" s="100"/>
      <c r="O852" s="124"/>
      <c r="P852" s="99"/>
      <c r="Q852" s="99"/>
      <c r="R852" s="99"/>
      <c r="S852" s="99"/>
      <c r="T852" s="99"/>
      <c r="U852" s="381"/>
      <c r="V852" s="381"/>
      <c r="W852" s="381"/>
      <c r="X852" s="381"/>
      <c r="Y852" s="381"/>
      <c r="Z852" s="381"/>
      <c r="AA852" s="381"/>
      <c r="AB852" s="381"/>
      <c r="AC852" s="381"/>
    </row>
    <row r="853">
      <c r="A853" s="395"/>
      <c r="B853" s="102"/>
      <c r="C853" s="110"/>
      <c r="D853" s="396"/>
      <c r="E853" s="397"/>
      <c r="F853" s="106"/>
      <c r="G853" s="106"/>
      <c r="H853" s="106"/>
      <c r="I853" s="396"/>
      <c r="J853" s="108"/>
      <c r="K853" s="107"/>
      <c r="L853" s="109"/>
      <c r="M853" s="109"/>
      <c r="N853" s="110"/>
      <c r="O853" s="123"/>
      <c r="P853" s="109"/>
      <c r="Q853" s="109"/>
      <c r="R853" s="109"/>
      <c r="S853" s="109"/>
      <c r="T853" s="109"/>
      <c r="U853" s="381"/>
      <c r="V853" s="381"/>
      <c r="W853" s="381"/>
      <c r="X853" s="381"/>
      <c r="Y853" s="381"/>
      <c r="Z853" s="381"/>
      <c r="AA853" s="381"/>
      <c r="AB853" s="381"/>
      <c r="AC853" s="381"/>
    </row>
    <row r="854">
      <c r="A854" s="398"/>
      <c r="B854" s="91"/>
      <c r="C854" s="100"/>
      <c r="D854" s="399"/>
      <c r="E854" s="400"/>
      <c r="F854" s="95"/>
      <c r="G854" s="95"/>
      <c r="H854" s="95"/>
      <c r="I854" s="399"/>
      <c r="J854" s="97"/>
      <c r="K854" s="96"/>
      <c r="L854" s="99"/>
      <c r="M854" s="99"/>
      <c r="N854" s="100"/>
      <c r="O854" s="124"/>
      <c r="P854" s="99"/>
      <c r="Q854" s="99"/>
      <c r="R854" s="99"/>
      <c r="S854" s="99"/>
      <c r="T854" s="99"/>
      <c r="U854" s="381"/>
      <c r="V854" s="381"/>
      <c r="W854" s="381"/>
      <c r="X854" s="381"/>
      <c r="Y854" s="381"/>
      <c r="Z854" s="381"/>
      <c r="AA854" s="381"/>
      <c r="AB854" s="381"/>
      <c r="AC854" s="381"/>
    </row>
    <row r="855">
      <c r="A855" s="395"/>
      <c r="B855" s="102"/>
      <c r="C855" s="110"/>
      <c r="D855" s="396"/>
      <c r="E855" s="397"/>
      <c r="F855" s="106"/>
      <c r="G855" s="106"/>
      <c r="H855" s="106"/>
      <c r="I855" s="396"/>
      <c r="J855" s="108"/>
      <c r="K855" s="107"/>
      <c r="L855" s="109"/>
      <c r="M855" s="109"/>
      <c r="N855" s="110"/>
      <c r="O855" s="123"/>
      <c r="P855" s="109"/>
      <c r="Q855" s="109"/>
      <c r="R855" s="109"/>
      <c r="S855" s="109"/>
      <c r="T855" s="109"/>
      <c r="U855" s="381"/>
      <c r="V855" s="381"/>
      <c r="W855" s="381"/>
      <c r="X855" s="381"/>
      <c r="Y855" s="381"/>
      <c r="Z855" s="381"/>
      <c r="AA855" s="381"/>
      <c r="AB855" s="381"/>
      <c r="AC855" s="381"/>
    </row>
    <row r="856">
      <c r="A856" s="398"/>
      <c r="B856" s="91"/>
      <c r="C856" s="100"/>
      <c r="D856" s="399"/>
      <c r="E856" s="400"/>
      <c r="F856" s="95"/>
      <c r="G856" s="95"/>
      <c r="H856" s="95"/>
      <c r="I856" s="399"/>
      <c r="J856" s="97"/>
      <c r="K856" s="96"/>
      <c r="L856" s="99"/>
      <c r="M856" s="99"/>
      <c r="N856" s="100"/>
      <c r="O856" s="124"/>
      <c r="P856" s="99"/>
      <c r="Q856" s="99"/>
      <c r="R856" s="99"/>
      <c r="S856" s="99"/>
      <c r="T856" s="99"/>
      <c r="U856" s="381"/>
      <c r="V856" s="381"/>
      <c r="W856" s="381"/>
      <c r="X856" s="381"/>
      <c r="Y856" s="381"/>
      <c r="Z856" s="381"/>
      <c r="AA856" s="381"/>
      <c r="AB856" s="381"/>
      <c r="AC856" s="381"/>
    </row>
    <row r="857">
      <c r="A857" s="395"/>
      <c r="B857" s="102"/>
      <c r="C857" s="110"/>
      <c r="D857" s="396"/>
      <c r="E857" s="397"/>
      <c r="F857" s="106"/>
      <c r="G857" s="106"/>
      <c r="H857" s="106"/>
      <c r="I857" s="396"/>
      <c r="J857" s="108"/>
      <c r="K857" s="107"/>
      <c r="L857" s="109"/>
      <c r="M857" s="109"/>
      <c r="N857" s="110"/>
      <c r="O857" s="123"/>
      <c r="P857" s="109"/>
      <c r="Q857" s="109"/>
      <c r="R857" s="109"/>
      <c r="S857" s="109"/>
      <c r="T857" s="109"/>
      <c r="U857" s="381"/>
      <c r="V857" s="381"/>
      <c r="W857" s="381"/>
      <c r="X857" s="381"/>
      <c r="Y857" s="381"/>
      <c r="Z857" s="381"/>
      <c r="AA857" s="381"/>
      <c r="AB857" s="381"/>
      <c r="AC857" s="381"/>
    </row>
    <row r="858">
      <c r="A858" s="398"/>
      <c r="B858" s="91"/>
      <c r="C858" s="100"/>
      <c r="D858" s="399"/>
      <c r="E858" s="400"/>
      <c r="F858" s="95"/>
      <c r="G858" s="95"/>
      <c r="H858" s="95"/>
      <c r="I858" s="399"/>
      <c r="J858" s="97"/>
      <c r="K858" s="96"/>
      <c r="L858" s="99"/>
      <c r="M858" s="99"/>
      <c r="N858" s="100"/>
      <c r="O858" s="124"/>
      <c r="P858" s="99"/>
      <c r="Q858" s="99"/>
      <c r="R858" s="99"/>
      <c r="S858" s="99"/>
      <c r="T858" s="99"/>
      <c r="U858" s="381"/>
      <c r="V858" s="381"/>
      <c r="W858" s="381"/>
      <c r="X858" s="381"/>
      <c r="Y858" s="381"/>
      <c r="Z858" s="381"/>
      <c r="AA858" s="381"/>
      <c r="AB858" s="381"/>
      <c r="AC858" s="381"/>
    </row>
    <row r="859">
      <c r="A859" s="395"/>
      <c r="B859" s="102"/>
      <c r="C859" s="110"/>
      <c r="D859" s="396"/>
      <c r="E859" s="397"/>
      <c r="F859" s="106"/>
      <c r="G859" s="106"/>
      <c r="H859" s="106"/>
      <c r="I859" s="396"/>
      <c r="J859" s="108"/>
      <c r="K859" s="107"/>
      <c r="L859" s="109"/>
      <c r="M859" s="109"/>
      <c r="N859" s="110"/>
      <c r="O859" s="123"/>
      <c r="P859" s="109"/>
      <c r="Q859" s="109"/>
      <c r="R859" s="109"/>
      <c r="S859" s="109"/>
      <c r="T859" s="109"/>
      <c r="U859" s="381"/>
      <c r="V859" s="381"/>
      <c r="W859" s="381"/>
      <c r="X859" s="381"/>
      <c r="Y859" s="381"/>
      <c r="Z859" s="381"/>
      <c r="AA859" s="381"/>
      <c r="AB859" s="381"/>
      <c r="AC859" s="381"/>
    </row>
    <row r="860">
      <c r="A860" s="398"/>
      <c r="B860" s="91"/>
      <c r="C860" s="100"/>
      <c r="D860" s="399"/>
      <c r="E860" s="400"/>
      <c r="F860" s="95"/>
      <c r="G860" s="95"/>
      <c r="H860" s="95"/>
      <c r="I860" s="399"/>
      <c r="J860" s="97"/>
      <c r="K860" s="96"/>
      <c r="L860" s="99"/>
      <c r="M860" s="99"/>
      <c r="N860" s="100"/>
      <c r="O860" s="124"/>
      <c r="P860" s="99"/>
      <c r="Q860" s="99"/>
      <c r="R860" s="99"/>
      <c r="S860" s="99"/>
      <c r="T860" s="99"/>
      <c r="U860" s="381"/>
      <c r="V860" s="381"/>
      <c r="W860" s="381"/>
      <c r="X860" s="381"/>
      <c r="Y860" s="381"/>
      <c r="Z860" s="381"/>
      <c r="AA860" s="381"/>
      <c r="AB860" s="381"/>
      <c r="AC860" s="381"/>
    </row>
    <row r="861">
      <c r="A861" s="395"/>
      <c r="B861" s="102"/>
      <c r="C861" s="110"/>
      <c r="D861" s="396"/>
      <c r="E861" s="397"/>
      <c r="F861" s="106"/>
      <c r="G861" s="106"/>
      <c r="H861" s="106"/>
      <c r="I861" s="396"/>
      <c r="J861" s="108"/>
      <c r="K861" s="107"/>
      <c r="L861" s="109"/>
      <c r="M861" s="109"/>
      <c r="N861" s="110"/>
      <c r="O861" s="123"/>
      <c r="P861" s="109"/>
      <c r="Q861" s="109"/>
      <c r="R861" s="109"/>
      <c r="S861" s="109"/>
      <c r="T861" s="109"/>
      <c r="U861" s="381"/>
      <c r="V861" s="381"/>
      <c r="W861" s="381"/>
      <c r="X861" s="381"/>
      <c r="Y861" s="381"/>
      <c r="Z861" s="381"/>
      <c r="AA861" s="381"/>
      <c r="AB861" s="381"/>
      <c r="AC861" s="381"/>
    </row>
    <row r="862">
      <c r="A862" s="398"/>
      <c r="B862" s="91"/>
      <c r="C862" s="100"/>
      <c r="D862" s="399"/>
      <c r="E862" s="400"/>
      <c r="F862" s="95"/>
      <c r="G862" s="95"/>
      <c r="H862" s="95"/>
      <c r="I862" s="399"/>
      <c r="J862" s="97"/>
      <c r="K862" s="96"/>
      <c r="L862" s="99"/>
      <c r="M862" s="99"/>
      <c r="N862" s="100"/>
      <c r="O862" s="124"/>
      <c r="P862" s="99"/>
      <c r="Q862" s="99"/>
      <c r="R862" s="99"/>
      <c r="S862" s="99"/>
      <c r="T862" s="99"/>
      <c r="U862" s="381"/>
      <c r="V862" s="381"/>
      <c r="W862" s="381"/>
      <c r="X862" s="381"/>
      <c r="Y862" s="381"/>
      <c r="Z862" s="381"/>
      <c r="AA862" s="381"/>
      <c r="AB862" s="381"/>
      <c r="AC862" s="381"/>
    </row>
    <row r="863">
      <c r="A863" s="395"/>
      <c r="B863" s="102"/>
      <c r="C863" s="110"/>
      <c r="D863" s="396"/>
      <c r="E863" s="397"/>
      <c r="F863" s="106"/>
      <c r="G863" s="106"/>
      <c r="H863" s="106"/>
      <c r="I863" s="396"/>
      <c r="J863" s="108"/>
      <c r="K863" s="107"/>
      <c r="L863" s="109"/>
      <c r="M863" s="109"/>
      <c r="N863" s="110"/>
      <c r="O863" s="123"/>
      <c r="P863" s="109"/>
      <c r="Q863" s="109"/>
      <c r="R863" s="109"/>
      <c r="S863" s="109"/>
      <c r="T863" s="109"/>
      <c r="U863" s="381"/>
      <c r="V863" s="381"/>
      <c r="W863" s="381"/>
      <c r="X863" s="381"/>
      <c r="Y863" s="381"/>
      <c r="Z863" s="381"/>
      <c r="AA863" s="381"/>
      <c r="AB863" s="381"/>
      <c r="AC863" s="381"/>
    </row>
    <row r="864">
      <c r="A864" s="398"/>
      <c r="B864" s="91"/>
      <c r="C864" s="100"/>
      <c r="D864" s="399"/>
      <c r="E864" s="400"/>
      <c r="F864" s="95"/>
      <c r="G864" s="95"/>
      <c r="H864" s="95"/>
      <c r="I864" s="399"/>
      <c r="J864" s="97"/>
      <c r="K864" s="96"/>
      <c r="L864" s="99"/>
      <c r="M864" s="99"/>
      <c r="N864" s="100"/>
      <c r="O864" s="124"/>
      <c r="P864" s="99"/>
      <c r="Q864" s="99"/>
      <c r="R864" s="99"/>
      <c r="S864" s="99"/>
      <c r="T864" s="99"/>
      <c r="U864" s="381"/>
      <c r="V864" s="381"/>
      <c r="W864" s="381"/>
      <c r="X864" s="381"/>
      <c r="Y864" s="381"/>
      <c r="Z864" s="381"/>
      <c r="AA864" s="381"/>
      <c r="AB864" s="381"/>
      <c r="AC864" s="381"/>
    </row>
    <row r="865">
      <c r="A865" s="395"/>
      <c r="B865" s="102"/>
      <c r="C865" s="110"/>
      <c r="D865" s="396"/>
      <c r="E865" s="397"/>
      <c r="F865" s="106"/>
      <c r="G865" s="106"/>
      <c r="H865" s="106"/>
      <c r="I865" s="396"/>
      <c r="J865" s="108"/>
      <c r="K865" s="107"/>
      <c r="L865" s="109"/>
      <c r="M865" s="109"/>
      <c r="N865" s="110"/>
      <c r="O865" s="123"/>
      <c r="P865" s="109"/>
      <c r="Q865" s="109"/>
      <c r="R865" s="109"/>
      <c r="S865" s="109"/>
      <c r="T865" s="109"/>
      <c r="U865" s="381"/>
      <c r="V865" s="381"/>
      <c r="W865" s="381"/>
      <c r="X865" s="381"/>
      <c r="Y865" s="381"/>
      <c r="Z865" s="381"/>
      <c r="AA865" s="381"/>
      <c r="AB865" s="381"/>
      <c r="AC865" s="381"/>
    </row>
    <row r="866">
      <c r="A866" s="398"/>
      <c r="B866" s="91"/>
      <c r="C866" s="100"/>
      <c r="D866" s="399"/>
      <c r="E866" s="400"/>
      <c r="F866" s="95"/>
      <c r="G866" s="95"/>
      <c r="H866" s="95"/>
      <c r="I866" s="399"/>
      <c r="J866" s="97"/>
      <c r="K866" s="96"/>
      <c r="L866" s="99"/>
      <c r="M866" s="99"/>
      <c r="N866" s="100"/>
      <c r="O866" s="124"/>
      <c r="P866" s="99"/>
      <c r="Q866" s="99"/>
      <c r="R866" s="99"/>
      <c r="S866" s="99"/>
      <c r="T866" s="99"/>
      <c r="U866" s="381"/>
      <c r="V866" s="381"/>
      <c r="W866" s="381"/>
      <c r="X866" s="381"/>
      <c r="Y866" s="381"/>
      <c r="Z866" s="381"/>
      <c r="AA866" s="381"/>
      <c r="AB866" s="381"/>
      <c r="AC866" s="381"/>
    </row>
    <row r="867">
      <c r="A867" s="395"/>
      <c r="B867" s="102"/>
      <c r="C867" s="110"/>
      <c r="D867" s="396"/>
      <c r="E867" s="397"/>
      <c r="F867" s="106"/>
      <c r="G867" s="106"/>
      <c r="H867" s="106"/>
      <c r="I867" s="396"/>
      <c r="J867" s="108"/>
      <c r="K867" s="107"/>
      <c r="L867" s="109"/>
      <c r="M867" s="109"/>
      <c r="N867" s="110"/>
      <c r="O867" s="123"/>
      <c r="P867" s="109"/>
      <c r="Q867" s="109"/>
      <c r="R867" s="109"/>
      <c r="S867" s="109"/>
      <c r="T867" s="109"/>
      <c r="U867" s="381"/>
      <c r="V867" s="381"/>
      <c r="W867" s="381"/>
      <c r="X867" s="381"/>
      <c r="Y867" s="381"/>
      <c r="Z867" s="381"/>
      <c r="AA867" s="381"/>
      <c r="AB867" s="381"/>
      <c r="AC867" s="381"/>
    </row>
    <row r="868">
      <c r="A868" s="398"/>
      <c r="B868" s="91"/>
      <c r="C868" s="100"/>
      <c r="D868" s="399"/>
      <c r="E868" s="400"/>
      <c r="F868" s="95"/>
      <c r="G868" s="95"/>
      <c r="H868" s="95"/>
      <c r="I868" s="399"/>
      <c r="J868" s="97"/>
      <c r="K868" s="96"/>
      <c r="L868" s="99"/>
      <c r="M868" s="99"/>
      <c r="N868" s="100"/>
      <c r="O868" s="124"/>
      <c r="P868" s="99"/>
      <c r="Q868" s="99"/>
      <c r="R868" s="99"/>
      <c r="S868" s="99"/>
      <c r="T868" s="99"/>
      <c r="U868" s="381"/>
      <c r="V868" s="381"/>
      <c r="W868" s="381"/>
      <c r="X868" s="381"/>
      <c r="Y868" s="381"/>
      <c r="Z868" s="381"/>
      <c r="AA868" s="381"/>
      <c r="AB868" s="381"/>
      <c r="AC868" s="381"/>
    </row>
    <row r="869">
      <c r="A869" s="395"/>
      <c r="B869" s="102"/>
      <c r="C869" s="110"/>
      <c r="D869" s="396"/>
      <c r="E869" s="397"/>
      <c r="F869" s="106"/>
      <c r="G869" s="106"/>
      <c r="H869" s="106"/>
      <c r="I869" s="396"/>
      <c r="J869" s="108"/>
      <c r="K869" s="107"/>
      <c r="L869" s="109"/>
      <c r="M869" s="109"/>
      <c r="N869" s="110"/>
      <c r="O869" s="123"/>
      <c r="P869" s="109"/>
      <c r="Q869" s="109"/>
      <c r="R869" s="109"/>
      <c r="S869" s="109"/>
      <c r="T869" s="109"/>
      <c r="U869" s="381"/>
      <c r="V869" s="381"/>
      <c r="W869" s="381"/>
      <c r="X869" s="381"/>
      <c r="Y869" s="381"/>
      <c r="Z869" s="381"/>
      <c r="AA869" s="381"/>
      <c r="AB869" s="381"/>
      <c r="AC869" s="381"/>
    </row>
    <row r="870">
      <c r="A870" s="398"/>
      <c r="B870" s="91"/>
      <c r="C870" s="100"/>
      <c r="D870" s="399"/>
      <c r="E870" s="400"/>
      <c r="F870" s="95"/>
      <c r="G870" s="95"/>
      <c r="H870" s="95"/>
      <c r="I870" s="399"/>
      <c r="J870" s="97"/>
      <c r="K870" s="96"/>
      <c r="L870" s="99"/>
      <c r="M870" s="99"/>
      <c r="N870" s="100"/>
      <c r="O870" s="124"/>
      <c r="P870" s="99"/>
      <c r="Q870" s="99"/>
      <c r="R870" s="99"/>
      <c r="S870" s="99"/>
      <c r="T870" s="99"/>
      <c r="U870" s="381"/>
      <c r="V870" s="381"/>
      <c r="W870" s="381"/>
      <c r="X870" s="381"/>
      <c r="Y870" s="381"/>
      <c r="Z870" s="381"/>
      <c r="AA870" s="381"/>
      <c r="AB870" s="381"/>
      <c r="AC870" s="381"/>
    </row>
    <row r="871">
      <c r="A871" s="395"/>
      <c r="B871" s="102"/>
      <c r="C871" s="110"/>
      <c r="D871" s="396"/>
      <c r="E871" s="397"/>
      <c r="F871" s="106"/>
      <c r="G871" s="106"/>
      <c r="H871" s="106"/>
      <c r="I871" s="396"/>
      <c r="J871" s="108"/>
      <c r="K871" s="107"/>
      <c r="L871" s="109"/>
      <c r="M871" s="109"/>
      <c r="N871" s="110"/>
      <c r="O871" s="123"/>
      <c r="P871" s="109"/>
      <c r="Q871" s="109"/>
      <c r="R871" s="109"/>
      <c r="S871" s="109"/>
      <c r="T871" s="109"/>
      <c r="U871" s="381"/>
      <c r="V871" s="381"/>
      <c r="W871" s="381"/>
      <c r="X871" s="381"/>
      <c r="Y871" s="381"/>
      <c r="Z871" s="381"/>
      <c r="AA871" s="381"/>
      <c r="AB871" s="381"/>
      <c r="AC871" s="381"/>
    </row>
    <row r="872">
      <c r="A872" s="398"/>
      <c r="B872" s="91"/>
      <c r="C872" s="100"/>
      <c r="D872" s="399"/>
      <c r="E872" s="400"/>
      <c r="F872" s="95"/>
      <c r="G872" s="95"/>
      <c r="H872" s="95"/>
      <c r="I872" s="399"/>
      <c r="J872" s="97"/>
      <c r="K872" s="96"/>
      <c r="L872" s="99"/>
      <c r="M872" s="99"/>
      <c r="N872" s="100"/>
      <c r="O872" s="124"/>
      <c r="P872" s="99"/>
      <c r="Q872" s="99"/>
      <c r="R872" s="99"/>
      <c r="S872" s="99"/>
      <c r="T872" s="99"/>
      <c r="U872" s="381"/>
      <c r="V872" s="381"/>
      <c r="W872" s="381"/>
      <c r="X872" s="381"/>
      <c r="Y872" s="381"/>
      <c r="Z872" s="381"/>
      <c r="AA872" s="381"/>
      <c r="AB872" s="381"/>
      <c r="AC872" s="381"/>
    </row>
    <row r="873">
      <c r="A873" s="395"/>
      <c r="B873" s="102"/>
      <c r="C873" s="110"/>
      <c r="D873" s="396"/>
      <c r="E873" s="397"/>
      <c r="F873" s="106"/>
      <c r="G873" s="106"/>
      <c r="H873" s="106"/>
      <c r="I873" s="396"/>
      <c r="J873" s="108"/>
      <c r="K873" s="107"/>
      <c r="L873" s="109"/>
      <c r="M873" s="109"/>
      <c r="N873" s="110"/>
      <c r="O873" s="123"/>
      <c r="P873" s="109"/>
      <c r="Q873" s="109"/>
      <c r="R873" s="109"/>
      <c r="S873" s="109"/>
      <c r="T873" s="109"/>
      <c r="U873" s="381"/>
      <c r="V873" s="381"/>
      <c r="W873" s="381"/>
      <c r="X873" s="381"/>
      <c r="Y873" s="381"/>
      <c r="Z873" s="381"/>
      <c r="AA873" s="381"/>
      <c r="AB873" s="381"/>
      <c r="AC873" s="381"/>
    </row>
    <row r="874">
      <c r="A874" s="398"/>
      <c r="B874" s="91"/>
      <c r="C874" s="100"/>
      <c r="D874" s="399"/>
      <c r="E874" s="400"/>
      <c r="F874" s="95"/>
      <c r="G874" s="95"/>
      <c r="H874" s="95"/>
      <c r="I874" s="399"/>
      <c r="J874" s="97"/>
      <c r="K874" s="96"/>
      <c r="L874" s="99"/>
      <c r="M874" s="99"/>
      <c r="N874" s="100"/>
      <c r="O874" s="124"/>
      <c r="P874" s="99"/>
      <c r="Q874" s="99"/>
      <c r="R874" s="99"/>
      <c r="S874" s="99"/>
      <c r="T874" s="99"/>
      <c r="U874" s="381"/>
      <c r="V874" s="381"/>
      <c r="W874" s="381"/>
      <c r="X874" s="381"/>
      <c r="Y874" s="381"/>
      <c r="Z874" s="381"/>
      <c r="AA874" s="381"/>
      <c r="AB874" s="381"/>
      <c r="AC874" s="381"/>
    </row>
    <row r="875">
      <c r="A875" s="395"/>
      <c r="B875" s="102"/>
      <c r="C875" s="110"/>
      <c r="D875" s="396"/>
      <c r="E875" s="397"/>
      <c r="F875" s="106"/>
      <c r="G875" s="106"/>
      <c r="H875" s="106"/>
      <c r="I875" s="396"/>
      <c r="J875" s="108"/>
      <c r="K875" s="107"/>
      <c r="L875" s="109"/>
      <c r="M875" s="109"/>
      <c r="N875" s="110"/>
      <c r="O875" s="123"/>
      <c r="P875" s="109"/>
      <c r="Q875" s="109"/>
      <c r="R875" s="109"/>
      <c r="S875" s="109"/>
      <c r="T875" s="109"/>
      <c r="U875" s="381"/>
      <c r="V875" s="381"/>
      <c r="W875" s="381"/>
      <c r="X875" s="381"/>
      <c r="Y875" s="381"/>
      <c r="Z875" s="381"/>
      <c r="AA875" s="381"/>
      <c r="AB875" s="381"/>
      <c r="AC875" s="381"/>
    </row>
    <row r="876">
      <c r="A876" s="398"/>
      <c r="B876" s="91"/>
      <c r="C876" s="100"/>
      <c r="D876" s="399"/>
      <c r="E876" s="400"/>
      <c r="F876" s="95"/>
      <c r="G876" s="95"/>
      <c r="H876" s="95"/>
      <c r="I876" s="399"/>
      <c r="J876" s="97"/>
      <c r="K876" s="96"/>
      <c r="L876" s="99"/>
      <c r="M876" s="99"/>
      <c r="N876" s="100"/>
      <c r="O876" s="124"/>
      <c r="P876" s="99"/>
      <c r="Q876" s="99"/>
      <c r="R876" s="99"/>
      <c r="S876" s="99"/>
      <c r="T876" s="99"/>
      <c r="U876" s="381"/>
      <c r="V876" s="381"/>
      <c r="W876" s="381"/>
      <c r="X876" s="381"/>
      <c r="Y876" s="381"/>
      <c r="Z876" s="381"/>
      <c r="AA876" s="381"/>
      <c r="AB876" s="381"/>
      <c r="AC876" s="381"/>
    </row>
    <row r="877">
      <c r="A877" s="395"/>
      <c r="B877" s="102"/>
      <c r="C877" s="110"/>
      <c r="D877" s="396"/>
      <c r="E877" s="397"/>
      <c r="F877" s="106"/>
      <c r="G877" s="106"/>
      <c r="H877" s="106"/>
      <c r="I877" s="396"/>
      <c r="J877" s="108"/>
      <c r="K877" s="107"/>
      <c r="L877" s="109"/>
      <c r="M877" s="109"/>
      <c r="N877" s="110"/>
      <c r="O877" s="123"/>
      <c r="P877" s="109"/>
      <c r="Q877" s="109"/>
      <c r="R877" s="109"/>
      <c r="S877" s="109"/>
      <c r="T877" s="109"/>
      <c r="U877" s="381"/>
      <c r="V877" s="381"/>
      <c r="W877" s="381"/>
      <c r="X877" s="381"/>
      <c r="Y877" s="381"/>
      <c r="Z877" s="381"/>
      <c r="AA877" s="381"/>
      <c r="AB877" s="381"/>
      <c r="AC877" s="381"/>
    </row>
    <row r="878">
      <c r="A878" s="398"/>
      <c r="B878" s="91"/>
      <c r="C878" s="100"/>
      <c r="D878" s="399"/>
      <c r="E878" s="400"/>
      <c r="F878" s="95"/>
      <c r="G878" s="95"/>
      <c r="H878" s="95"/>
      <c r="I878" s="399"/>
      <c r="J878" s="97"/>
      <c r="K878" s="96"/>
      <c r="L878" s="99"/>
      <c r="M878" s="99"/>
      <c r="N878" s="100"/>
      <c r="O878" s="124"/>
      <c r="P878" s="99"/>
      <c r="Q878" s="99"/>
      <c r="R878" s="99"/>
      <c r="S878" s="99"/>
      <c r="T878" s="99"/>
      <c r="U878" s="381"/>
      <c r="V878" s="381"/>
      <c r="W878" s="381"/>
      <c r="X878" s="381"/>
      <c r="Y878" s="381"/>
      <c r="Z878" s="381"/>
      <c r="AA878" s="381"/>
      <c r="AB878" s="381"/>
      <c r="AC878" s="381"/>
    </row>
    <row r="879">
      <c r="A879" s="395"/>
      <c r="B879" s="102"/>
      <c r="C879" s="110"/>
      <c r="D879" s="396"/>
      <c r="E879" s="397"/>
      <c r="F879" s="106"/>
      <c r="G879" s="106"/>
      <c r="H879" s="106"/>
      <c r="I879" s="396"/>
      <c r="J879" s="108"/>
      <c r="K879" s="107"/>
      <c r="L879" s="109"/>
      <c r="M879" s="109"/>
      <c r="N879" s="110"/>
      <c r="O879" s="123"/>
      <c r="P879" s="109"/>
      <c r="Q879" s="109"/>
      <c r="R879" s="109"/>
      <c r="S879" s="109"/>
      <c r="T879" s="109"/>
      <c r="U879" s="381"/>
      <c r="V879" s="381"/>
      <c r="W879" s="381"/>
      <c r="X879" s="381"/>
      <c r="Y879" s="381"/>
      <c r="Z879" s="381"/>
      <c r="AA879" s="381"/>
      <c r="AB879" s="381"/>
      <c r="AC879" s="381"/>
    </row>
    <row r="880">
      <c r="A880" s="398"/>
      <c r="B880" s="91"/>
      <c r="C880" s="100"/>
      <c r="D880" s="399"/>
      <c r="E880" s="400"/>
      <c r="F880" s="95"/>
      <c r="G880" s="95"/>
      <c r="H880" s="95"/>
      <c r="I880" s="399"/>
      <c r="J880" s="97"/>
      <c r="K880" s="96"/>
      <c r="L880" s="99"/>
      <c r="M880" s="99"/>
      <c r="N880" s="100"/>
      <c r="O880" s="124"/>
      <c r="P880" s="99"/>
      <c r="Q880" s="99"/>
      <c r="R880" s="99"/>
      <c r="S880" s="99"/>
      <c r="T880" s="99"/>
      <c r="U880" s="381"/>
      <c r="V880" s="381"/>
      <c r="W880" s="381"/>
      <c r="X880" s="381"/>
      <c r="Y880" s="381"/>
      <c r="Z880" s="381"/>
      <c r="AA880" s="381"/>
      <c r="AB880" s="381"/>
      <c r="AC880" s="381"/>
    </row>
    <row r="881">
      <c r="A881" s="395"/>
      <c r="B881" s="102"/>
      <c r="C881" s="110"/>
      <c r="D881" s="396"/>
      <c r="E881" s="397"/>
      <c r="F881" s="106"/>
      <c r="G881" s="106"/>
      <c r="H881" s="106"/>
      <c r="I881" s="396"/>
      <c r="J881" s="108"/>
      <c r="K881" s="107"/>
      <c r="L881" s="109"/>
      <c r="M881" s="109"/>
      <c r="N881" s="110"/>
      <c r="O881" s="123"/>
      <c r="P881" s="109"/>
      <c r="Q881" s="109"/>
      <c r="R881" s="109"/>
      <c r="S881" s="109"/>
      <c r="T881" s="109"/>
      <c r="U881" s="381"/>
      <c r="V881" s="381"/>
      <c r="W881" s="381"/>
      <c r="X881" s="381"/>
      <c r="Y881" s="381"/>
      <c r="Z881" s="381"/>
      <c r="AA881" s="381"/>
      <c r="AB881" s="381"/>
      <c r="AC881" s="381"/>
    </row>
    <row r="882">
      <c r="A882" s="398"/>
      <c r="B882" s="91"/>
      <c r="C882" s="100"/>
      <c r="D882" s="399"/>
      <c r="E882" s="400"/>
      <c r="F882" s="95"/>
      <c r="G882" s="95"/>
      <c r="H882" s="95"/>
      <c r="I882" s="399"/>
      <c r="J882" s="97"/>
      <c r="K882" s="96"/>
      <c r="L882" s="99"/>
      <c r="M882" s="99"/>
      <c r="N882" s="100"/>
      <c r="O882" s="124"/>
      <c r="P882" s="99"/>
      <c r="Q882" s="99"/>
      <c r="R882" s="99"/>
      <c r="S882" s="99"/>
      <c r="T882" s="99"/>
      <c r="U882" s="381"/>
      <c r="V882" s="381"/>
      <c r="W882" s="381"/>
      <c r="X882" s="381"/>
      <c r="Y882" s="381"/>
      <c r="Z882" s="381"/>
      <c r="AA882" s="381"/>
      <c r="AB882" s="381"/>
      <c r="AC882" s="381"/>
    </row>
    <row r="883">
      <c r="A883" s="395"/>
      <c r="B883" s="102"/>
      <c r="C883" s="110"/>
      <c r="D883" s="396"/>
      <c r="E883" s="397"/>
      <c r="F883" s="106"/>
      <c r="G883" s="106"/>
      <c r="H883" s="106"/>
      <c r="I883" s="396"/>
      <c r="J883" s="108"/>
      <c r="K883" s="107"/>
      <c r="L883" s="109"/>
      <c r="M883" s="109"/>
      <c r="N883" s="110"/>
      <c r="O883" s="123"/>
      <c r="P883" s="109"/>
      <c r="Q883" s="109"/>
      <c r="R883" s="109"/>
      <c r="S883" s="109"/>
      <c r="T883" s="109"/>
      <c r="U883" s="381"/>
      <c r="V883" s="381"/>
      <c r="W883" s="381"/>
      <c r="X883" s="381"/>
      <c r="Y883" s="381"/>
      <c r="Z883" s="381"/>
      <c r="AA883" s="381"/>
      <c r="AB883" s="381"/>
      <c r="AC883" s="381"/>
    </row>
    <row r="884">
      <c r="A884" s="398"/>
      <c r="B884" s="91"/>
      <c r="C884" s="100"/>
      <c r="D884" s="399"/>
      <c r="E884" s="400"/>
      <c r="F884" s="95"/>
      <c r="G884" s="95"/>
      <c r="H884" s="95"/>
      <c r="I884" s="399"/>
      <c r="J884" s="97"/>
      <c r="K884" s="96"/>
      <c r="L884" s="99"/>
      <c r="M884" s="99"/>
      <c r="N884" s="100"/>
      <c r="O884" s="124"/>
      <c r="P884" s="99"/>
      <c r="Q884" s="99"/>
      <c r="R884" s="99"/>
      <c r="S884" s="99"/>
      <c r="T884" s="99"/>
      <c r="U884" s="381"/>
      <c r="V884" s="381"/>
      <c r="W884" s="381"/>
      <c r="X884" s="381"/>
      <c r="Y884" s="381"/>
      <c r="Z884" s="381"/>
      <c r="AA884" s="381"/>
      <c r="AB884" s="381"/>
      <c r="AC884" s="381"/>
    </row>
    <row r="885">
      <c r="A885" s="395"/>
      <c r="B885" s="102"/>
      <c r="C885" s="110"/>
      <c r="D885" s="396"/>
      <c r="E885" s="397"/>
      <c r="F885" s="106"/>
      <c r="G885" s="106"/>
      <c r="H885" s="106"/>
      <c r="I885" s="396"/>
      <c r="J885" s="108"/>
      <c r="K885" s="107"/>
      <c r="L885" s="109"/>
      <c r="M885" s="109"/>
      <c r="N885" s="110"/>
      <c r="O885" s="123"/>
      <c r="P885" s="109"/>
      <c r="Q885" s="109"/>
      <c r="R885" s="109"/>
      <c r="S885" s="109"/>
      <c r="T885" s="109"/>
      <c r="U885" s="381"/>
      <c r="V885" s="381"/>
      <c r="W885" s="381"/>
      <c r="X885" s="381"/>
      <c r="Y885" s="381"/>
      <c r="Z885" s="381"/>
      <c r="AA885" s="381"/>
      <c r="AB885" s="381"/>
      <c r="AC885" s="381"/>
    </row>
    <row r="886">
      <c r="A886" s="398"/>
      <c r="B886" s="91"/>
      <c r="C886" s="100"/>
      <c r="D886" s="399"/>
      <c r="E886" s="400"/>
      <c r="F886" s="95"/>
      <c r="G886" s="95"/>
      <c r="H886" s="95"/>
      <c r="I886" s="399"/>
      <c r="J886" s="97"/>
      <c r="K886" s="96"/>
      <c r="L886" s="99"/>
      <c r="M886" s="99"/>
      <c r="N886" s="100"/>
      <c r="O886" s="124"/>
      <c r="P886" s="99"/>
      <c r="Q886" s="99"/>
      <c r="R886" s="99"/>
      <c r="S886" s="99"/>
      <c r="T886" s="99"/>
      <c r="U886" s="381"/>
      <c r="V886" s="381"/>
      <c r="W886" s="381"/>
      <c r="X886" s="381"/>
      <c r="Y886" s="381"/>
      <c r="Z886" s="381"/>
      <c r="AA886" s="381"/>
      <c r="AB886" s="381"/>
      <c r="AC886" s="381"/>
    </row>
    <row r="887">
      <c r="A887" s="395"/>
      <c r="B887" s="102"/>
      <c r="C887" s="110"/>
      <c r="D887" s="396"/>
      <c r="E887" s="397"/>
      <c r="F887" s="106"/>
      <c r="G887" s="106"/>
      <c r="H887" s="106"/>
      <c r="I887" s="396"/>
      <c r="J887" s="108"/>
      <c r="K887" s="107"/>
      <c r="L887" s="109"/>
      <c r="M887" s="109"/>
      <c r="N887" s="110"/>
      <c r="O887" s="123"/>
      <c r="P887" s="109"/>
      <c r="Q887" s="109"/>
      <c r="R887" s="109"/>
      <c r="S887" s="109"/>
      <c r="T887" s="109"/>
      <c r="U887" s="381"/>
      <c r="V887" s="381"/>
      <c r="W887" s="381"/>
      <c r="X887" s="381"/>
      <c r="Y887" s="381"/>
      <c r="Z887" s="381"/>
      <c r="AA887" s="381"/>
      <c r="AB887" s="381"/>
      <c r="AC887" s="381"/>
    </row>
    <row r="888">
      <c r="A888" s="398"/>
      <c r="B888" s="91"/>
      <c r="C888" s="100"/>
      <c r="D888" s="399"/>
      <c r="E888" s="400"/>
      <c r="F888" s="95"/>
      <c r="G888" s="95"/>
      <c r="H888" s="95"/>
      <c r="I888" s="399"/>
      <c r="J888" s="97"/>
      <c r="K888" s="96"/>
      <c r="L888" s="99"/>
      <c r="M888" s="99"/>
      <c r="N888" s="100"/>
      <c r="O888" s="124"/>
      <c r="P888" s="99"/>
      <c r="Q888" s="99"/>
      <c r="R888" s="99"/>
      <c r="S888" s="99"/>
      <c r="T888" s="99"/>
      <c r="U888" s="381"/>
      <c r="V888" s="381"/>
      <c r="W888" s="381"/>
      <c r="X888" s="381"/>
      <c r="Y888" s="381"/>
      <c r="Z888" s="381"/>
      <c r="AA888" s="381"/>
      <c r="AB888" s="381"/>
      <c r="AC888" s="381"/>
    </row>
    <row r="889">
      <c r="A889" s="395"/>
      <c r="B889" s="102"/>
      <c r="C889" s="110"/>
      <c r="D889" s="396"/>
      <c r="E889" s="397"/>
      <c r="F889" s="106"/>
      <c r="G889" s="106"/>
      <c r="H889" s="106"/>
      <c r="I889" s="396"/>
      <c r="J889" s="108"/>
      <c r="K889" s="107"/>
      <c r="L889" s="109"/>
      <c r="M889" s="109"/>
      <c r="N889" s="110"/>
      <c r="O889" s="123"/>
      <c r="P889" s="109"/>
      <c r="Q889" s="109"/>
      <c r="R889" s="109"/>
      <c r="S889" s="109"/>
      <c r="T889" s="109"/>
      <c r="U889" s="381"/>
      <c r="V889" s="381"/>
      <c r="W889" s="381"/>
      <c r="X889" s="381"/>
      <c r="Y889" s="381"/>
      <c r="Z889" s="381"/>
      <c r="AA889" s="381"/>
      <c r="AB889" s="381"/>
      <c r="AC889" s="381"/>
    </row>
    <row r="890">
      <c r="A890" s="398"/>
      <c r="B890" s="91"/>
      <c r="C890" s="100"/>
      <c r="D890" s="399"/>
      <c r="E890" s="400"/>
      <c r="F890" s="95"/>
      <c r="G890" s="95"/>
      <c r="H890" s="95"/>
      <c r="I890" s="399"/>
      <c r="J890" s="97"/>
      <c r="K890" s="96"/>
      <c r="L890" s="99"/>
      <c r="M890" s="99"/>
      <c r="N890" s="100"/>
      <c r="O890" s="124"/>
      <c r="P890" s="99"/>
      <c r="Q890" s="99"/>
      <c r="R890" s="99"/>
      <c r="S890" s="99"/>
      <c r="T890" s="99"/>
      <c r="U890" s="381"/>
      <c r="V890" s="381"/>
      <c r="W890" s="381"/>
      <c r="X890" s="381"/>
      <c r="Y890" s="381"/>
      <c r="Z890" s="381"/>
      <c r="AA890" s="381"/>
      <c r="AB890" s="381"/>
      <c r="AC890" s="381"/>
    </row>
    <row r="891">
      <c r="A891" s="395"/>
      <c r="B891" s="102"/>
      <c r="C891" s="110"/>
      <c r="D891" s="396"/>
      <c r="E891" s="397"/>
      <c r="F891" s="106"/>
      <c r="G891" s="106"/>
      <c r="H891" s="106"/>
      <c r="I891" s="396"/>
      <c r="J891" s="108"/>
      <c r="K891" s="107"/>
      <c r="L891" s="109"/>
      <c r="M891" s="109"/>
      <c r="N891" s="110"/>
      <c r="O891" s="123"/>
      <c r="P891" s="109"/>
      <c r="Q891" s="109"/>
      <c r="R891" s="109"/>
      <c r="S891" s="109"/>
      <c r="T891" s="109"/>
      <c r="U891" s="381"/>
      <c r="V891" s="381"/>
      <c r="W891" s="381"/>
      <c r="X891" s="381"/>
      <c r="Y891" s="381"/>
      <c r="Z891" s="381"/>
      <c r="AA891" s="381"/>
      <c r="AB891" s="381"/>
      <c r="AC891" s="381"/>
    </row>
    <row r="892">
      <c r="A892" s="398"/>
      <c r="B892" s="91"/>
      <c r="C892" s="100"/>
      <c r="D892" s="399"/>
      <c r="E892" s="400"/>
      <c r="F892" s="95"/>
      <c r="G892" s="95"/>
      <c r="H892" s="95"/>
      <c r="I892" s="399"/>
      <c r="J892" s="97"/>
      <c r="K892" s="96"/>
      <c r="L892" s="99"/>
      <c r="M892" s="99"/>
      <c r="N892" s="100"/>
      <c r="O892" s="124"/>
      <c r="P892" s="99"/>
      <c r="Q892" s="99"/>
      <c r="R892" s="99"/>
      <c r="S892" s="99"/>
      <c r="T892" s="99"/>
      <c r="U892" s="381"/>
      <c r="V892" s="381"/>
      <c r="W892" s="381"/>
      <c r="X892" s="381"/>
      <c r="Y892" s="381"/>
      <c r="Z892" s="381"/>
      <c r="AA892" s="381"/>
      <c r="AB892" s="381"/>
      <c r="AC892" s="381"/>
    </row>
    <row r="893">
      <c r="A893" s="395"/>
      <c r="B893" s="102"/>
      <c r="C893" s="110"/>
      <c r="D893" s="396"/>
      <c r="E893" s="397"/>
      <c r="F893" s="106"/>
      <c r="G893" s="106"/>
      <c r="H893" s="106"/>
      <c r="I893" s="396"/>
      <c r="J893" s="108"/>
      <c r="K893" s="107"/>
      <c r="L893" s="109"/>
      <c r="M893" s="109"/>
      <c r="N893" s="110"/>
      <c r="O893" s="123"/>
      <c r="P893" s="109"/>
      <c r="Q893" s="109"/>
      <c r="R893" s="109"/>
      <c r="S893" s="109"/>
      <c r="T893" s="109"/>
      <c r="U893" s="381"/>
      <c r="V893" s="381"/>
      <c r="W893" s="381"/>
      <c r="X893" s="381"/>
      <c r="Y893" s="381"/>
      <c r="Z893" s="381"/>
      <c r="AA893" s="381"/>
      <c r="AB893" s="381"/>
      <c r="AC893" s="381"/>
    </row>
    <row r="894">
      <c r="A894" s="398"/>
      <c r="B894" s="91"/>
      <c r="C894" s="100"/>
      <c r="D894" s="399"/>
      <c r="E894" s="400"/>
      <c r="F894" s="95"/>
      <c r="G894" s="95"/>
      <c r="H894" s="95"/>
      <c r="I894" s="399"/>
      <c r="J894" s="97"/>
      <c r="K894" s="96"/>
      <c r="L894" s="99"/>
      <c r="M894" s="99"/>
      <c r="N894" s="100"/>
      <c r="O894" s="124"/>
      <c r="P894" s="99"/>
      <c r="Q894" s="99"/>
      <c r="R894" s="99"/>
      <c r="S894" s="99"/>
      <c r="T894" s="99"/>
      <c r="U894" s="381"/>
      <c r="V894" s="381"/>
      <c r="W894" s="381"/>
      <c r="X894" s="381"/>
      <c r="Y894" s="381"/>
      <c r="Z894" s="381"/>
      <c r="AA894" s="381"/>
      <c r="AB894" s="381"/>
      <c r="AC894" s="381"/>
    </row>
    <row r="895">
      <c r="A895" s="395"/>
      <c r="B895" s="102"/>
      <c r="C895" s="110"/>
      <c r="D895" s="396"/>
      <c r="E895" s="397"/>
      <c r="F895" s="106"/>
      <c r="G895" s="106"/>
      <c r="H895" s="106"/>
      <c r="I895" s="396"/>
      <c r="J895" s="108"/>
      <c r="K895" s="107"/>
      <c r="L895" s="109"/>
      <c r="M895" s="109"/>
      <c r="N895" s="110"/>
      <c r="O895" s="123"/>
      <c r="P895" s="109"/>
      <c r="Q895" s="109"/>
      <c r="R895" s="109"/>
      <c r="S895" s="109"/>
      <c r="T895" s="109"/>
      <c r="U895" s="381"/>
      <c r="V895" s="381"/>
      <c r="W895" s="381"/>
      <c r="X895" s="381"/>
      <c r="Y895" s="381"/>
      <c r="Z895" s="381"/>
      <c r="AA895" s="381"/>
      <c r="AB895" s="381"/>
      <c r="AC895" s="381"/>
    </row>
    <row r="896">
      <c r="A896" s="398"/>
      <c r="B896" s="91"/>
      <c r="C896" s="100"/>
      <c r="D896" s="399"/>
      <c r="E896" s="400"/>
      <c r="F896" s="95"/>
      <c r="G896" s="95"/>
      <c r="H896" s="95"/>
      <c r="I896" s="399"/>
      <c r="J896" s="97"/>
      <c r="K896" s="96"/>
      <c r="L896" s="99"/>
      <c r="M896" s="99"/>
      <c r="N896" s="100"/>
      <c r="O896" s="124"/>
      <c r="P896" s="99"/>
      <c r="Q896" s="99"/>
      <c r="R896" s="99"/>
      <c r="S896" s="99"/>
      <c r="T896" s="99"/>
      <c r="U896" s="381"/>
      <c r="V896" s="381"/>
      <c r="W896" s="381"/>
      <c r="X896" s="381"/>
      <c r="Y896" s="381"/>
      <c r="Z896" s="381"/>
      <c r="AA896" s="381"/>
      <c r="AB896" s="381"/>
      <c r="AC896" s="381"/>
    </row>
    <row r="897">
      <c r="A897" s="395"/>
      <c r="B897" s="102"/>
      <c r="C897" s="110"/>
      <c r="D897" s="396"/>
      <c r="E897" s="397"/>
      <c r="F897" s="106"/>
      <c r="G897" s="106"/>
      <c r="H897" s="106"/>
      <c r="I897" s="396"/>
      <c r="J897" s="108"/>
      <c r="K897" s="107"/>
      <c r="L897" s="109"/>
      <c r="M897" s="109"/>
      <c r="N897" s="110"/>
      <c r="O897" s="123"/>
      <c r="P897" s="109"/>
      <c r="Q897" s="109"/>
      <c r="R897" s="109"/>
      <c r="S897" s="109"/>
      <c r="T897" s="109"/>
      <c r="U897" s="381"/>
      <c r="V897" s="381"/>
      <c r="W897" s="381"/>
      <c r="X897" s="381"/>
      <c r="Y897" s="381"/>
      <c r="Z897" s="381"/>
      <c r="AA897" s="381"/>
      <c r="AB897" s="381"/>
      <c r="AC897" s="381"/>
    </row>
    <row r="898">
      <c r="A898" s="398"/>
      <c r="B898" s="91"/>
      <c r="C898" s="100"/>
      <c r="D898" s="399"/>
      <c r="E898" s="400"/>
      <c r="F898" s="95"/>
      <c r="G898" s="95"/>
      <c r="H898" s="95"/>
      <c r="I898" s="399"/>
      <c r="J898" s="97"/>
      <c r="K898" s="96"/>
      <c r="L898" s="99"/>
      <c r="M898" s="99"/>
      <c r="N898" s="100"/>
      <c r="O898" s="124"/>
      <c r="P898" s="99"/>
      <c r="Q898" s="99"/>
      <c r="R898" s="99"/>
      <c r="S898" s="99"/>
      <c r="T898" s="99"/>
      <c r="U898" s="381"/>
      <c r="V898" s="381"/>
      <c r="W898" s="381"/>
      <c r="X898" s="381"/>
      <c r="Y898" s="381"/>
      <c r="Z898" s="381"/>
      <c r="AA898" s="381"/>
      <c r="AB898" s="381"/>
      <c r="AC898" s="381"/>
    </row>
    <row r="899">
      <c r="A899" s="395"/>
      <c r="B899" s="102"/>
      <c r="C899" s="110"/>
      <c r="D899" s="396"/>
      <c r="E899" s="397"/>
      <c r="F899" s="106"/>
      <c r="G899" s="106"/>
      <c r="H899" s="106"/>
      <c r="I899" s="396"/>
      <c r="J899" s="108"/>
      <c r="K899" s="107"/>
      <c r="L899" s="109"/>
      <c r="M899" s="109"/>
      <c r="N899" s="110"/>
      <c r="O899" s="123"/>
      <c r="P899" s="109"/>
      <c r="Q899" s="109"/>
      <c r="R899" s="109"/>
      <c r="S899" s="109"/>
      <c r="T899" s="109"/>
      <c r="U899" s="381"/>
      <c r="V899" s="381"/>
      <c r="W899" s="381"/>
      <c r="X899" s="381"/>
      <c r="Y899" s="381"/>
      <c r="Z899" s="381"/>
      <c r="AA899" s="381"/>
      <c r="AB899" s="381"/>
      <c r="AC899" s="381"/>
    </row>
    <row r="900">
      <c r="A900" s="398"/>
      <c r="B900" s="91"/>
      <c r="C900" s="100"/>
      <c r="D900" s="399"/>
      <c r="E900" s="400"/>
      <c r="F900" s="95"/>
      <c r="G900" s="95"/>
      <c r="H900" s="95"/>
      <c r="I900" s="399"/>
      <c r="J900" s="97"/>
      <c r="K900" s="96"/>
      <c r="L900" s="99"/>
      <c r="M900" s="99"/>
      <c r="N900" s="100"/>
      <c r="O900" s="124"/>
      <c r="P900" s="99"/>
      <c r="Q900" s="99"/>
      <c r="R900" s="99"/>
      <c r="S900" s="99"/>
      <c r="T900" s="99"/>
      <c r="U900" s="381"/>
      <c r="V900" s="381"/>
      <c r="W900" s="381"/>
      <c r="X900" s="381"/>
      <c r="Y900" s="381"/>
      <c r="Z900" s="381"/>
      <c r="AA900" s="381"/>
      <c r="AB900" s="381"/>
      <c r="AC900" s="381"/>
    </row>
    <row r="901">
      <c r="A901" s="395"/>
      <c r="B901" s="102"/>
      <c r="C901" s="110"/>
      <c r="D901" s="396"/>
      <c r="E901" s="397"/>
      <c r="F901" s="106"/>
      <c r="G901" s="106"/>
      <c r="H901" s="106"/>
      <c r="I901" s="396"/>
      <c r="J901" s="108"/>
      <c r="K901" s="107"/>
      <c r="L901" s="109"/>
      <c r="M901" s="109"/>
      <c r="N901" s="110"/>
      <c r="O901" s="123"/>
      <c r="P901" s="109"/>
      <c r="Q901" s="109"/>
      <c r="R901" s="109"/>
      <c r="S901" s="109"/>
      <c r="T901" s="109"/>
      <c r="U901" s="381"/>
      <c r="V901" s="381"/>
      <c r="W901" s="381"/>
      <c r="X901" s="381"/>
      <c r="Y901" s="381"/>
      <c r="Z901" s="381"/>
      <c r="AA901" s="381"/>
      <c r="AB901" s="381"/>
      <c r="AC901" s="381"/>
    </row>
    <row r="902">
      <c r="A902" s="398"/>
      <c r="B902" s="91"/>
      <c r="C902" s="100"/>
      <c r="D902" s="399"/>
      <c r="E902" s="400"/>
      <c r="F902" s="95"/>
      <c r="G902" s="95"/>
      <c r="H902" s="95"/>
      <c r="I902" s="399"/>
      <c r="J902" s="97"/>
      <c r="K902" s="96"/>
      <c r="L902" s="99"/>
      <c r="M902" s="99"/>
      <c r="N902" s="100"/>
      <c r="O902" s="124"/>
      <c r="P902" s="99"/>
      <c r="Q902" s="99"/>
      <c r="R902" s="99"/>
      <c r="S902" s="99"/>
      <c r="T902" s="99"/>
      <c r="U902" s="381"/>
      <c r="V902" s="381"/>
      <c r="W902" s="381"/>
      <c r="X902" s="381"/>
      <c r="Y902" s="381"/>
      <c r="Z902" s="381"/>
      <c r="AA902" s="381"/>
      <c r="AB902" s="381"/>
      <c r="AC902" s="381"/>
    </row>
    <row r="903">
      <c r="A903" s="395"/>
      <c r="B903" s="102"/>
      <c r="C903" s="110"/>
      <c r="D903" s="396"/>
      <c r="E903" s="397"/>
      <c r="F903" s="106"/>
      <c r="G903" s="106"/>
      <c r="H903" s="106"/>
      <c r="I903" s="396"/>
      <c r="J903" s="108"/>
      <c r="K903" s="107"/>
      <c r="L903" s="109"/>
      <c r="M903" s="109"/>
      <c r="N903" s="110"/>
      <c r="O903" s="123"/>
      <c r="P903" s="109"/>
      <c r="Q903" s="109"/>
      <c r="R903" s="109"/>
      <c r="S903" s="109"/>
      <c r="T903" s="109"/>
      <c r="U903" s="381"/>
      <c r="V903" s="381"/>
      <c r="W903" s="381"/>
      <c r="X903" s="381"/>
      <c r="Y903" s="381"/>
      <c r="Z903" s="381"/>
      <c r="AA903" s="381"/>
      <c r="AB903" s="381"/>
      <c r="AC903" s="381"/>
    </row>
    <row r="904">
      <c r="A904" s="398"/>
      <c r="B904" s="91"/>
      <c r="C904" s="100"/>
      <c r="D904" s="399"/>
      <c r="E904" s="400"/>
      <c r="F904" s="95"/>
      <c r="G904" s="95"/>
      <c r="H904" s="95"/>
      <c r="I904" s="399"/>
      <c r="J904" s="97"/>
      <c r="K904" s="96"/>
      <c r="L904" s="99"/>
      <c r="M904" s="99"/>
      <c r="N904" s="100"/>
      <c r="O904" s="124"/>
      <c r="P904" s="99"/>
      <c r="Q904" s="99"/>
      <c r="R904" s="99"/>
      <c r="S904" s="99"/>
      <c r="T904" s="99"/>
      <c r="U904" s="381"/>
      <c r="V904" s="381"/>
      <c r="W904" s="381"/>
      <c r="X904" s="381"/>
      <c r="Y904" s="381"/>
      <c r="Z904" s="381"/>
      <c r="AA904" s="381"/>
      <c r="AB904" s="381"/>
      <c r="AC904" s="381"/>
    </row>
    <row r="905">
      <c r="A905" s="395"/>
      <c r="B905" s="102"/>
      <c r="C905" s="110"/>
      <c r="D905" s="396"/>
      <c r="E905" s="397"/>
      <c r="F905" s="106"/>
      <c r="G905" s="106"/>
      <c r="H905" s="106"/>
      <c r="I905" s="396"/>
      <c r="J905" s="108"/>
      <c r="K905" s="107"/>
      <c r="L905" s="109"/>
      <c r="M905" s="109"/>
      <c r="N905" s="110"/>
      <c r="O905" s="123"/>
      <c r="P905" s="109"/>
      <c r="Q905" s="109"/>
      <c r="R905" s="109"/>
      <c r="S905" s="109"/>
      <c r="T905" s="109"/>
      <c r="U905" s="381"/>
      <c r="V905" s="381"/>
      <c r="W905" s="381"/>
      <c r="X905" s="381"/>
      <c r="Y905" s="381"/>
      <c r="Z905" s="381"/>
      <c r="AA905" s="381"/>
      <c r="AB905" s="381"/>
      <c r="AC905" s="381"/>
    </row>
    <row r="906">
      <c r="A906" s="398"/>
      <c r="B906" s="91"/>
      <c r="C906" s="100"/>
      <c r="D906" s="399"/>
      <c r="E906" s="400"/>
      <c r="F906" s="95"/>
      <c r="G906" s="95"/>
      <c r="H906" s="95"/>
      <c r="I906" s="399"/>
      <c r="J906" s="97"/>
      <c r="K906" s="96"/>
      <c r="L906" s="99"/>
      <c r="M906" s="99"/>
      <c r="N906" s="100"/>
      <c r="O906" s="124"/>
      <c r="P906" s="99"/>
      <c r="Q906" s="99"/>
      <c r="R906" s="99"/>
      <c r="S906" s="99"/>
      <c r="T906" s="99"/>
      <c r="U906" s="381"/>
      <c r="V906" s="381"/>
      <c r="W906" s="381"/>
      <c r="X906" s="381"/>
      <c r="Y906" s="381"/>
      <c r="Z906" s="381"/>
      <c r="AA906" s="381"/>
      <c r="AB906" s="381"/>
      <c r="AC906" s="381"/>
    </row>
    <row r="907">
      <c r="A907" s="395"/>
      <c r="B907" s="102"/>
      <c r="C907" s="110"/>
      <c r="D907" s="396"/>
      <c r="E907" s="397"/>
      <c r="F907" s="106"/>
      <c r="G907" s="106"/>
      <c r="H907" s="106"/>
      <c r="I907" s="396"/>
      <c r="J907" s="108"/>
      <c r="K907" s="107"/>
      <c r="L907" s="109"/>
      <c r="M907" s="109"/>
      <c r="N907" s="110"/>
      <c r="O907" s="123"/>
      <c r="P907" s="109"/>
      <c r="Q907" s="109"/>
      <c r="R907" s="109"/>
      <c r="S907" s="109"/>
      <c r="T907" s="109"/>
      <c r="U907" s="381"/>
      <c r="V907" s="381"/>
      <c r="W907" s="381"/>
      <c r="X907" s="381"/>
      <c r="Y907" s="381"/>
      <c r="Z907" s="381"/>
      <c r="AA907" s="381"/>
      <c r="AB907" s="381"/>
      <c r="AC907" s="381"/>
    </row>
    <row r="908">
      <c r="A908" s="398"/>
      <c r="B908" s="91"/>
      <c r="C908" s="100"/>
      <c r="D908" s="399"/>
      <c r="E908" s="400"/>
      <c r="F908" s="95"/>
      <c r="G908" s="95"/>
      <c r="H908" s="95"/>
      <c r="I908" s="399"/>
      <c r="J908" s="97"/>
      <c r="K908" s="96"/>
      <c r="L908" s="99"/>
      <c r="M908" s="99"/>
      <c r="N908" s="100"/>
      <c r="O908" s="124"/>
      <c r="P908" s="99"/>
      <c r="Q908" s="99"/>
      <c r="R908" s="99"/>
      <c r="S908" s="99"/>
      <c r="T908" s="99"/>
      <c r="U908" s="381"/>
      <c r="V908" s="381"/>
      <c r="W908" s="381"/>
      <c r="X908" s="381"/>
      <c r="Y908" s="381"/>
      <c r="Z908" s="381"/>
      <c r="AA908" s="381"/>
      <c r="AB908" s="381"/>
      <c r="AC908" s="381"/>
    </row>
    <row r="909">
      <c r="A909" s="395"/>
      <c r="B909" s="102"/>
      <c r="C909" s="110"/>
      <c r="D909" s="396"/>
      <c r="E909" s="397"/>
      <c r="F909" s="106"/>
      <c r="G909" s="106"/>
      <c r="H909" s="106"/>
      <c r="I909" s="396"/>
      <c r="J909" s="108"/>
      <c r="K909" s="107"/>
      <c r="L909" s="109"/>
      <c r="M909" s="109"/>
      <c r="N909" s="110"/>
      <c r="O909" s="123"/>
      <c r="P909" s="109"/>
      <c r="Q909" s="109"/>
      <c r="R909" s="109"/>
      <c r="S909" s="109"/>
      <c r="T909" s="109"/>
      <c r="U909" s="381"/>
      <c r="V909" s="381"/>
      <c r="W909" s="381"/>
      <c r="X909" s="381"/>
      <c r="Y909" s="381"/>
      <c r="Z909" s="381"/>
      <c r="AA909" s="381"/>
      <c r="AB909" s="381"/>
      <c r="AC909" s="381"/>
    </row>
    <row r="910">
      <c r="A910" s="398"/>
      <c r="B910" s="91"/>
      <c r="C910" s="100"/>
      <c r="D910" s="399"/>
      <c r="E910" s="400"/>
      <c r="F910" s="95"/>
      <c r="G910" s="95"/>
      <c r="H910" s="95"/>
      <c r="I910" s="399"/>
      <c r="J910" s="97"/>
      <c r="K910" s="96"/>
      <c r="L910" s="99"/>
      <c r="M910" s="99"/>
      <c r="N910" s="100"/>
      <c r="O910" s="124"/>
      <c r="P910" s="99"/>
      <c r="Q910" s="99"/>
      <c r="R910" s="99"/>
      <c r="S910" s="99"/>
      <c r="T910" s="99"/>
      <c r="U910" s="381"/>
      <c r="V910" s="381"/>
      <c r="W910" s="381"/>
      <c r="X910" s="381"/>
      <c r="Y910" s="381"/>
      <c r="Z910" s="381"/>
      <c r="AA910" s="381"/>
      <c r="AB910" s="381"/>
      <c r="AC910" s="381"/>
    </row>
    <row r="911">
      <c r="A911" s="395"/>
      <c r="B911" s="102"/>
      <c r="C911" s="110"/>
      <c r="D911" s="396"/>
      <c r="E911" s="397"/>
      <c r="F911" s="106"/>
      <c r="G911" s="106"/>
      <c r="H911" s="106"/>
      <c r="I911" s="396"/>
      <c r="J911" s="108"/>
      <c r="K911" s="107"/>
      <c r="L911" s="109"/>
      <c r="M911" s="109"/>
      <c r="N911" s="110"/>
      <c r="O911" s="123"/>
      <c r="P911" s="109"/>
      <c r="Q911" s="109"/>
      <c r="R911" s="109"/>
      <c r="S911" s="109"/>
      <c r="T911" s="109"/>
      <c r="U911" s="381"/>
      <c r="V911" s="381"/>
      <c r="W911" s="381"/>
      <c r="X911" s="381"/>
      <c r="Y911" s="381"/>
      <c r="Z911" s="381"/>
      <c r="AA911" s="381"/>
      <c r="AB911" s="381"/>
      <c r="AC911" s="381"/>
    </row>
    <row r="912">
      <c r="A912" s="398"/>
      <c r="B912" s="91"/>
      <c r="C912" s="100"/>
      <c r="D912" s="399"/>
      <c r="E912" s="400"/>
      <c r="F912" s="95"/>
      <c r="G912" s="95"/>
      <c r="H912" s="95"/>
      <c r="I912" s="399"/>
      <c r="J912" s="97"/>
      <c r="K912" s="96"/>
      <c r="L912" s="99"/>
      <c r="M912" s="99"/>
      <c r="N912" s="100"/>
      <c r="O912" s="124"/>
      <c r="P912" s="99"/>
      <c r="Q912" s="99"/>
      <c r="R912" s="99"/>
      <c r="S912" s="99"/>
      <c r="T912" s="99"/>
      <c r="U912" s="381"/>
      <c r="V912" s="381"/>
      <c r="W912" s="381"/>
      <c r="X912" s="381"/>
      <c r="Y912" s="381"/>
      <c r="Z912" s="381"/>
      <c r="AA912" s="381"/>
      <c r="AB912" s="381"/>
      <c r="AC912" s="381"/>
    </row>
    <row r="913">
      <c r="A913" s="395"/>
      <c r="B913" s="102"/>
      <c r="C913" s="110"/>
      <c r="D913" s="396"/>
      <c r="E913" s="397"/>
      <c r="F913" s="106"/>
      <c r="G913" s="106"/>
      <c r="H913" s="106"/>
      <c r="I913" s="396"/>
      <c r="J913" s="108"/>
      <c r="K913" s="107"/>
      <c r="L913" s="109"/>
      <c r="M913" s="109"/>
      <c r="N913" s="110"/>
      <c r="O913" s="123"/>
      <c r="P913" s="109"/>
      <c r="Q913" s="109"/>
      <c r="R913" s="109"/>
      <c r="S913" s="109"/>
      <c r="T913" s="109"/>
      <c r="U913" s="381"/>
      <c r="V913" s="381"/>
      <c r="W913" s="381"/>
      <c r="X913" s="381"/>
      <c r="Y913" s="381"/>
      <c r="Z913" s="381"/>
      <c r="AA913" s="381"/>
      <c r="AB913" s="381"/>
      <c r="AC913" s="381"/>
    </row>
    <row r="914">
      <c r="A914" s="398"/>
      <c r="B914" s="91"/>
      <c r="C914" s="100"/>
      <c r="D914" s="399"/>
      <c r="E914" s="400"/>
      <c r="F914" s="95"/>
      <c r="G914" s="95"/>
      <c r="H914" s="95"/>
      <c r="I914" s="399"/>
      <c r="J914" s="97"/>
      <c r="K914" s="96"/>
      <c r="L914" s="99"/>
      <c r="M914" s="99"/>
      <c r="N914" s="100"/>
      <c r="O914" s="124"/>
      <c r="P914" s="99"/>
      <c r="Q914" s="99"/>
      <c r="R914" s="99"/>
      <c r="S914" s="99"/>
      <c r="T914" s="99"/>
      <c r="U914" s="381"/>
      <c r="V914" s="381"/>
      <c r="W914" s="381"/>
      <c r="X914" s="381"/>
      <c r="Y914" s="381"/>
      <c r="Z914" s="381"/>
      <c r="AA914" s="381"/>
      <c r="AB914" s="381"/>
      <c r="AC914" s="381"/>
    </row>
    <row r="915">
      <c r="A915" s="395"/>
      <c r="B915" s="102"/>
      <c r="C915" s="110"/>
      <c r="D915" s="396"/>
      <c r="E915" s="397"/>
      <c r="F915" s="106"/>
      <c r="G915" s="106"/>
      <c r="H915" s="106"/>
      <c r="I915" s="396"/>
      <c r="J915" s="108"/>
      <c r="K915" s="107"/>
      <c r="L915" s="109"/>
      <c r="M915" s="109"/>
      <c r="N915" s="110"/>
      <c r="O915" s="123"/>
      <c r="P915" s="109"/>
      <c r="Q915" s="109"/>
      <c r="R915" s="109"/>
      <c r="S915" s="109"/>
      <c r="T915" s="109"/>
      <c r="U915" s="381"/>
      <c r="V915" s="381"/>
      <c r="W915" s="381"/>
      <c r="X915" s="381"/>
      <c r="Y915" s="381"/>
      <c r="Z915" s="381"/>
      <c r="AA915" s="381"/>
      <c r="AB915" s="381"/>
      <c r="AC915" s="381"/>
    </row>
    <row r="916">
      <c r="A916" s="398"/>
      <c r="B916" s="91"/>
      <c r="C916" s="100"/>
      <c r="D916" s="399"/>
      <c r="E916" s="400"/>
      <c r="F916" s="95"/>
      <c r="G916" s="95"/>
      <c r="H916" s="95"/>
      <c r="I916" s="399"/>
      <c r="J916" s="97"/>
      <c r="K916" s="96"/>
      <c r="L916" s="99"/>
      <c r="M916" s="99"/>
      <c r="N916" s="100"/>
      <c r="O916" s="124"/>
      <c r="P916" s="99"/>
      <c r="Q916" s="99"/>
      <c r="R916" s="99"/>
      <c r="S916" s="99"/>
      <c r="T916" s="99"/>
      <c r="U916" s="381"/>
      <c r="V916" s="381"/>
      <c r="W916" s="381"/>
      <c r="X916" s="381"/>
      <c r="Y916" s="381"/>
      <c r="Z916" s="381"/>
      <c r="AA916" s="381"/>
      <c r="AB916" s="381"/>
      <c r="AC916" s="381"/>
    </row>
    <row r="917">
      <c r="A917" s="395"/>
      <c r="B917" s="102"/>
      <c r="C917" s="110"/>
      <c r="D917" s="396"/>
      <c r="E917" s="397"/>
      <c r="F917" s="106"/>
      <c r="G917" s="106"/>
      <c r="H917" s="106"/>
      <c r="I917" s="396"/>
      <c r="J917" s="108"/>
      <c r="K917" s="107"/>
      <c r="L917" s="109"/>
      <c r="M917" s="109"/>
      <c r="N917" s="110"/>
      <c r="O917" s="123"/>
      <c r="P917" s="109"/>
      <c r="Q917" s="109"/>
      <c r="R917" s="109"/>
      <c r="S917" s="109"/>
      <c r="T917" s="109"/>
      <c r="U917" s="381"/>
      <c r="V917" s="381"/>
      <c r="W917" s="381"/>
      <c r="X917" s="381"/>
      <c r="Y917" s="381"/>
      <c r="Z917" s="381"/>
      <c r="AA917" s="381"/>
      <c r="AB917" s="381"/>
      <c r="AC917" s="381"/>
    </row>
    <row r="918">
      <c r="A918" s="398"/>
      <c r="B918" s="91"/>
      <c r="C918" s="100"/>
      <c r="D918" s="399"/>
      <c r="E918" s="400"/>
      <c r="F918" s="95"/>
      <c r="G918" s="95"/>
      <c r="H918" s="95"/>
      <c r="I918" s="399"/>
      <c r="J918" s="97"/>
      <c r="K918" s="96"/>
      <c r="L918" s="99"/>
      <c r="M918" s="99"/>
      <c r="N918" s="100"/>
      <c r="O918" s="124"/>
      <c r="P918" s="99"/>
      <c r="Q918" s="99"/>
      <c r="R918" s="99"/>
      <c r="S918" s="99"/>
      <c r="T918" s="99"/>
      <c r="U918" s="381"/>
      <c r="V918" s="381"/>
      <c r="W918" s="381"/>
      <c r="X918" s="381"/>
      <c r="Y918" s="381"/>
      <c r="Z918" s="381"/>
      <c r="AA918" s="381"/>
      <c r="AB918" s="381"/>
      <c r="AC918" s="381"/>
    </row>
    <row r="919">
      <c r="A919" s="395"/>
      <c r="B919" s="102"/>
      <c r="C919" s="110"/>
      <c r="D919" s="396"/>
      <c r="E919" s="397"/>
      <c r="F919" s="106"/>
      <c r="G919" s="106"/>
      <c r="H919" s="106"/>
      <c r="I919" s="396"/>
      <c r="J919" s="108"/>
      <c r="K919" s="107"/>
      <c r="L919" s="109"/>
      <c r="M919" s="109"/>
      <c r="N919" s="110"/>
      <c r="O919" s="123"/>
      <c r="P919" s="109"/>
      <c r="Q919" s="109"/>
      <c r="R919" s="109"/>
      <c r="S919" s="109"/>
      <c r="T919" s="109"/>
      <c r="U919" s="381"/>
      <c r="V919" s="381"/>
      <c r="W919" s="381"/>
      <c r="X919" s="381"/>
      <c r="Y919" s="381"/>
      <c r="Z919" s="381"/>
      <c r="AA919" s="381"/>
      <c r="AB919" s="381"/>
      <c r="AC919" s="381"/>
    </row>
    <row r="920">
      <c r="A920" s="398"/>
      <c r="B920" s="91"/>
      <c r="C920" s="100"/>
      <c r="D920" s="399"/>
      <c r="E920" s="400"/>
      <c r="F920" s="95"/>
      <c r="G920" s="95"/>
      <c r="H920" s="95"/>
      <c r="I920" s="399"/>
      <c r="J920" s="97"/>
      <c r="K920" s="96"/>
      <c r="L920" s="99"/>
      <c r="M920" s="99"/>
      <c r="N920" s="100"/>
      <c r="O920" s="124"/>
      <c r="P920" s="99"/>
      <c r="Q920" s="99"/>
      <c r="R920" s="99"/>
      <c r="S920" s="99"/>
      <c r="T920" s="99"/>
      <c r="U920" s="381"/>
      <c r="V920" s="381"/>
      <c r="W920" s="381"/>
      <c r="X920" s="381"/>
      <c r="Y920" s="381"/>
      <c r="Z920" s="381"/>
      <c r="AA920" s="381"/>
      <c r="AB920" s="381"/>
      <c r="AC920" s="381"/>
    </row>
    <row r="921">
      <c r="A921" s="395"/>
      <c r="B921" s="102"/>
      <c r="C921" s="110"/>
      <c r="D921" s="396"/>
      <c r="E921" s="397"/>
      <c r="F921" s="106"/>
      <c r="G921" s="106"/>
      <c r="H921" s="106"/>
      <c r="I921" s="396"/>
      <c r="J921" s="108"/>
      <c r="K921" s="107"/>
      <c r="L921" s="109"/>
      <c r="M921" s="109"/>
      <c r="N921" s="110"/>
      <c r="O921" s="123"/>
      <c r="P921" s="109"/>
      <c r="Q921" s="109"/>
      <c r="R921" s="109"/>
      <c r="S921" s="109"/>
      <c r="T921" s="109"/>
      <c r="U921" s="381"/>
      <c r="V921" s="381"/>
      <c r="W921" s="381"/>
      <c r="X921" s="381"/>
      <c r="Y921" s="381"/>
      <c r="Z921" s="381"/>
      <c r="AA921" s="381"/>
      <c r="AB921" s="381"/>
      <c r="AC921" s="381"/>
    </row>
    <row r="922">
      <c r="A922" s="398"/>
      <c r="B922" s="91"/>
      <c r="C922" s="100"/>
      <c r="D922" s="399"/>
      <c r="E922" s="400"/>
      <c r="F922" s="95"/>
      <c r="G922" s="95"/>
      <c r="H922" s="95"/>
      <c r="I922" s="399"/>
      <c r="J922" s="97"/>
      <c r="K922" s="96"/>
      <c r="L922" s="99"/>
      <c r="M922" s="99"/>
      <c r="N922" s="100"/>
      <c r="O922" s="124"/>
      <c r="P922" s="99"/>
      <c r="Q922" s="99"/>
      <c r="R922" s="99"/>
      <c r="S922" s="99"/>
      <c r="T922" s="99"/>
      <c r="U922" s="381"/>
      <c r="V922" s="381"/>
      <c r="W922" s="381"/>
      <c r="X922" s="381"/>
      <c r="Y922" s="381"/>
      <c r="Z922" s="381"/>
      <c r="AA922" s="381"/>
      <c r="AB922" s="381"/>
      <c r="AC922" s="381"/>
    </row>
    <row r="923">
      <c r="A923" s="395"/>
      <c r="B923" s="102"/>
      <c r="C923" s="110"/>
      <c r="D923" s="396"/>
      <c r="E923" s="397"/>
      <c r="F923" s="106"/>
      <c r="G923" s="106"/>
      <c r="H923" s="106"/>
      <c r="I923" s="396"/>
      <c r="J923" s="108"/>
      <c r="K923" s="107"/>
      <c r="L923" s="109"/>
      <c r="M923" s="109"/>
      <c r="N923" s="110"/>
      <c r="O923" s="123"/>
      <c r="P923" s="109"/>
      <c r="Q923" s="109"/>
      <c r="R923" s="109"/>
      <c r="S923" s="109"/>
      <c r="T923" s="109"/>
      <c r="U923" s="381"/>
      <c r="V923" s="381"/>
      <c r="W923" s="381"/>
      <c r="X923" s="381"/>
      <c r="Y923" s="381"/>
      <c r="Z923" s="381"/>
      <c r="AA923" s="381"/>
      <c r="AB923" s="381"/>
      <c r="AC923" s="381"/>
    </row>
    <row r="924">
      <c r="A924" s="398"/>
      <c r="B924" s="91"/>
      <c r="C924" s="100"/>
      <c r="D924" s="399"/>
      <c r="E924" s="400"/>
      <c r="F924" s="95"/>
      <c r="G924" s="95"/>
      <c r="H924" s="95"/>
      <c r="I924" s="399"/>
      <c r="J924" s="97"/>
      <c r="K924" s="96"/>
      <c r="L924" s="99"/>
      <c r="M924" s="99"/>
      <c r="N924" s="100"/>
      <c r="O924" s="124"/>
      <c r="P924" s="99"/>
      <c r="Q924" s="99"/>
      <c r="R924" s="99"/>
      <c r="S924" s="99"/>
      <c r="T924" s="99"/>
      <c r="U924" s="381"/>
      <c r="V924" s="381"/>
      <c r="W924" s="381"/>
      <c r="X924" s="381"/>
      <c r="Y924" s="381"/>
      <c r="Z924" s="381"/>
      <c r="AA924" s="381"/>
      <c r="AB924" s="381"/>
      <c r="AC924" s="381"/>
    </row>
    <row r="925">
      <c r="A925" s="395"/>
      <c r="B925" s="102"/>
      <c r="C925" s="110"/>
      <c r="D925" s="396"/>
      <c r="E925" s="397"/>
      <c r="F925" s="106"/>
      <c r="G925" s="106"/>
      <c r="H925" s="106"/>
      <c r="I925" s="396"/>
      <c r="J925" s="108"/>
      <c r="K925" s="107"/>
      <c r="L925" s="109"/>
      <c r="M925" s="109"/>
      <c r="N925" s="110"/>
      <c r="O925" s="123"/>
      <c r="P925" s="109"/>
      <c r="Q925" s="109"/>
      <c r="R925" s="109"/>
      <c r="S925" s="109"/>
      <c r="T925" s="109"/>
      <c r="U925" s="381"/>
      <c r="V925" s="381"/>
      <c r="W925" s="381"/>
      <c r="X925" s="381"/>
      <c r="Y925" s="381"/>
      <c r="Z925" s="381"/>
      <c r="AA925" s="381"/>
      <c r="AB925" s="381"/>
      <c r="AC925" s="381"/>
    </row>
    <row r="926">
      <c r="A926" s="398"/>
      <c r="B926" s="91"/>
      <c r="C926" s="100"/>
      <c r="D926" s="399"/>
      <c r="E926" s="400"/>
      <c r="F926" s="95"/>
      <c r="G926" s="95"/>
      <c r="H926" s="95"/>
      <c r="I926" s="399"/>
      <c r="J926" s="97"/>
      <c r="K926" s="96"/>
      <c r="L926" s="99"/>
      <c r="M926" s="99"/>
      <c r="N926" s="100"/>
      <c r="O926" s="124"/>
      <c r="P926" s="99"/>
      <c r="Q926" s="99"/>
      <c r="R926" s="99"/>
      <c r="S926" s="99"/>
      <c r="T926" s="99"/>
      <c r="U926" s="381"/>
      <c r="V926" s="381"/>
      <c r="W926" s="381"/>
      <c r="X926" s="381"/>
      <c r="Y926" s="381"/>
      <c r="Z926" s="381"/>
      <c r="AA926" s="381"/>
      <c r="AB926" s="381"/>
      <c r="AC926" s="381"/>
    </row>
    <row r="927">
      <c r="A927" s="395"/>
      <c r="B927" s="102"/>
      <c r="C927" s="110"/>
      <c r="D927" s="396"/>
      <c r="E927" s="397"/>
      <c r="F927" s="106"/>
      <c r="G927" s="106"/>
      <c r="H927" s="106"/>
      <c r="I927" s="396"/>
      <c r="J927" s="108"/>
      <c r="K927" s="107"/>
      <c r="L927" s="109"/>
      <c r="M927" s="109"/>
      <c r="N927" s="110"/>
      <c r="O927" s="123"/>
      <c r="P927" s="109"/>
      <c r="Q927" s="109"/>
      <c r="R927" s="109"/>
      <c r="S927" s="109"/>
      <c r="T927" s="109"/>
      <c r="U927" s="381"/>
      <c r="V927" s="381"/>
      <c r="W927" s="381"/>
      <c r="X927" s="381"/>
      <c r="Y927" s="381"/>
      <c r="Z927" s="381"/>
      <c r="AA927" s="381"/>
      <c r="AB927" s="381"/>
      <c r="AC927" s="381"/>
    </row>
    <row r="928">
      <c r="A928" s="398"/>
      <c r="B928" s="91"/>
      <c r="C928" s="100"/>
      <c r="D928" s="399"/>
      <c r="E928" s="400"/>
      <c r="F928" s="95"/>
      <c r="G928" s="95"/>
      <c r="H928" s="95"/>
      <c r="I928" s="399"/>
      <c r="J928" s="97"/>
      <c r="K928" s="96"/>
      <c r="L928" s="99"/>
      <c r="M928" s="99"/>
      <c r="N928" s="100"/>
      <c r="O928" s="124"/>
      <c r="P928" s="99"/>
      <c r="Q928" s="99"/>
      <c r="R928" s="99"/>
      <c r="S928" s="99"/>
      <c r="T928" s="99"/>
      <c r="U928" s="381"/>
      <c r="V928" s="381"/>
      <c r="W928" s="381"/>
      <c r="X928" s="381"/>
      <c r="Y928" s="381"/>
      <c r="Z928" s="381"/>
      <c r="AA928" s="381"/>
      <c r="AB928" s="381"/>
      <c r="AC928" s="381"/>
    </row>
    <row r="929">
      <c r="A929" s="395"/>
      <c r="B929" s="102"/>
      <c r="C929" s="110"/>
      <c r="D929" s="396"/>
      <c r="E929" s="397"/>
      <c r="F929" s="106"/>
      <c r="G929" s="106"/>
      <c r="H929" s="106"/>
      <c r="I929" s="396"/>
      <c r="J929" s="108"/>
      <c r="K929" s="107"/>
      <c r="L929" s="109"/>
      <c r="M929" s="109"/>
      <c r="N929" s="110"/>
      <c r="O929" s="123"/>
      <c r="P929" s="109"/>
      <c r="Q929" s="109"/>
      <c r="R929" s="109"/>
      <c r="S929" s="109"/>
      <c r="T929" s="109"/>
      <c r="U929" s="381"/>
      <c r="V929" s="381"/>
      <c r="W929" s="381"/>
      <c r="X929" s="381"/>
      <c r="Y929" s="381"/>
      <c r="Z929" s="381"/>
      <c r="AA929" s="381"/>
      <c r="AB929" s="381"/>
      <c r="AC929" s="381"/>
    </row>
    <row r="930">
      <c r="A930" s="398"/>
      <c r="B930" s="91"/>
      <c r="C930" s="100"/>
      <c r="D930" s="399"/>
      <c r="E930" s="400"/>
      <c r="F930" s="95"/>
      <c r="G930" s="95"/>
      <c r="H930" s="95"/>
      <c r="I930" s="399"/>
      <c r="J930" s="97"/>
      <c r="K930" s="96"/>
      <c r="L930" s="99"/>
      <c r="M930" s="99"/>
      <c r="N930" s="100"/>
      <c r="O930" s="124"/>
      <c r="P930" s="99"/>
      <c r="Q930" s="99"/>
      <c r="R930" s="99"/>
      <c r="S930" s="99"/>
      <c r="T930" s="99"/>
      <c r="U930" s="381"/>
      <c r="V930" s="381"/>
      <c r="W930" s="381"/>
      <c r="X930" s="381"/>
      <c r="Y930" s="381"/>
      <c r="Z930" s="381"/>
      <c r="AA930" s="381"/>
      <c r="AB930" s="381"/>
      <c r="AC930" s="381"/>
    </row>
    <row r="931">
      <c r="A931" s="395"/>
      <c r="B931" s="102"/>
      <c r="C931" s="110"/>
      <c r="D931" s="396"/>
      <c r="E931" s="397"/>
      <c r="F931" s="106"/>
      <c r="G931" s="106"/>
      <c r="H931" s="106"/>
      <c r="I931" s="396"/>
      <c r="J931" s="108"/>
      <c r="K931" s="107"/>
      <c r="L931" s="109"/>
      <c r="M931" s="109"/>
      <c r="N931" s="110"/>
      <c r="O931" s="123"/>
      <c r="P931" s="109"/>
      <c r="Q931" s="109"/>
      <c r="R931" s="109"/>
      <c r="S931" s="109"/>
      <c r="T931" s="109"/>
      <c r="U931" s="381"/>
      <c r="V931" s="381"/>
      <c r="W931" s="381"/>
      <c r="X931" s="381"/>
      <c r="Y931" s="381"/>
      <c r="Z931" s="381"/>
      <c r="AA931" s="381"/>
      <c r="AB931" s="381"/>
      <c r="AC931" s="381"/>
    </row>
    <row r="932">
      <c r="A932" s="398"/>
      <c r="B932" s="91"/>
      <c r="C932" s="100"/>
      <c r="D932" s="399"/>
      <c r="E932" s="400"/>
      <c r="F932" s="95"/>
      <c r="G932" s="95"/>
      <c r="H932" s="95"/>
      <c r="I932" s="399"/>
      <c r="J932" s="97"/>
      <c r="K932" s="96"/>
      <c r="L932" s="99"/>
      <c r="M932" s="99"/>
      <c r="N932" s="100"/>
      <c r="O932" s="124"/>
      <c r="P932" s="99"/>
      <c r="Q932" s="99"/>
      <c r="R932" s="99"/>
      <c r="S932" s="99"/>
      <c r="T932" s="99"/>
      <c r="U932" s="381"/>
      <c r="V932" s="381"/>
      <c r="W932" s="381"/>
      <c r="X932" s="381"/>
      <c r="Y932" s="381"/>
      <c r="Z932" s="381"/>
      <c r="AA932" s="381"/>
      <c r="AB932" s="381"/>
      <c r="AC932" s="381"/>
    </row>
    <row r="933">
      <c r="A933" s="395"/>
      <c r="B933" s="102"/>
      <c r="C933" s="110"/>
      <c r="D933" s="396"/>
      <c r="E933" s="397"/>
      <c r="F933" s="106"/>
      <c r="G933" s="106"/>
      <c r="H933" s="106"/>
      <c r="I933" s="396"/>
      <c r="J933" s="108"/>
      <c r="K933" s="107"/>
      <c r="L933" s="109"/>
      <c r="M933" s="109"/>
      <c r="N933" s="110"/>
      <c r="O933" s="123"/>
      <c r="P933" s="109"/>
      <c r="Q933" s="109"/>
      <c r="R933" s="109"/>
      <c r="S933" s="109"/>
      <c r="T933" s="109"/>
      <c r="U933" s="381"/>
      <c r="V933" s="381"/>
      <c r="W933" s="381"/>
      <c r="X933" s="381"/>
      <c r="Y933" s="381"/>
      <c r="Z933" s="381"/>
      <c r="AA933" s="381"/>
      <c r="AB933" s="381"/>
      <c r="AC933" s="381"/>
    </row>
    <row r="934">
      <c r="A934" s="398"/>
      <c r="B934" s="91"/>
      <c r="C934" s="100"/>
      <c r="D934" s="399"/>
      <c r="E934" s="400"/>
      <c r="F934" s="95"/>
      <c r="G934" s="95"/>
      <c r="H934" s="95"/>
      <c r="I934" s="399"/>
      <c r="J934" s="97"/>
      <c r="K934" s="96"/>
      <c r="L934" s="99"/>
      <c r="M934" s="99"/>
      <c r="N934" s="100"/>
      <c r="O934" s="124"/>
      <c r="P934" s="99"/>
      <c r="Q934" s="99"/>
      <c r="R934" s="99"/>
      <c r="S934" s="99"/>
      <c r="T934" s="99"/>
      <c r="U934" s="381"/>
      <c r="V934" s="381"/>
      <c r="W934" s="381"/>
      <c r="X934" s="381"/>
      <c r="Y934" s="381"/>
      <c r="Z934" s="381"/>
      <c r="AA934" s="381"/>
      <c r="AB934" s="381"/>
      <c r="AC934" s="381"/>
    </row>
    <row r="935">
      <c r="A935" s="395"/>
      <c r="B935" s="102"/>
      <c r="C935" s="110"/>
      <c r="D935" s="396"/>
      <c r="E935" s="397"/>
      <c r="F935" s="106"/>
      <c r="G935" s="106"/>
      <c r="H935" s="106"/>
      <c r="I935" s="396"/>
      <c r="J935" s="108"/>
      <c r="K935" s="107"/>
      <c r="L935" s="109"/>
      <c r="M935" s="109"/>
      <c r="N935" s="110"/>
      <c r="O935" s="123"/>
      <c r="P935" s="109"/>
      <c r="Q935" s="109"/>
      <c r="R935" s="109"/>
      <c r="S935" s="109"/>
      <c r="T935" s="109"/>
      <c r="U935" s="381"/>
      <c r="V935" s="381"/>
      <c r="W935" s="381"/>
      <c r="X935" s="381"/>
      <c r="Y935" s="381"/>
      <c r="Z935" s="381"/>
      <c r="AA935" s="381"/>
      <c r="AB935" s="381"/>
      <c r="AC935" s="381"/>
    </row>
    <row r="936">
      <c r="A936" s="398"/>
      <c r="B936" s="91"/>
      <c r="C936" s="100"/>
      <c r="D936" s="399"/>
      <c r="E936" s="400"/>
      <c r="F936" s="95"/>
      <c r="G936" s="95"/>
      <c r="H936" s="95"/>
      <c r="I936" s="399"/>
      <c r="J936" s="97"/>
      <c r="K936" s="96"/>
      <c r="L936" s="99"/>
      <c r="M936" s="99"/>
      <c r="N936" s="100"/>
      <c r="O936" s="124"/>
      <c r="P936" s="99"/>
      <c r="Q936" s="99"/>
      <c r="R936" s="99"/>
      <c r="S936" s="99"/>
      <c r="T936" s="99"/>
      <c r="U936" s="381"/>
      <c r="V936" s="381"/>
      <c r="W936" s="381"/>
      <c r="X936" s="381"/>
      <c r="Y936" s="381"/>
      <c r="Z936" s="381"/>
      <c r="AA936" s="381"/>
      <c r="AB936" s="381"/>
      <c r="AC936" s="381"/>
    </row>
    <row r="937">
      <c r="A937" s="395"/>
      <c r="B937" s="102"/>
      <c r="C937" s="110"/>
      <c r="D937" s="396"/>
      <c r="E937" s="397"/>
      <c r="F937" s="106"/>
      <c r="G937" s="106"/>
      <c r="H937" s="106"/>
      <c r="I937" s="396"/>
      <c r="J937" s="108"/>
      <c r="K937" s="107"/>
      <c r="L937" s="109"/>
      <c r="M937" s="109"/>
      <c r="N937" s="110"/>
      <c r="O937" s="123"/>
      <c r="P937" s="109"/>
      <c r="Q937" s="109"/>
      <c r="R937" s="109"/>
      <c r="S937" s="109"/>
      <c r="T937" s="109"/>
      <c r="U937" s="381"/>
      <c r="V937" s="381"/>
      <c r="W937" s="381"/>
      <c r="X937" s="381"/>
      <c r="Y937" s="381"/>
      <c r="Z937" s="381"/>
      <c r="AA937" s="381"/>
      <c r="AB937" s="381"/>
      <c r="AC937" s="381"/>
    </row>
    <row r="938">
      <c r="A938" s="398"/>
      <c r="B938" s="91"/>
      <c r="C938" s="100"/>
      <c r="D938" s="399"/>
      <c r="E938" s="400"/>
      <c r="F938" s="95"/>
      <c r="G938" s="95"/>
      <c r="H938" s="95"/>
      <c r="I938" s="399"/>
      <c r="J938" s="97"/>
      <c r="K938" s="96"/>
      <c r="L938" s="99"/>
      <c r="M938" s="99"/>
      <c r="N938" s="100"/>
      <c r="O938" s="124"/>
      <c r="P938" s="99"/>
      <c r="Q938" s="99"/>
      <c r="R938" s="99"/>
      <c r="S938" s="99"/>
      <c r="T938" s="99"/>
      <c r="U938" s="381"/>
      <c r="V938" s="381"/>
      <c r="W938" s="381"/>
      <c r="X938" s="381"/>
      <c r="Y938" s="381"/>
      <c r="Z938" s="381"/>
      <c r="AA938" s="381"/>
      <c r="AB938" s="381"/>
      <c r="AC938" s="381"/>
    </row>
    <row r="939">
      <c r="A939" s="395"/>
      <c r="B939" s="102"/>
      <c r="C939" s="110"/>
      <c r="D939" s="396"/>
      <c r="E939" s="397"/>
      <c r="F939" s="106"/>
      <c r="G939" s="106"/>
      <c r="H939" s="106"/>
      <c r="I939" s="396"/>
      <c r="J939" s="108"/>
      <c r="K939" s="107"/>
      <c r="L939" s="109"/>
      <c r="M939" s="109"/>
      <c r="N939" s="110"/>
      <c r="O939" s="123"/>
      <c r="P939" s="109"/>
      <c r="Q939" s="109"/>
      <c r="R939" s="109"/>
      <c r="S939" s="109"/>
      <c r="T939" s="109"/>
      <c r="U939" s="381"/>
      <c r="V939" s="381"/>
      <c r="W939" s="381"/>
      <c r="X939" s="381"/>
      <c r="Y939" s="381"/>
      <c r="Z939" s="381"/>
      <c r="AA939" s="381"/>
      <c r="AB939" s="381"/>
      <c r="AC939" s="381"/>
    </row>
    <row r="940">
      <c r="A940" s="398"/>
      <c r="B940" s="91"/>
      <c r="C940" s="100"/>
      <c r="D940" s="399"/>
      <c r="E940" s="400"/>
      <c r="F940" s="95"/>
      <c r="G940" s="95"/>
      <c r="H940" s="95"/>
      <c r="I940" s="399"/>
      <c r="J940" s="97"/>
      <c r="K940" s="96"/>
      <c r="L940" s="99"/>
      <c r="M940" s="99"/>
      <c r="N940" s="100"/>
      <c r="O940" s="124"/>
      <c r="P940" s="99"/>
      <c r="Q940" s="99"/>
      <c r="R940" s="99"/>
      <c r="S940" s="99"/>
      <c r="T940" s="99"/>
      <c r="U940" s="381"/>
      <c r="V940" s="381"/>
      <c r="W940" s="381"/>
      <c r="X940" s="381"/>
      <c r="Y940" s="381"/>
      <c r="Z940" s="381"/>
      <c r="AA940" s="381"/>
      <c r="AB940" s="381"/>
      <c r="AC940" s="381"/>
    </row>
    <row r="941">
      <c r="A941" s="395"/>
      <c r="B941" s="102"/>
      <c r="C941" s="110"/>
      <c r="D941" s="396"/>
      <c r="E941" s="397"/>
      <c r="F941" s="106"/>
      <c r="G941" s="106"/>
      <c r="H941" s="106"/>
      <c r="I941" s="396"/>
      <c r="J941" s="108"/>
      <c r="K941" s="107"/>
      <c r="L941" s="109"/>
      <c r="M941" s="109"/>
      <c r="N941" s="110"/>
      <c r="O941" s="123"/>
      <c r="P941" s="109"/>
      <c r="Q941" s="109"/>
      <c r="R941" s="109"/>
      <c r="S941" s="109"/>
      <c r="T941" s="109"/>
      <c r="U941" s="381"/>
      <c r="V941" s="381"/>
      <c r="W941" s="381"/>
      <c r="X941" s="381"/>
      <c r="Y941" s="381"/>
      <c r="Z941" s="381"/>
      <c r="AA941" s="381"/>
      <c r="AB941" s="381"/>
      <c r="AC941" s="381"/>
    </row>
    <row r="942">
      <c r="A942" s="398"/>
      <c r="B942" s="91"/>
      <c r="C942" s="100"/>
      <c r="D942" s="399"/>
      <c r="E942" s="400"/>
      <c r="F942" s="95"/>
      <c r="G942" s="95"/>
      <c r="H942" s="95"/>
      <c r="I942" s="399"/>
      <c r="J942" s="97"/>
      <c r="K942" s="96"/>
      <c r="L942" s="99"/>
      <c r="M942" s="99"/>
      <c r="N942" s="100"/>
      <c r="O942" s="124"/>
      <c r="P942" s="99"/>
      <c r="Q942" s="99"/>
      <c r="R942" s="99"/>
      <c r="S942" s="99"/>
      <c r="T942" s="99"/>
      <c r="U942" s="381"/>
      <c r="V942" s="381"/>
      <c r="W942" s="381"/>
      <c r="X942" s="381"/>
      <c r="Y942" s="381"/>
      <c r="Z942" s="381"/>
      <c r="AA942" s="381"/>
      <c r="AB942" s="381"/>
      <c r="AC942" s="381"/>
    </row>
    <row r="943">
      <c r="A943" s="395"/>
      <c r="B943" s="102"/>
      <c r="C943" s="110"/>
      <c r="D943" s="396"/>
      <c r="E943" s="397"/>
      <c r="F943" s="106"/>
      <c r="G943" s="106"/>
      <c r="H943" s="106"/>
      <c r="I943" s="396"/>
      <c r="J943" s="108"/>
      <c r="K943" s="107"/>
      <c r="L943" s="109"/>
      <c r="M943" s="109"/>
      <c r="N943" s="110"/>
      <c r="O943" s="123"/>
      <c r="P943" s="109"/>
      <c r="Q943" s="109"/>
      <c r="R943" s="109"/>
      <c r="S943" s="109"/>
      <c r="T943" s="109"/>
      <c r="U943" s="381"/>
      <c r="V943" s="381"/>
      <c r="W943" s="381"/>
      <c r="X943" s="381"/>
      <c r="Y943" s="381"/>
      <c r="Z943" s="381"/>
      <c r="AA943" s="381"/>
      <c r="AB943" s="381"/>
      <c r="AC943" s="381"/>
    </row>
    <row r="944">
      <c r="A944" s="398"/>
      <c r="B944" s="91"/>
      <c r="C944" s="100"/>
      <c r="D944" s="399"/>
      <c r="E944" s="400"/>
      <c r="F944" s="95"/>
      <c r="G944" s="95"/>
      <c r="H944" s="95"/>
      <c r="I944" s="399"/>
      <c r="J944" s="97"/>
      <c r="K944" s="96"/>
      <c r="L944" s="99"/>
      <c r="M944" s="99"/>
      <c r="N944" s="100"/>
      <c r="O944" s="124"/>
      <c r="P944" s="99"/>
      <c r="Q944" s="99"/>
      <c r="R944" s="99"/>
      <c r="S944" s="99"/>
      <c r="T944" s="99"/>
      <c r="U944" s="381"/>
      <c r="V944" s="381"/>
      <c r="W944" s="381"/>
      <c r="X944" s="381"/>
      <c r="Y944" s="381"/>
      <c r="Z944" s="381"/>
      <c r="AA944" s="381"/>
      <c r="AB944" s="381"/>
      <c r="AC944" s="381"/>
    </row>
    <row r="945">
      <c r="A945" s="395"/>
      <c r="B945" s="102"/>
      <c r="C945" s="110"/>
      <c r="D945" s="396"/>
      <c r="E945" s="397"/>
      <c r="F945" s="106"/>
      <c r="G945" s="106"/>
      <c r="H945" s="106"/>
      <c r="I945" s="396"/>
      <c r="J945" s="108"/>
      <c r="K945" s="107"/>
      <c r="L945" s="109"/>
      <c r="M945" s="109"/>
      <c r="N945" s="110"/>
      <c r="O945" s="123"/>
      <c r="P945" s="109"/>
      <c r="Q945" s="109"/>
      <c r="R945" s="109"/>
      <c r="S945" s="109"/>
      <c r="T945" s="109"/>
      <c r="U945" s="381"/>
      <c r="V945" s="381"/>
      <c r="W945" s="381"/>
      <c r="X945" s="381"/>
      <c r="Y945" s="381"/>
      <c r="Z945" s="381"/>
      <c r="AA945" s="381"/>
      <c r="AB945" s="381"/>
      <c r="AC945" s="381"/>
    </row>
    <row r="946">
      <c r="A946" s="398"/>
      <c r="B946" s="91"/>
      <c r="C946" s="100"/>
      <c r="D946" s="399"/>
      <c r="E946" s="400"/>
      <c r="F946" s="95"/>
      <c r="G946" s="95"/>
      <c r="H946" s="95"/>
      <c r="I946" s="399"/>
      <c r="J946" s="97"/>
      <c r="K946" s="96"/>
      <c r="L946" s="99"/>
      <c r="M946" s="99"/>
      <c r="N946" s="100"/>
      <c r="O946" s="124"/>
      <c r="P946" s="99"/>
      <c r="Q946" s="99"/>
      <c r="R946" s="99"/>
      <c r="S946" s="99"/>
      <c r="T946" s="99"/>
      <c r="U946" s="381"/>
      <c r="V946" s="381"/>
      <c r="W946" s="381"/>
      <c r="X946" s="381"/>
      <c r="Y946" s="381"/>
      <c r="Z946" s="381"/>
      <c r="AA946" s="381"/>
      <c r="AB946" s="381"/>
      <c r="AC946" s="381"/>
    </row>
    <row r="947">
      <c r="A947" s="395"/>
      <c r="B947" s="102"/>
      <c r="C947" s="110"/>
      <c r="D947" s="396"/>
      <c r="E947" s="397"/>
      <c r="F947" s="106"/>
      <c r="G947" s="106"/>
      <c r="H947" s="106"/>
      <c r="I947" s="396"/>
      <c r="J947" s="108"/>
      <c r="K947" s="107"/>
      <c r="L947" s="109"/>
      <c r="M947" s="109"/>
      <c r="N947" s="110"/>
      <c r="O947" s="123"/>
      <c r="P947" s="109"/>
      <c r="Q947" s="109"/>
      <c r="R947" s="109"/>
      <c r="S947" s="109"/>
      <c r="T947" s="109"/>
      <c r="U947" s="381"/>
      <c r="V947" s="381"/>
      <c r="W947" s="381"/>
      <c r="X947" s="381"/>
      <c r="Y947" s="381"/>
      <c r="Z947" s="381"/>
      <c r="AA947" s="381"/>
      <c r="AB947" s="381"/>
      <c r="AC947" s="381"/>
    </row>
    <row r="948">
      <c r="A948" s="398"/>
      <c r="B948" s="91"/>
      <c r="C948" s="100"/>
      <c r="D948" s="399"/>
      <c r="E948" s="400"/>
      <c r="F948" s="95"/>
      <c r="G948" s="95"/>
      <c r="H948" s="95"/>
      <c r="I948" s="399"/>
      <c r="J948" s="97"/>
      <c r="K948" s="96"/>
      <c r="L948" s="99"/>
      <c r="M948" s="99"/>
      <c r="N948" s="100"/>
      <c r="O948" s="124"/>
      <c r="P948" s="99"/>
      <c r="Q948" s="99"/>
      <c r="R948" s="99"/>
      <c r="S948" s="99"/>
      <c r="T948" s="99"/>
      <c r="U948" s="381"/>
      <c r="V948" s="381"/>
      <c r="W948" s="381"/>
      <c r="X948" s="381"/>
      <c r="Y948" s="381"/>
      <c r="Z948" s="381"/>
      <c r="AA948" s="381"/>
      <c r="AB948" s="381"/>
      <c r="AC948" s="381"/>
    </row>
    <row r="949">
      <c r="A949" s="395"/>
      <c r="B949" s="102"/>
      <c r="C949" s="110"/>
      <c r="D949" s="396"/>
      <c r="E949" s="397"/>
      <c r="F949" s="106"/>
      <c r="G949" s="106"/>
      <c r="H949" s="106"/>
      <c r="I949" s="396"/>
      <c r="J949" s="108"/>
      <c r="K949" s="107"/>
      <c r="L949" s="109"/>
      <c r="M949" s="109"/>
      <c r="N949" s="110"/>
      <c r="O949" s="123"/>
      <c r="P949" s="109"/>
      <c r="Q949" s="109"/>
      <c r="R949" s="109"/>
      <c r="S949" s="109"/>
      <c r="T949" s="109"/>
      <c r="U949" s="381"/>
      <c r="V949" s="381"/>
      <c r="W949" s="381"/>
      <c r="X949" s="381"/>
      <c r="Y949" s="381"/>
      <c r="Z949" s="381"/>
      <c r="AA949" s="381"/>
      <c r="AB949" s="381"/>
      <c r="AC949" s="381"/>
    </row>
    <row r="950">
      <c r="A950" s="398"/>
      <c r="B950" s="91"/>
      <c r="C950" s="100"/>
      <c r="D950" s="399"/>
      <c r="E950" s="400"/>
      <c r="F950" s="95"/>
      <c r="G950" s="95"/>
      <c r="H950" s="95"/>
      <c r="I950" s="399"/>
      <c r="J950" s="97"/>
      <c r="K950" s="96"/>
      <c r="L950" s="99"/>
      <c r="M950" s="99"/>
      <c r="N950" s="100"/>
      <c r="O950" s="124"/>
      <c r="P950" s="99"/>
      <c r="Q950" s="99"/>
      <c r="R950" s="99"/>
      <c r="S950" s="99"/>
      <c r="T950" s="99"/>
      <c r="U950" s="381"/>
      <c r="V950" s="381"/>
      <c r="W950" s="381"/>
      <c r="X950" s="381"/>
      <c r="Y950" s="381"/>
      <c r="Z950" s="381"/>
      <c r="AA950" s="381"/>
      <c r="AB950" s="381"/>
      <c r="AC950" s="381"/>
    </row>
    <row r="951">
      <c r="A951" s="395"/>
      <c r="B951" s="102"/>
      <c r="C951" s="110"/>
      <c r="D951" s="396"/>
      <c r="E951" s="397"/>
      <c r="F951" s="106"/>
      <c r="G951" s="106"/>
      <c r="H951" s="106"/>
      <c r="I951" s="396"/>
      <c r="J951" s="108"/>
      <c r="K951" s="107"/>
      <c r="L951" s="109"/>
      <c r="M951" s="109"/>
      <c r="N951" s="110"/>
      <c r="O951" s="123"/>
      <c r="P951" s="109"/>
      <c r="Q951" s="109"/>
      <c r="R951" s="109"/>
      <c r="S951" s="109"/>
      <c r="T951" s="109"/>
      <c r="U951" s="381"/>
      <c r="V951" s="381"/>
      <c r="W951" s="381"/>
      <c r="X951" s="381"/>
      <c r="Y951" s="381"/>
      <c r="Z951" s="381"/>
      <c r="AA951" s="381"/>
      <c r="AB951" s="381"/>
      <c r="AC951" s="381"/>
    </row>
    <row r="952">
      <c r="A952" s="398"/>
      <c r="B952" s="91"/>
      <c r="C952" s="100"/>
      <c r="D952" s="399"/>
      <c r="E952" s="400"/>
      <c r="F952" s="95"/>
      <c r="G952" s="95"/>
      <c r="H952" s="95"/>
      <c r="I952" s="399"/>
      <c r="J952" s="97"/>
      <c r="K952" s="96"/>
      <c r="L952" s="99"/>
      <c r="M952" s="99"/>
      <c r="N952" s="100"/>
      <c r="O952" s="124"/>
      <c r="P952" s="99"/>
      <c r="Q952" s="99"/>
      <c r="R952" s="99"/>
      <c r="S952" s="99"/>
      <c r="T952" s="99"/>
      <c r="U952" s="381"/>
      <c r="V952" s="381"/>
      <c r="W952" s="381"/>
      <c r="X952" s="381"/>
      <c r="Y952" s="381"/>
      <c r="Z952" s="381"/>
      <c r="AA952" s="381"/>
      <c r="AB952" s="381"/>
      <c r="AC952" s="381"/>
    </row>
    <row r="953">
      <c r="A953" s="395"/>
      <c r="B953" s="102"/>
      <c r="C953" s="110"/>
      <c r="D953" s="396"/>
      <c r="E953" s="397"/>
      <c r="F953" s="106"/>
      <c r="G953" s="106"/>
      <c r="H953" s="106"/>
      <c r="I953" s="396"/>
      <c r="J953" s="108"/>
      <c r="K953" s="107"/>
      <c r="L953" s="109"/>
      <c r="M953" s="109"/>
      <c r="N953" s="110"/>
      <c r="O953" s="123"/>
      <c r="P953" s="109"/>
      <c r="Q953" s="109"/>
      <c r="R953" s="109"/>
      <c r="S953" s="109"/>
      <c r="T953" s="109"/>
      <c r="U953" s="381"/>
      <c r="V953" s="381"/>
      <c r="W953" s="381"/>
      <c r="X953" s="381"/>
      <c r="Y953" s="381"/>
      <c r="Z953" s="381"/>
      <c r="AA953" s="381"/>
      <c r="AB953" s="381"/>
      <c r="AC953" s="381"/>
    </row>
    <row r="954">
      <c r="A954" s="398"/>
      <c r="B954" s="91"/>
      <c r="C954" s="100"/>
      <c r="D954" s="399"/>
      <c r="E954" s="400"/>
      <c r="F954" s="95"/>
      <c r="G954" s="95"/>
      <c r="H954" s="95"/>
      <c r="I954" s="399"/>
      <c r="J954" s="97"/>
      <c r="K954" s="96"/>
      <c r="L954" s="99"/>
      <c r="M954" s="99"/>
      <c r="N954" s="100"/>
      <c r="O954" s="124"/>
      <c r="P954" s="99"/>
      <c r="Q954" s="99"/>
      <c r="R954" s="99"/>
      <c r="S954" s="99"/>
      <c r="T954" s="99"/>
      <c r="U954" s="381"/>
      <c r="V954" s="381"/>
      <c r="W954" s="381"/>
      <c r="X954" s="381"/>
      <c r="Y954" s="381"/>
      <c r="Z954" s="381"/>
      <c r="AA954" s="381"/>
      <c r="AB954" s="381"/>
      <c r="AC954" s="381"/>
    </row>
    <row r="955">
      <c r="A955" s="395"/>
      <c r="B955" s="102"/>
      <c r="C955" s="110"/>
      <c r="D955" s="396"/>
      <c r="E955" s="397"/>
      <c r="F955" s="106"/>
      <c r="G955" s="106"/>
      <c r="H955" s="106"/>
      <c r="I955" s="396"/>
      <c r="J955" s="108"/>
      <c r="K955" s="107"/>
      <c r="L955" s="109"/>
      <c r="M955" s="109"/>
      <c r="N955" s="110"/>
      <c r="O955" s="123"/>
      <c r="P955" s="109"/>
      <c r="Q955" s="109"/>
      <c r="R955" s="109"/>
      <c r="S955" s="109"/>
      <c r="T955" s="109"/>
      <c r="U955" s="381"/>
      <c r="V955" s="381"/>
      <c r="W955" s="381"/>
      <c r="X955" s="381"/>
      <c r="Y955" s="381"/>
      <c r="Z955" s="381"/>
      <c r="AA955" s="381"/>
      <c r="AB955" s="381"/>
      <c r="AC955" s="381"/>
    </row>
    <row r="956">
      <c r="A956" s="398"/>
      <c r="B956" s="91"/>
      <c r="C956" s="100"/>
      <c r="D956" s="399"/>
      <c r="E956" s="400"/>
      <c r="F956" s="95"/>
      <c r="G956" s="95"/>
      <c r="H956" s="95"/>
      <c r="I956" s="399"/>
      <c r="J956" s="97"/>
      <c r="K956" s="96"/>
      <c r="L956" s="99"/>
      <c r="M956" s="99"/>
      <c r="N956" s="100"/>
      <c r="O956" s="124"/>
      <c r="P956" s="99"/>
      <c r="Q956" s="99"/>
      <c r="R956" s="99"/>
      <c r="S956" s="99"/>
      <c r="T956" s="99"/>
      <c r="U956" s="381"/>
      <c r="V956" s="381"/>
      <c r="W956" s="381"/>
      <c r="X956" s="381"/>
      <c r="Y956" s="381"/>
      <c r="Z956" s="381"/>
      <c r="AA956" s="381"/>
      <c r="AB956" s="381"/>
      <c r="AC956" s="381"/>
    </row>
    <row r="957">
      <c r="A957" s="395"/>
      <c r="B957" s="102"/>
      <c r="C957" s="110"/>
      <c r="D957" s="396"/>
      <c r="E957" s="397"/>
      <c r="F957" s="106"/>
      <c r="G957" s="106"/>
      <c r="H957" s="106"/>
      <c r="I957" s="396"/>
      <c r="J957" s="108"/>
      <c r="K957" s="107"/>
      <c r="L957" s="109"/>
      <c r="M957" s="109"/>
      <c r="N957" s="110"/>
      <c r="O957" s="123"/>
      <c r="P957" s="109"/>
      <c r="Q957" s="109"/>
      <c r="R957" s="109"/>
      <c r="S957" s="109"/>
      <c r="T957" s="109"/>
      <c r="U957" s="381"/>
      <c r="V957" s="381"/>
      <c r="W957" s="381"/>
      <c r="X957" s="381"/>
      <c r="Y957" s="381"/>
      <c r="Z957" s="381"/>
      <c r="AA957" s="381"/>
      <c r="AB957" s="381"/>
      <c r="AC957" s="381"/>
    </row>
    <row r="958">
      <c r="A958" s="398"/>
      <c r="B958" s="91"/>
      <c r="C958" s="100"/>
      <c r="D958" s="399"/>
      <c r="E958" s="400"/>
      <c r="F958" s="95"/>
      <c r="G958" s="95"/>
      <c r="H958" s="95"/>
      <c r="I958" s="399"/>
      <c r="J958" s="97"/>
      <c r="K958" s="96"/>
      <c r="L958" s="99"/>
      <c r="M958" s="99"/>
      <c r="N958" s="100"/>
      <c r="O958" s="124"/>
      <c r="P958" s="99"/>
      <c r="Q958" s="99"/>
      <c r="R958" s="99"/>
      <c r="S958" s="99"/>
      <c r="T958" s="99"/>
      <c r="U958" s="381"/>
      <c r="V958" s="381"/>
      <c r="W958" s="381"/>
      <c r="X958" s="381"/>
      <c r="Y958" s="381"/>
      <c r="Z958" s="381"/>
      <c r="AA958" s="381"/>
      <c r="AB958" s="381"/>
      <c r="AC958" s="381"/>
    </row>
    <row r="959">
      <c r="A959" s="395"/>
      <c r="B959" s="102"/>
      <c r="C959" s="110"/>
      <c r="D959" s="396"/>
      <c r="E959" s="397"/>
      <c r="F959" s="106"/>
      <c r="G959" s="106"/>
      <c r="H959" s="106"/>
      <c r="I959" s="396"/>
      <c r="J959" s="108"/>
      <c r="K959" s="107"/>
      <c r="L959" s="109"/>
      <c r="M959" s="109"/>
      <c r="N959" s="110"/>
      <c r="O959" s="123"/>
      <c r="P959" s="109"/>
      <c r="Q959" s="109"/>
      <c r="R959" s="109"/>
      <c r="S959" s="109"/>
      <c r="T959" s="109"/>
      <c r="U959" s="381"/>
      <c r="V959" s="381"/>
      <c r="W959" s="381"/>
      <c r="X959" s="381"/>
      <c r="Y959" s="381"/>
      <c r="Z959" s="381"/>
      <c r="AA959" s="381"/>
      <c r="AB959" s="381"/>
      <c r="AC959" s="381"/>
    </row>
    <row r="960">
      <c r="A960" s="398"/>
      <c r="B960" s="91"/>
      <c r="C960" s="100"/>
      <c r="D960" s="399"/>
      <c r="E960" s="400"/>
      <c r="F960" s="95"/>
      <c r="G960" s="95"/>
      <c r="H960" s="95"/>
      <c r="I960" s="399"/>
      <c r="J960" s="97"/>
      <c r="K960" s="96"/>
      <c r="L960" s="99"/>
      <c r="M960" s="99"/>
      <c r="N960" s="100"/>
      <c r="O960" s="124"/>
      <c r="P960" s="99"/>
      <c r="Q960" s="99"/>
      <c r="R960" s="99"/>
      <c r="S960" s="99"/>
      <c r="T960" s="99"/>
      <c r="U960" s="381"/>
      <c r="V960" s="381"/>
      <c r="W960" s="381"/>
      <c r="X960" s="381"/>
      <c r="Y960" s="381"/>
      <c r="Z960" s="381"/>
      <c r="AA960" s="381"/>
      <c r="AB960" s="381"/>
      <c r="AC960" s="381"/>
    </row>
    <row r="961">
      <c r="A961" s="395"/>
      <c r="B961" s="102"/>
      <c r="C961" s="110"/>
      <c r="D961" s="396"/>
      <c r="E961" s="397"/>
      <c r="F961" s="106"/>
      <c r="G961" s="106"/>
      <c r="H961" s="106"/>
      <c r="I961" s="396"/>
      <c r="J961" s="108"/>
      <c r="K961" s="107"/>
      <c r="L961" s="109"/>
      <c r="M961" s="109"/>
      <c r="N961" s="110"/>
      <c r="O961" s="123"/>
      <c r="P961" s="109"/>
      <c r="Q961" s="109"/>
      <c r="R961" s="109"/>
      <c r="S961" s="109"/>
      <c r="T961" s="109"/>
      <c r="U961" s="381"/>
      <c r="V961" s="381"/>
      <c r="W961" s="381"/>
      <c r="X961" s="381"/>
      <c r="Y961" s="381"/>
      <c r="Z961" s="381"/>
      <c r="AA961" s="381"/>
      <c r="AB961" s="381"/>
      <c r="AC961" s="381"/>
    </row>
    <row r="962">
      <c r="A962" s="398"/>
      <c r="B962" s="91"/>
      <c r="C962" s="100"/>
      <c r="D962" s="399"/>
      <c r="E962" s="400"/>
      <c r="F962" s="95"/>
      <c r="G962" s="95"/>
      <c r="H962" s="95"/>
      <c r="I962" s="399"/>
      <c r="J962" s="97"/>
      <c r="K962" s="96"/>
      <c r="L962" s="99"/>
      <c r="M962" s="99"/>
      <c r="N962" s="100"/>
      <c r="O962" s="124"/>
      <c r="P962" s="99"/>
      <c r="Q962" s="99"/>
      <c r="R962" s="99"/>
      <c r="S962" s="99"/>
      <c r="T962" s="99"/>
      <c r="U962" s="381"/>
      <c r="V962" s="381"/>
      <c r="W962" s="381"/>
      <c r="X962" s="381"/>
      <c r="Y962" s="381"/>
      <c r="Z962" s="381"/>
      <c r="AA962" s="381"/>
      <c r="AB962" s="381"/>
      <c r="AC962" s="381"/>
    </row>
    <row r="963">
      <c r="A963" s="395"/>
      <c r="B963" s="102"/>
      <c r="C963" s="110"/>
      <c r="D963" s="396"/>
      <c r="E963" s="397"/>
      <c r="F963" s="106"/>
      <c r="G963" s="106"/>
      <c r="H963" s="106"/>
      <c r="I963" s="396"/>
      <c r="J963" s="108"/>
      <c r="K963" s="107"/>
      <c r="L963" s="109"/>
      <c r="M963" s="109"/>
      <c r="N963" s="110"/>
      <c r="O963" s="123"/>
      <c r="P963" s="109"/>
      <c r="Q963" s="109"/>
      <c r="R963" s="109"/>
      <c r="S963" s="109"/>
      <c r="T963" s="109"/>
      <c r="U963" s="381"/>
      <c r="V963" s="381"/>
      <c r="W963" s="381"/>
      <c r="X963" s="381"/>
      <c r="Y963" s="381"/>
      <c r="Z963" s="381"/>
      <c r="AA963" s="381"/>
      <c r="AB963" s="381"/>
      <c r="AC963" s="381"/>
    </row>
    <row r="964">
      <c r="A964" s="398"/>
      <c r="B964" s="91"/>
      <c r="C964" s="100"/>
      <c r="D964" s="399"/>
      <c r="E964" s="400"/>
      <c r="F964" s="95"/>
      <c r="G964" s="95"/>
      <c r="H964" s="95"/>
      <c r="I964" s="399"/>
      <c r="J964" s="97"/>
      <c r="K964" s="96"/>
      <c r="L964" s="99"/>
      <c r="M964" s="99"/>
      <c r="N964" s="100"/>
      <c r="O964" s="124"/>
      <c r="P964" s="99"/>
      <c r="Q964" s="99"/>
      <c r="R964" s="99"/>
      <c r="S964" s="99"/>
      <c r="T964" s="99"/>
      <c r="U964" s="381"/>
      <c r="V964" s="381"/>
      <c r="W964" s="381"/>
      <c r="X964" s="381"/>
      <c r="Y964" s="381"/>
      <c r="Z964" s="381"/>
      <c r="AA964" s="381"/>
      <c r="AB964" s="381"/>
      <c r="AC964" s="381"/>
    </row>
    <row r="965">
      <c r="A965" s="395"/>
      <c r="B965" s="102"/>
      <c r="C965" s="110"/>
      <c r="D965" s="396"/>
      <c r="E965" s="397"/>
      <c r="F965" s="106"/>
      <c r="G965" s="106"/>
      <c r="H965" s="106"/>
      <c r="I965" s="396"/>
      <c r="J965" s="108"/>
      <c r="K965" s="107"/>
      <c r="L965" s="109"/>
      <c r="M965" s="109"/>
      <c r="N965" s="110"/>
      <c r="O965" s="123"/>
      <c r="P965" s="109"/>
      <c r="Q965" s="109"/>
      <c r="R965" s="109"/>
      <c r="S965" s="109"/>
      <c r="T965" s="109"/>
      <c r="U965" s="381"/>
      <c r="V965" s="381"/>
      <c r="W965" s="381"/>
      <c r="X965" s="381"/>
      <c r="Y965" s="381"/>
      <c r="Z965" s="381"/>
      <c r="AA965" s="381"/>
      <c r="AB965" s="381"/>
      <c r="AC965" s="381"/>
    </row>
    <row r="966">
      <c r="A966" s="398"/>
      <c r="B966" s="91"/>
      <c r="C966" s="100"/>
      <c r="D966" s="399"/>
      <c r="E966" s="400"/>
      <c r="F966" s="95"/>
      <c r="G966" s="95"/>
      <c r="H966" s="95"/>
      <c r="I966" s="399"/>
      <c r="J966" s="97"/>
      <c r="K966" s="96"/>
      <c r="L966" s="99"/>
      <c r="M966" s="99"/>
      <c r="N966" s="100"/>
      <c r="O966" s="124"/>
      <c r="P966" s="99"/>
      <c r="Q966" s="99"/>
      <c r="R966" s="99"/>
      <c r="S966" s="99"/>
      <c r="T966" s="99"/>
      <c r="U966" s="381"/>
      <c r="V966" s="381"/>
      <c r="W966" s="381"/>
      <c r="X966" s="381"/>
      <c r="Y966" s="381"/>
      <c r="Z966" s="381"/>
      <c r="AA966" s="381"/>
      <c r="AB966" s="381"/>
      <c r="AC966" s="381"/>
    </row>
    <row r="967">
      <c r="A967" s="395"/>
      <c r="B967" s="102"/>
      <c r="C967" s="110"/>
      <c r="D967" s="396"/>
      <c r="E967" s="397"/>
      <c r="F967" s="106"/>
      <c r="G967" s="106"/>
      <c r="H967" s="106"/>
      <c r="I967" s="396"/>
      <c r="J967" s="108"/>
      <c r="K967" s="107"/>
      <c r="L967" s="109"/>
      <c r="M967" s="109"/>
      <c r="N967" s="110"/>
      <c r="O967" s="123"/>
      <c r="P967" s="109"/>
      <c r="Q967" s="109"/>
      <c r="R967" s="109"/>
      <c r="S967" s="109"/>
      <c r="T967" s="109"/>
      <c r="U967" s="381"/>
      <c r="V967" s="381"/>
      <c r="W967" s="381"/>
      <c r="X967" s="381"/>
      <c r="Y967" s="381"/>
      <c r="Z967" s="381"/>
      <c r="AA967" s="381"/>
      <c r="AB967" s="381"/>
      <c r="AC967" s="381"/>
    </row>
    <row r="968">
      <c r="A968" s="398"/>
      <c r="B968" s="91"/>
      <c r="C968" s="100"/>
      <c r="D968" s="399"/>
      <c r="E968" s="400"/>
      <c r="F968" s="95"/>
      <c r="G968" s="95"/>
      <c r="H968" s="95"/>
      <c r="I968" s="399"/>
      <c r="J968" s="97"/>
      <c r="K968" s="96"/>
      <c r="L968" s="99"/>
      <c r="M968" s="99"/>
      <c r="N968" s="100"/>
      <c r="O968" s="124"/>
      <c r="P968" s="99"/>
      <c r="Q968" s="99"/>
      <c r="R968" s="99"/>
      <c r="S968" s="99"/>
      <c r="T968" s="99"/>
      <c r="U968" s="381"/>
      <c r="V968" s="381"/>
      <c r="W968" s="381"/>
      <c r="X968" s="381"/>
      <c r="Y968" s="381"/>
      <c r="Z968" s="381"/>
      <c r="AA968" s="381"/>
      <c r="AB968" s="381"/>
      <c r="AC968" s="381"/>
    </row>
    <row r="969">
      <c r="A969" s="395"/>
      <c r="B969" s="102"/>
      <c r="C969" s="110"/>
      <c r="D969" s="396"/>
      <c r="E969" s="397"/>
      <c r="F969" s="106"/>
      <c r="G969" s="106"/>
      <c r="H969" s="106"/>
      <c r="I969" s="396"/>
      <c r="J969" s="108"/>
      <c r="K969" s="107"/>
      <c r="L969" s="109"/>
      <c r="M969" s="109"/>
      <c r="N969" s="110"/>
      <c r="O969" s="123"/>
      <c r="P969" s="109"/>
      <c r="Q969" s="109"/>
      <c r="R969" s="109"/>
      <c r="S969" s="109"/>
      <c r="T969" s="109"/>
      <c r="U969" s="381"/>
      <c r="V969" s="381"/>
      <c r="W969" s="381"/>
      <c r="X969" s="381"/>
      <c r="Y969" s="381"/>
      <c r="Z969" s="381"/>
      <c r="AA969" s="381"/>
      <c r="AB969" s="381"/>
      <c r="AC969" s="381"/>
    </row>
    <row r="970">
      <c r="A970" s="398"/>
      <c r="B970" s="91"/>
      <c r="C970" s="100"/>
      <c r="D970" s="399"/>
      <c r="E970" s="400"/>
      <c r="F970" s="95"/>
      <c r="G970" s="95"/>
      <c r="H970" s="95"/>
      <c r="I970" s="399"/>
      <c r="J970" s="97"/>
      <c r="K970" s="96"/>
      <c r="L970" s="99"/>
      <c r="M970" s="99"/>
      <c r="N970" s="100"/>
      <c r="O970" s="124"/>
      <c r="P970" s="99"/>
      <c r="Q970" s="99"/>
      <c r="R970" s="99"/>
      <c r="S970" s="99"/>
      <c r="T970" s="99"/>
      <c r="U970" s="381"/>
      <c r="V970" s="381"/>
      <c r="W970" s="381"/>
      <c r="X970" s="381"/>
      <c r="Y970" s="381"/>
      <c r="Z970" s="381"/>
      <c r="AA970" s="381"/>
      <c r="AB970" s="381"/>
      <c r="AC970" s="381"/>
    </row>
    <row r="971">
      <c r="A971" s="395"/>
      <c r="B971" s="102"/>
      <c r="C971" s="110"/>
      <c r="D971" s="396"/>
      <c r="E971" s="397"/>
      <c r="F971" s="106"/>
      <c r="G971" s="106"/>
      <c r="H971" s="106"/>
      <c r="I971" s="396"/>
      <c r="J971" s="108"/>
      <c r="K971" s="107"/>
      <c r="L971" s="109"/>
      <c r="M971" s="109"/>
      <c r="N971" s="110"/>
      <c r="O971" s="123"/>
      <c r="P971" s="109"/>
      <c r="Q971" s="109"/>
      <c r="R971" s="109"/>
      <c r="S971" s="109"/>
      <c r="T971" s="109"/>
      <c r="U971" s="381"/>
      <c r="V971" s="381"/>
      <c r="W971" s="381"/>
      <c r="X971" s="381"/>
      <c r="Y971" s="381"/>
      <c r="Z971" s="381"/>
      <c r="AA971" s="381"/>
      <c r="AB971" s="381"/>
      <c r="AC971" s="381"/>
    </row>
    <row r="972">
      <c r="A972" s="398"/>
      <c r="B972" s="91"/>
      <c r="C972" s="100"/>
      <c r="D972" s="399"/>
      <c r="E972" s="400"/>
      <c r="F972" s="95"/>
      <c r="G972" s="95"/>
      <c r="H972" s="95"/>
      <c r="I972" s="399"/>
      <c r="J972" s="97"/>
      <c r="K972" s="96"/>
      <c r="L972" s="99"/>
      <c r="M972" s="99"/>
      <c r="N972" s="100"/>
      <c r="O972" s="124"/>
      <c r="P972" s="99"/>
      <c r="Q972" s="99"/>
      <c r="R972" s="99"/>
      <c r="S972" s="99"/>
      <c r="T972" s="99"/>
      <c r="U972" s="381"/>
      <c r="V972" s="381"/>
      <c r="W972" s="381"/>
      <c r="X972" s="381"/>
      <c r="Y972" s="381"/>
      <c r="Z972" s="381"/>
      <c r="AA972" s="381"/>
      <c r="AB972" s="381"/>
      <c r="AC972" s="381"/>
    </row>
    <row r="973">
      <c r="A973" s="395"/>
      <c r="B973" s="102"/>
      <c r="C973" s="110"/>
      <c r="D973" s="396"/>
      <c r="E973" s="397"/>
      <c r="F973" s="106"/>
      <c r="G973" s="106"/>
      <c r="H973" s="106"/>
      <c r="I973" s="396"/>
      <c r="J973" s="108"/>
      <c r="K973" s="107"/>
      <c r="L973" s="109"/>
      <c r="M973" s="109"/>
      <c r="N973" s="110"/>
      <c r="O973" s="123"/>
      <c r="P973" s="109"/>
      <c r="Q973" s="109"/>
      <c r="R973" s="109"/>
      <c r="S973" s="109"/>
      <c r="T973" s="109"/>
      <c r="U973" s="381"/>
      <c r="V973" s="381"/>
      <c r="W973" s="381"/>
      <c r="X973" s="381"/>
      <c r="Y973" s="381"/>
      <c r="Z973" s="381"/>
      <c r="AA973" s="381"/>
      <c r="AB973" s="381"/>
      <c r="AC973" s="381"/>
    </row>
    <row r="974">
      <c r="A974" s="398"/>
      <c r="B974" s="91"/>
      <c r="C974" s="100"/>
      <c r="D974" s="399"/>
      <c r="E974" s="400"/>
      <c r="F974" s="95"/>
      <c r="G974" s="95"/>
      <c r="H974" s="95"/>
      <c r="I974" s="399"/>
      <c r="J974" s="97"/>
      <c r="K974" s="96"/>
      <c r="L974" s="99"/>
      <c r="M974" s="99"/>
      <c r="N974" s="100"/>
      <c r="O974" s="124"/>
      <c r="P974" s="99"/>
      <c r="Q974" s="99"/>
      <c r="R974" s="99"/>
      <c r="S974" s="99"/>
      <c r="T974" s="99"/>
      <c r="U974" s="381"/>
      <c r="V974" s="381"/>
      <c r="W974" s="381"/>
      <c r="X974" s="381"/>
      <c r="Y974" s="381"/>
      <c r="Z974" s="381"/>
      <c r="AA974" s="381"/>
      <c r="AB974" s="381"/>
      <c r="AC974" s="381"/>
    </row>
    <row r="975">
      <c r="A975" s="395"/>
      <c r="B975" s="102"/>
      <c r="C975" s="110"/>
      <c r="D975" s="396"/>
      <c r="E975" s="397"/>
      <c r="F975" s="106"/>
      <c r="G975" s="106"/>
      <c r="H975" s="106"/>
      <c r="I975" s="396"/>
      <c r="J975" s="108"/>
      <c r="K975" s="107"/>
      <c r="L975" s="109"/>
      <c r="M975" s="109"/>
      <c r="N975" s="110"/>
      <c r="O975" s="123"/>
      <c r="P975" s="109"/>
      <c r="Q975" s="109"/>
      <c r="R975" s="109"/>
      <c r="S975" s="109"/>
      <c r="T975" s="109"/>
      <c r="U975" s="381"/>
      <c r="V975" s="381"/>
      <c r="W975" s="381"/>
      <c r="X975" s="381"/>
      <c r="Y975" s="381"/>
      <c r="Z975" s="381"/>
      <c r="AA975" s="381"/>
      <c r="AB975" s="381"/>
      <c r="AC975" s="381"/>
    </row>
    <row r="976">
      <c r="A976" s="398"/>
      <c r="B976" s="91"/>
      <c r="C976" s="100"/>
      <c r="D976" s="399"/>
      <c r="E976" s="400"/>
      <c r="F976" s="95"/>
      <c r="G976" s="95"/>
      <c r="H976" s="95"/>
      <c r="I976" s="399"/>
      <c r="J976" s="97"/>
      <c r="K976" s="96"/>
      <c r="L976" s="99"/>
      <c r="M976" s="99"/>
      <c r="N976" s="100"/>
      <c r="O976" s="124"/>
      <c r="P976" s="99"/>
      <c r="Q976" s="99"/>
      <c r="R976" s="99"/>
      <c r="S976" s="99"/>
      <c r="T976" s="99"/>
      <c r="U976" s="381"/>
      <c r="V976" s="381"/>
      <c r="W976" s="381"/>
      <c r="X976" s="381"/>
      <c r="Y976" s="381"/>
      <c r="Z976" s="381"/>
      <c r="AA976" s="381"/>
      <c r="AB976" s="381"/>
      <c r="AC976" s="381"/>
    </row>
    <row r="977">
      <c r="A977" s="395"/>
      <c r="B977" s="102"/>
      <c r="C977" s="110"/>
      <c r="D977" s="396"/>
      <c r="E977" s="397"/>
      <c r="F977" s="106"/>
      <c r="G977" s="106"/>
      <c r="H977" s="106"/>
      <c r="I977" s="396"/>
      <c r="J977" s="108"/>
      <c r="K977" s="107"/>
      <c r="L977" s="109"/>
      <c r="M977" s="109"/>
      <c r="N977" s="110"/>
      <c r="O977" s="123"/>
      <c r="P977" s="109"/>
      <c r="Q977" s="109"/>
      <c r="R977" s="109"/>
      <c r="S977" s="109"/>
      <c r="T977" s="109"/>
      <c r="U977" s="381"/>
      <c r="V977" s="381"/>
      <c r="W977" s="381"/>
      <c r="X977" s="381"/>
      <c r="Y977" s="381"/>
      <c r="Z977" s="381"/>
      <c r="AA977" s="381"/>
      <c r="AB977" s="381"/>
      <c r="AC977" s="381"/>
    </row>
    <row r="978">
      <c r="A978" s="398"/>
      <c r="B978" s="91"/>
      <c r="C978" s="100"/>
      <c r="D978" s="399"/>
      <c r="E978" s="400"/>
      <c r="F978" s="95"/>
      <c r="G978" s="95"/>
      <c r="H978" s="95"/>
      <c r="I978" s="399"/>
      <c r="J978" s="97"/>
      <c r="K978" s="96"/>
      <c r="L978" s="99"/>
      <c r="M978" s="99"/>
      <c r="N978" s="100"/>
      <c r="O978" s="124"/>
      <c r="P978" s="99"/>
      <c r="Q978" s="99"/>
      <c r="R978" s="99"/>
      <c r="S978" s="99"/>
      <c r="T978" s="99"/>
      <c r="U978" s="381"/>
      <c r="V978" s="381"/>
      <c r="W978" s="381"/>
      <c r="X978" s="381"/>
      <c r="Y978" s="381"/>
      <c r="Z978" s="381"/>
      <c r="AA978" s="381"/>
      <c r="AB978" s="381"/>
      <c r="AC978" s="381"/>
    </row>
    <row r="979">
      <c r="A979" s="395"/>
      <c r="B979" s="102"/>
      <c r="C979" s="110"/>
      <c r="D979" s="396"/>
      <c r="E979" s="397"/>
      <c r="F979" s="106"/>
      <c r="G979" s="106"/>
      <c r="H979" s="106"/>
      <c r="I979" s="396"/>
      <c r="J979" s="108"/>
      <c r="K979" s="107"/>
      <c r="L979" s="109"/>
      <c r="M979" s="109"/>
      <c r="N979" s="110"/>
      <c r="O979" s="123"/>
      <c r="P979" s="109"/>
      <c r="Q979" s="109"/>
      <c r="R979" s="109"/>
      <c r="S979" s="109"/>
      <c r="T979" s="109"/>
      <c r="U979" s="381"/>
      <c r="V979" s="381"/>
      <c r="W979" s="381"/>
      <c r="X979" s="381"/>
      <c r="Y979" s="381"/>
      <c r="Z979" s="381"/>
      <c r="AA979" s="381"/>
      <c r="AB979" s="381"/>
      <c r="AC979" s="381"/>
    </row>
    <row r="980">
      <c r="A980" s="398"/>
      <c r="B980" s="91"/>
      <c r="C980" s="100"/>
      <c r="D980" s="399"/>
      <c r="E980" s="400"/>
      <c r="F980" s="95"/>
      <c r="G980" s="95"/>
      <c r="H980" s="95"/>
      <c r="I980" s="399"/>
      <c r="J980" s="97"/>
      <c r="K980" s="96"/>
      <c r="L980" s="99"/>
      <c r="M980" s="99"/>
      <c r="N980" s="100"/>
      <c r="O980" s="124"/>
      <c r="P980" s="99"/>
      <c r="Q980" s="99"/>
      <c r="R980" s="99"/>
      <c r="S980" s="99"/>
      <c r="T980" s="99"/>
      <c r="U980" s="381"/>
      <c r="V980" s="381"/>
      <c r="W980" s="381"/>
      <c r="X980" s="381"/>
      <c r="Y980" s="381"/>
      <c r="Z980" s="381"/>
      <c r="AA980" s="381"/>
      <c r="AB980" s="381"/>
      <c r="AC980" s="381"/>
    </row>
    <row r="981">
      <c r="A981" s="395"/>
      <c r="B981" s="102"/>
      <c r="C981" s="110"/>
      <c r="D981" s="396"/>
      <c r="E981" s="397"/>
      <c r="F981" s="106"/>
      <c r="G981" s="106"/>
      <c r="H981" s="106"/>
      <c r="I981" s="396"/>
      <c r="J981" s="108"/>
      <c r="K981" s="107"/>
      <c r="L981" s="109"/>
      <c r="M981" s="109"/>
      <c r="N981" s="110"/>
      <c r="O981" s="123"/>
      <c r="P981" s="109"/>
      <c r="Q981" s="109"/>
      <c r="R981" s="109"/>
      <c r="S981" s="109"/>
      <c r="T981" s="109"/>
      <c r="U981" s="381"/>
      <c r="V981" s="381"/>
      <c r="W981" s="381"/>
      <c r="X981" s="381"/>
      <c r="Y981" s="381"/>
      <c r="Z981" s="381"/>
      <c r="AA981" s="381"/>
      <c r="AB981" s="381"/>
      <c r="AC981" s="381"/>
    </row>
    <row r="982">
      <c r="A982" s="398"/>
      <c r="B982" s="91"/>
      <c r="C982" s="100"/>
      <c r="D982" s="399"/>
      <c r="E982" s="400"/>
      <c r="F982" s="95"/>
      <c r="G982" s="95"/>
      <c r="H982" s="95"/>
      <c r="I982" s="399"/>
      <c r="J982" s="97"/>
      <c r="K982" s="96"/>
      <c r="L982" s="99"/>
      <c r="M982" s="99"/>
      <c r="N982" s="100"/>
      <c r="O982" s="124"/>
      <c r="P982" s="99"/>
      <c r="Q982" s="99"/>
      <c r="R982" s="99"/>
      <c r="S982" s="99"/>
      <c r="T982" s="99"/>
      <c r="U982" s="381"/>
      <c r="V982" s="381"/>
      <c r="W982" s="381"/>
      <c r="X982" s="381"/>
      <c r="Y982" s="381"/>
      <c r="Z982" s="381"/>
      <c r="AA982" s="381"/>
      <c r="AB982" s="381"/>
      <c r="AC982" s="381"/>
    </row>
    <row r="983">
      <c r="A983" s="395"/>
      <c r="B983" s="102"/>
      <c r="C983" s="110"/>
      <c r="D983" s="396"/>
      <c r="E983" s="397"/>
      <c r="F983" s="106"/>
      <c r="G983" s="106"/>
      <c r="H983" s="106"/>
      <c r="I983" s="396"/>
      <c r="J983" s="108"/>
      <c r="K983" s="107"/>
      <c r="L983" s="109"/>
      <c r="M983" s="109"/>
      <c r="N983" s="110"/>
      <c r="O983" s="123"/>
      <c r="P983" s="109"/>
      <c r="Q983" s="109"/>
      <c r="R983" s="109"/>
      <c r="S983" s="109"/>
      <c r="T983" s="109"/>
      <c r="U983" s="381"/>
      <c r="V983" s="381"/>
      <c r="W983" s="381"/>
      <c r="X983" s="381"/>
      <c r="Y983" s="381"/>
      <c r="Z983" s="381"/>
      <c r="AA983" s="381"/>
      <c r="AB983" s="381"/>
      <c r="AC983" s="381"/>
    </row>
    <row r="984">
      <c r="A984" s="398"/>
      <c r="B984" s="91"/>
      <c r="C984" s="100"/>
      <c r="D984" s="399"/>
      <c r="E984" s="400"/>
      <c r="F984" s="95"/>
      <c r="G984" s="95"/>
      <c r="H984" s="95"/>
      <c r="I984" s="399"/>
      <c r="J984" s="97"/>
      <c r="K984" s="96"/>
      <c r="L984" s="99"/>
      <c r="M984" s="99"/>
      <c r="N984" s="100"/>
      <c r="O984" s="124"/>
      <c r="P984" s="99"/>
      <c r="Q984" s="99"/>
      <c r="R984" s="99"/>
      <c r="S984" s="99"/>
      <c r="T984" s="99"/>
      <c r="U984" s="381"/>
      <c r="V984" s="381"/>
      <c r="W984" s="381"/>
      <c r="X984" s="381"/>
      <c r="Y984" s="381"/>
      <c r="Z984" s="381"/>
      <c r="AA984" s="381"/>
      <c r="AB984" s="381"/>
      <c r="AC984" s="381"/>
    </row>
    <row r="985">
      <c r="A985" s="395"/>
      <c r="B985" s="102"/>
      <c r="C985" s="110"/>
      <c r="D985" s="396"/>
      <c r="E985" s="397"/>
      <c r="F985" s="106"/>
      <c r="G985" s="106"/>
      <c r="H985" s="106"/>
      <c r="I985" s="396"/>
      <c r="J985" s="108"/>
      <c r="K985" s="107"/>
      <c r="L985" s="109"/>
      <c r="M985" s="109"/>
      <c r="N985" s="110"/>
      <c r="O985" s="123"/>
      <c r="P985" s="109"/>
      <c r="Q985" s="109"/>
      <c r="R985" s="109"/>
      <c r="S985" s="109"/>
      <c r="T985" s="109"/>
      <c r="U985" s="381"/>
      <c r="V985" s="381"/>
      <c r="W985" s="381"/>
      <c r="X985" s="381"/>
      <c r="Y985" s="381"/>
      <c r="Z985" s="381"/>
      <c r="AA985" s="381"/>
      <c r="AB985" s="381"/>
      <c r="AC985" s="381"/>
    </row>
    <row r="986">
      <c r="A986" s="398"/>
      <c r="B986" s="91"/>
      <c r="C986" s="100"/>
      <c r="D986" s="399"/>
      <c r="E986" s="400"/>
      <c r="F986" s="95"/>
      <c r="G986" s="95"/>
      <c r="H986" s="95"/>
      <c r="I986" s="399"/>
      <c r="J986" s="97"/>
      <c r="K986" s="96"/>
      <c r="L986" s="99"/>
      <c r="M986" s="99"/>
      <c r="N986" s="100"/>
      <c r="O986" s="124"/>
      <c r="P986" s="99"/>
      <c r="Q986" s="99"/>
      <c r="R986" s="99"/>
      <c r="S986" s="99"/>
      <c r="T986" s="99"/>
      <c r="U986" s="381"/>
      <c r="V986" s="381"/>
      <c r="W986" s="381"/>
      <c r="X986" s="381"/>
      <c r="Y986" s="381"/>
      <c r="Z986" s="381"/>
      <c r="AA986" s="381"/>
      <c r="AB986" s="381"/>
      <c r="AC986" s="381"/>
    </row>
    <row r="987">
      <c r="A987" s="395"/>
      <c r="B987" s="102"/>
      <c r="C987" s="110"/>
      <c r="D987" s="396"/>
      <c r="E987" s="397"/>
      <c r="F987" s="106"/>
      <c r="G987" s="106"/>
      <c r="H987" s="106"/>
      <c r="I987" s="396"/>
      <c r="J987" s="108"/>
      <c r="K987" s="107"/>
      <c r="L987" s="109"/>
      <c r="M987" s="109"/>
      <c r="N987" s="110"/>
      <c r="O987" s="123"/>
      <c r="P987" s="109"/>
      <c r="Q987" s="109"/>
      <c r="R987" s="109"/>
      <c r="S987" s="109"/>
      <c r="T987" s="109"/>
      <c r="U987" s="381"/>
      <c r="V987" s="381"/>
      <c r="W987" s="381"/>
      <c r="X987" s="381"/>
      <c r="Y987" s="381"/>
      <c r="Z987" s="381"/>
      <c r="AA987" s="381"/>
      <c r="AB987" s="381"/>
      <c r="AC987" s="381"/>
    </row>
    <row r="988">
      <c r="A988" s="398"/>
      <c r="B988" s="91"/>
      <c r="C988" s="100"/>
      <c r="D988" s="399"/>
      <c r="E988" s="400"/>
      <c r="F988" s="95"/>
      <c r="G988" s="95"/>
      <c r="H988" s="95"/>
      <c r="I988" s="399"/>
      <c r="J988" s="97"/>
      <c r="K988" s="96"/>
      <c r="L988" s="99"/>
      <c r="M988" s="99"/>
      <c r="N988" s="100"/>
      <c r="O988" s="124"/>
      <c r="P988" s="99"/>
      <c r="Q988" s="99"/>
      <c r="R988" s="99"/>
      <c r="S988" s="99"/>
      <c r="T988" s="99"/>
      <c r="U988" s="381"/>
      <c r="V988" s="381"/>
      <c r="W988" s="381"/>
      <c r="X988" s="381"/>
      <c r="Y988" s="381"/>
      <c r="Z988" s="381"/>
      <c r="AA988" s="381"/>
      <c r="AB988" s="381"/>
      <c r="AC988" s="381"/>
    </row>
    <row r="989">
      <c r="A989" s="395"/>
      <c r="B989" s="102"/>
      <c r="C989" s="110"/>
      <c r="D989" s="396"/>
      <c r="E989" s="397"/>
      <c r="F989" s="106"/>
      <c r="G989" s="106"/>
      <c r="H989" s="106"/>
      <c r="I989" s="396"/>
      <c r="J989" s="108"/>
      <c r="K989" s="107"/>
      <c r="L989" s="109"/>
      <c r="M989" s="109"/>
      <c r="N989" s="110"/>
      <c r="O989" s="123"/>
      <c r="P989" s="109"/>
      <c r="Q989" s="109"/>
      <c r="R989" s="109"/>
      <c r="S989" s="109"/>
      <c r="T989" s="109"/>
      <c r="U989" s="381"/>
      <c r="V989" s="381"/>
      <c r="W989" s="381"/>
      <c r="X989" s="381"/>
      <c r="Y989" s="381"/>
      <c r="Z989" s="381"/>
      <c r="AA989" s="381"/>
      <c r="AB989" s="381"/>
      <c r="AC989" s="381"/>
    </row>
    <row r="990">
      <c r="A990" s="398"/>
      <c r="B990" s="91"/>
      <c r="C990" s="100"/>
      <c r="D990" s="399"/>
      <c r="E990" s="400"/>
      <c r="F990" s="95"/>
      <c r="G990" s="95"/>
      <c r="H990" s="95"/>
      <c r="I990" s="399"/>
      <c r="J990" s="97"/>
      <c r="K990" s="96"/>
      <c r="L990" s="99"/>
      <c r="M990" s="99"/>
      <c r="N990" s="100"/>
      <c r="O990" s="124"/>
      <c r="P990" s="99"/>
      <c r="Q990" s="99"/>
      <c r="R990" s="99"/>
      <c r="S990" s="99"/>
      <c r="T990" s="99"/>
      <c r="U990" s="381"/>
      <c r="V990" s="381"/>
      <c r="W990" s="381"/>
      <c r="X990" s="381"/>
      <c r="Y990" s="381"/>
      <c r="Z990" s="381"/>
      <c r="AA990" s="381"/>
      <c r="AB990" s="381"/>
      <c r="AC990" s="381"/>
    </row>
    <row r="991">
      <c r="A991" s="395"/>
      <c r="B991" s="102"/>
      <c r="C991" s="110"/>
      <c r="D991" s="396"/>
      <c r="E991" s="397"/>
      <c r="F991" s="106"/>
      <c r="G991" s="106"/>
      <c r="H991" s="106"/>
      <c r="I991" s="396"/>
      <c r="J991" s="108"/>
      <c r="K991" s="107"/>
      <c r="L991" s="109"/>
      <c r="M991" s="109"/>
      <c r="N991" s="110"/>
      <c r="O991" s="123"/>
      <c r="P991" s="109"/>
      <c r="Q991" s="109"/>
      <c r="R991" s="109"/>
      <c r="S991" s="109"/>
      <c r="T991" s="109"/>
      <c r="U991" s="381"/>
      <c r="V991" s="381"/>
      <c r="W991" s="381"/>
      <c r="X991" s="381"/>
      <c r="Y991" s="381"/>
      <c r="Z991" s="381"/>
      <c r="AA991" s="381"/>
      <c r="AB991" s="381"/>
      <c r="AC991" s="381"/>
    </row>
    <row r="992">
      <c r="A992" s="398"/>
      <c r="B992" s="91"/>
      <c r="C992" s="100"/>
      <c r="D992" s="399"/>
      <c r="E992" s="400"/>
      <c r="F992" s="95"/>
      <c r="G992" s="95"/>
      <c r="H992" s="95"/>
      <c r="I992" s="399"/>
      <c r="J992" s="97"/>
      <c r="K992" s="96"/>
      <c r="L992" s="99"/>
      <c r="M992" s="99"/>
      <c r="N992" s="100"/>
      <c r="O992" s="124"/>
      <c r="P992" s="99"/>
      <c r="Q992" s="99"/>
      <c r="R992" s="99"/>
      <c r="S992" s="99"/>
      <c r="T992" s="99"/>
      <c r="U992" s="381"/>
      <c r="V992" s="381"/>
      <c r="W992" s="381"/>
      <c r="X992" s="381"/>
      <c r="Y992" s="381"/>
      <c r="Z992" s="381"/>
      <c r="AA992" s="381"/>
      <c r="AB992" s="381"/>
      <c r="AC992" s="381"/>
    </row>
    <row r="993">
      <c r="A993" s="395"/>
      <c r="B993" s="102"/>
      <c r="C993" s="110"/>
      <c r="D993" s="396"/>
      <c r="E993" s="397"/>
      <c r="F993" s="106"/>
      <c r="G993" s="106"/>
      <c r="H993" s="106"/>
      <c r="I993" s="396"/>
      <c r="J993" s="108"/>
      <c r="K993" s="107"/>
      <c r="L993" s="109"/>
      <c r="M993" s="109"/>
      <c r="N993" s="110"/>
      <c r="O993" s="123"/>
      <c r="P993" s="109"/>
      <c r="Q993" s="109"/>
      <c r="R993" s="109"/>
      <c r="S993" s="109"/>
      <c r="T993" s="109"/>
      <c r="U993" s="381"/>
      <c r="V993" s="381"/>
      <c r="W993" s="381"/>
      <c r="X993" s="381"/>
      <c r="Y993" s="381"/>
      <c r="Z993" s="381"/>
      <c r="AA993" s="381"/>
      <c r="AB993" s="381"/>
      <c r="AC993" s="381"/>
    </row>
    <row r="994">
      <c r="A994" s="398"/>
      <c r="B994" s="91"/>
      <c r="C994" s="100"/>
      <c r="D994" s="399"/>
      <c r="E994" s="400"/>
      <c r="F994" s="95"/>
      <c r="G994" s="95"/>
      <c r="H994" s="95"/>
      <c r="I994" s="399"/>
      <c r="J994" s="97"/>
      <c r="K994" s="96"/>
      <c r="L994" s="99"/>
      <c r="M994" s="99"/>
      <c r="N994" s="100"/>
      <c r="O994" s="124"/>
      <c r="P994" s="99"/>
      <c r="Q994" s="99"/>
      <c r="R994" s="99"/>
      <c r="S994" s="99"/>
      <c r="T994" s="99"/>
      <c r="U994" s="381"/>
      <c r="V994" s="381"/>
      <c r="W994" s="381"/>
      <c r="X994" s="381"/>
      <c r="Y994" s="381"/>
      <c r="Z994" s="381"/>
      <c r="AA994" s="381"/>
      <c r="AB994" s="381"/>
      <c r="AC994" s="381"/>
    </row>
    <row r="995">
      <c r="A995" s="395"/>
      <c r="B995" s="102"/>
      <c r="C995" s="110"/>
      <c r="D995" s="396"/>
      <c r="E995" s="397"/>
      <c r="F995" s="106"/>
      <c r="G995" s="106"/>
      <c r="H995" s="106"/>
      <c r="I995" s="396"/>
      <c r="J995" s="108"/>
      <c r="K995" s="107"/>
      <c r="L995" s="109"/>
      <c r="M995" s="109"/>
      <c r="N995" s="110"/>
      <c r="O995" s="123"/>
      <c r="P995" s="109"/>
      <c r="Q995" s="109"/>
      <c r="R995" s="109"/>
      <c r="S995" s="109"/>
      <c r="T995" s="109"/>
      <c r="U995" s="381"/>
      <c r="V995" s="381"/>
      <c r="W995" s="381"/>
      <c r="X995" s="381"/>
      <c r="Y995" s="381"/>
      <c r="Z995" s="381"/>
      <c r="AA995" s="381"/>
      <c r="AB995" s="381"/>
      <c r="AC995" s="381"/>
    </row>
    <row r="996">
      <c r="A996" s="398"/>
      <c r="B996" s="91"/>
      <c r="C996" s="100"/>
      <c r="D996" s="399"/>
      <c r="E996" s="400"/>
      <c r="F996" s="95"/>
      <c r="G996" s="95"/>
      <c r="H996" s="95"/>
      <c r="I996" s="399"/>
      <c r="J996" s="97"/>
      <c r="K996" s="96"/>
      <c r="L996" s="99"/>
      <c r="M996" s="99"/>
      <c r="N996" s="100"/>
      <c r="O996" s="124"/>
      <c r="P996" s="99"/>
      <c r="Q996" s="99"/>
      <c r="R996" s="99"/>
      <c r="S996" s="99"/>
      <c r="T996" s="99"/>
      <c r="U996" s="381"/>
      <c r="V996" s="381"/>
      <c r="W996" s="381"/>
      <c r="X996" s="381"/>
      <c r="Y996" s="381"/>
      <c r="Z996" s="381"/>
      <c r="AA996" s="381"/>
      <c r="AB996" s="381"/>
      <c r="AC996" s="381"/>
    </row>
    <row r="997">
      <c r="A997" s="395"/>
      <c r="B997" s="102"/>
      <c r="C997" s="110"/>
      <c r="D997" s="396"/>
      <c r="E997" s="397"/>
      <c r="F997" s="106"/>
      <c r="G997" s="106"/>
      <c r="H997" s="106"/>
      <c r="I997" s="396"/>
      <c r="J997" s="108"/>
      <c r="K997" s="107"/>
      <c r="L997" s="109"/>
      <c r="M997" s="109"/>
      <c r="N997" s="110"/>
      <c r="O997" s="123"/>
      <c r="P997" s="109"/>
      <c r="Q997" s="109"/>
      <c r="R997" s="109"/>
      <c r="S997" s="109"/>
      <c r="T997" s="109"/>
      <c r="U997" s="381"/>
      <c r="V997" s="381"/>
      <c r="W997" s="381"/>
      <c r="X997" s="381"/>
      <c r="Y997" s="381"/>
      <c r="Z997" s="381"/>
      <c r="AA997" s="381"/>
      <c r="AB997" s="381"/>
      <c r="AC997" s="381"/>
    </row>
  </sheetData>
  <autoFilter ref="$A$1:$R$997"/>
  <dataValidations>
    <dataValidation type="list" allowBlank="1" showErrorMessage="1" sqref="D2:D500">
      <formula1>Dropdown!$G$2:$G997</formula1>
    </dataValidation>
    <dataValidation type="list" allowBlank="1" showErrorMessage="1" sqref="A2:A12">
      <formula1>Dropdown!$A$2:$A997</formula1>
    </dataValidation>
    <dataValidation type="list" allowBlank="1" showErrorMessage="1" sqref="I2:I300">
      <formula1>Dropdown!$C$2:$C997</formula1>
    </dataValidation>
    <dataValidation type="list" allowBlank="1" showErrorMessage="1" sqref="J2:J500">
      <formula1>Dropdown!$E$2:$E997</formula1>
    </dataValidation>
  </dataValidations>
  <hyperlinks>
    <hyperlink r:id="rId1" ref="B2"/>
    <hyperlink r:id="rId2" ref="B4"/>
    <hyperlink r:id="rId3" ref="B5"/>
    <hyperlink r:id="rId4" ref="B6"/>
    <hyperlink r:id="rId5" ref="B7"/>
    <hyperlink r:id="rId6" ref="B8"/>
    <hyperlink r:id="rId7" ref="B9"/>
    <hyperlink r:id="rId8" ref="B10"/>
    <hyperlink r:id="rId9" ref="B11"/>
    <hyperlink r:id="rId10" ref="B12"/>
    <hyperlink r:id="rId11" location="gid=1602113626" ref="P12"/>
  </hyperlink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5"/>
    <col customWidth="1" min="6" max="8" width="19.38"/>
  </cols>
  <sheetData>
    <row r="1">
      <c r="A1" s="401" t="s">
        <v>1773</v>
      </c>
      <c r="B1" s="401" t="s">
        <v>1774</v>
      </c>
      <c r="C1" s="401" t="s">
        <v>1775</v>
      </c>
      <c r="D1" s="401" t="s">
        <v>1776</v>
      </c>
      <c r="E1" s="401" t="s">
        <v>2</v>
      </c>
      <c r="F1" s="401" t="s">
        <v>1728</v>
      </c>
      <c r="G1" s="401" t="s">
        <v>1777</v>
      </c>
      <c r="H1" s="401" t="s">
        <v>1778</v>
      </c>
      <c r="I1" s="401" t="s">
        <v>1779</v>
      </c>
      <c r="J1" s="401" t="s">
        <v>1780</v>
      </c>
      <c r="K1" s="401" t="s">
        <v>1781</v>
      </c>
      <c r="L1" s="402" t="s">
        <v>1782</v>
      </c>
      <c r="M1" s="403" t="s">
        <v>1783</v>
      </c>
      <c r="N1" s="67"/>
      <c r="O1" s="67"/>
      <c r="P1" s="67"/>
      <c r="Q1" s="67"/>
      <c r="R1" s="67"/>
      <c r="S1" s="67"/>
      <c r="T1" s="67"/>
      <c r="U1" s="67"/>
      <c r="V1" s="67"/>
      <c r="W1" s="67"/>
      <c r="X1" s="67"/>
      <c r="Y1" s="67"/>
      <c r="Z1" s="67"/>
    </row>
    <row r="2">
      <c r="A2" s="404" t="s">
        <v>33</v>
      </c>
      <c r="B2" s="312" t="s">
        <v>1784</v>
      </c>
      <c r="C2" s="312" t="s">
        <v>1785</v>
      </c>
      <c r="D2" s="330" t="s">
        <v>1786</v>
      </c>
      <c r="E2" s="330" t="s">
        <v>1787</v>
      </c>
      <c r="F2" s="311"/>
      <c r="G2" s="312">
        <v>10.0</v>
      </c>
      <c r="H2" s="312">
        <v>5.0</v>
      </c>
      <c r="I2" s="312">
        <v>5.0</v>
      </c>
      <c r="J2" s="312">
        <v>5.0</v>
      </c>
      <c r="K2" s="312">
        <v>2.0</v>
      </c>
      <c r="L2" s="404">
        <f>G7+H7+I7+J7+K7</f>
        <v>117</v>
      </c>
      <c r="M2" s="404">
        <f>G8+H8+I8+J8+K8</f>
        <v>108</v>
      </c>
      <c r="N2" s="67"/>
      <c r="O2" s="67"/>
      <c r="P2" s="67"/>
      <c r="Q2" s="67"/>
      <c r="R2" s="67"/>
      <c r="S2" s="67"/>
      <c r="T2" s="67"/>
      <c r="U2" s="67"/>
      <c r="V2" s="67"/>
      <c r="W2" s="67"/>
      <c r="X2" s="67"/>
      <c r="Y2" s="67"/>
      <c r="Z2" s="67"/>
    </row>
    <row r="3">
      <c r="A3" s="405"/>
      <c r="B3" s="312" t="s">
        <v>1788</v>
      </c>
      <c r="C3" s="330" t="s">
        <v>1785</v>
      </c>
      <c r="D3" s="330" t="s">
        <v>1789</v>
      </c>
      <c r="E3" s="330" t="s">
        <v>1787</v>
      </c>
      <c r="F3" s="311"/>
      <c r="G3" s="312">
        <v>3.0</v>
      </c>
      <c r="H3" s="312">
        <v>3.0</v>
      </c>
      <c r="I3" s="312">
        <v>3.0</v>
      </c>
      <c r="J3" s="312">
        <v>3.0</v>
      </c>
      <c r="K3" s="312">
        <v>3.0</v>
      </c>
      <c r="L3" s="405"/>
      <c r="M3" s="405"/>
      <c r="N3" s="67"/>
      <c r="O3" s="67"/>
      <c r="P3" s="67"/>
      <c r="Q3" s="67"/>
      <c r="R3" s="67"/>
      <c r="S3" s="67"/>
      <c r="T3" s="67"/>
      <c r="U3" s="67"/>
      <c r="V3" s="67"/>
      <c r="W3" s="67"/>
      <c r="X3" s="67"/>
      <c r="Y3" s="67"/>
      <c r="Z3" s="67"/>
    </row>
    <row r="4">
      <c r="A4" s="405"/>
      <c r="B4" s="312" t="s">
        <v>1790</v>
      </c>
      <c r="C4" s="330" t="s">
        <v>1791</v>
      </c>
      <c r="D4" s="312" t="s">
        <v>1792</v>
      </c>
      <c r="E4" s="312" t="s">
        <v>1793</v>
      </c>
      <c r="F4" s="311"/>
      <c r="G4" s="312">
        <v>15.0</v>
      </c>
      <c r="H4" s="312">
        <v>15.0</v>
      </c>
      <c r="I4" s="312">
        <v>15.0</v>
      </c>
      <c r="J4" s="312">
        <v>15.0</v>
      </c>
      <c r="K4" s="312">
        <v>15.0</v>
      </c>
      <c r="L4" s="405"/>
      <c r="M4" s="405"/>
      <c r="N4" s="67"/>
      <c r="O4" s="67"/>
      <c r="P4" s="67"/>
      <c r="Q4" s="67"/>
      <c r="R4" s="67"/>
      <c r="S4" s="67"/>
      <c r="T4" s="67"/>
      <c r="U4" s="67"/>
      <c r="V4" s="67"/>
      <c r="W4" s="67"/>
      <c r="X4" s="67"/>
      <c r="Y4" s="67"/>
      <c r="Z4" s="67"/>
    </row>
    <row r="5">
      <c r="A5" s="406"/>
      <c r="B5" s="312" t="s">
        <v>118</v>
      </c>
      <c r="C5" s="330" t="s">
        <v>1791</v>
      </c>
      <c r="D5" s="312" t="s">
        <v>1789</v>
      </c>
      <c r="E5" s="312" t="s">
        <v>1794</v>
      </c>
      <c r="F5" s="311"/>
      <c r="G5" s="311"/>
      <c r="H5" s="311"/>
      <c r="I5" s="311"/>
      <c r="J5" s="311"/>
      <c r="K5" s="311"/>
      <c r="L5" s="405"/>
      <c r="M5" s="405"/>
      <c r="N5" s="67"/>
      <c r="O5" s="67"/>
      <c r="P5" s="67"/>
      <c r="Q5" s="67"/>
      <c r="R5" s="67"/>
      <c r="S5" s="67"/>
      <c r="T5" s="67"/>
      <c r="U5" s="67"/>
      <c r="V5" s="67"/>
      <c r="W5" s="67"/>
      <c r="X5" s="67"/>
      <c r="Y5" s="67"/>
      <c r="Z5" s="67"/>
    </row>
    <row r="6">
      <c r="A6" s="67"/>
      <c r="B6" s="67"/>
      <c r="C6" s="67"/>
      <c r="D6" s="407"/>
      <c r="E6" s="407"/>
      <c r="F6" s="402"/>
      <c r="G6" s="316"/>
      <c r="H6" s="316"/>
      <c r="I6" s="316"/>
      <c r="J6" s="316"/>
      <c r="K6" s="316"/>
      <c r="L6" s="405"/>
      <c r="M6" s="405"/>
      <c r="N6" s="67"/>
      <c r="O6" s="67"/>
      <c r="P6" s="67"/>
      <c r="Q6" s="67"/>
      <c r="R6" s="67"/>
      <c r="S6" s="67"/>
      <c r="T6" s="67"/>
      <c r="U6" s="67"/>
      <c r="V6" s="67"/>
      <c r="W6" s="67"/>
      <c r="X6" s="67"/>
      <c r="Y6" s="67"/>
      <c r="Z6" s="67"/>
    </row>
    <row r="7">
      <c r="A7" s="67"/>
      <c r="B7" s="67"/>
      <c r="C7" s="67"/>
      <c r="D7" s="407"/>
      <c r="E7" s="407"/>
      <c r="F7" s="402" t="s">
        <v>1795</v>
      </c>
      <c r="G7" s="316">
        <f t="shared" ref="G7:K7" si="1">G2+G3+G4+G5</f>
        <v>28</v>
      </c>
      <c r="H7" s="316">
        <f t="shared" si="1"/>
        <v>23</v>
      </c>
      <c r="I7" s="316">
        <f t="shared" si="1"/>
        <v>23</v>
      </c>
      <c r="J7" s="316">
        <f t="shared" si="1"/>
        <v>23</v>
      </c>
      <c r="K7" s="316">
        <f t="shared" si="1"/>
        <v>20</v>
      </c>
      <c r="L7" s="405"/>
      <c r="M7" s="405"/>
      <c r="N7" s="67"/>
      <c r="O7" s="67"/>
      <c r="P7" s="67"/>
      <c r="Q7" s="67"/>
      <c r="R7" s="67"/>
      <c r="S7" s="67"/>
      <c r="T7" s="67"/>
      <c r="U7" s="67"/>
      <c r="V7" s="67"/>
      <c r="W7" s="67"/>
      <c r="X7" s="67"/>
      <c r="Y7" s="67"/>
      <c r="Z7" s="67"/>
    </row>
    <row r="8">
      <c r="A8" s="67"/>
      <c r="B8" s="67"/>
      <c r="C8" s="67"/>
      <c r="D8" s="407"/>
      <c r="E8" s="407"/>
      <c r="F8" s="403" t="s">
        <v>1796</v>
      </c>
      <c r="G8" s="316">
        <f t="shared" ref="G8:K8" si="2">45-G7</f>
        <v>17</v>
      </c>
      <c r="H8" s="316">
        <f t="shared" si="2"/>
        <v>22</v>
      </c>
      <c r="I8" s="316">
        <f t="shared" si="2"/>
        <v>22</v>
      </c>
      <c r="J8" s="316">
        <f t="shared" si="2"/>
        <v>22</v>
      </c>
      <c r="K8" s="316">
        <f t="shared" si="2"/>
        <v>25</v>
      </c>
      <c r="L8" s="406"/>
      <c r="M8" s="406"/>
      <c r="N8" s="67"/>
      <c r="O8" s="67"/>
      <c r="P8" s="67"/>
      <c r="Q8" s="67"/>
      <c r="R8" s="67"/>
      <c r="S8" s="67"/>
      <c r="T8" s="67"/>
      <c r="U8" s="67"/>
      <c r="V8" s="67"/>
      <c r="W8" s="67"/>
      <c r="X8" s="67"/>
      <c r="Y8" s="67"/>
      <c r="Z8" s="67"/>
    </row>
    <row r="9">
      <c r="A9" s="67"/>
      <c r="B9" s="67"/>
      <c r="C9" s="67"/>
      <c r="D9" s="407"/>
      <c r="E9" s="407"/>
      <c r="F9" s="67"/>
      <c r="G9" s="67"/>
      <c r="H9" s="67"/>
      <c r="I9" s="67"/>
      <c r="J9" s="67"/>
      <c r="K9" s="67"/>
      <c r="L9" s="67"/>
      <c r="M9" s="67"/>
      <c r="N9" s="67"/>
      <c r="O9" s="67"/>
      <c r="P9" s="67"/>
      <c r="Q9" s="67"/>
      <c r="R9" s="67"/>
      <c r="S9" s="67"/>
      <c r="T9" s="67"/>
      <c r="U9" s="67"/>
      <c r="V9" s="67"/>
      <c r="W9" s="67"/>
      <c r="X9" s="67"/>
      <c r="Y9" s="67"/>
      <c r="Z9" s="67"/>
    </row>
    <row r="10">
      <c r="A10" s="67"/>
      <c r="B10" s="67"/>
      <c r="C10" s="67"/>
      <c r="D10" s="407"/>
      <c r="E10" s="407"/>
      <c r="F10" s="67"/>
      <c r="G10" s="67"/>
      <c r="H10" s="67"/>
      <c r="I10" s="67"/>
      <c r="J10" s="67"/>
      <c r="K10" s="67"/>
      <c r="L10" s="67"/>
      <c r="M10" s="67"/>
      <c r="N10" s="67"/>
      <c r="O10" s="67"/>
      <c r="P10" s="67"/>
      <c r="Q10" s="67"/>
      <c r="R10" s="67"/>
      <c r="S10" s="67"/>
      <c r="T10" s="67"/>
      <c r="U10" s="67"/>
      <c r="V10" s="67"/>
      <c r="W10" s="67"/>
      <c r="X10" s="67"/>
      <c r="Y10" s="67"/>
      <c r="Z10" s="67"/>
    </row>
    <row r="11">
      <c r="A11" s="401" t="s">
        <v>1773</v>
      </c>
      <c r="B11" s="401" t="s">
        <v>1774</v>
      </c>
      <c r="C11" s="401" t="s">
        <v>1775</v>
      </c>
      <c r="D11" s="401" t="s">
        <v>1776</v>
      </c>
      <c r="E11" s="401" t="s">
        <v>2</v>
      </c>
      <c r="F11" s="401" t="s">
        <v>1728</v>
      </c>
      <c r="G11" s="401" t="s">
        <v>1777</v>
      </c>
      <c r="H11" s="401" t="s">
        <v>1778</v>
      </c>
      <c r="I11" s="401" t="s">
        <v>1779</v>
      </c>
      <c r="J11" s="401" t="s">
        <v>1780</v>
      </c>
      <c r="K11" s="401" t="s">
        <v>1781</v>
      </c>
      <c r="L11" s="402" t="s">
        <v>1782</v>
      </c>
      <c r="M11" s="403" t="s">
        <v>1783</v>
      </c>
      <c r="N11" s="67"/>
      <c r="O11" s="67"/>
      <c r="P11" s="67"/>
      <c r="Q11" s="67"/>
      <c r="R11" s="67"/>
      <c r="S11" s="67"/>
      <c r="T11" s="67"/>
      <c r="U11" s="67"/>
      <c r="V11" s="67"/>
      <c r="W11" s="67"/>
      <c r="X11" s="67"/>
      <c r="Y11" s="67"/>
      <c r="Z11" s="67"/>
    </row>
    <row r="12">
      <c r="A12" s="404" t="s">
        <v>79</v>
      </c>
      <c r="B12" s="337" t="s">
        <v>266</v>
      </c>
      <c r="C12" s="330" t="s">
        <v>1791</v>
      </c>
      <c r="D12" s="330" t="s">
        <v>1789</v>
      </c>
      <c r="E12" s="301" t="s">
        <v>1797</v>
      </c>
      <c r="F12" s="312" t="s">
        <v>103</v>
      </c>
      <c r="G12" s="337">
        <v>25.0</v>
      </c>
      <c r="H12" s="337">
        <v>0.0</v>
      </c>
      <c r="I12" s="337">
        <v>0.0</v>
      </c>
      <c r="J12" s="337">
        <v>0.0</v>
      </c>
      <c r="K12" s="337">
        <v>0.0</v>
      </c>
      <c r="L12" s="404">
        <f>G19+H19+I19+J19+K19</f>
        <v>195</v>
      </c>
      <c r="M12" s="404">
        <f>G20+H20+I20+J20+K20</f>
        <v>30</v>
      </c>
      <c r="N12" s="67"/>
      <c r="O12" s="67"/>
      <c r="P12" s="67"/>
      <c r="Q12" s="67"/>
      <c r="R12" s="67"/>
      <c r="S12" s="67"/>
      <c r="T12" s="67"/>
      <c r="U12" s="67"/>
      <c r="V12" s="67"/>
      <c r="W12" s="67"/>
      <c r="X12" s="67"/>
      <c r="Y12" s="67"/>
      <c r="Z12" s="67"/>
    </row>
    <row r="13">
      <c r="A13" s="405"/>
      <c r="B13" s="312" t="s">
        <v>1798</v>
      </c>
      <c r="C13" s="312" t="s">
        <v>1791</v>
      </c>
      <c r="D13" s="312" t="s">
        <v>1799</v>
      </c>
      <c r="E13" s="312" t="s">
        <v>1800</v>
      </c>
      <c r="F13" s="312" t="s">
        <v>1801</v>
      </c>
      <c r="G13" s="312">
        <v>0.0</v>
      </c>
      <c r="H13" s="312">
        <v>0.0</v>
      </c>
      <c r="I13" s="312">
        <v>20.0</v>
      </c>
      <c r="J13" s="312">
        <v>5.0</v>
      </c>
      <c r="K13" s="312">
        <v>5.0</v>
      </c>
      <c r="L13" s="405"/>
      <c r="M13" s="405"/>
      <c r="N13" s="67"/>
      <c r="O13" s="67"/>
      <c r="P13" s="67"/>
      <c r="Q13" s="67"/>
      <c r="R13" s="67"/>
      <c r="S13" s="67"/>
      <c r="T13" s="67"/>
      <c r="U13" s="67"/>
      <c r="V13" s="67"/>
      <c r="W13" s="67"/>
      <c r="X13" s="67"/>
      <c r="Y13" s="67"/>
      <c r="Z13" s="67"/>
    </row>
    <row r="14">
      <c r="A14" s="405"/>
      <c r="B14" s="312" t="s">
        <v>266</v>
      </c>
      <c r="C14" s="312" t="s">
        <v>1791</v>
      </c>
      <c r="D14" s="312" t="s">
        <v>1789</v>
      </c>
      <c r="E14" s="145" t="s">
        <v>87</v>
      </c>
      <c r="F14" s="312" t="s">
        <v>103</v>
      </c>
      <c r="G14" s="312">
        <v>0.0</v>
      </c>
      <c r="H14" s="330">
        <v>0.0</v>
      </c>
      <c r="I14" s="312">
        <v>5.0</v>
      </c>
      <c r="J14" s="312">
        <v>5.0</v>
      </c>
      <c r="K14" s="312">
        <v>5.0</v>
      </c>
      <c r="L14" s="405"/>
      <c r="M14" s="405"/>
      <c r="N14" s="67"/>
      <c r="O14" s="67"/>
      <c r="P14" s="67"/>
      <c r="Q14" s="67"/>
      <c r="R14" s="67"/>
      <c r="S14" s="67"/>
      <c r="T14" s="67"/>
      <c r="U14" s="67"/>
      <c r="V14" s="67"/>
      <c r="W14" s="67"/>
      <c r="X14" s="67"/>
      <c r="Y14" s="67"/>
      <c r="Z14" s="67"/>
    </row>
    <row r="15">
      <c r="A15" s="405"/>
      <c r="B15" s="312" t="s">
        <v>266</v>
      </c>
      <c r="C15" s="312" t="s">
        <v>1791</v>
      </c>
      <c r="D15" s="312" t="s">
        <v>1789</v>
      </c>
      <c r="E15" s="145" t="s">
        <v>92</v>
      </c>
      <c r="F15" s="312" t="s">
        <v>103</v>
      </c>
      <c r="G15" s="337">
        <v>10.0</v>
      </c>
      <c r="H15" s="337">
        <v>15.0</v>
      </c>
      <c r="I15" s="337">
        <v>0.0</v>
      </c>
      <c r="J15" s="337">
        <v>5.0</v>
      </c>
      <c r="K15" s="337">
        <v>0.0</v>
      </c>
      <c r="L15" s="405"/>
      <c r="M15" s="405"/>
      <c r="N15" s="67"/>
      <c r="O15" s="67"/>
      <c r="P15" s="67"/>
      <c r="Q15" s="67"/>
      <c r="R15" s="67"/>
      <c r="S15" s="67"/>
      <c r="T15" s="67"/>
      <c r="U15" s="67"/>
      <c r="V15" s="67"/>
      <c r="W15" s="67"/>
      <c r="X15" s="67"/>
      <c r="Y15" s="67"/>
      <c r="Z15" s="67"/>
    </row>
    <row r="16">
      <c r="A16" s="405"/>
      <c r="B16" s="312" t="s">
        <v>266</v>
      </c>
      <c r="C16" s="312" t="s">
        <v>1791</v>
      </c>
      <c r="D16" s="312" t="s">
        <v>1789</v>
      </c>
      <c r="E16" s="145" t="s">
        <v>281</v>
      </c>
      <c r="F16" s="312" t="s">
        <v>103</v>
      </c>
      <c r="G16" s="337">
        <v>0.0</v>
      </c>
      <c r="H16" s="337">
        <v>20.0</v>
      </c>
      <c r="I16" s="337">
        <v>0.0</v>
      </c>
      <c r="J16" s="337">
        <v>15.0</v>
      </c>
      <c r="K16" s="337">
        <v>0.0</v>
      </c>
      <c r="L16" s="405"/>
      <c r="M16" s="405"/>
      <c r="N16" s="67"/>
      <c r="O16" s="67"/>
      <c r="P16" s="67"/>
      <c r="Q16" s="67"/>
      <c r="R16" s="67"/>
      <c r="S16" s="67"/>
      <c r="T16" s="67"/>
      <c r="U16" s="67"/>
      <c r="V16" s="67"/>
      <c r="W16" s="67"/>
      <c r="X16" s="67"/>
      <c r="Y16" s="67"/>
      <c r="Z16" s="67"/>
    </row>
    <row r="17">
      <c r="A17" s="405"/>
      <c r="B17" s="312" t="s">
        <v>1802</v>
      </c>
      <c r="C17" s="312" t="s">
        <v>1791</v>
      </c>
      <c r="D17" s="312" t="s">
        <v>1799</v>
      </c>
      <c r="E17" s="301" t="s">
        <v>1803</v>
      </c>
      <c r="F17" s="312" t="s">
        <v>103</v>
      </c>
      <c r="G17" s="337">
        <v>0.0</v>
      </c>
      <c r="H17" s="337">
        <v>0.0</v>
      </c>
      <c r="I17" s="337">
        <v>10.0</v>
      </c>
      <c r="J17" s="337">
        <v>10.0</v>
      </c>
      <c r="K17" s="337">
        <v>20.0</v>
      </c>
      <c r="L17" s="405"/>
      <c r="M17" s="405"/>
      <c r="N17" s="67"/>
      <c r="O17" s="67"/>
      <c r="P17" s="67"/>
      <c r="Q17" s="67"/>
      <c r="R17" s="67"/>
      <c r="S17" s="67"/>
      <c r="T17" s="67"/>
      <c r="U17" s="67"/>
      <c r="V17" s="67"/>
      <c r="W17" s="67"/>
      <c r="X17" s="67"/>
      <c r="Y17" s="67"/>
      <c r="Z17" s="67"/>
    </row>
    <row r="18">
      <c r="A18" s="406"/>
      <c r="B18" s="156" t="s">
        <v>1804</v>
      </c>
      <c r="C18" s="312" t="s">
        <v>1785</v>
      </c>
      <c r="D18" s="337" t="s">
        <v>1747</v>
      </c>
      <c r="E18" s="301" t="s">
        <v>1805</v>
      </c>
      <c r="F18" s="312" t="s">
        <v>39</v>
      </c>
      <c r="G18" s="337">
        <v>5.0</v>
      </c>
      <c r="H18" s="337">
        <v>5.0</v>
      </c>
      <c r="I18" s="337">
        <v>0.0</v>
      </c>
      <c r="J18" s="337">
        <v>5.0</v>
      </c>
      <c r="K18" s="337">
        <v>5.0</v>
      </c>
      <c r="L18" s="405"/>
      <c r="M18" s="405"/>
      <c r="N18" s="67"/>
      <c r="O18" s="67"/>
      <c r="P18" s="67"/>
      <c r="Q18" s="67"/>
      <c r="R18" s="67"/>
      <c r="S18" s="67"/>
      <c r="T18" s="67"/>
      <c r="U18" s="67"/>
      <c r="V18" s="67"/>
      <c r="W18" s="67"/>
      <c r="X18" s="67"/>
      <c r="Y18" s="67"/>
      <c r="Z18" s="67"/>
    </row>
    <row r="19">
      <c r="A19" s="67"/>
      <c r="B19" s="67"/>
      <c r="C19" s="67"/>
      <c r="D19" s="407"/>
      <c r="E19" s="407"/>
      <c r="F19" s="402" t="s">
        <v>1795</v>
      </c>
      <c r="G19" s="316">
        <f t="shared" ref="G19:K19" si="3">SUM(G12:G18)</f>
        <v>40</v>
      </c>
      <c r="H19" s="316">
        <f t="shared" si="3"/>
        <v>40</v>
      </c>
      <c r="I19" s="316">
        <f t="shared" si="3"/>
        <v>35</v>
      </c>
      <c r="J19" s="316">
        <f t="shared" si="3"/>
        <v>45</v>
      </c>
      <c r="K19" s="316">
        <f t="shared" si="3"/>
        <v>35</v>
      </c>
      <c r="L19" s="405"/>
      <c r="M19" s="405"/>
      <c r="N19" s="67"/>
      <c r="O19" s="67"/>
      <c r="P19" s="67"/>
      <c r="Q19" s="67"/>
      <c r="R19" s="67"/>
      <c r="S19" s="67"/>
      <c r="T19" s="67"/>
      <c r="U19" s="67"/>
      <c r="V19" s="67"/>
      <c r="W19" s="67"/>
      <c r="X19" s="67"/>
      <c r="Y19" s="67"/>
      <c r="Z19" s="67"/>
    </row>
    <row r="20">
      <c r="A20" s="67"/>
      <c r="B20" s="67"/>
      <c r="C20" s="67"/>
      <c r="D20" s="407"/>
      <c r="E20" s="407"/>
      <c r="F20" s="403" t="s">
        <v>1796</v>
      </c>
      <c r="G20" s="316">
        <f t="shared" ref="G20:K20" si="4">45-G19</f>
        <v>5</v>
      </c>
      <c r="H20" s="316">
        <f t="shared" si="4"/>
        <v>5</v>
      </c>
      <c r="I20" s="316">
        <f t="shared" si="4"/>
        <v>10</v>
      </c>
      <c r="J20" s="316">
        <f t="shared" si="4"/>
        <v>0</v>
      </c>
      <c r="K20" s="316">
        <f t="shared" si="4"/>
        <v>10</v>
      </c>
      <c r="L20" s="406"/>
      <c r="M20" s="406"/>
      <c r="N20" s="67"/>
      <c r="O20" s="67"/>
      <c r="P20" s="67"/>
      <c r="Q20" s="67"/>
      <c r="R20" s="67"/>
      <c r="S20" s="67"/>
      <c r="T20" s="67"/>
      <c r="U20" s="67"/>
      <c r="V20" s="67"/>
      <c r="W20" s="67"/>
      <c r="X20" s="67"/>
      <c r="Y20" s="67"/>
      <c r="Z20" s="67"/>
    </row>
    <row r="21">
      <c r="A21" s="67"/>
      <c r="B21" s="67"/>
      <c r="C21" s="67"/>
      <c r="D21" s="407"/>
      <c r="E21" s="40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407"/>
      <c r="E22" s="407"/>
      <c r="F22" s="67"/>
      <c r="G22" s="67"/>
      <c r="H22" s="67"/>
      <c r="I22" s="67"/>
      <c r="J22" s="67"/>
      <c r="K22" s="67"/>
      <c r="L22" s="67"/>
      <c r="M22" s="67"/>
      <c r="N22" s="67"/>
      <c r="O22" s="67"/>
      <c r="P22" s="67"/>
      <c r="Q22" s="67"/>
      <c r="R22" s="67"/>
      <c r="S22" s="67"/>
      <c r="T22" s="67"/>
      <c r="U22" s="67"/>
      <c r="V22" s="67"/>
      <c r="W22" s="67"/>
      <c r="X22" s="67"/>
      <c r="Y22" s="67"/>
      <c r="Z22" s="67"/>
    </row>
    <row r="23">
      <c r="A23" s="401" t="s">
        <v>1773</v>
      </c>
      <c r="B23" s="401" t="s">
        <v>1774</v>
      </c>
      <c r="C23" s="401" t="s">
        <v>1775</v>
      </c>
      <c r="D23" s="401" t="s">
        <v>1776</v>
      </c>
      <c r="E23" s="401" t="s">
        <v>2</v>
      </c>
      <c r="F23" s="401" t="s">
        <v>1728</v>
      </c>
      <c r="G23" s="401" t="s">
        <v>1777</v>
      </c>
      <c r="H23" s="401" t="s">
        <v>1778</v>
      </c>
      <c r="I23" s="408">
        <v>5.0</v>
      </c>
      <c r="J23" s="401" t="s">
        <v>1780</v>
      </c>
      <c r="K23" s="401" t="s">
        <v>1781</v>
      </c>
      <c r="L23" s="402" t="s">
        <v>1782</v>
      </c>
      <c r="M23" s="403" t="s">
        <v>1783</v>
      </c>
      <c r="N23" s="67"/>
      <c r="O23" s="67"/>
      <c r="P23" s="67"/>
      <c r="Q23" s="67"/>
      <c r="R23" s="67"/>
      <c r="S23" s="67"/>
      <c r="T23" s="67"/>
      <c r="U23" s="67"/>
      <c r="V23" s="67"/>
      <c r="W23" s="67"/>
      <c r="X23" s="67"/>
      <c r="Y23" s="67"/>
      <c r="Z23" s="67"/>
    </row>
    <row r="24">
      <c r="A24" s="312"/>
      <c r="B24" s="312" t="s">
        <v>1806</v>
      </c>
      <c r="C24" s="312" t="s">
        <v>1791</v>
      </c>
      <c r="D24" s="312" t="s">
        <v>1799</v>
      </c>
      <c r="E24" s="312" t="s">
        <v>1807</v>
      </c>
      <c r="F24" s="312" t="s">
        <v>39</v>
      </c>
      <c r="G24" s="337">
        <v>12.0</v>
      </c>
      <c r="H24" s="337">
        <v>0.0</v>
      </c>
      <c r="I24" s="337">
        <v>0.0</v>
      </c>
      <c r="J24" s="337">
        <v>5.0</v>
      </c>
      <c r="K24" s="337">
        <v>0.0</v>
      </c>
      <c r="L24" s="312"/>
      <c r="M24" s="312"/>
      <c r="N24" s="67"/>
      <c r="O24" s="67"/>
      <c r="P24" s="67"/>
      <c r="Q24" s="67"/>
      <c r="R24" s="67"/>
      <c r="S24" s="67"/>
      <c r="T24" s="67"/>
      <c r="U24" s="67"/>
      <c r="V24" s="67"/>
      <c r="W24" s="67"/>
      <c r="X24" s="67"/>
      <c r="Y24" s="67"/>
      <c r="Z24" s="67"/>
    </row>
    <row r="25">
      <c r="A25" s="409" t="s">
        <v>25</v>
      </c>
      <c r="B25" s="312" t="s">
        <v>1806</v>
      </c>
      <c r="C25" s="312" t="s">
        <v>1791</v>
      </c>
      <c r="D25" s="312" t="s">
        <v>1799</v>
      </c>
      <c r="E25" s="312" t="s">
        <v>1808</v>
      </c>
      <c r="F25" s="312" t="s">
        <v>1801</v>
      </c>
      <c r="G25" s="337">
        <v>0.0</v>
      </c>
      <c r="H25" s="312">
        <v>0.0</v>
      </c>
      <c r="I25" s="312"/>
      <c r="J25" s="312">
        <v>0.0</v>
      </c>
      <c r="K25" s="312">
        <v>0.0</v>
      </c>
      <c r="L25" s="409">
        <v>120.0</v>
      </c>
      <c r="M25" s="409">
        <v>105.0</v>
      </c>
      <c r="N25" s="67"/>
      <c r="O25" s="67"/>
      <c r="P25" s="67"/>
      <c r="Q25" s="67"/>
      <c r="R25" s="67"/>
      <c r="S25" s="67"/>
      <c r="T25" s="67"/>
      <c r="U25" s="67"/>
      <c r="V25" s="67"/>
      <c r="W25" s="67"/>
      <c r="X25" s="67"/>
      <c r="Y25" s="67"/>
      <c r="Z25" s="67"/>
    </row>
    <row r="26">
      <c r="A26" s="405"/>
      <c r="B26" s="312" t="s">
        <v>1806</v>
      </c>
      <c r="C26" s="312" t="s">
        <v>1791</v>
      </c>
      <c r="D26" s="312" t="s">
        <v>1799</v>
      </c>
      <c r="E26" s="312" t="s">
        <v>1809</v>
      </c>
      <c r="F26" s="312" t="s">
        <v>1801</v>
      </c>
      <c r="G26" s="312">
        <v>0.0</v>
      </c>
      <c r="H26" s="312">
        <v>13.0</v>
      </c>
      <c r="I26" s="312">
        <v>0.0</v>
      </c>
      <c r="J26" s="312">
        <v>0.0</v>
      </c>
      <c r="K26" s="312">
        <v>0.0</v>
      </c>
      <c r="L26" s="405"/>
      <c r="M26" s="405"/>
      <c r="N26" s="67"/>
      <c r="O26" s="67"/>
      <c r="P26" s="67"/>
      <c r="Q26" s="67"/>
      <c r="R26" s="67"/>
      <c r="S26" s="67"/>
      <c r="T26" s="67"/>
      <c r="U26" s="67"/>
      <c r="V26" s="67"/>
      <c r="W26" s="67"/>
      <c r="X26" s="67"/>
      <c r="Y26" s="67"/>
      <c r="Z26" s="67"/>
    </row>
    <row r="27">
      <c r="A27" s="405"/>
      <c r="B27" s="312" t="s">
        <v>1806</v>
      </c>
      <c r="C27" s="312" t="s">
        <v>1791</v>
      </c>
      <c r="D27" s="312" t="s">
        <v>1810</v>
      </c>
      <c r="E27" s="312" t="s">
        <v>1811</v>
      </c>
      <c r="F27" s="312" t="s">
        <v>1801</v>
      </c>
      <c r="G27" s="312">
        <v>0.0</v>
      </c>
      <c r="H27" s="312">
        <v>5.0</v>
      </c>
      <c r="I27" s="312">
        <v>0.0</v>
      </c>
      <c r="J27" s="312">
        <v>20.0</v>
      </c>
      <c r="K27" s="312">
        <v>0.0</v>
      </c>
      <c r="L27" s="405"/>
      <c r="M27" s="405"/>
      <c r="N27" s="67"/>
      <c r="O27" s="67"/>
      <c r="P27" s="67"/>
      <c r="Q27" s="67"/>
      <c r="R27" s="67"/>
      <c r="S27" s="67"/>
      <c r="T27" s="67"/>
      <c r="U27" s="67"/>
      <c r="V27" s="67"/>
      <c r="W27" s="67"/>
      <c r="X27" s="67"/>
      <c r="Y27" s="67"/>
      <c r="Z27" s="67"/>
    </row>
    <row r="28">
      <c r="A28" s="405"/>
      <c r="B28" s="312" t="s">
        <v>1798</v>
      </c>
      <c r="C28" s="312" t="s">
        <v>1791</v>
      </c>
      <c r="D28" s="312" t="s">
        <v>1799</v>
      </c>
      <c r="E28" s="312" t="s">
        <v>1812</v>
      </c>
      <c r="F28" s="312" t="s">
        <v>1801</v>
      </c>
      <c r="G28" s="312">
        <v>0.0</v>
      </c>
      <c r="H28" s="366">
        <v>0.0</v>
      </c>
      <c r="I28" s="312">
        <v>25.0</v>
      </c>
      <c r="J28" s="312">
        <v>5.0</v>
      </c>
      <c r="K28" s="312">
        <v>10.0</v>
      </c>
      <c r="L28" s="405"/>
      <c r="M28" s="405"/>
      <c r="N28" s="67"/>
      <c r="O28" s="67"/>
      <c r="P28" s="67"/>
      <c r="Q28" s="67"/>
      <c r="R28" s="67"/>
      <c r="S28" s="67"/>
      <c r="T28" s="67"/>
      <c r="U28" s="67"/>
      <c r="V28" s="67"/>
      <c r="W28" s="67"/>
      <c r="X28" s="67"/>
      <c r="Y28" s="67"/>
      <c r="Z28" s="67"/>
    </row>
    <row r="29">
      <c r="A29" s="405"/>
      <c r="B29" s="312" t="s">
        <v>1806</v>
      </c>
      <c r="C29" s="312" t="s">
        <v>1791</v>
      </c>
      <c r="D29" s="312" t="s">
        <v>1810</v>
      </c>
      <c r="E29" s="312" t="s">
        <v>678</v>
      </c>
      <c r="F29" s="312" t="s">
        <v>1801</v>
      </c>
      <c r="G29" s="312">
        <v>0.0</v>
      </c>
      <c r="H29" s="312">
        <v>0.0</v>
      </c>
      <c r="I29" s="312">
        <v>0.0</v>
      </c>
      <c r="J29" s="312">
        <v>0.0</v>
      </c>
      <c r="K29" s="312">
        <v>5.0</v>
      </c>
      <c r="L29" s="405"/>
      <c r="M29" s="405"/>
      <c r="N29" s="67"/>
      <c r="O29" s="67"/>
      <c r="P29" s="67"/>
      <c r="Q29" s="67"/>
      <c r="R29" s="67"/>
      <c r="S29" s="67"/>
      <c r="T29" s="67"/>
      <c r="U29" s="67"/>
      <c r="V29" s="67"/>
      <c r="W29" s="67"/>
      <c r="X29" s="67"/>
      <c r="Y29" s="67"/>
      <c r="Z29" s="67"/>
    </row>
    <row r="30">
      <c r="A30" s="406"/>
      <c r="B30" s="156" t="s">
        <v>1804</v>
      </c>
      <c r="C30" s="312" t="s">
        <v>1785</v>
      </c>
      <c r="D30" s="337" t="s">
        <v>1747</v>
      </c>
      <c r="E30" s="301" t="s">
        <v>1805</v>
      </c>
      <c r="F30" s="312" t="s">
        <v>39</v>
      </c>
      <c r="G30" s="337">
        <v>5.0</v>
      </c>
      <c r="H30" s="337">
        <v>5.0</v>
      </c>
      <c r="I30" s="337">
        <v>5.0</v>
      </c>
      <c r="J30" s="337">
        <v>5.0</v>
      </c>
      <c r="K30" s="337">
        <v>5.0</v>
      </c>
      <c r="L30" s="405"/>
      <c r="M30" s="405"/>
      <c r="N30" s="67"/>
      <c r="O30" s="67"/>
      <c r="P30" s="67"/>
      <c r="Q30" s="67"/>
      <c r="R30" s="67"/>
      <c r="S30" s="67"/>
      <c r="T30" s="67"/>
      <c r="U30" s="67"/>
      <c r="V30" s="67"/>
      <c r="W30" s="67"/>
      <c r="X30" s="67"/>
      <c r="Y30" s="67"/>
      <c r="Z30" s="67"/>
    </row>
    <row r="31">
      <c r="A31" s="67"/>
      <c r="B31" s="67"/>
      <c r="C31" s="67"/>
      <c r="D31" s="407"/>
      <c r="E31" s="407"/>
      <c r="F31" s="402" t="s">
        <v>1795</v>
      </c>
      <c r="G31" s="316">
        <f t="shared" ref="G31:H31" si="5">SUM(G24:G30)</f>
        <v>17</v>
      </c>
      <c r="H31" s="316">
        <f t="shared" si="5"/>
        <v>23</v>
      </c>
      <c r="I31" s="316">
        <f>SUM(I24:I28)</f>
        <v>25</v>
      </c>
      <c r="J31" s="316">
        <f t="shared" ref="J31:K31" si="6">SUM(J24:J30)</f>
        <v>35</v>
      </c>
      <c r="K31" s="316">
        <f t="shared" si="6"/>
        <v>20</v>
      </c>
      <c r="L31" s="405"/>
      <c r="M31" s="405"/>
      <c r="N31" s="67"/>
      <c r="O31" s="67"/>
      <c r="P31" s="67"/>
      <c r="Q31" s="67"/>
      <c r="R31" s="67"/>
      <c r="S31" s="67"/>
      <c r="T31" s="67"/>
      <c r="U31" s="67"/>
      <c r="V31" s="67"/>
      <c r="W31" s="67"/>
      <c r="X31" s="67"/>
      <c r="Y31" s="67"/>
      <c r="Z31" s="67"/>
    </row>
    <row r="32">
      <c r="A32" s="67"/>
      <c r="B32" s="67"/>
      <c r="C32" s="67"/>
      <c r="D32" s="407"/>
      <c r="E32" s="407"/>
      <c r="F32" s="403" t="s">
        <v>1796</v>
      </c>
      <c r="G32" s="316">
        <f t="shared" ref="G32:K32" si="7">45-G31</f>
        <v>28</v>
      </c>
      <c r="H32" s="316">
        <f t="shared" si="7"/>
        <v>22</v>
      </c>
      <c r="I32" s="316">
        <f t="shared" si="7"/>
        <v>20</v>
      </c>
      <c r="J32" s="316">
        <f t="shared" si="7"/>
        <v>10</v>
      </c>
      <c r="K32" s="316">
        <f t="shared" si="7"/>
        <v>25</v>
      </c>
      <c r="L32" s="406"/>
      <c r="M32" s="406"/>
      <c r="N32" s="67"/>
      <c r="O32" s="67"/>
      <c r="P32" s="67"/>
      <c r="Q32" s="67"/>
      <c r="R32" s="67"/>
      <c r="S32" s="67"/>
      <c r="T32" s="67"/>
      <c r="U32" s="67"/>
      <c r="V32" s="67"/>
      <c r="W32" s="67"/>
      <c r="X32" s="67"/>
      <c r="Y32" s="67"/>
      <c r="Z32" s="67"/>
    </row>
    <row r="33">
      <c r="A33" s="67"/>
      <c r="B33" s="67"/>
      <c r="C33" s="67"/>
      <c r="D33" s="407"/>
      <c r="E33" s="407"/>
      <c r="F33" s="67"/>
      <c r="G33" s="67"/>
      <c r="H33" s="67"/>
      <c r="I33" s="67"/>
      <c r="J33" s="67"/>
      <c r="K33" s="67"/>
      <c r="L33" s="67"/>
      <c r="M33" s="67"/>
      <c r="N33" s="67"/>
      <c r="O33" s="67"/>
      <c r="P33" s="67"/>
      <c r="Q33" s="67"/>
      <c r="R33" s="67"/>
      <c r="S33" s="67"/>
      <c r="T33" s="67"/>
      <c r="U33" s="67"/>
      <c r="V33" s="67"/>
      <c r="W33" s="67"/>
      <c r="X33" s="67"/>
      <c r="Y33" s="67"/>
      <c r="Z33" s="67"/>
    </row>
    <row r="34">
      <c r="A34" s="401" t="s">
        <v>1773</v>
      </c>
      <c r="B34" s="401" t="s">
        <v>1774</v>
      </c>
      <c r="C34" s="401" t="s">
        <v>1775</v>
      </c>
      <c r="D34" s="401" t="s">
        <v>1776</v>
      </c>
      <c r="E34" s="401" t="s">
        <v>2</v>
      </c>
      <c r="F34" s="401" t="s">
        <v>1728</v>
      </c>
      <c r="G34" s="401" t="s">
        <v>1777</v>
      </c>
      <c r="H34" s="401" t="s">
        <v>1778</v>
      </c>
      <c r="I34" s="401" t="s">
        <v>1779</v>
      </c>
      <c r="J34" s="401" t="s">
        <v>1780</v>
      </c>
      <c r="K34" s="401" t="s">
        <v>1781</v>
      </c>
      <c r="L34" s="402" t="s">
        <v>1782</v>
      </c>
      <c r="M34" s="403" t="s">
        <v>1783</v>
      </c>
      <c r="N34" s="67"/>
      <c r="O34" s="67"/>
      <c r="P34" s="67"/>
      <c r="Q34" s="67"/>
      <c r="R34" s="67"/>
      <c r="S34" s="67"/>
      <c r="T34" s="67"/>
      <c r="U34" s="67"/>
      <c r="V34" s="67"/>
      <c r="W34" s="67"/>
      <c r="X34" s="67"/>
      <c r="Y34" s="67"/>
      <c r="Z34" s="67"/>
    </row>
    <row r="35">
      <c r="A35" s="404" t="s">
        <v>1813</v>
      </c>
      <c r="B35" s="312" t="s">
        <v>266</v>
      </c>
      <c r="C35" s="312" t="s">
        <v>1791</v>
      </c>
      <c r="D35" s="312" t="s">
        <v>1814</v>
      </c>
      <c r="E35" s="312" t="s">
        <v>1815</v>
      </c>
      <c r="F35" s="312" t="s">
        <v>39</v>
      </c>
      <c r="G35" s="312">
        <v>5.0</v>
      </c>
      <c r="H35" s="312">
        <v>5.0</v>
      </c>
      <c r="I35" s="312">
        <v>5.0</v>
      </c>
      <c r="J35" s="312">
        <v>5.0</v>
      </c>
      <c r="K35" s="312">
        <v>5.0</v>
      </c>
      <c r="L35" s="409">
        <v>195.0</v>
      </c>
      <c r="M35" s="409">
        <v>30.0</v>
      </c>
      <c r="N35" s="67"/>
      <c r="O35" s="67"/>
      <c r="P35" s="67"/>
      <c r="Q35" s="67"/>
      <c r="R35" s="67"/>
      <c r="S35" s="67"/>
      <c r="T35" s="67"/>
      <c r="U35" s="67"/>
      <c r="V35" s="67"/>
      <c r="W35" s="67"/>
      <c r="X35" s="67"/>
      <c r="Y35" s="67"/>
      <c r="Z35" s="67"/>
    </row>
    <row r="36">
      <c r="A36" s="405"/>
      <c r="B36" s="312" t="s">
        <v>1806</v>
      </c>
      <c r="C36" s="312" t="s">
        <v>1791</v>
      </c>
      <c r="D36" s="312" t="s">
        <v>1814</v>
      </c>
      <c r="E36" s="312" t="s">
        <v>1815</v>
      </c>
      <c r="F36" s="312" t="s">
        <v>39</v>
      </c>
      <c r="G36" s="312">
        <v>5.0</v>
      </c>
      <c r="H36" s="312">
        <v>5.0</v>
      </c>
      <c r="I36" s="312">
        <v>5.0</v>
      </c>
      <c r="J36" s="312">
        <v>5.0</v>
      </c>
      <c r="K36" s="312">
        <v>5.0</v>
      </c>
      <c r="L36" s="405"/>
      <c r="M36" s="405"/>
      <c r="N36" s="67"/>
      <c r="O36" s="67"/>
      <c r="P36" s="67"/>
      <c r="Q36" s="67"/>
      <c r="R36" s="67"/>
      <c r="S36" s="67"/>
      <c r="T36" s="67"/>
      <c r="U36" s="67"/>
      <c r="V36" s="67"/>
      <c r="W36" s="67"/>
      <c r="X36" s="67"/>
      <c r="Y36" s="67"/>
      <c r="Z36" s="67"/>
    </row>
    <row r="37">
      <c r="A37" s="405"/>
      <c r="B37" s="312" t="s">
        <v>1816</v>
      </c>
      <c r="C37" s="312" t="s">
        <v>1785</v>
      </c>
      <c r="D37" s="312" t="s">
        <v>1789</v>
      </c>
      <c r="E37" s="312" t="s">
        <v>1817</v>
      </c>
      <c r="F37" s="312" t="s">
        <v>39</v>
      </c>
      <c r="G37" s="312">
        <v>20.0</v>
      </c>
      <c r="H37" s="312">
        <v>20.0</v>
      </c>
      <c r="I37" s="312">
        <v>20.0</v>
      </c>
      <c r="J37" s="312">
        <v>20.0</v>
      </c>
      <c r="K37" s="312">
        <v>20.0</v>
      </c>
      <c r="L37" s="405"/>
      <c r="M37" s="405"/>
      <c r="N37" s="67"/>
      <c r="O37" s="67"/>
      <c r="P37" s="67"/>
      <c r="Q37" s="67"/>
      <c r="R37" s="67"/>
      <c r="S37" s="67"/>
      <c r="T37" s="67"/>
      <c r="U37" s="67"/>
      <c r="V37" s="67"/>
      <c r="W37" s="67"/>
      <c r="X37" s="67"/>
      <c r="Y37" s="67"/>
      <c r="Z37" s="67"/>
    </row>
    <row r="38">
      <c r="A38" s="405"/>
      <c r="B38" s="312" t="s">
        <v>1818</v>
      </c>
      <c r="C38" s="312" t="s">
        <v>1785</v>
      </c>
      <c r="D38" s="312" t="s">
        <v>1819</v>
      </c>
      <c r="E38" s="312" t="s">
        <v>1820</v>
      </c>
      <c r="F38" s="312" t="s">
        <v>39</v>
      </c>
      <c r="G38" s="312">
        <v>2.0</v>
      </c>
      <c r="H38" s="312">
        <v>2.0</v>
      </c>
      <c r="I38" s="312">
        <v>2.0</v>
      </c>
      <c r="J38" s="312">
        <v>2.0</v>
      </c>
      <c r="K38" s="312">
        <v>2.0</v>
      </c>
      <c r="L38" s="405"/>
      <c r="M38" s="405"/>
      <c r="N38" s="67"/>
      <c r="O38" s="67"/>
      <c r="P38" s="67"/>
      <c r="Q38" s="67"/>
      <c r="R38" s="67"/>
      <c r="S38" s="67"/>
      <c r="T38" s="67"/>
      <c r="U38" s="67"/>
      <c r="V38" s="67"/>
      <c r="W38" s="67"/>
      <c r="X38" s="67"/>
      <c r="Y38" s="67"/>
      <c r="Z38" s="67"/>
    </row>
    <row r="39">
      <c r="A39" s="405"/>
      <c r="B39" s="156" t="s">
        <v>1804</v>
      </c>
      <c r="C39" s="312" t="s">
        <v>1785</v>
      </c>
      <c r="D39" s="312" t="s">
        <v>1747</v>
      </c>
      <c r="E39" s="301" t="s">
        <v>1805</v>
      </c>
      <c r="F39" s="312" t="s">
        <v>39</v>
      </c>
      <c r="G39" s="312">
        <v>5.0</v>
      </c>
      <c r="H39" s="312">
        <v>5.0</v>
      </c>
      <c r="I39" s="312">
        <v>5.0</v>
      </c>
      <c r="J39" s="312">
        <v>5.0</v>
      </c>
      <c r="K39" s="312">
        <v>5.0</v>
      </c>
      <c r="L39" s="405"/>
      <c r="M39" s="405"/>
      <c r="N39" s="67"/>
      <c r="O39" s="67"/>
      <c r="P39" s="67"/>
      <c r="Q39" s="67"/>
      <c r="R39" s="67"/>
      <c r="S39" s="67"/>
      <c r="T39" s="67"/>
      <c r="U39" s="67"/>
      <c r="V39" s="67"/>
      <c r="W39" s="67"/>
      <c r="X39" s="67"/>
      <c r="Y39" s="67"/>
      <c r="Z39" s="67"/>
    </row>
    <row r="40">
      <c r="A40" s="405"/>
      <c r="B40" s="312" t="s">
        <v>1821</v>
      </c>
      <c r="C40" s="312" t="s">
        <v>1785</v>
      </c>
      <c r="D40" s="312" t="s">
        <v>1814</v>
      </c>
      <c r="E40" s="312" t="s">
        <v>1822</v>
      </c>
      <c r="F40" s="312" t="s">
        <v>39</v>
      </c>
      <c r="G40" s="312">
        <v>2.0</v>
      </c>
      <c r="H40" s="312">
        <v>2.0</v>
      </c>
      <c r="I40" s="312">
        <v>2.0</v>
      </c>
      <c r="J40" s="312">
        <v>2.0</v>
      </c>
      <c r="K40" s="312">
        <v>2.0</v>
      </c>
      <c r="L40" s="405"/>
      <c r="M40" s="405"/>
      <c r="N40" s="67"/>
      <c r="O40" s="67"/>
      <c r="P40" s="67"/>
      <c r="Q40" s="67"/>
      <c r="R40" s="67"/>
      <c r="S40" s="67"/>
      <c r="T40" s="67"/>
      <c r="U40" s="67"/>
      <c r="V40" s="67"/>
      <c r="W40" s="67"/>
      <c r="X40" s="67"/>
      <c r="Y40" s="67"/>
      <c r="Z40" s="67"/>
    </row>
    <row r="41">
      <c r="A41" s="406"/>
      <c r="B41" s="312" t="s">
        <v>1823</v>
      </c>
      <c r="C41" s="312" t="s">
        <v>1791</v>
      </c>
      <c r="D41" s="312" t="s">
        <v>1814</v>
      </c>
      <c r="E41" s="312" t="s">
        <v>1824</v>
      </c>
      <c r="F41" s="312" t="s">
        <v>39</v>
      </c>
      <c r="G41" s="312">
        <v>0.0</v>
      </c>
      <c r="H41" s="312">
        <v>0.0</v>
      </c>
      <c r="I41" s="312">
        <v>0.0</v>
      </c>
      <c r="J41" s="312">
        <v>0.0</v>
      </c>
      <c r="K41" s="312">
        <v>0.0</v>
      </c>
      <c r="L41" s="405"/>
      <c r="M41" s="405"/>
      <c r="N41" s="67"/>
      <c r="O41" s="67"/>
      <c r="P41" s="67"/>
      <c r="Q41" s="67"/>
      <c r="R41" s="67"/>
      <c r="S41" s="67"/>
      <c r="T41" s="67"/>
      <c r="U41" s="67"/>
      <c r="V41" s="67"/>
      <c r="W41" s="67"/>
      <c r="X41" s="67"/>
      <c r="Y41" s="67"/>
      <c r="Z41" s="67"/>
    </row>
    <row r="42">
      <c r="A42" s="67"/>
      <c r="B42" s="67"/>
      <c r="C42" s="67"/>
      <c r="D42" s="407"/>
      <c r="E42" s="407"/>
      <c r="F42" s="402" t="s">
        <v>1795</v>
      </c>
      <c r="G42" s="171">
        <v>39.0</v>
      </c>
      <c r="H42" s="171">
        <v>39.0</v>
      </c>
      <c r="I42" s="171">
        <v>39.0</v>
      </c>
      <c r="J42" s="171">
        <v>39.0</v>
      </c>
      <c r="K42" s="171">
        <v>39.0</v>
      </c>
      <c r="L42" s="405"/>
      <c r="M42" s="405"/>
      <c r="N42" s="67"/>
      <c r="O42" s="67"/>
      <c r="P42" s="67"/>
      <c r="Q42" s="67"/>
      <c r="R42" s="67"/>
      <c r="S42" s="67"/>
      <c r="T42" s="67"/>
      <c r="U42" s="67"/>
      <c r="V42" s="67"/>
      <c r="W42" s="67"/>
      <c r="X42" s="67"/>
      <c r="Y42" s="67"/>
      <c r="Z42" s="67"/>
    </row>
    <row r="43">
      <c r="A43" s="67"/>
      <c r="B43" s="67"/>
      <c r="C43" s="67"/>
      <c r="D43" s="407"/>
      <c r="E43" s="407"/>
      <c r="F43" s="403" t="s">
        <v>1796</v>
      </c>
      <c r="G43" s="171">
        <v>6.0</v>
      </c>
      <c r="H43" s="171">
        <v>6.0</v>
      </c>
      <c r="I43" s="171">
        <v>6.0</v>
      </c>
      <c r="J43" s="171">
        <v>6.0</v>
      </c>
      <c r="K43" s="171">
        <v>6.0</v>
      </c>
      <c r="L43" s="406"/>
      <c r="M43" s="406"/>
      <c r="N43" s="67"/>
      <c r="O43" s="67"/>
      <c r="P43" s="67"/>
      <c r="Q43" s="67"/>
      <c r="R43" s="67"/>
      <c r="S43" s="67"/>
      <c r="T43" s="67"/>
      <c r="U43" s="67"/>
      <c r="V43" s="67"/>
      <c r="W43" s="67"/>
      <c r="X43" s="67"/>
      <c r="Y43" s="67"/>
      <c r="Z43" s="67"/>
    </row>
    <row r="44">
      <c r="A44" s="67"/>
      <c r="B44" s="67"/>
      <c r="C44" s="67"/>
      <c r="D44" s="407"/>
      <c r="E44" s="40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407"/>
      <c r="E45" s="407"/>
      <c r="F45" s="67"/>
      <c r="G45" s="67"/>
      <c r="H45" s="67"/>
      <c r="I45" s="67"/>
      <c r="J45" s="67"/>
      <c r="K45" s="67"/>
      <c r="L45" s="67"/>
      <c r="M45" s="67"/>
      <c r="N45" s="67"/>
      <c r="O45" s="67"/>
      <c r="P45" s="67"/>
      <c r="Q45" s="67"/>
      <c r="R45" s="67"/>
      <c r="S45" s="67"/>
      <c r="T45" s="67"/>
      <c r="U45" s="67"/>
      <c r="V45" s="67"/>
      <c r="W45" s="67"/>
      <c r="X45" s="67"/>
      <c r="Y45" s="67"/>
      <c r="Z45" s="67"/>
    </row>
    <row r="46">
      <c r="A46" s="401" t="s">
        <v>1773</v>
      </c>
      <c r="B46" s="401" t="s">
        <v>1774</v>
      </c>
      <c r="C46" s="401" t="s">
        <v>1775</v>
      </c>
      <c r="D46" s="401" t="s">
        <v>1776</v>
      </c>
      <c r="E46" s="401" t="s">
        <v>2</v>
      </c>
      <c r="F46" s="401" t="s">
        <v>1728</v>
      </c>
      <c r="G46" s="401" t="s">
        <v>1777</v>
      </c>
      <c r="H46" s="401" t="s">
        <v>1778</v>
      </c>
      <c r="I46" s="401" t="s">
        <v>1779</v>
      </c>
      <c r="J46" s="401" t="s">
        <v>1780</v>
      </c>
      <c r="K46" s="401" t="s">
        <v>1781</v>
      </c>
      <c r="L46" s="402" t="s">
        <v>1782</v>
      </c>
      <c r="M46" s="403" t="s">
        <v>1783</v>
      </c>
      <c r="N46" s="67"/>
      <c r="O46" s="67"/>
      <c r="P46" s="67"/>
      <c r="Q46" s="67"/>
      <c r="R46" s="67"/>
      <c r="S46" s="67"/>
      <c r="T46" s="67"/>
      <c r="U46" s="67"/>
      <c r="V46" s="67"/>
      <c r="W46" s="67"/>
      <c r="X46" s="67"/>
      <c r="Y46" s="67"/>
      <c r="Z46" s="67"/>
    </row>
    <row r="47">
      <c r="A47" s="409" t="s">
        <v>115</v>
      </c>
      <c r="B47" s="409" t="s">
        <v>1825</v>
      </c>
      <c r="C47" s="404" t="s">
        <v>1785</v>
      </c>
      <c r="D47" s="409" t="s">
        <v>1789</v>
      </c>
      <c r="E47" s="409" t="s">
        <v>1826</v>
      </c>
      <c r="F47" s="404" t="s">
        <v>39</v>
      </c>
      <c r="G47" s="409">
        <v>10.0</v>
      </c>
      <c r="H47" s="409">
        <v>10.0</v>
      </c>
      <c r="I47" s="409">
        <v>10.0</v>
      </c>
      <c r="J47" s="404">
        <v>0.0</v>
      </c>
      <c r="K47" s="404">
        <v>0.0</v>
      </c>
      <c r="L47" s="404">
        <f>G56+H56+I56+J56+K56</f>
        <v>207</v>
      </c>
      <c r="M47" s="404">
        <f>G57+H57+I57+J57+K57</f>
        <v>18</v>
      </c>
      <c r="N47" s="67"/>
      <c r="O47" s="67"/>
      <c r="P47" s="67"/>
      <c r="Q47" s="67"/>
      <c r="R47" s="67"/>
      <c r="S47" s="67"/>
      <c r="T47" s="67"/>
      <c r="U47" s="67"/>
      <c r="V47" s="67"/>
      <c r="W47" s="67"/>
      <c r="X47" s="67"/>
      <c r="Y47" s="67"/>
      <c r="Z47" s="67"/>
    </row>
    <row r="48">
      <c r="A48" s="405"/>
      <c r="B48" s="406"/>
      <c r="C48" s="406"/>
      <c r="D48" s="406"/>
      <c r="E48" s="406"/>
      <c r="F48" s="406"/>
      <c r="G48" s="406"/>
      <c r="H48" s="406"/>
      <c r="I48" s="406"/>
      <c r="J48" s="406"/>
      <c r="K48" s="406"/>
      <c r="L48" s="405"/>
      <c r="M48" s="405"/>
      <c r="N48" s="67"/>
      <c r="O48" s="67"/>
      <c r="P48" s="67"/>
      <c r="Q48" s="67"/>
      <c r="R48" s="67"/>
      <c r="S48" s="67"/>
      <c r="T48" s="67"/>
      <c r="U48" s="67"/>
      <c r="V48" s="67"/>
      <c r="W48" s="67"/>
      <c r="X48" s="67"/>
      <c r="Y48" s="67"/>
      <c r="Z48" s="67"/>
    </row>
    <row r="49">
      <c r="A49" s="405"/>
      <c r="B49" s="312" t="s">
        <v>1827</v>
      </c>
      <c r="C49" s="312" t="s">
        <v>1785</v>
      </c>
      <c r="D49" s="312" t="s">
        <v>1828</v>
      </c>
      <c r="E49" s="312" t="s">
        <v>1829</v>
      </c>
      <c r="F49" s="312" t="s">
        <v>39</v>
      </c>
      <c r="G49" s="312">
        <v>35.0</v>
      </c>
      <c r="H49" s="312">
        <v>5.0</v>
      </c>
      <c r="I49" s="330">
        <v>0.0</v>
      </c>
      <c r="J49" s="330">
        <v>0.0</v>
      </c>
      <c r="K49" s="330">
        <v>0.0</v>
      </c>
      <c r="L49" s="405"/>
      <c r="M49" s="405"/>
      <c r="N49" s="67"/>
      <c r="O49" s="67"/>
      <c r="P49" s="67"/>
      <c r="Q49" s="67"/>
      <c r="R49" s="67"/>
      <c r="S49" s="67"/>
      <c r="T49" s="67"/>
      <c r="U49" s="67"/>
      <c r="V49" s="67"/>
      <c r="W49" s="67"/>
      <c r="X49" s="67"/>
      <c r="Y49" s="67"/>
      <c r="Z49" s="67"/>
    </row>
    <row r="50">
      <c r="A50" s="405"/>
      <c r="B50" s="312" t="s">
        <v>1827</v>
      </c>
      <c r="C50" s="330" t="s">
        <v>1785</v>
      </c>
      <c r="D50" s="312" t="s">
        <v>1828</v>
      </c>
      <c r="E50" s="312" t="s">
        <v>1830</v>
      </c>
      <c r="F50" s="330" t="s">
        <v>1801</v>
      </c>
      <c r="G50" s="337">
        <v>0.0</v>
      </c>
      <c r="H50" s="337">
        <v>25.0</v>
      </c>
      <c r="I50" s="337">
        <v>5.0</v>
      </c>
      <c r="J50" s="337">
        <v>0.0</v>
      </c>
      <c r="K50" s="337">
        <v>0.0</v>
      </c>
      <c r="L50" s="405"/>
      <c r="M50" s="405"/>
      <c r="N50" s="67"/>
      <c r="O50" s="67"/>
      <c r="P50" s="67"/>
      <c r="Q50" s="67"/>
      <c r="R50" s="67"/>
      <c r="S50" s="67"/>
      <c r="T50" s="67"/>
      <c r="U50" s="67"/>
      <c r="V50" s="67"/>
      <c r="W50" s="67"/>
      <c r="X50" s="67"/>
      <c r="Y50" s="67"/>
      <c r="Z50" s="67"/>
    </row>
    <row r="51">
      <c r="A51" s="405"/>
      <c r="B51" s="312" t="s">
        <v>1831</v>
      </c>
      <c r="C51" s="330" t="s">
        <v>1785</v>
      </c>
      <c r="D51" s="312" t="s">
        <v>1828</v>
      </c>
      <c r="E51" s="312" t="s">
        <v>1832</v>
      </c>
      <c r="F51" s="330" t="s">
        <v>1801</v>
      </c>
      <c r="G51" s="337">
        <v>0.0</v>
      </c>
      <c r="H51" s="337">
        <v>0.0</v>
      </c>
      <c r="I51" s="337">
        <v>25.0</v>
      </c>
      <c r="J51" s="337">
        <v>5.0</v>
      </c>
      <c r="K51" s="337">
        <v>0.0</v>
      </c>
      <c r="L51" s="406"/>
      <c r="M51" s="406"/>
      <c r="N51" s="67"/>
      <c r="O51" s="67"/>
      <c r="P51" s="67"/>
      <c r="Q51" s="67"/>
      <c r="R51" s="67"/>
      <c r="S51" s="67"/>
      <c r="T51" s="67"/>
      <c r="U51" s="67"/>
      <c r="V51" s="67"/>
      <c r="W51" s="67"/>
      <c r="X51" s="67"/>
      <c r="Y51" s="67"/>
      <c r="Z51" s="67"/>
    </row>
    <row r="52">
      <c r="A52" s="405"/>
      <c r="B52" s="312" t="s">
        <v>1833</v>
      </c>
      <c r="C52" s="312" t="s">
        <v>1791</v>
      </c>
      <c r="D52" s="312" t="s">
        <v>1828</v>
      </c>
      <c r="E52" s="312" t="s">
        <v>1833</v>
      </c>
      <c r="F52" s="312" t="s">
        <v>39</v>
      </c>
      <c r="G52" s="312">
        <v>2.0</v>
      </c>
      <c r="H52" s="312">
        <v>2.0</v>
      </c>
      <c r="I52" s="312">
        <v>2.0</v>
      </c>
      <c r="J52" s="312">
        <v>2.0</v>
      </c>
      <c r="K52" s="312">
        <v>2.0</v>
      </c>
      <c r="L52" s="330"/>
      <c r="M52" s="330"/>
      <c r="N52" s="67"/>
      <c r="O52" s="67"/>
      <c r="P52" s="67"/>
      <c r="Q52" s="67"/>
      <c r="R52" s="67"/>
      <c r="S52" s="67"/>
      <c r="T52" s="67"/>
      <c r="U52" s="67"/>
      <c r="V52" s="67"/>
      <c r="W52" s="67"/>
      <c r="X52" s="67"/>
      <c r="Y52" s="67"/>
      <c r="Z52" s="67"/>
    </row>
    <row r="53">
      <c r="A53" s="405"/>
      <c r="B53" s="312" t="s">
        <v>1834</v>
      </c>
      <c r="C53" s="330" t="s">
        <v>1785</v>
      </c>
      <c r="D53" s="312" t="s">
        <v>1828</v>
      </c>
      <c r="E53" s="312" t="s">
        <v>1835</v>
      </c>
      <c r="F53" s="330" t="s">
        <v>1801</v>
      </c>
      <c r="G53" s="337">
        <v>0.0</v>
      </c>
      <c r="H53" s="337">
        <v>0.0</v>
      </c>
      <c r="I53" s="337">
        <v>2.0</v>
      </c>
      <c r="J53" s="337">
        <v>20.0</v>
      </c>
      <c r="K53" s="337">
        <v>0.0</v>
      </c>
      <c r="L53" s="410"/>
      <c r="M53" s="330"/>
      <c r="N53" s="67"/>
      <c r="O53" s="67"/>
      <c r="P53" s="67"/>
      <c r="Q53" s="67"/>
      <c r="R53" s="67"/>
      <c r="S53" s="67"/>
      <c r="T53" s="67"/>
      <c r="U53" s="67"/>
      <c r="V53" s="67"/>
      <c r="W53" s="67"/>
      <c r="X53" s="67"/>
      <c r="Y53" s="67"/>
      <c r="Z53" s="67"/>
    </row>
    <row r="54">
      <c r="A54" s="405"/>
      <c r="B54" s="312" t="s">
        <v>1827</v>
      </c>
      <c r="C54" s="330" t="s">
        <v>1785</v>
      </c>
      <c r="D54" s="312" t="s">
        <v>1828</v>
      </c>
      <c r="E54" s="76" t="s">
        <v>1836</v>
      </c>
      <c r="F54" s="330" t="s">
        <v>1801</v>
      </c>
      <c r="G54" s="171">
        <v>0.0</v>
      </c>
      <c r="H54" s="171">
        <v>0.0</v>
      </c>
      <c r="I54" s="171">
        <v>0.0</v>
      </c>
      <c r="J54" s="312">
        <v>15.0</v>
      </c>
      <c r="K54" s="171">
        <v>10.0</v>
      </c>
      <c r="L54" s="330"/>
      <c r="M54" s="330"/>
      <c r="N54" s="67"/>
      <c r="O54" s="67"/>
      <c r="P54" s="67"/>
      <c r="Q54" s="67"/>
      <c r="R54" s="67"/>
      <c r="S54" s="67"/>
      <c r="T54" s="67"/>
      <c r="U54" s="67"/>
      <c r="V54" s="67"/>
      <c r="W54" s="67"/>
      <c r="X54" s="67"/>
      <c r="Y54" s="67"/>
      <c r="Z54" s="67"/>
    </row>
    <row r="55">
      <c r="A55" s="406"/>
      <c r="B55" s="312" t="s">
        <v>1827</v>
      </c>
      <c r="C55" s="330" t="s">
        <v>1785</v>
      </c>
      <c r="D55" s="312" t="s">
        <v>1828</v>
      </c>
      <c r="E55" s="76" t="s">
        <v>1837</v>
      </c>
      <c r="F55" s="330" t="s">
        <v>1801</v>
      </c>
      <c r="G55" s="171">
        <v>0.0</v>
      </c>
      <c r="H55" s="171">
        <v>0.0</v>
      </c>
      <c r="I55" s="171">
        <v>0.0</v>
      </c>
      <c r="J55" s="171">
        <v>0.0</v>
      </c>
      <c r="K55" s="171">
        <v>20.0</v>
      </c>
      <c r="L55" s="330"/>
      <c r="M55" s="330"/>
      <c r="N55" s="67"/>
      <c r="O55" s="67"/>
      <c r="P55" s="67"/>
      <c r="Q55" s="67"/>
      <c r="R55" s="67"/>
      <c r="S55" s="67"/>
      <c r="T55" s="67"/>
      <c r="U55" s="67"/>
      <c r="V55" s="67"/>
      <c r="W55" s="67"/>
      <c r="X55" s="67"/>
      <c r="Y55" s="67"/>
      <c r="Z55" s="67"/>
    </row>
    <row r="56">
      <c r="A56" s="330"/>
      <c r="B56" s="330"/>
      <c r="C56" s="330"/>
      <c r="D56" s="330"/>
      <c r="E56" s="330"/>
      <c r="F56" s="402" t="s">
        <v>1795</v>
      </c>
      <c r="G56" s="171">
        <v>47.0</v>
      </c>
      <c r="H56" s="171">
        <v>42.0</v>
      </c>
      <c r="I56" s="171">
        <v>44.0</v>
      </c>
      <c r="J56" s="171">
        <v>42.0</v>
      </c>
      <c r="K56" s="171">
        <v>32.0</v>
      </c>
      <c r="L56" s="330"/>
      <c r="M56" s="330"/>
      <c r="N56" s="67"/>
      <c r="O56" s="67"/>
      <c r="P56" s="67"/>
      <c r="Q56" s="67"/>
      <c r="R56" s="67"/>
      <c r="S56" s="67"/>
      <c r="T56" s="67"/>
      <c r="U56" s="67"/>
      <c r="V56" s="67"/>
      <c r="W56" s="67"/>
      <c r="X56" s="67"/>
      <c r="Y56" s="67"/>
      <c r="Z56" s="67"/>
    </row>
    <row r="57">
      <c r="A57" s="330"/>
      <c r="B57" s="330"/>
      <c r="C57" s="330"/>
      <c r="D57" s="330"/>
      <c r="E57" s="330"/>
      <c r="F57" s="403" t="s">
        <v>1796</v>
      </c>
      <c r="G57" s="316">
        <f t="shared" ref="G57:K57" si="8">45-G56</f>
        <v>-2</v>
      </c>
      <c r="H57" s="316">
        <f t="shared" si="8"/>
        <v>3</v>
      </c>
      <c r="I57" s="316">
        <f t="shared" si="8"/>
        <v>1</v>
      </c>
      <c r="J57" s="316">
        <f t="shared" si="8"/>
        <v>3</v>
      </c>
      <c r="K57" s="316">
        <f t="shared" si="8"/>
        <v>13</v>
      </c>
      <c r="L57" s="330"/>
      <c r="M57" s="330"/>
      <c r="N57" s="67"/>
      <c r="O57" s="67"/>
      <c r="P57" s="67"/>
      <c r="Q57" s="67"/>
      <c r="R57" s="67"/>
      <c r="S57" s="67"/>
      <c r="T57" s="67"/>
      <c r="U57" s="67"/>
      <c r="V57" s="67"/>
      <c r="W57" s="67"/>
      <c r="X57" s="67"/>
      <c r="Y57" s="67"/>
      <c r="Z57" s="67"/>
    </row>
    <row r="58">
      <c r="A58" s="67"/>
      <c r="B58" s="67"/>
      <c r="C58" s="67"/>
      <c r="D58" s="407"/>
      <c r="E58" s="40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407"/>
      <c r="E59" s="40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407"/>
      <c r="E60" s="40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407"/>
      <c r="E61" s="40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407"/>
      <c r="E62" s="40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407"/>
      <c r="E63" s="40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407"/>
      <c r="E64" s="40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407"/>
      <c r="E65" s="40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407"/>
      <c r="E66" s="40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407"/>
      <c r="E67" s="40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407"/>
      <c r="E68" s="40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407"/>
      <c r="E69" s="40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407"/>
      <c r="E70" s="40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407"/>
      <c r="E71" s="40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407"/>
      <c r="E72" s="40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407"/>
      <c r="E73" s="40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407"/>
      <c r="E74" s="40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407"/>
      <c r="E75" s="40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407"/>
      <c r="E76" s="40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407"/>
      <c r="E77" s="40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407"/>
      <c r="E78" s="40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407"/>
      <c r="E79" s="40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407"/>
      <c r="E80" s="40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407"/>
      <c r="E81" s="40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407"/>
      <c r="E82" s="40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407"/>
      <c r="E83" s="40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407"/>
      <c r="E84" s="40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407"/>
      <c r="E85" s="40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407"/>
      <c r="E86" s="40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407"/>
      <c r="E87" s="40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407"/>
      <c r="E88" s="40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407"/>
      <c r="E89" s="40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407"/>
      <c r="E90" s="40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407"/>
      <c r="E91" s="40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407"/>
      <c r="E92" s="40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407"/>
      <c r="E93" s="40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407"/>
      <c r="E94" s="40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407"/>
      <c r="E95" s="40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407"/>
      <c r="E96" s="40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407"/>
      <c r="E97" s="40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407"/>
      <c r="E98" s="40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407"/>
      <c r="E99" s="40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407"/>
      <c r="E100" s="40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407"/>
      <c r="E101" s="40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407"/>
      <c r="E102" s="40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407"/>
      <c r="E103" s="40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407"/>
      <c r="E104" s="40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407"/>
      <c r="E105" s="40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407"/>
      <c r="E106" s="40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407"/>
      <c r="E107" s="40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407"/>
      <c r="E108" s="40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407"/>
      <c r="E109" s="40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407"/>
      <c r="E110" s="40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407"/>
      <c r="E111" s="40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407"/>
      <c r="E112" s="40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407"/>
      <c r="E113" s="40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407"/>
      <c r="E114" s="40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407"/>
      <c r="E115" s="40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407"/>
      <c r="E116" s="40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407"/>
      <c r="E117" s="40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407"/>
      <c r="E118" s="40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407"/>
      <c r="E119" s="40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407"/>
      <c r="E120" s="40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407"/>
      <c r="E121" s="40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407"/>
      <c r="E122" s="40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407"/>
      <c r="E123" s="40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407"/>
      <c r="E124" s="40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407"/>
      <c r="E125" s="40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407"/>
      <c r="E126" s="40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407"/>
      <c r="E127" s="40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407"/>
      <c r="E128" s="40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407"/>
      <c r="E129" s="40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407"/>
      <c r="E130" s="40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407"/>
      <c r="E131" s="40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407"/>
      <c r="E132" s="40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407"/>
      <c r="E133" s="40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407"/>
      <c r="E134" s="40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407"/>
      <c r="E135" s="40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407"/>
      <c r="E136" s="40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407"/>
      <c r="E137" s="40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407"/>
      <c r="E138" s="40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407"/>
      <c r="E139" s="40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407"/>
      <c r="E140" s="40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407"/>
      <c r="E141" s="40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407"/>
      <c r="E142" s="40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407"/>
      <c r="E143" s="40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407"/>
      <c r="E144" s="40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407"/>
      <c r="E145" s="40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407"/>
      <c r="E146" s="40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407"/>
      <c r="E147" s="40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407"/>
      <c r="E148" s="40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407"/>
      <c r="E149" s="40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407"/>
      <c r="E150" s="40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407"/>
      <c r="E151" s="40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407"/>
      <c r="E152" s="40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407"/>
      <c r="E153" s="40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407"/>
      <c r="E154" s="40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407"/>
      <c r="E155" s="40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407"/>
      <c r="E156" s="40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407"/>
      <c r="E157" s="40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407"/>
      <c r="E158" s="40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407"/>
      <c r="E159" s="40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407"/>
      <c r="E160" s="40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407"/>
      <c r="E161" s="40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407"/>
      <c r="E162" s="40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407"/>
      <c r="E163" s="40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407"/>
      <c r="E164" s="40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407"/>
      <c r="E165" s="40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407"/>
      <c r="E166" s="40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407"/>
      <c r="E167" s="40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407"/>
      <c r="E168" s="40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407"/>
      <c r="E169" s="40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407"/>
      <c r="E170" s="40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407"/>
      <c r="E171" s="40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407"/>
      <c r="E172" s="40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407"/>
      <c r="E173" s="40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407"/>
      <c r="E174" s="40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407"/>
      <c r="E175" s="40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407"/>
      <c r="E176" s="40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407"/>
      <c r="E177" s="40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407"/>
      <c r="E178" s="40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407"/>
      <c r="E179" s="40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407"/>
      <c r="E180" s="40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407"/>
      <c r="E181" s="40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407"/>
      <c r="E182" s="40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407"/>
      <c r="E183" s="40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407"/>
      <c r="E184" s="40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407"/>
      <c r="E185" s="40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407"/>
      <c r="E186" s="40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407"/>
      <c r="E187" s="40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407"/>
      <c r="E188" s="40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407"/>
      <c r="E189" s="40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407"/>
      <c r="E190" s="40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407"/>
      <c r="E191" s="40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407"/>
      <c r="E192" s="40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407"/>
      <c r="E193" s="40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407"/>
      <c r="E194" s="40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407"/>
      <c r="E195" s="40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407"/>
      <c r="E196" s="40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407"/>
      <c r="E197" s="40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407"/>
      <c r="E198" s="40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407"/>
      <c r="E199" s="40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407"/>
      <c r="E200" s="40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407"/>
      <c r="E201" s="40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407"/>
      <c r="E202" s="40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407"/>
      <c r="E203" s="40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407"/>
      <c r="E204" s="40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407"/>
      <c r="E205" s="40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407"/>
      <c r="E206" s="40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407"/>
      <c r="E207" s="40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407"/>
      <c r="E208" s="40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407"/>
      <c r="E209" s="40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407"/>
      <c r="E210" s="40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407"/>
      <c r="E211" s="40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407"/>
      <c r="E212" s="40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407"/>
      <c r="E213" s="40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407"/>
      <c r="E214" s="40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407"/>
      <c r="E215" s="40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407"/>
      <c r="E216" s="40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407"/>
      <c r="E217" s="40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407"/>
      <c r="E218" s="40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407"/>
      <c r="E219" s="40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407"/>
      <c r="E220" s="40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407"/>
      <c r="E221" s="40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407"/>
      <c r="E222" s="40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407"/>
      <c r="E223" s="40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407"/>
      <c r="E224" s="40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407"/>
      <c r="E225" s="40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407"/>
      <c r="E226" s="40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407"/>
      <c r="E227" s="40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407"/>
      <c r="E228" s="40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407"/>
      <c r="E229" s="40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407"/>
      <c r="E230" s="40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407"/>
      <c r="E231" s="40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407"/>
      <c r="E232" s="40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407"/>
      <c r="E233" s="40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407"/>
      <c r="E234" s="40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407"/>
      <c r="E235" s="40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407"/>
      <c r="E236" s="40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407"/>
      <c r="E237" s="40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407"/>
      <c r="E238" s="40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407"/>
      <c r="E239" s="40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407"/>
      <c r="E240" s="40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407"/>
      <c r="E241" s="40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407"/>
      <c r="E242" s="40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407"/>
      <c r="E243" s="40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407"/>
      <c r="E244" s="40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407"/>
      <c r="E245" s="40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407"/>
      <c r="E246" s="40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407"/>
      <c r="E247" s="40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407"/>
      <c r="E248" s="40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407"/>
      <c r="E249" s="40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407"/>
      <c r="E250" s="40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407"/>
      <c r="E251" s="40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407"/>
      <c r="E252" s="40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407"/>
      <c r="E253" s="40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407"/>
      <c r="E254" s="40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407"/>
      <c r="E255" s="40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407"/>
      <c r="E256" s="40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407"/>
      <c r="E257" s="40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407"/>
      <c r="E258" s="40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407"/>
      <c r="E259" s="40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407"/>
      <c r="E260" s="40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407"/>
      <c r="E261" s="40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407"/>
      <c r="E262" s="40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407"/>
      <c r="E263" s="40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407"/>
      <c r="E264" s="40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407"/>
      <c r="E265" s="40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407"/>
      <c r="E266" s="40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407"/>
      <c r="E267" s="40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407"/>
      <c r="E268" s="40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407"/>
      <c r="E269" s="40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407"/>
      <c r="E270" s="40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407"/>
      <c r="E271" s="40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407"/>
      <c r="E272" s="40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407"/>
      <c r="E273" s="40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407"/>
      <c r="E274" s="40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407"/>
      <c r="E275" s="40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407"/>
      <c r="E276" s="40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407"/>
      <c r="E277" s="40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407"/>
      <c r="E278" s="40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407"/>
      <c r="E279" s="40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407"/>
      <c r="E280" s="40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407"/>
      <c r="E281" s="40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407"/>
      <c r="E282" s="40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407"/>
      <c r="E283" s="40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407"/>
      <c r="E284" s="40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407"/>
      <c r="E285" s="40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407"/>
      <c r="E286" s="40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407"/>
      <c r="E287" s="40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407"/>
      <c r="E288" s="40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407"/>
      <c r="E289" s="40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407"/>
      <c r="E290" s="40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407"/>
      <c r="E291" s="40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407"/>
      <c r="E292" s="40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407"/>
      <c r="E293" s="40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407"/>
      <c r="E294" s="40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407"/>
      <c r="E295" s="40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407"/>
      <c r="E296" s="40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407"/>
      <c r="E297" s="40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407"/>
      <c r="E298" s="40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407"/>
      <c r="E299" s="40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407"/>
      <c r="E300" s="40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407"/>
      <c r="E301" s="40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407"/>
      <c r="E302" s="40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407"/>
      <c r="E303" s="40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407"/>
      <c r="E304" s="40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407"/>
      <c r="E305" s="40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407"/>
      <c r="E306" s="40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407"/>
      <c r="E307" s="40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407"/>
      <c r="E308" s="40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407"/>
      <c r="E309" s="40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407"/>
      <c r="E310" s="40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407"/>
      <c r="E311" s="40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407"/>
      <c r="E312" s="40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407"/>
      <c r="E313" s="40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407"/>
      <c r="E314" s="40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407"/>
      <c r="E315" s="40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407"/>
      <c r="E316" s="40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407"/>
      <c r="E317" s="40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407"/>
      <c r="E318" s="40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407"/>
      <c r="E319" s="40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407"/>
      <c r="E320" s="40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407"/>
      <c r="E321" s="40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407"/>
      <c r="E322" s="40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407"/>
      <c r="E323" s="40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407"/>
      <c r="E324" s="40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407"/>
      <c r="E325" s="40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407"/>
      <c r="E326" s="40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407"/>
      <c r="E327" s="40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407"/>
      <c r="E328" s="40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407"/>
      <c r="E329" s="40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407"/>
      <c r="E330" s="40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407"/>
      <c r="E331" s="40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407"/>
      <c r="E332" s="40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407"/>
      <c r="E333" s="40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407"/>
      <c r="E334" s="40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407"/>
      <c r="E335" s="40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407"/>
      <c r="E336" s="40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407"/>
      <c r="E337" s="40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407"/>
      <c r="E338" s="40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407"/>
      <c r="E339" s="40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407"/>
      <c r="E340" s="40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407"/>
      <c r="E341" s="40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407"/>
      <c r="E342" s="40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407"/>
      <c r="E343" s="40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407"/>
      <c r="E344" s="40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407"/>
      <c r="E345" s="40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407"/>
      <c r="E346" s="40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407"/>
      <c r="E347" s="40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407"/>
      <c r="E348" s="40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407"/>
      <c r="E349" s="40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407"/>
      <c r="E350" s="40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407"/>
      <c r="E351" s="40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407"/>
      <c r="E352" s="40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407"/>
      <c r="E353" s="40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407"/>
      <c r="E354" s="40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407"/>
      <c r="E355" s="40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407"/>
      <c r="E356" s="40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407"/>
      <c r="E357" s="40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407"/>
      <c r="E358" s="40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407"/>
      <c r="E359" s="40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407"/>
      <c r="E360" s="40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407"/>
      <c r="E361" s="40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407"/>
      <c r="E362" s="40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407"/>
      <c r="E363" s="40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407"/>
      <c r="E364" s="40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407"/>
      <c r="E365" s="40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407"/>
      <c r="E366" s="40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407"/>
      <c r="E367" s="40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407"/>
      <c r="E368" s="40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407"/>
      <c r="E369" s="40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407"/>
      <c r="E370" s="40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407"/>
      <c r="E371" s="40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407"/>
      <c r="E372" s="40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407"/>
      <c r="E373" s="40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407"/>
      <c r="E374" s="40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407"/>
      <c r="E375" s="40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407"/>
      <c r="E376" s="40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407"/>
      <c r="E377" s="40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407"/>
      <c r="E378" s="40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407"/>
      <c r="E379" s="40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407"/>
      <c r="E380" s="40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407"/>
      <c r="E381" s="40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407"/>
      <c r="E382" s="40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407"/>
      <c r="E383" s="40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407"/>
      <c r="E384" s="40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407"/>
      <c r="E385" s="40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407"/>
      <c r="E386" s="40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407"/>
      <c r="E387" s="40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407"/>
      <c r="E388" s="40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407"/>
      <c r="E389" s="40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407"/>
      <c r="E390" s="40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407"/>
      <c r="E391" s="40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407"/>
      <c r="E392" s="40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407"/>
      <c r="E393" s="40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407"/>
      <c r="E394" s="40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407"/>
      <c r="E395" s="40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407"/>
      <c r="E396" s="40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407"/>
      <c r="E397" s="40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407"/>
      <c r="E398" s="40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407"/>
      <c r="E399" s="40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407"/>
      <c r="E400" s="40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407"/>
      <c r="E401" s="40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407"/>
      <c r="E402" s="40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407"/>
      <c r="E403" s="40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407"/>
      <c r="E404" s="40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407"/>
      <c r="E405" s="40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407"/>
      <c r="E406" s="40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407"/>
      <c r="E407" s="40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407"/>
      <c r="E408" s="40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407"/>
      <c r="E409" s="40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407"/>
      <c r="E410" s="40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407"/>
      <c r="E411" s="40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407"/>
      <c r="E412" s="40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407"/>
      <c r="E413" s="40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407"/>
      <c r="E414" s="40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407"/>
      <c r="E415" s="40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407"/>
      <c r="E416" s="40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407"/>
      <c r="E417" s="40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407"/>
      <c r="E418" s="40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407"/>
      <c r="E419" s="40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407"/>
      <c r="E420" s="40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407"/>
      <c r="E421" s="40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407"/>
      <c r="E422" s="40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407"/>
      <c r="E423" s="40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407"/>
      <c r="E424" s="40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407"/>
      <c r="E425" s="40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407"/>
      <c r="E426" s="40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407"/>
      <c r="E427" s="40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407"/>
      <c r="E428" s="40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407"/>
      <c r="E429" s="40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407"/>
      <c r="E430" s="40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407"/>
      <c r="E431" s="40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407"/>
      <c r="E432" s="40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407"/>
      <c r="E433" s="40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407"/>
      <c r="E434" s="40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407"/>
      <c r="E435" s="40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407"/>
      <c r="E436" s="40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407"/>
      <c r="E437" s="40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407"/>
      <c r="E438" s="40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407"/>
      <c r="E439" s="40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407"/>
      <c r="E440" s="40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407"/>
      <c r="E441" s="40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407"/>
      <c r="E442" s="40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407"/>
      <c r="E443" s="40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407"/>
      <c r="E444" s="40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407"/>
      <c r="E445" s="40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407"/>
      <c r="E446" s="40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407"/>
      <c r="E447" s="40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407"/>
      <c r="E448" s="40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407"/>
      <c r="E449" s="40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407"/>
      <c r="E450" s="40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407"/>
      <c r="E451" s="40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407"/>
      <c r="E452" s="40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407"/>
      <c r="E453" s="40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407"/>
      <c r="E454" s="40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407"/>
      <c r="E455" s="40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407"/>
      <c r="E456" s="40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407"/>
      <c r="E457" s="40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407"/>
      <c r="E458" s="40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407"/>
      <c r="E459" s="40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407"/>
      <c r="E460" s="40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407"/>
      <c r="E461" s="40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407"/>
      <c r="E462" s="40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407"/>
      <c r="E463" s="40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407"/>
      <c r="E464" s="40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407"/>
      <c r="E465" s="40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407"/>
      <c r="E466" s="40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407"/>
      <c r="E467" s="40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407"/>
      <c r="E468" s="40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407"/>
      <c r="E469" s="40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407"/>
      <c r="E470" s="40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407"/>
      <c r="E471" s="40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407"/>
      <c r="E472" s="40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407"/>
      <c r="E473" s="40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407"/>
      <c r="E474" s="40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407"/>
      <c r="E475" s="40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407"/>
      <c r="E476" s="40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407"/>
      <c r="E477" s="40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407"/>
      <c r="E478" s="40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407"/>
      <c r="E479" s="40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407"/>
      <c r="E480" s="40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407"/>
      <c r="E481" s="40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407"/>
      <c r="E482" s="40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407"/>
      <c r="E483" s="40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407"/>
      <c r="E484" s="40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407"/>
      <c r="E485" s="40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407"/>
      <c r="E486" s="40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407"/>
      <c r="E487" s="40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407"/>
      <c r="E488" s="40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407"/>
      <c r="E489" s="40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407"/>
      <c r="E490" s="40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407"/>
      <c r="E491" s="40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407"/>
      <c r="E492" s="40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407"/>
      <c r="E493" s="40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407"/>
      <c r="E494" s="40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407"/>
      <c r="E495" s="40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407"/>
      <c r="E496" s="40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407"/>
      <c r="E497" s="40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407"/>
      <c r="E498" s="40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407"/>
      <c r="E499" s="40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407"/>
      <c r="E500" s="40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407"/>
      <c r="E501" s="40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407"/>
      <c r="E502" s="40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407"/>
      <c r="E503" s="40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407"/>
      <c r="E504" s="40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407"/>
      <c r="E505" s="40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407"/>
      <c r="E506" s="40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407"/>
      <c r="E507" s="40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407"/>
      <c r="E508" s="40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407"/>
      <c r="E509" s="40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407"/>
      <c r="E510" s="40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407"/>
      <c r="E511" s="40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407"/>
      <c r="E512" s="40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407"/>
      <c r="E513" s="40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407"/>
      <c r="E514" s="40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407"/>
      <c r="E515" s="40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407"/>
      <c r="E516" s="40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407"/>
      <c r="E517" s="40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407"/>
      <c r="E518" s="40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407"/>
      <c r="E519" s="40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407"/>
      <c r="E520" s="40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407"/>
      <c r="E521" s="40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407"/>
      <c r="E522" s="40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407"/>
      <c r="E523" s="40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407"/>
      <c r="E524" s="40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407"/>
      <c r="E525" s="40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407"/>
      <c r="E526" s="40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407"/>
      <c r="E527" s="40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407"/>
      <c r="E528" s="40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407"/>
      <c r="E529" s="40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407"/>
      <c r="E530" s="40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407"/>
      <c r="E531" s="40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407"/>
      <c r="E532" s="40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407"/>
      <c r="E533" s="40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407"/>
      <c r="E534" s="40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407"/>
      <c r="E535" s="40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407"/>
      <c r="E536" s="40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407"/>
      <c r="E537" s="40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407"/>
      <c r="E538" s="40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407"/>
      <c r="E539" s="40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407"/>
      <c r="E540" s="40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407"/>
      <c r="E541" s="40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407"/>
      <c r="E542" s="40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407"/>
      <c r="E543" s="40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407"/>
      <c r="E544" s="40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407"/>
      <c r="E545" s="40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407"/>
      <c r="E546" s="40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407"/>
      <c r="E547" s="40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407"/>
      <c r="E548" s="40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407"/>
      <c r="E549" s="40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407"/>
      <c r="E550" s="40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407"/>
      <c r="E551" s="40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407"/>
      <c r="E552" s="40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407"/>
      <c r="E553" s="40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407"/>
      <c r="E554" s="40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407"/>
      <c r="E555" s="40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407"/>
      <c r="E556" s="40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407"/>
      <c r="E557" s="40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407"/>
      <c r="E558" s="40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407"/>
      <c r="E559" s="40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407"/>
      <c r="E560" s="40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407"/>
      <c r="E561" s="40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407"/>
      <c r="E562" s="40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407"/>
      <c r="E563" s="40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407"/>
      <c r="E564" s="40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407"/>
      <c r="E565" s="40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407"/>
      <c r="E566" s="40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407"/>
      <c r="E567" s="40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407"/>
      <c r="E568" s="40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407"/>
      <c r="E569" s="40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407"/>
      <c r="E570" s="40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407"/>
      <c r="E571" s="40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407"/>
      <c r="E572" s="40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407"/>
      <c r="E573" s="40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407"/>
      <c r="E574" s="40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407"/>
      <c r="E575" s="40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407"/>
      <c r="E576" s="40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407"/>
      <c r="E577" s="40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407"/>
      <c r="E578" s="40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407"/>
      <c r="E579" s="40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407"/>
      <c r="E580" s="40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407"/>
      <c r="E581" s="40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407"/>
      <c r="E582" s="40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407"/>
      <c r="E583" s="40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407"/>
      <c r="E584" s="40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407"/>
      <c r="E585" s="40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407"/>
      <c r="E586" s="40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407"/>
      <c r="E587" s="40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407"/>
      <c r="E588" s="40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407"/>
      <c r="E589" s="40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407"/>
      <c r="E590" s="40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407"/>
      <c r="E591" s="40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407"/>
      <c r="E592" s="40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407"/>
      <c r="E593" s="40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407"/>
      <c r="E594" s="40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407"/>
      <c r="E595" s="40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407"/>
      <c r="E596" s="40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407"/>
      <c r="E597" s="40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407"/>
      <c r="E598" s="40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407"/>
      <c r="E599" s="40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407"/>
      <c r="E600" s="40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407"/>
      <c r="E601" s="40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407"/>
      <c r="E602" s="40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407"/>
      <c r="E603" s="40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407"/>
      <c r="E604" s="40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407"/>
      <c r="E605" s="40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407"/>
      <c r="E606" s="40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407"/>
      <c r="E607" s="40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407"/>
      <c r="E608" s="40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407"/>
      <c r="E609" s="40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407"/>
      <c r="E610" s="40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407"/>
      <c r="E611" s="40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407"/>
      <c r="E612" s="40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407"/>
      <c r="E613" s="40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407"/>
      <c r="E614" s="40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407"/>
      <c r="E615" s="40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407"/>
      <c r="E616" s="40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407"/>
      <c r="E617" s="40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407"/>
      <c r="E618" s="40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407"/>
      <c r="E619" s="40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407"/>
      <c r="E620" s="40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407"/>
      <c r="E621" s="40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407"/>
      <c r="E622" s="40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407"/>
      <c r="E623" s="40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407"/>
      <c r="E624" s="40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407"/>
      <c r="E625" s="40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407"/>
      <c r="E626" s="40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407"/>
      <c r="E627" s="40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407"/>
      <c r="E628" s="40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407"/>
      <c r="E629" s="40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407"/>
      <c r="E630" s="40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407"/>
      <c r="E631" s="40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407"/>
      <c r="E632" s="40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407"/>
      <c r="E633" s="40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407"/>
      <c r="E634" s="40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407"/>
      <c r="E635" s="40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407"/>
      <c r="E636" s="40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407"/>
      <c r="E637" s="40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407"/>
      <c r="E638" s="40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407"/>
      <c r="E639" s="40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407"/>
      <c r="E640" s="40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407"/>
      <c r="E641" s="40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407"/>
      <c r="E642" s="40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407"/>
      <c r="E643" s="40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407"/>
      <c r="E644" s="40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407"/>
      <c r="E645" s="40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407"/>
      <c r="E646" s="40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407"/>
      <c r="E647" s="40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407"/>
      <c r="E648" s="40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407"/>
      <c r="E649" s="40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407"/>
      <c r="E650" s="40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407"/>
      <c r="E651" s="40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407"/>
      <c r="E652" s="40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407"/>
      <c r="E653" s="40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407"/>
      <c r="E654" s="40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407"/>
      <c r="E655" s="40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407"/>
      <c r="E656" s="40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407"/>
      <c r="E657" s="40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407"/>
      <c r="E658" s="40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407"/>
      <c r="E659" s="40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407"/>
      <c r="E660" s="40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407"/>
      <c r="E661" s="40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407"/>
      <c r="E662" s="40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407"/>
      <c r="E663" s="40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407"/>
      <c r="E664" s="40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407"/>
      <c r="E665" s="40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407"/>
      <c r="E666" s="40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407"/>
      <c r="E667" s="40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407"/>
      <c r="E668" s="40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407"/>
      <c r="E669" s="40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407"/>
      <c r="E670" s="40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407"/>
      <c r="E671" s="40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407"/>
      <c r="E672" s="40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407"/>
      <c r="E673" s="40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407"/>
      <c r="E674" s="40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407"/>
      <c r="E675" s="40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407"/>
      <c r="E676" s="40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407"/>
      <c r="E677" s="40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407"/>
      <c r="E678" s="40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407"/>
      <c r="E679" s="40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407"/>
      <c r="E680" s="40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407"/>
      <c r="E681" s="40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407"/>
      <c r="E682" s="40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407"/>
      <c r="E683" s="40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407"/>
      <c r="E684" s="40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407"/>
      <c r="E685" s="40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407"/>
      <c r="E686" s="40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407"/>
      <c r="E687" s="40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407"/>
      <c r="E688" s="40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407"/>
      <c r="E689" s="40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407"/>
      <c r="E690" s="40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407"/>
      <c r="E691" s="40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407"/>
      <c r="E692" s="40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407"/>
      <c r="E693" s="40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407"/>
      <c r="E694" s="40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407"/>
      <c r="E695" s="40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407"/>
      <c r="E696" s="40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407"/>
      <c r="E697" s="40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407"/>
      <c r="E698" s="40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407"/>
      <c r="E699" s="40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407"/>
      <c r="E700" s="40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407"/>
      <c r="E701" s="40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407"/>
      <c r="E702" s="40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407"/>
      <c r="E703" s="40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407"/>
      <c r="E704" s="40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407"/>
      <c r="E705" s="40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407"/>
      <c r="E706" s="40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407"/>
      <c r="E707" s="40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407"/>
      <c r="E708" s="40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407"/>
      <c r="E709" s="40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407"/>
      <c r="E710" s="40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407"/>
      <c r="E711" s="40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407"/>
      <c r="E712" s="40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407"/>
      <c r="E713" s="40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407"/>
      <c r="E714" s="40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407"/>
      <c r="E715" s="40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407"/>
      <c r="E716" s="40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407"/>
      <c r="E717" s="40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407"/>
      <c r="E718" s="40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407"/>
      <c r="E719" s="40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407"/>
      <c r="E720" s="40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407"/>
      <c r="E721" s="40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407"/>
      <c r="E722" s="40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407"/>
      <c r="E723" s="40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407"/>
      <c r="E724" s="40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407"/>
      <c r="E725" s="40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407"/>
      <c r="E726" s="40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407"/>
      <c r="E727" s="40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407"/>
      <c r="E728" s="40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407"/>
      <c r="E729" s="40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407"/>
      <c r="E730" s="40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407"/>
      <c r="E731" s="40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407"/>
      <c r="E732" s="40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407"/>
      <c r="E733" s="40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407"/>
      <c r="E734" s="40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407"/>
      <c r="E735" s="40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407"/>
      <c r="E736" s="40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407"/>
      <c r="E737" s="40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407"/>
      <c r="E738" s="40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407"/>
      <c r="E739" s="40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407"/>
      <c r="E740" s="40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407"/>
      <c r="E741" s="40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407"/>
      <c r="E742" s="40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407"/>
      <c r="E743" s="40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407"/>
      <c r="E744" s="40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407"/>
      <c r="E745" s="40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407"/>
      <c r="E746" s="40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407"/>
      <c r="E747" s="40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407"/>
      <c r="E748" s="40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407"/>
      <c r="E749" s="40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407"/>
      <c r="E750" s="40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407"/>
      <c r="E751" s="40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407"/>
      <c r="E752" s="40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407"/>
      <c r="E753" s="40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407"/>
      <c r="E754" s="40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407"/>
      <c r="E755" s="40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407"/>
      <c r="E756" s="40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407"/>
      <c r="E757" s="40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407"/>
      <c r="E758" s="40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407"/>
      <c r="E759" s="40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407"/>
      <c r="E760" s="40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407"/>
      <c r="E761" s="40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407"/>
      <c r="E762" s="40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407"/>
      <c r="E763" s="40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407"/>
      <c r="E764" s="40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407"/>
      <c r="E765" s="40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407"/>
      <c r="E766" s="40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407"/>
      <c r="E767" s="40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407"/>
      <c r="E768" s="40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407"/>
      <c r="E769" s="40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407"/>
      <c r="E770" s="40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407"/>
      <c r="E771" s="40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407"/>
      <c r="E772" s="40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407"/>
      <c r="E773" s="40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407"/>
      <c r="E774" s="40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407"/>
      <c r="E775" s="40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407"/>
      <c r="E776" s="40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407"/>
      <c r="E777" s="40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407"/>
      <c r="E778" s="40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407"/>
      <c r="E779" s="40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407"/>
      <c r="E780" s="40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407"/>
      <c r="E781" s="40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407"/>
      <c r="E782" s="40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407"/>
      <c r="E783" s="40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407"/>
      <c r="E784" s="40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407"/>
      <c r="E785" s="40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407"/>
      <c r="E786" s="40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407"/>
      <c r="E787" s="40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407"/>
      <c r="E788" s="40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407"/>
      <c r="E789" s="40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407"/>
      <c r="E790" s="40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407"/>
      <c r="E791" s="40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407"/>
      <c r="E792" s="40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407"/>
      <c r="E793" s="40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407"/>
      <c r="E794" s="40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407"/>
      <c r="E795" s="40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407"/>
      <c r="E796" s="40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407"/>
      <c r="E797" s="40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407"/>
      <c r="E798" s="40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407"/>
      <c r="E799" s="40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407"/>
      <c r="E800" s="40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407"/>
      <c r="E801" s="40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407"/>
      <c r="E802" s="40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407"/>
      <c r="E803" s="40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407"/>
      <c r="E804" s="40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407"/>
      <c r="E805" s="40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407"/>
      <c r="E806" s="40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407"/>
      <c r="E807" s="40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407"/>
      <c r="E808" s="40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407"/>
      <c r="E809" s="40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407"/>
      <c r="E810" s="40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407"/>
      <c r="E811" s="40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407"/>
      <c r="E812" s="40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407"/>
      <c r="E813" s="40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407"/>
      <c r="E814" s="40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407"/>
      <c r="E815" s="40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407"/>
      <c r="E816" s="40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407"/>
      <c r="E817" s="40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407"/>
      <c r="E818" s="40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407"/>
      <c r="E819" s="40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407"/>
      <c r="E820" s="40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407"/>
      <c r="E821" s="40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407"/>
      <c r="E822" s="40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407"/>
      <c r="E823" s="40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407"/>
      <c r="E824" s="40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407"/>
      <c r="E825" s="40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407"/>
      <c r="E826" s="40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407"/>
      <c r="E827" s="40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407"/>
      <c r="E828" s="40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407"/>
      <c r="E829" s="40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407"/>
      <c r="E830" s="40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407"/>
      <c r="E831" s="40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407"/>
      <c r="E832" s="40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407"/>
      <c r="E833" s="40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407"/>
      <c r="E834" s="40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407"/>
      <c r="E835" s="40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407"/>
      <c r="E836" s="40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407"/>
      <c r="E837" s="40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407"/>
      <c r="E838" s="40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407"/>
      <c r="E839" s="40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407"/>
      <c r="E840" s="40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407"/>
      <c r="E841" s="40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407"/>
      <c r="E842" s="40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407"/>
      <c r="E843" s="40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407"/>
      <c r="E844" s="40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407"/>
      <c r="E845" s="40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407"/>
      <c r="E846" s="40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407"/>
      <c r="E847" s="40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407"/>
      <c r="E848" s="40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407"/>
      <c r="E849" s="40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407"/>
      <c r="E850" s="40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407"/>
      <c r="E851" s="40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407"/>
      <c r="E852" s="40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407"/>
      <c r="E853" s="40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407"/>
      <c r="E854" s="40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407"/>
      <c r="E855" s="40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407"/>
      <c r="E856" s="40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407"/>
      <c r="E857" s="40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407"/>
      <c r="E858" s="40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407"/>
      <c r="E859" s="40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407"/>
      <c r="E860" s="40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407"/>
      <c r="E861" s="40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407"/>
      <c r="E862" s="40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407"/>
      <c r="E863" s="40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407"/>
      <c r="E864" s="40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407"/>
      <c r="E865" s="40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407"/>
      <c r="E866" s="40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407"/>
      <c r="E867" s="40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407"/>
      <c r="E868" s="40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407"/>
      <c r="E869" s="40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407"/>
      <c r="E870" s="40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407"/>
      <c r="E871" s="40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407"/>
      <c r="E872" s="40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407"/>
      <c r="E873" s="40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407"/>
      <c r="E874" s="40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407"/>
      <c r="E875" s="40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407"/>
      <c r="E876" s="40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407"/>
      <c r="E877" s="40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407"/>
      <c r="E878" s="40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407"/>
      <c r="E879" s="40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407"/>
      <c r="E880" s="40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407"/>
      <c r="E881" s="40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407"/>
      <c r="E882" s="40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407"/>
      <c r="E883" s="40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407"/>
      <c r="E884" s="40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407"/>
      <c r="E885" s="40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407"/>
      <c r="E886" s="40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407"/>
      <c r="E887" s="40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407"/>
      <c r="E888" s="40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407"/>
      <c r="E889" s="40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407"/>
      <c r="E890" s="40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407"/>
      <c r="E891" s="40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407"/>
      <c r="E892" s="40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407"/>
      <c r="E893" s="40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407"/>
      <c r="E894" s="40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407"/>
      <c r="E895" s="40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407"/>
      <c r="E896" s="40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407"/>
      <c r="E897" s="40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407"/>
      <c r="E898" s="40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407"/>
      <c r="E899" s="40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407"/>
      <c r="E900" s="40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407"/>
      <c r="E901" s="40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407"/>
      <c r="E902" s="40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407"/>
      <c r="E903" s="40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407"/>
      <c r="E904" s="40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407"/>
      <c r="E905" s="40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407"/>
      <c r="E906" s="40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407"/>
      <c r="E907" s="40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407"/>
      <c r="E908" s="40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407"/>
      <c r="E909" s="40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407"/>
      <c r="E910" s="40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407"/>
      <c r="E911" s="40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407"/>
      <c r="E912" s="40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407"/>
      <c r="E913" s="40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407"/>
      <c r="E914" s="40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407"/>
      <c r="E915" s="40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407"/>
      <c r="E916" s="40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407"/>
      <c r="E917" s="40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407"/>
      <c r="E918" s="40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407"/>
      <c r="E919" s="40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407"/>
      <c r="E920" s="40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407"/>
      <c r="E921" s="40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407"/>
      <c r="E922" s="40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407"/>
      <c r="E923" s="40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407"/>
      <c r="E924" s="40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407"/>
      <c r="E925" s="40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407"/>
      <c r="E926" s="40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407"/>
      <c r="E927" s="40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407"/>
      <c r="E928" s="40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407"/>
      <c r="E929" s="40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407"/>
      <c r="E930" s="40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407"/>
      <c r="E931" s="40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407"/>
      <c r="E932" s="40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407"/>
      <c r="E933" s="40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407"/>
      <c r="E934" s="40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407"/>
      <c r="E935" s="40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407"/>
      <c r="E936" s="40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407"/>
      <c r="E937" s="40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407"/>
      <c r="E938" s="40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407"/>
      <c r="E939" s="40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407"/>
      <c r="E940" s="40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407"/>
      <c r="E941" s="40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407"/>
      <c r="E942" s="40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407"/>
      <c r="E943" s="40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407"/>
      <c r="E944" s="40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407"/>
      <c r="E945" s="40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407"/>
      <c r="E946" s="40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407"/>
      <c r="E947" s="40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407"/>
      <c r="E948" s="40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407"/>
      <c r="E949" s="40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407"/>
      <c r="E950" s="40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407"/>
      <c r="E951" s="40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407"/>
      <c r="E952" s="40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407"/>
      <c r="E953" s="40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407"/>
      <c r="E954" s="40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407"/>
      <c r="E955" s="40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407"/>
      <c r="E956" s="40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407"/>
      <c r="E957" s="40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407"/>
      <c r="E958" s="40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407"/>
      <c r="E959" s="40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407"/>
      <c r="E960" s="40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407"/>
      <c r="E961" s="40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407"/>
      <c r="E962" s="40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407"/>
      <c r="E963" s="40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407"/>
      <c r="E964" s="40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407"/>
      <c r="E965" s="40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407"/>
      <c r="E966" s="40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407"/>
      <c r="E967" s="40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407"/>
      <c r="E968" s="40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407"/>
      <c r="E969" s="40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407"/>
      <c r="E970" s="40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407"/>
      <c r="E971" s="40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407"/>
      <c r="E972" s="40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407"/>
      <c r="E973" s="40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407"/>
      <c r="E974" s="40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407"/>
      <c r="E975" s="40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407"/>
      <c r="E976" s="40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407"/>
      <c r="E977" s="40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407"/>
      <c r="E978" s="40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407"/>
      <c r="E979" s="40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407"/>
      <c r="E980" s="40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407"/>
      <c r="E981" s="40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407"/>
      <c r="E982" s="40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407"/>
      <c r="E983" s="40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407"/>
      <c r="E984" s="40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407"/>
      <c r="E985" s="40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407"/>
      <c r="E986" s="40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407"/>
      <c r="E987" s="40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407"/>
      <c r="E988" s="40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407"/>
      <c r="E989" s="40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407"/>
      <c r="E990" s="40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407"/>
      <c r="E991" s="40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407"/>
      <c r="E992" s="40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407"/>
      <c r="E993" s="40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407"/>
      <c r="E994" s="40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407"/>
      <c r="E995" s="40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407"/>
      <c r="E996" s="40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407"/>
      <c r="E997" s="40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407"/>
      <c r="E998" s="40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407"/>
      <c r="E999" s="407"/>
      <c r="F999" s="67"/>
      <c r="G999" s="67"/>
      <c r="H999" s="67"/>
      <c r="I999" s="67"/>
      <c r="J999" s="67"/>
      <c r="K999" s="67"/>
      <c r="L999" s="67"/>
      <c r="M999" s="67"/>
      <c r="N999" s="67"/>
      <c r="O999" s="67"/>
      <c r="P999" s="67"/>
      <c r="Q999" s="67"/>
      <c r="R999" s="67"/>
      <c r="S999" s="67"/>
      <c r="T999" s="67"/>
      <c r="U999" s="67"/>
      <c r="V999" s="67"/>
      <c r="W999" s="67"/>
      <c r="X999" s="67"/>
      <c r="Y999" s="67"/>
      <c r="Z999" s="67"/>
    </row>
    <row r="1000">
      <c r="A1000" s="67"/>
      <c r="B1000" s="67"/>
      <c r="C1000" s="67"/>
      <c r="D1000" s="407"/>
      <c r="E1000" s="407"/>
      <c r="F1000" s="67"/>
      <c r="G1000" s="67"/>
      <c r="H1000" s="67"/>
      <c r="I1000" s="67"/>
      <c r="J1000" s="67"/>
      <c r="K1000" s="67"/>
      <c r="L1000" s="67"/>
      <c r="M1000" s="67"/>
      <c r="N1000" s="67"/>
      <c r="O1000" s="67"/>
      <c r="P1000" s="67"/>
      <c r="Q1000" s="67"/>
      <c r="R1000" s="67"/>
      <c r="S1000" s="67"/>
      <c r="T1000" s="67"/>
      <c r="U1000" s="67"/>
      <c r="V1000" s="67"/>
      <c r="W1000" s="67"/>
      <c r="X1000" s="67"/>
      <c r="Y1000" s="67"/>
      <c r="Z1000" s="67"/>
    </row>
    <row r="1001">
      <c r="A1001" s="67"/>
      <c r="B1001" s="67"/>
      <c r="C1001" s="67"/>
      <c r="D1001" s="407"/>
      <c r="E1001" s="407"/>
      <c r="F1001" s="67"/>
      <c r="G1001" s="67"/>
      <c r="H1001" s="67"/>
      <c r="I1001" s="67"/>
      <c r="J1001" s="67"/>
      <c r="K1001" s="67"/>
      <c r="L1001" s="67"/>
      <c r="M1001" s="67"/>
      <c r="N1001" s="67"/>
      <c r="O1001" s="67"/>
      <c r="P1001" s="67"/>
      <c r="Q1001" s="67"/>
      <c r="R1001" s="67"/>
      <c r="S1001" s="67"/>
      <c r="T1001" s="67"/>
      <c r="U1001" s="67"/>
      <c r="V1001" s="67"/>
      <c r="W1001" s="67"/>
      <c r="X1001" s="67"/>
      <c r="Y1001" s="67"/>
      <c r="Z1001" s="67"/>
    </row>
    <row r="1002">
      <c r="A1002" s="67"/>
      <c r="B1002" s="67"/>
      <c r="C1002" s="67"/>
      <c r="D1002" s="407"/>
      <c r="E1002" s="407"/>
      <c r="F1002" s="67"/>
      <c r="G1002" s="67"/>
      <c r="H1002" s="67"/>
      <c r="I1002" s="67"/>
      <c r="J1002" s="67"/>
      <c r="K1002" s="67"/>
      <c r="L1002" s="67"/>
      <c r="M1002" s="67"/>
      <c r="N1002" s="67"/>
      <c r="O1002" s="67"/>
      <c r="P1002" s="67"/>
      <c r="Q1002" s="67"/>
      <c r="R1002" s="67"/>
      <c r="S1002" s="67"/>
      <c r="T1002" s="67"/>
      <c r="U1002" s="67"/>
      <c r="V1002" s="67"/>
      <c r="W1002" s="67"/>
      <c r="X1002" s="67"/>
      <c r="Y1002" s="67"/>
      <c r="Z1002" s="67"/>
    </row>
    <row r="1003">
      <c r="A1003" s="67"/>
      <c r="B1003" s="67"/>
      <c r="C1003" s="67"/>
      <c r="D1003" s="407"/>
      <c r="E1003" s="407"/>
      <c r="F1003" s="67"/>
      <c r="G1003" s="67"/>
      <c r="H1003" s="67"/>
      <c r="I1003" s="67"/>
      <c r="J1003" s="67"/>
      <c r="K1003" s="67"/>
      <c r="L1003" s="67"/>
      <c r="M1003" s="67"/>
      <c r="N1003" s="67"/>
      <c r="O1003" s="67"/>
      <c r="P1003" s="67"/>
      <c r="Q1003" s="67"/>
      <c r="R1003" s="67"/>
      <c r="S1003" s="67"/>
      <c r="T1003" s="67"/>
      <c r="U1003" s="67"/>
      <c r="V1003" s="67"/>
      <c r="W1003" s="67"/>
      <c r="X1003" s="67"/>
      <c r="Y1003" s="67"/>
      <c r="Z1003" s="67"/>
    </row>
    <row r="1004">
      <c r="A1004" s="67"/>
      <c r="B1004" s="67"/>
      <c r="C1004" s="67"/>
      <c r="D1004" s="407"/>
      <c r="E1004" s="407"/>
      <c r="F1004" s="67"/>
      <c r="G1004" s="67"/>
      <c r="H1004" s="67"/>
      <c r="I1004" s="67"/>
      <c r="J1004" s="67"/>
      <c r="K1004" s="67"/>
      <c r="L1004" s="67"/>
      <c r="M1004" s="67"/>
      <c r="N1004" s="67"/>
      <c r="O1004" s="67"/>
      <c r="P1004" s="67"/>
      <c r="Q1004" s="67"/>
      <c r="R1004" s="67"/>
      <c r="S1004" s="67"/>
      <c r="T1004" s="67"/>
      <c r="U1004" s="67"/>
      <c r="V1004" s="67"/>
      <c r="W1004" s="67"/>
      <c r="X1004" s="67"/>
      <c r="Y1004" s="67"/>
      <c r="Z1004" s="67"/>
    </row>
    <row r="1005">
      <c r="A1005" s="67"/>
      <c r="B1005" s="67"/>
      <c r="C1005" s="67"/>
      <c r="D1005" s="407"/>
      <c r="E1005" s="407"/>
      <c r="F1005" s="67"/>
      <c r="G1005" s="67"/>
      <c r="H1005" s="67"/>
      <c r="I1005" s="67"/>
      <c r="J1005" s="67"/>
      <c r="K1005" s="67"/>
      <c r="L1005" s="67"/>
      <c r="M1005" s="67"/>
      <c r="N1005" s="67"/>
      <c r="O1005" s="67"/>
      <c r="P1005" s="67"/>
      <c r="Q1005" s="67"/>
      <c r="R1005" s="67"/>
      <c r="S1005" s="67"/>
      <c r="T1005" s="67"/>
      <c r="U1005" s="67"/>
      <c r="V1005" s="67"/>
      <c r="W1005" s="67"/>
      <c r="X1005" s="67"/>
      <c r="Y1005" s="67"/>
      <c r="Z1005" s="67"/>
    </row>
    <row r="1006">
      <c r="A1006" s="67"/>
      <c r="B1006" s="67"/>
      <c r="C1006" s="67"/>
      <c r="D1006" s="407"/>
      <c r="E1006" s="407"/>
      <c r="F1006" s="67"/>
      <c r="G1006" s="67"/>
      <c r="H1006" s="67"/>
      <c r="I1006" s="67"/>
      <c r="J1006" s="67"/>
      <c r="K1006" s="67"/>
      <c r="L1006" s="67"/>
      <c r="M1006" s="67"/>
      <c r="N1006" s="67"/>
      <c r="O1006" s="67"/>
      <c r="P1006" s="67"/>
      <c r="Q1006" s="67"/>
      <c r="R1006" s="67"/>
      <c r="S1006" s="67"/>
      <c r="T1006" s="67"/>
      <c r="U1006" s="67"/>
      <c r="V1006" s="67"/>
      <c r="W1006" s="67"/>
      <c r="X1006" s="67"/>
      <c r="Y1006" s="67"/>
      <c r="Z1006" s="67"/>
    </row>
    <row r="1007">
      <c r="A1007" s="67"/>
      <c r="B1007" s="67"/>
      <c r="C1007" s="67"/>
      <c r="D1007" s="407"/>
      <c r="E1007" s="407"/>
      <c r="F1007" s="67"/>
      <c r="G1007" s="67"/>
      <c r="H1007" s="67"/>
      <c r="I1007" s="67"/>
      <c r="J1007" s="67"/>
      <c r="K1007" s="67"/>
      <c r="L1007" s="67"/>
      <c r="M1007" s="67"/>
      <c r="N1007" s="67"/>
      <c r="O1007" s="67"/>
      <c r="P1007" s="67"/>
      <c r="Q1007" s="67"/>
      <c r="R1007" s="67"/>
      <c r="S1007" s="67"/>
      <c r="T1007" s="67"/>
      <c r="U1007" s="67"/>
      <c r="V1007" s="67"/>
      <c r="W1007" s="67"/>
      <c r="X1007" s="67"/>
      <c r="Y1007" s="67"/>
      <c r="Z1007" s="67"/>
    </row>
    <row r="1008">
      <c r="A1008" s="67"/>
      <c r="B1008" s="67"/>
      <c r="C1008" s="67"/>
      <c r="D1008" s="407"/>
      <c r="E1008" s="407"/>
      <c r="F1008" s="67"/>
      <c r="G1008" s="67"/>
      <c r="H1008" s="67"/>
      <c r="I1008" s="67"/>
      <c r="J1008" s="67"/>
      <c r="K1008" s="67"/>
      <c r="L1008" s="67"/>
      <c r="M1008" s="67"/>
      <c r="N1008" s="67"/>
      <c r="O1008" s="67"/>
      <c r="P1008" s="67"/>
      <c r="Q1008" s="67"/>
      <c r="R1008" s="67"/>
      <c r="S1008" s="67"/>
      <c r="T1008" s="67"/>
      <c r="U1008" s="67"/>
      <c r="V1008" s="67"/>
      <c r="W1008" s="67"/>
      <c r="X1008" s="67"/>
      <c r="Y1008" s="67"/>
      <c r="Z1008" s="67"/>
    </row>
    <row r="1009">
      <c r="A1009" s="67"/>
      <c r="B1009" s="67"/>
      <c r="C1009" s="67"/>
      <c r="D1009" s="407"/>
      <c r="E1009" s="407"/>
      <c r="F1009" s="67"/>
      <c r="G1009" s="67"/>
      <c r="H1009" s="67"/>
      <c r="I1009" s="67"/>
      <c r="J1009" s="67"/>
      <c r="K1009" s="67"/>
      <c r="L1009" s="67"/>
      <c r="M1009" s="67"/>
      <c r="N1009" s="67"/>
      <c r="O1009" s="67"/>
      <c r="P1009" s="67"/>
      <c r="Q1009" s="67"/>
      <c r="R1009" s="67"/>
      <c r="S1009" s="67"/>
      <c r="T1009" s="67"/>
      <c r="U1009" s="67"/>
      <c r="V1009" s="67"/>
      <c r="W1009" s="67"/>
      <c r="X1009" s="67"/>
      <c r="Y1009" s="67"/>
      <c r="Z1009" s="67"/>
    </row>
    <row r="1010">
      <c r="A1010" s="67"/>
      <c r="B1010" s="67"/>
      <c r="C1010" s="67"/>
      <c r="D1010" s="407"/>
      <c r="E1010" s="407"/>
      <c r="F1010" s="67"/>
      <c r="G1010" s="67"/>
      <c r="H1010" s="67"/>
      <c r="I1010" s="67"/>
      <c r="J1010" s="67"/>
      <c r="K1010" s="67"/>
      <c r="L1010" s="67"/>
      <c r="M1010" s="67"/>
      <c r="N1010" s="67"/>
      <c r="O1010" s="67"/>
      <c r="P1010" s="67"/>
      <c r="Q1010" s="67"/>
      <c r="R1010" s="67"/>
      <c r="S1010" s="67"/>
      <c r="T1010" s="67"/>
      <c r="U1010" s="67"/>
      <c r="V1010" s="67"/>
      <c r="W1010" s="67"/>
      <c r="X1010" s="67"/>
      <c r="Y1010" s="67"/>
      <c r="Z1010" s="67"/>
    </row>
    <row r="1011">
      <c r="A1011" s="67"/>
      <c r="B1011" s="67"/>
      <c r="C1011" s="67"/>
      <c r="D1011" s="407"/>
      <c r="E1011" s="407"/>
      <c r="F1011" s="67"/>
      <c r="G1011" s="67"/>
      <c r="H1011" s="67"/>
      <c r="I1011" s="67"/>
      <c r="J1011" s="67"/>
      <c r="K1011" s="67"/>
      <c r="L1011" s="67"/>
      <c r="M1011" s="67"/>
      <c r="N1011" s="67"/>
      <c r="O1011" s="67"/>
      <c r="P1011" s="67"/>
      <c r="Q1011" s="67"/>
      <c r="R1011" s="67"/>
      <c r="S1011" s="67"/>
      <c r="T1011" s="67"/>
      <c r="U1011" s="67"/>
      <c r="V1011" s="67"/>
      <c r="W1011" s="67"/>
      <c r="X1011" s="67"/>
      <c r="Y1011" s="67"/>
      <c r="Z1011" s="67"/>
    </row>
    <row r="1012">
      <c r="A1012" s="67"/>
      <c r="B1012" s="67"/>
      <c r="C1012" s="67"/>
      <c r="D1012" s="407"/>
      <c r="E1012" s="407"/>
      <c r="F1012" s="67"/>
      <c r="G1012" s="67"/>
      <c r="H1012" s="67"/>
      <c r="I1012" s="67"/>
      <c r="J1012" s="67"/>
      <c r="K1012" s="67"/>
      <c r="L1012" s="67"/>
      <c r="M1012" s="67"/>
      <c r="N1012" s="67"/>
      <c r="O1012" s="67"/>
      <c r="P1012" s="67"/>
      <c r="Q1012" s="67"/>
      <c r="R1012" s="67"/>
      <c r="S1012" s="67"/>
      <c r="T1012" s="67"/>
      <c r="U1012" s="67"/>
      <c r="V1012" s="67"/>
      <c r="W1012" s="67"/>
      <c r="X1012" s="67"/>
      <c r="Y1012" s="67"/>
      <c r="Z1012" s="67"/>
    </row>
    <row r="1013">
      <c r="A1013" s="67"/>
      <c r="B1013" s="67"/>
      <c r="C1013" s="67"/>
      <c r="D1013" s="407"/>
      <c r="E1013" s="407"/>
      <c r="F1013" s="67"/>
      <c r="G1013" s="67"/>
      <c r="H1013" s="67"/>
      <c r="I1013" s="67"/>
      <c r="J1013" s="67"/>
      <c r="K1013" s="67"/>
      <c r="L1013" s="67"/>
      <c r="M1013" s="67"/>
      <c r="N1013" s="67"/>
      <c r="O1013" s="67"/>
      <c r="P1013" s="67"/>
      <c r="Q1013" s="67"/>
      <c r="R1013" s="67"/>
      <c r="S1013" s="67"/>
      <c r="T1013" s="67"/>
      <c r="U1013" s="67"/>
      <c r="V1013" s="67"/>
      <c r="W1013" s="67"/>
      <c r="X1013" s="67"/>
      <c r="Y1013" s="67"/>
      <c r="Z1013" s="67"/>
    </row>
    <row r="1014">
      <c r="A1014" s="67"/>
      <c r="B1014" s="67"/>
      <c r="C1014" s="67"/>
      <c r="D1014" s="407"/>
      <c r="E1014" s="407"/>
      <c r="F1014" s="67"/>
      <c r="G1014" s="67"/>
      <c r="H1014" s="67"/>
      <c r="I1014" s="67"/>
      <c r="J1014" s="67"/>
      <c r="K1014" s="67"/>
      <c r="L1014" s="67"/>
      <c r="M1014" s="67"/>
      <c r="N1014" s="67"/>
      <c r="O1014" s="67"/>
      <c r="P1014" s="67"/>
      <c r="Q1014" s="67"/>
      <c r="R1014" s="67"/>
      <c r="S1014" s="67"/>
      <c r="T1014" s="67"/>
      <c r="U1014" s="67"/>
      <c r="V1014" s="67"/>
      <c r="W1014" s="67"/>
      <c r="X1014" s="67"/>
      <c r="Y1014" s="67"/>
      <c r="Z1014" s="67"/>
    </row>
    <row r="1015">
      <c r="A1015" s="67"/>
      <c r="B1015" s="67"/>
      <c r="C1015" s="67"/>
      <c r="D1015" s="407"/>
      <c r="E1015" s="407"/>
      <c r="F1015" s="67"/>
      <c r="G1015" s="67"/>
      <c r="H1015" s="67"/>
      <c r="I1015" s="67"/>
      <c r="J1015" s="67"/>
      <c r="K1015" s="67"/>
      <c r="L1015" s="67"/>
      <c r="M1015" s="67"/>
      <c r="N1015" s="67"/>
      <c r="O1015" s="67"/>
      <c r="P1015" s="67"/>
      <c r="Q1015" s="67"/>
      <c r="R1015" s="67"/>
      <c r="S1015" s="67"/>
      <c r="T1015" s="67"/>
      <c r="U1015" s="67"/>
      <c r="V1015" s="67"/>
      <c r="W1015" s="67"/>
      <c r="X1015" s="67"/>
      <c r="Y1015" s="67"/>
      <c r="Z1015" s="67"/>
    </row>
    <row r="1016">
      <c r="A1016" s="67"/>
      <c r="B1016" s="67"/>
      <c r="C1016" s="67"/>
      <c r="D1016" s="407"/>
      <c r="E1016" s="407"/>
      <c r="F1016" s="67"/>
      <c r="G1016" s="67"/>
      <c r="H1016" s="67"/>
      <c r="I1016" s="67"/>
      <c r="J1016" s="67"/>
      <c r="K1016" s="67"/>
      <c r="L1016" s="67"/>
      <c r="M1016" s="67"/>
      <c r="N1016" s="67"/>
      <c r="O1016" s="67"/>
      <c r="P1016" s="67"/>
      <c r="Q1016" s="67"/>
      <c r="R1016" s="67"/>
      <c r="S1016" s="67"/>
      <c r="T1016" s="67"/>
      <c r="U1016" s="67"/>
      <c r="V1016" s="67"/>
      <c r="W1016" s="67"/>
      <c r="X1016" s="67"/>
      <c r="Y1016" s="67"/>
      <c r="Z1016" s="67"/>
    </row>
  </sheetData>
  <mergeCells count="25">
    <mergeCell ref="L25:L32"/>
    <mergeCell ref="M25:M32"/>
    <mergeCell ref="L35:L43"/>
    <mergeCell ref="M35:M43"/>
    <mergeCell ref="L47:L51"/>
    <mergeCell ref="M47:M51"/>
    <mergeCell ref="A2:A5"/>
    <mergeCell ref="L2:L8"/>
    <mergeCell ref="M2:M8"/>
    <mergeCell ref="A12:A18"/>
    <mergeCell ref="L12:L20"/>
    <mergeCell ref="M12:M20"/>
    <mergeCell ref="A25:A30"/>
    <mergeCell ref="G47:G48"/>
    <mergeCell ref="H47:H48"/>
    <mergeCell ref="I47:I48"/>
    <mergeCell ref="J47:J48"/>
    <mergeCell ref="K47:K48"/>
    <mergeCell ref="A35:A41"/>
    <mergeCell ref="A47:A55"/>
    <mergeCell ref="B47:B48"/>
    <mergeCell ref="C47:C48"/>
    <mergeCell ref="D47:D48"/>
    <mergeCell ref="E47:E48"/>
    <mergeCell ref="F47:F48"/>
  </mergeCells>
  <dataValidations>
    <dataValidation type="list" allowBlank="1" showErrorMessage="1" sqref="C2:C5 C12:C18 C24:C30 C35:C41 C47 C49:C55">
      <formula1>"Billable,Non - Billable"</formula1>
    </dataValidation>
    <dataValidation type="list" allowBlank="1" showErrorMessage="1" sqref="F12:F18 F24:F30 F35:F41 F47 F49:F55">
      <formula1>"Not Started,In Progress,Completed,On Hold (Under Approval),Waiting for Client Input"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2.75"/>
    <col customWidth="1" min="2" max="2" width="26.13"/>
    <col customWidth="1" min="3" max="3" width="13.88"/>
    <col customWidth="1" min="4" max="4" width="34.25"/>
    <col customWidth="1" min="6" max="6" width="10.25"/>
    <col customWidth="1" min="7" max="7" width="10.5"/>
    <col customWidth="1" min="9" max="9" width="14.38"/>
    <col customWidth="1" min="10" max="10" width="19.13"/>
    <col customWidth="1" min="15" max="15" width="44.88"/>
    <col customWidth="1" min="16" max="16" width="24.38"/>
    <col customWidth="1" min="17" max="17" width="23.5"/>
    <col customWidth="1" min="18" max="18" width="43.13"/>
    <col customWidth="1" min="19" max="19" width="42.88"/>
  </cols>
  <sheetData>
    <row r="1">
      <c r="A1" s="2" t="s">
        <v>0</v>
      </c>
      <c r="B1" s="1" t="s">
        <v>358</v>
      </c>
      <c r="C1" s="1" t="s">
        <v>359</v>
      </c>
      <c r="D1" s="379" t="s">
        <v>2</v>
      </c>
      <c r="E1" s="1" t="s">
        <v>3</v>
      </c>
      <c r="F1" s="1" t="s">
        <v>5</v>
      </c>
      <c r="G1" s="1" t="s">
        <v>6</v>
      </c>
      <c r="H1" s="1" t="s">
        <v>360</v>
      </c>
      <c r="I1" s="1" t="s">
        <v>1728</v>
      </c>
      <c r="J1" s="1" t="s">
        <v>9</v>
      </c>
      <c r="K1" s="1" t="s">
        <v>7</v>
      </c>
      <c r="L1" s="1" t="s">
        <v>10</v>
      </c>
      <c r="M1" s="4" t="s">
        <v>361</v>
      </c>
      <c r="N1" s="1" t="s">
        <v>12</v>
      </c>
      <c r="O1" s="4" t="s">
        <v>13</v>
      </c>
      <c r="P1" s="4" t="s">
        <v>14</v>
      </c>
      <c r="Q1" s="1" t="s">
        <v>15</v>
      </c>
      <c r="R1" s="1" t="s">
        <v>16</v>
      </c>
      <c r="S1" s="1" t="s">
        <v>17</v>
      </c>
      <c r="T1" s="411"/>
      <c r="U1" s="411"/>
      <c r="V1" s="411"/>
      <c r="W1" s="411"/>
      <c r="X1" s="411"/>
      <c r="Y1" s="18"/>
      <c r="Z1" s="18"/>
      <c r="AA1" s="18"/>
    </row>
    <row r="2">
      <c r="A2" s="412" t="s">
        <v>1838</v>
      </c>
      <c r="B2" s="301" t="s">
        <v>1763</v>
      </c>
      <c r="C2" s="138"/>
      <c r="D2" s="157" t="s">
        <v>1839</v>
      </c>
      <c r="E2" s="132" t="s">
        <v>24</v>
      </c>
      <c r="F2" s="134">
        <v>46028.0</v>
      </c>
      <c r="G2" s="134">
        <v>46028.0</v>
      </c>
      <c r="H2" s="157" t="s">
        <v>33</v>
      </c>
      <c r="I2" s="136" t="s">
        <v>161</v>
      </c>
      <c r="J2" s="135" t="s">
        <v>34</v>
      </c>
      <c r="K2" s="381"/>
      <c r="L2" s="157">
        <v>0.0</v>
      </c>
      <c r="M2" s="145">
        <v>0.0</v>
      </c>
      <c r="N2" s="138"/>
      <c r="O2" s="138"/>
      <c r="P2" s="138"/>
      <c r="Q2" s="138"/>
      <c r="R2" s="138"/>
      <c r="S2" s="138"/>
      <c r="T2" s="204"/>
      <c r="U2" s="204"/>
      <c r="V2" s="204"/>
      <c r="W2" s="204"/>
      <c r="X2" s="204"/>
      <c r="Y2" s="18"/>
      <c r="Z2" s="18"/>
      <c r="AA2" s="18"/>
    </row>
    <row r="3">
      <c r="A3" s="412" t="s">
        <v>1838</v>
      </c>
      <c r="B3" s="301" t="s">
        <v>1763</v>
      </c>
      <c r="C3" s="138"/>
      <c r="D3" s="157" t="s">
        <v>1839</v>
      </c>
      <c r="E3" s="132" t="s">
        <v>24</v>
      </c>
      <c r="F3" s="134">
        <v>46065.0</v>
      </c>
      <c r="G3" s="134">
        <v>46065.0</v>
      </c>
      <c r="H3" s="157" t="s">
        <v>33</v>
      </c>
      <c r="I3" s="132" t="s">
        <v>161</v>
      </c>
      <c r="J3" s="135" t="s">
        <v>34</v>
      </c>
      <c r="K3" s="381"/>
      <c r="L3" s="157">
        <v>0.0</v>
      </c>
      <c r="M3" s="145">
        <v>0.0</v>
      </c>
      <c r="N3" s="142"/>
      <c r="O3" s="142"/>
      <c r="P3" s="138"/>
      <c r="Q3" s="142"/>
      <c r="R3" s="142"/>
      <c r="S3" s="142"/>
      <c r="T3" s="209"/>
      <c r="U3" s="209"/>
      <c r="V3" s="209"/>
      <c r="W3" s="209"/>
      <c r="X3" s="209"/>
      <c r="Y3" s="18"/>
      <c r="Z3" s="18"/>
      <c r="AA3" s="18"/>
    </row>
    <row r="4">
      <c r="A4" s="413"/>
      <c r="B4" s="157" t="s">
        <v>1767</v>
      </c>
      <c r="C4" s="142"/>
      <c r="D4" s="145" t="s">
        <v>1767</v>
      </c>
      <c r="E4" s="132"/>
      <c r="F4" s="141"/>
      <c r="G4" s="331"/>
      <c r="H4" s="140"/>
      <c r="I4" s="132"/>
      <c r="J4" s="132"/>
      <c r="K4" s="381"/>
      <c r="L4" s="157">
        <v>0.0</v>
      </c>
      <c r="M4" s="145">
        <v>0.0</v>
      </c>
      <c r="N4" s="142"/>
      <c r="O4" s="142"/>
      <c r="P4" s="142"/>
      <c r="Q4" s="142"/>
      <c r="R4" s="142"/>
      <c r="S4" s="142"/>
      <c r="T4" s="209"/>
      <c r="U4" s="209"/>
      <c r="V4" s="209"/>
      <c r="W4" s="209"/>
      <c r="X4" s="209"/>
      <c r="Y4" s="18"/>
      <c r="Z4" s="18"/>
      <c r="AA4" s="18"/>
    </row>
    <row r="5">
      <c r="A5" s="414" t="s">
        <v>140</v>
      </c>
      <c r="B5" s="145" t="s">
        <v>1840</v>
      </c>
      <c r="C5" s="415"/>
      <c r="D5" s="157" t="s">
        <v>1769</v>
      </c>
      <c r="E5" s="135" t="s">
        <v>24</v>
      </c>
      <c r="F5" s="134">
        <v>46101.0</v>
      </c>
      <c r="G5" s="134">
        <v>46101.0</v>
      </c>
      <c r="H5" s="145" t="s">
        <v>115</v>
      </c>
      <c r="I5" s="135" t="s">
        <v>39</v>
      </c>
      <c r="J5" s="135" t="s">
        <v>34</v>
      </c>
      <c r="K5" s="381"/>
      <c r="L5" s="157">
        <v>0.0</v>
      </c>
      <c r="M5" s="145">
        <v>0.0</v>
      </c>
      <c r="N5" s="142"/>
      <c r="O5" s="142"/>
      <c r="P5" s="142"/>
      <c r="Q5" s="142"/>
      <c r="R5" s="142"/>
      <c r="S5" s="142"/>
      <c r="T5" s="209"/>
      <c r="U5" s="209"/>
      <c r="V5" s="209"/>
      <c r="W5" s="209"/>
      <c r="X5" s="209"/>
      <c r="Y5" s="18"/>
      <c r="Z5" s="18"/>
      <c r="AA5" s="18"/>
    </row>
    <row r="6">
      <c r="A6" s="416"/>
      <c r="B6" s="157" t="s">
        <v>1769</v>
      </c>
      <c r="C6" s="415"/>
      <c r="D6" s="187" t="s">
        <v>1841</v>
      </c>
      <c r="E6" s="135" t="s">
        <v>53</v>
      </c>
      <c r="F6" s="134">
        <v>46094.0</v>
      </c>
      <c r="G6" s="134">
        <v>46094.0</v>
      </c>
      <c r="H6" s="145" t="s">
        <v>115</v>
      </c>
      <c r="I6" s="135" t="s">
        <v>161</v>
      </c>
      <c r="J6" s="135" t="s">
        <v>34</v>
      </c>
      <c r="K6" s="381"/>
      <c r="L6" s="417">
        <v>6.0</v>
      </c>
      <c r="M6" s="145">
        <v>0.0</v>
      </c>
      <c r="N6" s="138"/>
      <c r="O6" s="138"/>
      <c r="P6" s="142"/>
      <c r="Q6" s="138"/>
      <c r="R6" s="138"/>
      <c r="S6" s="138"/>
      <c r="T6" s="204"/>
      <c r="U6" s="204"/>
      <c r="V6" s="204"/>
      <c r="W6" s="204"/>
      <c r="X6" s="204"/>
      <c r="Y6" s="18"/>
      <c r="Z6" s="18"/>
      <c r="AA6" s="18"/>
    </row>
    <row r="7">
      <c r="A7" s="413"/>
      <c r="B7" s="145" t="s">
        <v>141</v>
      </c>
      <c r="C7" s="142"/>
      <c r="D7" s="144" t="s">
        <v>1842</v>
      </c>
      <c r="E7" s="135" t="s">
        <v>24</v>
      </c>
      <c r="F7" s="134">
        <v>46097.0</v>
      </c>
      <c r="G7" s="134">
        <v>46097.0</v>
      </c>
      <c r="H7" s="145" t="s">
        <v>400</v>
      </c>
      <c r="I7" s="135" t="s">
        <v>161</v>
      </c>
      <c r="J7" s="135" t="s">
        <v>34</v>
      </c>
      <c r="K7" s="381"/>
      <c r="L7" s="417">
        <v>3.0</v>
      </c>
      <c r="M7" s="145">
        <v>0.0</v>
      </c>
      <c r="N7" s="142"/>
      <c r="O7" s="142"/>
      <c r="P7" s="138"/>
      <c r="Q7" s="142"/>
      <c r="R7" s="142"/>
      <c r="S7" s="142"/>
      <c r="T7" s="209"/>
      <c r="U7" s="209"/>
      <c r="V7" s="209"/>
      <c r="W7" s="209"/>
      <c r="X7" s="209"/>
      <c r="Y7" s="18"/>
      <c r="Z7" s="18"/>
      <c r="AA7" s="18"/>
    </row>
    <row r="8">
      <c r="A8" s="418"/>
      <c r="B8" s="145" t="s">
        <v>141</v>
      </c>
      <c r="C8" s="145" t="s">
        <v>1843</v>
      </c>
      <c r="D8" s="419" t="s">
        <v>1844</v>
      </c>
      <c r="E8" s="135" t="s">
        <v>24</v>
      </c>
      <c r="F8" s="134">
        <v>46100.0</v>
      </c>
      <c r="G8" s="134">
        <v>46100.0</v>
      </c>
      <c r="H8" s="145" t="s">
        <v>400</v>
      </c>
      <c r="I8" s="135" t="s">
        <v>161</v>
      </c>
      <c r="J8" s="135" t="s">
        <v>34</v>
      </c>
      <c r="K8" s="381"/>
      <c r="L8" s="417">
        <v>9.0</v>
      </c>
      <c r="M8" s="145">
        <v>0.0</v>
      </c>
      <c r="N8" s="138"/>
      <c r="O8" s="138"/>
      <c r="P8" s="142"/>
      <c r="Q8" s="138"/>
      <c r="R8" s="138"/>
      <c r="S8" s="138"/>
      <c r="T8" s="204"/>
      <c r="U8" s="204"/>
      <c r="V8" s="204"/>
      <c r="W8" s="204"/>
      <c r="X8" s="204"/>
      <c r="Y8" s="18"/>
      <c r="Z8" s="18"/>
      <c r="AA8" s="18"/>
    </row>
    <row r="9">
      <c r="A9" s="413"/>
      <c r="B9" s="145" t="s">
        <v>141</v>
      </c>
      <c r="C9" s="145" t="s">
        <v>1845</v>
      </c>
      <c r="D9" s="420" t="s">
        <v>1846</v>
      </c>
      <c r="E9" s="132" t="s">
        <v>24</v>
      </c>
      <c r="F9" s="134">
        <v>46104.0</v>
      </c>
      <c r="G9" s="134">
        <v>46104.0</v>
      </c>
      <c r="H9" s="145" t="s">
        <v>400</v>
      </c>
      <c r="I9" s="136" t="s">
        <v>161</v>
      </c>
      <c r="J9" s="201" t="s">
        <v>34</v>
      </c>
      <c r="K9" s="381"/>
      <c r="L9" s="145">
        <v>6.0</v>
      </c>
      <c r="M9" s="145">
        <v>0.0</v>
      </c>
      <c r="N9" s="142"/>
      <c r="O9" s="144" t="s">
        <v>1847</v>
      </c>
      <c r="P9" s="138"/>
      <c r="Q9" s="142"/>
      <c r="R9" s="142"/>
      <c r="S9" s="142"/>
      <c r="T9" s="209"/>
      <c r="U9" s="209"/>
      <c r="V9" s="209"/>
      <c r="W9" s="209"/>
      <c r="X9" s="209"/>
      <c r="Y9" s="18"/>
      <c r="Z9" s="18"/>
      <c r="AA9" s="18"/>
    </row>
    <row r="10">
      <c r="A10" s="418"/>
      <c r="B10" s="157" t="s">
        <v>1769</v>
      </c>
      <c r="C10" s="138"/>
      <c r="D10" s="420" t="s">
        <v>1848</v>
      </c>
      <c r="E10" s="135" t="s">
        <v>53</v>
      </c>
      <c r="F10" s="134">
        <v>46104.0</v>
      </c>
      <c r="G10" s="134">
        <v>46104.0</v>
      </c>
      <c r="H10" s="145" t="s">
        <v>400</v>
      </c>
      <c r="I10" s="135" t="s">
        <v>161</v>
      </c>
      <c r="J10" s="135" t="s">
        <v>34</v>
      </c>
      <c r="K10" s="381"/>
      <c r="L10" s="157">
        <v>2.0</v>
      </c>
      <c r="M10" s="145">
        <v>0.0</v>
      </c>
      <c r="N10" s="138"/>
      <c r="O10" s="131" t="s">
        <v>1849</v>
      </c>
      <c r="P10" s="142"/>
      <c r="Q10" s="138"/>
      <c r="R10" s="138"/>
      <c r="S10" s="138"/>
      <c r="T10" s="204"/>
      <c r="U10" s="204"/>
      <c r="V10" s="204"/>
      <c r="W10" s="204"/>
      <c r="X10" s="204"/>
      <c r="Y10" s="18"/>
      <c r="Z10" s="18"/>
      <c r="AA10" s="18"/>
    </row>
    <row r="11">
      <c r="A11" s="413"/>
      <c r="B11" s="145" t="s">
        <v>1850</v>
      </c>
      <c r="C11" s="142"/>
      <c r="D11" s="144" t="s">
        <v>1851</v>
      </c>
      <c r="E11" s="135" t="s">
        <v>53</v>
      </c>
      <c r="F11" s="134">
        <v>46101.0</v>
      </c>
      <c r="G11" s="134">
        <v>46101.0</v>
      </c>
      <c r="H11" s="145" t="s">
        <v>400</v>
      </c>
      <c r="I11" s="135" t="s">
        <v>161</v>
      </c>
      <c r="J11" s="135" t="s">
        <v>34</v>
      </c>
      <c r="K11" s="381"/>
      <c r="L11" s="145">
        <v>1.0</v>
      </c>
      <c r="M11" s="145">
        <v>0.0</v>
      </c>
      <c r="N11" s="142"/>
      <c r="O11" s="142"/>
      <c r="P11" s="138"/>
      <c r="Q11" s="142"/>
      <c r="R11" s="142"/>
      <c r="S11" s="142"/>
      <c r="T11" s="209"/>
      <c r="U11" s="209"/>
      <c r="V11" s="209"/>
      <c r="W11" s="209"/>
      <c r="X11" s="209"/>
      <c r="Y11" s="18"/>
      <c r="Z11" s="18"/>
      <c r="AA11" s="18"/>
    </row>
    <row r="12">
      <c r="A12" s="418"/>
      <c r="B12" s="145" t="s">
        <v>1850</v>
      </c>
      <c r="C12" s="138"/>
      <c r="D12" s="131" t="s">
        <v>1852</v>
      </c>
      <c r="E12" s="135" t="s">
        <v>53</v>
      </c>
      <c r="F12" s="134">
        <v>46105.0</v>
      </c>
      <c r="G12" s="134">
        <v>46105.0</v>
      </c>
      <c r="H12" s="145" t="s">
        <v>400</v>
      </c>
      <c r="I12" s="135" t="s">
        <v>161</v>
      </c>
      <c r="J12" s="135" t="s">
        <v>34</v>
      </c>
      <c r="K12" s="381"/>
      <c r="L12" s="157">
        <v>2.0</v>
      </c>
      <c r="M12" s="145">
        <v>0.0</v>
      </c>
      <c r="N12" s="138"/>
      <c r="O12" s="138"/>
      <c r="P12" s="142"/>
      <c r="Q12" s="138"/>
      <c r="R12" s="138"/>
      <c r="S12" s="138"/>
      <c r="T12" s="204"/>
      <c r="U12" s="204"/>
      <c r="V12" s="204"/>
      <c r="W12" s="204"/>
      <c r="X12" s="204"/>
      <c r="Y12" s="18"/>
      <c r="Z12" s="18"/>
      <c r="AA12" s="18"/>
    </row>
    <row r="13">
      <c r="A13" s="418"/>
      <c r="B13" s="157" t="s">
        <v>1853</v>
      </c>
      <c r="C13" s="138"/>
      <c r="D13" s="421" t="s">
        <v>1854</v>
      </c>
      <c r="E13" s="135" t="s">
        <v>53</v>
      </c>
      <c r="F13" s="134">
        <v>46105.0</v>
      </c>
      <c r="G13" s="134">
        <v>46105.0</v>
      </c>
      <c r="H13" s="145" t="s">
        <v>400</v>
      </c>
      <c r="I13" s="135" t="s">
        <v>161</v>
      </c>
      <c r="J13" s="135" t="s">
        <v>34</v>
      </c>
      <c r="K13" s="381"/>
      <c r="L13" s="157">
        <v>2.0</v>
      </c>
      <c r="M13" s="145">
        <v>0.0</v>
      </c>
      <c r="N13" s="138"/>
      <c r="O13" s="138"/>
      <c r="P13" s="138"/>
      <c r="Q13" s="138"/>
      <c r="R13" s="138"/>
      <c r="S13" s="138"/>
      <c r="T13" s="204"/>
      <c r="U13" s="204"/>
      <c r="V13" s="204"/>
      <c r="W13" s="204"/>
      <c r="X13" s="204"/>
      <c r="Y13" s="18"/>
      <c r="Z13" s="18"/>
      <c r="AA13" s="18"/>
    </row>
    <row r="14">
      <c r="A14" s="413"/>
      <c r="B14" s="157" t="s">
        <v>1769</v>
      </c>
      <c r="C14" s="142"/>
      <c r="D14" s="422" t="s">
        <v>1855</v>
      </c>
      <c r="E14" s="135" t="s">
        <v>53</v>
      </c>
      <c r="F14" s="134">
        <v>46105.0</v>
      </c>
      <c r="G14" s="134">
        <v>46105.0</v>
      </c>
      <c r="H14" s="145" t="s">
        <v>400</v>
      </c>
      <c r="I14" s="135" t="s">
        <v>161</v>
      </c>
      <c r="J14" s="135" t="s">
        <v>34</v>
      </c>
      <c r="K14" s="381"/>
      <c r="L14" s="145">
        <v>2.0</v>
      </c>
      <c r="M14" s="145">
        <v>0.0</v>
      </c>
      <c r="N14" s="142"/>
      <c r="O14" s="142"/>
      <c r="P14" s="138"/>
      <c r="Q14" s="142"/>
      <c r="R14" s="142"/>
      <c r="S14" s="142"/>
      <c r="T14" s="209"/>
      <c r="U14" s="209"/>
      <c r="V14" s="209"/>
      <c r="W14" s="209"/>
      <c r="X14" s="209"/>
      <c r="Y14" s="18"/>
      <c r="Z14" s="18"/>
      <c r="AA14" s="18"/>
    </row>
    <row r="15">
      <c r="A15" s="414" t="s">
        <v>1856</v>
      </c>
      <c r="B15" s="145" t="s">
        <v>141</v>
      </c>
      <c r="C15" s="138"/>
      <c r="D15" s="131" t="s">
        <v>1857</v>
      </c>
      <c r="E15" s="135" t="s">
        <v>53</v>
      </c>
      <c r="F15" s="134">
        <v>46105.0</v>
      </c>
      <c r="G15" s="134">
        <v>46105.0</v>
      </c>
      <c r="H15" s="145" t="s">
        <v>400</v>
      </c>
      <c r="I15" s="135" t="s">
        <v>161</v>
      </c>
      <c r="J15" s="135" t="s">
        <v>34</v>
      </c>
      <c r="K15" s="381"/>
      <c r="L15" s="157">
        <v>2.0</v>
      </c>
      <c r="M15" s="145">
        <v>0.0</v>
      </c>
      <c r="N15" s="138"/>
      <c r="O15" s="138"/>
      <c r="P15" s="142"/>
      <c r="Q15" s="138"/>
      <c r="R15" s="138"/>
      <c r="S15" s="138"/>
      <c r="T15" s="204"/>
      <c r="U15" s="204"/>
      <c r="V15" s="204"/>
      <c r="W15" s="204"/>
      <c r="X15" s="204"/>
      <c r="Y15" s="18"/>
      <c r="Z15" s="18"/>
      <c r="AA15" s="18"/>
    </row>
    <row r="16">
      <c r="A16" s="414" t="s">
        <v>1856</v>
      </c>
      <c r="B16" s="145" t="s">
        <v>141</v>
      </c>
      <c r="C16" s="142"/>
      <c r="D16" s="144" t="s">
        <v>1858</v>
      </c>
      <c r="E16" s="132"/>
      <c r="F16" s="134">
        <v>46106.0</v>
      </c>
      <c r="G16" s="134">
        <v>46106.0</v>
      </c>
      <c r="H16" s="145" t="s">
        <v>400</v>
      </c>
      <c r="I16" s="135" t="s">
        <v>161</v>
      </c>
      <c r="J16" s="135" t="s">
        <v>34</v>
      </c>
      <c r="K16" s="381"/>
      <c r="L16" s="145">
        <v>7.0</v>
      </c>
      <c r="M16" s="145">
        <v>0.0</v>
      </c>
      <c r="N16" s="142"/>
      <c r="O16" s="142"/>
      <c r="P16" s="142"/>
      <c r="Q16" s="142"/>
      <c r="R16" s="142"/>
      <c r="S16" s="142"/>
      <c r="T16" s="209"/>
      <c r="U16" s="209"/>
      <c r="V16" s="209"/>
      <c r="W16" s="209"/>
      <c r="X16" s="209"/>
      <c r="Y16" s="18"/>
      <c r="Z16" s="18"/>
      <c r="AA16" s="18"/>
    </row>
    <row r="17">
      <c r="A17" s="423" t="s">
        <v>1320</v>
      </c>
      <c r="B17" s="145" t="s">
        <v>1321</v>
      </c>
      <c r="C17" s="138"/>
      <c r="D17" s="131" t="s">
        <v>1859</v>
      </c>
      <c r="E17" s="132"/>
      <c r="F17" s="134">
        <v>46106.0</v>
      </c>
      <c r="G17" s="134">
        <v>46106.0</v>
      </c>
      <c r="H17" s="145" t="s">
        <v>400</v>
      </c>
      <c r="I17" s="135" t="s">
        <v>161</v>
      </c>
      <c r="J17" s="135" t="s">
        <v>34</v>
      </c>
      <c r="K17" s="381"/>
      <c r="L17" s="157">
        <v>2.0</v>
      </c>
      <c r="M17" s="145">
        <v>0.0</v>
      </c>
      <c r="N17" s="138"/>
      <c r="O17" s="138"/>
      <c r="P17" s="160"/>
      <c r="Q17" s="138"/>
      <c r="R17" s="138"/>
      <c r="S17" s="138"/>
      <c r="T17" s="204"/>
      <c r="U17" s="204"/>
      <c r="V17" s="204"/>
      <c r="W17" s="204"/>
      <c r="X17" s="204"/>
      <c r="Y17" s="18"/>
      <c r="Z17" s="18"/>
      <c r="AA17" s="18"/>
    </row>
    <row r="18">
      <c r="A18" s="423" t="s">
        <v>1320</v>
      </c>
      <c r="B18" s="145" t="s">
        <v>1321</v>
      </c>
      <c r="C18" s="142"/>
      <c r="D18" s="144" t="s">
        <v>1860</v>
      </c>
      <c r="E18" s="132"/>
      <c r="F18" s="134">
        <v>46107.0</v>
      </c>
      <c r="G18" s="134">
        <v>46107.0</v>
      </c>
      <c r="H18" s="145" t="s">
        <v>400</v>
      </c>
      <c r="I18" s="135" t="s">
        <v>161</v>
      </c>
      <c r="J18" s="135" t="s">
        <v>34</v>
      </c>
      <c r="K18" s="381"/>
      <c r="L18" s="145">
        <v>3.0</v>
      </c>
      <c r="M18" s="145">
        <v>0.0</v>
      </c>
      <c r="N18" s="142"/>
      <c r="O18" s="142"/>
      <c r="P18" s="160"/>
      <c r="Q18" s="142"/>
      <c r="R18" s="142"/>
      <c r="S18" s="142"/>
      <c r="T18" s="209"/>
      <c r="U18" s="209"/>
      <c r="V18" s="209"/>
      <c r="W18" s="209"/>
      <c r="X18" s="209"/>
      <c r="Y18" s="18"/>
      <c r="Z18" s="18"/>
      <c r="AA18" s="18"/>
    </row>
    <row r="19">
      <c r="A19" s="414" t="s">
        <v>1856</v>
      </c>
      <c r="B19" s="145" t="s">
        <v>141</v>
      </c>
      <c r="C19" s="138"/>
      <c r="D19" s="131" t="s">
        <v>1861</v>
      </c>
      <c r="E19" s="132"/>
      <c r="F19" s="134">
        <v>46107.0</v>
      </c>
      <c r="G19" s="134">
        <v>46107.0</v>
      </c>
      <c r="H19" s="145" t="s">
        <v>400</v>
      </c>
      <c r="I19" s="135" t="s">
        <v>161</v>
      </c>
      <c r="J19" s="135" t="s">
        <v>34</v>
      </c>
      <c r="K19" s="381"/>
      <c r="L19" s="157">
        <v>5.0</v>
      </c>
      <c r="M19" s="145">
        <v>0.0</v>
      </c>
      <c r="N19" s="138"/>
      <c r="O19" s="138"/>
      <c r="P19" s="160"/>
      <c r="Q19" s="138"/>
      <c r="R19" s="138"/>
      <c r="S19" s="138"/>
      <c r="T19" s="204"/>
      <c r="U19" s="204"/>
      <c r="V19" s="204"/>
      <c r="W19" s="204"/>
      <c r="X19" s="204"/>
      <c r="Y19" s="18"/>
      <c r="Z19" s="18"/>
      <c r="AA19" s="18"/>
    </row>
    <row r="20">
      <c r="A20" s="414" t="s">
        <v>140</v>
      </c>
      <c r="B20" s="157" t="s">
        <v>1769</v>
      </c>
      <c r="C20" s="138"/>
      <c r="D20" s="131" t="s">
        <v>1862</v>
      </c>
      <c r="E20" s="132"/>
      <c r="F20" s="134">
        <v>46107.0</v>
      </c>
      <c r="G20" s="134">
        <v>46107.0</v>
      </c>
      <c r="H20" s="145" t="s">
        <v>400</v>
      </c>
      <c r="I20" s="135" t="s">
        <v>161</v>
      </c>
      <c r="J20" s="135" t="s">
        <v>34</v>
      </c>
      <c r="K20" s="381"/>
      <c r="L20" s="157">
        <v>2.0</v>
      </c>
      <c r="M20" s="145">
        <v>0.0</v>
      </c>
      <c r="N20" s="138"/>
      <c r="O20" s="138"/>
      <c r="P20" s="138"/>
      <c r="Q20" s="138"/>
      <c r="R20" s="138"/>
      <c r="S20" s="138"/>
      <c r="T20" s="204"/>
      <c r="U20" s="204"/>
      <c r="V20" s="204"/>
      <c r="W20" s="204"/>
      <c r="X20" s="204"/>
      <c r="Y20" s="18"/>
      <c r="Z20" s="18"/>
      <c r="AA20" s="18"/>
    </row>
    <row r="21">
      <c r="A21" s="414" t="s">
        <v>140</v>
      </c>
      <c r="B21" s="157" t="s">
        <v>1769</v>
      </c>
      <c r="C21" s="142"/>
      <c r="D21" s="144" t="s">
        <v>1863</v>
      </c>
      <c r="E21" s="132"/>
      <c r="F21" s="134">
        <v>46108.0</v>
      </c>
      <c r="G21" s="134">
        <v>46108.0</v>
      </c>
      <c r="H21" s="145" t="s">
        <v>400</v>
      </c>
      <c r="I21" s="135" t="s">
        <v>161</v>
      </c>
      <c r="J21" s="135" t="s">
        <v>34</v>
      </c>
      <c r="K21" s="381"/>
      <c r="L21" s="157">
        <v>3.0</v>
      </c>
      <c r="M21" s="145">
        <v>0.0</v>
      </c>
      <c r="N21" s="142"/>
      <c r="O21" s="142"/>
      <c r="P21" s="138"/>
      <c r="Q21" s="142"/>
      <c r="R21" s="142"/>
      <c r="S21" s="142"/>
      <c r="T21" s="209"/>
      <c r="U21" s="209"/>
      <c r="V21" s="209"/>
      <c r="W21" s="209"/>
      <c r="X21" s="209"/>
      <c r="Y21" s="18"/>
      <c r="Z21" s="18"/>
      <c r="AA21" s="18"/>
    </row>
    <row r="22">
      <c r="A22" s="414" t="s">
        <v>140</v>
      </c>
      <c r="B22" s="157" t="s">
        <v>1769</v>
      </c>
      <c r="C22" s="138"/>
      <c r="D22" s="424" t="s">
        <v>1864</v>
      </c>
      <c r="E22" s="132"/>
      <c r="F22" s="141">
        <v>46108.0</v>
      </c>
      <c r="G22" s="141">
        <v>46108.0</v>
      </c>
      <c r="H22" s="145" t="s">
        <v>400</v>
      </c>
      <c r="I22" s="135" t="s">
        <v>161</v>
      </c>
      <c r="J22" s="135" t="s">
        <v>34</v>
      </c>
      <c r="K22" s="381"/>
      <c r="L22" s="157">
        <v>2.0</v>
      </c>
      <c r="M22" s="145">
        <v>0.0</v>
      </c>
      <c r="N22" s="138"/>
      <c r="O22" s="138"/>
      <c r="P22" s="138"/>
      <c r="Q22" s="138"/>
      <c r="R22" s="138"/>
      <c r="S22" s="138"/>
      <c r="T22" s="204"/>
      <c r="U22" s="204"/>
      <c r="V22" s="204"/>
      <c r="W22" s="204"/>
      <c r="X22" s="204"/>
      <c r="Y22" s="18"/>
      <c r="Z22" s="18"/>
      <c r="AA22" s="18"/>
    </row>
    <row r="23">
      <c r="A23" s="414" t="s">
        <v>140</v>
      </c>
      <c r="B23" s="157" t="s">
        <v>1769</v>
      </c>
      <c r="C23" s="142"/>
      <c r="D23" s="420" t="s">
        <v>1865</v>
      </c>
      <c r="E23" s="132"/>
      <c r="F23" s="141">
        <v>46108.0</v>
      </c>
      <c r="G23" s="141">
        <v>46108.0</v>
      </c>
      <c r="H23" s="145" t="s">
        <v>400</v>
      </c>
      <c r="I23" s="135" t="s">
        <v>161</v>
      </c>
      <c r="J23" s="135" t="s">
        <v>34</v>
      </c>
      <c r="K23" s="381"/>
      <c r="L23" s="145">
        <v>2.0</v>
      </c>
      <c r="M23" s="145">
        <v>0.0</v>
      </c>
      <c r="N23" s="142"/>
      <c r="O23" s="142"/>
      <c r="P23" s="142"/>
      <c r="Q23" s="142"/>
      <c r="R23" s="142"/>
      <c r="S23" s="142"/>
      <c r="T23" s="209"/>
      <c r="U23" s="209"/>
      <c r="V23" s="209"/>
      <c r="W23" s="209"/>
      <c r="X23" s="209"/>
      <c r="Y23" s="18"/>
      <c r="Z23" s="18"/>
      <c r="AA23" s="18"/>
    </row>
    <row r="24">
      <c r="A24" s="414" t="s">
        <v>703</v>
      </c>
      <c r="B24" s="157" t="s">
        <v>1866</v>
      </c>
      <c r="C24" s="138"/>
      <c r="D24" s="420" t="s">
        <v>1867</v>
      </c>
      <c r="E24" s="132"/>
      <c r="F24" s="134">
        <v>46111.0</v>
      </c>
      <c r="G24" s="134">
        <v>46111.0</v>
      </c>
      <c r="H24" s="145" t="s">
        <v>400</v>
      </c>
      <c r="I24" s="135" t="s">
        <v>161</v>
      </c>
      <c r="J24" s="135" t="s">
        <v>34</v>
      </c>
      <c r="K24" s="381"/>
      <c r="L24" s="157">
        <v>2.0</v>
      </c>
      <c r="M24" s="145">
        <v>0.0</v>
      </c>
      <c r="N24" s="138"/>
      <c r="O24" s="138"/>
      <c r="P24" s="142"/>
      <c r="Q24" s="138"/>
      <c r="R24" s="138"/>
      <c r="S24" s="138"/>
      <c r="T24" s="204"/>
      <c r="U24" s="204"/>
      <c r="V24" s="204"/>
      <c r="W24" s="204"/>
      <c r="X24" s="204"/>
      <c r="Y24" s="18"/>
      <c r="Z24" s="18"/>
      <c r="AA24" s="18"/>
    </row>
    <row r="25">
      <c r="A25" s="414" t="s">
        <v>1856</v>
      </c>
      <c r="B25" s="145" t="s">
        <v>141</v>
      </c>
      <c r="C25" s="142"/>
      <c r="D25" s="420" t="s">
        <v>1868</v>
      </c>
      <c r="E25" s="132"/>
      <c r="F25" s="134">
        <v>46111.0</v>
      </c>
      <c r="G25" s="134">
        <v>46111.0</v>
      </c>
      <c r="H25" s="145" t="s">
        <v>400</v>
      </c>
      <c r="I25" s="135" t="s">
        <v>161</v>
      </c>
      <c r="J25" s="135" t="s">
        <v>34</v>
      </c>
      <c r="K25" s="381"/>
      <c r="L25" s="145">
        <v>2.0</v>
      </c>
      <c r="M25" s="145">
        <v>0.0</v>
      </c>
      <c r="N25" s="142"/>
      <c r="O25" s="142"/>
      <c r="P25" s="160"/>
      <c r="Q25" s="142"/>
      <c r="R25" s="142"/>
      <c r="S25" s="142"/>
      <c r="T25" s="209"/>
      <c r="U25" s="209"/>
      <c r="V25" s="209"/>
      <c r="W25" s="209"/>
      <c r="X25" s="209"/>
      <c r="Y25" s="18"/>
      <c r="Z25" s="18"/>
      <c r="AA25" s="18"/>
    </row>
    <row r="26">
      <c r="A26" s="423" t="s">
        <v>1320</v>
      </c>
      <c r="B26" s="145" t="s">
        <v>1321</v>
      </c>
      <c r="C26" s="138"/>
      <c r="D26" s="420" t="s">
        <v>1869</v>
      </c>
      <c r="E26" s="132"/>
      <c r="F26" s="134">
        <v>46111.0</v>
      </c>
      <c r="G26" s="134">
        <v>46111.0</v>
      </c>
      <c r="H26" s="145" t="s">
        <v>400</v>
      </c>
      <c r="I26" s="135" t="s">
        <v>161</v>
      </c>
      <c r="J26" s="135" t="s">
        <v>34</v>
      </c>
      <c r="K26" s="381"/>
      <c r="L26" s="145">
        <v>2.0</v>
      </c>
      <c r="M26" s="145">
        <v>0.0</v>
      </c>
      <c r="N26" s="138"/>
      <c r="O26" s="138"/>
      <c r="P26" s="142"/>
      <c r="Q26" s="138"/>
      <c r="R26" s="138"/>
      <c r="S26" s="138"/>
      <c r="T26" s="204"/>
      <c r="U26" s="204"/>
      <c r="V26" s="204"/>
      <c r="W26" s="204"/>
      <c r="X26" s="204"/>
      <c r="Y26" s="18"/>
      <c r="Z26" s="18"/>
      <c r="AA26" s="18"/>
    </row>
    <row r="27">
      <c r="A27" s="414" t="s">
        <v>1856</v>
      </c>
      <c r="B27" s="145" t="s">
        <v>141</v>
      </c>
      <c r="C27" s="142"/>
      <c r="D27" s="144" t="s">
        <v>1870</v>
      </c>
      <c r="E27" s="132"/>
      <c r="F27" s="134">
        <v>46111.0</v>
      </c>
      <c r="G27" s="134">
        <v>46111.0</v>
      </c>
      <c r="H27" s="145" t="s">
        <v>400</v>
      </c>
      <c r="I27" s="135" t="s">
        <v>161</v>
      </c>
      <c r="J27" s="135" t="s">
        <v>34</v>
      </c>
      <c r="K27" s="381"/>
      <c r="L27" s="145">
        <v>4.0</v>
      </c>
      <c r="M27" s="145">
        <v>0.0</v>
      </c>
      <c r="N27" s="142"/>
      <c r="O27" s="142"/>
      <c r="P27" s="138"/>
      <c r="Q27" s="142"/>
      <c r="R27" s="142"/>
      <c r="S27" s="142"/>
      <c r="T27" s="209"/>
      <c r="U27" s="209"/>
      <c r="V27" s="209"/>
      <c r="W27" s="209"/>
      <c r="X27" s="209"/>
      <c r="Y27" s="18"/>
      <c r="Z27" s="18"/>
      <c r="AA27" s="18"/>
    </row>
    <row r="28">
      <c r="A28" s="414" t="s">
        <v>1856</v>
      </c>
      <c r="B28" s="145" t="s">
        <v>141</v>
      </c>
      <c r="C28" s="138"/>
      <c r="D28" s="131" t="s">
        <v>1871</v>
      </c>
      <c r="E28" s="132"/>
      <c r="F28" s="134">
        <v>46112.0</v>
      </c>
      <c r="G28" s="134">
        <v>46112.0</v>
      </c>
      <c r="H28" s="145" t="s">
        <v>400</v>
      </c>
      <c r="I28" s="135" t="s">
        <v>161</v>
      </c>
      <c r="J28" s="135" t="s">
        <v>34</v>
      </c>
      <c r="K28" s="381"/>
      <c r="L28" s="145">
        <v>2.0</v>
      </c>
      <c r="M28" s="145">
        <v>0.0</v>
      </c>
      <c r="N28" s="138"/>
      <c r="O28" s="138"/>
      <c r="P28" s="425"/>
      <c r="Q28" s="138"/>
      <c r="R28" s="138"/>
      <c r="S28" s="138"/>
      <c r="T28" s="204"/>
      <c r="U28" s="204"/>
      <c r="V28" s="204"/>
      <c r="W28" s="204"/>
      <c r="X28" s="204"/>
      <c r="Y28" s="18"/>
      <c r="Z28" s="18"/>
      <c r="AA28" s="18"/>
    </row>
    <row r="29">
      <c r="A29" s="414" t="s">
        <v>1856</v>
      </c>
      <c r="B29" s="145" t="s">
        <v>141</v>
      </c>
      <c r="C29" s="138"/>
      <c r="D29" s="131" t="s">
        <v>1872</v>
      </c>
      <c r="E29" s="132"/>
      <c r="F29" s="134">
        <v>46112.0</v>
      </c>
      <c r="G29" s="134">
        <v>46112.0</v>
      </c>
      <c r="H29" s="145" t="s">
        <v>400</v>
      </c>
      <c r="I29" s="135" t="s">
        <v>161</v>
      </c>
      <c r="J29" s="135" t="s">
        <v>34</v>
      </c>
      <c r="K29" s="381"/>
      <c r="L29" s="145">
        <v>2.0</v>
      </c>
      <c r="M29" s="145">
        <v>0.0</v>
      </c>
      <c r="N29" s="142"/>
      <c r="O29" s="142"/>
      <c r="P29" s="138"/>
      <c r="Q29" s="142"/>
      <c r="R29" s="142"/>
      <c r="S29" s="142"/>
      <c r="T29" s="209"/>
      <c r="U29" s="209"/>
      <c r="V29" s="209"/>
      <c r="W29" s="209"/>
      <c r="X29" s="209"/>
      <c r="Y29" s="18"/>
      <c r="Z29" s="18"/>
      <c r="AA29" s="18"/>
    </row>
    <row r="30">
      <c r="A30" s="414" t="s">
        <v>140</v>
      </c>
      <c r="B30" s="157" t="s">
        <v>1769</v>
      </c>
      <c r="C30" s="138"/>
      <c r="D30" s="420" t="s">
        <v>1873</v>
      </c>
      <c r="E30" s="132"/>
      <c r="F30" s="134">
        <v>46112.0</v>
      </c>
      <c r="G30" s="134">
        <v>46112.0</v>
      </c>
      <c r="H30" s="145" t="s">
        <v>400</v>
      </c>
      <c r="I30" s="135" t="s">
        <v>161</v>
      </c>
      <c r="J30" s="135" t="s">
        <v>34</v>
      </c>
      <c r="K30" s="381"/>
      <c r="L30" s="157">
        <v>2.0</v>
      </c>
      <c r="M30" s="145">
        <v>0.0</v>
      </c>
      <c r="N30" s="138"/>
      <c r="O30" s="138"/>
      <c r="P30" s="160"/>
      <c r="Q30" s="138"/>
      <c r="R30" s="138"/>
      <c r="S30" s="138"/>
      <c r="T30" s="204"/>
      <c r="U30" s="204"/>
      <c r="V30" s="204"/>
      <c r="W30" s="204"/>
      <c r="X30" s="204"/>
      <c r="Y30" s="18"/>
      <c r="Z30" s="18"/>
      <c r="AA30" s="18"/>
    </row>
    <row r="31">
      <c r="A31" s="414" t="s">
        <v>1856</v>
      </c>
      <c r="B31" s="145" t="s">
        <v>141</v>
      </c>
      <c r="C31" s="138"/>
      <c r="D31" s="420" t="s">
        <v>1874</v>
      </c>
      <c r="E31" s="132"/>
      <c r="F31" s="134">
        <v>46112.0</v>
      </c>
      <c r="G31" s="134">
        <v>46113.0</v>
      </c>
      <c r="H31" s="145" t="s">
        <v>400</v>
      </c>
      <c r="I31" s="135" t="s">
        <v>161</v>
      </c>
      <c r="J31" s="135" t="s">
        <v>34</v>
      </c>
      <c r="K31" s="381"/>
      <c r="L31" s="157">
        <v>3.0</v>
      </c>
      <c r="M31" s="145">
        <v>0.0</v>
      </c>
      <c r="N31" s="138"/>
      <c r="O31" s="138"/>
      <c r="P31" s="160"/>
      <c r="Q31" s="138"/>
      <c r="R31" s="138"/>
      <c r="S31" s="138"/>
      <c r="T31" s="204"/>
      <c r="U31" s="204"/>
      <c r="V31" s="204"/>
      <c r="W31" s="204"/>
      <c r="X31" s="204"/>
      <c r="Y31" s="18"/>
      <c r="Z31" s="18"/>
      <c r="AA31" s="18"/>
    </row>
    <row r="32">
      <c r="A32" s="414" t="s">
        <v>140</v>
      </c>
      <c r="B32" s="157" t="s">
        <v>1769</v>
      </c>
      <c r="C32" s="142"/>
      <c r="D32" s="144" t="s">
        <v>1875</v>
      </c>
      <c r="E32" s="132"/>
      <c r="F32" s="134">
        <v>46113.0</v>
      </c>
      <c r="G32" s="134">
        <v>46113.0</v>
      </c>
      <c r="H32" s="145" t="s">
        <v>400</v>
      </c>
      <c r="I32" s="135" t="s">
        <v>161</v>
      </c>
      <c r="J32" s="135" t="s">
        <v>34</v>
      </c>
      <c r="K32" s="381"/>
      <c r="L32" s="145">
        <v>3.0</v>
      </c>
      <c r="M32" s="145">
        <v>0.0</v>
      </c>
      <c r="N32" s="142"/>
      <c r="O32" s="142"/>
      <c r="P32" s="160"/>
      <c r="Q32" s="142"/>
      <c r="R32" s="142"/>
      <c r="S32" s="142"/>
      <c r="T32" s="209"/>
      <c r="U32" s="209"/>
      <c r="V32" s="209"/>
      <c r="W32" s="209"/>
      <c r="X32" s="209"/>
      <c r="Y32" s="18"/>
      <c r="Z32" s="18"/>
      <c r="AA32" s="18"/>
    </row>
    <row r="33">
      <c r="A33" s="414" t="s">
        <v>140</v>
      </c>
      <c r="B33" s="157" t="s">
        <v>1876</v>
      </c>
      <c r="C33" s="138"/>
      <c r="D33" s="131" t="s">
        <v>1877</v>
      </c>
      <c r="E33" s="132"/>
      <c r="F33" s="134">
        <v>46113.0</v>
      </c>
      <c r="G33" s="134">
        <v>46114.0</v>
      </c>
      <c r="H33" s="145" t="s">
        <v>400</v>
      </c>
      <c r="I33" s="135" t="s">
        <v>161</v>
      </c>
      <c r="J33" s="135" t="s">
        <v>34</v>
      </c>
      <c r="K33" s="381"/>
      <c r="L33" s="157">
        <v>4.0</v>
      </c>
      <c r="M33" s="145">
        <v>0.0</v>
      </c>
      <c r="N33" s="138"/>
      <c r="O33" s="138"/>
      <c r="P33" s="160"/>
      <c r="Q33" s="138"/>
      <c r="R33" s="138"/>
      <c r="S33" s="138"/>
      <c r="T33" s="204"/>
      <c r="U33" s="204"/>
      <c r="V33" s="204"/>
      <c r="W33" s="204"/>
      <c r="X33" s="204"/>
      <c r="Y33" s="18"/>
      <c r="Z33" s="18"/>
      <c r="AA33" s="18"/>
    </row>
    <row r="34">
      <c r="A34" s="414" t="s">
        <v>140</v>
      </c>
      <c r="B34" s="157" t="s">
        <v>1769</v>
      </c>
      <c r="C34" s="142"/>
      <c r="D34" s="144" t="s">
        <v>1878</v>
      </c>
      <c r="E34" s="132"/>
      <c r="F34" s="134">
        <v>46114.0</v>
      </c>
      <c r="G34" s="134">
        <v>46114.0</v>
      </c>
      <c r="H34" s="145" t="s">
        <v>400</v>
      </c>
      <c r="I34" s="135" t="s">
        <v>161</v>
      </c>
      <c r="J34" s="135" t="s">
        <v>34</v>
      </c>
      <c r="K34" s="381"/>
      <c r="L34" s="145">
        <v>6.0</v>
      </c>
      <c r="M34" s="145">
        <v>0.0</v>
      </c>
      <c r="N34" s="142"/>
      <c r="O34" s="142"/>
      <c r="P34" s="160"/>
      <c r="Q34" s="142"/>
      <c r="R34" s="142"/>
      <c r="S34" s="142"/>
      <c r="T34" s="209"/>
      <c r="U34" s="209"/>
      <c r="V34" s="209"/>
      <c r="W34" s="209"/>
      <c r="X34" s="209"/>
      <c r="Y34" s="18"/>
      <c r="Z34" s="18"/>
      <c r="AA34" s="18"/>
    </row>
    <row r="35">
      <c r="A35" s="414" t="s">
        <v>140</v>
      </c>
      <c r="B35" s="145" t="s">
        <v>141</v>
      </c>
      <c r="C35" s="138"/>
      <c r="D35" s="131" t="s">
        <v>1879</v>
      </c>
      <c r="E35" s="132"/>
      <c r="F35" s="134">
        <v>46114.0</v>
      </c>
      <c r="G35" s="134">
        <v>46114.0</v>
      </c>
      <c r="H35" s="145" t="s">
        <v>400</v>
      </c>
      <c r="I35" s="135" t="s">
        <v>161</v>
      </c>
      <c r="J35" s="135" t="s">
        <v>34</v>
      </c>
      <c r="K35" s="381"/>
      <c r="L35" s="145">
        <v>1.0</v>
      </c>
      <c r="M35" s="145">
        <v>0.0</v>
      </c>
      <c r="N35" s="138"/>
      <c r="O35" s="138"/>
      <c r="P35" s="160"/>
      <c r="Q35" s="138"/>
      <c r="R35" s="138"/>
      <c r="S35" s="138"/>
      <c r="T35" s="204"/>
      <c r="U35" s="204"/>
      <c r="V35" s="204"/>
      <c r="W35" s="204"/>
      <c r="X35" s="204"/>
      <c r="Y35" s="18"/>
      <c r="Z35" s="18"/>
      <c r="AA35" s="18"/>
    </row>
    <row r="36">
      <c r="A36" s="414" t="s">
        <v>140</v>
      </c>
      <c r="B36" s="157" t="s">
        <v>1769</v>
      </c>
      <c r="C36" s="142"/>
      <c r="D36" s="144" t="s">
        <v>1880</v>
      </c>
      <c r="E36" s="132"/>
      <c r="F36" s="134">
        <v>46118.0</v>
      </c>
      <c r="G36" s="134">
        <v>46118.0</v>
      </c>
      <c r="H36" s="145" t="s">
        <v>400</v>
      </c>
      <c r="I36" s="135" t="s">
        <v>161</v>
      </c>
      <c r="J36" s="135" t="s">
        <v>34</v>
      </c>
      <c r="K36" s="381"/>
      <c r="L36" s="145">
        <v>6.0</v>
      </c>
      <c r="M36" s="145">
        <v>0.0</v>
      </c>
      <c r="N36" s="142"/>
      <c r="O36" s="142"/>
      <c r="P36" s="160"/>
      <c r="Q36" s="142"/>
      <c r="R36" s="142"/>
      <c r="S36" s="142"/>
      <c r="T36" s="209"/>
      <c r="U36" s="209"/>
      <c r="V36" s="209"/>
      <c r="W36" s="209"/>
      <c r="X36" s="209"/>
      <c r="Y36" s="18"/>
      <c r="Z36" s="18"/>
      <c r="AA36" s="18"/>
    </row>
    <row r="37">
      <c r="A37" s="423" t="s">
        <v>1320</v>
      </c>
      <c r="B37" s="145" t="s">
        <v>1321</v>
      </c>
      <c r="C37" s="142"/>
      <c r="D37" s="144" t="s">
        <v>1881</v>
      </c>
      <c r="E37" s="132"/>
      <c r="F37" s="134">
        <v>46118.0</v>
      </c>
      <c r="G37" s="134">
        <v>46118.0</v>
      </c>
      <c r="H37" s="145" t="s">
        <v>400</v>
      </c>
      <c r="I37" s="135" t="s">
        <v>161</v>
      </c>
      <c r="J37" s="135" t="s">
        <v>34</v>
      </c>
      <c r="K37" s="381"/>
      <c r="L37" s="426">
        <v>1.0</v>
      </c>
      <c r="M37" s="145">
        <v>0.0</v>
      </c>
      <c r="N37" s="142"/>
      <c r="O37" s="142"/>
      <c r="P37" s="160"/>
      <c r="Q37" s="142"/>
      <c r="R37" s="142"/>
      <c r="S37" s="142"/>
      <c r="T37" s="209"/>
      <c r="U37" s="209"/>
      <c r="V37" s="209"/>
      <c r="W37" s="209"/>
      <c r="X37" s="209"/>
      <c r="Y37" s="18"/>
      <c r="Z37" s="18"/>
      <c r="AA37" s="18"/>
    </row>
    <row r="38">
      <c r="A38" s="414" t="s">
        <v>140</v>
      </c>
      <c r="B38" s="145" t="s">
        <v>141</v>
      </c>
      <c r="C38" s="138"/>
      <c r="D38" s="131" t="s">
        <v>1882</v>
      </c>
      <c r="E38" s="132"/>
      <c r="F38" s="134">
        <v>46118.0</v>
      </c>
      <c r="G38" s="134">
        <v>46119.0</v>
      </c>
      <c r="H38" s="145" t="s">
        <v>400</v>
      </c>
      <c r="I38" s="135" t="s">
        <v>161</v>
      </c>
      <c r="J38" s="135" t="s">
        <v>34</v>
      </c>
      <c r="K38" s="381"/>
      <c r="L38" s="157">
        <v>6.0</v>
      </c>
      <c r="M38" s="145">
        <v>0.0</v>
      </c>
      <c r="N38" s="138"/>
      <c r="O38" s="138"/>
      <c r="P38" s="160"/>
      <c r="Q38" s="138"/>
      <c r="R38" s="138"/>
      <c r="S38" s="138"/>
      <c r="T38" s="204"/>
      <c r="U38" s="204"/>
      <c r="V38" s="204"/>
      <c r="W38" s="204"/>
      <c r="X38" s="204"/>
      <c r="Y38" s="18"/>
      <c r="Z38" s="18"/>
      <c r="AA38" s="18"/>
    </row>
    <row r="39">
      <c r="A39" s="414" t="s">
        <v>140</v>
      </c>
      <c r="B39" s="157" t="s">
        <v>1769</v>
      </c>
      <c r="C39" s="142"/>
      <c r="D39" s="144" t="s">
        <v>1883</v>
      </c>
      <c r="E39" s="132"/>
      <c r="F39" s="134">
        <v>46119.0</v>
      </c>
      <c r="G39" s="134">
        <v>46119.0</v>
      </c>
      <c r="H39" s="145" t="s">
        <v>400</v>
      </c>
      <c r="I39" s="135" t="s">
        <v>161</v>
      </c>
      <c r="J39" s="135" t="s">
        <v>34</v>
      </c>
      <c r="K39" s="381"/>
      <c r="L39" s="145">
        <v>6.0</v>
      </c>
      <c r="M39" s="145">
        <v>0.0</v>
      </c>
      <c r="N39" s="142"/>
      <c r="O39" s="142"/>
      <c r="P39" s="160"/>
      <c r="Q39" s="142"/>
      <c r="R39" s="142"/>
      <c r="S39" s="142"/>
      <c r="T39" s="209"/>
      <c r="U39" s="209"/>
      <c r="V39" s="209"/>
      <c r="W39" s="209"/>
      <c r="X39" s="209"/>
      <c r="Y39" s="18"/>
      <c r="Z39" s="18"/>
      <c r="AA39" s="18"/>
    </row>
    <row r="40">
      <c r="A40" s="414" t="s">
        <v>140</v>
      </c>
      <c r="B40" s="145" t="s">
        <v>1771</v>
      </c>
      <c r="C40" s="142"/>
      <c r="D40" s="427" t="s">
        <v>1884</v>
      </c>
      <c r="E40" s="132"/>
      <c r="F40" s="134">
        <v>46119.0</v>
      </c>
      <c r="G40" s="134">
        <v>46120.0</v>
      </c>
      <c r="H40" s="145" t="s">
        <v>400</v>
      </c>
      <c r="I40" s="135" t="s">
        <v>161</v>
      </c>
      <c r="J40" s="135" t="s">
        <v>34</v>
      </c>
      <c r="K40" s="381"/>
      <c r="L40" s="145">
        <v>3.0</v>
      </c>
      <c r="M40" s="145">
        <v>0.0</v>
      </c>
      <c r="N40" s="142"/>
      <c r="O40" s="142"/>
      <c r="P40" s="160"/>
      <c r="Q40" s="142"/>
      <c r="R40" s="142"/>
      <c r="S40" s="142"/>
      <c r="T40" s="209"/>
      <c r="U40" s="209"/>
      <c r="V40" s="209"/>
      <c r="W40" s="209"/>
      <c r="X40" s="209"/>
      <c r="Y40" s="18"/>
      <c r="Z40" s="18"/>
      <c r="AA40" s="18"/>
    </row>
    <row r="41">
      <c r="A41" s="414" t="s">
        <v>140</v>
      </c>
      <c r="B41" s="145" t="s">
        <v>141</v>
      </c>
      <c r="C41" s="138"/>
      <c r="D41" s="131" t="s">
        <v>1885</v>
      </c>
      <c r="E41" s="132"/>
      <c r="F41" s="134">
        <v>46120.0</v>
      </c>
      <c r="G41" s="134">
        <v>46120.0</v>
      </c>
      <c r="H41" s="145" t="s">
        <v>400</v>
      </c>
      <c r="I41" s="135" t="s">
        <v>161</v>
      </c>
      <c r="J41" s="135" t="s">
        <v>34</v>
      </c>
      <c r="K41" s="381"/>
      <c r="L41" s="133"/>
      <c r="M41" s="133"/>
      <c r="N41" s="138"/>
      <c r="O41" s="138"/>
      <c r="P41" s="160"/>
      <c r="Q41" s="138"/>
      <c r="R41" s="138"/>
      <c r="S41" s="138"/>
      <c r="T41" s="204"/>
      <c r="U41" s="204"/>
      <c r="V41" s="204"/>
      <c r="W41" s="204"/>
      <c r="X41" s="204"/>
      <c r="Y41" s="18"/>
      <c r="Z41" s="18"/>
      <c r="AA41" s="18"/>
    </row>
    <row r="42">
      <c r="A42" s="414" t="s">
        <v>140</v>
      </c>
      <c r="B42" s="145" t="s">
        <v>1770</v>
      </c>
      <c r="C42" s="138"/>
      <c r="D42" s="428" t="s">
        <v>1770</v>
      </c>
      <c r="E42" s="429"/>
      <c r="F42" s="134">
        <v>46121.0</v>
      </c>
      <c r="G42" s="134">
        <v>46129.0</v>
      </c>
      <c r="H42" s="145" t="s">
        <v>400</v>
      </c>
      <c r="I42" s="135" t="s">
        <v>39</v>
      </c>
      <c r="J42" s="135" t="s">
        <v>55</v>
      </c>
      <c r="K42" s="381"/>
      <c r="L42" s="157">
        <v>90.0</v>
      </c>
      <c r="M42" s="133"/>
      <c r="O42" s="131" t="s">
        <v>1886</v>
      </c>
      <c r="P42" s="160"/>
      <c r="Q42" s="138"/>
      <c r="R42" s="138"/>
      <c r="S42" s="138"/>
      <c r="T42" s="204"/>
      <c r="U42" s="204"/>
      <c r="V42" s="204"/>
      <c r="W42" s="204"/>
      <c r="X42" s="204"/>
      <c r="Y42" s="18"/>
      <c r="Z42" s="18"/>
      <c r="AA42" s="18"/>
    </row>
    <row r="43">
      <c r="A43" s="414" t="s">
        <v>140</v>
      </c>
      <c r="B43" s="145" t="s">
        <v>1770</v>
      </c>
      <c r="C43" s="138"/>
      <c r="D43" s="430" t="s">
        <v>1887</v>
      </c>
      <c r="E43" s="132"/>
      <c r="F43" s="134">
        <v>46120.0</v>
      </c>
      <c r="G43" s="134">
        <v>46120.0</v>
      </c>
      <c r="H43" s="145" t="s">
        <v>400</v>
      </c>
      <c r="I43" s="135" t="s">
        <v>161</v>
      </c>
      <c r="J43" s="135" t="s">
        <v>55</v>
      </c>
      <c r="K43" s="431"/>
      <c r="L43" s="157">
        <v>3.0</v>
      </c>
      <c r="M43" s="133"/>
      <c r="N43" s="138"/>
      <c r="O43" s="138"/>
      <c r="P43" s="160"/>
      <c r="Q43" s="138"/>
      <c r="R43" s="138"/>
      <c r="S43" s="138"/>
      <c r="T43" s="204"/>
      <c r="U43" s="204"/>
      <c r="V43" s="204"/>
      <c r="W43" s="204"/>
      <c r="X43" s="204"/>
      <c r="Y43" s="18"/>
      <c r="Z43" s="18"/>
      <c r="AA43" s="18"/>
    </row>
    <row r="44">
      <c r="A44" s="414" t="s">
        <v>140</v>
      </c>
      <c r="B44" s="145" t="s">
        <v>1770</v>
      </c>
      <c r="C44" s="138"/>
      <c r="D44" s="430" t="s">
        <v>1888</v>
      </c>
      <c r="E44" s="132"/>
      <c r="F44" s="134">
        <v>46120.0</v>
      </c>
      <c r="G44" s="134">
        <v>46120.0</v>
      </c>
      <c r="H44" s="145" t="s">
        <v>400</v>
      </c>
      <c r="I44" s="135" t="s">
        <v>161</v>
      </c>
      <c r="J44" s="135" t="s">
        <v>55</v>
      </c>
      <c r="K44" s="431"/>
      <c r="L44" s="157">
        <v>3.0</v>
      </c>
      <c r="M44" s="133"/>
      <c r="N44" s="138"/>
      <c r="O44" s="138"/>
      <c r="P44" s="160"/>
      <c r="Q44" s="138"/>
      <c r="R44" s="138"/>
      <c r="S44" s="138"/>
      <c r="T44" s="204"/>
      <c r="U44" s="204"/>
      <c r="V44" s="204"/>
      <c r="W44" s="204"/>
      <c r="X44" s="204"/>
      <c r="Y44" s="18"/>
      <c r="Z44" s="18"/>
      <c r="AA44" s="18"/>
    </row>
    <row r="45">
      <c r="A45" s="414" t="s">
        <v>140</v>
      </c>
      <c r="B45" s="145" t="s">
        <v>1770</v>
      </c>
      <c r="C45" s="138"/>
      <c r="D45" s="430" t="s">
        <v>1889</v>
      </c>
      <c r="E45" s="132"/>
      <c r="F45" s="134">
        <v>46120.0</v>
      </c>
      <c r="G45" s="134">
        <v>46120.0</v>
      </c>
      <c r="H45" s="145" t="s">
        <v>400</v>
      </c>
      <c r="I45" s="135" t="s">
        <v>161</v>
      </c>
      <c r="J45" s="135" t="s">
        <v>55</v>
      </c>
      <c r="K45" s="431"/>
      <c r="L45" s="157">
        <v>3.0</v>
      </c>
      <c r="M45" s="133"/>
      <c r="N45" s="138"/>
      <c r="O45" s="138"/>
      <c r="P45" s="160"/>
      <c r="Q45" s="138"/>
      <c r="R45" s="138"/>
      <c r="S45" s="138"/>
      <c r="T45" s="204"/>
      <c r="U45" s="204"/>
      <c r="V45" s="204"/>
      <c r="W45" s="204"/>
      <c r="X45" s="204"/>
      <c r="Y45" s="18"/>
      <c r="Z45" s="18"/>
      <c r="AA45" s="18"/>
    </row>
    <row r="46">
      <c r="A46" s="414" t="s">
        <v>140</v>
      </c>
      <c r="B46" s="145" t="s">
        <v>1770</v>
      </c>
      <c r="C46" s="138"/>
      <c r="D46" s="430" t="s">
        <v>1890</v>
      </c>
      <c r="E46" s="132"/>
      <c r="F46" s="134">
        <v>46121.0</v>
      </c>
      <c r="G46" s="134">
        <v>46121.0</v>
      </c>
      <c r="H46" s="145" t="s">
        <v>400</v>
      </c>
      <c r="I46" s="135" t="s">
        <v>161</v>
      </c>
      <c r="J46" s="135" t="s">
        <v>55</v>
      </c>
      <c r="K46" s="431"/>
      <c r="L46" s="157">
        <v>3.0</v>
      </c>
      <c r="M46" s="133"/>
      <c r="N46" s="138"/>
      <c r="O46" s="138"/>
      <c r="P46" s="160"/>
      <c r="Q46" s="138"/>
      <c r="R46" s="138"/>
      <c r="S46" s="138"/>
      <c r="T46" s="204"/>
      <c r="U46" s="204"/>
      <c r="V46" s="204"/>
      <c r="W46" s="204"/>
      <c r="X46" s="204"/>
      <c r="Y46" s="18"/>
      <c r="Z46" s="18"/>
      <c r="AA46" s="18"/>
    </row>
    <row r="47">
      <c r="A47" s="414" t="s">
        <v>140</v>
      </c>
      <c r="B47" s="145" t="s">
        <v>1770</v>
      </c>
      <c r="C47" s="138"/>
      <c r="D47" s="430" t="s">
        <v>1891</v>
      </c>
      <c r="E47" s="132"/>
      <c r="F47" s="134">
        <v>46121.0</v>
      </c>
      <c r="G47" s="134">
        <v>46121.0</v>
      </c>
      <c r="H47" s="145" t="s">
        <v>400</v>
      </c>
      <c r="I47" s="135" t="s">
        <v>161</v>
      </c>
      <c r="J47" s="135" t="s">
        <v>55</v>
      </c>
      <c r="K47" s="431"/>
      <c r="L47" s="157">
        <v>3.0</v>
      </c>
      <c r="M47" s="133"/>
      <c r="N47" s="138"/>
      <c r="O47" s="138"/>
      <c r="P47" s="160"/>
      <c r="Q47" s="138"/>
      <c r="R47" s="138"/>
      <c r="S47" s="138"/>
      <c r="T47" s="204"/>
      <c r="U47" s="204"/>
      <c r="V47" s="204"/>
      <c r="W47" s="204"/>
      <c r="X47" s="204"/>
      <c r="Y47" s="18"/>
      <c r="Z47" s="18"/>
      <c r="AA47" s="18"/>
    </row>
    <row r="48">
      <c r="A48" s="414" t="s">
        <v>140</v>
      </c>
      <c r="B48" s="145" t="s">
        <v>1770</v>
      </c>
      <c r="C48" s="138"/>
      <c r="D48" s="430" t="s">
        <v>1892</v>
      </c>
      <c r="E48" s="132"/>
      <c r="F48" s="134">
        <v>46121.0</v>
      </c>
      <c r="G48" s="134">
        <v>46121.0</v>
      </c>
      <c r="H48" s="145" t="s">
        <v>400</v>
      </c>
      <c r="I48" s="135" t="s">
        <v>161</v>
      </c>
      <c r="J48" s="135" t="s">
        <v>55</v>
      </c>
      <c r="K48" s="431"/>
      <c r="L48" s="157">
        <v>3.0</v>
      </c>
      <c r="M48" s="133"/>
      <c r="N48" s="138"/>
      <c r="O48" s="138"/>
      <c r="P48" s="160"/>
      <c r="Q48" s="138"/>
      <c r="R48" s="138"/>
      <c r="S48" s="138"/>
      <c r="T48" s="204"/>
      <c r="U48" s="204"/>
      <c r="V48" s="204"/>
      <c r="W48" s="204"/>
      <c r="X48" s="204"/>
      <c r="Y48" s="18"/>
      <c r="Z48" s="18"/>
      <c r="AA48" s="18"/>
    </row>
    <row r="49">
      <c r="A49" s="414" t="s">
        <v>140</v>
      </c>
      <c r="B49" s="145" t="s">
        <v>1770</v>
      </c>
      <c r="C49" s="138"/>
      <c r="D49" s="430" t="s">
        <v>1893</v>
      </c>
      <c r="E49" s="132"/>
      <c r="F49" s="134">
        <v>46122.0</v>
      </c>
      <c r="G49" s="134">
        <v>46122.0</v>
      </c>
      <c r="H49" s="145" t="s">
        <v>400</v>
      </c>
      <c r="I49" s="135" t="s">
        <v>161</v>
      </c>
      <c r="J49" s="135" t="s">
        <v>55</v>
      </c>
      <c r="K49" s="431"/>
      <c r="L49" s="157">
        <v>5.0</v>
      </c>
      <c r="M49" s="133"/>
      <c r="N49" s="138"/>
      <c r="O49" s="138"/>
      <c r="P49" s="160"/>
      <c r="Q49" s="138"/>
      <c r="R49" s="138"/>
      <c r="S49" s="138"/>
      <c r="T49" s="204"/>
      <c r="U49" s="204"/>
      <c r="V49" s="204"/>
      <c r="W49" s="204"/>
      <c r="X49" s="204"/>
      <c r="Y49" s="18"/>
      <c r="Z49" s="18"/>
      <c r="AA49" s="18"/>
    </row>
    <row r="50">
      <c r="A50" s="412" t="s">
        <v>1838</v>
      </c>
      <c r="B50" s="157" t="s">
        <v>1769</v>
      </c>
      <c r="C50" s="142"/>
      <c r="D50" s="131" t="s">
        <v>1894</v>
      </c>
      <c r="E50" s="132"/>
      <c r="F50" s="134">
        <v>46120.0</v>
      </c>
      <c r="G50" s="134">
        <v>46122.0</v>
      </c>
      <c r="H50" s="145" t="s">
        <v>400</v>
      </c>
      <c r="I50" s="135" t="s">
        <v>161</v>
      </c>
      <c r="J50" s="135" t="s">
        <v>34</v>
      </c>
      <c r="K50" s="381"/>
      <c r="L50" s="145">
        <v>2.0</v>
      </c>
      <c r="M50" s="145">
        <v>5.0</v>
      </c>
      <c r="N50" s="142"/>
      <c r="O50" s="142"/>
      <c r="P50" s="160"/>
      <c r="Q50" s="142"/>
      <c r="R50" s="142"/>
      <c r="S50" s="142"/>
      <c r="T50" s="209"/>
      <c r="U50" s="209"/>
      <c r="V50" s="209"/>
      <c r="W50" s="209"/>
      <c r="X50" s="209"/>
      <c r="Y50" s="18"/>
      <c r="Z50" s="18"/>
      <c r="AA50" s="18"/>
    </row>
    <row r="51">
      <c r="A51" s="414" t="s">
        <v>140</v>
      </c>
      <c r="B51" s="145" t="s">
        <v>1770</v>
      </c>
      <c r="C51" s="138"/>
      <c r="D51" s="430" t="s">
        <v>1895</v>
      </c>
      <c r="E51" s="132"/>
      <c r="F51" s="134">
        <v>46122.0</v>
      </c>
      <c r="G51" s="134">
        <v>46125.0</v>
      </c>
      <c r="H51" s="145" t="s">
        <v>400</v>
      </c>
      <c r="I51" s="135" t="s">
        <v>161</v>
      </c>
      <c r="J51" s="135" t="s">
        <v>55</v>
      </c>
      <c r="K51" s="431"/>
      <c r="L51" s="157">
        <v>8.0</v>
      </c>
      <c r="M51" s="157">
        <v>12.0</v>
      </c>
      <c r="N51" s="138"/>
      <c r="O51" s="131" t="s">
        <v>1896</v>
      </c>
      <c r="P51" s="160"/>
      <c r="Q51" s="138"/>
      <c r="R51" s="138"/>
      <c r="S51" s="138"/>
      <c r="T51" s="204"/>
      <c r="U51" s="204"/>
      <c r="V51" s="204"/>
      <c r="W51" s="204"/>
      <c r="X51" s="204"/>
      <c r="Y51" s="18"/>
      <c r="Z51" s="18"/>
      <c r="AA51" s="18"/>
    </row>
    <row r="52">
      <c r="A52" s="414" t="s">
        <v>140</v>
      </c>
      <c r="B52" s="145" t="s">
        <v>1770</v>
      </c>
      <c r="C52" s="142"/>
      <c r="D52" s="34" t="s">
        <v>1897</v>
      </c>
      <c r="E52" s="429"/>
      <c r="F52" s="134">
        <v>46126.0</v>
      </c>
      <c r="G52" s="134">
        <v>46126.0</v>
      </c>
      <c r="H52" s="145" t="s">
        <v>400</v>
      </c>
      <c r="I52" s="135" t="s">
        <v>161</v>
      </c>
      <c r="J52" s="135" t="s">
        <v>55</v>
      </c>
      <c r="K52" s="381"/>
      <c r="L52" s="145">
        <v>6.0</v>
      </c>
      <c r="M52" s="145">
        <v>6.0</v>
      </c>
      <c r="N52" s="142"/>
      <c r="O52" s="144" t="s">
        <v>1898</v>
      </c>
      <c r="P52" s="160"/>
      <c r="Q52" s="142"/>
      <c r="R52" s="142"/>
      <c r="S52" s="142"/>
      <c r="T52" s="209"/>
      <c r="U52" s="209"/>
      <c r="V52" s="209"/>
      <c r="W52" s="209"/>
      <c r="X52" s="209"/>
      <c r="Y52" s="18"/>
      <c r="Z52" s="18"/>
      <c r="AA52" s="18"/>
    </row>
    <row r="53">
      <c r="A53" s="414" t="s">
        <v>140</v>
      </c>
      <c r="B53" s="145" t="s">
        <v>1770</v>
      </c>
      <c r="C53" s="142"/>
      <c r="D53" s="34" t="s">
        <v>1899</v>
      </c>
      <c r="E53" s="429"/>
      <c r="F53" s="134">
        <v>46127.0</v>
      </c>
      <c r="G53" s="134">
        <v>46127.0</v>
      </c>
      <c r="H53" s="145" t="s">
        <v>400</v>
      </c>
      <c r="I53" s="135" t="s">
        <v>161</v>
      </c>
      <c r="J53" s="135" t="s">
        <v>55</v>
      </c>
      <c r="K53" s="381"/>
      <c r="L53" s="145">
        <v>6.0</v>
      </c>
      <c r="M53" s="145">
        <v>6.0</v>
      </c>
      <c r="N53" s="142"/>
      <c r="O53" s="144" t="s">
        <v>1900</v>
      </c>
      <c r="P53" s="160"/>
      <c r="Q53" s="142"/>
      <c r="R53" s="142"/>
      <c r="S53" s="142"/>
      <c r="T53" s="209"/>
      <c r="U53" s="209"/>
      <c r="V53" s="209"/>
      <c r="W53" s="209"/>
      <c r="X53" s="209"/>
      <c r="Y53" s="18"/>
      <c r="Z53" s="18"/>
      <c r="AA53" s="18"/>
    </row>
    <row r="54">
      <c r="A54" s="414" t="s">
        <v>140</v>
      </c>
      <c r="B54" s="145" t="s">
        <v>1771</v>
      </c>
      <c r="C54" s="142"/>
      <c r="D54" s="34" t="s">
        <v>1901</v>
      </c>
      <c r="E54" s="429"/>
      <c r="F54" s="134">
        <v>46127.0</v>
      </c>
      <c r="G54" s="134">
        <v>46129.0</v>
      </c>
      <c r="H54" s="145" t="s">
        <v>400</v>
      </c>
      <c r="I54" s="135" t="s">
        <v>161</v>
      </c>
      <c r="J54" s="135" t="s">
        <v>55</v>
      </c>
      <c r="K54" s="381"/>
      <c r="L54" s="145">
        <v>2.0</v>
      </c>
      <c r="M54" s="145">
        <v>2.0</v>
      </c>
      <c r="N54" s="142"/>
      <c r="O54" s="432" t="s">
        <v>1902</v>
      </c>
      <c r="P54" s="160"/>
      <c r="Q54" s="142"/>
      <c r="R54" s="142"/>
      <c r="S54" s="142"/>
      <c r="T54" s="209"/>
      <c r="U54" s="209"/>
      <c r="V54" s="209"/>
      <c r="W54" s="209"/>
      <c r="X54" s="209"/>
      <c r="Y54" s="18"/>
      <c r="Z54" s="18"/>
      <c r="AA54" s="18"/>
    </row>
    <row r="55">
      <c r="A55" s="433"/>
      <c r="B55" s="434"/>
      <c r="C55" s="435"/>
      <c r="D55" s="436"/>
      <c r="E55" s="437"/>
      <c r="F55" s="438"/>
      <c r="G55" s="438"/>
      <c r="H55" s="434"/>
      <c r="I55" s="439"/>
      <c r="J55" s="439"/>
      <c r="K55" s="440"/>
      <c r="L55" s="434"/>
      <c r="M55" s="441"/>
      <c r="N55" s="435"/>
      <c r="O55" s="442"/>
      <c r="P55" s="160"/>
      <c r="Q55" s="435"/>
      <c r="R55" s="435"/>
      <c r="S55" s="435"/>
      <c r="T55" s="440"/>
      <c r="U55" s="440"/>
      <c r="V55" s="440"/>
      <c r="W55" s="440"/>
      <c r="X55" s="440"/>
      <c r="Y55" s="443"/>
      <c r="Z55" s="443"/>
      <c r="AA55" s="443"/>
    </row>
    <row r="56">
      <c r="A56" s="423" t="s">
        <v>1320</v>
      </c>
      <c r="B56" s="145" t="s">
        <v>1321</v>
      </c>
      <c r="C56" s="142"/>
      <c r="D56" s="144" t="s">
        <v>1903</v>
      </c>
      <c r="E56" s="132"/>
      <c r="F56" s="134">
        <v>46129.0</v>
      </c>
      <c r="G56" s="134">
        <v>46129.0</v>
      </c>
      <c r="H56" s="145" t="s">
        <v>400</v>
      </c>
      <c r="I56" s="135" t="s">
        <v>161</v>
      </c>
      <c r="J56" s="135" t="s">
        <v>34</v>
      </c>
      <c r="K56" s="381"/>
      <c r="L56" s="426">
        <v>6.0</v>
      </c>
      <c r="M56" s="145">
        <v>6.0</v>
      </c>
      <c r="N56" s="142"/>
      <c r="O56" s="142"/>
      <c r="P56" s="160"/>
      <c r="Q56" s="142"/>
      <c r="R56" s="142"/>
      <c r="S56" s="142"/>
      <c r="T56" s="209"/>
      <c r="U56" s="209"/>
      <c r="V56" s="209"/>
      <c r="W56" s="209"/>
      <c r="X56" s="209"/>
      <c r="Y56" s="18"/>
      <c r="Z56" s="18"/>
      <c r="AA56" s="18"/>
    </row>
    <row r="57">
      <c r="A57" s="423" t="s">
        <v>1320</v>
      </c>
      <c r="B57" s="145" t="s">
        <v>1321</v>
      </c>
      <c r="C57" s="142"/>
      <c r="D57" s="144" t="s">
        <v>1904</v>
      </c>
      <c r="E57" s="132"/>
      <c r="F57" s="134">
        <v>46132.0</v>
      </c>
      <c r="G57" s="134">
        <v>46132.0</v>
      </c>
      <c r="H57" s="145" t="s">
        <v>400</v>
      </c>
      <c r="I57" s="135" t="s">
        <v>161</v>
      </c>
      <c r="J57" s="135" t="s">
        <v>55</v>
      </c>
      <c r="K57" s="381"/>
      <c r="L57" s="426">
        <v>5.0</v>
      </c>
      <c r="M57" s="145">
        <v>5.0</v>
      </c>
      <c r="N57" s="142"/>
      <c r="O57" s="142"/>
      <c r="P57" s="160"/>
      <c r="Q57" s="142"/>
      <c r="R57" s="142"/>
      <c r="S57" s="142"/>
      <c r="T57" s="209"/>
      <c r="U57" s="209"/>
      <c r="V57" s="209"/>
      <c r="W57" s="209"/>
      <c r="X57" s="209"/>
      <c r="Y57" s="18"/>
      <c r="Z57" s="18"/>
      <c r="AA57" s="18"/>
    </row>
    <row r="58">
      <c r="A58" s="414" t="s">
        <v>140</v>
      </c>
      <c r="B58" s="434" t="s">
        <v>1769</v>
      </c>
      <c r="C58" s="142"/>
      <c r="D58" s="144" t="s">
        <v>1905</v>
      </c>
      <c r="E58" s="132"/>
      <c r="F58" s="134"/>
      <c r="G58" s="134"/>
      <c r="H58" s="145" t="s">
        <v>400</v>
      </c>
      <c r="I58" s="135" t="s">
        <v>161</v>
      </c>
      <c r="J58" s="135"/>
      <c r="K58" s="381"/>
      <c r="L58" s="426">
        <v>4.0</v>
      </c>
      <c r="M58" s="145">
        <v>4.0</v>
      </c>
      <c r="N58" s="142"/>
      <c r="O58" s="144" t="s">
        <v>1906</v>
      </c>
      <c r="P58" s="160"/>
      <c r="Q58" s="142"/>
      <c r="R58" s="142"/>
      <c r="S58" s="142"/>
      <c r="T58" s="209"/>
      <c r="U58" s="209"/>
      <c r="V58" s="209"/>
      <c r="W58" s="209"/>
      <c r="X58" s="209"/>
      <c r="Y58" s="18"/>
      <c r="Z58" s="18"/>
      <c r="AA58" s="18"/>
    </row>
    <row r="59">
      <c r="A59" s="414" t="s">
        <v>140</v>
      </c>
      <c r="B59" s="145" t="s">
        <v>141</v>
      </c>
      <c r="C59" s="142"/>
      <c r="D59" s="144" t="s">
        <v>1907</v>
      </c>
      <c r="E59" s="132"/>
      <c r="F59" s="134">
        <v>46133.0</v>
      </c>
      <c r="G59" s="134">
        <v>46133.0</v>
      </c>
      <c r="H59" s="145" t="s">
        <v>400</v>
      </c>
      <c r="I59" s="135" t="s">
        <v>161</v>
      </c>
      <c r="J59" s="135" t="s">
        <v>55</v>
      </c>
      <c r="K59" s="381"/>
      <c r="L59" s="426">
        <v>6.0</v>
      </c>
      <c r="M59" s="145">
        <v>6.0</v>
      </c>
      <c r="N59" s="142"/>
      <c r="O59" s="142"/>
      <c r="P59" s="160"/>
      <c r="Q59" s="142"/>
      <c r="R59" s="142"/>
      <c r="S59" s="142"/>
      <c r="T59" s="209"/>
      <c r="U59" s="209"/>
      <c r="V59" s="209"/>
      <c r="W59" s="209"/>
      <c r="X59" s="209"/>
      <c r="Y59" s="18"/>
      <c r="Z59" s="18"/>
      <c r="AA59" s="18"/>
    </row>
    <row r="60">
      <c r="A60" s="414" t="s">
        <v>140</v>
      </c>
      <c r="B60" s="111" t="s">
        <v>1908</v>
      </c>
      <c r="D60" s="333" t="s">
        <v>1909</v>
      </c>
      <c r="F60" s="134">
        <v>46129.0</v>
      </c>
      <c r="G60" s="134">
        <v>46134.0</v>
      </c>
      <c r="H60" s="145" t="s">
        <v>400</v>
      </c>
      <c r="I60" s="135" t="s">
        <v>161</v>
      </c>
      <c r="J60" s="135" t="s">
        <v>55</v>
      </c>
      <c r="L60" s="111">
        <v>8.0</v>
      </c>
      <c r="M60" s="111">
        <v>8.0</v>
      </c>
      <c r="O60" s="444" t="s">
        <v>1910</v>
      </c>
      <c r="P60" s="160"/>
    </row>
    <row r="61">
      <c r="A61" s="423" t="s">
        <v>1320</v>
      </c>
      <c r="B61" s="145" t="s">
        <v>1321</v>
      </c>
      <c r="C61" s="142"/>
      <c r="D61" s="144" t="s">
        <v>1911</v>
      </c>
      <c r="E61" s="132"/>
      <c r="F61" s="134">
        <v>46133.0</v>
      </c>
      <c r="G61" s="134">
        <v>46133.0</v>
      </c>
      <c r="H61" s="145" t="s">
        <v>400</v>
      </c>
      <c r="I61" s="135" t="s">
        <v>161</v>
      </c>
      <c r="J61" s="135" t="s">
        <v>27</v>
      </c>
      <c r="K61" s="381"/>
      <c r="L61" s="426">
        <v>3.0</v>
      </c>
      <c r="M61" s="145">
        <v>3.0</v>
      </c>
      <c r="N61" s="142"/>
      <c r="O61" s="142"/>
      <c r="P61" s="160"/>
      <c r="Q61" s="142"/>
      <c r="R61" s="142"/>
      <c r="S61" s="142"/>
      <c r="T61" s="209"/>
      <c r="U61" s="209"/>
      <c r="V61" s="209"/>
      <c r="W61" s="209"/>
      <c r="X61" s="209"/>
      <c r="Y61" s="18"/>
      <c r="Z61" s="18"/>
      <c r="AA61" s="18"/>
    </row>
    <row r="62">
      <c r="A62" s="423" t="s">
        <v>1320</v>
      </c>
      <c r="B62" s="145" t="s">
        <v>1321</v>
      </c>
      <c r="C62" s="142"/>
      <c r="D62" s="144" t="s">
        <v>1912</v>
      </c>
      <c r="E62" s="132"/>
      <c r="F62" s="134">
        <v>46136.0</v>
      </c>
      <c r="G62" s="134">
        <v>46136.0</v>
      </c>
      <c r="H62" s="145" t="s">
        <v>400</v>
      </c>
      <c r="I62" s="135" t="s">
        <v>161</v>
      </c>
      <c r="J62" s="135" t="s">
        <v>34</v>
      </c>
      <c r="K62" s="381"/>
      <c r="L62" s="426"/>
      <c r="M62" s="145"/>
      <c r="N62" s="142"/>
      <c r="O62" s="142"/>
      <c r="P62" s="160"/>
      <c r="Q62" s="142"/>
      <c r="R62" s="142"/>
      <c r="S62" s="142"/>
      <c r="T62" s="209"/>
      <c r="U62" s="209"/>
      <c r="V62" s="209"/>
      <c r="W62" s="209"/>
      <c r="X62" s="209"/>
      <c r="Y62" s="18"/>
      <c r="Z62" s="18"/>
      <c r="AA62" s="18"/>
    </row>
    <row r="63">
      <c r="A63" s="414" t="s">
        <v>140</v>
      </c>
      <c r="B63" s="157" t="s">
        <v>1769</v>
      </c>
      <c r="C63" s="142"/>
      <c r="D63" s="144" t="s">
        <v>1913</v>
      </c>
      <c r="E63" s="132"/>
      <c r="F63" s="134">
        <v>46136.0</v>
      </c>
      <c r="G63" s="134">
        <v>46136.0</v>
      </c>
      <c r="H63" s="145" t="s">
        <v>400</v>
      </c>
      <c r="I63" s="135" t="s">
        <v>161</v>
      </c>
      <c r="J63" s="135" t="s">
        <v>34</v>
      </c>
      <c r="K63" s="381"/>
      <c r="L63" s="426"/>
      <c r="M63" s="145"/>
      <c r="N63" s="142"/>
      <c r="O63" s="142"/>
      <c r="P63" s="160"/>
      <c r="Q63" s="142"/>
      <c r="R63" s="142"/>
      <c r="S63" s="142"/>
      <c r="T63" s="209"/>
      <c r="U63" s="209"/>
      <c r="V63" s="209"/>
      <c r="W63" s="209"/>
      <c r="X63" s="209"/>
      <c r="Y63" s="18"/>
      <c r="Z63" s="18"/>
      <c r="AA63" s="18"/>
    </row>
    <row r="64">
      <c r="A64" s="414" t="s">
        <v>140</v>
      </c>
      <c r="B64" s="145" t="s">
        <v>1770</v>
      </c>
      <c r="C64" s="142"/>
      <c r="D64" s="144" t="s">
        <v>1914</v>
      </c>
      <c r="E64" s="132"/>
      <c r="F64" s="134">
        <v>46136.0</v>
      </c>
      <c r="G64" s="134">
        <v>46136.0</v>
      </c>
      <c r="H64" s="145" t="s">
        <v>400</v>
      </c>
      <c r="I64" s="135" t="s">
        <v>161</v>
      </c>
      <c r="J64" s="135" t="s">
        <v>34</v>
      </c>
      <c r="K64" s="381"/>
      <c r="L64" s="426"/>
      <c r="M64" s="145"/>
      <c r="N64" s="142"/>
      <c r="O64" s="142"/>
      <c r="P64" s="160"/>
      <c r="Q64" s="142"/>
      <c r="R64" s="142"/>
      <c r="S64" s="142"/>
      <c r="T64" s="209"/>
      <c r="U64" s="209"/>
      <c r="V64" s="209"/>
      <c r="W64" s="209"/>
      <c r="X64" s="209"/>
      <c r="Y64" s="18"/>
      <c r="Z64" s="18"/>
      <c r="AA64" s="18"/>
    </row>
    <row r="65">
      <c r="A65" s="414" t="s">
        <v>140</v>
      </c>
      <c r="B65" s="157" t="s">
        <v>1769</v>
      </c>
      <c r="C65" s="142"/>
      <c r="D65" s="111" t="s">
        <v>1915</v>
      </c>
      <c r="E65" s="132"/>
      <c r="F65" s="134">
        <v>46139.0</v>
      </c>
      <c r="G65" s="134">
        <v>46141.0</v>
      </c>
      <c r="H65" s="145" t="s">
        <v>400</v>
      </c>
      <c r="I65" s="135" t="s">
        <v>161</v>
      </c>
      <c r="J65" s="135" t="s">
        <v>34</v>
      </c>
      <c r="K65" s="381"/>
      <c r="L65" s="426">
        <v>4.0</v>
      </c>
      <c r="M65" s="145"/>
      <c r="N65" s="142"/>
      <c r="P65" s="144" t="s">
        <v>1916</v>
      </c>
      <c r="Q65" s="142"/>
      <c r="R65" s="142"/>
      <c r="S65" s="142"/>
      <c r="T65" s="209"/>
      <c r="U65" s="209"/>
      <c r="V65" s="209"/>
      <c r="W65" s="209"/>
      <c r="X65" s="209"/>
      <c r="Y65" s="18"/>
      <c r="Z65" s="18"/>
      <c r="AA65" s="18"/>
    </row>
    <row r="66">
      <c r="A66" s="414" t="s">
        <v>140</v>
      </c>
      <c r="B66" s="157" t="s">
        <v>1769</v>
      </c>
      <c r="C66" s="142"/>
      <c r="D66" s="111" t="s">
        <v>1917</v>
      </c>
      <c r="E66" s="132"/>
      <c r="F66" s="134">
        <v>46139.0</v>
      </c>
      <c r="G66" s="134">
        <v>46139.0</v>
      </c>
      <c r="H66" s="145" t="s">
        <v>400</v>
      </c>
      <c r="I66" s="135" t="s">
        <v>161</v>
      </c>
      <c r="J66" s="135" t="s">
        <v>34</v>
      </c>
      <c r="K66" s="381"/>
      <c r="L66" s="426"/>
      <c r="M66" s="145"/>
      <c r="N66" s="142"/>
      <c r="O66" s="111" t="s">
        <v>1918</v>
      </c>
      <c r="P66" s="111" t="s">
        <v>1919</v>
      </c>
      <c r="Q66" s="142"/>
      <c r="R66" s="142"/>
      <c r="S66" s="142"/>
      <c r="T66" s="209"/>
      <c r="U66" s="209"/>
      <c r="V66" s="209"/>
      <c r="W66" s="209"/>
      <c r="X66" s="209"/>
      <c r="Y66" s="18"/>
      <c r="Z66" s="18"/>
      <c r="AA66" s="18"/>
    </row>
    <row r="67">
      <c r="A67" s="414" t="s">
        <v>140</v>
      </c>
      <c r="B67" s="145" t="s">
        <v>141</v>
      </c>
      <c r="C67" s="142"/>
      <c r="D67" s="320" t="s">
        <v>1920</v>
      </c>
      <c r="E67" s="429"/>
      <c r="F67" s="134">
        <v>46140.0</v>
      </c>
      <c r="G67" s="134">
        <v>46141.0</v>
      </c>
      <c r="H67" s="145" t="s">
        <v>400</v>
      </c>
      <c r="I67" s="135" t="s">
        <v>161</v>
      </c>
      <c r="J67" s="135"/>
      <c r="K67" s="381"/>
      <c r="L67" s="145">
        <v>4.0</v>
      </c>
      <c r="M67" s="140"/>
      <c r="N67" s="142"/>
      <c r="O67" s="209"/>
      <c r="P67" s="18"/>
      <c r="Q67" s="142"/>
      <c r="R67" s="142"/>
      <c r="S67" s="142"/>
      <c r="T67" s="209"/>
      <c r="U67" s="209"/>
      <c r="V67" s="209"/>
      <c r="W67" s="209"/>
      <c r="X67" s="209"/>
      <c r="Y67" s="18"/>
      <c r="Z67" s="18"/>
      <c r="AA67" s="18"/>
    </row>
    <row r="68">
      <c r="A68" s="414" t="s">
        <v>140</v>
      </c>
      <c r="B68" s="145" t="s">
        <v>141</v>
      </c>
      <c r="C68" s="142"/>
      <c r="D68" s="320" t="s">
        <v>1921</v>
      </c>
      <c r="E68" s="429"/>
      <c r="F68" s="134">
        <v>46140.0</v>
      </c>
      <c r="G68" s="134">
        <v>46140.0</v>
      </c>
      <c r="H68" s="145" t="s">
        <v>400</v>
      </c>
      <c r="I68" s="135" t="s">
        <v>161</v>
      </c>
      <c r="J68" s="135"/>
      <c r="K68" s="381"/>
      <c r="L68" s="145">
        <v>3.0</v>
      </c>
      <c r="M68" s="145">
        <v>3.0</v>
      </c>
      <c r="N68" s="142"/>
      <c r="O68" s="209"/>
      <c r="P68" s="18"/>
      <c r="Q68" s="142"/>
      <c r="R68" s="142"/>
      <c r="S68" s="142"/>
      <c r="T68" s="209"/>
      <c r="U68" s="209"/>
      <c r="V68" s="209"/>
      <c r="W68" s="209"/>
      <c r="X68" s="209"/>
      <c r="Y68" s="18"/>
      <c r="Z68" s="18"/>
      <c r="AA68" s="18"/>
    </row>
    <row r="69">
      <c r="A69" s="414" t="s">
        <v>140</v>
      </c>
      <c r="B69" s="145" t="s">
        <v>141</v>
      </c>
      <c r="C69" s="142"/>
      <c r="D69" s="320" t="s">
        <v>1922</v>
      </c>
      <c r="E69" s="429"/>
      <c r="F69" s="134">
        <v>46141.0</v>
      </c>
      <c r="G69" s="134">
        <v>46141.0</v>
      </c>
      <c r="H69" s="145" t="s">
        <v>400</v>
      </c>
      <c r="I69" s="135" t="s">
        <v>161</v>
      </c>
      <c r="J69" s="135"/>
      <c r="K69" s="381"/>
      <c r="L69" s="145">
        <v>2.0</v>
      </c>
      <c r="M69" s="145"/>
      <c r="N69" s="142"/>
      <c r="O69" s="209"/>
      <c r="P69" s="18"/>
      <c r="Q69" s="142"/>
      <c r="R69" s="142"/>
      <c r="S69" s="142"/>
      <c r="T69" s="209"/>
      <c r="U69" s="209"/>
      <c r="V69" s="209"/>
      <c r="W69" s="209"/>
      <c r="X69" s="209"/>
      <c r="Y69" s="18"/>
      <c r="Z69" s="18"/>
      <c r="AA69" s="18"/>
    </row>
    <row r="70">
      <c r="A70" s="414" t="s">
        <v>140</v>
      </c>
      <c r="B70" s="157" t="s">
        <v>1769</v>
      </c>
      <c r="C70" s="142"/>
      <c r="D70" s="320" t="s">
        <v>1923</v>
      </c>
      <c r="E70" s="429"/>
      <c r="F70" s="134">
        <v>46140.0</v>
      </c>
      <c r="G70" s="134">
        <v>46141.0</v>
      </c>
      <c r="H70" s="145" t="s">
        <v>400</v>
      </c>
      <c r="I70" s="135" t="s">
        <v>161</v>
      </c>
      <c r="J70" s="135"/>
      <c r="K70" s="381"/>
      <c r="L70" s="145">
        <v>6.0</v>
      </c>
      <c r="M70" s="145"/>
      <c r="N70" s="142"/>
      <c r="O70" s="209"/>
      <c r="P70" s="20" t="s">
        <v>1924</v>
      </c>
      <c r="Q70" s="142"/>
      <c r="R70" s="142"/>
      <c r="S70" s="142"/>
      <c r="T70" s="209"/>
      <c r="U70" s="209"/>
      <c r="V70" s="209"/>
      <c r="W70" s="209"/>
      <c r="X70" s="209"/>
      <c r="Y70" s="18"/>
      <c r="Z70" s="18"/>
      <c r="AA70" s="18"/>
    </row>
    <row r="71">
      <c r="A71" s="414" t="s">
        <v>140</v>
      </c>
      <c r="B71" s="145" t="s">
        <v>141</v>
      </c>
      <c r="C71" s="142"/>
      <c r="D71" s="320" t="s">
        <v>1925</v>
      </c>
      <c r="E71" s="429"/>
      <c r="F71" s="134">
        <v>46142.0</v>
      </c>
      <c r="G71" s="134">
        <v>46172.0</v>
      </c>
      <c r="H71" s="145" t="s">
        <v>400</v>
      </c>
      <c r="I71" s="135" t="s">
        <v>161</v>
      </c>
      <c r="J71" s="135"/>
      <c r="K71" s="381"/>
      <c r="L71" s="145"/>
      <c r="M71" s="145"/>
      <c r="N71" s="142"/>
      <c r="O71" s="209"/>
      <c r="P71" s="20"/>
      <c r="Q71" s="142"/>
      <c r="R71" s="142"/>
      <c r="S71" s="142"/>
      <c r="T71" s="209"/>
      <c r="U71" s="209"/>
      <c r="V71" s="209"/>
      <c r="W71" s="209"/>
      <c r="X71" s="209"/>
      <c r="Y71" s="18"/>
      <c r="Z71" s="18"/>
      <c r="AA71" s="18"/>
    </row>
    <row r="72">
      <c r="A72" s="414" t="s">
        <v>140</v>
      </c>
      <c r="B72" s="157" t="s">
        <v>1926</v>
      </c>
      <c r="C72" s="142"/>
      <c r="D72" s="320" t="s">
        <v>1927</v>
      </c>
      <c r="E72" s="429"/>
      <c r="F72" s="134">
        <v>46142.0</v>
      </c>
      <c r="G72" s="134">
        <v>46142.0</v>
      </c>
      <c r="H72" s="145" t="s">
        <v>400</v>
      </c>
      <c r="I72" s="135" t="s">
        <v>161</v>
      </c>
      <c r="J72" s="135" t="s">
        <v>34</v>
      </c>
      <c r="K72" s="381"/>
      <c r="L72" s="145"/>
      <c r="M72" s="145"/>
      <c r="N72" s="142"/>
      <c r="O72" s="209"/>
      <c r="P72" s="20"/>
      <c r="Q72" s="142"/>
      <c r="R72" s="142"/>
      <c r="S72" s="142"/>
      <c r="T72" s="209"/>
      <c r="U72" s="209"/>
      <c r="V72" s="209"/>
      <c r="W72" s="209"/>
      <c r="X72" s="209"/>
      <c r="Y72" s="18"/>
      <c r="Z72" s="18"/>
      <c r="AA72" s="18"/>
    </row>
    <row r="73">
      <c r="A73" s="414" t="s">
        <v>140</v>
      </c>
      <c r="B73" s="157" t="s">
        <v>1926</v>
      </c>
      <c r="C73" s="142"/>
      <c r="D73" s="320" t="s">
        <v>1928</v>
      </c>
      <c r="E73" s="429"/>
      <c r="F73" s="134">
        <v>46142.0</v>
      </c>
      <c r="G73" s="134">
        <v>46142.0</v>
      </c>
      <c r="H73" s="145" t="s">
        <v>400</v>
      </c>
      <c r="I73" s="135" t="s">
        <v>161</v>
      </c>
      <c r="J73" s="135" t="s">
        <v>34</v>
      </c>
      <c r="K73" s="381"/>
      <c r="L73" s="145"/>
      <c r="M73" s="145"/>
      <c r="N73" s="142"/>
      <c r="O73" s="209"/>
      <c r="P73" s="20"/>
      <c r="Q73" s="142"/>
      <c r="R73" s="142"/>
      <c r="S73" s="142"/>
      <c r="T73" s="209"/>
      <c r="U73" s="209"/>
      <c r="V73" s="209"/>
      <c r="W73" s="209"/>
      <c r="X73" s="209"/>
      <c r="Y73" s="18"/>
      <c r="Z73" s="18"/>
      <c r="AA73" s="18"/>
    </row>
    <row r="74">
      <c r="A74" s="414" t="s">
        <v>140</v>
      </c>
      <c r="B74" s="157" t="s">
        <v>1929</v>
      </c>
      <c r="C74" s="142"/>
      <c r="D74" s="445" t="s">
        <v>1930</v>
      </c>
      <c r="E74" s="429"/>
      <c r="F74" s="134">
        <v>46146.0</v>
      </c>
      <c r="G74" s="134">
        <v>46147.0</v>
      </c>
      <c r="H74" s="145" t="s">
        <v>400</v>
      </c>
      <c r="I74" s="135" t="s">
        <v>161</v>
      </c>
      <c r="J74" s="135" t="s">
        <v>34</v>
      </c>
      <c r="K74" s="381"/>
      <c r="L74" s="145">
        <v>6.0</v>
      </c>
      <c r="M74" s="145">
        <v>8.0</v>
      </c>
      <c r="N74" s="142"/>
      <c r="O74" s="209"/>
      <c r="P74" s="20" t="s">
        <v>1931</v>
      </c>
      <c r="Q74" s="142"/>
      <c r="R74" s="142"/>
      <c r="S74" s="142"/>
      <c r="T74" s="209"/>
      <c r="U74" s="209"/>
      <c r="V74" s="209"/>
      <c r="W74" s="209"/>
      <c r="X74" s="209"/>
      <c r="Y74" s="18"/>
      <c r="Z74" s="18"/>
      <c r="AA74" s="18"/>
    </row>
    <row r="75">
      <c r="A75" s="414" t="s">
        <v>140</v>
      </c>
      <c r="B75" s="145" t="s">
        <v>141</v>
      </c>
      <c r="C75" s="142"/>
      <c r="D75" s="320" t="s">
        <v>1932</v>
      </c>
      <c r="E75" s="429"/>
      <c r="F75" s="134">
        <v>46146.0</v>
      </c>
      <c r="G75" s="134">
        <v>46146.0</v>
      </c>
      <c r="H75" s="145" t="s">
        <v>400</v>
      </c>
      <c r="I75" s="135" t="s">
        <v>161</v>
      </c>
      <c r="J75" s="135" t="s">
        <v>34</v>
      </c>
      <c r="K75" s="381"/>
      <c r="L75" s="145"/>
      <c r="M75" s="145"/>
      <c r="N75" s="142"/>
      <c r="O75" s="209"/>
      <c r="P75" s="18"/>
      <c r="Q75" s="142"/>
      <c r="R75" s="142"/>
      <c r="S75" s="142"/>
      <c r="T75" s="209"/>
      <c r="U75" s="209"/>
      <c r="V75" s="209"/>
      <c r="W75" s="209"/>
      <c r="X75" s="209"/>
      <c r="Y75" s="18"/>
      <c r="Z75" s="18"/>
      <c r="AA75" s="18"/>
    </row>
    <row r="76">
      <c r="A76" s="414" t="s">
        <v>140</v>
      </c>
      <c r="B76" s="145" t="s">
        <v>1771</v>
      </c>
      <c r="C76" s="142"/>
      <c r="D76" s="320" t="s">
        <v>1933</v>
      </c>
      <c r="E76" s="429"/>
      <c r="F76" s="134">
        <v>46147.0</v>
      </c>
      <c r="G76" s="134">
        <v>46148.0</v>
      </c>
      <c r="H76" s="145" t="s">
        <v>400</v>
      </c>
      <c r="I76" s="135" t="s">
        <v>161</v>
      </c>
      <c r="J76" s="135" t="s">
        <v>34</v>
      </c>
      <c r="K76" s="381"/>
      <c r="L76" s="145"/>
      <c r="M76" s="145"/>
      <c r="N76" s="142"/>
      <c r="O76" s="209"/>
      <c r="P76" s="18"/>
      <c r="Q76" s="142"/>
      <c r="R76" s="142"/>
      <c r="S76" s="142"/>
      <c r="T76" s="209"/>
      <c r="U76" s="209"/>
      <c r="V76" s="209"/>
      <c r="W76" s="209"/>
      <c r="X76" s="209"/>
      <c r="Y76" s="18"/>
      <c r="Z76" s="18"/>
      <c r="AA76" s="18"/>
    </row>
    <row r="77">
      <c r="A77" s="414" t="s">
        <v>140</v>
      </c>
      <c r="B77" s="157" t="s">
        <v>1934</v>
      </c>
      <c r="C77" s="142"/>
      <c r="D77" s="320" t="s">
        <v>1935</v>
      </c>
      <c r="E77" s="429"/>
      <c r="F77" s="134">
        <v>46153.0</v>
      </c>
      <c r="G77" s="134">
        <v>46153.0</v>
      </c>
      <c r="H77" s="145" t="s">
        <v>400</v>
      </c>
      <c r="I77" s="135" t="s">
        <v>161</v>
      </c>
      <c r="J77" s="135" t="s">
        <v>34</v>
      </c>
      <c r="K77" s="381"/>
      <c r="L77" s="145"/>
      <c r="M77" s="145"/>
      <c r="N77" s="142"/>
      <c r="O77" s="209"/>
      <c r="P77" s="18"/>
      <c r="Q77" s="142"/>
      <c r="R77" s="142"/>
      <c r="S77" s="142"/>
      <c r="T77" s="209"/>
      <c r="U77" s="209"/>
      <c r="V77" s="209"/>
      <c r="W77" s="209"/>
      <c r="X77" s="209"/>
      <c r="Y77" s="18"/>
      <c r="Z77" s="18"/>
      <c r="AA77" s="18"/>
    </row>
    <row r="78">
      <c r="A78" s="414" t="s">
        <v>140</v>
      </c>
      <c r="B78" s="145" t="s">
        <v>141</v>
      </c>
      <c r="C78" s="142"/>
      <c r="D78" s="320" t="s">
        <v>1936</v>
      </c>
      <c r="E78" s="429"/>
      <c r="F78" s="134">
        <v>46153.0</v>
      </c>
      <c r="G78" s="134">
        <v>46155.0</v>
      </c>
      <c r="H78" s="145" t="s">
        <v>400</v>
      </c>
      <c r="I78" s="135" t="s">
        <v>161</v>
      </c>
      <c r="J78" s="135" t="s">
        <v>34</v>
      </c>
      <c r="K78" s="381"/>
      <c r="L78" s="145">
        <v>6.0</v>
      </c>
      <c r="M78" s="145">
        <v>6.0</v>
      </c>
      <c r="N78" s="142"/>
      <c r="O78" s="209"/>
      <c r="P78" s="18"/>
      <c r="Q78" s="142"/>
      <c r="R78" s="142"/>
      <c r="S78" s="142"/>
      <c r="T78" s="209"/>
      <c r="U78" s="209"/>
      <c r="V78" s="209"/>
      <c r="W78" s="209"/>
      <c r="X78" s="209"/>
      <c r="Y78" s="18"/>
      <c r="Z78" s="18"/>
      <c r="AA78" s="18"/>
    </row>
    <row r="79">
      <c r="A79" s="414" t="s">
        <v>140</v>
      </c>
      <c r="B79" s="145" t="s">
        <v>141</v>
      </c>
      <c r="C79" s="142"/>
      <c r="D79" s="320" t="s">
        <v>1937</v>
      </c>
      <c r="E79" s="429"/>
      <c r="F79" s="134">
        <v>46156.0</v>
      </c>
      <c r="G79" s="134">
        <v>46160.0</v>
      </c>
      <c r="H79" s="145" t="s">
        <v>400</v>
      </c>
      <c r="I79" s="135" t="s">
        <v>161</v>
      </c>
      <c r="J79" s="135" t="s">
        <v>34</v>
      </c>
      <c r="K79" s="381"/>
      <c r="L79" s="145">
        <v>8.0</v>
      </c>
      <c r="M79" s="145">
        <v>8.0</v>
      </c>
      <c r="N79" s="142"/>
      <c r="O79" s="209"/>
      <c r="P79" s="18"/>
      <c r="Q79" s="142"/>
      <c r="R79" s="142"/>
      <c r="S79" s="142"/>
      <c r="T79" s="209"/>
      <c r="U79" s="209"/>
      <c r="V79" s="209"/>
      <c r="W79" s="209"/>
      <c r="X79" s="209"/>
      <c r="Y79" s="18"/>
      <c r="Z79" s="18"/>
      <c r="AA79" s="18"/>
    </row>
    <row r="80">
      <c r="A80" s="414" t="s">
        <v>140</v>
      </c>
      <c r="B80" s="145" t="s">
        <v>1771</v>
      </c>
      <c r="C80" s="142"/>
      <c r="D80" s="320" t="s">
        <v>1938</v>
      </c>
      <c r="E80" s="429"/>
      <c r="F80" s="134">
        <v>46155.0</v>
      </c>
      <c r="G80" s="134">
        <v>46156.0</v>
      </c>
      <c r="H80" s="145" t="s">
        <v>400</v>
      </c>
      <c r="I80" s="135" t="s">
        <v>161</v>
      </c>
      <c r="J80" s="446" t="s">
        <v>34</v>
      </c>
      <c r="K80" s="381"/>
      <c r="L80" s="145">
        <v>4.0</v>
      </c>
      <c r="M80" s="145">
        <v>4.0</v>
      </c>
      <c r="N80" s="142"/>
      <c r="O80" s="209"/>
      <c r="P80" s="18"/>
      <c r="Q80" s="447" t="s">
        <v>1939</v>
      </c>
      <c r="R80" s="142"/>
      <c r="S80" s="142"/>
      <c r="T80" s="209"/>
      <c r="U80" s="209"/>
      <c r="V80" s="209"/>
      <c r="W80" s="209"/>
      <c r="X80" s="209"/>
      <c r="Y80" s="18"/>
      <c r="Z80" s="18"/>
      <c r="AA80" s="18"/>
    </row>
    <row r="81">
      <c r="A81" s="423" t="s">
        <v>1320</v>
      </c>
      <c r="B81" s="145" t="s">
        <v>1321</v>
      </c>
      <c r="C81" s="142"/>
      <c r="D81" s="320" t="s">
        <v>1322</v>
      </c>
      <c r="E81" s="429"/>
      <c r="F81" s="134">
        <v>46156.0</v>
      </c>
      <c r="G81" s="134">
        <v>46157.0</v>
      </c>
      <c r="H81" s="145" t="s">
        <v>400</v>
      </c>
      <c r="I81" s="135" t="s">
        <v>161</v>
      </c>
      <c r="J81" s="446" t="s">
        <v>34</v>
      </c>
      <c r="K81" s="381"/>
      <c r="L81" s="145">
        <v>2.0</v>
      </c>
      <c r="M81" s="145">
        <v>2.0</v>
      </c>
      <c r="N81" s="142"/>
      <c r="O81" s="209"/>
      <c r="P81" s="18"/>
      <c r="Q81" s="142"/>
      <c r="R81" s="142"/>
      <c r="S81" s="142"/>
      <c r="T81" s="209"/>
      <c r="U81" s="209"/>
      <c r="V81" s="209"/>
      <c r="W81" s="209"/>
      <c r="X81" s="209"/>
      <c r="Y81" s="18"/>
      <c r="Z81" s="18"/>
      <c r="AA81" s="18"/>
    </row>
    <row r="82">
      <c r="A82" s="448"/>
      <c r="B82" s="157" t="s">
        <v>1940</v>
      </c>
      <c r="C82" s="142"/>
      <c r="D82" s="320" t="s">
        <v>1941</v>
      </c>
      <c r="E82" s="429"/>
      <c r="F82" s="134">
        <v>46160.0</v>
      </c>
      <c r="G82" s="134">
        <v>46162.0</v>
      </c>
      <c r="H82" s="145" t="s">
        <v>400</v>
      </c>
      <c r="I82" s="135" t="s">
        <v>161</v>
      </c>
      <c r="J82" s="446" t="s">
        <v>34</v>
      </c>
      <c r="K82" s="381"/>
      <c r="L82" s="145">
        <v>12.0</v>
      </c>
      <c r="M82" s="145">
        <v>12.0</v>
      </c>
      <c r="N82" s="142"/>
      <c r="O82" s="209"/>
      <c r="P82" s="18"/>
      <c r="Q82" s="142"/>
      <c r="R82" s="142"/>
      <c r="S82" s="142"/>
      <c r="T82" s="209"/>
      <c r="U82" s="209"/>
      <c r="V82" s="209"/>
      <c r="W82" s="209"/>
      <c r="X82" s="209"/>
      <c r="Y82" s="18"/>
      <c r="Z82" s="18"/>
      <c r="AA82" s="18"/>
    </row>
    <row r="83">
      <c r="A83" s="448"/>
      <c r="B83" s="157" t="s">
        <v>1940</v>
      </c>
      <c r="C83" s="142"/>
      <c r="D83" s="320" t="s">
        <v>1942</v>
      </c>
      <c r="E83" s="429"/>
      <c r="F83" s="134">
        <v>46163.0</v>
      </c>
      <c r="G83" s="134">
        <v>46163.0</v>
      </c>
      <c r="H83" s="145" t="s">
        <v>400</v>
      </c>
      <c r="I83" s="135" t="s">
        <v>161</v>
      </c>
      <c r="J83" s="446" t="s">
        <v>34</v>
      </c>
      <c r="K83" s="381"/>
      <c r="L83" s="145">
        <v>6.0</v>
      </c>
      <c r="M83" s="145">
        <v>6.0</v>
      </c>
      <c r="N83" s="142"/>
      <c r="O83" s="209"/>
      <c r="P83" s="18"/>
      <c r="Q83" s="142"/>
      <c r="R83" s="142"/>
      <c r="S83" s="142"/>
      <c r="T83" s="209"/>
      <c r="U83" s="209"/>
      <c r="V83" s="209"/>
      <c r="W83" s="209"/>
      <c r="X83" s="209"/>
      <c r="Y83" s="18"/>
      <c r="Z83" s="18"/>
      <c r="AA83" s="18"/>
    </row>
    <row r="84">
      <c r="A84" s="448"/>
      <c r="B84" s="157" t="s">
        <v>1940</v>
      </c>
      <c r="C84" s="142"/>
      <c r="D84" s="320" t="s">
        <v>1943</v>
      </c>
      <c r="E84" s="429"/>
      <c r="F84" s="134">
        <v>46164.0</v>
      </c>
      <c r="G84" s="134">
        <v>46164.0</v>
      </c>
      <c r="H84" s="145" t="s">
        <v>400</v>
      </c>
      <c r="I84" s="135" t="s">
        <v>44</v>
      </c>
      <c r="J84" s="449" t="s">
        <v>55</v>
      </c>
      <c r="K84" s="381"/>
      <c r="L84" s="145">
        <v>3.0</v>
      </c>
      <c r="M84" s="145"/>
      <c r="N84" s="142"/>
      <c r="O84" s="209"/>
      <c r="P84" s="18"/>
      <c r="Q84" s="142"/>
      <c r="R84" s="142"/>
      <c r="S84" s="142"/>
      <c r="T84" s="209"/>
      <c r="U84" s="209"/>
      <c r="V84" s="209"/>
      <c r="W84" s="209"/>
      <c r="X84" s="209"/>
      <c r="Y84" s="18"/>
      <c r="Z84" s="18"/>
      <c r="AA84" s="18"/>
    </row>
    <row r="85">
      <c r="A85" s="414" t="s">
        <v>140</v>
      </c>
      <c r="B85" s="157" t="s">
        <v>1926</v>
      </c>
      <c r="C85" s="142"/>
      <c r="D85" s="320" t="s">
        <v>1944</v>
      </c>
      <c r="E85" s="429"/>
      <c r="F85" s="134">
        <v>46157.0</v>
      </c>
      <c r="G85" s="134">
        <v>46157.0</v>
      </c>
      <c r="H85" s="145" t="s">
        <v>400</v>
      </c>
      <c r="I85" s="135" t="s">
        <v>161</v>
      </c>
      <c r="J85" s="135"/>
      <c r="K85" s="381"/>
      <c r="L85" s="145">
        <v>2.0</v>
      </c>
      <c r="M85" s="145">
        <v>2.0</v>
      </c>
      <c r="N85" s="142"/>
      <c r="O85" s="209"/>
      <c r="P85" s="18"/>
      <c r="Q85" s="142"/>
      <c r="R85" s="142"/>
      <c r="S85" s="142"/>
      <c r="T85" s="209"/>
      <c r="U85" s="209"/>
      <c r="V85" s="209"/>
      <c r="W85" s="209"/>
      <c r="X85" s="209"/>
      <c r="Y85" s="18"/>
      <c r="Z85" s="18"/>
      <c r="AA85" s="18"/>
    </row>
    <row r="86">
      <c r="A86" s="414" t="s">
        <v>140</v>
      </c>
      <c r="B86" s="145" t="s">
        <v>1945</v>
      </c>
      <c r="C86" s="142"/>
      <c r="D86" s="144" t="s">
        <v>1946</v>
      </c>
      <c r="E86" s="132"/>
      <c r="F86" s="134">
        <v>46163.0</v>
      </c>
      <c r="G86" s="134">
        <v>46169.0</v>
      </c>
      <c r="H86" s="145" t="s">
        <v>400</v>
      </c>
      <c r="I86" s="145" t="s">
        <v>161</v>
      </c>
      <c r="J86" s="449" t="s">
        <v>55</v>
      </c>
      <c r="K86" s="296"/>
      <c r="L86" s="145">
        <v>15.0</v>
      </c>
      <c r="M86" s="145">
        <v>8.0</v>
      </c>
      <c r="N86" s="142"/>
      <c r="O86" s="144"/>
      <c r="P86" s="160"/>
      <c r="Q86" s="142"/>
      <c r="R86" s="142"/>
      <c r="S86" s="142"/>
      <c r="T86" s="209"/>
      <c r="U86" s="209"/>
      <c r="V86" s="209"/>
      <c r="W86" s="209"/>
      <c r="X86" s="209"/>
      <c r="Y86" s="18"/>
      <c r="Z86" s="18"/>
      <c r="AA86" s="18"/>
    </row>
    <row r="87" ht="17.25" customHeight="1">
      <c r="A87" s="414" t="s">
        <v>140</v>
      </c>
      <c r="B87" s="157" t="s">
        <v>1947</v>
      </c>
      <c r="C87" s="142"/>
      <c r="D87" s="320"/>
      <c r="E87" s="429"/>
      <c r="F87" s="134">
        <v>46164.0</v>
      </c>
      <c r="G87" s="134">
        <v>46164.0</v>
      </c>
      <c r="H87" s="145" t="s">
        <v>400</v>
      </c>
      <c r="I87" s="135" t="s">
        <v>161</v>
      </c>
      <c r="J87" s="449" t="s">
        <v>55</v>
      </c>
      <c r="K87" s="381"/>
      <c r="L87" s="145">
        <v>1.0</v>
      </c>
      <c r="M87" s="145">
        <v>1.0</v>
      </c>
      <c r="N87" s="142"/>
      <c r="O87" s="209"/>
      <c r="P87" s="18"/>
      <c r="Q87" s="142"/>
      <c r="R87" s="142"/>
      <c r="S87" s="142"/>
      <c r="T87" s="209"/>
      <c r="U87" s="209"/>
      <c r="V87" s="209"/>
      <c r="W87" s="209"/>
      <c r="X87" s="209"/>
      <c r="Y87" s="18"/>
      <c r="Z87" s="18"/>
      <c r="AA87" s="18"/>
    </row>
    <row r="88" ht="17.25" customHeight="1">
      <c r="A88" s="414" t="s">
        <v>140</v>
      </c>
      <c r="B88" s="145" t="s">
        <v>141</v>
      </c>
      <c r="C88" s="142"/>
      <c r="D88" s="144" t="s">
        <v>1948</v>
      </c>
      <c r="E88" s="132"/>
      <c r="F88" s="134">
        <v>46163.0</v>
      </c>
      <c r="G88" s="134">
        <v>46169.0</v>
      </c>
      <c r="H88" s="145" t="s">
        <v>400</v>
      </c>
      <c r="I88" s="135" t="s">
        <v>161</v>
      </c>
      <c r="J88" s="446" t="s">
        <v>34</v>
      </c>
      <c r="K88" s="296"/>
      <c r="L88" s="145">
        <v>2.0</v>
      </c>
      <c r="M88" s="145">
        <v>2.0</v>
      </c>
      <c r="N88" s="142"/>
      <c r="O88" s="144"/>
      <c r="P88" s="160"/>
      <c r="Q88" s="142"/>
      <c r="R88" s="142"/>
      <c r="S88" s="142"/>
      <c r="T88" s="209"/>
      <c r="U88" s="209"/>
      <c r="V88" s="209"/>
      <c r="W88" s="209"/>
      <c r="X88" s="209"/>
      <c r="Y88" s="18"/>
      <c r="Z88" s="18"/>
      <c r="AA88" s="18"/>
    </row>
    <row r="89">
      <c r="A89" s="414" t="s">
        <v>140</v>
      </c>
      <c r="B89" s="157" t="s">
        <v>1934</v>
      </c>
      <c r="C89" s="142"/>
      <c r="D89" s="320" t="s">
        <v>1949</v>
      </c>
      <c r="E89" s="429"/>
      <c r="F89" s="134">
        <v>46148.0</v>
      </c>
      <c r="G89" s="134">
        <v>46149.0</v>
      </c>
      <c r="H89" s="145" t="s">
        <v>400</v>
      </c>
      <c r="I89" s="135" t="s">
        <v>26</v>
      </c>
      <c r="J89" s="135" t="s">
        <v>55</v>
      </c>
      <c r="K89" s="381"/>
      <c r="L89" s="145">
        <v>0.5</v>
      </c>
      <c r="M89" s="145"/>
      <c r="N89" s="142"/>
      <c r="O89" s="291" t="s">
        <v>1950</v>
      </c>
      <c r="P89" s="20" t="s">
        <v>1951</v>
      </c>
      <c r="Q89" s="142"/>
      <c r="R89" s="142"/>
      <c r="S89" s="142"/>
      <c r="T89" s="209"/>
      <c r="U89" s="209"/>
      <c r="V89" s="209"/>
      <c r="W89" s="209"/>
      <c r="X89" s="209"/>
      <c r="Y89" s="18"/>
      <c r="Z89" s="18"/>
      <c r="AA89" s="18"/>
    </row>
    <row r="90">
      <c r="A90" s="414" t="s">
        <v>140</v>
      </c>
      <c r="B90" s="157" t="s">
        <v>1934</v>
      </c>
      <c r="C90" s="142"/>
      <c r="D90" s="320" t="s">
        <v>1952</v>
      </c>
      <c r="E90" s="429"/>
      <c r="F90" s="134">
        <v>46148.0</v>
      </c>
      <c r="G90" s="134">
        <v>46149.0</v>
      </c>
      <c r="H90" s="145" t="s">
        <v>400</v>
      </c>
      <c r="I90" s="135" t="s">
        <v>26</v>
      </c>
      <c r="J90" s="135" t="s">
        <v>55</v>
      </c>
      <c r="K90" s="381"/>
      <c r="L90" s="145">
        <v>0.5</v>
      </c>
      <c r="M90" s="145"/>
      <c r="N90" s="142"/>
      <c r="O90" s="291" t="s">
        <v>1950</v>
      </c>
      <c r="P90" s="20" t="s">
        <v>1951</v>
      </c>
      <c r="Q90" s="142"/>
      <c r="R90" s="142"/>
      <c r="S90" s="142"/>
      <c r="T90" s="209"/>
      <c r="U90" s="209"/>
      <c r="V90" s="209"/>
      <c r="W90" s="209"/>
      <c r="X90" s="209"/>
      <c r="Y90" s="18"/>
      <c r="Z90" s="18"/>
      <c r="AA90" s="18"/>
    </row>
    <row r="91">
      <c r="A91" s="414" t="s">
        <v>140</v>
      </c>
      <c r="B91" s="157" t="s">
        <v>1934</v>
      </c>
      <c r="C91" s="142"/>
      <c r="D91" s="320" t="s">
        <v>1953</v>
      </c>
      <c r="E91" s="429"/>
      <c r="F91" s="134">
        <v>46148.0</v>
      </c>
      <c r="G91" s="134">
        <v>46149.0</v>
      </c>
      <c r="H91" s="145" t="s">
        <v>400</v>
      </c>
      <c r="I91" s="135" t="s">
        <v>26</v>
      </c>
      <c r="J91" s="135" t="s">
        <v>55</v>
      </c>
      <c r="K91" s="381"/>
      <c r="L91" s="145">
        <v>0.5</v>
      </c>
      <c r="M91" s="145"/>
      <c r="N91" s="142"/>
      <c r="O91" s="291" t="s">
        <v>1950</v>
      </c>
      <c r="P91" s="20" t="s">
        <v>1951</v>
      </c>
      <c r="Q91" s="142"/>
      <c r="R91" s="142"/>
      <c r="S91" s="142"/>
      <c r="T91" s="209"/>
      <c r="U91" s="209"/>
      <c r="V91" s="209"/>
      <c r="W91" s="209"/>
      <c r="X91" s="209"/>
      <c r="Y91" s="18"/>
      <c r="Z91" s="18"/>
      <c r="AA91" s="18"/>
    </row>
    <row r="92">
      <c r="A92" s="414" t="s">
        <v>140</v>
      </c>
      <c r="B92" s="157" t="s">
        <v>1934</v>
      </c>
      <c r="C92" s="142"/>
      <c r="D92" s="320" t="s">
        <v>1954</v>
      </c>
      <c r="E92" s="429"/>
      <c r="F92" s="134">
        <v>46148.0</v>
      </c>
      <c r="G92" s="134">
        <v>46149.0</v>
      </c>
      <c r="H92" s="145" t="s">
        <v>400</v>
      </c>
      <c r="I92" s="135" t="s">
        <v>26</v>
      </c>
      <c r="J92" s="135" t="s">
        <v>55</v>
      </c>
      <c r="K92" s="381"/>
      <c r="L92" s="145">
        <v>0.5</v>
      </c>
      <c r="M92" s="145"/>
      <c r="N92" s="142"/>
      <c r="O92" s="291" t="s">
        <v>1950</v>
      </c>
      <c r="P92" s="20" t="s">
        <v>1951</v>
      </c>
      <c r="Q92" s="142"/>
      <c r="R92" s="142"/>
      <c r="S92" s="142"/>
      <c r="T92" s="209"/>
      <c r="U92" s="209"/>
      <c r="V92" s="209"/>
      <c r="W92" s="209"/>
      <c r="X92" s="209"/>
      <c r="Y92" s="18"/>
      <c r="Z92" s="18"/>
      <c r="AA92" s="18"/>
    </row>
    <row r="93">
      <c r="A93" s="414" t="s">
        <v>1955</v>
      </c>
      <c r="B93" s="145" t="s">
        <v>141</v>
      </c>
      <c r="C93" s="138"/>
      <c r="D93" s="315" t="s">
        <v>1956</v>
      </c>
      <c r="E93" s="132"/>
      <c r="F93" s="134">
        <v>46163.0</v>
      </c>
      <c r="G93" s="134">
        <v>46170.0</v>
      </c>
      <c r="H93" s="145" t="s">
        <v>400</v>
      </c>
      <c r="I93" s="135" t="s">
        <v>39</v>
      </c>
      <c r="J93" s="135" t="s">
        <v>55</v>
      </c>
      <c r="K93" s="166"/>
      <c r="L93" s="157">
        <v>6.0</v>
      </c>
      <c r="M93" s="133"/>
      <c r="N93" s="138"/>
      <c r="O93" s="131" t="s">
        <v>1957</v>
      </c>
      <c r="P93" s="156" t="s">
        <v>1958</v>
      </c>
      <c r="Q93" s="138"/>
      <c r="R93" s="138"/>
      <c r="S93" s="138"/>
      <c r="T93" s="204"/>
      <c r="U93" s="204"/>
      <c r="V93" s="204"/>
      <c r="W93" s="204"/>
      <c r="X93" s="204"/>
      <c r="Y93" s="18"/>
      <c r="Z93" s="18"/>
      <c r="AA93" s="18"/>
    </row>
    <row r="94">
      <c r="A94" s="414" t="s">
        <v>140</v>
      </c>
      <c r="B94" s="145" t="s">
        <v>141</v>
      </c>
      <c r="C94" s="142"/>
      <c r="D94" s="144" t="s">
        <v>1959</v>
      </c>
      <c r="E94" s="132"/>
      <c r="F94" s="134">
        <v>46170.0</v>
      </c>
      <c r="G94" s="134">
        <v>46176.0</v>
      </c>
      <c r="H94" s="145" t="s">
        <v>400</v>
      </c>
      <c r="I94" s="135" t="s">
        <v>39</v>
      </c>
      <c r="J94" s="446" t="s">
        <v>55</v>
      </c>
      <c r="K94" s="296"/>
      <c r="L94" s="145">
        <v>8.0</v>
      </c>
      <c r="M94" s="145"/>
      <c r="N94" s="142"/>
      <c r="O94" s="144"/>
      <c r="P94" s="160"/>
      <c r="Q94" s="142"/>
      <c r="R94" s="142"/>
      <c r="S94" s="142"/>
      <c r="T94" s="209"/>
      <c r="U94" s="209"/>
      <c r="V94" s="209"/>
      <c r="W94" s="209"/>
      <c r="X94" s="209"/>
      <c r="Y94" s="18"/>
      <c r="Z94" s="18"/>
      <c r="AA94" s="18"/>
    </row>
    <row r="95" ht="17.25" customHeight="1">
      <c r="A95" s="414" t="s">
        <v>140</v>
      </c>
      <c r="B95" s="145" t="s">
        <v>1945</v>
      </c>
      <c r="C95" s="142"/>
      <c r="D95" s="144" t="s">
        <v>1960</v>
      </c>
      <c r="E95" s="132"/>
      <c r="F95" s="134">
        <v>46178.0</v>
      </c>
      <c r="G95" s="134">
        <v>46178.0</v>
      </c>
      <c r="H95" s="145" t="s">
        <v>400</v>
      </c>
      <c r="I95" s="135" t="s">
        <v>54</v>
      </c>
      <c r="J95" s="446" t="s">
        <v>55</v>
      </c>
      <c r="K95" s="296"/>
      <c r="L95" s="145">
        <v>5.0</v>
      </c>
      <c r="M95" s="145"/>
      <c r="N95" s="142"/>
      <c r="O95" s="144"/>
      <c r="P95" s="160"/>
      <c r="Q95" s="142"/>
      <c r="R95" s="142"/>
      <c r="S95" s="142"/>
      <c r="T95" s="209"/>
      <c r="U95" s="209"/>
      <c r="V95" s="209"/>
      <c r="W95" s="209"/>
      <c r="X95" s="209"/>
      <c r="Y95" s="18"/>
      <c r="Z95" s="18"/>
      <c r="AA95" s="18"/>
    </row>
    <row r="96" ht="17.25" customHeight="1">
      <c r="A96" s="414" t="s">
        <v>140</v>
      </c>
      <c r="B96" s="145" t="s">
        <v>141</v>
      </c>
      <c r="C96" s="142"/>
      <c r="D96" s="144" t="s">
        <v>1961</v>
      </c>
      <c r="E96" s="132"/>
      <c r="F96" s="134">
        <v>46170.0</v>
      </c>
      <c r="G96" s="134">
        <v>46176.0</v>
      </c>
      <c r="H96" s="145" t="s">
        <v>400</v>
      </c>
      <c r="I96" s="135" t="s">
        <v>54</v>
      </c>
      <c r="J96" s="446" t="s">
        <v>55</v>
      </c>
      <c r="K96" s="296"/>
      <c r="L96" s="145">
        <v>8.0</v>
      </c>
      <c r="M96" s="145"/>
      <c r="N96" s="142"/>
      <c r="O96" s="144"/>
      <c r="P96" s="160"/>
      <c r="Q96" s="142"/>
      <c r="R96" s="142"/>
      <c r="S96" s="142"/>
      <c r="T96" s="209"/>
      <c r="U96" s="209"/>
      <c r="V96" s="209"/>
      <c r="W96" s="209"/>
      <c r="X96" s="209"/>
      <c r="Y96" s="18"/>
      <c r="Z96" s="18"/>
      <c r="AA96" s="18"/>
    </row>
    <row r="97">
      <c r="A97" s="414" t="s">
        <v>140</v>
      </c>
      <c r="B97" s="145" t="s">
        <v>141</v>
      </c>
      <c r="C97" s="142"/>
      <c r="D97" s="320" t="s">
        <v>1962</v>
      </c>
      <c r="E97" s="429"/>
      <c r="F97" s="134">
        <v>46171.0</v>
      </c>
      <c r="G97" s="134">
        <v>46171.0</v>
      </c>
      <c r="H97" s="145"/>
      <c r="I97" s="145" t="s">
        <v>161</v>
      </c>
      <c r="J97" s="135"/>
      <c r="K97" s="381"/>
      <c r="L97" s="145"/>
      <c r="M97" s="145"/>
      <c r="N97" s="142"/>
      <c r="O97" s="209"/>
      <c r="P97" s="18"/>
      <c r="Q97" s="142"/>
      <c r="R97" s="142"/>
      <c r="S97" s="142"/>
      <c r="T97" s="209"/>
      <c r="U97" s="209"/>
      <c r="V97" s="209"/>
      <c r="W97" s="209"/>
      <c r="X97" s="209"/>
      <c r="Y97" s="18"/>
      <c r="Z97" s="18"/>
      <c r="AA97" s="18"/>
    </row>
    <row r="98">
      <c r="A98" s="414" t="s">
        <v>140</v>
      </c>
      <c r="B98" s="145" t="s">
        <v>141</v>
      </c>
      <c r="C98" s="142"/>
      <c r="D98" s="320" t="s">
        <v>1963</v>
      </c>
      <c r="E98" s="429"/>
      <c r="F98" s="134">
        <v>46171.0</v>
      </c>
      <c r="G98" s="134">
        <v>46171.0</v>
      </c>
      <c r="H98" s="145"/>
      <c r="I98" s="145" t="s">
        <v>39</v>
      </c>
      <c r="J98" s="135"/>
      <c r="K98" s="381"/>
      <c r="L98" s="145"/>
      <c r="M98" s="145"/>
      <c r="N98" s="142"/>
      <c r="O98" s="209"/>
      <c r="P98" s="18"/>
      <c r="Q98" s="142"/>
      <c r="R98" s="142"/>
      <c r="S98" s="142"/>
      <c r="T98" s="209"/>
      <c r="U98" s="209"/>
      <c r="V98" s="209"/>
      <c r="W98" s="209"/>
      <c r="X98" s="209"/>
      <c r="Y98" s="18"/>
      <c r="Z98" s="18"/>
      <c r="AA98" s="18"/>
    </row>
    <row r="99">
      <c r="A99" s="413"/>
      <c r="B99" s="145" t="s">
        <v>1964</v>
      </c>
      <c r="C99" s="415"/>
      <c r="D99" s="144" t="s">
        <v>1965</v>
      </c>
      <c r="E99" s="132"/>
      <c r="F99" s="134">
        <v>46171.0</v>
      </c>
      <c r="G99" s="134">
        <v>46174.0</v>
      </c>
      <c r="H99" s="142"/>
      <c r="I99" s="145" t="s">
        <v>161</v>
      </c>
      <c r="J99" s="135"/>
      <c r="K99" s="450"/>
      <c r="L99" s="140"/>
      <c r="M99" s="140"/>
      <c r="N99" s="142"/>
      <c r="O99" s="142"/>
      <c r="P99" s="160"/>
      <c r="Q99" s="142"/>
      <c r="R99" s="142"/>
      <c r="S99" s="142"/>
      <c r="T99" s="209"/>
      <c r="U99" s="209"/>
      <c r="V99" s="209"/>
      <c r="W99" s="209"/>
      <c r="X99" s="209"/>
      <c r="Y99" s="18"/>
      <c r="Z99" s="18"/>
      <c r="AA99" s="18"/>
    </row>
    <row r="100">
      <c r="A100" s="414" t="s">
        <v>140</v>
      </c>
      <c r="B100" s="133"/>
      <c r="C100" s="415"/>
      <c r="D100" s="131" t="s">
        <v>1966</v>
      </c>
      <c r="E100" s="132"/>
      <c r="F100" s="134">
        <v>46171.0</v>
      </c>
      <c r="G100" s="134">
        <v>46171.0</v>
      </c>
      <c r="H100" s="138"/>
      <c r="I100" s="133"/>
      <c r="J100" s="135"/>
      <c r="K100" s="450"/>
      <c r="L100" s="133"/>
      <c r="M100" s="133"/>
      <c r="N100" s="138"/>
      <c r="O100" s="138"/>
      <c r="P100" s="160"/>
      <c r="Q100" s="138"/>
      <c r="R100" s="138"/>
      <c r="S100" s="138"/>
      <c r="T100" s="204"/>
      <c r="U100" s="204"/>
      <c r="V100" s="204"/>
      <c r="W100" s="204"/>
      <c r="X100" s="204"/>
      <c r="Y100" s="18"/>
      <c r="Z100" s="18"/>
      <c r="AA100" s="18"/>
    </row>
    <row r="101" ht="17.25" customHeight="1">
      <c r="A101" s="414" t="s">
        <v>140</v>
      </c>
      <c r="B101" s="145"/>
      <c r="C101" s="142"/>
      <c r="D101" s="144" t="s">
        <v>1967</v>
      </c>
      <c r="E101" s="132"/>
      <c r="F101" s="134">
        <v>46175.0</v>
      </c>
      <c r="G101" s="134">
        <v>46175.0</v>
      </c>
      <c r="H101" s="145"/>
      <c r="I101" s="135"/>
      <c r="J101" s="446"/>
      <c r="K101" s="296"/>
      <c r="L101" s="145">
        <v>4.0</v>
      </c>
      <c r="M101" s="145"/>
      <c r="N101" s="142"/>
      <c r="O101" s="144"/>
      <c r="P101" s="160"/>
      <c r="Q101" s="142"/>
      <c r="R101" s="142"/>
      <c r="S101" s="142"/>
      <c r="T101" s="209"/>
      <c r="U101" s="209"/>
      <c r="V101" s="209"/>
      <c r="W101" s="209"/>
      <c r="X101" s="209"/>
      <c r="Y101" s="18"/>
      <c r="Z101" s="18"/>
      <c r="AA101" s="18"/>
    </row>
    <row r="102" ht="17.25" customHeight="1">
      <c r="A102" s="448"/>
      <c r="B102" s="145"/>
      <c r="C102" s="142"/>
      <c r="D102" s="144"/>
      <c r="E102" s="132"/>
      <c r="F102" s="134"/>
      <c r="G102" s="134"/>
      <c r="H102" s="145"/>
      <c r="I102" s="135"/>
      <c r="J102" s="446"/>
      <c r="K102" s="296"/>
      <c r="L102" s="145"/>
      <c r="M102" s="145"/>
      <c r="N102" s="142"/>
      <c r="O102" s="144"/>
      <c r="P102" s="160"/>
      <c r="Q102" s="142"/>
      <c r="R102" s="142"/>
      <c r="S102" s="142"/>
      <c r="T102" s="209"/>
      <c r="U102" s="209"/>
      <c r="V102" s="209"/>
      <c r="W102" s="209"/>
      <c r="X102" s="209"/>
      <c r="Y102" s="18"/>
      <c r="Z102" s="18"/>
      <c r="AA102" s="18"/>
    </row>
    <row r="103">
      <c r="A103" s="413"/>
      <c r="B103" s="140"/>
      <c r="C103" s="415"/>
      <c r="D103" s="144"/>
      <c r="E103" s="132"/>
      <c r="F103" s="141"/>
      <c r="G103" s="162"/>
      <c r="H103" s="142"/>
      <c r="I103" s="145"/>
      <c r="J103" s="135"/>
      <c r="K103" s="450"/>
      <c r="L103" s="140"/>
      <c r="M103" s="140"/>
      <c r="N103" s="142"/>
      <c r="O103" s="142"/>
      <c r="P103" s="160"/>
      <c r="Q103" s="142"/>
      <c r="R103" s="142"/>
      <c r="S103" s="142"/>
      <c r="T103" s="209"/>
      <c r="U103" s="209"/>
      <c r="V103" s="209"/>
      <c r="W103" s="209"/>
      <c r="X103" s="209"/>
      <c r="Y103" s="18"/>
      <c r="Z103" s="18"/>
      <c r="AA103" s="18"/>
    </row>
    <row r="104">
      <c r="A104" s="418"/>
      <c r="B104" s="133"/>
      <c r="C104" s="415"/>
      <c r="D104" s="138"/>
      <c r="E104" s="132"/>
      <c r="F104" s="141"/>
      <c r="G104" s="165"/>
      <c r="H104" s="138"/>
      <c r="I104" s="133"/>
      <c r="J104" s="135"/>
      <c r="K104" s="450"/>
      <c r="L104" s="133"/>
      <c r="M104" s="133"/>
      <c r="N104" s="138"/>
      <c r="O104" s="138"/>
      <c r="P104" s="160"/>
      <c r="Q104" s="138"/>
      <c r="R104" s="138"/>
      <c r="S104" s="138"/>
      <c r="T104" s="204"/>
      <c r="U104" s="204"/>
      <c r="V104" s="204"/>
      <c r="W104" s="204"/>
      <c r="X104" s="204"/>
      <c r="Y104" s="18"/>
      <c r="Z104" s="18"/>
      <c r="AA104" s="18"/>
    </row>
    <row r="105">
      <c r="A105" s="413"/>
      <c r="B105" s="140"/>
      <c r="C105" s="415"/>
      <c r="D105" s="142"/>
      <c r="E105" s="132"/>
      <c r="F105" s="141"/>
      <c r="G105" s="162"/>
      <c r="H105" s="142"/>
      <c r="I105" s="140"/>
      <c r="J105" s="135"/>
      <c r="K105" s="450"/>
      <c r="L105" s="140"/>
      <c r="M105" s="140"/>
      <c r="N105" s="142"/>
      <c r="O105" s="142"/>
      <c r="P105" s="160"/>
      <c r="Q105" s="142"/>
      <c r="R105" s="142"/>
      <c r="S105" s="142"/>
      <c r="T105" s="209"/>
      <c r="U105" s="209"/>
      <c r="V105" s="209"/>
      <c r="W105" s="209"/>
      <c r="X105" s="209"/>
      <c r="Y105" s="18"/>
      <c r="Z105" s="18"/>
      <c r="AA105" s="18"/>
    </row>
    <row r="106">
      <c r="A106" s="414" t="s">
        <v>1955</v>
      </c>
      <c r="B106" s="145" t="s">
        <v>141</v>
      </c>
      <c r="C106" s="142"/>
      <c r="D106" s="8" t="s">
        <v>1968</v>
      </c>
      <c r="E106" s="132"/>
      <c r="F106" s="134">
        <v>46142.0</v>
      </c>
      <c r="G106" s="134">
        <v>46150.0</v>
      </c>
      <c r="H106" s="145" t="s">
        <v>400</v>
      </c>
      <c r="I106" s="135" t="s">
        <v>54</v>
      </c>
      <c r="J106" s="135" t="s">
        <v>55</v>
      </c>
      <c r="K106" s="178"/>
      <c r="L106" s="140"/>
      <c r="M106" s="140"/>
      <c r="N106" s="142"/>
      <c r="O106" s="142"/>
      <c r="P106" s="160"/>
      <c r="Q106" s="142"/>
      <c r="R106" s="142"/>
      <c r="S106" s="142"/>
      <c r="T106" s="209"/>
      <c r="U106" s="209"/>
      <c r="V106" s="209"/>
      <c r="W106" s="209"/>
      <c r="X106" s="209"/>
      <c r="Y106" s="18"/>
      <c r="Z106" s="18"/>
      <c r="AA106" s="18"/>
    </row>
    <row r="107">
      <c r="A107" s="414" t="s">
        <v>1955</v>
      </c>
      <c r="B107" s="145" t="s">
        <v>141</v>
      </c>
      <c r="C107" s="142"/>
      <c r="D107" s="451" t="s">
        <v>1836</v>
      </c>
      <c r="E107" s="429"/>
      <c r="F107" s="141"/>
      <c r="G107" s="134">
        <v>46150.0</v>
      </c>
      <c r="H107" s="145" t="s">
        <v>400</v>
      </c>
      <c r="I107" s="135" t="s">
        <v>54</v>
      </c>
      <c r="J107" s="135" t="s">
        <v>55</v>
      </c>
      <c r="K107" s="381"/>
      <c r="L107" s="140"/>
      <c r="M107" s="140"/>
      <c r="N107" s="142"/>
      <c r="O107" s="142"/>
      <c r="P107" s="160"/>
      <c r="Q107" s="142"/>
      <c r="R107" s="142"/>
      <c r="S107" s="142"/>
      <c r="T107" s="209"/>
      <c r="U107" s="209"/>
      <c r="V107" s="209"/>
      <c r="W107" s="209"/>
      <c r="X107" s="209"/>
      <c r="Y107" s="18"/>
      <c r="Z107" s="18"/>
      <c r="AA107" s="18"/>
    </row>
    <row r="108">
      <c r="A108" s="414" t="s">
        <v>1955</v>
      </c>
      <c r="B108" s="145" t="s">
        <v>141</v>
      </c>
      <c r="C108" s="138"/>
      <c r="D108" s="451" t="s">
        <v>1837</v>
      </c>
      <c r="E108" s="132"/>
      <c r="F108" s="141"/>
      <c r="G108" s="179"/>
      <c r="H108" s="145" t="s">
        <v>400</v>
      </c>
      <c r="I108" s="135" t="s">
        <v>54</v>
      </c>
      <c r="J108" s="135" t="s">
        <v>55</v>
      </c>
      <c r="K108" s="166"/>
      <c r="L108" s="133"/>
      <c r="M108" s="133"/>
      <c r="N108" s="138"/>
      <c r="O108" s="138"/>
      <c r="P108" s="160"/>
      <c r="Q108" s="138"/>
      <c r="R108" s="138"/>
      <c r="S108" s="138"/>
      <c r="T108" s="204"/>
      <c r="U108" s="204"/>
      <c r="V108" s="204"/>
      <c r="W108" s="204"/>
      <c r="X108" s="204"/>
      <c r="Y108" s="18"/>
      <c r="Z108" s="18"/>
      <c r="AA108" s="18"/>
    </row>
    <row r="109">
      <c r="A109" s="418"/>
      <c r="B109" s="133"/>
      <c r="C109" s="415"/>
      <c r="D109" s="138"/>
      <c r="E109" s="132"/>
      <c r="F109" s="141"/>
      <c r="G109" s="165"/>
      <c r="H109" s="138"/>
      <c r="I109" s="133"/>
      <c r="J109" s="135"/>
      <c r="K109" s="166"/>
      <c r="L109" s="133"/>
      <c r="M109" s="133"/>
      <c r="N109" s="138"/>
      <c r="O109" s="138"/>
      <c r="P109" s="160"/>
      <c r="Q109" s="138"/>
      <c r="R109" s="138"/>
      <c r="S109" s="138"/>
      <c r="T109" s="204"/>
      <c r="U109" s="204"/>
      <c r="V109" s="204"/>
      <c r="W109" s="204"/>
      <c r="X109" s="204"/>
      <c r="Y109" s="18"/>
      <c r="Z109" s="18"/>
      <c r="AA109" s="18"/>
    </row>
    <row r="110">
      <c r="A110" s="418"/>
      <c r="B110" s="157"/>
      <c r="C110" s="415"/>
      <c r="D110" s="131"/>
      <c r="E110" s="132"/>
      <c r="F110" s="141"/>
      <c r="G110" s="138"/>
      <c r="H110" s="138"/>
      <c r="I110" s="133"/>
      <c r="J110" s="135"/>
      <c r="K110" s="452"/>
      <c r="L110" s="133"/>
      <c r="M110" s="133"/>
      <c r="N110" s="138"/>
      <c r="O110" s="138"/>
      <c r="P110" s="160"/>
      <c r="Q110" s="204"/>
      <c r="R110" s="204"/>
      <c r="S110" s="67"/>
      <c r="T110" s="67"/>
      <c r="U110" s="67"/>
      <c r="V110" s="67"/>
      <c r="W110" s="67"/>
      <c r="X110" s="67"/>
      <c r="Y110" s="18"/>
      <c r="Z110" s="18"/>
      <c r="AA110" s="18"/>
    </row>
    <row r="111">
      <c r="A111" s="453"/>
      <c r="B111" s="301"/>
      <c r="C111" s="415"/>
      <c r="D111" s="156"/>
      <c r="E111" s="132"/>
      <c r="F111" s="141"/>
      <c r="G111" s="160"/>
      <c r="H111" s="160"/>
      <c r="I111" s="172"/>
      <c r="J111" s="135"/>
      <c r="K111" s="178"/>
      <c r="L111" s="172"/>
      <c r="M111" s="172"/>
      <c r="N111" s="160"/>
      <c r="O111" s="156"/>
      <c r="P111" s="160"/>
      <c r="Q111" s="160"/>
      <c r="R111" s="160"/>
      <c r="S111" s="160"/>
      <c r="T111" s="232"/>
      <c r="U111" s="232"/>
      <c r="V111" s="232"/>
      <c r="W111" s="232"/>
      <c r="X111" s="232"/>
      <c r="Y111" s="18"/>
      <c r="Z111" s="18"/>
      <c r="AA111" s="18"/>
    </row>
    <row r="112">
      <c r="A112" s="453"/>
      <c r="B112" s="301"/>
      <c r="C112" s="415"/>
      <c r="D112" s="156"/>
      <c r="E112" s="132"/>
      <c r="F112" s="134"/>
      <c r="G112" s="160"/>
      <c r="H112" s="160"/>
      <c r="I112" s="172"/>
      <c r="J112" s="135"/>
      <c r="K112" s="454"/>
      <c r="L112" s="172"/>
      <c r="M112" s="172"/>
      <c r="N112" s="160"/>
      <c r="O112" s="160"/>
      <c r="P112" s="160"/>
      <c r="Q112" s="160"/>
      <c r="R112" s="160"/>
      <c r="S112" s="160"/>
      <c r="T112" s="232"/>
      <c r="U112" s="232"/>
      <c r="V112" s="232"/>
      <c r="W112" s="232"/>
      <c r="X112" s="232"/>
      <c r="Y112" s="18"/>
      <c r="Z112" s="18"/>
      <c r="AA112" s="18"/>
    </row>
    <row r="113">
      <c r="A113" s="453"/>
      <c r="B113" s="172"/>
      <c r="C113" s="160"/>
      <c r="D113" s="156"/>
      <c r="E113" s="132"/>
      <c r="F113" s="141"/>
      <c r="G113" s="160"/>
      <c r="H113" s="160"/>
      <c r="I113" s="157"/>
      <c r="J113" s="135"/>
      <c r="K113" s="178"/>
      <c r="L113" s="172"/>
      <c r="M113" s="172"/>
      <c r="N113" s="160"/>
      <c r="O113" s="160"/>
      <c r="P113" s="160"/>
      <c r="Q113" s="160"/>
      <c r="R113" s="160"/>
      <c r="S113" s="160"/>
      <c r="T113" s="232"/>
      <c r="U113" s="232"/>
      <c r="V113" s="232"/>
      <c r="W113" s="232"/>
      <c r="X113" s="232"/>
      <c r="Y113" s="18"/>
      <c r="Z113" s="18"/>
      <c r="AA113" s="18"/>
    </row>
    <row r="114">
      <c r="A114" s="453"/>
      <c r="B114" s="145"/>
      <c r="C114" s="455"/>
      <c r="D114" s="311"/>
      <c r="E114" s="132"/>
      <c r="F114" s="134"/>
      <c r="G114" s="134"/>
      <c r="H114" s="456"/>
      <c r="I114" s="157"/>
      <c r="J114" s="135"/>
      <c r="K114" s="178"/>
      <c r="L114" s="457"/>
      <c r="M114" s="457"/>
      <c r="N114" s="456"/>
      <c r="O114" s="456"/>
      <c r="P114" s="160"/>
      <c r="Q114" s="456"/>
      <c r="R114" s="456"/>
      <c r="S114" s="456"/>
      <c r="T114" s="232"/>
      <c r="U114" s="232"/>
      <c r="V114" s="232"/>
      <c r="W114" s="232"/>
      <c r="X114" s="232"/>
      <c r="Y114" s="18"/>
      <c r="Z114" s="18"/>
      <c r="AA114" s="18"/>
    </row>
    <row r="115">
      <c r="A115" s="453"/>
      <c r="B115" s="301"/>
      <c r="C115" s="145"/>
      <c r="D115" s="332"/>
      <c r="E115" s="132"/>
      <c r="F115" s="134"/>
      <c r="G115" s="456"/>
      <c r="H115" s="456"/>
      <c r="I115" s="457"/>
      <c r="J115" s="135"/>
      <c r="K115" s="178"/>
      <c r="L115" s="457"/>
      <c r="M115" s="457"/>
      <c r="N115" s="456"/>
      <c r="O115" s="455"/>
      <c r="P115" s="160"/>
      <c r="Q115" s="456"/>
      <c r="R115" s="456"/>
      <c r="S115" s="456"/>
      <c r="T115" s="232"/>
      <c r="U115" s="232"/>
      <c r="V115" s="232"/>
      <c r="W115" s="232"/>
      <c r="X115" s="232"/>
      <c r="Y115" s="18"/>
      <c r="Z115" s="18"/>
      <c r="AA115" s="18"/>
    </row>
    <row r="116">
      <c r="A116" s="453"/>
      <c r="B116" s="145"/>
      <c r="C116" s="160"/>
      <c r="D116" s="311"/>
      <c r="E116" s="132"/>
      <c r="F116" s="134"/>
      <c r="G116" s="134"/>
      <c r="H116" s="160"/>
      <c r="I116" s="157"/>
      <c r="J116" s="135"/>
      <c r="K116" s="178"/>
      <c r="L116" s="172"/>
      <c r="M116" s="172"/>
      <c r="N116" s="160"/>
      <c r="O116" s="160"/>
      <c r="P116" s="160"/>
      <c r="Q116" s="160"/>
      <c r="R116" s="160"/>
      <c r="S116" s="160"/>
      <c r="T116" s="232"/>
      <c r="U116" s="232"/>
      <c r="V116" s="232"/>
      <c r="W116" s="232"/>
      <c r="X116" s="232"/>
      <c r="Y116" s="18"/>
      <c r="Z116" s="18"/>
      <c r="AA116" s="18"/>
    </row>
    <row r="117">
      <c r="A117" s="453"/>
      <c r="B117" s="157"/>
      <c r="C117" s="458"/>
      <c r="D117" s="332"/>
      <c r="E117" s="132"/>
      <c r="F117" s="134"/>
      <c r="G117" s="456"/>
      <c r="H117" s="456"/>
      <c r="I117" s="457"/>
      <c r="J117" s="135"/>
      <c r="K117" s="178"/>
      <c r="L117" s="457"/>
      <c r="M117" s="457"/>
      <c r="N117" s="456"/>
      <c r="O117" s="455"/>
      <c r="P117" s="160"/>
      <c r="Q117" s="456"/>
      <c r="R117" s="456"/>
      <c r="S117" s="456"/>
      <c r="T117" s="232"/>
      <c r="U117" s="232"/>
      <c r="V117" s="232"/>
      <c r="W117" s="232"/>
      <c r="X117" s="232"/>
      <c r="Y117" s="18"/>
      <c r="Z117" s="18"/>
      <c r="AA117" s="18"/>
    </row>
    <row r="118">
      <c r="A118" s="453"/>
      <c r="B118" s="157"/>
      <c r="C118" s="458"/>
      <c r="D118" s="332"/>
      <c r="E118" s="132"/>
      <c r="F118" s="134"/>
      <c r="G118" s="456"/>
      <c r="H118" s="456"/>
      <c r="I118" s="457"/>
      <c r="J118" s="135"/>
      <c r="K118" s="178"/>
      <c r="L118" s="457"/>
      <c r="M118" s="457"/>
      <c r="N118" s="456"/>
      <c r="O118" s="459"/>
      <c r="P118" s="160"/>
      <c r="Q118" s="456"/>
      <c r="R118" s="456"/>
      <c r="S118" s="456"/>
      <c r="T118" s="232"/>
      <c r="U118" s="232"/>
      <c r="V118" s="232"/>
      <c r="W118" s="232"/>
      <c r="X118" s="232"/>
      <c r="Y118" s="18"/>
      <c r="Z118" s="18"/>
      <c r="AA118" s="18"/>
    </row>
    <row r="119">
      <c r="A119" s="418"/>
      <c r="B119" s="157"/>
      <c r="C119" s="415"/>
      <c r="D119" s="131"/>
      <c r="E119" s="132"/>
      <c r="F119" s="134"/>
      <c r="G119" s="138"/>
      <c r="H119" s="138"/>
      <c r="I119" s="133"/>
      <c r="J119" s="135"/>
      <c r="K119" s="460"/>
      <c r="L119" s="133"/>
      <c r="M119" s="133"/>
      <c r="N119" s="138"/>
      <c r="O119" s="138"/>
      <c r="P119" s="160"/>
      <c r="Q119" s="204"/>
      <c r="R119" s="204"/>
      <c r="S119" s="67"/>
      <c r="T119" s="67"/>
      <c r="U119" s="67"/>
      <c r="V119" s="67"/>
      <c r="W119" s="67"/>
      <c r="X119" s="67"/>
      <c r="Y119" s="18"/>
      <c r="Z119" s="18"/>
      <c r="AA119" s="18"/>
    </row>
    <row r="120">
      <c r="A120" s="418"/>
      <c r="B120" s="157"/>
      <c r="C120" s="415"/>
      <c r="D120" s="131"/>
      <c r="E120" s="132"/>
      <c r="F120" s="134"/>
      <c r="G120" s="138"/>
      <c r="H120" s="138"/>
      <c r="I120" s="133"/>
      <c r="J120" s="135"/>
      <c r="K120" s="460"/>
      <c r="L120" s="133"/>
      <c r="M120" s="133"/>
      <c r="N120" s="138"/>
      <c r="O120" s="138"/>
      <c r="P120" s="160"/>
      <c r="Q120" s="204"/>
      <c r="R120" s="204"/>
      <c r="S120" s="67"/>
      <c r="T120" s="67"/>
      <c r="U120" s="67"/>
      <c r="V120" s="67"/>
      <c r="W120" s="67"/>
      <c r="X120" s="67"/>
      <c r="Y120" s="18"/>
      <c r="Z120" s="18"/>
      <c r="AA120" s="18"/>
    </row>
    <row r="121">
      <c r="A121" s="453"/>
      <c r="B121" s="157"/>
      <c r="C121" s="461"/>
      <c r="D121" s="311"/>
      <c r="E121" s="132"/>
      <c r="F121" s="134"/>
      <c r="G121" s="138"/>
      <c r="H121" s="138"/>
      <c r="I121" s="157"/>
      <c r="J121" s="135"/>
      <c r="K121" s="460"/>
      <c r="L121" s="133"/>
      <c r="M121" s="133"/>
      <c r="N121" s="138"/>
      <c r="O121" s="138"/>
      <c r="P121" s="160"/>
      <c r="Q121" s="138"/>
      <c r="R121" s="138"/>
      <c r="S121" s="429"/>
      <c r="T121" s="244"/>
      <c r="U121" s="244"/>
      <c r="V121" s="244"/>
      <c r="W121" s="244"/>
      <c r="X121" s="244"/>
      <c r="Y121" s="18"/>
      <c r="Z121" s="18"/>
      <c r="AA121" s="18"/>
    </row>
    <row r="122">
      <c r="A122" s="453"/>
      <c r="B122" s="157"/>
      <c r="C122" s="461"/>
      <c r="D122" s="311"/>
      <c r="E122" s="132"/>
      <c r="F122" s="134"/>
      <c r="G122" s="138"/>
      <c r="H122" s="138"/>
      <c r="I122" s="133"/>
      <c r="J122" s="135"/>
      <c r="K122" s="460"/>
      <c r="L122" s="133"/>
      <c r="M122" s="133"/>
      <c r="N122" s="138"/>
      <c r="O122" s="138"/>
      <c r="P122" s="160"/>
      <c r="Q122" s="138"/>
      <c r="R122" s="138"/>
      <c r="S122" s="429"/>
      <c r="T122" s="244"/>
      <c r="U122" s="244"/>
      <c r="V122" s="244"/>
      <c r="W122" s="244"/>
      <c r="X122" s="244"/>
      <c r="Y122" s="18"/>
      <c r="Z122" s="18"/>
      <c r="AA122" s="18"/>
    </row>
    <row r="123">
      <c r="A123" s="453"/>
      <c r="B123" s="301"/>
      <c r="C123" s="145"/>
      <c r="D123" s="332"/>
      <c r="E123" s="132"/>
      <c r="F123" s="134"/>
      <c r="G123" s="134"/>
      <c r="H123" s="138"/>
      <c r="I123" s="157"/>
      <c r="J123" s="135"/>
      <c r="K123" s="178"/>
      <c r="L123" s="133"/>
      <c r="M123" s="133"/>
      <c r="N123" s="138"/>
      <c r="O123" s="138"/>
      <c r="P123" s="160"/>
      <c r="Q123" s="138"/>
      <c r="R123" s="138"/>
      <c r="S123" s="429"/>
      <c r="T123" s="244"/>
      <c r="U123" s="244"/>
      <c r="V123" s="244"/>
      <c r="W123" s="244"/>
      <c r="X123" s="244"/>
      <c r="Y123" s="18"/>
      <c r="Z123" s="18"/>
      <c r="AA123" s="18"/>
    </row>
    <row r="124">
      <c r="A124" s="453"/>
      <c r="B124" s="462"/>
      <c r="C124" s="182"/>
      <c r="D124" s="332"/>
      <c r="E124" s="135"/>
      <c r="F124" s="134"/>
      <c r="G124" s="134"/>
      <c r="H124" s="138"/>
      <c r="I124" s="157"/>
      <c r="J124" s="135"/>
      <c r="K124" s="178"/>
      <c r="L124" s="133"/>
      <c r="M124" s="133"/>
      <c r="N124" s="138"/>
      <c r="O124" s="131"/>
      <c r="P124" s="160"/>
      <c r="Q124" s="138"/>
      <c r="R124" s="138"/>
      <c r="S124" s="429"/>
      <c r="T124" s="244"/>
      <c r="U124" s="244"/>
      <c r="V124" s="244"/>
      <c r="W124" s="244"/>
      <c r="X124" s="244"/>
      <c r="Y124" s="18"/>
      <c r="Z124" s="18"/>
      <c r="AA124" s="18"/>
    </row>
    <row r="125">
      <c r="A125" s="418"/>
      <c r="B125" s="157"/>
      <c r="C125" s="415"/>
      <c r="D125" s="131"/>
      <c r="E125" s="132"/>
      <c r="F125" s="134"/>
      <c r="G125" s="134"/>
      <c r="H125" s="138"/>
      <c r="I125" s="133"/>
      <c r="J125" s="135"/>
      <c r="K125" s="460"/>
      <c r="L125" s="133"/>
      <c r="M125" s="133"/>
      <c r="N125" s="138"/>
      <c r="O125" s="131"/>
      <c r="P125" s="160"/>
      <c r="Q125" s="204"/>
      <c r="R125" s="204"/>
      <c r="S125" s="67"/>
      <c r="T125" s="67"/>
      <c r="U125" s="67"/>
      <c r="V125" s="67"/>
      <c r="W125" s="67"/>
      <c r="X125" s="67"/>
      <c r="Y125" s="18"/>
      <c r="Z125" s="18"/>
      <c r="AA125" s="18"/>
    </row>
    <row r="126">
      <c r="A126" s="418"/>
      <c r="B126" s="157"/>
      <c r="C126" s="415"/>
      <c r="D126" s="131"/>
      <c r="E126" s="132"/>
      <c r="F126" s="134"/>
      <c r="G126" s="134"/>
      <c r="H126" s="138"/>
      <c r="I126" s="157"/>
      <c r="J126" s="135"/>
      <c r="K126" s="460"/>
      <c r="L126" s="133"/>
      <c r="M126" s="133"/>
      <c r="N126" s="138"/>
      <c r="O126" s="131"/>
      <c r="P126" s="160"/>
      <c r="Q126" s="138"/>
      <c r="R126" s="138"/>
      <c r="S126" s="429"/>
      <c r="T126" s="244"/>
      <c r="U126" s="244"/>
      <c r="V126" s="244"/>
      <c r="W126" s="244"/>
      <c r="X126" s="244"/>
      <c r="Y126" s="18"/>
      <c r="Z126" s="18"/>
      <c r="AA126" s="18"/>
    </row>
    <row r="127">
      <c r="A127" s="418"/>
      <c r="B127" s="157"/>
      <c r="C127" s="415"/>
      <c r="D127" s="131"/>
      <c r="E127" s="132"/>
      <c r="F127" s="134"/>
      <c r="G127" s="134"/>
      <c r="H127" s="138"/>
      <c r="I127" s="157"/>
      <c r="J127" s="135"/>
      <c r="K127" s="460"/>
      <c r="L127" s="133"/>
      <c r="M127" s="133"/>
      <c r="N127" s="138"/>
      <c r="O127" s="131"/>
      <c r="P127" s="160"/>
      <c r="Q127" s="138"/>
      <c r="R127" s="138"/>
      <c r="S127" s="429"/>
      <c r="T127" s="244"/>
      <c r="U127" s="244"/>
      <c r="V127" s="244"/>
      <c r="W127" s="244"/>
      <c r="X127" s="244"/>
      <c r="Y127" s="18"/>
      <c r="Z127" s="18"/>
      <c r="AA127" s="18"/>
    </row>
    <row r="128">
      <c r="A128" s="418"/>
      <c r="B128" s="157"/>
      <c r="C128" s="461"/>
      <c r="D128" s="131"/>
      <c r="E128" s="132"/>
      <c r="F128" s="134"/>
      <c r="G128" s="134"/>
      <c r="H128" s="138"/>
      <c r="I128" s="157"/>
      <c r="J128" s="135"/>
      <c r="K128" s="178"/>
      <c r="L128" s="133"/>
      <c r="M128" s="133"/>
      <c r="N128" s="138"/>
      <c r="O128" s="131"/>
      <c r="P128" s="160"/>
      <c r="Q128" s="138"/>
      <c r="R128" s="138"/>
      <c r="S128" s="429"/>
      <c r="T128" s="244"/>
      <c r="U128" s="244"/>
      <c r="V128" s="244"/>
      <c r="W128" s="244"/>
      <c r="X128" s="244"/>
      <c r="Y128" s="18"/>
      <c r="Z128" s="18"/>
      <c r="AA128" s="18"/>
    </row>
    <row r="129">
      <c r="A129" s="453"/>
      <c r="B129" s="157"/>
      <c r="C129" s="415"/>
      <c r="D129" s="131"/>
      <c r="E129" s="132"/>
      <c r="F129" s="134"/>
      <c r="G129" s="331"/>
      <c r="H129" s="138"/>
      <c r="I129" s="157"/>
      <c r="J129" s="135"/>
      <c r="K129" s="178"/>
      <c r="L129" s="133"/>
      <c r="M129" s="133"/>
      <c r="N129" s="138"/>
      <c r="O129" s="463"/>
      <c r="P129" s="160"/>
      <c r="Q129" s="138"/>
      <c r="R129" s="464"/>
      <c r="S129" s="429"/>
      <c r="T129" s="244"/>
      <c r="U129" s="244"/>
      <c r="V129" s="244"/>
      <c r="W129" s="244"/>
      <c r="X129" s="244"/>
      <c r="Y129" s="18"/>
      <c r="Z129" s="18"/>
      <c r="AA129" s="18"/>
    </row>
    <row r="130">
      <c r="A130" s="453"/>
      <c r="B130" s="157"/>
      <c r="C130" s="415"/>
      <c r="D130" s="131"/>
      <c r="E130" s="132"/>
      <c r="F130" s="134"/>
      <c r="G130" s="331"/>
      <c r="H130" s="138"/>
      <c r="I130" s="157"/>
      <c r="J130" s="135"/>
      <c r="K130" s="178"/>
      <c r="L130" s="133"/>
      <c r="M130" s="133"/>
      <c r="N130" s="138"/>
      <c r="O130" s="463"/>
      <c r="P130" s="160"/>
      <c r="Q130" s="138"/>
      <c r="R130" s="464"/>
      <c r="S130" s="429"/>
      <c r="T130" s="244"/>
      <c r="U130" s="244"/>
      <c r="V130" s="244"/>
      <c r="W130" s="244"/>
      <c r="X130" s="244"/>
      <c r="Y130" s="18"/>
      <c r="Z130" s="18"/>
      <c r="AA130" s="18"/>
    </row>
    <row r="131">
      <c r="A131" s="453"/>
      <c r="B131" s="157"/>
      <c r="C131" s="415"/>
      <c r="D131" s="131"/>
      <c r="E131" s="132"/>
      <c r="F131" s="134"/>
      <c r="G131" s="331"/>
      <c r="H131" s="138"/>
      <c r="I131" s="157"/>
      <c r="J131" s="135"/>
      <c r="K131" s="178"/>
      <c r="L131" s="133"/>
      <c r="M131" s="133"/>
      <c r="N131" s="138"/>
      <c r="O131" s="463"/>
      <c r="P131" s="160"/>
      <c r="Q131" s="138"/>
      <c r="R131" s="464"/>
      <c r="S131" s="429"/>
      <c r="T131" s="244"/>
      <c r="U131" s="244"/>
      <c r="V131" s="244"/>
      <c r="W131" s="244"/>
      <c r="X131" s="244"/>
      <c r="Y131" s="18"/>
      <c r="Z131" s="18"/>
      <c r="AA131" s="18"/>
    </row>
    <row r="132">
      <c r="A132" s="453"/>
      <c r="B132" s="157"/>
      <c r="C132" s="415"/>
      <c r="D132" s="131"/>
      <c r="E132" s="132"/>
      <c r="F132" s="134"/>
      <c r="G132" s="331"/>
      <c r="H132" s="138"/>
      <c r="I132" s="157"/>
      <c r="J132" s="135"/>
      <c r="K132" s="178"/>
      <c r="L132" s="133"/>
      <c r="M132" s="133"/>
      <c r="N132" s="138"/>
      <c r="O132" s="463"/>
      <c r="P132" s="160"/>
      <c r="Q132" s="138"/>
      <c r="R132" s="464"/>
      <c r="S132" s="429"/>
      <c r="T132" s="244"/>
      <c r="U132" s="244"/>
      <c r="V132" s="244"/>
      <c r="W132" s="244"/>
      <c r="X132" s="244"/>
      <c r="Y132" s="18"/>
      <c r="Z132" s="18"/>
      <c r="AA132" s="18"/>
    </row>
    <row r="133">
      <c r="A133" s="413"/>
      <c r="B133" s="157"/>
      <c r="C133" s="415"/>
      <c r="D133" s="144"/>
      <c r="E133" s="132"/>
      <c r="F133" s="141"/>
      <c r="G133" s="331"/>
      <c r="H133" s="142"/>
      <c r="I133" s="140"/>
      <c r="J133" s="135"/>
      <c r="K133" s="178"/>
      <c r="L133" s="140"/>
      <c r="M133" s="140"/>
      <c r="N133" s="142"/>
      <c r="O133" s="142"/>
      <c r="P133" s="160"/>
      <c r="Q133" s="142"/>
      <c r="R133" s="465"/>
      <c r="S133" s="142"/>
      <c r="T133" s="466"/>
      <c r="U133" s="466"/>
      <c r="V133" s="466"/>
      <c r="W133" s="466"/>
      <c r="X133" s="466"/>
      <c r="Y133" s="467"/>
      <c r="Z133" s="467"/>
      <c r="AA133" s="467"/>
    </row>
    <row r="134">
      <c r="A134" s="413"/>
      <c r="B134" s="157"/>
      <c r="C134" s="415"/>
      <c r="D134" s="144"/>
      <c r="E134" s="132"/>
      <c r="F134" s="141"/>
      <c r="G134" s="331"/>
      <c r="H134" s="142"/>
      <c r="I134" s="140"/>
      <c r="J134" s="135"/>
      <c r="K134" s="178"/>
      <c r="L134" s="140"/>
      <c r="M134" s="140"/>
      <c r="N134" s="142"/>
      <c r="O134" s="142"/>
      <c r="P134" s="160"/>
      <c r="Q134" s="142"/>
      <c r="R134" s="465"/>
      <c r="S134" s="142"/>
      <c r="T134" s="466"/>
      <c r="U134" s="466"/>
      <c r="V134" s="466"/>
      <c r="W134" s="466"/>
      <c r="X134" s="466"/>
      <c r="Y134" s="467"/>
      <c r="Z134" s="467"/>
      <c r="AA134" s="467"/>
    </row>
    <row r="135">
      <c r="A135" s="413"/>
      <c r="B135" s="157"/>
      <c r="C135" s="415"/>
      <c r="D135" s="144"/>
      <c r="E135" s="132"/>
      <c r="F135" s="141"/>
      <c r="G135" s="331"/>
      <c r="H135" s="142"/>
      <c r="I135" s="140"/>
      <c r="J135" s="135"/>
      <c r="K135" s="178"/>
      <c r="L135" s="140"/>
      <c r="M135" s="140"/>
      <c r="N135" s="142"/>
      <c r="O135" s="142"/>
      <c r="P135" s="160"/>
      <c r="Q135" s="142"/>
      <c r="R135" s="465"/>
      <c r="S135" s="142"/>
      <c r="T135" s="466"/>
      <c r="U135" s="466"/>
      <c r="V135" s="466"/>
      <c r="W135" s="466"/>
      <c r="X135" s="466"/>
      <c r="Y135" s="467"/>
      <c r="Z135" s="467"/>
      <c r="AA135" s="467"/>
    </row>
    <row r="136">
      <c r="A136" s="453"/>
      <c r="B136" s="172"/>
      <c r="C136" s="468"/>
      <c r="D136" s="156"/>
      <c r="E136" s="132"/>
      <c r="F136" s="134"/>
      <c r="G136" s="134"/>
      <c r="H136" s="160"/>
      <c r="I136" s="157"/>
      <c r="J136" s="135"/>
      <c r="K136" s="178"/>
      <c r="L136" s="172"/>
      <c r="M136" s="172"/>
      <c r="N136" s="160"/>
      <c r="O136" s="160"/>
      <c r="P136" s="160"/>
      <c r="Q136" s="142"/>
      <c r="R136" s="469"/>
      <c r="S136" s="142"/>
      <c r="T136" s="209"/>
      <c r="U136" s="209"/>
      <c r="V136" s="209"/>
      <c r="W136" s="209"/>
      <c r="X136" s="209"/>
      <c r="Y136" s="18"/>
      <c r="Z136" s="18"/>
      <c r="AA136" s="18"/>
    </row>
    <row r="137">
      <c r="A137" s="418"/>
      <c r="B137" s="462"/>
      <c r="C137" s="470"/>
      <c r="D137" s="455"/>
      <c r="E137" s="132"/>
      <c r="F137" s="134"/>
      <c r="G137" s="134"/>
      <c r="H137" s="456"/>
      <c r="I137" s="157"/>
      <c r="J137" s="135"/>
      <c r="K137" s="178"/>
      <c r="L137" s="457"/>
      <c r="M137" s="457"/>
      <c r="N137" s="456"/>
      <c r="O137" s="456"/>
      <c r="P137" s="160"/>
      <c r="Q137" s="142"/>
      <c r="R137" s="469"/>
      <c r="S137" s="142"/>
      <c r="T137" s="209"/>
      <c r="U137" s="209"/>
      <c r="V137" s="209"/>
      <c r="W137" s="209"/>
      <c r="X137" s="209"/>
      <c r="Y137" s="18"/>
      <c r="Z137" s="18"/>
      <c r="AA137" s="18"/>
    </row>
    <row r="138">
      <c r="A138" s="453"/>
      <c r="B138" s="145"/>
      <c r="C138" s="160"/>
      <c r="D138" s="311"/>
      <c r="E138" s="132"/>
      <c r="F138" s="134"/>
      <c r="G138" s="134"/>
      <c r="H138" s="160"/>
      <c r="I138" s="157"/>
      <c r="J138" s="135"/>
      <c r="K138" s="178"/>
      <c r="L138" s="172"/>
      <c r="M138" s="172"/>
      <c r="N138" s="160"/>
      <c r="O138" s="160"/>
      <c r="P138" s="160"/>
      <c r="Q138" s="160"/>
      <c r="R138" s="160"/>
      <c r="S138" s="160"/>
      <c r="T138" s="232"/>
      <c r="U138" s="232"/>
      <c r="V138" s="232"/>
      <c r="W138" s="232"/>
      <c r="X138" s="232"/>
      <c r="Y138" s="18"/>
      <c r="Z138" s="18"/>
      <c r="AA138" s="18"/>
    </row>
    <row r="139">
      <c r="A139" s="453"/>
      <c r="B139" s="172"/>
      <c r="C139" s="456"/>
      <c r="D139" s="253"/>
      <c r="E139" s="132"/>
      <c r="F139" s="134"/>
      <c r="G139" s="134"/>
      <c r="H139" s="456"/>
      <c r="I139" s="157"/>
      <c r="J139" s="135"/>
      <c r="K139" s="178"/>
      <c r="L139" s="457"/>
      <c r="M139" s="457"/>
      <c r="N139" s="456"/>
      <c r="O139" s="456"/>
      <c r="P139" s="160"/>
      <c r="Q139" s="456"/>
      <c r="R139" s="456"/>
      <c r="S139" s="456"/>
      <c r="T139" s="232"/>
      <c r="U139" s="232"/>
      <c r="V139" s="232"/>
      <c r="W139" s="232"/>
      <c r="X139" s="232"/>
      <c r="Y139" s="18"/>
      <c r="Z139" s="18"/>
      <c r="AA139" s="18"/>
    </row>
    <row r="140">
      <c r="A140" s="453"/>
      <c r="B140" s="172"/>
      <c r="C140" s="456"/>
      <c r="D140" s="253"/>
      <c r="E140" s="132"/>
      <c r="F140" s="134"/>
      <c r="G140" s="134"/>
      <c r="H140" s="456"/>
      <c r="I140" s="157"/>
      <c r="J140" s="135"/>
      <c r="K140" s="178"/>
      <c r="L140" s="457"/>
      <c r="M140" s="457"/>
      <c r="N140" s="456"/>
      <c r="O140" s="456"/>
      <c r="P140" s="160"/>
      <c r="Q140" s="456"/>
      <c r="R140" s="455"/>
      <c r="S140" s="456"/>
      <c r="T140" s="232"/>
      <c r="U140" s="232"/>
      <c r="V140" s="232"/>
      <c r="W140" s="232"/>
      <c r="X140" s="232"/>
      <c r="Y140" s="18"/>
      <c r="Z140" s="18"/>
      <c r="AA140" s="18"/>
    </row>
    <row r="141">
      <c r="A141" s="453"/>
      <c r="B141" s="172"/>
      <c r="C141" s="456"/>
      <c r="D141" s="254"/>
      <c r="E141" s="135"/>
      <c r="F141" s="134"/>
      <c r="G141" s="134"/>
      <c r="H141" s="456"/>
      <c r="I141" s="157"/>
      <c r="J141" s="135"/>
      <c r="K141" s="178"/>
      <c r="L141" s="457"/>
      <c r="M141" s="457"/>
      <c r="N141" s="456"/>
      <c r="O141" s="456"/>
      <c r="P141" s="160"/>
      <c r="Q141" s="456"/>
      <c r="R141" s="458"/>
      <c r="S141" s="456"/>
      <c r="T141" s="232"/>
      <c r="U141" s="232"/>
      <c r="V141" s="232"/>
      <c r="W141" s="232"/>
      <c r="X141" s="232"/>
      <c r="Y141" s="18"/>
      <c r="Z141" s="18"/>
      <c r="AA141" s="18"/>
    </row>
    <row r="142">
      <c r="A142" s="453"/>
      <c r="B142" s="172"/>
      <c r="C142" s="456"/>
      <c r="D142" s="471"/>
      <c r="E142" s="132"/>
      <c r="F142" s="134"/>
      <c r="G142" s="134"/>
      <c r="H142" s="456"/>
      <c r="I142" s="157"/>
      <c r="J142" s="135"/>
      <c r="K142" s="178"/>
      <c r="L142" s="462"/>
      <c r="M142" s="457"/>
      <c r="N142" s="456"/>
      <c r="O142" s="456"/>
      <c r="P142" s="160"/>
      <c r="Q142" s="456"/>
      <c r="R142" s="458"/>
      <c r="S142" s="456"/>
      <c r="T142" s="232"/>
      <c r="U142" s="232"/>
      <c r="V142" s="232"/>
      <c r="W142" s="232"/>
      <c r="X142" s="232"/>
      <c r="Y142" s="18"/>
      <c r="Z142" s="18"/>
      <c r="AA142" s="18"/>
    </row>
    <row r="143" ht="27.0" customHeight="1">
      <c r="A143" s="453"/>
      <c r="B143" s="172"/>
      <c r="C143" s="456"/>
      <c r="D143" s="471"/>
      <c r="E143" s="132"/>
      <c r="F143" s="134"/>
      <c r="G143" s="134"/>
      <c r="H143" s="456"/>
      <c r="I143" s="472"/>
      <c r="J143" s="135"/>
      <c r="K143" s="178"/>
      <c r="L143" s="462"/>
      <c r="M143" s="457"/>
      <c r="N143" s="456"/>
      <c r="O143" s="456"/>
      <c r="P143" s="160"/>
      <c r="Q143" s="456"/>
      <c r="R143" s="458"/>
      <c r="S143" s="456"/>
      <c r="T143" s="232"/>
      <c r="U143" s="232"/>
      <c r="V143" s="232"/>
      <c r="W143" s="232"/>
      <c r="X143" s="232"/>
      <c r="Y143" s="18"/>
      <c r="Z143" s="18"/>
      <c r="AA143" s="18"/>
    </row>
    <row r="144">
      <c r="A144" s="453"/>
      <c r="B144" s="172"/>
      <c r="C144" s="456"/>
      <c r="D144" s="471"/>
      <c r="E144" s="132"/>
      <c r="F144" s="134"/>
      <c r="G144" s="134"/>
      <c r="H144" s="456"/>
      <c r="I144" s="472"/>
      <c r="J144" s="135"/>
      <c r="K144" s="178"/>
      <c r="L144" s="322"/>
      <c r="M144" s="457"/>
      <c r="N144" s="456"/>
      <c r="O144" s="456"/>
      <c r="P144" s="160"/>
      <c r="Q144" s="456"/>
      <c r="R144" s="458"/>
      <c r="S144" s="456"/>
      <c r="T144" s="232"/>
      <c r="U144" s="232"/>
      <c r="V144" s="232"/>
      <c r="W144" s="232"/>
      <c r="X144" s="232"/>
      <c r="Y144" s="18"/>
      <c r="Z144" s="18"/>
      <c r="AA144" s="18"/>
    </row>
    <row r="145">
      <c r="A145" s="453"/>
      <c r="B145" s="140"/>
      <c r="C145" s="415"/>
      <c r="D145" s="473"/>
      <c r="E145" s="132"/>
      <c r="F145" s="134"/>
      <c r="G145" s="134"/>
      <c r="H145" s="456"/>
      <c r="I145" s="157"/>
      <c r="J145" s="135"/>
      <c r="K145" s="178"/>
      <c r="L145" s="322"/>
      <c r="M145" s="457"/>
      <c r="N145" s="456"/>
      <c r="O145" s="18"/>
      <c r="P145" s="160"/>
      <c r="Q145" s="18"/>
      <c r="R145" s="18"/>
      <c r="S145" s="456"/>
      <c r="T145" s="232"/>
      <c r="U145" s="232"/>
      <c r="V145" s="232"/>
      <c r="W145" s="232"/>
      <c r="X145" s="232"/>
      <c r="Y145" s="18"/>
      <c r="Z145" s="18"/>
      <c r="AA145" s="18"/>
    </row>
    <row r="146">
      <c r="A146" s="453"/>
      <c r="B146" s="474"/>
      <c r="C146" s="456"/>
      <c r="D146" s="473"/>
      <c r="E146" s="135"/>
      <c r="F146" s="134"/>
      <c r="G146" s="134"/>
      <c r="H146" s="456"/>
      <c r="I146" s="157"/>
      <c r="J146" s="135"/>
      <c r="K146" s="178"/>
      <c r="L146" s="322"/>
      <c r="M146" s="457"/>
      <c r="N146" s="456"/>
      <c r="O146" s="459"/>
      <c r="P146" s="160"/>
      <c r="Q146" s="456"/>
      <c r="R146" s="475"/>
      <c r="S146" s="456"/>
      <c r="T146" s="232"/>
      <c r="U146" s="232"/>
      <c r="V146" s="232"/>
      <c r="W146" s="232"/>
      <c r="X146" s="232"/>
      <c r="Y146" s="18"/>
      <c r="Z146" s="18"/>
      <c r="AA146" s="18"/>
    </row>
    <row r="147">
      <c r="A147" s="476"/>
      <c r="B147" s="477"/>
      <c r="C147" s="478"/>
      <c r="D147" s="326"/>
      <c r="E147" s="135"/>
      <c r="F147" s="331"/>
      <c r="G147" s="331"/>
      <c r="H147" s="456"/>
      <c r="I147" s="157"/>
      <c r="J147" s="135"/>
      <c r="K147" s="178"/>
      <c r="L147" s="322"/>
      <c r="M147" s="457"/>
      <c r="N147" s="456"/>
      <c r="O147" s="459"/>
      <c r="P147" s="160"/>
      <c r="Q147" s="456"/>
      <c r="R147" s="479"/>
      <c r="S147" s="456"/>
      <c r="T147" s="232"/>
      <c r="U147" s="232"/>
      <c r="V147" s="232"/>
      <c r="W147" s="232"/>
      <c r="X147" s="232"/>
      <c r="Y147" s="18"/>
      <c r="Z147" s="18"/>
      <c r="AA147" s="18"/>
    </row>
    <row r="148">
      <c r="A148" s="476"/>
      <c r="B148" s="328"/>
      <c r="C148" s="478"/>
      <c r="D148" s="480"/>
      <c r="E148" s="327"/>
      <c r="F148" s="331"/>
      <c r="G148" s="331"/>
      <c r="H148" s="456"/>
      <c r="I148" s="328"/>
      <c r="J148" s="327"/>
      <c r="K148" s="481"/>
      <c r="L148" s="322"/>
      <c r="M148" s="457"/>
      <c r="N148" s="456"/>
      <c r="O148" s="482"/>
      <c r="P148" s="160"/>
      <c r="Q148" s="456"/>
      <c r="R148" s="479"/>
      <c r="S148" s="456"/>
      <c r="T148" s="232"/>
      <c r="U148" s="232"/>
      <c r="V148" s="232"/>
      <c r="W148" s="232"/>
      <c r="X148" s="232"/>
      <c r="Y148" s="18"/>
      <c r="Z148" s="18"/>
      <c r="AA148" s="18"/>
    </row>
    <row r="149">
      <c r="A149" s="453"/>
      <c r="B149" s="145"/>
      <c r="C149" s="456"/>
      <c r="D149" s="473"/>
      <c r="E149" s="135"/>
      <c r="F149" s="134"/>
      <c r="G149" s="182"/>
      <c r="H149" s="456"/>
      <c r="I149" s="157"/>
      <c r="J149" s="135"/>
      <c r="K149" s="178"/>
      <c r="L149" s="322"/>
      <c r="M149" s="457"/>
      <c r="N149" s="456"/>
      <c r="O149" s="482"/>
      <c r="P149" s="160"/>
      <c r="Q149" s="456"/>
      <c r="R149" s="483"/>
      <c r="S149" s="456"/>
      <c r="T149" s="232"/>
      <c r="U149" s="232"/>
      <c r="V149" s="232"/>
      <c r="W149" s="232"/>
      <c r="X149" s="232"/>
      <c r="Y149" s="18"/>
      <c r="Z149" s="18"/>
      <c r="AA149" s="18"/>
    </row>
    <row r="150">
      <c r="A150" s="453"/>
      <c r="B150" s="140"/>
      <c r="C150" s="415"/>
      <c r="D150" s="473"/>
      <c r="E150" s="132"/>
      <c r="F150" s="134"/>
      <c r="G150" s="134"/>
      <c r="H150" s="456"/>
      <c r="I150" s="157"/>
      <c r="J150" s="135"/>
      <c r="K150" s="178"/>
      <c r="L150" s="322"/>
      <c r="M150" s="457"/>
      <c r="N150" s="456"/>
      <c r="O150" s="18"/>
      <c r="P150" s="160"/>
      <c r="Q150" s="18"/>
      <c r="R150" s="18"/>
      <c r="S150" s="456"/>
      <c r="T150" s="232"/>
      <c r="U150" s="232"/>
      <c r="V150" s="232"/>
      <c r="W150" s="232"/>
      <c r="X150" s="232"/>
      <c r="Y150" s="18"/>
      <c r="Z150" s="18"/>
      <c r="AA150" s="18"/>
    </row>
    <row r="151">
      <c r="A151" s="453"/>
      <c r="B151" s="187"/>
      <c r="C151" s="456"/>
      <c r="D151" s="473"/>
      <c r="E151" s="135"/>
      <c r="F151" s="134"/>
      <c r="G151" s="134"/>
      <c r="H151" s="456"/>
      <c r="I151" s="157"/>
      <c r="J151" s="135"/>
      <c r="K151" s="178"/>
      <c r="L151" s="322"/>
      <c r="M151" s="457"/>
      <c r="N151" s="456"/>
      <c r="O151" s="456"/>
      <c r="P151" s="160"/>
      <c r="Q151" s="456"/>
      <c r="R151" s="456"/>
      <c r="S151" s="456"/>
      <c r="T151" s="232"/>
      <c r="U151" s="232"/>
      <c r="V151" s="232"/>
      <c r="W151" s="232"/>
      <c r="X151" s="232"/>
      <c r="Y151" s="18"/>
      <c r="Z151" s="18"/>
      <c r="AA151" s="18"/>
    </row>
    <row r="152">
      <c r="A152" s="453"/>
      <c r="B152" s="410"/>
      <c r="C152" s="456"/>
      <c r="D152" s="484"/>
      <c r="E152" s="135"/>
      <c r="F152" s="134"/>
      <c r="G152" s="134"/>
      <c r="H152" s="456"/>
      <c r="I152" s="472"/>
      <c r="J152" s="135"/>
      <c r="K152" s="178"/>
      <c r="L152" s="322"/>
      <c r="M152" s="457"/>
      <c r="N152" s="456"/>
      <c r="O152" s="456"/>
      <c r="P152" s="160"/>
      <c r="Q152" s="455"/>
      <c r="R152" s="456"/>
      <c r="S152" s="456"/>
      <c r="T152" s="232"/>
      <c r="U152" s="232"/>
      <c r="V152" s="232"/>
      <c r="W152" s="232"/>
      <c r="X152" s="232"/>
      <c r="Y152" s="18"/>
      <c r="Z152" s="18"/>
      <c r="AA152" s="18"/>
    </row>
    <row r="153">
      <c r="A153" s="453"/>
      <c r="B153" s="457"/>
      <c r="C153" s="456"/>
      <c r="D153" s="455"/>
      <c r="E153" s="485"/>
      <c r="F153" s="182"/>
      <c r="G153" s="182"/>
      <c r="H153" s="456"/>
      <c r="I153" s="472"/>
      <c r="J153" s="485"/>
      <c r="K153" s="486"/>
      <c r="L153" s="322"/>
      <c r="M153" s="457"/>
      <c r="N153" s="456"/>
      <c r="O153" s="456"/>
      <c r="P153" s="160"/>
      <c r="Q153" s="458"/>
      <c r="R153" s="456"/>
      <c r="S153" s="456"/>
      <c r="T153" s="232"/>
      <c r="U153" s="232"/>
      <c r="V153" s="232"/>
      <c r="W153" s="232"/>
      <c r="X153" s="232"/>
      <c r="Y153" s="18"/>
      <c r="Z153" s="18"/>
      <c r="AA153" s="18"/>
    </row>
    <row r="154">
      <c r="A154" s="453"/>
      <c r="B154" s="462"/>
      <c r="C154" s="456"/>
      <c r="D154" s="455"/>
      <c r="E154" s="135"/>
      <c r="F154" s="134"/>
      <c r="G154" s="134"/>
      <c r="H154" s="456"/>
      <c r="I154" s="472"/>
      <c r="J154" s="135"/>
      <c r="K154" s="178"/>
      <c r="L154" s="322"/>
      <c r="M154" s="457"/>
      <c r="N154" s="456"/>
      <c r="O154" s="456"/>
      <c r="P154" s="160"/>
      <c r="Q154" s="455"/>
      <c r="R154" s="456"/>
      <c r="S154" s="456"/>
      <c r="T154" s="232"/>
      <c r="U154" s="232"/>
      <c r="V154" s="232"/>
      <c r="W154" s="232"/>
      <c r="X154" s="232"/>
      <c r="Y154" s="18"/>
      <c r="Z154" s="18"/>
      <c r="AA154" s="18"/>
    </row>
    <row r="155">
      <c r="A155" s="453"/>
      <c r="B155" s="462"/>
      <c r="C155" s="415"/>
      <c r="D155" s="455"/>
      <c r="E155" s="135"/>
      <c r="F155" s="487"/>
      <c r="G155" s="487"/>
      <c r="H155" s="456"/>
      <c r="I155" s="157"/>
      <c r="J155" s="135"/>
      <c r="K155" s="178"/>
      <c r="L155" s="462"/>
      <c r="M155" s="457"/>
      <c r="N155" s="456"/>
      <c r="O155" s="455"/>
      <c r="P155" s="160"/>
      <c r="Q155" s="488"/>
      <c r="R155" s="456"/>
      <c r="S155" s="456"/>
      <c r="T155" s="232"/>
      <c r="U155" s="232"/>
      <c r="V155" s="232"/>
      <c r="W155" s="232"/>
      <c r="X155" s="232"/>
      <c r="Y155" s="18"/>
      <c r="Z155" s="18"/>
      <c r="AA155" s="18"/>
    </row>
    <row r="156">
      <c r="A156" s="453"/>
      <c r="B156" s="462"/>
      <c r="C156" s="415"/>
      <c r="D156" s="455"/>
      <c r="E156" s="135"/>
      <c r="F156" s="487"/>
      <c r="G156" s="487"/>
      <c r="H156" s="456"/>
      <c r="I156" s="157"/>
      <c r="J156" s="135"/>
      <c r="K156" s="178"/>
      <c r="L156" s="462"/>
      <c r="M156" s="457"/>
      <c r="N156" s="456"/>
      <c r="O156" s="455"/>
      <c r="P156" s="160"/>
      <c r="Q156" s="488"/>
      <c r="R156" s="458"/>
      <c r="S156" s="456"/>
      <c r="T156" s="232"/>
      <c r="U156" s="232"/>
      <c r="V156" s="232"/>
      <c r="W156" s="232"/>
      <c r="X156" s="232"/>
      <c r="Y156" s="18"/>
      <c r="Z156" s="18"/>
      <c r="AA156" s="18"/>
    </row>
    <row r="157">
      <c r="A157" s="453"/>
      <c r="B157" s="462"/>
      <c r="C157" s="415"/>
      <c r="D157" s="455"/>
      <c r="E157" s="135"/>
      <c r="F157" s="487"/>
      <c r="G157" s="487"/>
      <c r="H157" s="456"/>
      <c r="I157" s="157"/>
      <c r="J157" s="135"/>
      <c r="K157" s="178"/>
      <c r="L157" s="462"/>
      <c r="M157" s="457"/>
      <c r="N157" s="456"/>
      <c r="O157" s="455"/>
      <c r="P157" s="160"/>
      <c r="Q157" s="455"/>
      <c r="R157" s="458"/>
      <c r="S157" s="456"/>
      <c r="T157" s="232"/>
      <c r="U157" s="232"/>
      <c r="V157" s="232"/>
      <c r="W157" s="232"/>
      <c r="X157" s="232"/>
      <c r="Y157" s="18"/>
      <c r="Z157" s="18"/>
      <c r="AA157" s="18"/>
    </row>
    <row r="158">
      <c r="A158" s="453"/>
      <c r="B158" s="140"/>
      <c r="C158" s="415"/>
      <c r="D158" s="276"/>
      <c r="E158" s="135"/>
      <c r="F158" s="134"/>
      <c r="G158" s="134"/>
      <c r="H158" s="456"/>
      <c r="I158" s="157"/>
      <c r="J158" s="135"/>
      <c r="K158" s="178"/>
      <c r="L158" s="457"/>
      <c r="M158" s="457"/>
      <c r="N158" s="456"/>
      <c r="O158" s="455"/>
      <c r="P158" s="160"/>
      <c r="Q158" s="456"/>
      <c r="R158" s="458"/>
      <c r="S158" s="456"/>
      <c r="T158" s="232"/>
      <c r="U158" s="232"/>
      <c r="V158" s="232"/>
      <c r="W158" s="232"/>
      <c r="X158" s="232"/>
      <c r="Y158" s="18"/>
      <c r="Z158" s="18"/>
      <c r="AA158" s="18"/>
    </row>
    <row r="159">
      <c r="A159" s="453"/>
      <c r="B159" s="145"/>
      <c r="C159" s="456"/>
      <c r="D159" s="298"/>
      <c r="E159" s="135"/>
      <c r="F159" s="134"/>
      <c r="G159" s="134"/>
      <c r="H159" s="456"/>
      <c r="I159" s="157"/>
      <c r="J159" s="135"/>
      <c r="K159" s="178"/>
      <c r="L159" s="457"/>
      <c r="M159" s="457"/>
      <c r="N159" s="456"/>
      <c r="O159" s="458"/>
      <c r="P159" s="160"/>
      <c r="Q159" s="456"/>
      <c r="R159" s="458"/>
      <c r="S159" s="456"/>
      <c r="T159" s="232"/>
      <c r="U159" s="232"/>
      <c r="V159" s="232"/>
      <c r="W159" s="232"/>
      <c r="X159" s="232"/>
      <c r="Y159" s="18"/>
      <c r="Z159" s="18"/>
      <c r="AA159" s="18"/>
    </row>
    <row r="160">
      <c r="A160" s="453"/>
      <c r="B160" s="462"/>
      <c r="C160" s="415"/>
      <c r="D160" s="298"/>
      <c r="E160" s="135"/>
      <c r="F160" s="134"/>
      <c r="G160" s="134"/>
      <c r="H160" s="456"/>
      <c r="I160" s="157"/>
      <c r="J160" s="135"/>
      <c r="K160" s="178"/>
      <c r="L160" s="457"/>
      <c r="M160" s="457"/>
      <c r="N160" s="456"/>
      <c r="O160" s="458"/>
      <c r="P160" s="160"/>
      <c r="Q160" s="456"/>
      <c r="R160" s="458"/>
      <c r="S160" s="456"/>
      <c r="T160" s="232"/>
      <c r="U160" s="232"/>
      <c r="V160" s="232"/>
      <c r="W160" s="232"/>
      <c r="X160" s="232"/>
      <c r="Y160" s="18"/>
      <c r="Z160" s="18"/>
      <c r="AA160" s="18"/>
    </row>
    <row r="161">
      <c r="A161" s="453"/>
      <c r="B161" s="462"/>
      <c r="C161" s="456"/>
      <c r="D161" s="489"/>
      <c r="E161" s="135"/>
      <c r="F161" s="134"/>
      <c r="G161" s="134"/>
      <c r="H161" s="456"/>
      <c r="I161" s="157"/>
      <c r="J161" s="135"/>
      <c r="K161" s="178"/>
      <c r="L161" s="462"/>
      <c r="M161" s="457"/>
      <c r="N161" s="456"/>
      <c r="O161" s="458"/>
      <c r="P161" s="160"/>
      <c r="Q161" s="456"/>
      <c r="R161" s="458"/>
      <c r="S161" s="456"/>
      <c r="T161" s="232"/>
      <c r="U161" s="232"/>
      <c r="V161" s="232"/>
      <c r="W161" s="232"/>
      <c r="X161" s="232"/>
      <c r="Y161" s="18"/>
      <c r="Z161" s="18"/>
      <c r="AA161" s="18"/>
    </row>
    <row r="162">
      <c r="A162" s="453"/>
      <c r="B162" s="462"/>
      <c r="C162" s="415"/>
      <c r="D162" s="489"/>
      <c r="E162" s="135"/>
      <c r="F162" s="134"/>
      <c r="G162" s="134"/>
      <c r="H162" s="456"/>
      <c r="I162" s="157"/>
      <c r="J162" s="135"/>
      <c r="K162" s="178"/>
      <c r="L162" s="462"/>
      <c r="M162" s="457"/>
      <c r="N162" s="456"/>
      <c r="O162" s="455"/>
      <c r="P162" s="160"/>
      <c r="Q162" s="456"/>
      <c r="R162" s="458"/>
      <c r="S162" s="456"/>
      <c r="T162" s="232"/>
      <c r="U162" s="232"/>
      <c r="V162" s="232"/>
      <c r="W162" s="232"/>
      <c r="X162" s="232"/>
      <c r="Y162" s="18"/>
      <c r="Z162" s="18"/>
      <c r="AA162" s="18"/>
    </row>
    <row r="163">
      <c r="A163" s="453"/>
      <c r="B163" s="322"/>
      <c r="C163" s="415"/>
      <c r="D163" s="156"/>
      <c r="E163" s="135"/>
      <c r="F163" s="134"/>
      <c r="G163" s="134"/>
      <c r="H163" s="456"/>
      <c r="I163" s="157"/>
      <c r="J163" s="135"/>
      <c r="K163" s="178"/>
      <c r="L163" s="322"/>
      <c r="M163" s="457"/>
      <c r="N163" s="456"/>
      <c r="O163" s="458"/>
      <c r="P163" s="160"/>
      <c r="Q163" s="456"/>
      <c r="R163" s="458"/>
      <c r="S163" s="456"/>
      <c r="T163" s="232"/>
      <c r="U163" s="232"/>
      <c r="V163" s="232"/>
      <c r="W163" s="232"/>
      <c r="X163" s="232"/>
      <c r="Y163" s="18"/>
      <c r="Z163" s="18"/>
      <c r="AA163" s="18"/>
    </row>
    <row r="164">
      <c r="A164" s="453"/>
      <c r="B164" s="462"/>
      <c r="C164" s="415"/>
      <c r="D164" s="489"/>
      <c r="E164" s="135"/>
      <c r="F164" s="134"/>
      <c r="G164" s="134"/>
      <c r="H164" s="456"/>
      <c r="I164" s="157"/>
      <c r="J164" s="135"/>
      <c r="K164" s="178"/>
      <c r="L164" s="322"/>
      <c r="M164" s="457"/>
      <c r="N164" s="456"/>
      <c r="O164" s="458"/>
      <c r="P164" s="160"/>
      <c r="Q164" s="456"/>
      <c r="R164" s="458"/>
      <c r="S164" s="456"/>
      <c r="T164" s="232"/>
      <c r="U164" s="232"/>
      <c r="V164" s="232"/>
      <c r="W164" s="232"/>
      <c r="X164" s="232"/>
      <c r="Y164" s="18"/>
      <c r="Z164" s="18"/>
      <c r="AA164" s="18"/>
    </row>
    <row r="165">
      <c r="A165" s="453"/>
      <c r="B165" s="462"/>
      <c r="C165" s="415"/>
      <c r="D165" s="276"/>
      <c r="E165" s="135"/>
      <c r="F165" s="487"/>
      <c r="G165" s="487"/>
      <c r="H165" s="456"/>
      <c r="I165" s="157"/>
      <c r="J165" s="135"/>
      <c r="K165" s="178"/>
      <c r="L165" s="462"/>
      <c r="M165" s="457"/>
      <c r="N165" s="456"/>
      <c r="O165" s="455"/>
      <c r="P165" s="160"/>
      <c r="Q165" s="455"/>
      <c r="R165" s="458"/>
      <c r="S165" s="456"/>
      <c r="T165" s="232"/>
      <c r="U165" s="232"/>
      <c r="V165" s="232"/>
      <c r="W165" s="232"/>
      <c r="X165" s="232"/>
      <c r="Y165" s="18"/>
      <c r="Z165" s="18"/>
      <c r="AA165" s="18"/>
    </row>
    <row r="166">
      <c r="A166" s="453"/>
      <c r="B166" s="145"/>
      <c r="C166" s="415"/>
      <c r="D166" s="298"/>
      <c r="E166" s="135"/>
      <c r="F166" s="134"/>
      <c r="G166" s="134"/>
      <c r="H166" s="456"/>
      <c r="I166" s="157"/>
      <c r="J166" s="135"/>
      <c r="K166" s="178"/>
      <c r="L166" s="322"/>
      <c r="M166" s="457"/>
      <c r="N166" s="456"/>
      <c r="O166" s="458"/>
      <c r="P166" s="160"/>
      <c r="Q166" s="456"/>
      <c r="R166" s="458"/>
      <c r="S166" s="456"/>
      <c r="T166" s="232"/>
      <c r="U166" s="232"/>
      <c r="V166" s="232"/>
      <c r="W166" s="232"/>
      <c r="X166" s="232"/>
      <c r="Y166" s="18"/>
      <c r="Z166" s="18"/>
      <c r="AA166" s="18"/>
    </row>
    <row r="167">
      <c r="A167" s="490"/>
      <c r="B167" s="182"/>
      <c r="C167" s="456"/>
      <c r="D167" s="156"/>
      <c r="E167" s="485"/>
      <c r="F167" s="182"/>
      <c r="G167" s="182"/>
      <c r="H167" s="456"/>
      <c r="I167" s="472"/>
      <c r="J167" s="485"/>
      <c r="K167" s="486"/>
      <c r="L167" s="322"/>
      <c r="M167" s="457"/>
      <c r="N167" s="456"/>
      <c r="O167" s="458"/>
      <c r="P167" s="160"/>
      <c r="Q167" s="456"/>
      <c r="R167" s="458"/>
      <c r="S167" s="456"/>
      <c r="T167" s="232"/>
      <c r="U167" s="232"/>
      <c r="V167" s="232"/>
      <c r="W167" s="232"/>
      <c r="X167" s="232"/>
      <c r="Y167" s="18"/>
      <c r="Z167" s="18"/>
      <c r="AA167" s="18"/>
    </row>
    <row r="168">
      <c r="A168" s="317"/>
      <c r="B168" s="172"/>
      <c r="C168" s="160"/>
      <c r="D168" s="160"/>
      <c r="E168" s="160"/>
      <c r="F168" s="160"/>
      <c r="G168" s="160"/>
      <c r="H168" s="160"/>
      <c r="I168" s="172"/>
      <c r="J168" s="160"/>
      <c r="K168" s="172"/>
      <c r="L168" s="172"/>
      <c r="M168" s="172"/>
      <c r="N168" s="160"/>
      <c r="O168" s="160"/>
      <c r="P168" s="160"/>
      <c r="Q168" s="160"/>
      <c r="R168" s="160"/>
      <c r="S168" s="160"/>
      <c r="T168" s="18"/>
      <c r="U168" s="18"/>
      <c r="V168" s="18"/>
      <c r="W168" s="18"/>
      <c r="X168" s="18"/>
      <c r="Y168" s="18"/>
      <c r="Z168" s="18"/>
      <c r="AA168" s="18"/>
    </row>
    <row r="169">
      <c r="A169" s="317"/>
      <c r="B169" s="172"/>
      <c r="C169" s="160"/>
      <c r="D169" s="160"/>
      <c r="E169" s="160"/>
      <c r="F169" s="160"/>
      <c r="G169" s="160"/>
      <c r="H169" s="160"/>
      <c r="I169" s="172"/>
      <c r="J169" s="160"/>
      <c r="K169" s="172"/>
      <c r="L169" s="172"/>
      <c r="M169" s="172"/>
      <c r="N169" s="160"/>
      <c r="O169" s="160"/>
      <c r="P169" s="160"/>
      <c r="Q169" s="160"/>
      <c r="R169" s="160"/>
      <c r="S169" s="160"/>
      <c r="T169" s="18"/>
      <c r="U169" s="18"/>
      <c r="V169" s="18"/>
      <c r="W169" s="18"/>
      <c r="X169" s="18"/>
      <c r="Y169" s="18"/>
      <c r="Z169" s="18"/>
      <c r="AA169" s="18"/>
    </row>
    <row r="170">
      <c r="A170" s="317"/>
      <c r="B170" s="172"/>
      <c r="C170" s="160"/>
      <c r="D170" s="160"/>
      <c r="E170" s="160"/>
      <c r="F170" s="160"/>
      <c r="G170" s="160"/>
      <c r="H170" s="160"/>
      <c r="I170" s="172"/>
      <c r="J170" s="160"/>
      <c r="K170" s="172"/>
      <c r="L170" s="172"/>
      <c r="M170" s="172"/>
      <c r="N170" s="160"/>
      <c r="O170" s="160"/>
      <c r="P170" s="160"/>
      <c r="Q170" s="160"/>
      <c r="R170" s="160"/>
      <c r="S170" s="160"/>
      <c r="T170" s="18"/>
      <c r="U170" s="18"/>
      <c r="V170" s="18"/>
      <c r="W170" s="18"/>
      <c r="X170" s="18"/>
      <c r="Y170" s="18"/>
      <c r="Z170" s="18"/>
      <c r="AA170" s="18"/>
    </row>
    <row r="171">
      <c r="A171" s="317"/>
      <c r="B171" s="172"/>
      <c r="C171" s="160"/>
      <c r="D171" s="160"/>
      <c r="E171" s="160"/>
      <c r="F171" s="160"/>
      <c r="G171" s="160"/>
      <c r="H171" s="160"/>
      <c r="I171" s="172"/>
      <c r="J171" s="160"/>
      <c r="K171" s="172"/>
      <c r="L171" s="172"/>
      <c r="M171" s="172"/>
      <c r="N171" s="160"/>
      <c r="O171" s="160"/>
      <c r="P171" s="160"/>
      <c r="Q171" s="160"/>
      <c r="R171" s="160"/>
      <c r="S171" s="160"/>
      <c r="T171" s="18"/>
      <c r="U171" s="18"/>
      <c r="V171" s="18"/>
      <c r="W171" s="18"/>
      <c r="X171" s="18"/>
      <c r="Y171" s="18"/>
      <c r="Z171" s="18"/>
      <c r="AA171" s="18"/>
    </row>
    <row r="172">
      <c r="A172" s="317"/>
      <c r="B172" s="172"/>
      <c r="C172" s="160"/>
      <c r="D172" s="160"/>
      <c r="E172" s="160"/>
      <c r="F172" s="160"/>
      <c r="G172" s="160"/>
      <c r="H172" s="160"/>
      <c r="I172" s="172"/>
      <c r="J172" s="160"/>
      <c r="K172" s="172"/>
      <c r="L172" s="172"/>
      <c r="M172" s="172"/>
      <c r="N172" s="160"/>
      <c r="O172" s="160"/>
      <c r="P172" s="160"/>
      <c r="Q172" s="160"/>
      <c r="R172" s="160"/>
      <c r="S172" s="160"/>
      <c r="T172" s="18"/>
      <c r="U172" s="18"/>
      <c r="V172" s="18"/>
      <c r="W172" s="18"/>
      <c r="X172" s="18"/>
      <c r="Y172" s="18"/>
      <c r="Z172" s="18"/>
      <c r="AA172" s="18"/>
    </row>
    <row r="173">
      <c r="A173" s="317"/>
      <c r="B173" s="172"/>
      <c r="C173" s="160"/>
      <c r="D173" s="160"/>
      <c r="E173" s="160"/>
      <c r="F173" s="160"/>
      <c r="G173" s="160"/>
      <c r="H173" s="160"/>
      <c r="I173" s="172"/>
      <c r="J173" s="160"/>
      <c r="K173" s="172"/>
      <c r="L173" s="172"/>
      <c r="M173" s="172"/>
      <c r="N173" s="160"/>
      <c r="O173" s="160"/>
      <c r="P173" s="160"/>
      <c r="Q173" s="160"/>
      <c r="R173" s="160"/>
      <c r="S173" s="160"/>
      <c r="T173" s="18"/>
      <c r="U173" s="18"/>
      <c r="V173" s="18"/>
      <c r="W173" s="18"/>
      <c r="X173" s="18"/>
      <c r="Y173" s="18"/>
      <c r="Z173" s="18"/>
      <c r="AA173" s="18"/>
    </row>
    <row r="174">
      <c r="A174" s="317"/>
      <c r="B174" s="172"/>
      <c r="C174" s="160"/>
      <c r="D174" s="160"/>
      <c r="E174" s="160"/>
      <c r="F174" s="160"/>
      <c r="G174" s="160"/>
      <c r="H174" s="160"/>
      <c r="I174" s="172"/>
      <c r="J174" s="160"/>
      <c r="K174" s="172"/>
      <c r="L174" s="172"/>
      <c r="M174" s="172"/>
      <c r="N174" s="160"/>
      <c r="O174" s="160"/>
      <c r="P174" s="160"/>
      <c r="Q174" s="160"/>
      <c r="R174" s="160"/>
      <c r="S174" s="160"/>
      <c r="T174" s="18"/>
      <c r="U174" s="18"/>
      <c r="V174" s="18"/>
      <c r="W174" s="18"/>
      <c r="X174" s="18"/>
      <c r="Y174" s="18"/>
      <c r="Z174" s="18"/>
      <c r="AA174" s="18"/>
    </row>
    <row r="175">
      <c r="A175" s="317"/>
      <c r="B175" s="172"/>
      <c r="C175" s="160"/>
      <c r="D175" s="160"/>
      <c r="E175" s="160"/>
      <c r="F175" s="160"/>
      <c r="G175" s="160"/>
      <c r="H175" s="160"/>
      <c r="I175" s="172"/>
      <c r="J175" s="160"/>
      <c r="K175" s="172"/>
      <c r="L175" s="172"/>
      <c r="M175" s="172"/>
      <c r="N175" s="160"/>
      <c r="O175" s="160"/>
      <c r="P175" s="160"/>
      <c r="Q175" s="160"/>
      <c r="R175" s="160"/>
      <c r="S175" s="160"/>
      <c r="T175" s="18"/>
      <c r="U175" s="18"/>
      <c r="V175" s="18"/>
      <c r="W175" s="18"/>
      <c r="X175" s="18"/>
      <c r="Y175" s="18"/>
      <c r="Z175" s="18"/>
      <c r="AA175" s="18"/>
    </row>
    <row r="176">
      <c r="A176" s="317"/>
      <c r="B176" s="172"/>
      <c r="C176" s="160"/>
      <c r="D176" s="160"/>
      <c r="E176" s="160"/>
      <c r="F176" s="160"/>
      <c r="G176" s="160"/>
      <c r="H176" s="160"/>
      <c r="I176" s="172"/>
      <c r="J176" s="160"/>
      <c r="K176" s="172"/>
      <c r="L176" s="172"/>
      <c r="M176" s="172"/>
      <c r="N176" s="160"/>
      <c r="O176" s="160"/>
      <c r="P176" s="160"/>
      <c r="Q176" s="160"/>
      <c r="R176" s="160"/>
      <c r="S176" s="160"/>
      <c r="T176" s="18"/>
      <c r="U176" s="18"/>
      <c r="V176" s="18"/>
      <c r="W176" s="18"/>
      <c r="X176" s="18"/>
      <c r="Y176" s="18"/>
      <c r="Z176" s="18"/>
      <c r="AA176" s="18"/>
    </row>
    <row r="177">
      <c r="A177" s="317"/>
      <c r="B177" s="172"/>
      <c r="C177" s="160"/>
      <c r="D177" s="160"/>
      <c r="E177" s="160"/>
      <c r="F177" s="160"/>
      <c r="G177" s="160"/>
      <c r="H177" s="160"/>
      <c r="I177" s="172"/>
      <c r="J177" s="160"/>
      <c r="K177" s="172"/>
      <c r="L177" s="172"/>
      <c r="M177" s="172"/>
      <c r="N177" s="160"/>
      <c r="O177" s="160"/>
      <c r="P177" s="160"/>
      <c r="Q177" s="160"/>
      <c r="R177" s="160"/>
      <c r="S177" s="160"/>
      <c r="T177" s="18"/>
      <c r="U177" s="18"/>
      <c r="V177" s="18"/>
      <c r="W177" s="18"/>
      <c r="X177" s="18"/>
      <c r="Y177" s="18"/>
      <c r="Z177" s="18"/>
      <c r="AA177" s="18"/>
    </row>
    <row r="178">
      <c r="A178" s="317"/>
      <c r="B178" s="172"/>
      <c r="C178" s="160"/>
      <c r="D178" s="160"/>
      <c r="E178" s="160"/>
      <c r="F178" s="160"/>
      <c r="G178" s="160"/>
      <c r="H178" s="160"/>
      <c r="I178" s="172"/>
      <c r="J178" s="160"/>
      <c r="K178" s="172"/>
      <c r="L178" s="172"/>
      <c r="M178" s="172"/>
      <c r="N178" s="160"/>
      <c r="O178" s="160"/>
      <c r="P178" s="160"/>
      <c r="Q178" s="160"/>
      <c r="R178" s="160"/>
      <c r="S178" s="160"/>
      <c r="T178" s="18"/>
      <c r="U178" s="18"/>
      <c r="V178" s="18"/>
      <c r="W178" s="18"/>
      <c r="X178" s="18"/>
      <c r="Y178" s="18"/>
      <c r="Z178" s="18"/>
      <c r="AA178" s="18"/>
    </row>
    <row r="179">
      <c r="A179" s="317"/>
      <c r="B179" s="172"/>
      <c r="C179" s="160"/>
      <c r="D179" s="160"/>
      <c r="E179" s="160"/>
      <c r="F179" s="160"/>
      <c r="G179" s="160"/>
      <c r="H179" s="160"/>
      <c r="I179" s="172"/>
      <c r="J179" s="160"/>
      <c r="K179" s="172"/>
      <c r="L179" s="172"/>
      <c r="M179" s="172"/>
      <c r="N179" s="160"/>
      <c r="O179" s="160"/>
      <c r="P179" s="160"/>
      <c r="Q179" s="160"/>
      <c r="R179" s="160"/>
      <c r="S179" s="160"/>
      <c r="T179" s="18"/>
      <c r="U179" s="18"/>
      <c r="V179" s="18"/>
      <c r="W179" s="18"/>
      <c r="X179" s="18"/>
      <c r="Y179" s="18"/>
      <c r="Z179" s="18"/>
      <c r="AA179" s="18"/>
    </row>
    <row r="180">
      <c r="A180" s="317"/>
      <c r="B180" s="172"/>
      <c r="C180" s="160"/>
      <c r="D180" s="160"/>
      <c r="E180" s="160"/>
      <c r="F180" s="160"/>
      <c r="G180" s="160"/>
      <c r="H180" s="160"/>
      <c r="I180" s="172"/>
      <c r="J180" s="160"/>
      <c r="K180" s="172"/>
      <c r="L180" s="172"/>
      <c r="M180" s="172"/>
      <c r="N180" s="160"/>
      <c r="O180" s="160"/>
      <c r="P180" s="160"/>
      <c r="Q180" s="160"/>
      <c r="R180" s="160"/>
      <c r="S180" s="160"/>
      <c r="T180" s="18"/>
      <c r="U180" s="18"/>
      <c r="V180" s="18"/>
      <c r="W180" s="18"/>
      <c r="X180" s="18"/>
      <c r="Y180" s="18"/>
      <c r="Z180" s="18"/>
      <c r="AA180" s="18"/>
    </row>
    <row r="181">
      <c r="A181" s="317"/>
      <c r="B181" s="172"/>
      <c r="C181" s="160"/>
      <c r="D181" s="160"/>
      <c r="E181" s="160"/>
      <c r="F181" s="160"/>
      <c r="G181" s="160"/>
      <c r="H181" s="160"/>
      <c r="I181" s="172"/>
      <c r="J181" s="160"/>
      <c r="K181" s="172"/>
      <c r="L181" s="172"/>
      <c r="M181" s="172"/>
      <c r="N181" s="160"/>
      <c r="O181" s="160"/>
      <c r="P181" s="160"/>
      <c r="Q181" s="160"/>
      <c r="R181" s="160"/>
      <c r="S181" s="160"/>
      <c r="T181" s="18"/>
      <c r="U181" s="18"/>
      <c r="V181" s="18"/>
      <c r="W181" s="18"/>
      <c r="X181" s="18"/>
      <c r="Y181" s="18"/>
      <c r="Z181" s="18"/>
      <c r="AA181" s="18"/>
    </row>
    <row r="182">
      <c r="A182" s="317"/>
      <c r="B182" s="172"/>
      <c r="C182" s="160"/>
      <c r="D182" s="160"/>
      <c r="E182" s="160"/>
      <c r="F182" s="160"/>
      <c r="G182" s="160"/>
      <c r="H182" s="160"/>
      <c r="I182" s="172"/>
      <c r="J182" s="160"/>
      <c r="K182" s="172"/>
      <c r="L182" s="172"/>
      <c r="M182" s="172"/>
      <c r="N182" s="160"/>
      <c r="O182" s="160"/>
      <c r="P182" s="160"/>
      <c r="Q182" s="160"/>
      <c r="R182" s="160"/>
      <c r="S182" s="160"/>
      <c r="T182" s="18"/>
      <c r="U182" s="18"/>
      <c r="V182" s="18"/>
      <c r="W182" s="18"/>
      <c r="X182" s="18"/>
      <c r="Y182" s="18"/>
      <c r="Z182" s="18"/>
      <c r="AA182" s="18"/>
    </row>
    <row r="183">
      <c r="A183" s="317"/>
      <c r="B183" s="172"/>
      <c r="C183" s="160"/>
      <c r="D183" s="160"/>
      <c r="E183" s="160"/>
      <c r="F183" s="160"/>
      <c r="G183" s="160"/>
      <c r="H183" s="160"/>
      <c r="I183" s="172"/>
      <c r="J183" s="160"/>
      <c r="K183" s="172"/>
      <c r="L183" s="172"/>
      <c r="M183" s="172"/>
      <c r="N183" s="160"/>
      <c r="O183" s="160"/>
      <c r="P183" s="160"/>
      <c r="Q183" s="160"/>
      <c r="R183" s="160"/>
      <c r="S183" s="160"/>
      <c r="T183" s="18"/>
      <c r="U183" s="18"/>
      <c r="V183" s="18"/>
      <c r="W183" s="18"/>
      <c r="X183" s="18"/>
      <c r="Y183" s="18"/>
      <c r="Z183" s="18"/>
      <c r="AA183" s="18"/>
    </row>
    <row r="184">
      <c r="A184" s="317"/>
      <c r="B184" s="172"/>
      <c r="C184" s="160"/>
      <c r="D184" s="160"/>
      <c r="E184" s="160"/>
      <c r="F184" s="160"/>
      <c r="G184" s="160"/>
      <c r="H184" s="160"/>
      <c r="I184" s="172"/>
      <c r="J184" s="160"/>
      <c r="K184" s="172"/>
      <c r="L184" s="172"/>
      <c r="M184" s="172"/>
      <c r="N184" s="160"/>
      <c r="O184" s="160"/>
      <c r="P184" s="160"/>
      <c r="Q184" s="160"/>
      <c r="R184" s="160"/>
      <c r="S184" s="160"/>
      <c r="T184" s="18"/>
      <c r="U184" s="18"/>
      <c r="V184" s="18"/>
      <c r="W184" s="18"/>
      <c r="X184" s="18"/>
      <c r="Y184" s="18"/>
      <c r="Z184" s="18"/>
      <c r="AA184" s="18"/>
    </row>
    <row r="185">
      <c r="A185" s="317"/>
      <c r="B185" s="172"/>
      <c r="C185" s="160"/>
      <c r="D185" s="160"/>
      <c r="E185" s="160"/>
      <c r="F185" s="160"/>
      <c r="G185" s="160"/>
      <c r="H185" s="160"/>
      <c r="I185" s="172"/>
      <c r="J185" s="160"/>
      <c r="K185" s="172"/>
      <c r="L185" s="172"/>
      <c r="M185" s="172"/>
      <c r="N185" s="160"/>
      <c r="O185" s="160"/>
      <c r="P185" s="160"/>
      <c r="Q185" s="160"/>
      <c r="R185" s="160"/>
      <c r="S185" s="160"/>
      <c r="T185" s="18"/>
      <c r="U185" s="18"/>
      <c r="V185" s="18"/>
      <c r="W185" s="18"/>
      <c r="X185" s="18"/>
      <c r="Y185" s="18"/>
      <c r="Z185" s="18"/>
      <c r="AA185" s="18"/>
    </row>
    <row r="186">
      <c r="A186" s="317"/>
      <c r="B186" s="172"/>
      <c r="C186" s="160"/>
      <c r="D186" s="160"/>
      <c r="E186" s="160"/>
      <c r="F186" s="160"/>
      <c r="G186" s="160"/>
      <c r="H186" s="160"/>
      <c r="I186" s="172"/>
      <c r="J186" s="160"/>
      <c r="K186" s="172"/>
      <c r="L186" s="172"/>
      <c r="M186" s="172"/>
      <c r="N186" s="160"/>
      <c r="O186" s="160"/>
      <c r="P186" s="160"/>
      <c r="Q186" s="160"/>
      <c r="R186" s="160"/>
      <c r="S186" s="160"/>
      <c r="T186" s="18"/>
      <c r="U186" s="18"/>
      <c r="V186" s="18"/>
      <c r="W186" s="18"/>
      <c r="X186" s="18"/>
      <c r="Y186" s="18"/>
      <c r="Z186" s="18"/>
      <c r="AA186" s="18"/>
    </row>
    <row r="187">
      <c r="A187" s="317"/>
      <c r="B187" s="172"/>
      <c r="C187" s="160"/>
      <c r="D187" s="160"/>
      <c r="E187" s="160"/>
      <c r="F187" s="160"/>
      <c r="G187" s="160"/>
      <c r="H187" s="160"/>
      <c r="I187" s="172"/>
      <c r="J187" s="160"/>
      <c r="K187" s="172"/>
      <c r="L187" s="172"/>
      <c r="M187" s="172"/>
      <c r="N187" s="160"/>
      <c r="O187" s="160"/>
      <c r="P187" s="160"/>
      <c r="Q187" s="160"/>
      <c r="R187" s="160"/>
      <c r="S187" s="160"/>
      <c r="T187" s="18"/>
      <c r="U187" s="18"/>
      <c r="V187" s="18"/>
      <c r="W187" s="18"/>
      <c r="X187" s="18"/>
      <c r="Y187" s="18"/>
      <c r="Z187" s="18"/>
      <c r="AA187" s="18"/>
    </row>
    <row r="188">
      <c r="A188" s="317"/>
      <c r="B188" s="172"/>
      <c r="C188" s="160"/>
      <c r="D188" s="160"/>
      <c r="E188" s="160"/>
      <c r="F188" s="160"/>
      <c r="G188" s="160"/>
      <c r="H188" s="160"/>
      <c r="I188" s="172"/>
      <c r="J188" s="160"/>
      <c r="K188" s="172"/>
      <c r="L188" s="172"/>
      <c r="M188" s="172"/>
      <c r="N188" s="160"/>
      <c r="O188" s="160"/>
      <c r="P188" s="160"/>
      <c r="Q188" s="160"/>
      <c r="R188" s="160"/>
      <c r="S188" s="160"/>
      <c r="T188" s="18"/>
      <c r="U188" s="18"/>
      <c r="V188" s="18"/>
      <c r="W188" s="18"/>
      <c r="X188" s="18"/>
      <c r="Y188" s="18"/>
      <c r="Z188" s="18"/>
      <c r="AA188" s="18"/>
    </row>
    <row r="189">
      <c r="A189" s="317"/>
      <c r="B189" s="172"/>
      <c r="C189" s="160"/>
      <c r="D189" s="160"/>
      <c r="E189" s="160"/>
      <c r="F189" s="160"/>
      <c r="G189" s="160"/>
      <c r="H189" s="160"/>
      <c r="I189" s="172"/>
      <c r="J189" s="160"/>
      <c r="K189" s="172"/>
      <c r="L189" s="172"/>
      <c r="M189" s="172"/>
      <c r="N189" s="160"/>
      <c r="O189" s="160"/>
      <c r="P189" s="160"/>
      <c r="Q189" s="160"/>
      <c r="R189" s="160"/>
      <c r="S189" s="160"/>
      <c r="T189" s="18"/>
      <c r="U189" s="18"/>
      <c r="V189" s="18"/>
      <c r="W189" s="18"/>
      <c r="X189" s="18"/>
      <c r="Y189" s="18"/>
      <c r="Z189" s="18"/>
      <c r="AA189" s="18"/>
    </row>
    <row r="190">
      <c r="A190" s="317"/>
      <c r="B190" s="172"/>
      <c r="C190" s="160"/>
      <c r="D190" s="160"/>
      <c r="E190" s="160"/>
      <c r="F190" s="160"/>
      <c r="G190" s="160"/>
      <c r="H190" s="160"/>
      <c r="I190" s="172"/>
      <c r="J190" s="160"/>
      <c r="K190" s="172"/>
      <c r="L190" s="172"/>
      <c r="M190" s="172"/>
      <c r="N190" s="160"/>
      <c r="O190" s="160"/>
      <c r="P190" s="160"/>
      <c r="Q190" s="160"/>
      <c r="R190" s="160"/>
      <c r="S190" s="160"/>
      <c r="T190" s="18"/>
      <c r="U190" s="18"/>
      <c r="V190" s="18"/>
      <c r="W190" s="18"/>
      <c r="X190" s="18"/>
      <c r="Y190" s="18"/>
      <c r="Z190" s="18"/>
      <c r="AA190" s="18"/>
    </row>
    <row r="191">
      <c r="A191" s="317"/>
      <c r="B191" s="172"/>
      <c r="C191" s="160"/>
      <c r="D191" s="160"/>
      <c r="E191" s="160"/>
      <c r="F191" s="160"/>
      <c r="G191" s="160"/>
      <c r="H191" s="160"/>
      <c r="I191" s="172"/>
      <c r="J191" s="160"/>
      <c r="K191" s="172"/>
      <c r="L191" s="172"/>
      <c r="M191" s="172"/>
      <c r="N191" s="160"/>
      <c r="O191" s="160"/>
      <c r="P191" s="160"/>
      <c r="Q191" s="160"/>
      <c r="R191" s="160"/>
      <c r="S191" s="160"/>
      <c r="T191" s="18"/>
      <c r="U191" s="18"/>
      <c r="V191" s="18"/>
      <c r="W191" s="18"/>
      <c r="X191" s="18"/>
      <c r="Y191" s="18"/>
      <c r="Z191" s="18"/>
      <c r="AA191" s="18"/>
    </row>
    <row r="192">
      <c r="A192" s="317"/>
      <c r="B192" s="172"/>
      <c r="C192" s="160"/>
      <c r="D192" s="160"/>
      <c r="E192" s="160"/>
      <c r="F192" s="160"/>
      <c r="G192" s="160"/>
      <c r="H192" s="160"/>
      <c r="I192" s="172"/>
      <c r="J192" s="160"/>
      <c r="K192" s="172"/>
      <c r="L192" s="172"/>
      <c r="M192" s="172"/>
      <c r="N192" s="160"/>
      <c r="O192" s="160"/>
      <c r="P192" s="160"/>
      <c r="Q192" s="160"/>
      <c r="R192" s="160"/>
      <c r="S192" s="160"/>
      <c r="T192" s="18"/>
      <c r="U192" s="18"/>
      <c r="V192" s="18"/>
      <c r="W192" s="18"/>
      <c r="X192" s="18"/>
      <c r="Y192" s="18"/>
      <c r="Z192" s="18"/>
      <c r="AA192" s="18"/>
    </row>
    <row r="193">
      <c r="A193" s="317"/>
      <c r="B193" s="172"/>
      <c r="C193" s="160"/>
      <c r="D193" s="160"/>
      <c r="E193" s="160"/>
      <c r="F193" s="160"/>
      <c r="G193" s="160"/>
      <c r="H193" s="160"/>
      <c r="I193" s="172"/>
      <c r="J193" s="160"/>
      <c r="K193" s="172"/>
      <c r="L193" s="172"/>
      <c r="M193" s="172"/>
      <c r="N193" s="160"/>
      <c r="O193" s="160"/>
      <c r="P193" s="160"/>
      <c r="Q193" s="160"/>
      <c r="R193" s="160"/>
      <c r="S193" s="160"/>
      <c r="T193" s="18"/>
      <c r="U193" s="18"/>
      <c r="V193" s="18"/>
      <c r="W193" s="18"/>
      <c r="X193" s="18"/>
      <c r="Y193" s="18"/>
      <c r="Z193" s="18"/>
      <c r="AA193" s="18"/>
    </row>
    <row r="194">
      <c r="A194" s="317"/>
      <c r="B194" s="172"/>
      <c r="C194" s="160"/>
      <c r="D194" s="160"/>
      <c r="E194" s="160"/>
      <c r="F194" s="160"/>
      <c r="G194" s="160"/>
      <c r="H194" s="160"/>
      <c r="I194" s="172"/>
      <c r="J194" s="160"/>
      <c r="K194" s="172"/>
      <c r="L194" s="172"/>
      <c r="M194" s="172"/>
      <c r="N194" s="160"/>
      <c r="O194" s="160"/>
      <c r="P194" s="160"/>
      <c r="Q194" s="160"/>
      <c r="R194" s="160"/>
      <c r="S194" s="160"/>
      <c r="T194" s="18"/>
      <c r="U194" s="18"/>
      <c r="V194" s="18"/>
      <c r="W194" s="18"/>
      <c r="X194" s="18"/>
      <c r="Y194" s="18"/>
      <c r="Z194" s="18"/>
      <c r="AA194" s="18"/>
    </row>
    <row r="195">
      <c r="A195" s="317"/>
      <c r="B195" s="172"/>
      <c r="C195" s="160"/>
      <c r="D195" s="160"/>
      <c r="E195" s="160"/>
      <c r="F195" s="160"/>
      <c r="G195" s="160"/>
      <c r="H195" s="160"/>
      <c r="I195" s="172"/>
      <c r="J195" s="160"/>
      <c r="K195" s="172"/>
      <c r="L195" s="172"/>
      <c r="M195" s="172"/>
      <c r="N195" s="160"/>
      <c r="O195" s="160"/>
      <c r="P195" s="160"/>
      <c r="Q195" s="160"/>
      <c r="R195" s="160"/>
      <c r="S195" s="160"/>
      <c r="T195" s="18"/>
      <c r="U195" s="18"/>
      <c r="V195" s="18"/>
      <c r="W195" s="18"/>
      <c r="X195" s="18"/>
      <c r="Y195" s="18"/>
      <c r="Z195" s="18"/>
      <c r="AA195" s="18"/>
    </row>
    <row r="196">
      <c r="A196" s="317"/>
      <c r="B196" s="172"/>
      <c r="C196" s="160"/>
      <c r="D196" s="160"/>
      <c r="E196" s="160"/>
      <c r="F196" s="160"/>
      <c r="G196" s="160"/>
      <c r="H196" s="160"/>
      <c r="I196" s="172"/>
      <c r="J196" s="160"/>
      <c r="K196" s="172"/>
      <c r="L196" s="172"/>
      <c r="M196" s="172"/>
      <c r="N196" s="160"/>
      <c r="O196" s="160"/>
      <c r="P196" s="160"/>
      <c r="Q196" s="160"/>
      <c r="R196" s="160"/>
      <c r="S196" s="160"/>
      <c r="T196" s="18"/>
      <c r="U196" s="18"/>
      <c r="V196" s="18"/>
      <c r="W196" s="18"/>
      <c r="X196" s="18"/>
      <c r="Y196" s="18"/>
      <c r="Z196" s="18"/>
      <c r="AA196" s="18"/>
    </row>
    <row r="197">
      <c r="A197" s="317"/>
      <c r="B197" s="172"/>
      <c r="C197" s="160"/>
      <c r="D197" s="160"/>
      <c r="E197" s="160"/>
      <c r="F197" s="160"/>
      <c r="G197" s="160"/>
      <c r="H197" s="160"/>
      <c r="I197" s="172"/>
      <c r="J197" s="160"/>
      <c r="K197" s="172"/>
      <c r="L197" s="172"/>
      <c r="M197" s="172"/>
      <c r="N197" s="160"/>
      <c r="O197" s="160"/>
      <c r="P197" s="160"/>
      <c r="Q197" s="160"/>
      <c r="R197" s="160"/>
      <c r="S197" s="160"/>
      <c r="T197" s="18"/>
      <c r="U197" s="18"/>
      <c r="V197" s="18"/>
      <c r="W197" s="18"/>
      <c r="X197" s="18"/>
      <c r="Y197" s="18"/>
      <c r="Z197" s="18"/>
      <c r="AA197" s="18"/>
    </row>
    <row r="198">
      <c r="A198" s="317"/>
      <c r="B198" s="172"/>
      <c r="C198" s="160"/>
      <c r="D198" s="160"/>
      <c r="E198" s="160"/>
      <c r="F198" s="160"/>
      <c r="G198" s="160"/>
      <c r="H198" s="160"/>
      <c r="I198" s="172"/>
      <c r="J198" s="160"/>
      <c r="K198" s="172"/>
      <c r="L198" s="172"/>
      <c r="M198" s="172"/>
      <c r="N198" s="160"/>
      <c r="O198" s="160"/>
      <c r="P198" s="160"/>
      <c r="Q198" s="160"/>
      <c r="R198" s="160"/>
      <c r="S198" s="160"/>
      <c r="T198" s="18"/>
      <c r="U198" s="18"/>
      <c r="V198" s="18"/>
      <c r="W198" s="18"/>
      <c r="X198" s="18"/>
      <c r="Y198" s="18"/>
      <c r="Z198" s="18"/>
      <c r="AA198" s="18"/>
    </row>
    <row r="199">
      <c r="A199" s="317"/>
      <c r="B199" s="172"/>
      <c r="C199" s="160"/>
      <c r="D199" s="160"/>
      <c r="E199" s="160"/>
      <c r="F199" s="160"/>
      <c r="G199" s="160"/>
      <c r="H199" s="160"/>
      <c r="I199" s="172"/>
      <c r="J199" s="160"/>
      <c r="K199" s="172"/>
      <c r="L199" s="172"/>
      <c r="M199" s="172"/>
      <c r="N199" s="160"/>
      <c r="O199" s="160"/>
      <c r="P199" s="160"/>
      <c r="Q199" s="160"/>
      <c r="R199" s="160"/>
      <c r="S199" s="160"/>
      <c r="T199" s="18"/>
      <c r="U199" s="18"/>
      <c r="V199" s="18"/>
      <c r="W199" s="18"/>
      <c r="X199" s="18"/>
      <c r="Y199" s="18"/>
      <c r="Z199" s="18"/>
      <c r="AA199" s="18"/>
    </row>
    <row r="200">
      <c r="A200" s="317"/>
      <c r="B200" s="172"/>
      <c r="C200" s="160"/>
      <c r="D200" s="160"/>
      <c r="E200" s="160"/>
      <c r="F200" s="160"/>
      <c r="G200" s="160"/>
      <c r="H200" s="160"/>
      <c r="I200" s="172"/>
      <c r="J200" s="160"/>
      <c r="K200" s="172"/>
      <c r="L200" s="172"/>
      <c r="M200" s="172"/>
      <c r="N200" s="160"/>
      <c r="O200" s="160"/>
      <c r="P200" s="160"/>
      <c r="Q200" s="160"/>
      <c r="R200" s="160"/>
      <c r="S200" s="160"/>
      <c r="T200" s="18"/>
      <c r="U200" s="18"/>
      <c r="V200" s="18"/>
      <c r="W200" s="18"/>
      <c r="X200" s="18"/>
      <c r="Y200" s="18"/>
      <c r="Z200" s="18"/>
      <c r="AA200" s="18"/>
    </row>
    <row r="201">
      <c r="A201" s="317"/>
      <c r="B201" s="172"/>
      <c r="C201" s="160"/>
      <c r="D201" s="160"/>
      <c r="E201" s="160"/>
      <c r="F201" s="160"/>
      <c r="G201" s="160"/>
      <c r="H201" s="160"/>
      <c r="I201" s="172"/>
      <c r="J201" s="160"/>
      <c r="K201" s="172"/>
      <c r="L201" s="172"/>
      <c r="M201" s="172"/>
      <c r="N201" s="160"/>
      <c r="O201" s="160"/>
      <c r="P201" s="160"/>
      <c r="Q201" s="160"/>
      <c r="R201" s="160"/>
      <c r="S201" s="160"/>
      <c r="T201" s="18"/>
      <c r="U201" s="18"/>
      <c r="V201" s="18"/>
      <c r="W201" s="18"/>
      <c r="X201" s="18"/>
      <c r="Y201" s="18"/>
      <c r="Z201" s="18"/>
      <c r="AA201" s="18"/>
    </row>
    <row r="202">
      <c r="A202" s="317"/>
      <c r="B202" s="172"/>
      <c r="C202" s="160"/>
      <c r="D202" s="160"/>
      <c r="E202" s="160"/>
      <c r="F202" s="160"/>
      <c r="G202" s="160"/>
      <c r="H202" s="160"/>
      <c r="I202" s="172"/>
      <c r="J202" s="160"/>
      <c r="K202" s="172"/>
      <c r="L202" s="172"/>
      <c r="M202" s="172"/>
      <c r="N202" s="160"/>
      <c r="O202" s="160"/>
      <c r="P202" s="160"/>
      <c r="Q202" s="160"/>
      <c r="R202" s="160"/>
      <c r="S202" s="160"/>
      <c r="T202" s="18"/>
      <c r="U202" s="18"/>
      <c r="V202" s="18"/>
      <c r="W202" s="18"/>
      <c r="X202" s="18"/>
      <c r="Y202" s="18"/>
      <c r="Z202" s="18"/>
      <c r="AA202" s="18"/>
    </row>
    <row r="203">
      <c r="A203" s="317"/>
      <c r="B203" s="172"/>
      <c r="C203" s="160"/>
      <c r="D203" s="160"/>
      <c r="E203" s="160"/>
      <c r="F203" s="160"/>
      <c r="G203" s="160"/>
      <c r="H203" s="160"/>
      <c r="I203" s="172"/>
      <c r="J203" s="160"/>
      <c r="K203" s="172"/>
      <c r="L203" s="172"/>
      <c r="M203" s="172"/>
      <c r="N203" s="160"/>
      <c r="O203" s="160"/>
      <c r="P203" s="160"/>
      <c r="Q203" s="160"/>
      <c r="R203" s="160"/>
      <c r="S203" s="160"/>
      <c r="T203" s="18"/>
      <c r="U203" s="18"/>
      <c r="V203" s="18"/>
      <c r="W203" s="18"/>
      <c r="X203" s="18"/>
      <c r="Y203" s="18"/>
      <c r="Z203" s="18"/>
      <c r="AA203" s="18"/>
    </row>
    <row r="204">
      <c r="A204" s="317"/>
      <c r="B204" s="172"/>
      <c r="C204" s="160"/>
      <c r="D204" s="160"/>
      <c r="E204" s="160"/>
      <c r="F204" s="160"/>
      <c r="G204" s="160"/>
      <c r="H204" s="160"/>
      <c r="I204" s="172"/>
      <c r="J204" s="160"/>
      <c r="K204" s="172"/>
      <c r="L204" s="172"/>
      <c r="M204" s="172"/>
      <c r="N204" s="160"/>
      <c r="O204" s="160"/>
      <c r="P204" s="160"/>
      <c r="Q204" s="160"/>
      <c r="R204" s="160"/>
      <c r="S204" s="160"/>
      <c r="T204" s="18"/>
      <c r="U204" s="18"/>
      <c r="V204" s="18"/>
      <c r="W204" s="18"/>
      <c r="X204" s="18"/>
      <c r="Y204" s="18"/>
      <c r="Z204" s="18"/>
      <c r="AA204" s="18"/>
    </row>
    <row r="205">
      <c r="A205" s="317"/>
      <c r="B205" s="172"/>
      <c r="C205" s="160"/>
      <c r="D205" s="160"/>
      <c r="E205" s="160"/>
      <c r="F205" s="160"/>
      <c r="G205" s="160"/>
      <c r="H205" s="160"/>
      <c r="I205" s="172"/>
      <c r="J205" s="160"/>
      <c r="K205" s="172"/>
      <c r="L205" s="172"/>
      <c r="M205" s="172"/>
      <c r="N205" s="160"/>
      <c r="O205" s="160"/>
      <c r="P205" s="160"/>
      <c r="Q205" s="160"/>
      <c r="R205" s="160"/>
      <c r="S205" s="160"/>
      <c r="T205" s="18"/>
      <c r="U205" s="18"/>
      <c r="V205" s="18"/>
      <c r="W205" s="18"/>
      <c r="X205" s="18"/>
      <c r="Y205" s="18"/>
      <c r="Z205" s="18"/>
      <c r="AA205" s="18"/>
    </row>
    <row r="206">
      <c r="A206" s="317"/>
      <c r="B206" s="172"/>
      <c r="C206" s="160"/>
      <c r="D206" s="160"/>
      <c r="E206" s="160"/>
      <c r="F206" s="160"/>
      <c r="G206" s="160"/>
      <c r="H206" s="160"/>
      <c r="I206" s="172"/>
      <c r="J206" s="160"/>
      <c r="K206" s="172"/>
      <c r="L206" s="172"/>
      <c r="M206" s="172"/>
      <c r="N206" s="160"/>
      <c r="O206" s="160"/>
      <c r="P206" s="160"/>
      <c r="Q206" s="160"/>
      <c r="R206" s="160"/>
      <c r="S206" s="160"/>
      <c r="T206" s="18"/>
      <c r="U206" s="18"/>
      <c r="V206" s="18"/>
      <c r="W206" s="18"/>
      <c r="X206" s="18"/>
      <c r="Y206" s="18"/>
      <c r="Z206" s="18"/>
      <c r="AA206" s="18"/>
    </row>
    <row r="207">
      <c r="A207" s="317"/>
      <c r="B207" s="172"/>
      <c r="C207" s="160"/>
      <c r="D207" s="160"/>
      <c r="E207" s="160"/>
      <c r="F207" s="160"/>
      <c r="G207" s="160"/>
      <c r="H207" s="160"/>
      <c r="I207" s="172"/>
      <c r="J207" s="160"/>
      <c r="K207" s="172"/>
      <c r="L207" s="172"/>
      <c r="M207" s="172"/>
      <c r="N207" s="160"/>
      <c r="O207" s="160"/>
      <c r="P207" s="160"/>
      <c r="Q207" s="160"/>
      <c r="R207" s="160"/>
      <c r="S207" s="160"/>
      <c r="T207" s="18"/>
      <c r="U207" s="18"/>
      <c r="V207" s="18"/>
      <c r="W207" s="18"/>
      <c r="X207" s="18"/>
      <c r="Y207" s="18"/>
      <c r="Z207" s="18"/>
      <c r="AA207" s="18"/>
    </row>
    <row r="208">
      <c r="A208" s="317"/>
      <c r="B208" s="172"/>
      <c r="C208" s="160"/>
      <c r="D208" s="160"/>
      <c r="E208" s="160"/>
      <c r="F208" s="160"/>
      <c r="G208" s="160"/>
      <c r="H208" s="160"/>
      <c r="I208" s="172"/>
      <c r="J208" s="160"/>
      <c r="K208" s="172"/>
      <c r="L208" s="172"/>
      <c r="M208" s="172"/>
      <c r="N208" s="160"/>
      <c r="O208" s="160"/>
      <c r="P208" s="160"/>
      <c r="Q208" s="160"/>
      <c r="R208" s="160"/>
      <c r="S208" s="160"/>
      <c r="T208" s="18"/>
      <c r="U208" s="18"/>
      <c r="V208" s="18"/>
      <c r="W208" s="18"/>
      <c r="X208" s="18"/>
      <c r="Y208" s="18"/>
      <c r="Z208" s="18"/>
      <c r="AA208" s="18"/>
    </row>
    <row r="209">
      <c r="A209" s="317"/>
      <c r="B209" s="172"/>
      <c r="C209" s="160"/>
      <c r="D209" s="160"/>
      <c r="E209" s="160"/>
      <c r="F209" s="160"/>
      <c r="G209" s="160"/>
      <c r="H209" s="160"/>
      <c r="I209" s="172"/>
      <c r="J209" s="160"/>
      <c r="K209" s="172"/>
      <c r="L209" s="172"/>
      <c r="M209" s="172"/>
      <c r="N209" s="160"/>
      <c r="O209" s="160"/>
      <c r="P209" s="160"/>
      <c r="Q209" s="160"/>
      <c r="R209" s="160"/>
      <c r="S209" s="160"/>
      <c r="T209" s="18"/>
      <c r="U209" s="18"/>
      <c r="V209" s="18"/>
      <c r="W209" s="18"/>
      <c r="X209" s="18"/>
      <c r="Y209" s="18"/>
      <c r="Z209" s="18"/>
      <c r="AA209" s="18"/>
    </row>
    <row r="210">
      <c r="A210" s="317"/>
      <c r="B210" s="172"/>
      <c r="C210" s="160"/>
      <c r="D210" s="160"/>
      <c r="E210" s="160"/>
      <c r="F210" s="160"/>
      <c r="G210" s="160"/>
      <c r="H210" s="160"/>
      <c r="I210" s="172"/>
      <c r="J210" s="160"/>
      <c r="K210" s="172"/>
      <c r="L210" s="172"/>
      <c r="M210" s="172"/>
      <c r="N210" s="160"/>
      <c r="O210" s="160"/>
      <c r="P210" s="160"/>
      <c r="Q210" s="160"/>
      <c r="R210" s="160"/>
      <c r="S210" s="160"/>
      <c r="T210" s="18"/>
      <c r="U210" s="18"/>
      <c r="V210" s="18"/>
      <c r="W210" s="18"/>
      <c r="X210" s="18"/>
      <c r="Y210" s="18"/>
      <c r="Z210" s="18"/>
      <c r="AA210" s="18"/>
    </row>
    <row r="211">
      <c r="A211" s="317"/>
      <c r="B211" s="172"/>
      <c r="C211" s="160"/>
      <c r="D211" s="160"/>
      <c r="E211" s="160"/>
      <c r="F211" s="160"/>
      <c r="G211" s="160"/>
      <c r="H211" s="160"/>
      <c r="I211" s="172"/>
      <c r="J211" s="160"/>
      <c r="K211" s="172"/>
      <c r="L211" s="172"/>
      <c r="M211" s="172"/>
      <c r="N211" s="160"/>
      <c r="O211" s="160"/>
      <c r="P211" s="160"/>
      <c r="Q211" s="160"/>
      <c r="R211" s="160"/>
      <c r="S211" s="160"/>
      <c r="T211" s="18"/>
      <c r="U211" s="18"/>
      <c r="V211" s="18"/>
      <c r="W211" s="18"/>
      <c r="X211" s="18"/>
      <c r="Y211" s="18"/>
      <c r="Z211" s="18"/>
      <c r="AA211" s="18"/>
    </row>
    <row r="212">
      <c r="A212" s="317"/>
      <c r="B212" s="172"/>
      <c r="C212" s="160"/>
      <c r="D212" s="160"/>
      <c r="E212" s="160"/>
      <c r="F212" s="160"/>
      <c r="G212" s="160"/>
      <c r="H212" s="160"/>
      <c r="I212" s="172"/>
      <c r="J212" s="160"/>
      <c r="K212" s="172"/>
      <c r="L212" s="172"/>
      <c r="M212" s="172"/>
      <c r="N212" s="160"/>
      <c r="O212" s="160"/>
      <c r="P212" s="160"/>
      <c r="Q212" s="160"/>
      <c r="R212" s="160"/>
      <c r="S212" s="160"/>
      <c r="T212" s="18"/>
      <c r="U212" s="18"/>
      <c r="V212" s="18"/>
      <c r="W212" s="18"/>
      <c r="X212" s="18"/>
      <c r="Y212" s="18"/>
      <c r="Z212" s="18"/>
      <c r="AA212" s="18"/>
    </row>
    <row r="213">
      <c r="A213" s="317"/>
      <c r="B213" s="172"/>
      <c r="C213" s="160"/>
      <c r="D213" s="160"/>
      <c r="E213" s="160"/>
      <c r="F213" s="160"/>
      <c r="G213" s="160"/>
      <c r="H213" s="160"/>
      <c r="I213" s="172"/>
      <c r="J213" s="160"/>
      <c r="K213" s="172"/>
      <c r="L213" s="172"/>
      <c r="M213" s="172"/>
      <c r="N213" s="160"/>
      <c r="O213" s="160"/>
      <c r="P213" s="160"/>
      <c r="Q213" s="160"/>
      <c r="R213" s="160"/>
      <c r="S213" s="160"/>
      <c r="T213" s="18"/>
      <c r="U213" s="18"/>
      <c r="V213" s="18"/>
      <c r="W213" s="18"/>
      <c r="X213" s="18"/>
      <c r="Y213" s="18"/>
      <c r="Z213" s="18"/>
      <c r="AA213" s="18"/>
    </row>
    <row r="214">
      <c r="A214" s="317"/>
      <c r="B214" s="172"/>
      <c r="C214" s="160"/>
      <c r="D214" s="160"/>
      <c r="E214" s="160"/>
      <c r="F214" s="160"/>
      <c r="G214" s="160"/>
      <c r="H214" s="160"/>
      <c r="I214" s="172"/>
      <c r="J214" s="160"/>
      <c r="K214" s="172"/>
      <c r="L214" s="172"/>
      <c r="M214" s="172"/>
      <c r="N214" s="160"/>
      <c r="O214" s="160"/>
      <c r="P214" s="160"/>
      <c r="Q214" s="160"/>
      <c r="R214" s="160"/>
      <c r="S214" s="160"/>
      <c r="T214" s="18"/>
      <c r="U214" s="18"/>
      <c r="V214" s="18"/>
      <c r="W214" s="18"/>
      <c r="X214" s="18"/>
      <c r="Y214" s="18"/>
      <c r="Z214" s="18"/>
      <c r="AA214" s="18"/>
    </row>
    <row r="215">
      <c r="A215" s="317"/>
      <c r="B215" s="172"/>
      <c r="C215" s="160"/>
      <c r="D215" s="160"/>
      <c r="E215" s="160"/>
      <c r="F215" s="160"/>
      <c r="G215" s="160"/>
      <c r="H215" s="160"/>
      <c r="I215" s="172"/>
      <c r="J215" s="160"/>
      <c r="K215" s="172"/>
      <c r="L215" s="172"/>
      <c r="M215" s="172"/>
      <c r="N215" s="160"/>
      <c r="O215" s="160"/>
      <c r="P215" s="160"/>
      <c r="Q215" s="160"/>
      <c r="R215" s="160"/>
      <c r="S215" s="160"/>
      <c r="T215" s="18"/>
      <c r="U215" s="18"/>
      <c r="V215" s="18"/>
      <c r="W215" s="18"/>
      <c r="X215" s="18"/>
      <c r="Y215" s="18"/>
      <c r="Z215" s="18"/>
      <c r="AA215" s="18"/>
    </row>
    <row r="216">
      <c r="A216" s="317"/>
      <c r="B216" s="172"/>
      <c r="C216" s="160"/>
      <c r="D216" s="160"/>
      <c r="E216" s="160"/>
      <c r="F216" s="160"/>
      <c r="G216" s="160"/>
      <c r="H216" s="160"/>
      <c r="I216" s="172"/>
      <c r="J216" s="160"/>
      <c r="K216" s="172"/>
      <c r="L216" s="172"/>
      <c r="M216" s="172"/>
      <c r="N216" s="160"/>
      <c r="O216" s="160"/>
      <c r="P216" s="160"/>
      <c r="Q216" s="160"/>
      <c r="R216" s="160"/>
      <c r="S216" s="160"/>
      <c r="T216" s="18"/>
      <c r="U216" s="18"/>
      <c r="V216" s="18"/>
      <c r="W216" s="18"/>
      <c r="X216" s="18"/>
      <c r="Y216" s="18"/>
      <c r="Z216" s="18"/>
      <c r="AA216" s="18"/>
    </row>
    <row r="217">
      <c r="A217" s="317"/>
      <c r="B217" s="172"/>
      <c r="C217" s="160"/>
      <c r="D217" s="160"/>
      <c r="E217" s="160"/>
      <c r="F217" s="160"/>
      <c r="G217" s="160"/>
      <c r="H217" s="160"/>
      <c r="I217" s="172"/>
      <c r="J217" s="160"/>
      <c r="K217" s="172"/>
      <c r="L217" s="172"/>
      <c r="M217" s="172"/>
      <c r="N217" s="160"/>
      <c r="O217" s="160"/>
      <c r="P217" s="160"/>
      <c r="Q217" s="160"/>
      <c r="R217" s="160"/>
      <c r="S217" s="160"/>
      <c r="T217" s="18"/>
      <c r="U217" s="18"/>
      <c r="V217" s="18"/>
      <c r="W217" s="18"/>
      <c r="X217" s="18"/>
      <c r="Y217" s="18"/>
      <c r="Z217" s="18"/>
      <c r="AA217" s="18"/>
    </row>
    <row r="218">
      <c r="A218" s="317"/>
      <c r="B218" s="172"/>
      <c r="C218" s="160"/>
      <c r="D218" s="160"/>
      <c r="E218" s="160"/>
      <c r="F218" s="160"/>
      <c r="G218" s="160"/>
      <c r="H218" s="160"/>
      <c r="I218" s="172"/>
      <c r="J218" s="160"/>
      <c r="K218" s="172"/>
      <c r="L218" s="172"/>
      <c r="M218" s="172"/>
      <c r="N218" s="160"/>
      <c r="O218" s="160"/>
      <c r="P218" s="160"/>
      <c r="Q218" s="160"/>
      <c r="R218" s="160"/>
      <c r="S218" s="160"/>
      <c r="T218" s="18"/>
      <c r="U218" s="18"/>
      <c r="V218" s="18"/>
      <c r="W218" s="18"/>
      <c r="X218" s="18"/>
      <c r="Y218" s="18"/>
      <c r="Z218" s="18"/>
      <c r="AA218" s="18"/>
    </row>
    <row r="219">
      <c r="A219" s="317"/>
      <c r="B219" s="172"/>
      <c r="C219" s="160"/>
      <c r="D219" s="160"/>
      <c r="E219" s="160"/>
      <c r="F219" s="160"/>
      <c r="G219" s="160"/>
      <c r="H219" s="160"/>
      <c r="I219" s="172"/>
      <c r="J219" s="160"/>
      <c r="K219" s="172"/>
      <c r="L219" s="172"/>
      <c r="M219" s="172"/>
      <c r="N219" s="160"/>
      <c r="O219" s="160"/>
      <c r="P219" s="160"/>
      <c r="Q219" s="160"/>
      <c r="R219" s="160"/>
      <c r="S219" s="160"/>
      <c r="T219" s="18"/>
      <c r="U219" s="18"/>
      <c r="V219" s="18"/>
      <c r="W219" s="18"/>
      <c r="X219" s="18"/>
      <c r="Y219" s="18"/>
      <c r="Z219" s="18"/>
      <c r="AA219" s="18"/>
    </row>
    <row r="220">
      <c r="A220" s="317"/>
      <c r="B220" s="172"/>
      <c r="C220" s="160"/>
      <c r="D220" s="160"/>
      <c r="E220" s="160"/>
      <c r="F220" s="160"/>
      <c r="G220" s="160"/>
      <c r="H220" s="160"/>
      <c r="I220" s="172"/>
      <c r="J220" s="160"/>
      <c r="K220" s="172"/>
      <c r="L220" s="172"/>
      <c r="M220" s="172"/>
      <c r="N220" s="160"/>
      <c r="O220" s="160"/>
      <c r="P220" s="160"/>
      <c r="Q220" s="160"/>
      <c r="R220" s="160"/>
      <c r="S220" s="160"/>
      <c r="T220" s="18"/>
      <c r="U220" s="18"/>
      <c r="V220" s="18"/>
      <c r="W220" s="18"/>
      <c r="X220" s="18"/>
      <c r="Y220" s="18"/>
      <c r="Z220" s="18"/>
      <c r="AA220" s="18"/>
    </row>
    <row r="221">
      <c r="A221" s="317"/>
      <c r="B221" s="172"/>
      <c r="C221" s="160"/>
      <c r="D221" s="160"/>
      <c r="E221" s="160"/>
      <c r="F221" s="160"/>
      <c r="G221" s="160"/>
      <c r="H221" s="160"/>
      <c r="I221" s="172"/>
      <c r="J221" s="160"/>
      <c r="K221" s="172"/>
      <c r="L221" s="172"/>
      <c r="M221" s="172"/>
      <c r="N221" s="160"/>
      <c r="O221" s="160"/>
      <c r="P221" s="160"/>
      <c r="Q221" s="160"/>
      <c r="R221" s="160"/>
      <c r="S221" s="160"/>
      <c r="T221" s="18"/>
      <c r="U221" s="18"/>
      <c r="V221" s="18"/>
      <c r="W221" s="18"/>
      <c r="X221" s="18"/>
      <c r="Y221" s="18"/>
      <c r="Z221" s="18"/>
      <c r="AA221" s="18"/>
    </row>
    <row r="222">
      <c r="A222" s="317"/>
      <c r="B222" s="172"/>
      <c r="C222" s="160"/>
      <c r="D222" s="160"/>
      <c r="E222" s="160"/>
      <c r="F222" s="160"/>
      <c r="G222" s="160"/>
      <c r="H222" s="160"/>
      <c r="I222" s="172"/>
      <c r="J222" s="160"/>
      <c r="K222" s="172"/>
      <c r="L222" s="172"/>
      <c r="M222" s="172"/>
      <c r="N222" s="160"/>
      <c r="O222" s="160"/>
      <c r="P222" s="160"/>
      <c r="Q222" s="160"/>
      <c r="R222" s="160"/>
      <c r="S222" s="160"/>
      <c r="T222" s="18"/>
      <c r="U222" s="18"/>
      <c r="V222" s="18"/>
      <c r="W222" s="18"/>
      <c r="X222" s="18"/>
      <c r="Y222" s="18"/>
      <c r="Z222" s="18"/>
      <c r="AA222" s="18"/>
    </row>
    <row r="223">
      <c r="A223" s="317"/>
      <c r="B223" s="172"/>
      <c r="C223" s="160"/>
      <c r="D223" s="160"/>
      <c r="E223" s="160"/>
      <c r="F223" s="160"/>
      <c r="G223" s="160"/>
      <c r="H223" s="160"/>
      <c r="I223" s="172"/>
      <c r="J223" s="160"/>
      <c r="K223" s="172"/>
      <c r="L223" s="172"/>
      <c r="M223" s="172"/>
      <c r="N223" s="160"/>
      <c r="O223" s="160"/>
      <c r="P223" s="160"/>
      <c r="Q223" s="160"/>
      <c r="R223" s="160"/>
      <c r="S223" s="160"/>
      <c r="T223" s="18"/>
      <c r="U223" s="18"/>
      <c r="V223" s="18"/>
      <c r="W223" s="18"/>
      <c r="X223" s="18"/>
      <c r="Y223" s="18"/>
      <c r="Z223" s="18"/>
      <c r="AA223" s="18"/>
    </row>
    <row r="224">
      <c r="A224" s="317"/>
      <c r="B224" s="172"/>
      <c r="C224" s="160"/>
      <c r="D224" s="160"/>
      <c r="E224" s="160"/>
      <c r="F224" s="160"/>
      <c r="G224" s="160"/>
      <c r="H224" s="160"/>
      <c r="I224" s="172"/>
      <c r="J224" s="160"/>
      <c r="K224" s="172"/>
      <c r="L224" s="172"/>
      <c r="M224" s="172"/>
      <c r="N224" s="160"/>
      <c r="O224" s="160"/>
      <c r="P224" s="160"/>
      <c r="Q224" s="160"/>
      <c r="R224" s="160"/>
      <c r="S224" s="160"/>
      <c r="T224" s="18"/>
      <c r="U224" s="18"/>
      <c r="V224" s="18"/>
      <c r="W224" s="18"/>
      <c r="X224" s="18"/>
      <c r="Y224" s="18"/>
      <c r="Z224" s="18"/>
      <c r="AA224" s="18"/>
    </row>
    <row r="225">
      <c r="A225" s="317"/>
      <c r="B225" s="172"/>
      <c r="C225" s="160"/>
      <c r="D225" s="160"/>
      <c r="E225" s="160"/>
      <c r="F225" s="160"/>
      <c r="G225" s="160"/>
      <c r="H225" s="160"/>
      <c r="I225" s="172"/>
      <c r="J225" s="160"/>
      <c r="K225" s="172"/>
      <c r="L225" s="172"/>
      <c r="M225" s="172"/>
      <c r="N225" s="160"/>
      <c r="O225" s="160"/>
      <c r="P225" s="160"/>
      <c r="Q225" s="160"/>
      <c r="R225" s="160"/>
      <c r="S225" s="160"/>
      <c r="T225" s="18"/>
      <c r="U225" s="18"/>
      <c r="V225" s="18"/>
      <c r="W225" s="18"/>
      <c r="X225" s="18"/>
      <c r="Y225" s="18"/>
      <c r="Z225" s="18"/>
      <c r="AA225" s="18"/>
    </row>
    <row r="226">
      <c r="A226" s="317"/>
      <c r="B226" s="172"/>
      <c r="C226" s="160"/>
      <c r="D226" s="160"/>
      <c r="E226" s="160"/>
      <c r="F226" s="160"/>
      <c r="G226" s="160"/>
      <c r="H226" s="160"/>
      <c r="I226" s="172"/>
      <c r="J226" s="160"/>
      <c r="K226" s="172"/>
      <c r="L226" s="172"/>
      <c r="M226" s="172"/>
      <c r="N226" s="160"/>
      <c r="O226" s="160"/>
      <c r="P226" s="160"/>
      <c r="Q226" s="160"/>
      <c r="R226" s="160"/>
      <c r="S226" s="160"/>
      <c r="T226" s="18"/>
      <c r="U226" s="18"/>
      <c r="V226" s="18"/>
      <c r="W226" s="18"/>
      <c r="X226" s="18"/>
      <c r="Y226" s="18"/>
      <c r="Z226" s="18"/>
      <c r="AA226" s="18"/>
    </row>
    <row r="227">
      <c r="A227" s="317"/>
      <c r="B227" s="172"/>
      <c r="C227" s="160"/>
      <c r="D227" s="160"/>
      <c r="E227" s="160"/>
      <c r="F227" s="160"/>
      <c r="G227" s="160"/>
      <c r="H227" s="160"/>
      <c r="I227" s="172"/>
      <c r="J227" s="160"/>
      <c r="K227" s="172"/>
      <c r="L227" s="172"/>
      <c r="M227" s="172"/>
      <c r="N227" s="160"/>
      <c r="O227" s="160"/>
      <c r="P227" s="160"/>
      <c r="Q227" s="160"/>
      <c r="R227" s="160"/>
      <c r="S227" s="160"/>
      <c r="T227" s="18"/>
      <c r="U227" s="18"/>
      <c r="V227" s="18"/>
      <c r="W227" s="18"/>
      <c r="X227" s="18"/>
      <c r="Y227" s="18"/>
      <c r="Z227" s="18"/>
      <c r="AA227" s="18"/>
    </row>
    <row r="228">
      <c r="A228" s="317"/>
      <c r="B228" s="172"/>
      <c r="C228" s="160"/>
      <c r="D228" s="160"/>
      <c r="E228" s="160"/>
      <c r="F228" s="160"/>
      <c r="G228" s="160"/>
      <c r="H228" s="160"/>
      <c r="I228" s="172"/>
      <c r="J228" s="160"/>
      <c r="K228" s="172"/>
      <c r="L228" s="172"/>
      <c r="M228" s="172"/>
      <c r="N228" s="160"/>
      <c r="O228" s="160"/>
      <c r="P228" s="160"/>
      <c r="Q228" s="160"/>
      <c r="R228" s="160"/>
      <c r="S228" s="160"/>
      <c r="T228" s="18"/>
      <c r="U228" s="18"/>
      <c r="V228" s="18"/>
      <c r="W228" s="18"/>
      <c r="X228" s="18"/>
      <c r="Y228" s="18"/>
      <c r="Z228" s="18"/>
      <c r="AA228" s="18"/>
    </row>
    <row r="229">
      <c r="A229" s="317"/>
      <c r="B229" s="172"/>
      <c r="C229" s="160"/>
      <c r="D229" s="160"/>
      <c r="E229" s="160"/>
      <c r="F229" s="160"/>
      <c r="G229" s="160"/>
      <c r="H229" s="160"/>
      <c r="I229" s="172"/>
      <c r="J229" s="160"/>
      <c r="K229" s="172"/>
      <c r="L229" s="172"/>
      <c r="M229" s="172"/>
      <c r="N229" s="160"/>
      <c r="O229" s="160"/>
      <c r="P229" s="160"/>
      <c r="Q229" s="160"/>
      <c r="R229" s="160"/>
      <c r="S229" s="160"/>
      <c r="T229" s="18"/>
      <c r="U229" s="18"/>
      <c r="V229" s="18"/>
      <c r="W229" s="18"/>
      <c r="X229" s="18"/>
      <c r="Y229" s="18"/>
      <c r="Z229" s="18"/>
      <c r="AA229" s="18"/>
    </row>
    <row r="230">
      <c r="A230" s="317"/>
      <c r="B230" s="172"/>
      <c r="C230" s="160"/>
      <c r="D230" s="160"/>
      <c r="E230" s="160"/>
      <c r="F230" s="160"/>
      <c r="G230" s="160"/>
      <c r="H230" s="160"/>
      <c r="I230" s="172"/>
      <c r="J230" s="160"/>
      <c r="K230" s="172"/>
      <c r="L230" s="172"/>
      <c r="M230" s="172"/>
      <c r="N230" s="160"/>
      <c r="O230" s="160"/>
      <c r="P230" s="160"/>
      <c r="Q230" s="160"/>
      <c r="R230" s="160"/>
      <c r="S230" s="160"/>
      <c r="T230" s="18"/>
      <c r="U230" s="18"/>
      <c r="V230" s="18"/>
      <c r="W230" s="18"/>
      <c r="X230" s="18"/>
      <c r="Y230" s="18"/>
      <c r="Z230" s="18"/>
      <c r="AA230" s="18"/>
    </row>
    <row r="231">
      <c r="A231" s="317"/>
      <c r="B231" s="172"/>
      <c r="C231" s="160"/>
      <c r="D231" s="160"/>
      <c r="E231" s="160"/>
      <c r="F231" s="160"/>
      <c r="G231" s="160"/>
      <c r="H231" s="160"/>
      <c r="I231" s="172"/>
      <c r="J231" s="160"/>
      <c r="K231" s="172"/>
      <c r="L231" s="172"/>
      <c r="M231" s="172"/>
      <c r="N231" s="160"/>
      <c r="O231" s="160"/>
      <c r="P231" s="160"/>
      <c r="Q231" s="160"/>
      <c r="R231" s="160"/>
      <c r="S231" s="160"/>
      <c r="T231" s="18"/>
      <c r="U231" s="18"/>
      <c r="V231" s="18"/>
      <c r="W231" s="18"/>
      <c r="X231" s="18"/>
      <c r="Y231" s="18"/>
      <c r="Z231" s="18"/>
      <c r="AA231" s="18"/>
    </row>
    <row r="232">
      <c r="A232" s="317"/>
      <c r="B232" s="172"/>
      <c r="C232" s="160"/>
      <c r="D232" s="160"/>
      <c r="E232" s="160"/>
      <c r="F232" s="160"/>
      <c r="G232" s="160"/>
      <c r="H232" s="160"/>
      <c r="I232" s="172"/>
      <c r="J232" s="160"/>
      <c r="K232" s="172"/>
      <c r="L232" s="172"/>
      <c r="M232" s="172"/>
      <c r="N232" s="160"/>
      <c r="O232" s="160"/>
      <c r="P232" s="160"/>
      <c r="Q232" s="160"/>
      <c r="R232" s="160"/>
      <c r="S232" s="160"/>
      <c r="T232" s="18"/>
      <c r="U232" s="18"/>
      <c r="V232" s="18"/>
      <c r="W232" s="18"/>
      <c r="X232" s="18"/>
      <c r="Y232" s="18"/>
      <c r="Z232" s="18"/>
      <c r="AA232" s="18"/>
    </row>
    <row r="233">
      <c r="A233" s="317"/>
      <c r="B233" s="172"/>
      <c r="C233" s="160"/>
      <c r="D233" s="160"/>
      <c r="E233" s="160"/>
      <c r="F233" s="160"/>
      <c r="G233" s="160"/>
      <c r="H233" s="160"/>
      <c r="I233" s="172"/>
      <c r="J233" s="160"/>
      <c r="K233" s="172"/>
      <c r="L233" s="172"/>
      <c r="M233" s="172"/>
      <c r="N233" s="160"/>
      <c r="O233" s="160"/>
      <c r="P233" s="160"/>
      <c r="Q233" s="160"/>
      <c r="R233" s="160"/>
      <c r="S233" s="160"/>
      <c r="T233" s="18"/>
      <c r="U233" s="18"/>
      <c r="V233" s="18"/>
      <c r="W233" s="18"/>
      <c r="X233" s="18"/>
      <c r="Y233" s="18"/>
      <c r="Z233" s="18"/>
      <c r="AA233" s="18"/>
    </row>
    <row r="234">
      <c r="A234" s="317"/>
      <c r="B234" s="172"/>
      <c r="C234" s="160"/>
      <c r="D234" s="160"/>
      <c r="E234" s="160"/>
      <c r="F234" s="160"/>
      <c r="G234" s="160"/>
      <c r="H234" s="160"/>
      <c r="I234" s="172"/>
      <c r="J234" s="160"/>
      <c r="K234" s="172"/>
      <c r="L234" s="172"/>
      <c r="M234" s="172"/>
      <c r="N234" s="160"/>
      <c r="O234" s="160"/>
      <c r="P234" s="160"/>
      <c r="Q234" s="160"/>
      <c r="R234" s="160"/>
      <c r="S234" s="160"/>
      <c r="T234" s="18"/>
      <c r="U234" s="18"/>
      <c r="V234" s="18"/>
      <c r="W234" s="18"/>
      <c r="X234" s="18"/>
      <c r="Y234" s="18"/>
      <c r="Z234" s="18"/>
      <c r="AA234" s="18"/>
    </row>
    <row r="235">
      <c r="A235" s="317"/>
      <c r="B235" s="172"/>
      <c r="C235" s="160"/>
      <c r="D235" s="160"/>
      <c r="E235" s="160"/>
      <c r="F235" s="160"/>
      <c r="G235" s="160"/>
      <c r="H235" s="160"/>
      <c r="I235" s="172"/>
      <c r="J235" s="160"/>
      <c r="K235" s="172"/>
      <c r="L235" s="172"/>
      <c r="M235" s="172"/>
      <c r="N235" s="160"/>
      <c r="O235" s="160"/>
      <c r="P235" s="160"/>
      <c r="Q235" s="160"/>
      <c r="R235" s="160"/>
      <c r="S235" s="160"/>
      <c r="T235" s="18"/>
      <c r="U235" s="18"/>
      <c r="V235" s="18"/>
      <c r="W235" s="18"/>
      <c r="X235" s="18"/>
      <c r="Y235" s="18"/>
      <c r="Z235" s="18"/>
      <c r="AA235" s="18"/>
    </row>
    <row r="236">
      <c r="A236" s="317"/>
      <c r="B236" s="172"/>
      <c r="C236" s="160"/>
      <c r="D236" s="160"/>
      <c r="E236" s="160"/>
      <c r="F236" s="160"/>
      <c r="G236" s="160"/>
      <c r="H236" s="160"/>
      <c r="I236" s="172"/>
      <c r="J236" s="160"/>
      <c r="K236" s="172"/>
      <c r="L236" s="172"/>
      <c r="M236" s="172"/>
      <c r="N236" s="160"/>
      <c r="O236" s="160"/>
      <c r="P236" s="160"/>
      <c r="Q236" s="160"/>
      <c r="R236" s="160"/>
      <c r="S236" s="160"/>
      <c r="T236" s="18"/>
      <c r="U236" s="18"/>
      <c r="V236" s="18"/>
      <c r="W236" s="18"/>
      <c r="X236" s="18"/>
      <c r="Y236" s="18"/>
      <c r="Z236" s="18"/>
      <c r="AA236" s="18"/>
    </row>
    <row r="237">
      <c r="A237" s="317"/>
      <c r="B237" s="172"/>
      <c r="C237" s="160"/>
      <c r="D237" s="160"/>
      <c r="E237" s="160"/>
      <c r="F237" s="160"/>
      <c r="G237" s="160"/>
      <c r="H237" s="160"/>
      <c r="I237" s="172"/>
      <c r="J237" s="160"/>
      <c r="K237" s="172"/>
      <c r="L237" s="172"/>
      <c r="M237" s="172"/>
      <c r="N237" s="160"/>
      <c r="O237" s="160"/>
      <c r="P237" s="160"/>
      <c r="Q237" s="160"/>
      <c r="R237" s="160"/>
      <c r="S237" s="160"/>
      <c r="T237" s="18"/>
      <c r="U237" s="18"/>
      <c r="V237" s="18"/>
      <c r="W237" s="18"/>
      <c r="X237" s="18"/>
      <c r="Y237" s="18"/>
      <c r="Z237" s="18"/>
      <c r="AA237" s="18"/>
    </row>
    <row r="238">
      <c r="A238" s="317"/>
      <c r="B238" s="172"/>
      <c r="C238" s="160"/>
      <c r="D238" s="160"/>
      <c r="E238" s="160"/>
      <c r="F238" s="160"/>
      <c r="G238" s="160"/>
      <c r="H238" s="160"/>
      <c r="I238" s="172"/>
      <c r="J238" s="160"/>
      <c r="K238" s="172"/>
      <c r="L238" s="172"/>
      <c r="M238" s="172"/>
      <c r="N238" s="160"/>
      <c r="O238" s="160"/>
      <c r="P238" s="160"/>
      <c r="Q238" s="160"/>
      <c r="R238" s="160"/>
      <c r="S238" s="160"/>
      <c r="T238" s="18"/>
      <c r="U238" s="18"/>
      <c r="V238" s="18"/>
      <c r="W238" s="18"/>
      <c r="X238" s="18"/>
      <c r="Y238" s="18"/>
      <c r="Z238" s="18"/>
      <c r="AA238" s="18"/>
    </row>
    <row r="239">
      <c r="A239" s="317"/>
      <c r="B239" s="172"/>
      <c r="C239" s="160"/>
      <c r="D239" s="160"/>
      <c r="E239" s="160"/>
      <c r="F239" s="160"/>
      <c r="G239" s="160"/>
      <c r="H239" s="160"/>
      <c r="I239" s="172"/>
      <c r="J239" s="160"/>
      <c r="K239" s="172"/>
      <c r="L239" s="172"/>
      <c r="M239" s="172"/>
      <c r="N239" s="160"/>
      <c r="O239" s="160"/>
      <c r="P239" s="160"/>
      <c r="Q239" s="160"/>
      <c r="R239" s="160"/>
      <c r="S239" s="160"/>
      <c r="T239" s="18"/>
      <c r="U239" s="18"/>
      <c r="V239" s="18"/>
      <c r="W239" s="18"/>
      <c r="X239" s="18"/>
      <c r="Y239" s="18"/>
      <c r="Z239" s="18"/>
      <c r="AA239" s="18"/>
    </row>
    <row r="240">
      <c r="A240" s="317"/>
      <c r="B240" s="172"/>
      <c r="C240" s="160"/>
      <c r="D240" s="160"/>
      <c r="E240" s="160"/>
      <c r="F240" s="160"/>
      <c r="G240" s="160"/>
      <c r="H240" s="160"/>
      <c r="I240" s="172"/>
      <c r="J240" s="160"/>
      <c r="K240" s="172"/>
      <c r="L240" s="172"/>
      <c r="M240" s="172"/>
      <c r="N240" s="160"/>
      <c r="O240" s="160"/>
      <c r="P240" s="160"/>
      <c r="Q240" s="160"/>
      <c r="R240" s="160"/>
      <c r="S240" s="160"/>
      <c r="T240" s="18"/>
      <c r="U240" s="18"/>
      <c r="V240" s="18"/>
      <c r="W240" s="18"/>
      <c r="X240" s="18"/>
      <c r="Y240" s="18"/>
      <c r="Z240" s="18"/>
      <c r="AA240" s="18"/>
    </row>
    <row r="241">
      <c r="A241" s="317"/>
      <c r="B241" s="172"/>
      <c r="C241" s="160"/>
      <c r="D241" s="160"/>
      <c r="E241" s="160"/>
      <c r="F241" s="160"/>
      <c r="G241" s="160"/>
      <c r="H241" s="160"/>
      <c r="I241" s="172"/>
      <c r="J241" s="160"/>
      <c r="K241" s="172"/>
      <c r="L241" s="172"/>
      <c r="M241" s="172"/>
      <c r="N241" s="160"/>
      <c r="O241" s="160"/>
      <c r="P241" s="160"/>
      <c r="Q241" s="160"/>
      <c r="R241" s="160"/>
      <c r="S241" s="160"/>
      <c r="T241" s="18"/>
      <c r="U241" s="18"/>
      <c r="V241" s="18"/>
      <c r="W241" s="18"/>
      <c r="X241" s="18"/>
      <c r="Y241" s="18"/>
      <c r="Z241" s="18"/>
      <c r="AA241" s="18"/>
    </row>
    <row r="242">
      <c r="A242" s="317"/>
      <c r="B242" s="172"/>
      <c r="C242" s="160"/>
      <c r="D242" s="160"/>
      <c r="E242" s="160"/>
      <c r="F242" s="160"/>
      <c r="G242" s="160"/>
      <c r="H242" s="160"/>
      <c r="I242" s="172"/>
      <c r="J242" s="160"/>
      <c r="K242" s="172"/>
      <c r="L242" s="172"/>
      <c r="M242" s="172"/>
      <c r="N242" s="160"/>
      <c r="O242" s="160"/>
      <c r="P242" s="160"/>
      <c r="Q242" s="160"/>
      <c r="R242" s="160"/>
      <c r="S242" s="160"/>
      <c r="T242" s="18"/>
      <c r="U242" s="18"/>
      <c r="V242" s="18"/>
      <c r="W242" s="18"/>
      <c r="X242" s="18"/>
      <c r="Y242" s="18"/>
      <c r="Z242" s="18"/>
      <c r="AA242" s="18"/>
    </row>
    <row r="243">
      <c r="A243" s="317"/>
      <c r="B243" s="172"/>
      <c r="C243" s="160"/>
      <c r="D243" s="160"/>
      <c r="E243" s="160"/>
      <c r="F243" s="160"/>
      <c r="G243" s="160"/>
      <c r="H243" s="160"/>
      <c r="I243" s="172"/>
      <c r="J243" s="160"/>
      <c r="K243" s="172"/>
      <c r="L243" s="172"/>
      <c r="M243" s="172"/>
      <c r="N243" s="160"/>
      <c r="O243" s="160"/>
      <c r="P243" s="160"/>
      <c r="Q243" s="160"/>
      <c r="R243" s="160"/>
      <c r="S243" s="160"/>
      <c r="T243" s="18"/>
      <c r="U243" s="18"/>
      <c r="V243" s="18"/>
      <c r="W243" s="18"/>
      <c r="X243" s="18"/>
      <c r="Y243" s="18"/>
      <c r="Z243" s="18"/>
      <c r="AA243" s="18"/>
    </row>
    <row r="244">
      <c r="A244" s="317"/>
      <c r="B244" s="172"/>
      <c r="C244" s="160"/>
      <c r="D244" s="160"/>
      <c r="E244" s="160"/>
      <c r="F244" s="160"/>
      <c r="G244" s="160"/>
      <c r="H244" s="160"/>
      <c r="I244" s="172"/>
      <c r="J244" s="160"/>
      <c r="K244" s="172"/>
      <c r="L244" s="172"/>
      <c r="M244" s="172"/>
      <c r="N244" s="160"/>
      <c r="O244" s="160"/>
      <c r="P244" s="160"/>
      <c r="Q244" s="160"/>
      <c r="R244" s="160"/>
      <c r="S244" s="160"/>
      <c r="T244" s="18"/>
      <c r="U244" s="18"/>
      <c r="V244" s="18"/>
      <c r="W244" s="18"/>
      <c r="X244" s="18"/>
      <c r="Y244" s="18"/>
      <c r="Z244" s="18"/>
      <c r="AA244" s="18"/>
    </row>
    <row r="245">
      <c r="A245" s="317"/>
      <c r="B245" s="172"/>
      <c r="C245" s="160"/>
      <c r="D245" s="160"/>
      <c r="E245" s="160"/>
      <c r="F245" s="160"/>
      <c r="G245" s="160"/>
      <c r="H245" s="160"/>
      <c r="I245" s="172"/>
      <c r="J245" s="160"/>
      <c r="K245" s="172"/>
      <c r="L245" s="172"/>
      <c r="M245" s="172"/>
      <c r="N245" s="160"/>
      <c r="O245" s="160"/>
      <c r="P245" s="160"/>
      <c r="Q245" s="160"/>
      <c r="R245" s="160"/>
      <c r="S245" s="160"/>
      <c r="T245" s="18"/>
      <c r="U245" s="18"/>
      <c r="V245" s="18"/>
      <c r="W245" s="18"/>
      <c r="X245" s="18"/>
      <c r="Y245" s="18"/>
      <c r="Z245" s="18"/>
      <c r="AA245" s="18"/>
    </row>
    <row r="246">
      <c r="A246" s="317"/>
      <c r="B246" s="172"/>
      <c r="C246" s="160"/>
      <c r="D246" s="160"/>
      <c r="E246" s="160"/>
      <c r="F246" s="160"/>
      <c r="G246" s="160"/>
      <c r="H246" s="160"/>
      <c r="I246" s="172"/>
      <c r="J246" s="160"/>
      <c r="K246" s="172"/>
      <c r="L246" s="172"/>
      <c r="M246" s="172"/>
      <c r="N246" s="160"/>
      <c r="O246" s="160"/>
      <c r="P246" s="160"/>
      <c r="Q246" s="160"/>
      <c r="R246" s="160"/>
      <c r="S246" s="160"/>
      <c r="T246" s="18"/>
      <c r="U246" s="18"/>
      <c r="V246" s="18"/>
      <c r="W246" s="18"/>
      <c r="X246" s="18"/>
      <c r="Y246" s="18"/>
      <c r="Z246" s="18"/>
      <c r="AA246" s="18"/>
    </row>
    <row r="247">
      <c r="A247" s="317"/>
      <c r="B247" s="172"/>
      <c r="C247" s="160"/>
      <c r="D247" s="160"/>
      <c r="E247" s="160"/>
      <c r="F247" s="160"/>
      <c r="G247" s="160"/>
      <c r="H247" s="160"/>
      <c r="I247" s="172"/>
      <c r="J247" s="160"/>
      <c r="K247" s="172"/>
      <c r="L247" s="172"/>
      <c r="M247" s="172"/>
      <c r="N247" s="160"/>
      <c r="O247" s="160"/>
      <c r="P247" s="160"/>
      <c r="Q247" s="160"/>
      <c r="R247" s="160"/>
      <c r="S247" s="160"/>
      <c r="T247" s="18"/>
      <c r="U247" s="18"/>
      <c r="V247" s="18"/>
      <c r="W247" s="18"/>
      <c r="X247" s="18"/>
      <c r="Y247" s="18"/>
      <c r="Z247" s="18"/>
      <c r="AA247" s="18"/>
    </row>
    <row r="248">
      <c r="A248" s="317"/>
      <c r="B248" s="172"/>
      <c r="C248" s="160"/>
      <c r="D248" s="160"/>
      <c r="E248" s="160"/>
      <c r="F248" s="160"/>
      <c r="G248" s="160"/>
      <c r="H248" s="160"/>
      <c r="I248" s="172"/>
      <c r="J248" s="160"/>
      <c r="K248" s="172"/>
      <c r="L248" s="172"/>
      <c r="M248" s="172"/>
      <c r="N248" s="160"/>
      <c r="O248" s="160"/>
      <c r="P248" s="160"/>
      <c r="Q248" s="160"/>
      <c r="R248" s="160"/>
      <c r="S248" s="160"/>
      <c r="T248" s="18"/>
      <c r="U248" s="18"/>
      <c r="V248" s="18"/>
      <c r="W248" s="18"/>
      <c r="X248" s="18"/>
      <c r="Y248" s="18"/>
      <c r="Z248" s="18"/>
      <c r="AA248" s="18"/>
    </row>
    <row r="249">
      <c r="A249" s="317"/>
      <c r="B249" s="172"/>
      <c r="C249" s="160"/>
      <c r="D249" s="160"/>
      <c r="E249" s="160"/>
      <c r="F249" s="160"/>
      <c r="G249" s="160"/>
      <c r="H249" s="160"/>
      <c r="I249" s="172"/>
      <c r="J249" s="160"/>
      <c r="K249" s="172"/>
      <c r="L249" s="172"/>
      <c r="M249" s="172"/>
      <c r="N249" s="160"/>
      <c r="O249" s="160"/>
      <c r="P249" s="160"/>
      <c r="Q249" s="160"/>
      <c r="R249" s="160"/>
      <c r="S249" s="160"/>
      <c r="T249" s="18"/>
      <c r="U249" s="18"/>
      <c r="V249" s="18"/>
      <c r="W249" s="18"/>
      <c r="X249" s="18"/>
      <c r="Y249" s="18"/>
      <c r="Z249" s="18"/>
      <c r="AA249" s="18"/>
    </row>
    <row r="250">
      <c r="A250" s="317"/>
      <c r="B250" s="172"/>
      <c r="C250" s="160"/>
      <c r="D250" s="160"/>
      <c r="E250" s="160"/>
      <c r="F250" s="160"/>
      <c r="G250" s="160"/>
      <c r="H250" s="160"/>
      <c r="I250" s="172"/>
      <c r="J250" s="160"/>
      <c r="K250" s="172"/>
      <c r="L250" s="172"/>
      <c r="M250" s="172"/>
      <c r="N250" s="160"/>
      <c r="O250" s="160"/>
      <c r="P250" s="160"/>
      <c r="Q250" s="160"/>
      <c r="R250" s="160"/>
      <c r="S250" s="160"/>
      <c r="T250" s="18"/>
      <c r="U250" s="18"/>
      <c r="V250" s="18"/>
      <c r="W250" s="18"/>
      <c r="X250" s="18"/>
      <c r="Y250" s="18"/>
      <c r="Z250" s="18"/>
      <c r="AA250" s="18"/>
    </row>
    <row r="251">
      <c r="A251" s="317"/>
      <c r="B251" s="172"/>
      <c r="C251" s="160"/>
      <c r="D251" s="160"/>
      <c r="E251" s="160"/>
      <c r="F251" s="160"/>
      <c r="G251" s="160"/>
      <c r="H251" s="160"/>
      <c r="I251" s="172"/>
      <c r="J251" s="160"/>
      <c r="K251" s="172"/>
      <c r="L251" s="172"/>
      <c r="M251" s="172"/>
      <c r="N251" s="160"/>
      <c r="O251" s="160"/>
      <c r="P251" s="160"/>
      <c r="Q251" s="160"/>
      <c r="R251" s="160"/>
      <c r="S251" s="160"/>
      <c r="T251" s="18"/>
      <c r="U251" s="18"/>
      <c r="V251" s="18"/>
      <c r="W251" s="18"/>
      <c r="X251" s="18"/>
      <c r="Y251" s="18"/>
      <c r="Z251" s="18"/>
      <c r="AA251" s="18"/>
    </row>
    <row r="252">
      <c r="A252" s="317"/>
      <c r="B252" s="172"/>
      <c r="C252" s="160"/>
      <c r="D252" s="160"/>
      <c r="E252" s="160"/>
      <c r="F252" s="160"/>
      <c r="G252" s="160"/>
      <c r="H252" s="160"/>
      <c r="I252" s="172"/>
      <c r="J252" s="160"/>
      <c r="K252" s="172"/>
      <c r="L252" s="172"/>
      <c r="M252" s="172"/>
      <c r="N252" s="160"/>
      <c r="O252" s="160"/>
      <c r="P252" s="160"/>
      <c r="Q252" s="160"/>
      <c r="R252" s="160"/>
      <c r="S252" s="160"/>
      <c r="T252" s="18"/>
      <c r="U252" s="18"/>
      <c r="V252" s="18"/>
      <c r="W252" s="18"/>
      <c r="X252" s="18"/>
      <c r="Y252" s="18"/>
      <c r="Z252" s="18"/>
      <c r="AA252" s="18"/>
    </row>
    <row r="253">
      <c r="A253" s="317"/>
      <c r="B253" s="172"/>
      <c r="C253" s="160"/>
      <c r="D253" s="160"/>
      <c r="E253" s="160"/>
      <c r="F253" s="160"/>
      <c r="G253" s="160"/>
      <c r="H253" s="160"/>
      <c r="I253" s="172"/>
      <c r="J253" s="160"/>
      <c r="K253" s="172"/>
      <c r="L253" s="172"/>
      <c r="M253" s="172"/>
      <c r="N253" s="160"/>
      <c r="O253" s="160"/>
      <c r="P253" s="160"/>
      <c r="Q253" s="160"/>
      <c r="R253" s="160"/>
      <c r="S253" s="160"/>
      <c r="T253" s="18"/>
      <c r="U253" s="18"/>
      <c r="V253" s="18"/>
      <c r="W253" s="18"/>
      <c r="X253" s="18"/>
      <c r="Y253" s="18"/>
      <c r="Z253" s="18"/>
      <c r="AA253" s="18"/>
    </row>
    <row r="254">
      <c r="A254" s="317"/>
      <c r="B254" s="172"/>
      <c r="C254" s="160"/>
      <c r="D254" s="160"/>
      <c r="E254" s="160"/>
      <c r="F254" s="160"/>
      <c r="G254" s="160"/>
      <c r="H254" s="160"/>
      <c r="I254" s="172"/>
      <c r="J254" s="160"/>
      <c r="K254" s="172"/>
      <c r="L254" s="172"/>
      <c r="M254" s="172"/>
      <c r="N254" s="160"/>
      <c r="O254" s="160"/>
      <c r="P254" s="160"/>
      <c r="Q254" s="160"/>
      <c r="R254" s="160"/>
      <c r="S254" s="160"/>
      <c r="T254" s="18"/>
      <c r="U254" s="18"/>
      <c r="V254" s="18"/>
      <c r="W254" s="18"/>
      <c r="X254" s="18"/>
      <c r="Y254" s="18"/>
      <c r="Z254" s="18"/>
      <c r="AA254" s="18"/>
    </row>
    <row r="255">
      <c r="A255" s="317"/>
      <c r="B255" s="172"/>
      <c r="C255" s="160"/>
      <c r="D255" s="160"/>
      <c r="E255" s="160"/>
      <c r="F255" s="160"/>
      <c r="G255" s="160"/>
      <c r="H255" s="160"/>
      <c r="I255" s="172"/>
      <c r="J255" s="160"/>
      <c r="K255" s="172"/>
      <c r="L255" s="172"/>
      <c r="M255" s="172"/>
      <c r="N255" s="160"/>
      <c r="O255" s="160"/>
      <c r="P255" s="160"/>
      <c r="Q255" s="160"/>
      <c r="R255" s="160"/>
      <c r="S255" s="160"/>
      <c r="T255" s="18"/>
      <c r="U255" s="18"/>
      <c r="V255" s="18"/>
      <c r="W255" s="18"/>
      <c r="X255" s="18"/>
      <c r="Y255" s="18"/>
      <c r="Z255" s="18"/>
      <c r="AA255" s="18"/>
    </row>
    <row r="256">
      <c r="A256" s="317"/>
      <c r="B256" s="172"/>
      <c r="C256" s="160"/>
      <c r="D256" s="160"/>
      <c r="E256" s="160"/>
      <c r="F256" s="160"/>
      <c r="G256" s="160"/>
      <c r="H256" s="160"/>
      <c r="I256" s="172"/>
      <c r="J256" s="160"/>
      <c r="K256" s="172"/>
      <c r="L256" s="172"/>
      <c r="M256" s="172"/>
      <c r="N256" s="160"/>
      <c r="O256" s="160"/>
      <c r="P256" s="160"/>
      <c r="Q256" s="160"/>
      <c r="R256" s="160"/>
      <c r="S256" s="160"/>
      <c r="T256" s="18"/>
      <c r="U256" s="18"/>
      <c r="V256" s="18"/>
      <c r="W256" s="18"/>
      <c r="X256" s="18"/>
      <c r="Y256" s="18"/>
      <c r="Z256" s="18"/>
      <c r="AA256" s="18"/>
    </row>
    <row r="257">
      <c r="A257" s="317"/>
      <c r="B257" s="172"/>
      <c r="C257" s="160"/>
      <c r="D257" s="160"/>
      <c r="E257" s="160"/>
      <c r="F257" s="160"/>
      <c r="G257" s="160"/>
      <c r="H257" s="160"/>
      <c r="I257" s="172"/>
      <c r="J257" s="160"/>
      <c r="K257" s="172"/>
      <c r="L257" s="172"/>
      <c r="M257" s="172"/>
      <c r="N257" s="160"/>
      <c r="O257" s="160"/>
      <c r="P257" s="160"/>
      <c r="Q257" s="160"/>
      <c r="R257" s="160"/>
      <c r="S257" s="160"/>
      <c r="T257" s="18"/>
      <c r="U257" s="18"/>
      <c r="V257" s="18"/>
      <c r="W257" s="18"/>
      <c r="X257" s="18"/>
      <c r="Y257" s="18"/>
      <c r="Z257" s="18"/>
      <c r="AA257" s="18"/>
    </row>
    <row r="258">
      <c r="A258" s="317"/>
      <c r="B258" s="172"/>
      <c r="C258" s="160"/>
      <c r="D258" s="160"/>
      <c r="E258" s="160"/>
      <c r="F258" s="160"/>
      <c r="G258" s="160"/>
      <c r="H258" s="160"/>
      <c r="I258" s="172"/>
      <c r="J258" s="160"/>
      <c r="K258" s="172"/>
      <c r="L258" s="172"/>
      <c r="M258" s="172"/>
      <c r="N258" s="160"/>
      <c r="O258" s="160"/>
      <c r="P258" s="160"/>
      <c r="Q258" s="160"/>
      <c r="R258" s="160"/>
      <c r="S258" s="160"/>
      <c r="T258" s="18"/>
      <c r="U258" s="18"/>
      <c r="V258" s="18"/>
      <c r="W258" s="18"/>
      <c r="X258" s="18"/>
      <c r="Y258" s="18"/>
      <c r="Z258" s="18"/>
      <c r="AA258" s="18"/>
    </row>
    <row r="259">
      <c r="A259" s="317"/>
      <c r="B259" s="172"/>
      <c r="C259" s="160"/>
      <c r="D259" s="160"/>
      <c r="E259" s="160"/>
      <c r="F259" s="160"/>
      <c r="G259" s="160"/>
      <c r="H259" s="160"/>
      <c r="I259" s="172"/>
      <c r="J259" s="160"/>
      <c r="K259" s="172"/>
      <c r="L259" s="172"/>
      <c r="M259" s="172"/>
      <c r="N259" s="160"/>
      <c r="O259" s="160"/>
      <c r="P259" s="160"/>
      <c r="Q259" s="160"/>
      <c r="R259" s="160"/>
      <c r="S259" s="160"/>
      <c r="T259" s="18"/>
      <c r="U259" s="18"/>
      <c r="V259" s="18"/>
      <c r="W259" s="18"/>
      <c r="X259" s="18"/>
      <c r="Y259" s="18"/>
      <c r="Z259" s="18"/>
      <c r="AA259" s="18"/>
    </row>
    <row r="260">
      <c r="A260" s="317"/>
      <c r="B260" s="172"/>
      <c r="C260" s="160"/>
      <c r="D260" s="160"/>
      <c r="E260" s="160"/>
      <c r="F260" s="160"/>
      <c r="G260" s="160"/>
      <c r="H260" s="160"/>
      <c r="I260" s="172"/>
      <c r="J260" s="160"/>
      <c r="K260" s="172"/>
      <c r="L260" s="172"/>
      <c r="M260" s="172"/>
      <c r="N260" s="160"/>
      <c r="O260" s="160"/>
      <c r="P260" s="160"/>
      <c r="Q260" s="160"/>
      <c r="R260" s="160"/>
      <c r="S260" s="160"/>
      <c r="T260" s="18"/>
      <c r="U260" s="18"/>
      <c r="V260" s="18"/>
      <c r="W260" s="18"/>
      <c r="X260" s="18"/>
      <c r="Y260" s="18"/>
      <c r="Z260" s="18"/>
      <c r="AA260" s="18"/>
    </row>
    <row r="261">
      <c r="A261" s="317"/>
      <c r="B261" s="172"/>
      <c r="C261" s="160"/>
      <c r="D261" s="160"/>
      <c r="E261" s="160"/>
      <c r="F261" s="160"/>
      <c r="G261" s="160"/>
      <c r="H261" s="160"/>
      <c r="I261" s="172"/>
      <c r="J261" s="160"/>
      <c r="K261" s="172"/>
      <c r="L261" s="172"/>
      <c r="M261" s="172"/>
      <c r="N261" s="160"/>
      <c r="O261" s="160"/>
      <c r="P261" s="160"/>
      <c r="Q261" s="160"/>
      <c r="R261" s="160"/>
      <c r="S261" s="160"/>
      <c r="T261" s="18"/>
      <c r="U261" s="18"/>
      <c r="V261" s="18"/>
      <c r="W261" s="18"/>
      <c r="X261" s="18"/>
      <c r="Y261" s="18"/>
      <c r="Z261" s="18"/>
      <c r="AA261" s="18"/>
    </row>
    <row r="262">
      <c r="A262" s="317"/>
      <c r="B262" s="172"/>
      <c r="C262" s="160"/>
      <c r="D262" s="160"/>
      <c r="E262" s="160"/>
      <c r="F262" s="160"/>
      <c r="G262" s="160"/>
      <c r="H262" s="160"/>
      <c r="I262" s="172"/>
      <c r="J262" s="160"/>
      <c r="K262" s="172"/>
      <c r="L262" s="172"/>
      <c r="M262" s="172"/>
      <c r="N262" s="160"/>
      <c r="O262" s="160"/>
      <c r="P262" s="160"/>
      <c r="Q262" s="160"/>
      <c r="R262" s="160"/>
      <c r="S262" s="160"/>
      <c r="T262" s="18"/>
      <c r="U262" s="18"/>
      <c r="V262" s="18"/>
      <c r="W262" s="18"/>
      <c r="X262" s="18"/>
      <c r="Y262" s="18"/>
      <c r="Z262" s="18"/>
      <c r="AA262" s="18"/>
    </row>
    <row r="263">
      <c r="A263" s="317"/>
      <c r="B263" s="172"/>
      <c r="C263" s="160"/>
      <c r="D263" s="160"/>
      <c r="E263" s="160"/>
      <c r="F263" s="160"/>
      <c r="G263" s="160"/>
      <c r="H263" s="160"/>
      <c r="I263" s="172"/>
      <c r="J263" s="160"/>
      <c r="K263" s="172"/>
      <c r="L263" s="172"/>
      <c r="M263" s="172"/>
      <c r="N263" s="160"/>
      <c r="O263" s="160"/>
      <c r="P263" s="160"/>
      <c r="Q263" s="160"/>
      <c r="R263" s="160"/>
      <c r="S263" s="160"/>
      <c r="T263" s="18"/>
      <c r="U263" s="18"/>
      <c r="V263" s="18"/>
      <c r="W263" s="18"/>
      <c r="X263" s="18"/>
      <c r="Y263" s="18"/>
      <c r="Z263" s="18"/>
      <c r="AA263" s="18"/>
    </row>
    <row r="264">
      <c r="A264" s="317"/>
      <c r="B264" s="172"/>
      <c r="C264" s="160"/>
      <c r="D264" s="160"/>
      <c r="E264" s="160"/>
      <c r="F264" s="160"/>
      <c r="G264" s="160"/>
      <c r="H264" s="160"/>
      <c r="I264" s="172"/>
      <c r="J264" s="160"/>
      <c r="K264" s="172"/>
      <c r="L264" s="172"/>
      <c r="M264" s="172"/>
      <c r="N264" s="160"/>
      <c r="O264" s="160"/>
      <c r="P264" s="160"/>
      <c r="Q264" s="160"/>
      <c r="R264" s="160"/>
      <c r="S264" s="160"/>
      <c r="T264" s="18"/>
      <c r="U264" s="18"/>
      <c r="V264" s="18"/>
      <c r="W264" s="18"/>
      <c r="X264" s="18"/>
      <c r="Y264" s="18"/>
      <c r="Z264" s="18"/>
      <c r="AA264" s="18"/>
    </row>
    <row r="265">
      <c r="A265" s="317"/>
      <c r="B265" s="172"/>
      <c r="C265" s="160"/>
      <c r="D265" s="160"/>
      <c r="E265" s="160"/>
      <c r="F265" s="160"/>
      <c r="G265" s="160"/>
      <c r="H265" s="160"/>
      <c r="I265" s="172"/>
      <c r="J265" s="160"/>
      <c r="K265" s="172"/>
      <c r="L265" s="172"/>
      <c r="M265" s="172"/>
      <c r="N265" s="160"/>
      <c r="O265" s="160"/>
      <c r="P265" s="160"/>
      <c r="Q265" s="160"/>
      <c r="R265" s="160"/>
      <c r="S265" s="160"/>
      <c r="T265" s="18"/>
      <c r="U265" s="18"/>
      <c r="V265" s="18"/>
      <c r="W265" s="18"/>
      <c r="X265" s="18"/>
      <c r="Y265" s="18"/>
      <c r="Z265" s="18"/>
      <c r="AA265" s="18"/>
    </row>
    <row r="266">
      <c r="A266" s="317"/>
      <c r="B266" s="172"/>
      <c r="C266" s="160"/>
      <c r="D266" s="160"/>
      <c r="E266" s="160"/>
      <c r="F266" s="160"/>
      <c r="G266" s="160"/>
      <c r="H266" s="160"/>
      <c r="I266" s="172"/>
      <c r="J266" s="160"/>
      <c r="K266" s="172"/>
      <c r="L266" s="172"/>
      <c r="M266" s="172"/>
      <c r="N266" s="160"/>
      <c r="O266" s="160"/>
      <c r="P266" s="160"/>
      <c r="Q266" s="160"/>
      <c r="R266" s="160"/>
      <c r="S266" s="160"/>
      <c r="T266" s="18"/>
      <c r="U266" s="18"/>
      <c r="V266" s="18"/>
      <c r="W266" s="18"/>
      <c r="X266" s="18"/>
      <c r="Y266" s="18"/>
      <c r="Z266" s="18"/>
      <c r="AA266" s="18"/>
    </row>
    <row r="267">
      <c r="A267" s="317"/>
      <c r="B267" s="172"/>
      <c r="C267" s="160"/>
      <c r="D267" s="160"/>
      <c r="E267" s="160"/>
      <c r="F267" s="160"/>
      <c r="G267" s="160"/>
      <c r="H267" s="160"/>
      <c r="I267" s="172"/>
      <c r="J267" s="160"/>
      <c r="K267" s="172"/>
      <c r="L267" s="172"/>
      <c r="M267" s="172"/>
      <c r="N267" s="160"/>
      <c r="O267" s="160"/>
      <c r="P267" s="160"/>
      <c r="Q267" s="160"/>
      <c r="R267" s="160"/>
      <c r="S267" s="160"/>
      <c r="T267" s="18"/>
      <c r="U267" s="18"/>
      <c r="V267" s="18"/>
      <c r="W267" s="18"/>
      <c r="X267" s="18"/>
      <c r="Y267" s="18"/>
      <c r="Z267" s="18"/>
      <c r="AA267" s="18"/>
    </row>
    <row r="268">
      <c r="A268" s="317"/>
      <c r="B268" s="172"/>
      <c r="C268" s="160"/>
      <c r="D268" s="160"/>
      <c r="E268" s="160"/>
      <c r="F268" s="160"/>
      <c r="G268" s="160"/>
      <c r="H268" s="160"/>
      <c r="I268" s="172"/>
      <c r="J268" s="160"/>
      <c r="K268" s="172"/>
      <c r="L268" s="172"/>
      <c r="M268" s="172"/>
      <c r="N268" s="160"/>
      <c r="O268" s="160"/>
      <c r="P268" s="160"/>
      <c r="Q268" s="160"/>
      <c r="R268" s="160"/>
      <c r="S268" s="160"/>
      <c r="T268" s="18"/>
      <c r="U268" s="18"/>
      <c r="V268" s="18"/>
      <c r="W268" s="18"/>
      <c r="X268" s="18"/>
      <c r="Y268" s="18"/>
      <c r="Z268" s="18"/>
      <c r="AA268" s="18"/>
    </row>
    <row r="269">
      <c r="A269" s="317"/>
      <c r="B269" s="172"/>
      <c r="C269" s="160"/>
      <c r="D269" s="160"/>
      <c r="E269" s="160"/>
      <c r="F269" s="160"/>
      <c r="G269" s="160"/>
      <c r="H269" s="160"/>
      <c r="I269" s="172"/>
      <c r="J269" s="160"/>
      <c r="K269" s="172"/>
      <c r="L269" s="172"/>
      <c r="M269" s="172"/>
      <c r="N269" s="160"/>
      <c r="O269" s="160"/>
      <c r="P269" s="160"/>
      <c r="Q269" s="160"/>
      <c r="R269" s="160"/>
      <c r="S269" s="160"/>
      <c r="T269" s="18"/>
      <c r="U269" s="18"/>
      <c r="V269" s="18"/>
      <c r="W269" s="18"/>
      <c r="X269" s="18"/>
      <c r="Y269" s="18"/>
      <c r="Z269" s="18"/>
      <c r="AA269" s="18"/>
    </row>
    <row r="270">
      <c r="A270" s="317"/>
      <c r="B270" s="172"/>
      <c r="C270" s="160"/>
      <c r="D270" s="160"/>
      <c r="E270" s="160"/>
      <c r="F270" s="160"/>
      <c r="G270" s="160"/>
      <c r="H270" s="160"/>
      <c r="I270" s="172"/>
      <c r="J270" s="160"/>
      <c r="K270" s="172"/>
      <c r="L270" s="172"/>
      <c r="M270" s="172"/>
      <c r="N270" s="160"/>
      <c r="O270" s="160"/>
      <c r="P270" s="160"/>
      <c r="Q270" s="160"/>
      <c r="R270" s="160"/>
      <c r="S270" s="160"/>
      <c r="T270" s="18"/>
      <c r="U270" s="18"/>
      <c r="V270" s="18"/>
      <c r="W270" s="18"/>
      <c r="X270" s="18"/>
      <c r="Y270" s="18"/>
      <c r="Z270" s="18"/>
      <c r="AA270" s="18"/>
    </row>
    <row r="271">
      <c r="A271" s="317"/>
      <c r="B271" s="172"/>
      <c r="C271" s="160"/>
      <c r="D271" s="160"/>
      <c r="E271" s="160"/>
      <c r="F271" s="160"/>
      <c r="G271" s="160"/>
      <c r="H271" s="160"/>
      <c r="I271" s="172"/>
      <c r="J271" s="160"/>
      <c r="K271" s="172"/>
      <c r="L271" s="172"/>
      <c r="M271" s="172"/>
      <c r="N271" s="160"/>
      <c r="O271" s="160"/>
      <c r="P271" s="160"/>
      <c r="Q271" s="160"/>
      <c r="R271" s="160"/>
      <c r="S271" s="160"/>
      <c r="T271" s="18"/>
      <c r="U271" s="18"/>
      <c r="V271" s="18"/>
      <c r="W271" s="18"/>
      <c r="X271" s="18"/>
      <c r="Y271" s="18"/>
      <c r="Z271" s="18"/>
      <c r="AA271" s="18"/>
    </row>
    <row r="272">
      <c r="A272" s="317"/>
      <c r="B272" s="172"/>
      <c r="C272" s="160"/>
      <c r="D272" s="160"/>
      <c r="E272" s="160"/>
      <c r="F272" s="160"/>
      <c r="G272" s="160"/>
      <c r="H272" s="160"/>
      <c r="I272" s="172"/>
      <c r="J272" s="160"/>
      <c r="K272" s="172"/>
      <c r="L272" s="172"/>
      <c r="M272" s="172"/>
      <c r="N272" s="160"/>
      <c r="O272" s="160"/>
      <c r="P272" s="160"/>
      <c r="Q272" s="160"/>
      <c r="R272" s="160"/>
      <c r="S272" s="160"/>
      <c r="T272" s="18"/>
      <c r="U272" s="18"/>
      <c r="V272" s="18"/>
      <c r="W272" s="18"/>
      <c r="X272" s="18"/>
      <c r="Y272" s="18"/>
      <c r="Z272" s="18"/>
      <c r="AA272" s="18"/>
    </row>
    <row r="273">
      <c r="A273" s="317"/>
      <c r="B273" s="172"/>
      <c r="C273" s="160"/>
      <c r="D273" s="160"/>
      <c r="E273" s="160"/>
      <c r="F273" s="160"/>
      <c r="G273" s="160"/>
      <c r="H273" s="160"/>
      <c r="I273" s="172"/>
      <c r="J273" s="160"/>
      <c r="K273" s="172"/>
      <c r="L273" s="172"/>
      <c r="M273" s="172"/>
      <c r="N273" s="160"/>
      <c r="O273" s="160"/>
      <c r="P273" s="160"/>
      <c r="Q273" s="160"/>
      <c r="R273" s="160"/>
      <c r="S273" s="160"/>
      <c r="T273" s="18"/>
      <c r="U273" s="18"/>
      <c r="V273" s="18"/>
      <c r="W273" s="18"/>
      <c r="X273" s="18"/>
      <c r="Y273" s="18"/>
      <c r="Z273" s="18"/>
      <c r="AA273" s="18"/>
    </row>
    <row r="274">
      <c r="A274" s="317"/>
      <c r="B274" s="172"/>
      <c r="C274" s="160"/>
      <c r="D274" s="160"/>
      <c r="E274" s="160"/>
      <c r="F274" s="160"/>
      <c r="G274" s="160"/>
      <c r="H274" s="160"/>
      <c r="I274" s="172"/>
      <c r="J274" s="160"/>
      <c r="K274" s="172"/>
      <c r="L274" s="172"/>
      <c r="M274" s="172"/>
      <c r="N274" s="160"/>
      <c r="O274" s="160"/>
      <c r="P274" s="160"/>
      <c r="Q274" s="160"/>
      <c r="R274" s="160"/>
      <c r="S274" s="160"/>
      <c r="T274" s="18"/>
      <c r="U274" s="18"/>
      <c r="V274" s="18"/>
      <c r="W274" s="18"/>
      <c r="X274" s="18"/>
      <c r="Y274" s="18"/>
      <c r="Z274" s="18"/>
      <c r="AA274" s="18"/>
    </row>
    <row r="275">
      <c r="A275" s="317"/>
      <c r="B275" s="172"/>
      <c r="C275" s="160"/>
      <c r="D275" s="160"/>
      <c r="E275" s="160"/>
      <c r="F275" s="160"/>
      <c r="G275" s="160"/>
      <c r="H275" s="160"/>
      <c r="I275" s="172"/>
      <c r="J275" s="160"/>
      <c r="K275" s="172"/>
      <c r="L275" s="172"/>
      <c r="M275" s="172"/>
      <c r="N275" s="160"/>
      <c r="O275" s="160"/>
      <c r="P275" s="160"/>
      <c r="Q275" s="160"/>
      <c r="R275" s="160"/>
      <c r="S275" s="160"/>
      <c r="T275" s="18"/>
      <c r="U275" s="18"/>
      <c r="V275" s="18"/>
      <c r="W275" s="18"/>
      <c r="X275" s="18"/>
      <c r="Y275" s="18"/>
      <c r="Z275" s="18"/>
      <c r="AA275" s="18"/>
    </row>
    <row r="276">
      <c r="A276" s="317"/>
      <c r="B276" s="172"/>
      <c r="C276" s="160"/>
      <c r="D276" s="160"/>
      <c r="E276" s="160"/>
      <c r="F276" s="160"/>
      <c r="G276" s="160"/>
      <c r="H276" s="160"/>
      <c r="I276" s="172"/>
      <c r="J276" s="160"/>
      <c r="K276" s="172"/>
      <c r="L276" s="172"/>
      <c r="M276" s="172"/>
      <c r="N276" s="160"/>
      <c r="O276" s="160"/>
      <c r="P276" s="160"/>
      <c r="Q276" s="160"/>
      <c r="R276" s="160"/>
      <c r="S276" s="160"/>
      <c r="T276" s="18"/>
      <c r="U276" s="18"/>
      <c r="V276" s="18"/>
      <c r="W276" s="18"/>
      <c r="X276" s="18"/>
      <c r="Y276" s="18"/>
      <c r="Z276" s="18"/>
      <c r="AA276" s="18"/>
    </row>
    <row r="277">
      <c r="A277" s="317"/>
      <c r="B277" s="172"/>
      <c r="C277" s="160"/>
      <c r="D277" s="160"/>
      <c r="E277" s="160"/>
      <c r="F277" s="160"/>
      <c r="G277" s="160"/>
      <c r="H277" s="160"/>
      <c r="I277" s="172"/>
      <c r="J277" s="160"/>
      <c r="K277" s="172"/>
      <c r="L277" s="172"/>
      <c r="M277" s="172"/>
      <c r="N277" s="160"/>
      <c r="O277" s="160"/>
      <c r="P277" s="160"/>
      <c r="Q277" s="160"/>
      <c r="R277" s="160"/>
      <c r="S277" s="160"/>
      <c r="T277" s="18"/>
      <c r="U277" s="18"/>
      <c r="V277" s="18"/>
      <c r="W277" s="18"/>
      <c r="X277" s="18"/>
      <c r="Y277" s="18"/>
      <c r="Z277" s="18"/>
      <c r="AA277" s="18"/>
    </row>
    <row r="278">
      <c r="A278" s="317"/>
      <c r="B278" s="172"/>
      <c r="C278" s="160"/>
      <c r="D278" s="160"/>
      <c r="E278" s="160"/>
      <c r="F278" s="160"/>
      <c r="G278" s="160"/>
      <c r="H278" s="160"/>
      <c r="I278" s="172"/>
      <c r="J278" s="160"/>
      <c r="K278" s="172"/>
      <c r="L278" s="172"/>
      <c r="M278" s="172"/>
      <c r="N278" s="160"/>
      <c r="O278" s="160"/>
      <c r="P278" s="160"/>
      <c r="Q278" s="160"/>
      <c r="R278" s="160"/>
      <c r="S278" s="160"/>
      <c r="T278" s="18"/>
      <c r="U278" s="18"/>
      <c r="V278" s="18"/>
      <c r="W278" s="18"/>
      <c r="X278" s="18"/>
      <c r="Y278" s="18"/>
      <c r="Z278" s="18"/>
      <c r="AA278" s="18"/>
    </row>
    <row r="279">
      <c r="A279" s="317"/>
      <c r="B279" s="172"/>
      <c r="C279" s="160"/>
      <c r="D279" s="160"/>
      <c r="E279" s="160"/>
      <c r="F279" s="160"/>
      <c r="G279" s="160"/>
      <c r="H279" s="160"/>
      <c r="I279" s="172"/>
      <c r="J279" s="160"/>
      <c r="K279" s="172"/>
      <c r="L279" s="172"/>
      <c r="M279" s="172"/>
      <c r="N279" s="160"/>
      <c r="O279" s="160"/>
      <c r="P279" s="160"/>
      <c r="Q279" s="160"/>
      <c r="R279" s="160"/>
      <c r="S279" s="160"/>
      <c r="T279" s="18"/>
      <c r="U279" s="18"/>
      <c r="V279" s="18"/>
      <c r="W279" s="18"/>
      <c r="X279" s="18"/>
      <c r="Y279" s="18"/>
      <c r="Z279" s="18"/>
      <c r="AA279" s="18"/>
    </row>
    <row r="280">
      <c r="A280" s="317"/>
      <c r="B280" s="172"/>
      <c r="C280" s="160"/>
      <c r="D280" s="160"/>
      <c r="E280" s="160"/>
      <c r="F280" s="160"/>
      <c r="G280" s="160"/>
      <c r="H280" s="160"/>
      <c r="I280" s="172"/>
      <c r="J280" s="160"/>
      <c r="K280" s="172"/>
      <c r="L280" s="172"/>
      <c r="M280" s="172"/>
      <c r="N280" s="160"/>
      <c r="O280" s="160"/>
      <c r="P280" s="160"/>
      <c r="Q280" s="160"/>
      <c r="R280" s="160"/>
      <c r="S280" s="160"/>
      <c r="T280" s="18"/>
      <c r="U280" s="18"/>
      <c r="V280" s="18"/>
      <c r="W280" s="18"/>
      <c r="X280" s="18"/>
      <c r="Y280" s="18"/>
      <c r="Z280" s="18"/>
      <c r="AA280" s="18"/>
    </row>
    <row r="281">
      <c r="A281" s="317"/>
      <c r="B281" s="172"/>
      <c r="C281" s="160"/>
      <c r="D281" s="160"/>
      <c r="E281" s="160"/>
      <c r="F281" s="160"/>
      <c r="G281" s="160"/>
      <c r="H281" s="160"/>
      <c r="I281" s="172"/>
      <c r="J281" s="160"/>
      <c r="K281" s="172"/>
      <c r="L281" s="172"/>
      <c r="M281" s="172"/>
      <c r="N281" s="160"/>
      <c r="O281" s="160"/>
      <c r="P281" s="160"/>
      <c r="Q281" s="160"/>
      <c r="R281" s="160"/>
      <c r="S281" s="160"/>
      <c r="T281" s="18"/>
      <c r="U281" s="18"/>
      <c r="V281" s="18"/>
      <c r="W281" s="18"/>
      <c r="X281" s="18"/>
      <c r="Y281" s="18"/>
      <c r="Z281" s="18"/>
      <c r="AA281" s="18"/>
    </row>
    <row r="282">
      <c r="A282" s="317"/>
      <c r="B282" s="172"/>
      <c r="C282" s="160"/>
      <c r="D282" s="160"/>
      <c r="E282" s="160"/>
      <c r="F282" s="160"/>
      <c r="G282" s="160"/>
      <c r="H282" s="160"/>
      <c r="I282" s="172"/>
      <c r="J282" s="160"/>
      <c r="K282" s="172"/>
      <c r="L282" s="172"/>
      <c r="M282" s="172"/>
      <c r="N282" s="160"/>
      <c r="O282" s="160"/>
      <c r="P282" s="160"/>
      <c r="Q282" s="160"/>
      <c r="R282" s="160"/>
      <c r="S282" s="160"/>
      <c r="T282" s="18"/>
      <c r="U282" s="18"/>
      <c r="V282" s="18"/>
      <c r="W282" s="18"/>
      <c r="X282" s="18"/>
      <c r="Y282" s="18"/>
      <c r="Z282" s="18"/>
      <c r="AA282" s="18"/>
    </row>
    <row r="283">
      <c r="A283" s="317"/>
      <c r="B283" s="172"/>
      <c r="C283" s="160"/>
      <c r="D283" s="160"/>
      <c r="E283" s="160"/>
      <c r="F283" s="160"/>
      <c r="G283" s="160"/>
      <c r="H283" s="160"/>
      <c r="I283" s="172"/>
      <c r="J283" s="160"/>
      <c r="K283" s="172"/>
      <c r="L283" s="172"/>
      <c r="M283" s="172"/>
      <c r="N283" s="160"/>
      <c r="O283" s="160"/>
      <c r="P283" s="160"/>
      <c r="Q283" s="160"/>
      <c r="R283" s="160"/>
      <c r="S283" s="160"/>
      <c r="T283" s="18"/>
      <c r="U283" s="18"/>
      <c r="V283" s="18"/>
      <c r="W283" s="18"/>
      <c r="X283" s="18"/>
      <c r="Y283" s="18"/>
      <c r="Z283" s="18"/>
      <c r="AA283" s="18"/>
    </row>
    <row r="284">
      <c r="A284" s="317"/>
      <c r="B284" s="172"/>
      <c r="C284" s="160"/>
      <c r="D284" s="160"/>
      <c r="E284" s="160"/>
      <c r="F284" s="160"/>
      <c r="G284" s="160"/>
      <c r="H284" s="160"/>
      <c r="I284" s="172"/>
      <c r="J284" s="160"/>
      <c r="K284" s="172"/>
      <c r="L284" s="172"/>
      <c r="M284" s="172"/>
      <c r="N284" s="160"/>
      <c r="O284" s="160"/>
      <c r="P284" s="160"/>
      <c r="Q284" s="160"/>
      <c r="R284" s="160"/>
      <c r="S284" s="160"/>
      <c r="T284" s="18"/>
      <c r="U284" s="18"/>
      <c r="V284" s="18"/>
      <c r="W284" s="18"/>
      <c r="X284" s="18"/>
      <c r="Y284" s="18"/>
      <c r="Z284" s="18"/>
      <c r="AA284" s="18"/>
    </row>
    <row r="285">
      <c r="A285" s="317"/>
      <c r="B285" s="172"/>
      <c r="C285" s="160"/>
      <c r="D285" s="160"/>
      <c r="E285" s="160"/>
      <c r="F285" s="160"/>
      <c r="G285" s="160"/>
      <c r="H285" s="160"/>
      <c r="I285" s="172"/>
      <c r="J285" s="160"/>
      <c r="K285" s="172"/>
      <c r="L285" s="172"/>
      <c r="M285" s="172"/>
      <c r="N285" s="160"/>
      <c r="O285" s="160"/>
      <c r="P285" s="160"/>
      <c r="Q285" s="160"/>
      <c r="R285" s="160"/>
      <c r="S285" s="160"/>
      <c r="T285" s="18"/>
      <c r="U285" s="18"/>
      <c r="V285" s="18"/>
      <c r="W285" s="18"/>
      <c r="X285" s="18"/>
      <c r="Y285" s="18"/>
      <c r="Z285" s="18"/>
      <c r="AA285" s="18"/>
    </row>
    <row r="286">
      <c r="A286" s="317"/>
      <c r="B286" s="172"/>
      <c r="C286" s="160"/>
      <c r="D286" s="160"/>
      <c r="E286" s="160"/>
      <c r="F286" s="160"/>
      <c r="G286" s="160"/>
      <c r="H286" s="160"/>
      <c r="I286" s="172"/>
      <c r="J286" s="160"/>
      <c r="K286" s="172"/>
      <c r="L286" s="172"/>
      <c r="M286" s="172"/>
      <c r="N286" s="160"/>
      <c r="O286" s="160"/>
      <c r="P286" s="160"/>
      <c r="Q286" s="160"/>
      <c r="R286" s="160"/>
      <c r="S286" s="160"/>
      <c r="T286" s="18"/>
      <c r="U286" s="18"/>
      <c r="V286" s="18"/>
      <c r="W286" s="18"/>
      <c r="X286" s="18"/>
      <c r="Y286" s="18"/>
      <c r="Z286" s="18"/>
      <c r="AA286" s="18"/>
    </row>
    <row r="287">
      <c r="A287" s="317"/>
      <c r="B287" s="172"/>
      <c r="C287" s="160"/>
      <c r="D287" s="160"/>
      <c r="E287" s="160"/>
      <c r="F287" s="160"/>
      <c r="G287" s="160"/>
      <c r="H287" s="160"/>
      <c r="I287" s="172"/>
      <c r="J287" s="160"/>
      <c r="K287" s="172"/>
      <c r="L287" s="172"/>
      <c r="M287" s="172"/>
      <c r="N287" s="160"/>
      <c r="O287" s="160"/>
      <c r="P287" s="160"/>
      <c r="Q287" s="160"/>
      <c r="R287" s="160"/>
      <c r="S287" s="160"/>
      <c r="T287" s="18"/>
      <c r="U287" s="18"/>
      <c r="V287" s="18"/>
      <c r="W287" s="18"/>
      <c r="X287" s="18"/>
      <c r="Y287" s="18"/>
      <c r="Z287" s="18"/>
      <c r="AA287" s="18"/>
    </row>
    <row r="288">
      <c r="A288" s="317"/>
      <c r="B288" s="172"/>
      <c r="C288" s="160"/>
      <c r="D288" s="160"/>
      <c r="E288" s="160"/>
      <c r="F288" s="160"/>
      <c r="G288" s="160"/>
      <c r="H288" s="160"/>
      <c r="I288" s="172"/>
      <c r="J288" s="160"/>
      <c r="K288" s="172"/>
      <c r="L288" s="172"/>
      <c r="M288" s="172"/>
      <c r="N288" s="160"/>
      <c r="O288" s="160"/>
      <c r="P288" s="160"/>
      <c r="Q288" s="160"/>
      <c r="R288" s="160"/>
      <c r="S288" s="160"/>
      <c r="T288" s="18"/>
      <c r="U288" s="18"/>
      <c r="V288" s="18"/>
      <c r="W288" s="18"/>
      <c r="X288" s="18"/>
      <c r="Y288" s="18"/>
      <c r="Z288" s="18"/>
      <c r="AA288" s="18"/>
    </row>
    <row r="289">
      <c r="A289" s="317"/>
      <c r="B289" s="172"/>
      <c r="C289" s="160"/>
      <c r="D289" s="160"/>
      <c r="E289" s="160"/>
      <c r="F289" s="160"/>
      <c r="G289" s="160"/>
      <c r="H289" s="160"/>
      <c r="I289" s="172"/>
      <c r="J289" s="160"/>
      <c r="K289" s="172"/>
      <c r="L289" s="172"/>
      <c r="M289" s="172"/>
      <c r="N289" s="160"/>
      <c r="O289" s="160"/>
      <c r="P289" s="160"/>
      <c r="Q289" s="160"/>
      <c r="R289" s="160"/>
      <c r="S289" s="160"/>
      <c r="T289" s="18"/>
      <c r="U289" s="18"/>
      <c r="V289" s="18"/>
      <c r="W289" s="18"/>
      <c r="X289" s="18"/>
      <c r="Y289" s="18"/>
      <c r="Z289" s="18"/>
      <c r="AA289" s="18"/>
    </row>
    <row r="290">
      <c r="A290" s="317"/>
      <c r="B290" s="172"/>
      <c r="C290" s="160"/>
      <c r="D290" s="160"/>
      <c r="E290" s="160"/>
      <c r="F290" s="160"/>
      <c r="G290" s="160"/>
      <c r="H290" s="160"/>
      <c r="I290" s="172"/>
      <c r="J290" s="160"/>
      <c r="K290" s="172"/>
      <c r="L290" s="172"/>
      <c r="M290" s="172"/>
      <c r="N290" s="160"/>
      <c r="O290" s="160"/>
      <c r="P290" s="160"/>
      <c r="Q290" s="160"/>
      <c r="R290" s="160"/>
      <c r="S290" s="160"/>
      <c r="T290" s="18"/>
      <c r="U290" s="18"/>
      <c r="V290" s="18"/>
      <c r="W290" s="18"/>
      <c r="X290" s="18"/>
      <c r="Y290" s="18"/>
      <c r="Z290" s="18"/>
      <c r="AA290" s="18"/>
    </row>
    <row r="291">
      <c r="A291" s="317"/>
      <c r="B291" s="172"/>
      <c r="C291" s="160"/>
      <c r="D291" s="160"/>
      <c r="E291" s="160"/>
      <c r="F291" s="160"/>
      <c r="G291" s="160"/>
      <c r="H291" s="160"/>
      <c r="I291" s="172"/>
      <c r="J291" s="160"/>
      <c r="K291" s="172"/>
      <c r="L291" s="172"/>
      <c r="M291" s="172"/>
      <c r="N291" s="160"/>
      <c r="O291" s="160"/>
      <c r="P291" s="160"/>
      <c r="Q291" s="160"/>
      <c r="R291" s="160"/>
      <c r="S291" s="160"/>
      <c r="T291" s="18"/>
      <c r="U291" s="18"/>
      <c r="V291" s="18"/>
      <c r="W291" s="18"/>
      <c r="X291" s="18"/>
      <c r="Y291" s="18"/>
      <c r="Z291" s="18"/>
      <c r="AA291" s="18"/>
    </row>
    <row r="292">
      <c r="A292" s="317"/>
      <c r="B292" s="172"/>
      <c r="C292" s="160"/>
      <c r="D292" s="160"/>
      <c r="E292" s="160"/>
      <c r="F292" s="160"/>
      <c r="G292" s="160"/>
      <c r="H292" s="160"/>
      <c r="I292" s="172"/>
      <c r="J292" s="160"/>
      <c r="K292" s="172"/>
      <c r="L292" s="172"/>
      <c r="M292" s="172"/>
      <c r="N292" s="160"/>
      <c r="O292" s="160"/>
      <c r="P292" s="160"/>
      <c r="Q292" s="160"/>
      <c r="R292" s="160"/>
      <c r="S292" s="160"/>
      <c r="T292" s="18"/>
      <c r="U292" s="18"/>
      <c r="V292" s="18"/>
      <c r="W292" s="18"/>
      <c r="X292" s="18"/>
      <c r="Y292" s="18"/>
      <c r="Z292" s="18"/>
      <c r="AA292" s="18"/>
    </row>
    <row r="293">
      <c r="A293" s="317"/>
      <c r="B293" s="172"/>
      <c r="C293" s="160"/>
      <c r="D293" s="160"/>
      <c r="E293" s="160"/>
      <c r="F293" s="160"/>
      <c r="G293" s="160"/>
      <c r="H293" s="160"/>
      <c r="I293" s="172"/>
      <c r="J293" s="160"/>
      <c r="K293" s="172"/>
      <c r="L293" s="172"/>
      <c r="M293" s="172"/>
      <c r="N293" s="160"/>
      <c r="O293" s="160"/>
      <c r="P293" s="160"/>
      <c r="Q293" s="160"/>
      <c r="R293" s="160"/>
      <c r="S293" s="160"/>
      <c r="T293" s="18"/>
      <c r="U293" s="18"/>
      <c r="V293" s="18"/>
      <c r="W293" s="18"/>
      <c r="X293" s="18"/>
      <c r="Y293" s="18"/>
      <c r="Z293" s="18"/>
      <c r="AA293" s="18"/>
    </row>
    <row r="294">
      <c r="A294" s="317"/>
      <c r="B294" s="172"/>
      <c r="C294" s="160"/>
      <c r="D294" s="160"/>
      <c r="E294" s="160"/>
      <c r="F294" s="160"/>
      <c r="G294" s="160"/>
      <c r="H294" s="160"/>
      <c r="I294" s="172"/>
      <c r="J294" s="160"/>
      <c r="K294" s="172"/>
      <c r="L294" s="172"/>
      <c r="M294" s="172"/>
      <c r="N294" s="160"/>
      <c r="O294" s="160"/>
      <c r="P294" s="160"/>
      <c r="Q294" s="160"/>
      <c r="R294" s="160"/>
      <c r="S294" s="160"/>
      <c r="T294" s="18"/>
      <c r="U294" s="18"/>
      <c r="V294" s="18"/>
      <c r="W294" s="18"/>
      <c r="X294" s="18"/>
      <c r="Y294" s="18"/>
      <c r="Z294" s="18"/>
      <c r="AA294" s="18"/>
    </row>
    <row r="295">
      <c r="A295" s="317"/>
      <c r="B295" s="172"/>
      <c r="C295" s="160"/>
      <c r="D295" s="160"/>
      <c r="E295" s="160"/>
      <c r="F295" s="160"/>
      <c r="G295" s="160"/>
      <c r="H295" s="160"/>
      <c r="I295" s="172"/>
      <c r="J295" s="160"/>
      <c r="K295" s="172"/>
      <c r="L295" s="172"/>
      <c r="M295" s="172"/>
      <c r="N295" s="160"/>
      <c r="O295" s="160"/>
      <c r="P295" s="160"/>
      <c r="Q295" s="160"/>
      <c r="R295" s="160"/>
      <c r="S295" s="160"/>
      <c r="T295" s="18"/>
      <c r="U295" s="18"/>
      <c r="V295" s="18"/>
      <c r="W295" s="18"/>
      <c r="X295" s="18"/>
      <c r="Y295" s="18"/>
      <c r="Z295" s="18"/>
      <c r="AA295" s="18"/>
    </row>
    <row r="296">
      <c r="A296" s="317"/>
      <c r="B296" s="172"/>
      <c r="C296" s="160"/>
      <c r="D296" s="160"/>
      <c r="E296" s="160"/>
      <c r="F296" s="160"/>
      <c r="G296" s="160"/>
      <c r="H296" s="160"/>
      <c r="I296" s="172"/>
      <c r="J296" s="160"/>
      <c r="K296" s="172"/>
      <c r="L296" s="172"/>
      <c r="M296" s="172"/>
      <c r="N296" s="160"/>
      <c r="O296" s="160"/>
      <c r="P296" s="160"/>
      <c r="Q296" s="160"/>
      <c r="R296" s="160"/>
      <c r="S296" s="160"/>
      <c r="T296" s="18"/>
      <c r="U296" s="18"/>
      <c r="V296" s="18"/>
      <c r="W296" s="18"/>
      <c r="X296" s="18"/>
      <c r="Y296" s="18"/>
      <c r="Z296" s="18"/>
      <c r="AA296" s="18"/>
    </row>
    <row r="297">
      <c r="A297" s="317"/>
      <c r="B297" s="172"/>
      <c r="C297" s="160"/>
      <c r="D297" s="160"/>
      <c r="E297" s="160"/>
      <c r="F297" s="160"/>
      <c r="G297" s="160"/>
      <c r="H297" s="160"/>
      <c r="I297" s="172"/>
      <c r="J297" s="160"/>
      <c r="K297" s="172"/>
      <c r="L297" s="172"/>
      <c r="M297" s="172"/>
      <c r="N297" s="160"/>
      <c r="O297" s="160"/>
      <c r="P297" s="160"/>
      <c r="Q297" s="160"/>
      <c r="R297" s="160"/>
      <c r="S297" s="160"/>
      <c r="T297" s="18"/>
      <c r="U297" s="18"/>
      <c r="V297" s="18"/>
      <c r="W297" s="18"/>
      <c r="X297" s="18"/>
      <c r="Y297" s="18"/>
      <c r="Z297" s="18"/>
      <c r="AA297" s="18"/>
    </row>
    <row r="298">
      <c r="A298" s="317"/>
      <c r="B298" s="172"/>
      <c r="C298" s="160"/>
      <c r="D298" s="160"/>
      <c r="E298" s="160"/>
      <c r="F298" s="160"/>
      <c r="G298" s="160"/>
      <c r="H298" s="160"/>
      <c r="I298" s="172"/>
      <c r="J298" s="160"/>
      <c r="K298" s="172"/>
      <c r="L298" s="172"/>
      <c r="M298" s="172"/>
      <c r="N298" s="160"/>
      <c r="O298" s="160"/>
      <c r="P298" s="160"/>
      <c r="Q298" s="160"/>
      <c r="R298" s="160"/>
      <c r="S298" s="160"/>
      <c r="T298" s="18"/>
      <c r="U298" s="18"/>
      <c r="V298" s="18"/>
      <c r="W298" s="18"/>
      <c r="X298" s="18"/>
      <c r="Y298" s="18"/>
      <c r="Z298" s="18"/>
      <c r="AA298" s="18"/>
    </row>
    <row r="299">
      <c r="A299" s="317"/>
      <c r="B299" s="172"/>
      <c r="C299" s="160"/>
      <c r="D299" s="160"/>
      <c r="E299" s="160"/>
      <c r="F299" s="160"/>
      <c r="G299" s="160"/>
      <c r="H299" s="160"/>
      <c r="I299" s="172"/>
      <c r="J299" s="160"/>
      <c r="K299" s="172"/>
      <c r="L299" s="172"/>
      <c r="M299" s="172"/>
      <c r="N299" s="160"/>
      <c r="O299" s="160"/>
      <c r="P299" s="160"/>
      <c r="Q299" s="160"/>
      <c r="R299" s="160"/>
      <c r="S299" s="160"/>
      <c r="T299" s="18"/>
      <c r="U299" s="18"/>
      <c r="V299" s="18"/>
      <c r="W299" s="18"/>
      <c r="X299" s="18"/>
      <c r="Y299" s="18"/>
      <c r="Z299" s="18"/>
      <c r="AA299" s="18"/>
    </row>
    <row r="300">
      <c r="A300" s="317"/>
      <c r="B300" s="172"/>
      <c r="C300" s="160"/>
      <c r="D300" s="160"/>
      <c r="E300" s="160"/>
      <c r="F300" s="160"/>
      <c r="G300" s="160"/>
      <c r="H300" s="160"/>
      <c r="I300" s="172"/>
      <c r="J300" s="160"/>
      <c r="K300" s="172"/>
      <c r="L300" s="172"/>
      <c r="M300" s="172"/>
      <c r="N300" s="160"/>
      <c r="O300" s="160"/>
      <c r="P300" s="160"/>
      <c r="Q300" s="160"/>
      <c r="R300" s="160"/>
      <c r="S300" s="160"/>
      <c r="T300" s="18"/>
      <c r="U300" s="18"/>
      <c r="V300" s="18"/>
      <c r="W300" s="18"/>
      <c r="X300" s="18"/>
      <c r="Y300" s="18"/>
      <c r="Z300" s="18"/>
      <c r="AA300" s="18"/>
    </row>
    <row r="301">
      <c r="A301" s="317"/>
      <c r="B301" s="172"/>
      <c r="C301" s="160"/>
      <c r="D301" s="160"/>
      <c r="E301" s="160"/>
      <c r="F301" s="160"/>
      <c r="G301" s="160"/>
      <c r="H301" s="160"/>
      <c r="I301" s="172"/>
      <c r="J301" s="160"/>
      <c r="K301" s="172"/>
      <c r="L301" s="172"/>
      <c r="M301" s="172"/>
      <c r="N301" s="160"/>
      <c r="O301" s="160"/>
      <c r="P301" s="160"/>
      <c r="Q301" s="160"/>
      <c r="R301" s="160"/>
      <c r="S301" s="160"/>
      <c r="T301" s="18"/>
      <c r="U301" s="18"/>
      <c r="V301" s="18"/>
      <c r="W301" s="18"/>
      <c r="X301" s="18"/>
      <c r="Y301" s="18"/>
      <c r="Z301" s="18"/>
      <c r="AA301" s="18"/>
    </row>
    <row r="302">
      <c r="A302" s="317"/>
      <c r="B302" s="172"/>
      <c r="C302" s="160"/>
      <c r="D302" s="160"/>
      <c r="E302" s="160"/>
      <c r="F302" s="160"/>
      <c r="G302" s="160"/>
      <c r="H302" s="160"/>
      <c r="I302" s="172"/>
      <c r="J302" s="160"/>
      <c r="K302" s="172"/>
      <c r="L302" s="172"/>
      <c r="M302" s="172"/>
      <c r="N302" s="160"/>
      <c r="O302" s="160"/>
      <c r="P302" s="160"/>
      <c r="Q302" s="160"/>
      <c r="R302" s="160"/>
      <c r="S302" s="160"/>
      <c r="T302" s="18"/>
      <c r="U302" s="18"/>
      <c r="V302" s="18"/>
      <c r="W302" s="18"/>
      <c r="X302" s="18"/>
      <c r="Y302" s="18"/>
      <c r="Z302" s="18"/>
      <c r="AA302" s="18"/>
    </row>
    <row r="303">
      <c r="A303" s="317"/>
      <c r="B303" s="172"/>
      <c r="C303" s="160"/>
      <c r="D303" s="160"/>
      <c r="E303" s="160"/>
      <c r="F303" s="160"/>
      <c r="G303" s="160"/>
      <c r="H303" s="160"/>
      <c r="I303" s="172"/>
      <c r="J303" s="160"/>
      <c r="K303" s="172"/>
      <c r="L303" s="172"/>
      <c r="M303" s="172"/>
      <c r="N303" s="160"/>
      <c r="O303" s="160"/>
      <c r="P303" s="160"/>
      <c r="Q303" s="160"/>
      <c r="R303" s="160"/>
      <c r="S303" s="160"/>
      <c r="T303" s="18"/>
      <c r="U303" s="18"/>
      <c r="V303" s="18"/>
      <c r="W303" s="18"/>
      <c r="X303" s="18"/>
      <c r="Y303" s="18"/>
      <c r="Z303" s="18"/>
      <c r="AA303" s="18"/>
    </row>
    <row r="304">
      <c r="A304" s="317"/>
      <c r="B304" s="172"/>
      <c r="C304" s="160"/>
      <c r="D304" s="160"/>
      <c r="E304" s="160"/>
      <c r="F304" s="160"/>
      <c r="G304" s="160"/>
      <c r="H304" s="160"/>
      <c r="I304" s="172"/>
      <c r="J304" s="160"/>
      <c r="K304" s="172"/>
      <c r="L304" s="172"/>
      <c r="M304" s="172"/>
      <c r="N304" s="160"/>
      <c r="O304" s="160"/>
      <c r="P304" s="160"/>
      <c r="Q304" s="160"/>
      <c r="R304" s="160"/>
      <c r="S304" s="160"/>
      <c r="T304" s="18"/>
      <c r="U304" s="18"/>
      <c r="V304" s="18"/>
      <c r="W304" s="18"/>
      <c r="X304" s="18"/>
      <c r="Y304" s="18"/>
      <c r="Z304" s="18"/>
      <c r="AA304" s="18"/>
    </row>
    <row r="305">
      <c r="A305" s="317"/>
      <c r="B305" s="172"/>
      <c r="C305" s="160"/>
      <c r="D305" s="160"/>
      <c r="E305" s="160"/>
      <c r="F305" s="160"/>
      <c r="G305" s="160"/>
      <c r="H305" s="160"/>
      <c r="I305" s="172"/>
      <c r="J305" s="160"/>
      <c r="K305" s="172"/>
      <c r="L305" s="172"/>
      <c r="M305" s="172"/>
      <c r="N305" s="160"/>
      <c r="O305" s="160"/>
      <c r="P305" s="160"/>
      <c r="Q305" s="160"/>
      <c r="R305" s="160"/>
      <c r="S305" s="160"/>
      <c r="T305" s="18"/>
      <c r="U305" s="18"/>
      <c r="V305" s="18"/>
      <c r="W305" s="18"/>
      <c r="X305" s="18"/>
      <c r="Y305" s="18"/>
      <c r="Z305" s="18"/>
      <c r="AA305" s="18"/>
    </row>
    <row r="306">
      <c r="A306" s="317"/>
      <c r="B306" s="172"/>
      <c r="C306" s="160"/>
      <c r="D306" s="160"/>
      <c r="E306" s="160"/>
      <c r="F306" s="160"/>
      <c r="G306" s="160"/>
      <c r="H306" s="160"/>
      <c r="I306" s="172"/>
      <c r="J306" s="160"/>
      <c r="K306" s="172"/>
      <c r="L306" s="172"/>
      <c r="M306" s="172"/>
      <c r="N306" s="160"/>
      <c r="O306" s="160"/>
      <c r="P306" s="160"/>
      <c r="Q306" s="160"/>
      <c r="R306" s="160"/>
      <c r="S306" s="160"/>
      <c r="T306" s="18"/>
      <c r="U306" s="18"/>
      <c r="V306" s="18"/>
      <c r="W306" s="18"/>
      <c r="X306" s="18"/>
      <c r="Y306" s="18"/>
      <c r="Z306" s="18"/>
      <c r="AA306" s="18"/>
    </row>
    <row r="307">
      <c r="A307" s="317"/>
      <c r="B307" s="172"/>
      <c r="C307" s="160"/>
      <c r="D307" s="160"/>
      <c r="E307" s="160"/>
      <c r="F307" s="160"/>
      <c r="G307" s="160"/>
      <c r="H307" s="160"/>
      <c r="I307" s="172"/>
      <c r="J307" s="160"/>
      <c r="K307" s="172"/>
      <c r="L307" s="172"/>
      <c r="M307" s="172"/>
      <c r="N307" s="160"/>
      <c r="O307" s="160"/>
      <c r="P307" s="160"/>
      <c r="Q307" s="160"/>
      <c r="R307" s="160"/>
      <c r="S307" s="160"/>
      <c r="T307" s="18"/>
      <c r="U307" s="18"/>
      <c r="V307" s="18"/>
      <c r="W307" s="18"/>
      <c r="X307" s="18"/>
      <c r="Y307" s="18"/>
      <c r="Z307" s="18"/>
      <c r="AA307" s="18"/>
    </row>
    <row r="308">
      <c r="A308" s="317"/>
      <c r="B308" s="172"/>
      <c r="C308" s="160"/>
      <c r="D308" s="160"/>
      <c r="E308" s="160"/>
      <c r="F308" s="160"/>
      <c r="G308" s="160"/>
      <c r="H308" s="160"/>
      <c r="I308" s="172"/>
      <c r="J308" s="160"/>
      <c r="K308" s="172"/>
      <c r="L308" s="172"/>
      <c r="M308" s="172"/>
      <c r="N308" s="160"/>
      <c r="O308" s="160"/>
      <c r="P308" s="160"/>
      <c r="Q308" s="160"/>
      <c r="R308" s="160"/>
      <c r="S308" s="160"/>
      <c r="T308" s="18"/>
      <c r="U308" s="18"/>
      <c r="V308" s="18"/>
      <c r="W308" s="18"/>
      <c r="X308" s="18"/>
      <c r="Y308" s="18"/>
      <c r="Z308" s="18"/>
      <c r="AA308" s="18"/>
    </row>
    <row r="309">
      <c r="A309" s="317"/>
      <c r="B309" s="172"/>
      <c r="C309" s="160"/>
      <c r="D309" s="160"/>
      <c r="E309" s="160"/>
      <c r="F309" s="160"/>
      <c r="G309" s="160"/>
      <c r="H309" s="160"/>
      <c r="I309" s="172"/>
      <c r="J309" s="160"/>
      <c r="K309" s="172"/>
      <c r="L309" s="172"/>
      <c r="M309" s="172"/>
      <c r="N309" s="160"/>
      <c r="O309" s="160"/>
      <c r="P309" s="160"/>
      <c r="Q309" s="160"/>
      <c r="R309" s="160"/>
      <c r="S309" s="160"/>
      <c r="T309" s="18"/>
      <c r="U309" s="18"/>
      <c r="V309" s="18"/>
      <c r="W309" s="18"/>
      <c r="X309" s="18"/>
      <c r="Y309" s="18"/>
      <c r="Z309" s="18"/>
      <c r="AA309" s="18"/>
    </row>
    <row r="310">
      <c r="A310" s="317"/>
      <c r="B310" s="172"/>
      <c r="C310" s="160"/>
      <c r="D310" s="160"/>
      <c r="E310" s="160"/>
      <c r="F310" s="160"/>
      <c r="G310" s="160"/>
      <c r="H310" s="160"/>
      <c r="I310" s="172"/>
      <c r="J310" s="160"/>
      <c r="K310" s="172"/>
      <c r="L310" s="172"/>
      <c r="M310" s="172"/>
      <c r="N310" s="160"/>
      <c r="O310" s="160"/>
      <c r="P310" s="160"/>
      <c r="Q310" s="160"/>
      <c r="R310" s="160"/>
      <c r="S310" s="160"/>
      <c r="T310" s="18"/>
      <c r="U310" s="18"/>
      <c r="V310" s="18"/>
      <c r="W310" s="18"/>
      <c r="X310" s="18"/>
      <c r="Y310" s="18"/>
      <c r="Z310" s="18"/>
      <c r="AA310" s="18"/>
    </row>
    <row r="311">
      <c r="A311" s="317"/>
      <c r="B311" s="172"/>
      <c r="C311" s="160"/>
      <c r="D311" s="160"/>
      <c r="E311" s="160"/>
      <c r="F311" s="160"/>
      <c r="G311" s="160"/>
      <c r="H311" s="160"/>
      <c r="I311" s="172"/>
      <c r="J311" s="160"/>
      <c r="K311" s="172"/>
      <c r="L311" s="172"/>
      <c r="M311" s="172"/>
      <c r="N311" s="160"/>
      <c r="O311" s="160"/>
      <c r="P311" s="160"/>
      <c r="Q311" s="160"/>
      <c r="R311" s="160"/>
      <c r="S311" s="160"/>
      <c r="T311" s="18"/>
      <c r="U311" s="18"/>
      <c r="V311" s="18"/>
      <c r="W311" s="18"/>
      <c r="X311" s="18"/>
      <c r="Y311" s="18"/>
      <c r="Z311" s="18"/>
      <c r="AA311" s="18"/>
    </row>
    <row r="312">
      <c r="A312" s="317"/>
      <c r="B312" s="172"/>
      <c r="C312" s="160"/>
      <c r="D312" s="160"/>
      <c r="E312" s="160"/>
      <c r="F312" s="160"/>
      <c r="G312" s="160"/>
      <c r="H312" s="160"/>
      <c r="I312" s="172"/>
      <c r="J312" s="160"/>
      <c r="K312" s="172"/>
      <c r="L312" s="172"/>
      <c r="M312" s="172"/>
      <c r="N312" s="160"/>
      <c r="O312" s="160"/>
      <c r="P312" s="160"/>
      <c r="Q312" s="160"/>
      <c r="R312" s="160"/>
      <c r="S312" s="160"/>
      <c r="T312" s="18"/>
      <c r="U312" s="18"/>
      <c r="V312" s="18"/>
      <c r="W312" s="18"/>
      <c r="X312" s="18"/>
      <c r="Y312" s="18"/>
      <c r="Z312" s="18"/>
      <c r="AA312" s="18"/>
    </row>
    <row r="313">
      <c r="A313" s="317"/>
      <c r="B313" s="172"/>
      <c r="C313" s="160"/>
      <c r="D313" s="160"/>
      <c r="E313" s="160"/>
      <c r="F313" s="160"/>
      <c r="G313" s="160"/>
      <c r="H313" s="160"/>
      <c r="I313" s="172"/>
      <c r="J313" s="160"/>
      <c r="K313" s="172"/>
      <c r="L313" s="172"/>
      <c r="M313" s="172"/>
      <c r="N313" s="160"/>
      <c r="O313" s="160"/>
      <c r="P313" s="160"/>
      <c r="Q313" s="160"/>
      <c r="R313" s="160"/>
      <c r="S313" s="160"/>
      <c r="T313" s="18"/>
      <c r="U313" s="18"/>
      <c r="V313" s="18"/>
      <c r="W313" s="18"/>
      <c r="X313" s="18"/>
      <c r="Y313" s="18"/>
      <c r="Z313" s="18"/>
      <c r="AA313" s="18"/>
    </row>
    <row r="314">
      <c r="A314" s="317"/>
      <c r="B314" s="172"/>
      <c r="C314" s="160"/>
      <c r="D314" s="160"/>
      <c r="E314" s="160"/>
      <c r="F314" s="160"/>
      <c r="G314" s="160"/>
      <c r="H314" s="160"/>
      <c r="I314" s="172"/>
      <c r="J314" s="160"/>
      <c r="K314" s="172"/>
      <c r="L314" s="172"/>
      <c r="M314" s="172"/>
      <c r="N314" s="160"/>
      <c r="O314" s="160"/>
      <c r="P314" s="160"/>
      <c r="Q314" s="160"/>
      <c r="R314" s="160"/>
      <c r="S314" s="160"/>
      <c r="T314" s="18"/>
      <c r="U314" s="18"/>
      <c r="V314" s="18"/>
      <c r="W314" s="18"/>
      <c r="X314" s="18"/>
      <c r="Y314" s="18"/>
      <c r="Z314" s="18"/>
      <c r="AA314" s="18"/>
    </row>
    <row r="315">
      <c r="A315" s="317"/>
      <c r="B315" s="172"/>
      <c r="C315" s="160"/>
      <c r="D315" s="160"/>
      <c r="E315" s="160"/>
      <c r="F315" s="160"/>
      <c r="G315" s="160"/>
      <c r="H315" s="160"/>
      <c r="I315" s="172"/>
      <c r="J315" s="160"/>
      <c r="K315" s="172"/>
      <c r="L315" s="172"/>
      <c r="M315" s="172"/>
      <c r="N315" s="160"/>
      <c r="O315" s="160"/>
      <c r="P315" s="160"/>
      <c r="Q315" s="160"/>
      <c r="R315" s="160"/>
      <c r="S315" s="160"/>
      <c r="T315" s="18"/>
      <c r="U315" s="18"/>
      <c r="V315" s="18"/>
      <c r="W315" s="18"/>
      <c r="X315" s="18"/>
      <c r="Y315" s="18"/>
      <c r="Z315" s="18"/>
      <c r="AA315" s="18"/>
    </row>
    <row r="316">
      <c r="A316" s="317"/>
      <c r="B316" s="172"/>
      <c r="C316" s="160"/>
      <c r="D316" s="160"/>
      <c r="E316" s="160"/>
      <c r="F316" s="160"/>
      <c r="G316" s="160"/>
      <c r="H316" s="160"/>
      <c r="I316" s="172"/>
      <c r="J316" s="160"/>
      <c r="K316" s="172"/>
      <c r="L316" s="172"/>
      <c r="M316" s="172"/>
      <c r="N316" s="160"/>
      <c r="O316" s="160"/>
      <c r="P316" s="160"/>
      <c r="Q316" s="160"/>
      <c r="R316" s="160"/>
      <c r="S316" s="160"/>
      <c r="T316" s="18"/>
      <c r="U316" s="18"/>
      <c r="V316" s="18"/>
      <c r="W316" s="18"/>
      <c r="X316" s="18"/>
      <c r="Y316" s="18"/>
      <c r="Z316" s="18"/>
      <c r="AA316" s="18"/>
    </row>
    <row r="317">
      <c r="A317" s="317"/>
      <c r="B317" s="172"/>
      <c r="C317" s="160"/>
      <c r="D317" s="160"/>
      <c r="E317" s="160"/>
      <c r="F317" s="160"/>
      <c r="G317" s="160"/>
      <c r="H317" s="160"/>
      <c r="I317" s="172"/>
      <c r="J317" s="160"/>
      <c r="K317" s="172"/>
      <c r="L317" s="172"/>
      <c r="M317" s="172"/>
      <c r="N317" s="160"/>
      <c r="O317" s="160"/>
      <c r="P317" s="160"/>
      <c r="Q317" s="160"/>
      <c r="R317" s="160"/>
      <c r="S317" s="160"/>
      <c r="T317" s="18"/>
      <c r="U317" s="18"/>
      <c r="V317" s="18"/>
      <c r="W317" s="18"/>
      <c r="X317" s="18"/>
      <c r="Y317" s="18"/>
      <c r="Z317" s="18"/>
      <c r="AA317" s="18"/>
    </row>
    <row r="318">
      <c r="A318" s="317"/>
      <c r="B318" s="172"/>
      <c r="C318" s="160"/>
      <c r="D318" s="160"/>
      <c r="E318" s="160"/>
      <c r="F318" s="160"/>
      <c r="G318" s="160"/>
      <c r="H318" s="160"/>
      <c r="I318" s="172"/>
      <c r="J318" s="160"/>
      <c r="K318" s="172"/>
      <c r="L318" s="172"/>
      <c r="M318" s="172"/>
      <c r="N318" s="160"/>
      <c r="O318" s="160"/>
      <c r="P318" s="160"/>
      <c r="Q318" s="160"/>
      <c r="R318" s="160"/>
      <c r="S318" s="160"/>
      <c r="T318" s="18"/>
      <c r="U318" s="18"/>
      <c r="V318" s="18"/>
      <c r="W318" s="18"/>
      <c r="X318" s="18"/>
      <c r="Y318" s="18"/>
      <c r="Z318" s="18"/>
      <c r="AA318" s="18"/>
    </row>
    <row r="319">
      <c r="A319" s="317"/>
      <c r="B319" s="172"/>
      <c r="C319" s="160"/>
      <c r="D319" s="160"/>
      <c r="E319" s="160"/>
      <c r="F319" s="160"/>
      <c r="G319" s="160"/>
      <c r="H319" s="160"/>
      <c r="I319" s="172"/>
      <c r="J319" s="160"/>
      <c r="K319" s="172"/>
      <c r="L319" s="172"/>
      <c r="M319" s="172"/>
      <c r="N319" s="160"/>
      <c r="O319" s="160"/>
      <c r="P319" s="160"/>
      <c r="Q319" s="160"/>
      <c r="R319" s="160"/>
      <c r="S319" s="160"/>
      <c r="T319" s="18"/>
      <c r="U319" s="18"/>
      <c r="V319" s="18"/>
      <c r="W319" s="18"/>
      <c r="X319" s="18"/>
      <c r="Y319" s="18"/>
      <c r="Z319" s="18"/>
      <c r="AA319" s="18"/>
    </row>
    <row r="320">
      <c r="A320" s="317"/>
      <c r="B320" s="172"/>
      <c r="C320" s="160"/>
      <c r="D320" s="160"/>
      <c r="E320" s="160"/>
      <c r="F320" s="160"/>
      <c r="G320" s="160"/>
      <c r="H320" s="160"/>
      <c r="I320" s="172"/>
      <c r="J320" s="160"/>
      <c r="K320" s="172"/>
      <c r="L320" s="172"/>
      <c r="M320" s="172"/>
      <c r="N320" s="160"/>
      <c r="O320" s="160"/>
      <c r="P320" s="160"/>
      <c r="Q320" s="160"/>
      <c r="R320" s="160"/>
      <c r="S320" s="160"/>
      <c r="T320" s="18"/>
      <c r="U320" s="18"/>
      <c r="V320" s="18"/>
      <c r="W320" s="18"/>
      <c r="X320" s="18"/>
      <c r="Y320" s="18"/>
      <c r="Z320" s="18"/>
      <c r="AA320" s="18"/>
    </row>
    <row r="321">
      <c r="A321" s="317"/>
      <c r="B321" s="172"/>
      <c r="C321" s="160"/>
      <c r="D321" s="160"/>
      <c r="E321" s="160"/>
      <c r="F321" s="160"/>
      <c r="G321" s="160"/>
      <c r="H321" s="160"/>
      <c r="I321" s="172"/>
      <c r="J321" s="160"/>
      <c r="K321" s="172"/>
      <c r="L321" s="172"/>
      <c r="M321" s="172"/>
      <c r="N321" s="160"/>
      <c r="O321" s="160"/>
      <c r="P321" s="160"/>
      <c r="Q321" s="160"/>
      <c r="R321" s="160"/>
      <c r="S321" s="160"/>
      <c r="T321" s="18"/>
      <c r="U321" s="18"/>
      <c r="V321" s="18"/>
      <c r="W321" s="18"/>
      <c r="X321" s="18"/>
      <c r="Y321" s="18"/>
      <c r="Z321" s="18"/>
      <c r="AA321" s="18"/>
    </row>
    <row r="322">
      <c r="A322" s="317"/>
      <c r="B322" s="172"/>
      <c r="C322" s="160"/>
      <c r="D322" s="160"/>
      <c r="E322" s="160"/>
      <c r="F322" s="160"/>
      <c r="G322" s="160"/>
      <c r="H322" s="160"/>
      <c r="I322" s="172"/>
      <c r="J322" s="160"/>
      <c r="K322" s="172"/>
      <c r="L322" s="172"/>
      <c r="M322" s="172"/>
      <c r="N322" s="160"/>
      <c r="O322" s="160"/>
      <c r="P322" s="160"/>
      <c r="Q322" s="160"/>
      <c r="R322" s="160"/>
      <c r="S322" s="160"/>
      <c r="T322" s="18"/>
      <c r="U322" s="18"/>
      <c r="V322" s="18"/>
      <c r="W322" s="18"/>
      <c r="X322" s="18"/>
      <c r="Y322" s="18"/>
      <c r="Z322" s="18"/>
      <c r="AA322" s="18"/>
    </row>
    <row r="323">
      <c r="A323" s="317"/>
      <c r="B323" s="172"/>
      <c r="C323" s="160"/>
      <c r="D323" s="160"/>
      <c r="E323" s="160"/>
      <c r="F323" s="160"/>
      <c r="G323" s="160"/>
      <c r="H323" s="160"/>
      <c r="I323" s="172"/>
      <c r="J323" s="160"/>
      <c r="K323" s="172"/>
      <c r="L323" s="172"/>
      <c r="M323" s="172"/>
      <c r="N323" s="160"/>
      <c r="O323" s="160"/>
      <c r="P323" s="160"/>
      <c r="Q323" s="160"/>
      <c r="R323" s="160"/>
      <c r="S323" s="160"/>
      <c r="T323" s="18"/>
      <c r="U323" s="18"/>
      <c r="V323" s="18"/>
      <c r="W323" s="18"/>
      <c r="X323" s="18"/>
      <c r="Y323" s="18"/>
      <c r="Z323" s="18"/>
      <c r="AA323" s="18"/>
    </row>
    <row r="324">
      <c r="A324" s="317"/>
      <c r="B324" s="172"/>
      <c r="C324" s="160"/>
      <c r="D324" s="160"/>
      <c r="E324" s="160"/>
      <c r="F324" s="160"/>
      <c r="G324" s="160"/>
      <c r="H324" s="160"/>
      <c r="I324" s="172"/>
      <c r="J324" s="160"/>
      <c r="K324" s="172"/>
      <c r="L324" s="172"/>
      <c r="M324" s="172"/>
      <c r="N324" s="160"/>
      <c r="O324" s="160"/>
      <c r="P324" s="160"/>
      <c r="Q324" s="160"/>
      <c r="R324" s="160"/>
      <c r="S324" s="160"/>
      <c r="T324" s="18"/>
      <c r="U324" s="18"/>
      <c r="V324" s="18"/>
      <c r="W324" s="18"/>
      <c r="X324" s="18"/>
      <c r="Y324" s="18"/>
      <c r="Z324" s="18"/>
      <c r="AA324" s="18"/>
    </row>
    <row r="325">
      <c r="A325" s="317"/>
      <c r="B325" s="172"/>
      <c r="C325" s="160"/>
      <c r="D325" s="160"/>
      <c r="E325" s="160"/>
      <c r="F325" s="160"/>
      <c r="G325" s="160"/>
      <c r="H325" s="160"/>
      <c r="I325" s="172"/>
      <c r="J325" s="160"/>
      <c r="K325" s="172"/>
      <c r="L325" s="172"/>
      <c r="M325" s="172"/>
      <c r="N325" s="160"/>
      <c r="O325" s="160"/>
      <c r="P325" s="160"/>
      <c r="Q325" s="160"/>
      <c r="R325" s="160"/>
      <c r="S325" s="160"/>
      <c r="T325" s="18"/>
      <c r="U325" s="18"/>
      <c r="V325" s="18"/>
      <c r="W325" s="18"/>
      <c r="X325" s="18"/>
      <c r="Y325" s="18"/>
      <c r="Z325" s="18"/>
      <c r="AA325" s="18"/>
    </row>
    <row r="326">
      <c r="A326" s="317"/>
      <c r="B326" s="172"/>
      <c r="C326" s="160"/>
      <c r="D326" s="160"/>
      <c r="E326" s="160"/>
      <c r="F326" s="160"/>
      <c r="G326" s="160"/>
      <c r="H326" s="160"/>
      <c r="I326" s="172"/>
      <c r="J326" s="160"/>
      <c r="K326" s="172"/>
      <c r="L326" s="172"/>
      <c r="M326" s="172"/>
      <c r="N326" s="160"/>
      <c r="O326" s="160"/>
      <c r="P326" s="160"/>
      <c r="Q326" s="160"/>
      <c r="R326" s="160"/>
      <c r="S326" s="160"/>
      <c r="T326" s="18"/>
      <c r="U326" s="18"/>
      <c r="V326" s="18"/>
      <c r="W326" s="18"/>
      <c r="X326" s="18"/>
      <c r="Y326" s="18"/>
      <c r="Z326" s="18"/>
      <c r="AA326" s="18"/>
    </row>
    <row r="327">
      <c r="A327" s="317"/>
      <c r="B327" s="172"/>
      <c r="C327" s="160"/>
      <c r="D327" s="160"/>
      <c r="E327" s="160"/>
      <c r="F327" s="160"/>
      <c r="G327" s="160"/>
      <c r="H327" s="160"/>
      <c r="I327" s="172"/>
      <c r="J327" s="160"/>
      <c r="K327" s="172"/>
      <c r="L327" s="172"/>
      <c r="M327" s="172"/>
      <c r="N327" s="160"/>
      <c r="O327" s="160"/>
      <c r="P327" s="160"/>
      <c r="Q327" s="160"/>
      <c r="R327" s="160"/>
      <c r="S327" s="160"/>
      <c r="T327" s="18"/>
      <c r="U327" s="18"/>
      <c r="V327" s="18"/>
      <c r="W327" s="18"/>
      <c r="X327" s="18"/>
      <c r="Y327" s="18"/>
      <c r="Z327" s="18"/>
      <c r="AA327" s="18"/>
    </row>
    <row r="328">
      <c r="A328" s="317"/>
      <c r="B328" s="172"/>
      <c r="C328" s="160"/>
      <c r="D328" s="160"/>
      <c r="E328" s="160"/>
      <c r="F328" s="160"/>
      <c r="G328" s="160"/>
      <c r="H328" s="160"/>
      <c r="I328" s="172"/>
      <c r="J328" s="160"/>
      <c r="K328" s="172"/>
      <c r="L328" s="172"/>
      <c r="M328" s="172"/>
      <c r="N328" s="160"/>
      <c r="O328" s="160"/>
      <c r="P328" s="160"/>
      <c r="Q328" s="160"/>
      <c r="R328" s="160"/>
      <c r="S328" s="160"/>
      <c r="T328" s="18"/>
      <c r="U328" s="18"/>
      <c r="V328" s="18"/>
      <c r="W328" s="18"/>
      <c r="X328" s="18"/>
      <c r="Y328" s="18"/>
      <c r="Z328" s="18"/>
      <c r="AA328" s="18"/>
    </row>
    <row r="329">
      <c r="A329" s="317"/>
      <c r="B329" s="172"/>
      <c r="C329" s="160"/>
      <c r="D329" s="160"/>
      <c r="E329" s="160"/>
      <c r="F329" s="160"/>
      <c r="G329" s="160"/>
      <c r="H329" s="160"/>
      <c r="I329" s="172"/>
      <c r="J329" s="160"/>
      <c r="K329" s="172"/>
      <c r="L329" s="172"/>
      <c r="M329" s="172"/>
      <c r="N329" s="160"/>
      <c r="O329" s="160"/>
      <c r="P329" s="160"/>
      <c r="Q329" s="160"/>
      <c r="R329" s="160"/>
      <c r="S329" s="160"/>
      <c r="T329" s="18"/>
      <c r="U329" s="18"/>
      <c r="V329" s="18"/>
      <c r="W329" s="18"/>
      <c r="X329" s="18"/>
      <c r="Y329" s="18"/>
      <c r="Z329" s="18"/>
      <c r="AA329" s="18"/>
    </row>
    <row r="330">
      <c r="A330" s="317"/>
      <c r="B330" s="172"/>
      <c r="C330" s="160"/>
      <c r="D330" s="160"/>
      <c r="E330" s="160"/>
      <c r="F330" s="160"/>
      <c r="G330" s="160"/>
      <c r="H330" s="160"/>
      <c r="I330" s="172"/>
      <c r="J330" s="160"/>
      <c r="K330" s="172"/>
      <c r="L330" s="172"/>
      <c r="M330" s="172"/>
      <c r="N330" s="160"/>
      <c r="O330" s="160"/>
      <c r="P330" s="160"/>
      <c r="Q330" s="160"/>
      <c r="R330" s="160"/>
      <c r="S330" s="160"/>
      <c r="T330" s="18"/>
      <c r="U330" s="18"/>
      <c r="V330" s="18"/>
      <c r="W330" s="18"/>
      <c r="X330" s="18"/>
      <c r="Y330" s="18"/>
      <c r="Z330" s="18"/>
      <c r="AA330" s="18"/>
    </row>
    <row r="331">
      <c r="A331" s="317"/>
      <c r="B331" s="172"/>
      <c r="C331" s="160"/>
      <c r="D331" s="160"/>
      <c r="E331" s="160"/>
      <c r="F331" s="160"/>
      <c r="G331" s="160"/>
      <c r="H331" s="160"/>
      <c r="I331" s="172"/>
      <c r="J331" s="160"/>
      <c r="K331" s="172"/>
      <c r="L331" s="172"/>
      <c r="M331" s="172"/>
      <c r="N331" s="160"/>
      <c r="O331" s="160"/>
      <c r="P331" s="160"/>
      <c r="Q331" s="160"/>
      <c r="R331" s="160"/>
      <c r="S331" s="160"/>
      <c r="T331" s="18"/>
      <c r="U331" s="18"/>
      <c r="V331" s="18"/>
      <c r="W331" s="18"/>
      <c r="X331" s="18"/>
      <c r="Y331" s="18"/>
      <c r="Z331" s="18"/>
      <c r="AA331" s="18"/>
    </row>
    <row r="332">
      <c r="A332" s="317"/>
      <c r="B332" s="172"/>
      <c r="C332" s="160"/>
      <c r="D332" s="160"/>
      <c r="E332" s="160"/>
      <c r="F332" s="160"/>
      <c r="G332" s="160"/>
      <c r="H332" s="160"/>
      <c r="I332" s="172"/>
      <c r="J332" s="160"/>
      <c r="K332" s="172"/>
      <c r="L332" s="172"/>
      <c r="M332" s="172"/>
      <c r="N332" s="160"/>
      <c r="O332" s="160"/>
      <c r="P332" s="160"/>
      <c r="Q332" s="160"/>
      <c r="R332" s="160"/>
      <c r="S332" s="160"/>
      <c r="T332" s="18"/>
      <c r="U332" s="18"/>
      <c r="V332" s="18"/>
      <c r="W332" s="18"/>
      <c r="X332" s="18"/>
      <c r="Y332" s="18"/>
      <c r="Z332" s="18"/>
      <c r="AA332" s="18"/>
    </row>
    <row r="333">
      <c r="A333" s="317"/>
      <c r="B333" s="172"/>
      <c r="C333" s="160"/>
      <c r="D333" s="160"/>
      <c r="E333" s="160"/>
      <c r="F333" s="160"/>
      <c r="G333" s="160"/>
      <c r="H333" s="160"/>
      <c r="I333" s="172"/>
      <c r="J333" s="160"/>
      <c r="K333" s="172"/>
      <c r="L333" s="172"/>
      <c r="M333" s="172"/>
      <c r="N333" s="160"/>
      <c r="O333" s="160"/>
      <c r="P333" s="160"/>
      <c r="Q333" s="160"/>
      <c r="R333" s="160"/>
      <c r="S333" s="160"/>
      <c r="T333" s="18"/>
      <c r="U333" s="18"/>
      <c r="V333" s="18"/>
      <c r="W333" s="18"/>
      <c r="X333" s="18"/>
      <c r="Y333" s="18"/>
      <c r="Z333" s="18"/>
      <c r="AA333" s="18"/>
    </row>
    <row r="334">
      <c r="A334" s="317"/>
      <c r="B334" s="172"/>
      <c r="C334" s="160"/>
      <c r="D334" s="160"/>
      <c r="E334" s="160"/>
      <c r="F334" s="160"/>
      <c r="G334" s="160"/>
      <c r="H334" s="160"/>
      <c r="I334" s="172"/>
      <c r="J334" s="160"/>
      <c r="K334" s="172"/>
      <c r="L334" s="172"/>
      <c r="M334" s="172"/>
      <c r="N334" s="160"/>
      <c r="O334" s="160"/>
      <c r="P334" s="160"/>
      <c r="Q334" s="160"/>
      <c r="R334" s="160"/>
      <c r="S334" s="160"/>
      <c r="T334" s="18"/>
      <c r="U334" s="18"/>
      <c r="V334" s="18"/>
      <c r="W334" s="18"/>
      <c r="X334" s="18"/>
      <c r="Y334" s="18"/>
      <c r="Z334" s="18"/>
      <c r="AA334" s="18"/>
    </row>
    <row r="335">
      <c r="A335" s="317"/>
      <c r="B335" s="172"/>
      <c r="C335" s="160"/>
      <c r="D335" s="160"/>
      <c r="E335" s="160"/>
      <c r="F335" s="160"/>
      <c r="G335" s="160"/>
      <c r="H335" s="160"/>
      <c r="I335" s="172"/>
      <c r="J335" s="160"/>
      <c r="K335" s="172"/>
      <c r="L335" s="172"/>
      <c r="M335" s="172"/>
      <c r="N335" s="160"/>
      <c r="O335" s="160"/>
      <c r="P335" s="160"/>
      <c r="Q335" s="160"/>
      <c r="R335" s="160"/>
      <c r="S335" s="160"/>
      <c r="T335" s="18"/>
      <c r="U335" s="18"/>
      <c r="V335" s="18"/>
      <c r="W335" s="18"/>
      <c r="X335" s="18"/>
      <c r="Y335" s="18"/>
      <c r="Z335" s="18"/>
      <c r="AA335" s="18"/>
    </row>
    <row r="336">
      <c r="A336" s="317"/>
      <c r="B336" s="172"/>
      <c r="C336" s="160"/>
      <c r="D336" s="160"/>
      <c r="E336" s="160"/>
      <c r="F336" s="160"/>
      <c r="G336" s="160"/>
      <c r="H336" s="160"/>
      <c r="I336" s="172"/>
      <c r="J336" s="160"/>
      <c r="K336" s="172"/>
      <c r="L336" s="172"/>
      <c r="M336" s="172"/>
      <c r="N336" s="160"/>
      <c r="O336" s="160"/>
      <c r="P336" s="160"/>
      <c r="Q336" s="160"/>
      <c r="R336" s="160"/>
      <c r="S336" s="160"/>
      <c r="T336" s="18"/>
      <c r="U336" s="18"/>
      <c r="V336" s="18"/>
      <c r="W336" s="18"/>
      <c r="X336" s="18"/>
      <c r="Y336" s="18"/>
      <c r="Z336" s="18"/>
      <c r="AA336" s="18"/>
    </row>
    <row r="337">
      <c r="A337" s="317"/>
      <c r="B337" s="172"/>
      <c r="C337" s="160"/>
      <c r="D337" s="160"/>
      <c r="E337" s="160"/>
      <c r="F337" s="160"/>
      <c r="G337" s="160"/>
      <c r="H337" s="160"/>
      <c r="I337" s="172"/>
      <c r="J337" s="160"/>
      <c r="K337" s="172"/>
      <c r="L337" s="172"/>
      <c r="M337" s="172"/>
      <c r="N337" s="160"/>
      <c r="O337" s="160"/>
      <c r="P337" s="160"/>
      <c r="Q337" s="160"/>
      <c r="R337" s="160"/>
      <c r="S337" s="160"/>
      <c r="T337" s="18"/>
      <c r="U337" s="18"/>
      <c r="V337" s="18"/>
      <c r="W337" s="18"/>
      <c r="X337" s="18"/>
      <c r="Y337" s="18"/>
      <c r="Z337" s="18"/>
      <c r="AA337" s="18"/>
    </row>
    <row r="338">
      <c r="A338" s="317"/>
      <c r="B338" s="172"/>
      <c r="C338" s="160"/>
      <c r="D338" s="160"/>
      <c r="E338" s="160"/>
      <c r="F338" s="160"/>
      <c r="G338" s="160"/>
      <c r="H338" s="160"/>
      <c r="I338" s="172"/>
      <c r="J338" s="160"/>
      <c r="K338" s="172"/>
      <c r="L338" s="172"/>
      <c r="M338" s="172"/>
      <c r="N338" s="160"/>
      <c r="O338" s="160"/>
      <c r="P338" s="160"/>
      <c r="Q338" s="160"/>
      <c r="R338" s="160"/>
      <c r="S338" s="160"/>
      <c r="T338" s="18"/>
      <c r="U338" s="18"/>
      <c r="V338" s="18"/>
      <c r="W338" s="18"/>
      <c r="X338" s="18"/>
      <c r="Y338" s="18"/>
      <c r="Z338" s="18"/>
      <c r="AA338" s="18"/>
    </row>
    <row r="339">
      <c r="A339" s="317"/>
      <c r="B339" s="172"/>
      <c r="C339" s="160"/>
      <c r="D339" s="160"/>
      <c r="E339" s="160"/>
      <c r="F339" s="160"/>
      <c r="G339" s="160"/>
      <c r="H339" s="160"/>
      <c r="I339" s="172"/>
      <c r="J339" s="160"/>
      <c r="K339" s="172"/>
      <c r="L339" s="172"/>
      <c r="M339" s="172"/>
      <c r="N339" s="160"/>
      <c r="O339" s="160"/>
      <c r="P339" s="160"/>
      <c r="Q339" s="160"/>
      <c r="R339" s="160"/>
      <c r="S339" s="160"/>
      <c r="T339" s="18"/>
      <c r="U339" s="18"/>
      <c r="V339" s="18"/>
      <c r="W339" s="18"/>
      <c r="X339" s="18"/>
      <c r="Y339" s="18"/>
      <c r="Z339" s="18"/>
      <c r="AA339" s="18"/>
    </row>
    <row r="340">
      <c r="A340" s="317"/>
      <c r="B340" s="172"/>
      <c r="C340" s="160"/>
      <c r="D340" s="160"/>
      <c r="E340" s="160"/>
      <c r="F340" s="160"/>
      <c r="G340" s="160"/>
      <c r="H340" s="160"/>
      <c r="I340" s="172"/>
      <c r="J340" s="160"/>
      <c r="K340" s="172"/>
      <c r="L340" s="172"/>
      <c r="M340" s="172"/>
      <c r="N340" s="160"/>
      <c r="O340" s="160"/>
      <c r="P340" s="160"/>
      <c r="Q340" s="160"/>
      <c r="R340" s="160"/>
      <c r="S340" s="160"/>
      <c r="T340" s="18"/>
      <c r="U340" s="18"/>
      <c r="V340" s="18"/>
      <c r="W340" s="18"/>
      <c r="X340" s="18"/>
      <c r="Y340" s="18"/>
      <c r="Z340" s="18"/>
      <c r="AA340" s="18"/>
    </row>
    <row r="341">
      <c r="A341" s="317"/>
      <c r="B341" s="172"/>
      <c r="C341" s="160"/>
      <c r="D341" s="160"/>
      <c r="E341" s="160"/>
      <c r="F341" s="160"/>
      <c r="G341" s="160"/>
      <c r="H341" s="160"/>
      <c r="I341" s="172"/>
      <c r="J341" s="160"/>
      <c r="K341" s="172"/>
      <c r="L341" s="172"/>
      <c r="M341" s="172"/>
      <c r="N341" s="160"/>
      <c r="O341" s="160"/>
      <c r="P341" s="160"/>
      <c r="Q341" s="160"/>
      <c r="R341" s="160"/>
      <c r="S341" s="160"/>
      <c r="T341" s="18"/>
      <c r="U341" s="18"/>
      <c r="V341" s="18"/>
      <c r="W341" s="18"/>
      <c r="X341" s="18"/>
      <c r="Y341" s="18"/>
      <c r="Z341" s="18"/>
      <c r="AA341" s="18"/>
    </row>
    <row r="342">
      <c r="A342" s="317"/>
      <c r="B342" s="172"/>
      <c r="C342" s="160"/>
      <c r="D342" s="160"/>
      <c r="E342" s="160"/>
      <c r="F342" s="160"/>
      <c r="G342" s="160"/>
      <c r="H342" s="160"/>
      <c r="I342" s="172"/>
      <c r="J342" s="160"/>
      <c r="K342" s="172"/>
      <c r="L342" s="172"/>
      <c r="M342" s="172"/>
      <c r="N342" s="160"/>
      <c r="O342" s="160"/>
      <c r="P342" s="160"/>
      <c r="Q342" s="160"/>
      <c r="R342" s="160"/>
      <c r="S342" s="160"/>
      <c r="T342" s="18"/>
      <c r="U342" s="18"/>
      <c r="V342" s="18"/>
      <c r="W342" s="18"/>
      <c r="X342" s="18"/>
      <c r="Y342" s="18"/>
      <c r="Z342" s="18"/>
      <c r="AA342" s="18"/>
    </row>
    <row r="343">
      <c r="A343" s="317"/>
      <c r="B343" s="172"/>
      <c r="C343" s="160"/>
      <c r="D343" s="160"/>
      <c r="E343" s="160"/>
      <c r="F343" s="160"/>
      <c r="G343" s="160"/>
      <c r="H343" s="160"/>
      <c r="I343" s="172"/>
      <c r="J343" s="160"/>
      <c r="K343" s="172"/>
      <c r="L343" s="172"/>
      <c r="M343" s="172"/>
      <c r="N343" s="160"/>
      <c r="O343" s="160"/>
      <c r="P343" s="160"/>
      <c r="Q343" s="160"/>
      <c r="R343" s="160"/>
      <c r="S343" s="160"/>
      <c r="T343" s="18"/>
      <c r="U343" s="18"/>
      <c r="V343" s="18"/>
      <c r="W343" s="18"/>
      <c r="X343" s="18"/>
      <c r="Y343" s="18"/>
      <c r="Z343" s="18"/>
      <c r="AA343" s="18"/>
    </row>
    <row r="344">
      <c r="A344" s="317"/>
      <c r="B344" s="172"/>
      <c r="C344" s="160"/>
      <c r="D344" s="160"/>
      <c r="E344" s="160"/>
      <c r="F344" s="160"/>
      <c r="G344" s="160"/>
      <c r="H344" s="160"/>
      <c r="I344" s="172"/>
      <c r="J344" s="160"/>
      <c r="K344" s="172"/>
      <c r="L344" s="172"/>
      <c r="M344" s="172"/>
      <c r="N344" s="160"/>
      <c r="O344" s="160"/>
      <c r="P344" s="160"/>
      <c r="Q344" s="160"/>
      <c r="R344" s="160"/>
      <c r="S344" s="160"/>
      <c r="T344" s="18"/>
      <c r="U344" s="18"/>
      <c r="V344" s="18"/>
      <c r="W344" s="18"/>
      <c r="X344" s="18"/>
      <c r="Y344" s="18"/>
      <c r="Z344" s="18"/>
      <c r="AA344" s="18"/>
    </row>
    <row r="345">
      <c r="A345" s="317"/>
      <c r="B345" s="172"/>
      <c r="C345" s="160"/>
      <c r="D345" s="160"/>
      <c r="E345" s="160"/>
      <c r="F345" s="160"/>
      <c r="G345" s="160"/>
      <c r="H345" s="160"/>
      <c r="I345" s="172"/>
      <c r="J345" s="160"/>
      <c r="K345" s="172"/>
      <c r="L345" s="172"/>
      <c r="M345" s="172"/>
      <c r="N345" s="160"/>
      <c r="O345" s="160"/>
      <c r="P345" s="160"/>
      <c r="Q345" s="160"/>
      <c r="R345" s="160"/>
      <c r="S345" s="160"/>
      <c r="T345" s="18"/>
      <c r="U345" s="18"/>
      <c r="V345" s="18"/>
      <c r="W345" s="18"/>
      <c r="X345" s="18"/>
      <c r="Y345" s="18"/>
      <c r="Z345" s="18"/>
      <c r="AA345" s="18"/>
    </row>
    <row r="346">
      <c r="A346" s="317"/>
      <c r="B346" s="172"/>
      <c r="C346" s="160"/>
      <c r="D346" s="160"/>
      <c r="E346" s="160"/>
      <c r="F346" s="160"/>
      <c r="G346" s="160"/>
      <c r="H346" s="160"/>
      <c r="I346" s="172"/>
      <c r="J346" s="160"/>
      <c r="K346" s="172"/>
      <c r="L346" s="172"/>
      <c r="M346" s="172"/>
      <c r="N346" s="160"/>
      <c r="O346" s="160"/>
      <c r="P346" s="160"/>
      <c r="Q346" s="160"/>
      <c r="R346" s="160"/>
      <c r="S346" s="160"/>
      <c r="T346" s="18"/>
      <c r="U346" s="18"/>
      <c r="V346" s="18"/>
      <c r="W346" s="18"/>
      <c r="X346" s="18"/>
      <c r="Y346" s="18"/>
      <c r="Z346" s="18"/>
      <c r="AA346" s="18"/>
    </row>
    <row r="347">
      <c r="A347" s="317"/>
      <c r="B347" s="172"/>
      <c r="C347" s="160"/>
      <c r="D347" s="160"/>
      <c r="E347" s="160"/>
      <c r="F347" s="160"/>
      <c r="G347" s="160"/>
      <c r="H347" s="160"/>
      <c r="I347" s="172"/>
      <c r="J347" s="160"/>
      <c r="K347" s="172"/>
      <c r="L347" s="172"/>
      <c r="M347" s="172"/>
      <c r="N347" s="160"/>
      <c r="O347" s="160"/>
      <c r="P347" s="160"/>
      <c r="Q347" s="160"/>
      <c r="R347" s="160"/>
      <c r="S347" s="160"/>
      <c r="T347" s="18"/>
      <c r="U347" s="18"/>
      <c r="V347" s="18"/>
      <c r="W347" s="18"/>
      <c r="X347" s="18"/>
      <c r="Y347" s="18"/>
      <c r="Z347" s="18"/>
      <c r="AA347" s="18"/>
    </row>
    <row r="348">
      <c r="A348" s="317"/>
      <c r="B348" s="172"/>
      <c r="C348" s="160"/>
      <c r="D348" s="160"/>
      <c r="E348" s="160"/>
      <c r="F348" s="160"/>
      <c r="G348" s="160"/>
      <c r="H348" s="160"/>
      <c r="I348" s="172"/>
      <c r="J348" s="160"/>
      <c r="K348" s="172"/>
      <c r="L348" s="172"/>
      <c r="M348" s="172"/>
      <c r="N348" s="160"/>
      <c r="O348" s="160"/>
      <c r="P348" s="160"/>
      <c r="Q348" s="160"/>
      <c r="R348" s="160"/>
      <c r="S348" s="160"/>
      <c r="T348" s="18"/>
      <c r="U348" s="18"/>
      <c r="V348" s="18"/>
      <c r="W348" s="18"/>
      <c r="X348" s="18"/>
      <c r="Y348" s="18"/>
      <c r="Z348" s="18"/>
      <c r="AA348" s="18"/>
    </row>
    <row r="349">
      <c r="A349" s="317"/>
      <c r="B349" s="172"/>
      <c r="C349" s="160"/>
      <c r="D349" s="160"/>
      <c r="E349" s="160"/>
      <c r="F349" s="160"/>
      <c r="G349" s="160"/>
      <c r="H349" s="160"/>
      <c r="I349" s="172"/>
      <c r="J349" s="160"/>
      <c r="K349" s="172"/>
      <c r="L349" s="172"/>
      <c r="M349" s="172"/>
      <c r="N349" s="160"/>
      <c r="O349" s="160"/>
      <c r="P349" s="160"/>
      <c r="Q349" s="160"/>
      <c r="R349" s="160"/>
      <c r="S349" s="160"/>
      <c r="T349" s="18"/>
      <c r="U349" s="18"/>
      <c r="V349" s="18"/>
      <c r="W349" s="18"/>
      <c r="X349" s="18"/>
      <c r="Y349" s="18"/>
      <c r="Z349" s="18"/>
      <c r="AA349" s="18"/>
    </row>
    <row r="350">
      <c r="A350" s="317"/>
      <c r="B350" s="172"/>
      <c r="C350" s="160"/>
      <c r="D350" s="160"/>
      <c r="E350" s="160"/>
      <c r="F350" s="160"/>
      <c r="G350" s="160"/>
      <c r="H350" s="160"/>
      <c r="I350" s="172"/>
      <c r="J350" s="160"/>
      <c r="K350" s="172"/>
      <c r="L350" s="172"/>
      <c r="M350" s="172"/>
      <c r="N350" s="160"/>
      <c r="O350" s="160"/>
      <c r="P350" s="160"/>
      <c r="Q350" s="160"/>
      <c r="R350" s="160"/>
      <c r="S350" s="160"/>
      <c r="T350" s="18"/>
      <c r="U350" s="18"/>
      <c r="V350" s="18"/>
      <c r="W350" s="18"/>
      <c r="X350" s="18"/>
      <c r="Y350" s="18"/>
      <c r="Z350" s="18"/>
      <c r="AA350" s="18"/>
    </row>
    <row r="351">
      <c r="A351" s="317"/>
      <c r="B351" s="172"/>
      <c r="C351" s="160"/>
      <c r="D351" s="160"/>
      <c r="E351" s="160"/>
      <c r="F351" s="160"/>
      <c r="G351" s="160"/>
      <c r="H351" s="160"/>
      <c r="I351" s="172"/>
      <c r="J351" s="160"/>
      <c r="K351" s="172"/>
      <c r="L351" s="172"/>
      <c r="M351" s="172"/>
      <c r="N351" s="160"/>
      <c r="O351" s="160"/>
      <c r="P351" s="160"/>
      <c r="Q351" s="160"/>
      <c r="R351" s="160"/>
      <c r="S351" s="160"/>
      <c r="T351" s="18"/>
      <c r="U351" s="18"/>
      <c r="V351" s="18"/>
      <c r="W351" s="18"/>
      <c r="X351" s="18"/>
      <c r="Y351" s="18"/>
      <c r="Z351" s="18"/>
      <c r="AA351" s="18"/>
    </row>
    <row r="352">
      <c r="A352" s="317"/>
      <c r="B352" s="172"/>
      <c r="C352" s="160"/>
      <c r="D352" s="160"/>
      <c r="E352" s="160"/>
      <c r="F352" s="160"/>
      <c r="G352" s="160"/>
      <c r="H352" s="160"/>
      <c r="I352" s="172"/>
      <c r="J352" s="160"/>
      <c r="K352" s="172"/>
      <c r="L352" s="172"/>
      <c r="M352" s="172"/>
      <c r="N352" s="160"/>
      <c r="O352" s="160"/>
      <c r="P352" s="160"/>
      <c r="Q352" s="160"/>
      <c r="R352" s="160"/>
      <c r="S352" s="160"/>
      <c r="T352" s="18"/>
      <c r="U352" s="18"/>
      <c r="V352" s="18"/>
      <c r="W352" s="18"/>
      <c r="X352" s="18"/>
      <c r="Y352" s="18"/>
      <c r="Z352" s="18"/>
      <c r="AA352" s="18"/>
    </row>
    <row r="353">
      <c r="A353" s="317"/>
      <c r="B353" s="172"/>
      <c r="C353" s="160"/>
      <c r="D353" s="160"/>
      <c r="E353" s="160"/>
      <c r="F353" s="160"/>
      <c r="G353" s="160"/>
      <c r="H353" s="160"/>
      <c r="I353" s="172"/>
      <c r="J353" s="160"/>
      <c r="K353" s="172"/>
      <c r="L353" s="172"/>
      <c r="M353" s="172"/>
      <c r="N353" s="160"/>
      <c r="O353" s="160"/>
      <c r="P353" s="160"/>
      <c r="Q353" s="160"/>
      <c r="R353" s="160"/>
      <c r="S353" s="160"/>
      <c r="T353" s="18"/>
      <c r="U353" s="18"/>
      <c r="V353" s="18"/>
      <c r="W353" s="18"/>
      <c r="X353" s="18"/>
      <c r="Y353" s="18"/>
      <c r="Z353" s="18"/>
      <c r="AA353" s="18"/>
    </row>
    <row r="354">
      <c r="A354" s="317"/>
      <c r="B354" s="172"/>
      <c r="C354" s="160"/>
      <c r="D354" s="160"/>
      <c r="E354" s="160"/>
      <c r="F354" s="160"/>
      <c r="G354" s="160"/>
      <c r="H354" s="160"/>
      <c r="I354" s="172"/>
      <c r="J354" s="160"/>
      <c r="K354" s="172"/>
      <c r="L354" s="172"/>
      <c r="M354" s="172"/>
      <c r="N354" s="160"/>
      <c r="O354" s="160"/>
      <c r="P354" s="160"/>
      <c r="Q354" s="160"/>
      <c r="R354" s="160"/>
      <c r="S354" s="160"/>
      <c r="T354" s="18"/>
      <c r="U354" s="18"/>
      <c r="V354" s="18"/>
      <c r="W354" s="18"/>
      <c r="X354" s="18"/>
      <c r="Y354" s="18"/>
      <c r="Z354" s="18"/>
      <c r="AA354" s="18"/>
    </row>
    <row r="355">
      <c r="A355" s="317"/>
      <c r="B355" s="172"/>
      <c r="C355" s="160"/>
      <c r="D355" s="160"/>
      <c r="E355" s="160"/>
      <c r="F355" s="160"/>
      <c r="G355" s="160"/>
      <c r="H355" s="160"/>
      <c r="I355" s="172"/>
      <c r="J355" s="160"/>
      <c r="K355" s="172"/>
      <c r="L355" s="172"/>
      <c r="M355" s="172"/>
      <c r="N355" s="160"/>
      <c r="O355" s="160"/>
      <c r="P355" s="160"/>
      <c r="Q355" s="160"/>
      <c r="R355" s="160"/>
      <c r="S355" s="160"/>
      <c r="T355" s="18"/>
      <c r="U355" s="18"/>
      <c r="V355" s="18"/>
      <c r="W355" s="18"/>
      <c r="X355" s="18"/>
      <c r="Y355" s="18"/>
      <c r="Z355" s="18"/>
      <c r="AA355" s="18"/>
    </row>
    <row r="356">
      <c r="A356" s="317"/>
      <c r="B356" s="172"/>
      <c r="C356" s="160"/>
      <c r="D356" s="160"/>
      <c r="E356" s="160"/>
      <c r="F356" s="160"/>
      <c r="G356" s="160"/>
      <c r="H356" s="160"/>
      <c r="I356" s="172"/>
      <c r="J356" s="160"/>
      <c r="K356" s="172"/>
      <c r="L356" s="172"/>
      <c r="M356" s="172"/>
      <c r="N356" s="160"/>
      <c r="O356" s="160"/>
      <c r="P356" s="160"/>
      <c r="Q356" s="160"/>
      <c r="R356" s="160"/>
      <c r="S356" s="160"/>
      <c r="T356" s="18"/>
      <c r="U356" s="18"/>
      <c r="V356" s="18"/>
      <c r="W356" s="18"/>
      <c r="X356" s="18"/>
      <c r="Y356" s="18"/>
      <c r="Z356" s="18"/>
      <c r="AA356" s="18"/>
    </row>
    <row r="357">
      <c r="A357" s="317"/>
      <c r="B357" s="172"/>
      <c r="C357" s="160"/>
      <c r="D357" s="160"/>
      <c r="E357" s="160"/>
      <c r="F357" s="160"/>
      <c r="G357" s="160"/>
      <c r="H357" s="160"/>
      <c r="I357" s="172"/>
      <c r="J357" s="160"/>
      <c r="K357" s="172"/>
      <c r="L357" s="172"/>
      <c r="M357" s="172"/>
      <c r="N357" s="160"/>
      <c r="O357" s="160"/>
      <c r="P357" s="160"/>
      <c r="Q357" s="160"/>
      <c r="R357" s="160"/>
      <c r="S357" s="160"/>
      <c r="T357" s="18"/>
      <c r="U357" s="18"/>
      <c r="V357" s="18"/>
      <c r="W357" s="18"/>
      <c r="X357" s="18"/>
      <c r="Y357" s="18"/>
      <c r="Z357" s="18"/>
      <c r="AA357" s="18"/>
    </row>
    <row r="358">
      <c r="A358" s="317"/>
      <c r="B358" s="172"/>
      <c r="C358" s="160"/>
      <c r="D358" s="160"/>
      <c r="E358" s="160"/>
      <c r="F358" s="160"/>
      <c r="G358" s="160"/>
      <c r="H358" s="160"/>
      <c r="I358" s="172"/>
      <c r="J358" s="160"/>
      <c r="K358" s="172"/>
      <c r="L358" s="172"/>
      <c r="M358" s="172"/>
      <c r="N358" s="160"/>
      <c r="O358" s="160"/>
      <c r="P358" s="160"/>
      <c r="Q358" s="160"/>
      <c r="R358" s="160"/>
      <c r="S358" s="160"/>
      <c r="T358" s="18"/>
      <c r="U358" s="18"/>
      <c r="V358" s="18"/>
      <c r="W358" s="18"/>
      <c r="X358" s="18"/>
      <c r="Y358" s="18"/>
      <c r="Z358" s="18"/>
      <c r="AA358" s="18"/>
    </row>
    <row r="359">
      <c r="A359" s="317"/>
      <c r="B359" s="172"/>
      <c r="C359" s="160"/>
      <c r="D359" s="160"/>
      <c r="E359" s="160"/>
      <c r="F359" s="160"/>
      <c r="G359" s="160"/>
      <c r="H359" s="160"/>
      <c r="I359" s="172"/>
      <c r="J359" s="160"/>
      <c r="K359" s="172"/>
      <c r="L359" s="172"/>
      <c r="M359" s="172"/>
      <c r="N359" s="160"/>
      <c r="O359" s="160"/>
      <c r="P359" s="160"/>
      <c r="Q359" s="160"/>
      <c r="R359" s="160"/>
      <c r="S359" s="160"/>
      <c r="T359" s="18"/>
      <c r="U359" s="18"/>
      <c r="V359" s="18"/>
      <c r="W359" s="18"/>
      <c r="X359" s="18"/>
      <c r="Y359" s="18"/>
      <c r="Z359" s="18"/>
      <c r="AA359" s="18"/>
    </row>
    <row r="360">
      <c r="A360" s="317"/>
      <c r="B360" s="172"/>
      <c r="C360" s="160"/>
      <c r="D360" s="160"/>
      <c r="E360" s="160"/>
      <c r="F360" s="160"/>
      <c r="G360" s="160"/>
      <c r="H360" s="160"/>
      <c r="I360" s="172"/>
      <c r="J360" s="160"/>
      <c r="K360" s="172"/>
      <c r="L360" s="172"/>
      <c r="M360" s="172"/>
      <c r="N360" s="160"/>
      <c r="O360" s="160"/>
      <c r="P360" s="160"/>
      <c r="Q360" s="160"/>
      <c r="R360" s="160"/>
      <c r="S360" s="160"/>
      <c r="T360" s="18"/>
      <c r="U360" s="18"/>
      <c r="V360" s="18"/>
      <c r="W360" s="18"/>
      <c r="X360" s="18"/>
      <c r="Y360" s="18"/>
      <c r="Z360" s="18"/>
      <c r="AA360" s="18"/>
    </row>
    <row r="361">
      <c r="A361" s="317"/>
      <c r="B361" s="172"/>
      <c r="C361" s="160"/>
      <c r="D361" s="160"/>
      <c r="E361" s="160"/>
      <c r="F361" s="160"/>
      <c r="G361" s="160"/>
      <c r="H361" s="160"/>
      <c r="I361" s="172"/>
      <c r="J361" s="160"/>
      <c r="K361" s="172"/>
      <c r="L361" s="172"/>
      <c r="M361" s="172"/>
      <c r="N361" s="160"/>
      <c r="O361" s="160"/>
      <c r="P361" s="160"/>
      <c r="Q361" s="160"/>
      <c r="R361" s="160"/>
      <c r="S361" s="160"/>
      <c r="T361" s="18"/>
      <c r="U361" s="18"/>
      <c r="V361" s="18"/>
      <c r="W361" s="18"/>
      <c r="X361" s="18"/>
      <c r="Y361" s="18"/>
      <c r="Z361" s="18"/>
      <c r="AA361" s="18"/>
    </row>
    <row r="362">
      <c r="A362" s="317"/>
      <c r="B362" s="172"/>
      <c r="C362" s="160"/>
      <c r="D362" s="160"/>
      <c r="E362" s="160"/>
      <c r="F362" s="160"/>
      <c r="G362" s="160"/>
      <c r="H362" s="160"/>
      <c r="I362" s="172"/>
      <c r="J362" s="160"/>
      <c r="K362" s="172"/>
      <c r="L362" s="172"/>
      <c r="M362" s="172"/>
      <c r="N362" s="160"/>
      <c r="O362" s="160"/>
      <c r="P362" s="160"/>
      <c r="Q362" s="160"/>
      <c r="R362" s="160"/>
      <c r="S362" s="160"/>
      <c r="T362" s="18"/>
      <c r="U362" s="18"/>
      <c r="V362" s="18"/>
      <c r="W362" s="18"/>
      <c r="X362" s="18"/>
      <c r="Y362" s="18"/>
      <c r="Z362" s="18"/>
      <c r="AA362" s="18"/>
    </row>
    <row r="363">
      <c r="A363" s="317"/>
      <c r="B363" s="172"/>
      <c r="C363" s="160"/>
      <c r="D363" s="160"/>
      <c r="E363" s="160"/>
      <c r="F363" s="160"/>
      <c r="G363" s="160"/>
      <c r="H363" s="160"/>
      <c r="I363" s="172"/>
      <c r="J363" s="160"/>
      <c r="K363" s="172"/>
      <c r="L363" s="172"/>
      <c r="M363" s="172"/>
      <c r="N363" s="160"/>
      <c r="O363" s="160"/>
      <c r="P363" s="160"/>
      <c r="Q363" s="160"/>
      <c r="R363" s="160"/>
      <c r="S363" s="160"/>
      <c r="T363" s="18"/>
      <c r="U363" s="18"/>
      <c r="V363" s="18"/>
      <c r="W363" s="18"/>
      <c r="X363" s="18"/>
      <c r="Y363" s="18"/>
      <c r="Z363" s="18"/>
      <c r="AA363" s="18"/>
    </row>
    <row r="364">
      <c r="A364" s="317"/>
      <c r="B364" s="172"/>
      <c r="C364" s="160"/>
      <c r="D364" s="160"/>
      <c r="E364" s="160"/>
      <c r="F364" s="160"/>
      <c r="G364" s="160"/>
      <c r="H364" s="160"/>
      <c r="I364" s="172"/>
      <c r="J364" s="160"/>
      <c r="K364" s="172"/>
      <c r="L364" s="172"/>
      <c r="M364" s="172"/>
      <c r="N364" s="160"/>
      <c r="O364" s="160"/>
      <c r="P364" s="160"/>
      <c r="Q364" s="160"/>
      <c r="R364" s="160"/>
      <c r="S364" s="160"/>
      <c r="T364" s="18"/>
      <c r="U364" s="18"/>
      <c r="V364" s="18"/>
      <c r="W364" s="18"/>
      <c r="X364" s="18"/>
      <c r="Y364" s="18"/>
      <c r="Z364" s="18"/>
      <c r="AA364" s="18"/>
    </row>
    <row r="365">
      <c r="A365" s="317"/>
      <c r="B365" s="172"/>
      <c r="C365" s="160"/>
      <c r="D365" s="160"/>
      <c r="E365" s="160"/>
      <c r="F365" s="160"/>
      <c r="G365" s="160"/>
      <c r="H365" s="160"/>
      <c r="I365" s="172"/>
      <c r="J365" s="160"/>
      <c r="K365" s="172"/>
      <c r="L365" s="172"/>
      <c r="M365" s="172"/>
      <c r="N365" s="160"/>
      <c r="O365" s="160"/>
      <c r="P365" s="160"/>
      <c r="Q365" s="160"/>
      <c r="R365" s="160"/>
      <c r="S365" s="160"/>
      <c r="T365" s="18"/>
      <c r="U365" s="18"/>
      <c r="V365" s="18"/>
      <c r="W365" s="18"/>
      <c r="X365" s="18"/>
      <c r="Y365" s="18"/>
      <c r="Z365" s="18"/>
      <c r="AA365" s="18"/>
    </row>
    <row r="366">
      <c r="A366" s="317"/>
      <c r="B366" s="172"/>
      <c r="C366" s="160"/>
      <c r="D366" s="160"/>
      <c r="E366" s="160"/>
      <c r="F366" s="160"/>
      <c r="G366" s="160"/>
      <c r="H366" s="160"/>
      <c r="I366" s="172"/>
      <c r="J366" s="160"/>
      <c r="K366" s="172"/>
      <c r="L366" s="172"/>
      <c r="M366" s="172"/>
      <c r="N366" s="160"/>
      <c r="O366" s="160"/>
      <c r="P366" s="160"/>
      <c r="Q366" s="160"/>
      <c r="R366" s="160"/>
      <c r="S366" s="160"/>
      <c r="T366" s="18"/>
      <c r="U366" s="18"/>
      <c r="V366" s="18"/>
      <c r="W366" s="18"/>
      <c r="X366" s="18"/>
      <c r="Y366" s="18"/>
      <c r="Z366" s="18"/>
      <c r="AA366" s="18"/>
    </row>
    <row r="367">
      <c r="A367" s="317"/>
      <c r="B367" s="172"/>
      <c r="C367" s="160"/>
      <c r="D367" s="160"/>
      <c r="E367" s="160"/>
      <c r="F367" s="160"/>
      <c r="G367" s="160"/>
      <c r="H367" s="160"/>
      <c r="I367" s="172"/>
      <c r="J367" s="160"/>
      <c r="K367" s="172"/>
      <c r="L367" s="172"/>
      <c r="M367" s="172"/>
      <c r="N367" s="160"/>
      <c r="O367" s="160"/>
      <c r="P367" s="160"/>
      <c r="Q367" s="160"/>
      <c r="R367" s="160"/>
      <c r="S367" s="160"/>
      <c r="T367" s="18"/>
      <c r="U367" s="18"/>
      <c r="V367" s="18"/>
      <c r="W367" s="18"/>
      <c r="X367" s="18"/>
      <c r="Y367" s="18"/>
      <c r="Z367" s="18"/>
      <c r="AA367" s="18"/>
    </row>
    <row r="368">
      <c r="A368" s="317"/>
      <c r="B368" s="172"/>
      <c r="C368" s="160"/>
      <c r="D368" s="160"/>
      <c r="E368" s="160"/>
      <c r="F368" s="160"/>
      <c r="G368" s="160"/>
      <c r="H368" s="160"/>
      <c r="I368" s="172"/>
      <c r="J368" s="160"/>
      <c r="K368" s="172"/>
      <c r="L368" s="172"/>
      <c r="M368" s="172"/>
      <c r="N368" s="160"/>
      <c r="O368" s="160"/>
      <c r="P368" s="160"/>
      <c r="Q368" s="160"/>
      <c r="R368" s="160"/>
      <c r="S368" s="160"/>
      <c r="T368" s="18"/>
      <c r="U368" s="18"/>
      <c r="V368" s="18"/>
      <c r="W368" s="18"/>
      <c r="X368" s="18"/>
      <c r="Y368" s="18"/>
      <c r="Z368" s="18"/>
      <c r="AA368" s="18"/>
    </row>
    <row r="369">
      <c r="A369" s="317"/>
      <c r="B369" s="172"/>
      <c r="C369" s="160"/>
      <c r="D369" s="160"/>
      <c r="E369" s="160"/>
      <c r="F369" s="160"/>
      <c r="G369" s="160"/>
      <c r="H369" s="160"/>
      <c r="I369" s="172"/>
      <c r="J369" s="160"/>
      <c r="K369" s="172"/>
      <c r="L369" s="172"/>
      <c r="M369" s="172"/>
      <c r="N369" s="160"/>
      <c r="O369" s="160"/>
      <c r="P369" s="160"/>
      <c r="Q369" s="160"/>
      <c r="R369" s="160"/>
      <c r="S369" s="160"/>
      <c r="T369" s="18"/>
      <c r="U369" s="18"/>
      <c r="V369" s="18"/>
      <c r="W369" s="18"/>
      <c r="X369" s="18"/>
      <c r="Y369" s="18"/>
      <c r="Z369" s="18"/>
      <c r="AA369" s="18"/>
    </row>
    <row r="370">
      <c r="A370" s="317"/>
      <c r="B370" s="172"/>
      <c r="C370" s="160"/>
      <c r="D370" s="160"/>
      <c r="E370" s="160"/>
      <c r="F370" s="160"/>
      <c r="G370" s="160"/>
      <c r="H370" s="160"/>
      <c r="I370" s="172"/>
      <c r="J370" s="160"/>
      <c r="K370" s="172"/>
      <c r="L370" s="172"/>
      <c r="M370" s="172"/>
      <c r="N370" s="160"/>
      <c r="O370" s="160"/>
      <c r="P370" s="160"/>
      <c r="Q370" s="160"/>
      <c r="R370" s="160"/>
      <c r="S370" s="160"/>
      <c r="T370" s="18"/>
      <c r="U370" s="18"/>
      <c r="V370" s="18"/>
      <c r="W370" s="18"/>
      <c r="X370" s="18"/>
      <c r="Y370" s="18"/>
      <c r="Z370" s="18"/>
      <c r="AA370" s="18"/>
    </row>
    <row r="371">
      <c r="A371" s="317"/>
      <c r="B371" s="172"/>
      <c r="C371" s="160"/>
      <c r="D371" s="160"/>
      <c r="E371" s="160"/>
      <c r="F371" s="160"/>
      <c r="G371" s="160"/>
      <c r="H371" s="160"/>
      <c r="I371" s="172"/>
      <c r="J371" s="160"/>
      <c r="K371" s="172"/>
      <c r="L371" s="172"/>
      <c r="M371" s="172"/>
      <c r="N371" s="160"/>
      <c r="O371" s="160"/>
      <c r="P371" s="160"/>
      <c r="Q371" s="160"/>
      <c r="R371" s="160"/>
      <c r="S371" s="160"/>
      <c r="T371" s="18"/>
      <c r="U371" s="18"/>
      <c r="V371" s="18"/>
      <c r="W371" s="18"/>
      <c r="X371" s="18"/>
      <c r="Y371" s="18"/>
      <c r="Z371" s="18"/>
      <c r="AA371" s="18"/>
    </row>
    <row r="372">
      <c r="A372" s="317"/>
      <c r="B372" s="172"/>
      <c r="C372" s="160"/>
      <c r="D372" s="160"/>
      <c r="E372" s="160"/>
      <c r="F372" s="160"/>
      <c r="G372" s="160"/>
      <c r="H372" s="160"/>
      <c r="I372" s="172"/>
      <c r="J372" s="160"/>
      <c r="K372" s="172"/>
      <c r="L372" s="172"/>
      <c r="M372" s="172"/>
      <c r="N372" s="160"/>
      <c r="O372" s="160"/>
      <c r="P372" s="160"/>
      <c r="Q372" s="160"/>
      <c r="R372" s="160"/>
      <c r="S372" s="160"/>
      <c r="T372" s="18"/>
      <c r="U372" s="18"/>
      <c r="V372" s="18"/>
      <c r="W372" s="18"/>
      <c r="X372" s="18"/>
      <c r="Y372" s="18"/>
      <c r="Z372" s="18"/>
      <c r="AA372" s="18"/>
    </row>
    <row r="373">
      <c r="A373" s="317"/>
      <c r="B373" s="172"/>
      <c r="C373" s="160"/>
      <c r="D373" s="160"/>
      <c r="E373" s="160"/>
      <c r="F373" s="160"/>
      <c r="G373" s="160"/>
      <c r="H373" s="160"/>
      <c r="I373" s="172"/>
      <c r="J373" s="160"/>
      <c r="K373" s="172"/>
      <c r="L373" s="172"/>
      <c r="M373" s="172"/>
      <c r="N373" s="160"/>
      <c r="O373" s="160"/>
      <c r="P373" s="160"/>
      <c r="Q373" s="160"/>
      <c r="R373" s="160"/>
      <c r="S373" s="160"/>
      <c r="T373" s="18"/>
      <c r="U373" s="18"/>
      <c r="V373" s="18"/>
      <c r="W373" s="18"/>
      <c r="X373" s="18"/>
      <c r="Y373" s="18"/>
      <c r="Z373" s="18"/>
      <c r="AA373" s="18"/>
    </row>
    <row r="374">
      <c r="A374" s="317"/>
      <c r="B374" s="172"/>
      <c r="C374" s="160"/>
      <c r="D374" s="160"/>
      <c r="E374" s="160"/>
      <c r="F374" s="160"/>
      <c r="G374" s="160"/>
      <c r="H374" s="160"/>
      <c r="I374" s="172"/>
      <c r="J374" s="160"/>
      <c r="K374" s="172"/>
      <c r="L374" s="172"/>
      <c r="M374" s="172"/>
      <c r="N374" s="160"/>
      <c r="O374" s="160"/>
      <c r="P374" s="160"/>
      <c r="Q374" s="160"/>
      <c r="R374" s="160"/>
      <c r="S374" s="160"/>
      <c r="T374" s="18"/>
      <c r="U374" s="18"/>
      <c r="V374" s="18"/>
      <c r="W374" s="18"/>
      <c r="X374" s="18"/>
      <c r="Y374" s="18"/>
      <c r="Z374" s="18"/>
      <c r="AA374" s="18"/>
    </row>
    <row r="375">
      <c r="A375" s="317"/>
      <c r="B375" s="172"/>
      <c r="C375" s="160"/>
      <c r="D375" s="160"/>
      <c r="E375" s="160"/>
      <c r="F375" s="160"/>
      <c r="G375" s="160"/>
      <c r="H375" s="160"/>
      <c r="I375" s="172"/>
      <c r="J375" s="160"/>
      <c r="K375" s="172"/>
      <c r="L375" s="172"/>
      <c r="M375" s="172"/>
      <c r="N375" s="160"/>
      <c r="O375" s="160"/>
      <c r="P375" s="160"/>
      <c r="Q375" s="160"/>
      <c r="R375" s="160"/>
      <c r="S375" s="160"/>
      <c r="T375" s="18"/>
      <c r="U375" s="18"/>
      <c r="V375" s="18"/>
      <c r="W375" s="18"/>
      <c r="X375" s="18"/>
      <c r="Y375" s="18"/>
      <c r="Z375" s="18"/>
      <c r="AA375" s="18"/>
    </row>
    <row r="376">
      <c r="A376" s="317"/>
      <c r="B376" s="172"/>
      <c r="C376" s="160"/>
      <c r="D376" s="160"/>
      <c r="E376" s="160"/>
      <c r="F376" s="160"/>
      <c r="G376" s="160"/>
      <c r="H376" s="160"/>
      <c r="I376" s="172"/>
      <c r="J376" s="160"/>
      <c r="K376" s="172"/>
      <c r="L376" s="172"/>
      <c r="M376" s="172"/>
      <c r="N376" s="160"/>
      <c r="O376" s="160"/>
      <c r="P376" s="160"/>
      <c r="Q376" s="160"/>
      <c r="R376" s="160"/>
      <c r="S376" s="160"/>
      <c r="T376" s="18"/>
      <c r="U376" s="18"/>
      <c r="V376" s="18"/>
      <c r="W376" s="18"/>
      <c r="X376" s="18"/>
      <c r="Y376" s="18"/>
      <c r="Z376" s="18"/>
      <c r="AA376" s="18"/>
    </row>
    <row r="377">
      <c r="A377" s="317"/>
      <c r="B377" s="172"/>
      <c r="C377" s="160"/>
      <c r="D377" s="160"/>
      <c r="E377" s="160"/>
      <c r="F377" s="160"/>
      <c r="G377" s="160"/>
      <c r="H377" s="160"/>
      <c r="I377" s="172"/>
      <c r="J377" s="160"/>
      <c r="K377" s="172"/>
      <c r="L377" s="172"/>
      <c r="M377" s="172"/>
      <c r="N377" s="160"/>
      <c r="O377" s="160"/>
      <c r="P377" s="160"/>
      <c r="Q377" s="160"/>
      <c r="R377" s="160"/>
      <c r="S377" s="160"/>
      <c r="T377" s="18"/>
      <c r="U377" s="18"/>
      <c r="V377" s="18"/>
      <c r="W377" s="18"/>
      <c r="X377" s="18"/>
      <c r="Y377" s="18"/>
      <c r="Z377" s="18"/>
      <c r="AA377" s="18"/>
    </row>
    <row r="378">
      <c r="A378" s="317"/>
      <c r="B378" s="172"/>
      <c r="C378" s="160"/>
      <c r="D378" s="160"/>
      <c r="E378" s="160"/>
      <c r="F378" s="160"/>
      <c r="G378" s="160"/>
      <c r="H378" s="160"/>
      <c r="I378" s="172"/>
      <c r="J378" s="160"/>
      <c r="K378" s="172"/>
      <c r="L378" s="172"/>
      <c r="M378" s="172"/>
      <c r="N378" s="160"/>
      <c r="O378" s="160"/>
      <c r="P378" s="160"/>
      <c r="Q378" s="160"/>
      <c r="R378" s="160"/>
      <c r="S378" s="160"/>
      <c r="T378" s="18"/>
      <c r="U378" s="18"/>
      <c r="V378" s="18"/>
      <c r="W378" s="18"/>
      <c r="X378" s="18"/>
      <c r="Y378" s="18"/>
      <c r="Z378" s="18"/>
      <c r="AA378" s="18"/>
    </row>
    <row r="379">
      <c r="A379" s="317"/>
      <c r="B379" s="172"/>
      <c r="C379" s="160"/>
      <c r="D379" s="160"/>
      <c r="E379" s="160"/>
      <c r="F379" s="160"/>
      <c r="G379" s="160"/>
      <c r="H379" s="160"/>
      <c r="I379" s="172"/>
      <c r="J379" s="160"/>
      <c r="K379" s="172"/>
      <c r="L379" s="172"/>
      <c r="M379" s="172"/>
      <c r="N379" s="160"/>
      <c r="O379" s="160"/>
      <c r="P379" s="160"/>
      <c r="Q379" s="160"/>
      <c r="R379" s="160"/>
      <c r="S379" s="160"/>
      <c r="T379" s="18"/>
      <c r="U379" s="18"/>
      <c r="V379" s="18"/>
      <c r="W379" s="18"/>
      <c r="X379" s="18"/>
      <c r="Y379" s="18"/>
      <c r="Z379" s="18"/>
      <c r="AA379" s="18"/>
    </row>
    <row r="380">
      <c r="A380" s="317"/>
      <c r="B380" s="172"/>
      <c r="C380" s="160"/>
      <c r="D380" s="160"/>
      <c r="E380" s="160"/>
      <c r="F380" s="160"/>
      <c r="G380" s="160"/>
      <c r="H380" s="160"/>
      <c r="I380" s="172"/>
      <c r="J380" s="160"/>
      <c r="K380" s="172"/>
      <c r="L380" s="172"/>
      <c r="M380" s="172"/>
      <c r="N380" s="160"/>
      <c r="O380" s="160"/>
      <c r="P380" s="160"/>
      <c r="Q380" s="160"/>
      <c r="R380" s="160"/>
      <c r="S380" s="160"/>
      <c r="T380" s="18"/>
      <c r="U380" s="18"/>
      <c r="V380" s="18"/>
      <c r="W380" s="18"/>
      <c r="X380" s="18"/>
      <c r="Y380" s="18"/>
      <c r="Z380" s="18"/>
      <c r="AA380" s="18"/>
    </row>
    <row r="381">
      <c r="A381" s="317"/>
      <c r="B381" s="172"/>
      <c r="C381" s="160"/>
      <c r="D381" s="160"/>
      <c r="E381" s="160"/>
      <c r="F381" s="160"/>
      <c r="G381" s="160"/>
      <c r="H381" s="160"/>
      <c r="I381" s="172"/>
      <c r="J381" s="160"/>
      <c r="K381" s="172"/>
      <c r="L381" s="172"/>
      <c r="M381" s="172"/>
      <c r="N381" s="160"/>
      <c r="O381" s="160"/>
      <c r="P381" s="160"/>
      <c r="Q381" s="160"/>
      <c r="R381" s="160"/>
      <c r="S381" s="160"/>
      <c r="T381" s="18"/>
      <c r="U381" s="18"/>
      <c r="V381" s="18"/>
      <c r="W381" s="18"/>
      <c r="X381" s="18"/>
      <c r="Y381" s="18"/>
      <c r="Z381" s="18"/>
      <c r="AA381" s="18"/>
    </row>
    <row r="382">
      <c r="A382" s="317"/>
      <c r="B382" s="172"/>
      <c r="C382" s="160"/>
      <c r="D382" s="160"/>
      <c r="E382" s="160"/>
      <c r="F382" s="160"/>
      <c r="G382" s="160"/>
      <c r="H382" s="160"/>
      <c r="I382" s="172"/>
      <c r="J382" s="160"/>
      <c r="K382" s="172"/>
      <c r="L382" s="172"/>
      <c r="M382" s="172"/>
      <c r="N382" s="160"/>
      <c r="O382" s="160"/>
      <c r="P382" s="160"/>
      <c r="Q382" s="160"/>
      <c r="R382" s="160"/>
      <c r="S382" s="160"/>
      <c r="T382" s="18"/>
      <c r="U382" s="18"/>
      <c r="V382" s="18"/>
      <c r="W382" s="18"/>
      <c r="X382" s="18"/>
      <c r="Y382" s="18"/>
      <c r="Z382" s="18"/>
      <c r="AA382" s="18"/>
    </row>
    <row r="383">
      <c r="A383" s="317"/>
      <c r="B383" s="172"/>
      <c r="C383" s="160"/>
      <c r="D383" s="160"/>
      <c r="E383" s="160"/>
      <c r="F383" s="160"/>
      <c r="G383" s="160"/>
      <c r="H383" s="160"/>
      <c r="I383" s="172"/>
      <c r="J383" s="160"/>
      <c r="K383" s="172"/>
      <c r="L383" s="172"/>
      <c r="M383" s="172"/>
      <c r="N383" s="160"/>
      <c r="O383" s="160"/>
      <c r="P383" s="160"/>
      <c r="Q383" s="160"/>
      <c r="R383" s="160"/>
      <c r="S383" s="160"/>
      <c r="T383" s="18"/>
      <c r="U383" s="18"/>
      <c r="V383" s="18"/>
      <c r="W383" s="18"/>
      <c r="X383" s="18"/>
      <c r="Y383" s="18"/>
      <c r="Z383" s="18"/>
      <c r="AA383" s="18"/>
    </row>
    <row r="384">
      <c r="A384" s="317"/>
      <c r="B384" s="172"/>
      <c r="C384" s="160"/>
      <c r="D384" s="160"/>
      <c r="E384" s="160"/>
      <c r="F384" s="160"/>
      <c r="G384" s="160"/>
      <c r="H384" s="160"/>
      <c r="I384" s="172"/>
      <c r="J384" s="160"/>
      <c r="K384" s="172"/>
      <c r="L384" s="172"/>
      <c r="M384" s="172"/>
      <c r="N384" s="160"/>
      <c r="O384" s="160"/>
      <c r="P384" s="160"/>
      <c r="Q384" s="160"/>
      <c r="R384" s="160"/>
      <c r="S384" s="160"/>
      <c r="T384" s="18"/>
      <c r="U384" s="18"/>
      <c r="V384" s="18"/>
      <c r="W384" s="18"/>
      <c r="X384" s="18"/>
      <c r="Y384" s="18"/>
      <c r="Z384" s="18"/>
      <c r="AA384" s="18"/>
    </row>
    <row r="385">
      <c r="A385" s="317"/>
      <c r="B385" s="172"/>
      <c r="C385" s="160"/>
      <c r="D385" s="160"/>
      <c r="E385" s="160"/>
      <c r="F385" s="160"/>
      <c r="G385" s="160"/>
      <c r="H385" s="160"/>
      <c r="I385" s="172"/>
      <c r="J385" s="160"/>
      <c r="K385" s="172"/>
      <c r="L385" s="172"/>
      <c r="M385" s="172"/>
      <c r="N385" s="160"/>
      <c r="O385" s="160"/>
      <c r="P385" s="160"/>
      <c r="Q385" s="160"/>
      <c r="R385" s="160"/>
      <c r="S385" s="160"/>
      <c r="T385" s="18"/>
      <c r="U385" s="18"/>
      <c r="V385" s="18"/>
      <c r="W385" s="18"/>
      <c r="X385" s="18"/>
      <c r="Y385" s="18"/>
      <c r="Z385" s="18"/>
      <c r="AA385" s="18"/>
    </row>
    <row r="386">
      <c r="A386" s="317"/>
      <c r="B386" s="172"/>
      <c r="C386" s="160"/>
      <c r="D386" s="160"/>
      <c r="E386" s="160"/>
      <c r="F386" s="160"/>
      <c r="G386" s="160"/>
      <c r="H386" s="160"/>
      <c r="I386" s="172"/>
      <c r="J386" s="160"/>
      <c r="K386" s="172"/>
      <c r="L386" s="172"/>
      <c r="M386" s="172"/>
      <c r="N386" s="160"/>
      <c r="O386" s="160"/>
      <c r="P386" s="160"/>
      <c r="Q386" s="160"/>
      <c r="R386" s="160"/>
      <c r="S386" s="160"/>
      <c r="T386" s="18"/>
      <c r="U386" s="18"/>
      <c r="V386" s="18"/>
      <c r="W386" s="18"/>
      <c r="X386" s="18"/>
      <c r="Y386" s="18"/>
      <c r="Z386" s="18"/>
      <c r="AA386" s="18"/>
    </row>
    <row r="387">
      <c r="A387" s="317"/>
      <c r="B387" s="172"/>
      <c r="C387" s="160"/>
      <c r="D387" s="160"/>
      <c r="E387" s="160"/>
      <c r="F387" s="160"/>
      <c r="G387" s="160"/>
      <c r="H387" s="160"/>
      <c r="I387" s="172"/>
      <c r="J387" s="160"/>
      <c r="K387" s="172"/>
      <c r="L387" s="172"/>
      <c r="M387" s="172"/>
      <c r="N387" s="160"/>
      <c r="O387" s="160"/>
      <c r="P387" s="160"/>
      <c r="Q387" s="160"/>
      <c r="R387" s="160"/>
      <c r="S387" s="160"/>
      <c r="T387" s="18"/>
      <c r="U387" s="18"/>
      <c r="V387" s="18"/>
      <c r="W387" s="18"/>
      <c r="X387" s="18"/>
      <c r="Y387" s="18"/>
      <c r="Z387" s="18"/>
      <c r="AA387" s="18"/>
    </row>
    <row r="388">
      <c r="A388" s="317"/>
      <c r="B388" s="172"/>
      <c r="C388" s="160"/>
      <c r="D388" s="160"/>
      <c r="E388" s="160"/>
      <c r="F388" s="160"/>
      <c r="G388" s="160"/>
      <c r="H388" s="160"/>
      <c r="I388" s="172"/>
      <c r="J388" s="160"/>
      <c r="K388" s="172"/>
      <c r="L388" s="172"/>
      <c r="M388" s="172"/>
      <c r="N388" s="160"/>
      <c r="O388" s="160"/>
      <c r="P388" s="160"/>
      <c r="Q388" s="160"/>
      <c r="R388" s="160"/>
      <c r="S388" s="160"/>
      <c r="T388" s="18"/>
      <c r="U388" s="18"/>
      <c r="V388" s="18"/>
      <c r="W388" s="18"/>
      <c r="X388" s="18"/>
      <c r="Y388" s="18"/>
      <c r="Z388" s="18"/>
      <c r="AA388" s="18"/>
    </row>
    <row r="389">
      <c r="A389" s="317"/>
      <c r="B389" s="172"/>
      <c r="C389" s="160"/>
      <c r="D389" s="160"/>
      <c r="E389" s="160"/>
      <c r="F389" s="160"/>
      <c r="G389" s="160"/>
      <c r="H389" s="160"/>
      <c r="I389" s="172"/>
      <c r="J389" s="160"/>
      <c r="K389" s="172"/>
      <c r="L389" s="172"/>
      <c r="M389" s="172"/>
      <c r="N389" s="160"/>
      <c r="O389" s="160"/>
      <c r="P389" s="160"/>
      <c r="Q389" s="160"/>
      <c r="R389" s="160"/>
      <c r="S389" s="160"/>
      <c r="T389" s="18"/>
      <c r="U389" s="18"/>
      <c r="V389" s="18"/>
      <c r="W389" s="18"/>
      <c r="X389" s="18"/>
      <c r="Y389" s="18"/>
      <c r="Z389" s="18"/>
      <c r="AA389" s="18"/>
    </row>
    <row r="390">
      <c r="A390" s="317"/>
      <c r="B390" s="172"/>
      <c r="C390" s="160"/>
      <c r="D390" s="160"/>
      <c r="E390" s="160"/>
      <c r="F390" s="160"/>
      <c r="G390" s="160"/>
      <c r="H390" s="160"/>
      <c r="I390" s="172"/>
      <c r="J390" s="160"/>
      <c r="K390" s="172"/>
      <c r="L390" s="172"/>
      <c r="M390" s="172"/>
      <c r="N390" s="160"/>
      <c r="O390" s="160"/>
      <c r="P390" s="160"/>
      <c r="Q390" s="160"/>
      <c r="R390" s="160"/>
      <c r="S390" s="160"/>
      <c r="T390" s="18"/>
      <c r="U390" s="18"/>
      <c r="V390" s="18"/>
      <c r="W390" s="18"/>
      <c r="X390" s="18"/>
      <c r="Y390" s="18"/>
      <c r="Z390" s="18"/>
      <c r="AA390" s="18"/>
    </row>
    <row r="391">
      <c r="A391" s="317"/>
      <c r="B391" s="172"/>
      <c r="C391" s="160"/>
      <c r="D391" s="160"/>
      <c r="E391" s="160"/>
      <c r="F391" s="160"/>
      <c r="G391" s="160"/>
      <c r="H391" s="160"/>
      <c r="I391" s="172"/>
      <c r="J391" s="160"/>
      <c r="K391" s="172"/>
      <c r="L391" s="172"/>
      <c r="M391" s="172"/>
      <c r="N391" s="160"/>
      <c r="O391" s="160"/>
      <c r="P391" s="160"/>
      <c r="Q391" s="160"/>
      <c r="R391" s="160"/>
      <c r="S391" s="160"/>
      <c r="T391" s="18"/>
      <c r="U391" s="18"/>
      <c r="V391" s="18"/>
      <c r="W391" s="18"/>
      <c r="X391" s="18"/>
      <c r="Y391" s="18"/>
      <c r="Z391" s="18"/>
      <c r="AA391" s="18"/>
    </row>
    <row r="392">
      <c r="A392" s="317"/>
      <c r="B392" s="172"/>
      <c r="C392" s="160"/>
      <c r="D392" s="160"/>
      <c r="E392" s="160"/>
      <c r="F392" s="160"/>
      <c r="G392" s="160"/>
      <c r="H392" s="160"/>
      <c r="I392" s="172"/>
      <c r="J392" s="160"/>
      <c r="K392" s="172"/>
      <c r="L392" s="172"/>
      <c r="M392" s="172"/>
      <c r="N392" s="160"/>
      <c r="O392" s="160"/>
      <c r="P392" s="160"/>
      <c r="Q392" s="160"/>
      <c r="R392" s="160"/>
      <c r="S392" s="160"/>
      <c r="T392" s="18"/>
      <c r="U392" s="18"/>
      <c r="V392" s="18"/>
      <c r="W392" s="18"/>
      <c r="X392" s="18"/>
      <c r="Y392" s="18"/>
      <c r="Z392" s="18"/>
      <c r="AA392" s="18"/>
    </row>
    <row r="393">
      <c r="A393" s="317"/>
      <c r="B393" s="172"/>
      <c r="C393" s="160"/>
      <c r="D393" s="160"/>
      <c r="E393" s="160"/>
      <c r="F393" s="160"/>
      <c r="G393" s="160"/>
      <c r="H393" s="160"/>
      <c r="I393" s="172"/>
      <c r="J393" s="160"/>
      <c r="K393" s="172"/>
      <c r="L393" s="172"/>
      <c r="M393" s="172"/>
      <c r="N393" s="160"/>
      <c r="O393" s="160"/>
      <c r="P393" s="160"/>
      <c r="Q393" s="160"/>
      <c r="R393" s="160"/>
      <c r="S393" s="160"/>
      <c r="T393" s="18"/>
      <c r="U393" s="18"/>
      <c r="V393" s="18"/>
      <c r="W393" s="18"/>
      <c r="X393" s="18"/>
      <c r="Y393" s="18"/>
      <c r="Z393" s="18"/>
      <c r="AA393" s="18"/>
    </row>
    <row r="394">
      <c r="A394" s="317"/>
      <c r="B394" s="172"/>
      <c r="C394" s="160"/>
      <c r="D394" s="160"/>
      <c r="E394" s="160"/>
      <c r="F394" s="160"/>
      <c r="G394" s="160"/>
      <c r="H394" s="160"/>
      <c r="I394" s="172"/>
      <c r="J394" s="160"/>
      <c r="K394" s="172"/>
      <c r="L394" s="172"/>
      <c r="M394" s="172"/>
      <c r="N394" s="160"/>
      <c r="O394" s="160"/>
      <c r="P394" s="160"/>
      <c r="Q394" s="160"/>
      <c r="R394" s="160"/>
      <c r="S394" s="160"/>
      <c r="T394" s="18"/>
      <c r="U394" s="18"/>
      <c r="V394" s="18"/>
      <c r="W394" s="18"/>
      <c r="X394" s="18"/>
      <c r="Y394" s="18"/>
      <c r="Z394" s="18"/>
      <c r="AA394" s="18"/>
    </row>
    <row r="395">
      <c r="A395" s="317"/>
      <c r="B395" s="172"/>
      <c r="C395" s="160"/>
      <c r="D395" s="160"/>
      <c r="E395" s="160"/>
      <c r="F395" s="160"/>
      <c r="G395" s="160"/>
      <c r="H395" s="160"/>
      <c r="I395" s="172"/>
      <c r="J395" s="160"/>
      <c r="K395" s="172"/>
      <c r="L395" s="172"/>
      <c r="M395" s="172"/>
      <c r="N395" s="160"/>
      <c r="O395" s="160"/>
      <c r="P395" s="160"/>
      <c r="Q395" s="160"/>
      <c r="R395" s="160"/>
      <c r="S395" s="160"/>
      <c r="T395" s="18"/>
      <c r="U395" s="18"/>
      <c r="V395" s="18"/>
      <c r="W395" s="18"/>
      <c r="X395" s="18"/>
      <c r="Y395" s="18"/>
      <c r="Z395" s="18"/>
      <c r="AA395" s="18"/>
    </row>
    <row r="396">
      <c r="A396" s="317"/>
      <c r="B396" s="172"/>
      <c r="C396" s="160"/>
      <c r="D396" s="160"/>
      <c r="E396" s="160"/>
      <c r="F396" s="160"/>
      <c r="G396" s="160"/>
      <c r="H396" s="160"/>
      <c r="I396" s="172"/>
      <c r="J396" s="160"/>
      <c r="K396" s="172"/>
      <c r="L396" s="172"/>
      <c r="M396" s="172"/>
      <c r="N396" s="160"/>
      <c r="O396" s="160"/>
      <c r="P396" s="160"/>
      <c r="Q396" s="160"/>
      <c r="R396" s="160"/>
      <c r="S396" s="160"/>
      <c r="T396" s="18"/>
      <c r="U396" s="18"/>
      <c r="V396" s="18"/>
      <c r="W396" s="18"/>
      <c r="X396" s="18"/>
      <c r="Y396" s="18"/>
      <c r="Z396" s="18"/>
      <c r="AA396" s="18"/>
    </row>
    <row r="397">
      <c r="A397" s="317"/>
      <c r="B397" s="172"/>
      <c r="C397" s="160"/>
      <c r="D397" s="160"/>
      <c r="E397" s="160"/>
      <c r="F397" s="160"/>
      <c r="G397" s="160"/>
      <c r="H397" s="160"/>
      <c r="I397" s="172"/>
      <c r="J397" s="160"/>
      <c r="K397" s="172"/>
      <c r="L397" s="172"/>
      <c r="M397" s="172"/>
      <c r="N397" s="160"/>
      <c r="O397" s="160"/>
      <c r="P397" s="160"/>
      <c r="Q397" s="160"/>
      <c r="R397" s="160"/>
      <c r="S397" s="160"/>
      <c r="T397" s="18"/>
      <c r="U397" s="18"/>
      <c r="V397" s="18"/>
      <c r="W397" s="18"/>
      <c r="X397" s="18"/>
      <c r="Y397" s="18"/>
      <c r="Z397" s="18"/>
      <c r="AA397" s="18"/>
    </row>
    <row r="398">
      <c r="A398" s="317"/>
      <c r="B398" s="172"/>
      <c r="C398" s="160"/>
      <c r="D398" s="160"/>
      <c r="E398" s="160"/>
      <c r="F398" s="160"/>
      <c r="G398" s="160"/>
      <c r="H398" s="160"/>
      <c r="I398" s="172"/>
      <c r="J398" s="160"/>
      <c r="K398" s="172"/>
      <c r="L398" s="172"/>
      <c r="M398" s="172"/>
      <c r="N398" s="160"/>
      <c r="O398" s="160"/>
      <c r="P398" s="160"/>
      <c r="Q398" s="160"/>
      <c r="R398" s="160"/>
      <c r="S398" s="160"/>
      <c r="T398" s="18"/>
      <c r="U398" s="18"/>
      <c r="V398" s="18"/>
      <c r="W398" s="18"/>
      <c r="X398" s="18"/>
      <c r="Y398" s="18"/>
      <c r="Z398" s="18"/>
      <c r="AA398" s="18"/>
    </row>
    <row r="399">
      <c r="A399" s="317"/>
      <c r="B399" s="172"/>
      <c r="C399" s="160"/>
      <c r="D399" s="160"/>
      <c r="E399" s="160"/>
      <c r="F399" s="160"/>
      <c r="G399" s="160"/>
      <c r="H399" s="160"/>
      <c r="I399" s="172"/>
      <c r="J399" s="160"/>
      <c r="K399" s="172"/>
      <c r="L399" s="172"/>
      <c r="M399" s="172"/>
      <c r="N399" s="160"/>
      <c r="O399" s="160"/>
      <c r="P399" s="160"/>
      <c r="Q399" s="160"/>
      <c r="R399" s="160"/>
      <c r="S399" s="160"/>
      <c r="T399" s="18"/>
      <c r="U399" s="18"/>
      <c r="V399" s="18"/>
      <c r="W399" s="18"/>
      <c r="X399" s="18"/>
      <c r="Y399" s="18"/>
      <c r="Z399" s="18"/>
      <c r="AA399" s="18"/>
    </row>
    <row r="400">
      <c r="A400" s="317"/>
      <c r="B400" s="172"/>
      <c r="C400" s="160"/>
      <c r="D400" s="160"/>
      <c r="E400" s="160"/>
      <c r="F400" s="160"/>
      <c r="G400" s="160"/>
      <c r="H400" s="160"/>
      <c r="I400" s="172"/>
      <c r="J400" s="160"/>
      <c r="K400" s="172"/>
      <c r="L400" s="172"/>
      <c r="M400" s="172"/>
      <c r="N400" s="160"/>
      <c r="O400" s="160"/>
      <c r="P400" s="160"/>
      <c r="Q400" s="160"/>
      <c r="R400" s="160"/>
      <c r="S400" s="160"/>
      <c r="T400" s="18"/>
      <c r="U400" s="18"/>
      <c r="V400" s="18"/>
      <c r="W400" s="18"/>
      <c r="X400" s="18"/>
      <c r="Y400" s="18"/>
      <c r="Z400" s="18"/>
      <c r="AA400" s="18"/>
    </row>
    <row r="401">
      <c r="A401" s="317"/>
      <c r="B401" s="172"/>
      <c r="C401" s="160"/>
      <c r="D401" s="160"/>
      <c r="E401" s="160"/>
      <c r="F401" s="160"/>
      <c r="G401" s="160"/>
      <c r="H401" s="160"/>
      <c r="I401" s="172"/>
      <c r="J401" s="160"/>
      <c r="K401" s="172"/>
      <c r="L401" s="172"/>
      <c r="M401" s="172"/>
      <c r="N401" s="160"/>
      <c r="O401" s="160"/>
      <c r="P401" s="160"/>
      <c r="Q401" s="160"/>
      <c r="R401" s="160"/>
      <c r="S401" s="160"/>
      <c r="T401" s="18"/>
      <c r="U401" s="18"/>
      <c r="V401" s="18"/>
      <c r="W401" s="18"/>
      <c r="X401" s="18"/>
      <c r="Y401" s="18"/>
      <c r="Z401" s="18"/>
      <c r="AA401" s="18"/>
    </row>
    <row r="402">
      <c r="A402" s="317"/>
      <c r="B402" s="172"/>
      <c r="C402" s="160"/>
      <c r="D402" s="160"/>
      <c r="E402" s="160"/>
      <c r="F402" s="160"/>
      <c r="G402" s="160"/>
      <c r="H402" s="160"/>
      <c r="I402" s="172"/>
      <c r="J402" s="160"/>
      <c r="K402" s="172"/>
      <c r="L402" s="172"/>
      <c r="M402" s="172"/>
      <c r="N402" s="160"/>
      <c r="O402" s="160"/>
      <c r="P402" s="160"/>
      <c r="Q402" s="160"/>
      <c r="R402" s="160"/>
      <c r="S402" s="160"/>
      <c r="T402" s="18"/>
      <c r="U402" s="18"/>
      <c r="V402" s="18"/>
      <c r="W402" s="18"/>
      <c r="X402" s="18"/>
      <c r="Y402" s="18"/>
      <c r="Z402" s="18"/>
      <c r="AA402" s="18"/>
    </row>
    <row r="403">
      <c r="A403" s="317"/>
      <c r="B403" s="172"/>
      <c r="C403" s="160"/>
      <c r="D403" s="160"/>
      <c r="E403" s="160"/>
      <c r="F403" s="160"/>
      <c r="G403" s="160"/>
      <c r="H403" s="160"/>
      <c r="I403" s="172"/>
      <c r="J403" s="160"/>
      <c r="K403" s="172"/>
      <c r="L403" s="172"/>
      <c r="M403" s="172"/>
      <c r="N403" s="160"/>
      <c r="O403" s="160"/>
      <c r="P403" s="160"/>
      <c r="Q403" s="160"/>
      <c r="R403" s="160"/>
      <c r="S403" s="160"/>
      <c r="T403" s="18"/>
      <c r="U403" s="18"/>
      <c r="V403" s="18"/>
      <c r="W403" s="18"/>
      <c r="X403" s="18"/>
      <c r="Y403" s="18"/>
      <c r="Z403" s="18"/>
      <c r="AA403" s="18"/>
    </row>
    <row r="404">
      <c r="A404" s="317"/>
      <c r="B404" s="172"/>
      <c r="C404" s="160"/>
      <c r="D404" s="160"/>
      <c r="E404" s="160"/>
      <c r="F404" s="160"/>
      <c r="G404" s="160"/>
      <c r="H404" s="160"/>
      <c r="I404" s="172"/>
      <c r="J404" s="160"/>
      <c r="K404" s="172"/>
      <c r="L404" s="172"/>
      <c r="M404" s="172"/>
      <c r="N404" s="160"/>
      <c r="O404" s="160"/>
      <c r="P404" s="160"/>
      <c r="Q404" s="160"/>
      <c r="R404" s="160"/>
      <c r="S404" s="160"/>
      <c r="T404" s="18"/>
      <c r="U404" s="18"/>
      <c r="V404" s="18"/>
      <c r="W404" s="18"/>
      <c r="X404" s="18"/>
      <c r="Y404" s="18"/>
      <c r="Z404" s="18"/>
      <c r="AA404" s="18"/>
    </row>
    <row r="405">
      <c r="A405" s="317"/>
      <c r="B405" s="172"/>
      <c r="C405" s="160"/>
      <c r="D405" s="160"/>
      <c r="E405" s="160"/>
      <c r="F405" s="160"/>
      <c r="G405" s="160"/>
      <c r="H405" s="160"/>
      <c r="I405" s="172"/>
      <c r="J405" s="160"/>
      <c r="K405" s="172"/>
      <c r="L405" s="172"/>
      <c r="M405" s="172"/>
      <c r="N405" s="160"/>
      <c r="O405" s="160"/>
      <c r="P405" s="160"/>
      <c r="Q405" s="160"/>
      <c r="R405" s="160"/>
      <c r="S405" s="160"/>
      <c r="T405" s="18"/>
      <c r="U405" s="18"/>
      <c r="V405" s="18"/>
      <c r="W405" s="18"/>
      <c r="X405" s="18"/>
      <c r="Y405" s="18"/>
      <c r="Z405" s="18"/>
      <c r="AA405" s="18"/>
    </row>
    <row r="406">
      <c r="A406" s="317"/>
      <c r="B406" s="172"/>
      <c r="C406" s="160"/>
      <c r="D406" s="160"/>
      <c r="E406" s="160"/>
      <c r="F406" s="160"/>
      <c r="G406" s="160"/>
      <c r="H406" s="160"/>
      <c r="I406" s="172"/>
      <c r="J406" s="160"/>
      <c r="K406" s="172"/>
      <c r="L406" s="172"/>
      <c r="M406" s="172"/>
      <c r="N406" s="160"/>
      <c r="O406" s="160"/>
      <c r="P406" s="160"/>
      <c r="Q406" s="160"/>
      <c r="R406" s="160"/>
      <c r="S406" s="160"/>
      <c r="T406" s="18"/>
      <c r="U406" s="18"/>
      <c r="V406" s="18"/>
      <c r="W406" s="18"/>
      <c r="X406" s="18"/>
      <c r="Y406" s="18"/>
      <c r="Z406" s="18"/>
      <c r="AA406" s="18"/>
    </row>
    <row r="407">
      <c r="A407" s="317"/>
      <c r="B407" s="172"/>
      <c r="C407" s="160"/>
      <c r="D407" s="160"/>
      <c r="E407" s="160"/>
      <c r="F407" s="160"/>
      <c r="G407" s="160"/>
      <c r="H407" s="160"/>
      <c r="I407" s="172"/>
      <c r="J407" s="160"/>
      <c r="K407" s="172"/>
      <c r="L407" s="172"/>
      <c r="M407" s="172"/>
      <c r="N407" s="160"/>
      <c r="O407" s="160"/>
      <c r="P407" s="160"/>
      <c r="Q407" s="160"/>
      <c r="R407" s="160"/>
      <c r="S407" s="160"/>
      <c r="T407" s="18"/>
      <c r="U407" s="18"/>
      <c r="V407" s="18"/>
      <c r="W407" s="18"/>
      <c r="X407" s="18"/>
      <c r="Y407" s="18"/>
      <c r="Z407" s="18"/>
      <c r="AA407" s="18"/>
    </row>
    <row r="408">
      <c r="A408" s="317"/>
      <c r="B408" s="172"/>
      <c r="C408" s="160"/>
      <c r="D408" s="160"/>
      <c r="E408" s="160"/>
      <c r="F408" s="160"/>
      <c r="G408" s="160"/>
      <c r="H408" s="160"/>
      <c r="I408" s="172"/>
      <c r="J408" s="160"/>
      <c r="K408" s="172"/>
      <c r="L408" s="172"/>
      <c r="M408" s="172"/>
      <c r="N408" s="160"/>
      <c r="O408" s="160"/>
      <c r="P408" s="160"/>
      <c r="Q408" s="160"/>
      <c r="R408" s="160"/>
      <c r="S408" s="160"/>
      <c r="T408" s="18"/>
      <c r="U408" s="18"/>
      <c r="V408" s="18"/>
      <c r="W408" s="18"/>
      <c r="X408" s="18"/>
      <c r="Y408" s="18"/>
      <c r="Z408" s="18"/>
      <c r="AA408" s="18"/>
    </row>
    <row r="409">
      <c r="A409" s="317"/>
      <c r="B409" s="172"/>
      <c r="C409" s="160"/>
      <c r="D409" s="160"/>
      <c r="E409" s="160"/>
      <c r="F409" s="160"/>
      <c r="G409" s="160"/>
      <c r="H409" s="160"/>
      <c r="I409" s="172"/>
      <c r="J409" s="160"/>
      <c r="K409" s="172"/>
      <c r="L409" s="172"/>
      <c r="M409" s="172"/>
      <c r="N409" s="160"/>
      <c r="O409" s="160"/>
      <c r="P409" s="160"/>
      <c r="Q409" s="160"/>
      <c r="R409" s="160"/>
      <c r="S409" s="160"/>
      <c r="T409" s="18"/>
      <c r="U409" s="18"/>
      <c r="V409" s="18"/>
      <c r="W409" s="18"/>
      <c r="X409" s="18"/>
      <c r="Y409" s="18"/>
      <c r="Z409" s="18"/>
      <c r="AA409" s="18"/>
    </row>
    <row r="410">
      <c r="A410" s="317"/>
      <c r="B410" s="172"/>
      <c r="C410" s="160"/>
      <c r="D410" s="160"/>
      <c r="E410" s="160"/>
      <c r="F410" s="160"/>
      <c r="G410" s="160"/>
      <c r="H410" s="160"/>
      <c r="I410" s="172"/>
      <c r="J410" s="160"/>
      <c r="K410" s="172"/>
      <c r="L410" s="172"/>
      <c r="M410" s="172"/>
      <c r="N410" s="160"/>
      <c r="O410" s="160"/>
      <c r="P410" s="160"/>
      <c r="Q410" s="160"/>
      <c r="R410" s="160"/>
      <c r="S410" s="160"/>
      <c r="T410" s="18"/>
      <c r="U410" s="18"/>
      <c r="V410" s="18"/>
      <c r="W410" s="18"/>
      <c r="X410" s="18"/>
      <c r="Y410" s="18"/>
      <c r="Z410" s="18"/>
      <c r="AA410" s="18"/>
    </row>
    <row r="411">
      <c r="A411" s="317"/>
      <c r="B411" s="172"/>
      <c r="C411" s="160"/>
      <c r="D411" s="160"/>
      <c r="E411" s="160"/>
      <c r="F411" s="160"/>
      <c r="G411" s="160"/>
      <c r="H411" s="160"/>
      <c r="I411" s="172"/>
      <c r="J411" s="160"/>
      <c r="K411" s="172"/>
      <c r="L411" s="172"/>
      <c r="M411" s="172"/>
      <c r="N411" s="160"/>
      <c r="O411" s="160"/>
      <c r="P411" s="160"/>
      <c r="Q411" s="160"/>
      <c r="R411" s="160"/>
      <c r="S411" s="160"/>
      <c r="T411" s="18"/>
      <c r="U411" s="18"/>
      <c r="V411" s="18"/>
      <c r="W411" s="18"/>
      <c r="X411" s="18"/>
      <c r="Y411" s="18"/>
      <c r="Z411" s="18"/>
      <c r="AA411" s="18"/>
    </row>
    <row r="412">
      <c r="A412" s="317"/>
      <c r="B412" s="172"/>
      <c r="C412" s="160"/>
      <c r="D412" s="160"/>
      <c r="E412" s="160"/>
      <c r="F412" s="160"/>
      <c r="G412" s="160"/>
      <c r="H412" s="160"/>
      <c r="I412" s="172"/>
      <c r="J412" s="160"/>
      <c r="K412" s="172"/>
      <c r="L412" s="172"/>
      <c r="M412" s="172"/>
      <c r="N412" s="160"/>
      <c r="O412" s="160"/>
      <c r="P412" s="160"/>
      <c r="Q412" s="160"/>
      <c r="R412" s="160"/>
      <c r="S412" s="160"/>
      <c r="T412" s="18"/>
      <c r="U412" s="18"/>
      <c r="V412" s="18"/>
      <c r="W412" s="18"/>
      <c r="X412" s="18"/>
      <c r="Y412" s="18"/>
      <c r="Z412" s="18"/>
      <c r="AA412" s="18"/>
    </row>
    <row r="413">
      <c r="A413" s="317"/>
      <c r="B413" s="172"/>
      <c r="C413" s="160"/>
      <c r="D413" s="160"/>
      <c r="E413" s="160"/>
      <c r="F413" s="160"/>
      <c r="G413" s="160"/>
      <c r="H413" s="160"/>
      <c r="I413" s="172"/>
      <c r="J413" s="160"/>
      <c r="K413" s="172"/>
      <c r="L413" s="172"/>
      <c r="M413" s="172"/>
      <c r="N413" s="160"/>
      <c r="O413" s="160"/>
      <c r="P413" s="160"/>
      <c r="Q413" s="160"/>
      <c r="R413" s="160"/>
      <c r="S413" s="160"/>
      <c r="T413" s="18"/>
      <c r="U413" s="18"/>
      <c r="V413" s="18"/>
      <c r="W413" s="18"/>
      <c r="X413" s="18"/>
      <c r="Y413" s="18"/>
      <c r="Z413" s="18"/>
      <c r="AA413" s="18"/>
    </row>
    <row r="414">
      <c r="A414" s="317"/>
      <c r="B414" s="172"/>
      <c r="C414" s="160"/>
      <c r="D414" s="160"/>
      <c r="E414" s="160"/>
      <c r="F414" s="160"/>
      <c r="G414" s="160"/>
      <c r="H414" s="160"/>
      <c r="I414" s="172"/>
      <c r="J414" s="160"/>
      <c r="K414" s="172"/>
      <c r="L414" s="172"/>
      <c r="M414" s="172"/>
      <c r="N414" s="160"/>
      <c r="O414" s="160"/>
      <c r="P414" s="160"/>
      <c r="Q414" s="160"/>
      <c r="R414" s="160"/>
      <c r="S414" s="160"/>
      <c r="T414" s="18"/>
      <c r="U414" s="18"/>
      <c r="V414" s="18"/>
      <c r="W414" s="18"/>
      <c r="X414" s="18"/>
      <c r="Y414" s="18"/>
      <c r="Z414" s="18"/>
      <c r="AA414" s="18"/>
    </row>
    <row r="415">
      <c r="A415" s="317"/>
      <c r="B415" s="172"/>
      <c r="C415" s="160"/>
      <c r="D415" s="160"/>
      <c r="E415" s="160"/>
      <c r="F415" s="160"/>
      <c r="G415" s="160"/>
      <c r="H415" s="160"/>
      <c r="I415" s="172"/>
      <c r="J415" s="160"/>
      <c r="K415" s="172"/>
      <c r="L415" s="172"/>
      <c r="M415" s="172"/>
      <c r="N415" s="160"/>
      <c r="O415" s="160"/>
      <c r="P415" s="160"/>
      <c r="Q415" s="160"/>
      <c r="R415" s="160"/>
      <c r="S415" s="160"/>
      <c r="T415" s="18"/>
      <c r="U415" s="18"/>
      <c r="V415" s="18"/>
      <c r="W415" s="18"/>
      <c r="X415" s="18"/>
      <c r="Y415" s="18"/>
      <c r="Z415" s="18"/>
      <c r="AA415" s="18"/>
    </row>
    <row r="416">
      <c r="A416" s="317"/>
      <c r="B416" s="172"/>
      <c r="C416" s="160"/>
      <c r="D416" s="160"/>
      <c r="E416" s="160"/>
      <c r="F416" s="160"/>
      <c r="G416" s="160"/>
      <c r="H416" s="160"/>
      <c r="I416" s="172"/>
      <c r="J416" s="160"/>
      <c r="K416" s="172"/>
      <c r="L416" s="172"/>
      <c r="M416" s="172"/>
      <c r="N416" s="160"/>
      <c r="O416" s="160"/>
      <c r="P416" s="160"/>
      <c r="Q416" s="160"/>
      <c r="R416" s="160"/>
      <c r="S416" s="160"/>
      <c r="T416" s="18"/>
      <c r="U416" s="18"/>
      <c r="V416" s="18"/>
      <c r="W416" s="18"/>
      <c r="X416" s="18"/>
      <c r="Y416" s="18"/>
      <c r="Z416" s="18"/>
      <c r="AA416" s="18"/>
    </row>
    <row r="417">
      <c r="A417" s="317"/>
      <c r="B417" s="172"/>
      <c r="C417" s="160"/>
      <c r="D417" s="160"/>
      <c r="E417" s="160"/>
      <c r="F417" s="160"/>
      <c r="G417" s="160"/>
      <c r="H417" s="160"/>
      <c r="I417" s="172"/>
      <c r="J417" s="160"/>
      <c r="K417" s="172"/>
      <c r="L417" s="172"/>
      <c r="M417" s="172"/>
      <c r="N417" s="160"/>
      <c r="O417" s="160"/>
      <c r="P417" s="160"/>
      <c r="Q417" s="160"/>
      <c r="R417" s="160"/>
      <c r="S417" s="160"/>
      <c r="T417" s="18"/>
      <c r="U417" s="18"/>
      <c r="V417" s="18"/>
      <c r="W417" s="18"/>
      <c r="X417" s="18"/>
      <c r="Y417" s="18"/>
      <c r="Z417" s="18"/>
      <c r="AA417" s="18"/>
    </row>
    <row r="418">
      <c r="A418" s="317"/>
      <c r="B418" s="172"/>
      <c r="C418" s="160"/>
      <c r="D418" s="160"/>
      <c r="E418" s="160"/>
      <c r="F418" s="160"/>
      <c r="G418" s="160"/>
      <c r="H418" s="160"/>
      <c r="I418" s="172"/>
      <c r="J418" s="160"/>
      <c r="K418" s="172"/>
      <c r="L418" s="172"/>
      <c r="M418" s="172"/>
      <c r="N418" s="160"/>
      <c r="O418" s="160"/>
      <c r="P418" s="160"/>
      <c r="Q418" s="160"/>
      <c r="R418" s="160"/>
      <c r="S418" s="160"/>
      <c r="T418" s="18"/>
      <c r="U418" s="18"/>
      <c r="V418" s="18"/>
      <c r="W418" s="18"/>
      <c r="X418" s="18"/>
      <c r="Y418" s="18"/>
      <c r="Z418" s="18"/>
      <c r="AA418" s="18"/>
    </row>
    <row r="419">
      <c r="A419" s="317"/>
      <c r="B419" s="172"/>
      <c r="C419" s="160"/>
      <c r="D419" s="160"/>
      <c r="E419" s="160"/>
      <c r="F419" s="160"/>
      <c r="G419" s="160"/>
      <c r="H419" s="160"/>
      <c r="I419" s="172"/>
      <c r="J419" s="160"/>
      <c r="K419" s="172"/>
      <c r="L419" s="172"/>
      <c r="M419" s="172"/>
      <c r="N419" s="160"/>
      <c r="O419" s="160"/>
      <c r="P419" s="160"/>
      <c r="Q419" s="160"/>
      <c r="R419" s="160"/>
      <c r="S419" s="160"/>
      <c r="T419" s="18"/>
      <c r="U419" s="18"/>
      <c r="V419" s="18"/>
      <c r="W419" s="18"/>
      <c r="X419" s="18"/>
      <c r="Y419" s="18"/>
      <c r="Z419" s="18"/>
      <c r="AA419" s="18"/>
    </row>
    <row r="420">
      <c r="A420" s="317"/>
      <c r="B420" s="172"/>
      <c r="C420" s="160"/>
      <c r="D420" s="160"/>
      <c r="E420" s="160"/>
      <c r="F420" s="160"/>
      <c r="G420" s="160"/>
      <c r="H420" s="160"/>
      <c r="I420" s="172"/>
      <c r="J420" s="160"/>
      <c r="K420" s="172"/>
      <c r="L420" s="172"/>
      <c r="M420" s="172"/>
      <c r="N420" s="160"/>
      <c r="O420" s="160"/>
      <c r="P420" s="160"/>
      <c r="Q420" s="160"/>
      <c r="R420" s="160"/>
      <c r="S420" s="160"/>
      <c r="T420" s="18"/>
      <c r="U420" s="18"/>
      <c r="V420" s="18"/>
      <c r="W420" s="18"/>
      <c r="X420" s="18"/>
      <c r="Y420" s="18"/>
      <c r="Z420" s="18"/>
      <c r="AA420" s="18"/>
    </row>
    <row r="421">
      <c r="A421" s="317"/>
      <c r="B421" s="172"/>
      <c r="C421" s="160"/>
      <c r="D421" s="160"/>
      <c r="E421" s="160"/>
      <c r="F421" s="160"/>
      <c r="G421" s="160"/>
      <c r="H421" s="160"/>
      <c r="I421" s="172"/>
      <c r="J421" s="160"/>
      <c r="K421" s="172"/>
      <c r="L421" s="172"/>
      <c r="M421" s="172"/>
      <c r="N421" s="160"/>
      <c r="O421" s="160"/>
      <c r="P421" s="160"/>
      <c r="Q421" s="160"/>
      <c r="R421" s="160"/>
      <c r="S421" s="160"/>
      <c r="T421" s="18"/>
      <c r="U421" s="18"/>
      <c r="V421" s="18"/>
      <c r="W421" s="18"/>
      <c r="X421" s="18"/>
      <c r="Y421" s="18"/>
      <c r="Z421" s="18"/>
      <c r="AA421" s="18"/>
    </row>
    <row r="422">
      <c r="A422" s="317"/>
      <c r="B422" s="172"/>
      <c r="C422" s="160"/>
      <c r="D422" s="160"/>
      <c r="E422" s="160"/>
      <c r="F422" s="160"/>
      <c r="G422" s="160"/>
      <c r="H422" s="160"/>
      <c r="I422" s="172"/>
      <c r="J422" s="160"/>
      <c r="K422" s="172"/>
      <c r="L422" s="172"/>
      <c r="M422" s="172"/>
      <c r="N422" s="160"/>
      <c r="O422" s="160"/>
      <c r="P422" s="160"/>
      <c r="Q422" s="160"/>
      <c r="R422" s="160"/>
      <c r="S422" s="160"/>
      <c r="T422" s="18"/>
      <c r="U422" s="18"/>
      <c r="V422" s="18"/>
      <c r="W422" s="18"/>
      <c r="X422" s="18"/>
      <c r="Y422" s="18"/>
      <c r="Z422" s="18"/>
      <c r="AA422" s="18"/>
    </row>
    <row r="423">
      <c r="A423" s="317"/>
      <c r="B423" s="172"/>
      <c r="C423" s="160"/>
      <c r="D423" s="160"/>
      <c r="E423" s="160"/>
      <c r="F423" s="160"/>
      <c r="G423" s="160"/>
      <c r="H423" s="160"/>
      <c r="I423" s="172"/>
      <c r="J423" s="160"/>
      <c r="K423" s="172"/>
      <c r="L423" s="172"/>
      <c r="M423" s="172"/>
      <c r="N423" s="160"/>
      <c r="O423" s="160"/>
      <c r="P423" s="160"/>
      <c r="Q423" s="160"/>
      <c r="R423" s="160"/>
      <c r="S423" s="160"/>
      <c r="T423" s="18"/>
      <c r="U423" s="18"/>
      <c r="V423" s="18"/>
      <c r="W423" s="18"/>
      <c r="X423" s="18"/>
      <c r="Y423" s="18"/>
      <c r="Z423" s="18"/>
      <c r="AA423" s="18"/>
    </row>
    <row r="424">
      <c r="A424" s="317"/>
      <c r="B424" s="172"/>
      <c r="C424" s="160"/>
      <c r="D424" s="160"/>
      <c r="E424" s="160"/>
      <c r="F424" s="160"/>
      <c r="G424" s="160"/>
      <c r="H424" s="160"/>
      <c r="I424" s="172"/>
      <c r="J424" s="160"/>
      <c r="K424" s="172"/>
      <c r="L424" s="172"/>
      <c r="M424" s="172"/>
      <c r="N424" s="160"/>
      <c r="O424" s="160"/>
      <c r="P424" s="160"/>
      <c r="Q424" s="160"/>
      <c r="R424" s="160"/>
      <c r="S424" s="160"/>
      <c r="T424" s="18"/>
      <c r="U424" s="18"/>
      <c r="V424" s="18"/>
      <c r="W424" s="18"/>
      <c r="X424" s="18"/>
      <c r="Y424" s="18"/>
      <c r="Z424" s="18"/>
      <c r="AA424" s="18"/>
    </row>
    <row r="425">
      <c r="A425" s="317"/>
      <c r="B425" s="172"/>
      <c r="C425" s="160"/>
      <c r="D425" s="160"/>
      <c r="E425" s="160"/>
      <c r="F425" s="160"/>
      <c r="G425" s="160"/>
      <c r="H425" s="160"/>
      <c r="I425" s="172"/>
      <c r="J425" s="160"/>
      <c r="K425" s="172"/>
      <c r="L425" s="172"/>
      <c r="M425" s="172"/>
      <c r="N425" s="160"/>
      <c r="O425" s="160"/>
      <c r="P425" s="160"/>
      <c r="Q425" s="160"/>
      <c r="R425" s="160"/>
      <c r="S425" s="160"/>
      <c r="T425" s="18"/>
      <c r="U425" s="18"/>
      <c r="V425" s="18"/>
      <c r="W425" s="18"/>
      <c r="X425" s="18"/>
      <c r="Y425" s="18"/>
      <c r="Z425" s="18"/>
      <c r="AA425" s="18"/>
    </row>
    <row r="426">
      <c r="A426" s="317"/>
      <c r="B426" s="172"/>
      <c r="C426" s="160"/>
      <c r="D426" s="160"/>
      <c r="E426" s="160"/>
      <c r="F426" s="160"/>
      <c r="G426" s="160"/>
      <c r="H426" s="160"/>
      <c r="I426" s="172"/>
      <c r="J426" s="160"/>
      <c r="K426" s="172"/>
      <c r="L426" s="172"/>
      <c r="M426" s="172"/>
      <c r="N426" s="160"/>
      <c r="O426" s="160"/>
      <c r="P426" s="160"/>
      <c r="Q426" s="160"/>
      <c r="R426" s="160"/>
      <c r="S426" s="160"/>
      <c r="T426" s="18"/>
      <c r="U426" s="18"/>
      <c r="V426" s="18"/>
      <c r="W426" s="18"/>
      <c r="X426" s="18"/>
      <c r="Y426" s="18"/>
      <c r="Z426" s="18"/>
      <c r="AA426" s="18"/>
    </row>
    <row r="427">
      <c r="A427" s="317"/>
      <c r="B427" s="172"/>
      <c r="C427" s="160"/>
      <c r="D427" s="160"/>
      <c r="E427" s="160"/>
      <c r="F427" s="160"/>
      <c r="G427" s="160"/>
      <c r="H427" s="160"/>
      <c r="I427" s="172"/>
      <c r="J427" s="160"/>
      <c r="K427" s="172"/>
      <c r="L427" s="172"/>
      <c r="M427" s="172"/>
      <c r="N427" s="160"/>
      <c r="O427" s="160"/>
      <c r="P427" s="160"/>
      <c r="Q427" s="160"/>
      <c r="R427" s="160"/>
      <c r="S427" s="160"/>
      <c r="T427" s="18"/>
      <c r="U427" s="18"/>
      <c r="V427" s="18"/>
      <c r="W427" s="18"/>
      <c r="X427" s="18"/>
      <c r="Y427" s="18"/>
      <c r="Z427" s="18"/>
      <c r="AA427" s="18"/>
    </row>
    <row r="428">
      <c r="A428" s="317"/>
      <c r="B428" s="172"/>
      <c r="C428" s="160"/>
      <c r="D428" s="160"/>
      <c r="E428" s="160"/>
      <c r="F428" s="160"/>
      <c r="G428" s="160"/>
      <c r="H428" s="160"/>
      <c r="I428" s="172"/>
      <c r="J428" s="160"/>
      <c r="K428" s="172"/>
      <c r="L428" s="172"/>
      <c r="M428" s="172"/>
      <c r="N428" s="160"/>
      <c r="O428" s="160"/>
      <c r="P428" s="160"/>
      <c r="Q428" s="160"/>
      <c r="R428" s="160"/>
      <c r="S428" s="160"/>
      <c r="T428" s="18"/>
      <c r="U428" s="18"/>
      <c r="V428" s="18"/>
      <c r="W428" s="18"/>
      <c r="X428" s="18"/>
      <c r="Y428" s="18"/>
      <c r="Z428" s="18"/>
      <c r="AA428" s="18"/>
    </row>
    <row r="429">
      <c r="A429" s="317"/>
      <c r="B429" s="172"/>
      <c r="C429" s="160"/>
      <c r="D429" s="160"/>
      <c r="E429" s="160"/>
      <c r="F429" s="160"/>
      <c r="G429" s="160"/>
      <c r="H429" s="160"/>
      <c r="I429" s="172"/>
      <c r="J429" s="160"/>
      <c r="K429" s="172"/>
      <c r="L429" s="172"/>
      <c r="M429" s="172"/>
      <c r="N429" s="160"/>
      <c r="O429" s="160"/>
      <c r="P429" s="160"/>
      <c r="Q429" s="160"/>
      <c r="R429" s="160"/>
      <c r="S429" s="160"/>
      <c r="T429" s="18"/>
      <c r="U429" s="18"/>
      <c r="V429" s="18"/>
      <c r="W429" s="18"/>
      <c r="X429" s="18"/>
      <c r="Y429" s="18"/>
      <c r="Z429" s="18"/>
      <c r="AA429" s="18"/>
    </row>
    <row r="430">
      <c r="A430" s="317"/>
      <c r="B430" s="172"/>
      <c r="C430" s="160"/>
      <c r="D430" s="160"/>
      <c r="E430" s="160"/>
      <c r="F430" s="160"/>
      <c r="G430" s="160"/>
      <c r="H430" s="160"/>
      <c r="I430" s="172"/>
      <c r="J430" s="160"/>
      <c r="K430" s="172"/>
      <c r="L430" s="172"/>
      <c r="M430" s="172"/>
      <c r="N430" s="160"/>
      <c r="O430" s="160"/>
      <c r="P430" s="160"/>
      <c r="Q430" s="160"/>
      <c r="R430" s="160"/>
      <c r="S430" s="160"/>
      <c r="T430" s="18"/>
      <c r="U430" s="18"/>
      <c r="V430" s="18"/>
      <c r="W430" s="18"/>
      <c r="X430" s="18"/>
      <c r="Y430" s="18"/>
      <c r="Z430" s="18"/>
      <c r="AA430" s="18"/>
    </row>
    <row r="431">
      <c r="A431" s="317"/>
      <c r="B431" s="172"/>
      <c r="C431" s="160"/>
      <c r="D431" s="160"/>
      <c r="E431" s="160"/>
      <c r="F431" s="160"/>
      <c r="G431" s="160"/>
      <c r="H431" s="160"/>
      <c r="I431" s="172"/>
      <c r="J431" s="160"/>
      <c r="K431" s="172"/>
      <c r="L431" s="172"/>
      <c r="M431" s="172"/>
      <c r="N431" s="160"/>
      <c r="O431" s="160"/>
      <c r="P431" s="160"/>
      <c r="Q431" s="160"/>
      <c r="R431" s="160"/>
      <c r="S431" s="160"/>
      <c r="T431" s="18"/>
      <c r="U431" s="18"/>
      <c r="V431" s="18"/>
      <c r="W431" s="18"/>
      <c r="X431" s="18"/>
      <c r="Y431" s="18"/>
      <c r="Z431" s="18"/>
      <c r="AA431" s="18"/>
    </row>
    <row r="432">
      <c r="A432" s="317"/>
      <c r="B432" s="172"/>
      <c r="C432" s="160"/>
      <c r="D432" s="160"/>
      <c r="E432" s="160"/>
      <c r="F432" s="160"/>
      <c r="G432" s="160"/>
      <c r="H432" s="160"/>
      <c r="I432" s="172"/>
      <c r="J432" s="160"/>
      <c r="K432" s="172"/>
      <c r="L432" s="172"/>
      <c r="M432" s="172"/>
      <c r="N432" s="160"/>
      <c r="O432" s="160"/>
      <c r="P432" s="160"/>
      <c r="Q432" s="160"/>
      <c r="R432" s="160"/>
      <c r="S432" s="160"/>
      <c r="T432" s="18"/>
      <c r="U432" s="18"/>
      <c r="V432" s="18"/>
      <c r="W432" s="18"/>
      <c r="X432" s="18"/>
      <c r="Y432" s="18"/>
      <c r="Z432" s="18"/>
      <c r="AA432" s="18"/>
    </row>
    <row r="433">
      <c r="A433" s="317"/>
      <c r="B433" s="172"/>
      <c r="C433" s="160"/>
      <c r="D433" s="160"/>
      <c r="E433" s="160"/>
      <c r="F433" s="160"/>
      <c r="G433" s="160"/>
      <c r="H433" s="160"/>
      <c r="I433" s="172"/>
      <c r="J433" s="160"/>
      <c r="K433" s="172"/>
      <c r="L433" s="172"/>
      <c r="M433" s="172"/>
      <c r="N433" s="160"/>
      <c r="O433" s="160"/>
      <c r="P433" s="160"/>
      <c r="Q433" s="160"/>
      <c r="R433" s="160"/>
      <c r="S433" s="160"/>
      <c r="T433" s="18"/>
      <c r="U433" s="18"/>
      <c r="V433" s="18"/>
      <c r="W433" s="18"/>
      <c r="X433" s="18"/>
      <c r="Y433" s="18"/>
      <c r="Z433" s="18"/>
      <c r="AA433" s="18"/>
    </row>
    <row r="434">
      <c r="A434" s="317"/>
      <c r="B434" s="172"/>
      <c r="C434" s="160"/>
      <c r="D434" s="160"/>
      <c r="E434" s="160"/>
      <c r="F434" s="160"/>
      <c r="G434" s="160"/>
      <c r="H434" s="160"/>
      <c r="I434" s="172"/>
      <c r="J434" s="160"/>
      <c r="K434" s="172"/>
      <c r="L434" s="172"/>
      <c r="M434" s="172"/>
      <c r="N434" s="160"/>
      <c r="O434" s="160"/>
      <c r="P434" s="160"/>
      <c r="Q434" s="160"/>
      <c r="R434" s="160"/>
      <c r="S434" s="160"/>
      <c r="T434" s="18"/>
      <c r="U434" s="18"/>
      <c r="V434" s="18"/>
      <c r="W434" s="18"/>
      <c r="X434" s="18"/>
      <c r="Y434" s="18"/>
      <c r="Z434" s="18"/>
      <c r="AA434" s="18"/>
    </row>
    <row r="435">
      <c r="A435" s="317"/>
      <c r="B435" s="172"/>
      <c r="C435" s="160"/>
      <c r="D435" s="160"/>
      <c r="E435" s="160"/>
      <c r="F435" s="160"/>
      <c r="G435" s="160"/>
      <c r="H435" s="160"/>
      <c r="I435" s="172"/>
      <c r="J435" s="160"/>
      <c r="K435" s="172"/>
      <c r="L435" s="172"/>
      <c r="M435" s="172"/>
      <c r="N435" s="160"/>
      <c r="O435" s="160"/>
      <c r="P435" s="160"/>
      <c r="Q435" s="160"/>
      <c r="R435" s="160"/>
      <c r="S435" s="160"/>
      <c r="T435" s="18"/>
      <c r="U435" s="18"/>
      <c r="V435" s="18"/>
      <c r="W435" s="18"/>
      <c r="X435" s="18"/>
      <c r="Y435" s="18"/>
      <c r="Z435" s="18"/>
      <c r="AA435" s="18"/>
    </row>
    <row r="436">
      <c r="A436" s="317"/>
      <c r="B436" s="172"/>
      <c r="C436" s="160"/>
      <c r="D436" s="160"/>
      <c r="E436" s="160"/>
      <c r="F436" s="160"/>
      <c r="G436" s="160"/>
      <c r="H436" s="160"/>
      <c r="I436" s="172"/>
      <c r="J436" s="160"/>
      <c r="K436" s="172"/>
      <c r="L436" s="172"/>
      <c r="M436" s="172"/>
      <c r="N436" s="160"/>
      <c r="O436" s="160"/>
      <c r="P436" s="160"/>
      <c r="Q436" s="160"/>
      <c r="R436" s="160"/>
      <c r="S436" s="160"/>
      <c r="T436" s="18"/>
      <c r="U436" s="18"/>
      <c r="V436" s="18"/>
      <c r="W436" s="18"/>
      <c r="X436" s="18"/>
      <c r="Y436" s="18"/>
      <c r="Z436" s="18"/>
      <c r="AA436" s="18"/>
    </row>
    <row r="437">
      <c r="A437" s="317"/>
      <c r="B437" s="172"/>
      <c r="C437" s="160"/>
      <c r="D437" s="160"/>
      <c r="E437" s="160"/>
      <c r="F437" s="160"/>
      <c r="G437" s="160"/>
      <c r="H437" s="160"/>
      <c r="I437" s="172"/>
      <c r="J437" s="160"/>
      <c r="K437" s="172"/>
      <c r="L437" s="172"/>
      <c r="M437" s="172"/>
      <c r="N437" s="160"/>
      <c r="O437" s="160"/>
      <c r="P437" s="160"/>
      <c r="Q437" s="160"/>
      <c r="R437" s="160"/>
      <c r="S437" s="160"/>
      <c r="T437" s="18"/>
      <c r="U437" s="18"/>
      <c r="V437" s="18"/>
      <c r="W437" s="18"/>
      <c r="X437" s="18"/>
      <c r="Y437" s="18"/>
      <c r="Z437" s="18"/>
      <c r="AA437" s="18"/>
    </row>
    <row r="438">
      <c r="A438" s="317"/>
      <c r="B438" s="172"/>
      <c r="C438" s="160"/>
      <c r="D438" s="160"/>
      <c r="E438" s="160"/>
      <c r="F438" s="160"/>
      <c r="G438" s="160"/>
      <c r="H438" s="160"/>
      <c r="I438" s="172"/>
      <c r="J438" s="160"/>
      <c r="K438" s="172"/>
      <c r="L438" s="172"/>
      <c r="M438" s="172"/>
      <c r="N438" s="160"/>
      <c r="O438" s="160"/>
      <c r="P438" s="160"/>
      <c r="Q438" s="160"/>
      <c r="R438" s="160"/>
      <c r="S438" s="160"/>
      <c r="T438" s="18"/>
      <c r="U438" s="18"/>
      <c r="V438" s="18"/>
      <c r="W438" s="18"/>
      <c r="X438" s="18"/>
      <c r="Y438" s="18"/>
      <c r="Z438" s="18"/>
      <c r="AA438" s="18"/>
    </row>
    <row r="439">
      <c r="A439" s="317"/>
      <c r="B439" s="172"/>
      <c r="C439" s="160"/>
      <c r="D439" s="160"/>
      <c r="E439" s="160"/>
      <c r="F439" s="160"/>
      <c r="G439" s="160"/>
      <c r="H439" s="160"/>
      <c r="I439" s="172"/>
      <c r="J439" s="160"/>
      <c r="K439" s="172"/>
      <c r="L439" s="172"/>
      <c r="M439" s="172"/>
      <c r="N439" s="160"/>
      <c r="O439" s="160"/>
      <c r="P439" s="160"/>
      <c r="Q439" s="160"/>
      <c r="R439" s="160"/>
      <c r="S439" s="160"/>
      <c r="T439" s="18"/>
      <c r="U439" s="18"/>
      <c r="V439" s="18"/>
      <c r="W439" s="18"/>
      <c r="X439" s="18"/>
      <c r="Y439" s="18"/>
      <c r="Z439" s="18"/>
      <c r="AA439" s="18"/>
    </row>
    <row r="440">
      <c r="A440" s="317"/>
      <c r="B440" s="172"/>
      <c r="C440" s="160"/>
      <c r="D440" s="160"/>
      <c r="E440" s="160"/>
      <c r="F440" s="160"/>
      <c r="G440" s="160"/>
      <c r="H440" s="160"/>
      <c r="I440" s="172"/>
      <c r="J440" s="160"/>
      <c r="K440" s="172"/>
      <c r="L440" s="172"/>
      <c r="M440" s="172"/>
      <c r="N440" s="160"/>
      <c r="O440" s="160"/>
      <c r="P440" s="160"/>
      <c r="Q440" s="160"/>
      <c r="R440" s="160"/>
      <c r="S440" s="160"/>
      <c r="T440" s="18"/>
      <c r="U440" s="18"/>
      <c r="V440" s="18"/>
      <c r="W440" s="18"/>
      <c r="X440" s="18"/>
      <c r="Y440" s="18"/>
      <c r="Z440" s="18"/>
      <c r="AA440" s="18"/>
    </row>
    <row r="441">
      <c r="A441" s="317"/>
      <c r="B441" s="172"/>
      <c r="C441" s="160"/>
      <c r="D441" s="160"/>
      <c r="E441" s="160"/>
      <c r="F441" s="160"/>
      <c r="G441" s="160"/>
      <c r="H441" s="160"/>
      <c r="I441" s="172"/>
      <c r="J441" s="160"/>
      <c r="K441" s="172"/>
      <c r="L441" s="172"/>
      <c r="M441" s="172"/>
      <c r="N441" s="160"/>
      <c r="O441" s="160"/>
      <c r="P441" s="160"/>
      <c r="Q441" s="160"/>
      <c r="R441" s="160"/>
      <c r="S441" s="160"/>
      <c r="T441" s="18"/>
      <c r="U441" s="18"/>
      <c r="V441" s="18"/>
      <c r="W441" s="18"/>
      <c r="X441" s="18"/>
      <c r="Y441" s="18"/>
      <c r="Z441" s="18"/>
      <c r="AA441" s="18"/>
    </row>
    <row r="442">
      <c r="A442" s="317"/>
      <c r="B442" s="172"/>
      <c r="C442" s="160"/>
      <c r="D442" s="160"/>
      <c r="E442" s="160"/>
      <c r="F442" s="160"/>
      <c r="G442" s="160"/>
      <c r="H442" s="160"/>
      <c r="I442" s="172"/>
      <c r="J442" s="160"/>
      <c r="K442" s="172"/>
      <c r="L442" s="172"/>
      <c r="M442" s="172"/>
      <c r="N442" s="160"/>
      <c r="O442" s="160"/>
      <c r="P442" s="160"/>
      <c r="Q442" s="160"/>
      <c r="R442" s="160"/>
      <c r="S442" s="160"/>
      <c r="T442" s="18"/>
      <c r="U442" s="18"/>
      <c r="V442" s="18"/>
      <c r="W442" s="18"/>
      <c r="X442" s="18"/>
      <c r="Y442" s="18"/>
      <c r="Z442" s="18"/>
      <c r="AA442" s="18"/>
    </row>
    <row r="443">
      <c r="A443" s="317"/>
      <c r="B443" s="172"/>
      <c r="C443" s="160"/>
      <c r="D443" s="160"/>
      <c r="E443" s="160"/>
      <c r="F443" s="160"/>
      <c r="G443" s="160"/>
      <c r="H443" s="160"/>
      <c r="I443" s="172"/>
      <c r="J443" s="160"/>
      <c r="K443" s="172"/>
      <c r="L443" s="172"/>
      <c r="M443" s="172"/>
      <c r="N443" s="160"/>
      <c r="O443" s="160"/>
      <c r="P443" s="160"/>
      <c r="Q443" s="160"/>
      <c r="R443" s="160"/>
      <c r="S443" s="160"/>
      <c r="T443" s="18"/>
      <c r="U443" s="18"/>
      <c r="V443" s="18"/>
      <c r="W443" s="18"/>
      <c r="X443" s="18"/>
      <c r="Y443" s="18"/>
      <c r="Z443" s="18"/>
      <c r="AA443" s="18"/>
    </row>
    <row r="444">
      <c r="A444" s="317"/>
      <c r="B444" s="172"/>
      <c r="C444" s="160"/>
      <c r="D444" s="160"/>
      <c r="E444" s="160"/>
      <c r="F444" s="160"/>
      <c r="G444" s="160"/>
      <c r="H444" s="160"/>
      <c r="I444" s="172"/>
      <c r="J444" s="160"/>
      <c r="K444" s="172"/>
      <c r="L444" s="172"/>
      <c r="M444" s="172"/>
      <c r="N444" s="160"/>
      <c r="O444" s="160"/>
      <c r="P444" s="160"/>
      <c r="Q444" s="160"/>
      <c r="R444" s="160"/>
      <c r="S444" s="160"/>
      <c r="T444" s="18"/>
      <c r="U444" s="18"/>
      <c r="V444" s="18"/>
      <c r="W444" s="18"/>
      <c r="X444" s="18"/>
      <c r="Y444" s="18"/>
      <c r="Z444" s="18"/>
      <c r="AA444" s="18"/>
    </row>
    <row r="445">
      <c r="A445" s="317"/>
      <c r="B445" s="172"/>
      <c r="C445" s="160"/>
      <c r="D445" s="160"/>
      <c r="E445" s="160"/>
      <c r="F445" s="160"/>
      <c r="G445" s="160"/>
      <c r="H445" s="160"/>
      <c r="I445" s="172"/>
      <c r="J445" s="160"/>
      <c r="K445" s="172"/>
      <c r="L445" s="172"/>
      <c r="M445" s="172"/>
      <c r="N445" s="160"/>
      <c r="O445" s="160"/>
      <c r="P445" s="160"/>
      <c r="Q445" s="160"/>
      <c r="R445" s="160"/>
      <c r="S445" s="160"/>
      <c r="T445" s="18"/>
      <c r="U445" s="18"/>
      <c r="V445" s="18"/>
      <c r="W445" s="18"/>
      <c r="X445" s="18"/>
      <c r="Y445" s="18"/>
      <c r="Z445" s="18"/>
      <c r="AA445" s="18"/>
    </row>
    <row r="446">
      <c r="A446" s="317"/>
      <c r="B446" s="172"/>
      <c r="C446" s="160"/>
      <c r="D446" s="160"/>
      <c r="E446" s="160"/>
      <c r="F446" s="160"/>
      <c r="G446" s="160"/>
      <c r="H446" s="160"/>
      <c r="I446" s="172"/>
      <c r="J446" s="160"/>
      <c r="K446" s="172"/>
      <c r="L446" s="172"/>
      <c r="M446" s="172"/>
      <c r="N446" s="160"/>
      <c r="O446" s="160"/>
      <c r="P446" s="160"/>
      <c r="Q446" s="160"/>
      <c r="R446" s="160"/>
      <c r="S446" s="160"/>
      <c r="T446" s="18"/>
      <c r="U446" s="18"/>
      <c r="V446" s="18"/>
      <c r="W446" s="18"/>
      <c r="X446" s="18"/>
      <c r="Y446" s="18"/>
      <c r="Z446" s="18"/>
      <c r="AA446" s="18"/>
    </row>
    <row r="447">
      <c r="A447" s="317"/>
      <c r="B447" s="172"/>
      <c r="C447" s="160"/>
      <c r="D447" s="160"/>
      <c r="E447" s="160"/>
      <c r="F447" s="160"/>
      <c r="G447" s="160"/>
      <c r="H447" s="160"/>
      <c r="I447" s="172"/>
      <c r="J447" s="160"/>
      <c r="K447" s="172"/>
      <c r="L447" s="172"/>
      <c r="M447" s="172"/>
      <c r="N447" s="160"/>
      <c r="O447" s="160"/>
      <c r="P447" s="160"/>
      <c r="Q447" s="160"/>
      <c r="R447" s="160"/>
      <c r="S447" s="160"/>
      <c r="T447" s="18"/>
      <c r="U447" s="18"/>
      <c r="V447" s="18"/>
      <c r="W447" s="18"/>
      <c r="X447" s="18"/>
      <c r="Y447" s="18"/>
      <c r="Z447" s="18"/>
      <c r="AA447" s="18"/>
    </row>
    <row r="448">
      <c r="A448" s="317"/>
      <c r="B448" s="172"/>
      <c r="C448" s="160"/>
      <c r="D448" s="160"/>
      <c r="E448" s="160"/>
      <c r="F448" s="160"/>
      <c r="G448" s="160"/>
      <c r="H448" s="160"/>
      <c r="I448" s="172"/>
      <c r="J448" s="160"/>
      <c r="K448" s="172"/>
      <c r="L448" s="172"/>
      <c r="M448" s="172"/>
      <c r="N448" s="160"/>
      <c r="O448" s="160"/>
      <c r="P448" s="160"/>
      <c r="Q448" s="160"/>
      <c r="R448" s="160"/>
      <c r="S448" s="160"/>
      <c r="T448" s="18"/>
      <c r="U448" s="18"/>
      <c r="V448" s="18"/>
      <c r="W448" s="18"/>
      <c r="X448" s="18"/>
      <c r="Y448" s="18"/>
      <c r="Z448" s="18"/>
      <c r="AA448" s="18"/>
    </row>
    <row r="449">
      <c r="A449" s="317"/>
      <c r="B449" s="172"/>
      <c r="C449" s="160"/>
      <c r="D449" s="160"/>
      <c r="E449" s="160"/>
      <c r="F449" s="160"/>
      <c r="G449" s="160"/>
      <c r="H449" s="160"/>
      <c r="I449" s="172"/>
      <c r="J449" s="160"/>
      <c r="K449" s="172"/>
      <c r="L449" s="172"/>
      <c r="M449" s="172"/>
      <c r="N449" s="160"/>
      <c r="O449" s="160"/>
      <c r="P449" s="160"/>
      <c r="Q449" s="160"/>
      <c r="R449" s="160"/>
      <c r="S449" s="160"/>
      <c r="T449" s="18"/>
      <c r="U449" s="18"/>
      <c r="V449" s="18"/>
      <c r="W449" s="18"/>
      <c r="X449" s="18"/>
      <c r="Y449" s="18"/>
      <c r="Z449" s="18"/>
      <c r="AA449" s="18"/>
    </row>
    <row r="450">
      <c r="A450" s="317"/>
      <c r="B450" s="172"/>
      <c r="C450" s="160"/>
      <c r="D450" s="160"/>
      <c r="E450" s="160"/>
      <c r="F450" s="160"/>
      <c r="G450" s="160"/>
      <c r="H450" s="160"/>
      <c r="I450" s="172"/>
      <c r="J450" s="160"/>
      <c r="K450" s="172"/>
      <c r="L450" s="172"/>
      <c r="M450" s="172"/>
      <c r="N450" s="160"/>
      <c r="O450" s="160"/>
      <c r="P450" s="160"/>
      <c r="Q450" s="160"/>
      <c r="R450" s="160"/>
      <c r="S450" s="160"/>
      <c r="T450" s="18"/>
      <c r="U450" s="18"/>
      <c r="V450" s="18"/>
      <c r="W450" s="18"/>
      <c r="X450" s="18"/>
      <c r="Y450" s="18"/>
      <c r="Z450" s="18"/>
      <c r="AA450" s="18"/>
    </row>
    <row r="451">
      <c r="A451" s="317"/>
      <c r="B451" s="172"/>
      <c r="C451" s="160"/>
      <c r="D451" s="160"/>
      <c r="E451" s="160"/>
      <c r="F451" s="160"/>
      <c r="G451" s="160"/>
      <c r="H451" s="160"/>
      <c r="I451" s="172"/>
      <c r="J451" s="160"/>
      <c r="K451" s="172"/>
      <c r="L451" s="172"/>
      <c r="M451" s="172"/>
      <c r="N451" s="160"/>
      <c r="O451" s="160"/>
      <c r="P451" s="160"/>
      <c r="Q451" s="160"/>
      <c r="R451" s="160"/>
      <c r="S451" s="160"/>
      <c r="T451" s="18"/>
      <c r="U451" s="18"/>
      <c r="V451" s="18"/>
      <c r="W451" s="18"/>
      <c r="X451" s="18"/>
      <c r="Y451" s="18"/>
      <c r="Z451" s="18"/>
      <c r="AA451" s="18"/>
    </row>
    <row r="452">
      <c r="A452" s="317"/>
      <c r="B452" s="172"/>
      <c r="C452" s="160"/>
      <c r="D452" s="160"/>
      <c r="E452" s="160"/>
      <c r="F452" s="160"/>
      <c r="G452" s="160"/>
      <c r="H452" s="160"/>
      <c r="I452" s="172"/>
      <c r="J452" s="160"/>
      <c r="K452" s="172"/>
      <c r="L452" s="172"/>
      <c r="M452" s="172"/>
      <c r="N452" s="160"/>
      <c r="O452" s="160"/>
      <c r="P452" s="160"/>
      <c r="Q452" s="160"/>
      <c r="R452" s="160"/>
      <c r="S452" s="160"/>
      <c r="T452" s="18"/>
      <c r="U452" s="18"/>
      <c r="V452" s="18"/>
      <c r="W452" s="18"/>
      <c r="X452" s="18"/>
      <c r="Y452" s="18"/>
      <c r="Z452" s="18"/>
      <c r="AA452" s="18"/>
    </row>
    <row r="453">
      <c r="A453" s="317"/>
      <c r="B453" s="172"/>
      <c r="C453" s="160"/>
      <c r="D453" s="160"/>
      <c r="E453" s="160"/>
      <c r="F453" s="160"/>
      <c r="G453" s="160"/>
      <c r="H453" s="160"/>
      <c r="I453" s="172"/>
      <c r="J453" s="160"/>
      <c r="K453" s="172"/>
      <c r="L453" s="172"/>
      <c r="M453" s="172"/>
      <c r="N453" s="160"/>
      <c r="O453" s="160"/>
      <c r="P453" s="160"/>
      <c r="Q453" s="160"/>
      <c r="R453" s="160"/>
      <c r="S453" s="160"/>
      <c r="T453" s="18"/>
      <c r="U453" s="18"/>
      <c r="V453" s="18"/>
      <c r="W453" s="18"/>
      <c r="X453" s="18"/>
      <c r="Y453" s="18"/>
      <c r="Z453" s="18"/>
      <c r="AA453" s="18"/>
    </row>
    <row r="454">
      <c r="A454" s="317"/>
      <c r="B454" s="172"/>
      <c r="C454" s="160"/>
      <c r="D454" s="160"/>
      <c r="E454" s="160"/>
      <c r="F454" s="160"/>
      <c r="G454" s="160"/>
      <c r="H454" s="160"/>
      <c r="I454" s="172"/>
      <c r="J454" s="160"/>
      <c r="K454" s="172"/>
      <c r="L454" s="172"/>
      <c r="M454" s="172"/>
      <c r="N454" s="160"/>
      <c r="O454" s="160"/>
      <c r="P454" s="160"/>
      <c r="Q454" s="160"/>
      <c r="R454" s="160"/>
      <c r="S454" s="160"/>
      <c r="T454" s="18"/>
      <c r="U454" s="18"/>
      <c r="V454" s="18"/>
      <c r="W454" s="18"/>
      <c r="X454" s="18"/>
      <c r="Y454" s="18"/>
      <c r="Z454" s="18"/>
      <c r="AA454" s="18"/>
    </row>
    <row r="455">
      <c r="A455" s="317"/>
      <c r="B455" s="172"/>
      <c r="C455" s="160"/>
      <c r="D455" s="160"/>
      <c r="E455" s="160"/>
      <c r="F455" s="160"/>
      <c r="G455" s="160"/>
      <c r="H455" s="160"/>
      <c r="I455" s="172"/>
      <c r="J455" s="160"/>
      <c r="K455" s="172"/>
      <c r="L455" s="172"/>
      <c r="M455" s="172"/>
      <c r="N455" s="160"/>
      <c r="O455" s="160"/>
      <c r="P455" s="160"/>
      <c r="Q455" s="160"/>
      <c r="R455" s="160"/>
      <c r="S455" s="160"/>
      <c r="T455" s="18"/>
      <c r="U455" s="18"/>
      <c r="V455" s="18"/>
      <c r="W455" s="18"/>
      <c r="X455" s="18"/>
      <c r="Y455" s="18"/>
      <c r="Z455" s="18"/>
      <c r="AA455" s="18"/>
    </row>
    <row r="456">
      <c r="A456" s="317"/>
      <c r="B456" s="172"/>
      <c r="C456" s="160"/>
      <c r="D456" s="160"/>
      <c r="E456" s="160"/>
      <c r="F456" s="160"/>
      <c r="G456" s="160"/>
      <c r="H456" s="160"/>
      <c r="I456" s="172"/>
      <c r="J456" s="160"/>
      <c r="K456" s="172"/>
      <c r="L456" s="172"/>
      <c r="M456" s="172"/>
      <c r="N456" s="160"/>
      <c r="O456" s="160"/>
      <c r="P456" s="160"/>
      <c r="Q456" s="160"/>
      <c r="R456" s="160"/>
      <c r="S456" s="160"/>
      <c r="T456" s="18"/>
      <c r="U456" s="18"/>
      <c r="V456" s="18"/>
      <c r="W456" s="18"/>
      <c r="X456" s="18"/>
      <c r="Y456" s="18"/>
      <c r="Z456" s="18"/>
      <c r="AA456" s="18"/>
    </row>
    <row r="457">
      <c r="A457" s="317"/>
      <c r="B457" s="172"/>
      <c r="C457" s="160"/>
      <c r="D457" s="160"/>
      <c r="E457" s="160"/>
      <c r="F457" s="160"/>
      <c r="G457" s="160"/>
      <c r="H457" s="160"/>
      <c r="I457" s="172"/>
      <c r="J457" s="160"/>
      <c r="K457" s="172"/>
      <c r="L457" s="172"/>
      <c r="M457" s="172"/>
      <c r="N457" s="160"/>
      <c r="O457" s="160"/>
      <c r="P457" s="160"/>
      <c r="Q457" s="160"/>
      <c r="R457" s="160"/>
      <c r="S457" s="160"/>
      <c r="T457" s="18"/>
      <c r="U457" s="18"/>
      <c r="V457" s="18"/>
      <c r="W457" s="18"/>
      <c r="X457" s="18"/>
      <c r="Y457" s="18"/>
      <c r="Z457" s="18"/>
      <c r="AA457" s="18"/>
    </row>
    <row r="458">
      <c r="A458" s="317"/>
      <c r="B458" s="172"/>
      <c r="C458" s="160"/>
      <c r="D458" s="160"/>
      <c r="E458" s="160"/>
      <c r="F458" s="160"/>
      <c r="G458" s="160"/>
      <c r="H458" s="160"/>
      <c r="I458" s="172"/>
      <c r="J458" s="160"/>
      <c r="K458" s="172"/>
      <c r="L458" s="172"/>
      <c r="M458" s="172"/>
      <c r="N458" s="160"/>
      <c r="O458" s="160"/>
      <c r="P458" s="160"/>
      <c r="Q458" s="160"/>
      <c r="R458" s="160"/>
      <c r="S458" s="160"/>
      <c r="T458" s="18"/>
      <c r="U458" s="18"/>
      <c r="V458" s="18"/>
      <c r="W458" s="18"/>
      <c r="X458" s="18"/>
      <c r="Y458" s="18"/>
      <c r="Z458" s="18"/>
      <c r="AA458" s="18"/>
    </row>
    <row r="459">
      <c r="A459" s="317"/>
      <c r="B459" s="172"/>
      <c r="C459" s="160"/>
      <c r="D459" s="160"/>
      <c r="E459" s="160"/>
      <c r="F459" s="160"/>
      <c r="G459" s="160"/>
      <c r="H459" s="160"/>
      <c r="I459" s="172"/>
      <c r="J459" s="160"/>
      <c r="K459" s="172"/>
      <c r="L459" s="172"/>
      <c r="M459" s="172"/>
      <c r="N459" s="160"/>
      <c r="O459" s="160"/>
      <c r="P459" s="160"/>
      <c r="Q459" s="160"/>
      <c r="R459" s="160"/>
      <c r="S459" s="160"/>
      <c r="T459" s="18"/>
      <c r="U459" s="18"/>
      <c r="V459" s="18"/>
      <c r="W459" s="18"/>
      <c r="X459" s="18"/>
      <c r="Y459" s="18"/>
      <c r="Z459" s="18"/>
      <c r="AA459" s="18"/>
    </row>
    <row r="460">
      <c r="A460" s="317"/>
      <c r="B460" s="172"/>
      <c r="C460" s="160"/>
      <c r="D460" s="160"/>
      <c r="E460" s="160"/>
      <c r="F460" s="160"/>
      <c r="G460" s="160"/>
      <c r="H460" s="160"/>
      <c r="I460" s="172"/>
      <c r="J460" s="160"/>
      <c r="K460" s="172"/>
      <c r="L460" s="172"/>
      <c r="M460" s="172"/>
      <c r="N460" s="160"/>
      <c r="O460" s="160"/>
      <c r="P460" s="160"/>
      <c r="Q460" s="160"/>
      <c r="R460" s="160"/>
      <c r="S460" s="160"/>
      <c r="T460" s="18"/>
      <c r="U460" s="18"/>
      <c r="V460" s="18"/>
      <c r="W460" s="18"/>
      <c r="X460" s="18"/>
      <c r="Y460" s="18"/>
      <c r="Z460" s="18"/>
      <c r="AA460" s="18"/>
    </row>
    <row r="461">
      <c r="A461" s="317"/>
      <c r="B461" s="172"/>
      <c r="C461" s="160"/>
      <c r="D461" s="160"/>
      <c r="E461" s="160"/>
      <c r="F461" s="160"/>
      <c r="G461" s="160"/>
      <c r="H461" s="160"/>
      <c r="I461" s="172"/>
      <c r="J461" s="160"/>
      <c r="K461" s="172"/>
      <c r="L461" s="172"/>
      <c r="M461" s="172"/>
      <c r="N461" s="160"/>
      <c r="O461" s="160"/>
      <c r="P461" s="160"/>
      <c r="Q461" s="160"/>
      <c r="R461" s="160"/>
      <c r="S461" s="160"/>
      <c r="T461" s="18"/>
      <c r="U461" s="18"/>
      <c r="V461" s="18"/>
      <c r="W461" s="18"/>
      <c r="X461" s="18"/>
      <c r="Y461" s="18"/>
      <c r="Z461" s="18"/>
      <c r="AA461" s="18"/>
    </row>
    <row r="462">
      <c r="A462" s="317"/>
      <c r="B462" s="172"/>
      <c r="C462" s="160"/>
      <c r="D462" s="160"/>
      <c r="E462" s="160"/>
      <c r="F462" s="160"/>
      <c r="G462" s="160"/>
      <c r="H462" s="160"/>
      <c r="I462" s="172"/>
      <c r="J462" s="160"/>
      <c r="K462" s="172"/>
      <c r="L462" s="172"/>
      <c r="M462" s="172"/>
      <c r="N462" s="160"/>
      <c r="O462" s="160"/>
      <c r="P462" s="160"/>
      <c r="Q462" s="160"/>
      <c r="R462" s="160"/>
      <c r="S462" s="160"/>
      <c r="T462" s="18"/>
      <c r="U462" s="18"/>
      <c r="V462" s="18"/>
      <c r="W462" s="18"/>
      <c r="X462" s="18"/>
      <c r="Y462" s="18"/>
      <c r="Z462" s="18"/>
      <c r="AA462" s="18"/>
    </row>
    <row r="463">
      <c r="A463" s="317"/>
      <c r="B463" s="172"/>
      <c r="C463" s="160"/>
      <c r="D463" s="160"/>
      <c r="E463" s="160"/>
      <c r="F463" s="160"/>
      <c r="G463" s="160"/>
      <c r="H463" s="160"/>
      <c r="I463" s="172"/>
      <c r="J463" s="160"/>
      <c r="K463" s="172"/>
      <c r="L463" s="172"/>
      <c r="M463" s="172"/>
      <c r="N463" s="160"/>
      <c r="O463" s="160"/>
      <c r="P463" s="160"/>
      <c r="Q463" s="160"/>
      <c r="R463" s="160"/>
      <c r="S463" s="160"/>
      <c r="T463" s="18"/>
      <c r="U463" s="18"/>
      <c r="V463" s="18"/>
      <c r="W463" s="18"/>
      <c r="X463" s="18"/>
      <c r="Y463" s="18"/>
      <c r="Z463" s="18"/>
      <c r="AA463" s="18"/>
    </row>
    <row r="464">
      <c r="A464" s="317"/>
      <c r="B464" s="172"/>
      <c r="C464" s="160"/>
      <c r="D464" s="160"/>
      <c r="E464" s="160"/>
      <c r="F464" s="160"/>
      <c r="G464" s="160"/>
      <c r="H464" s="160"/>
      <c r="I464" s="172"/>
      <c r="J464" s="160"/>
      <c r="K464" s="172"/>
      <c r="L464" s="172"/>
      <c r="M464" s="172"/>
      <c r="N464" s="160"/>
      <c r="O464" s="160"/>
      <c r="P464" s="160"/>
      <c r="Q464" s="160"/>
      <c r="R464" s="160"/>
      <c r="S464" s="160"/>
      <c r="T464" s="18"/>
      <c r="U464" s="18"/>
      <c r="V464" s="18"/>
      <c r="W464" s="18"/>
      <c r="X464" s="18"/>
      <c r="Y464" s="18"/>
      <c r="Z464" s="18"/>
      <c r="AA464" s="18"/>
    </row>
    <row r="465">
      <c r="A465" s="317"/>
      <c r="B465" s="172"/>
      <c r="C465" s="160"/>
      <c r="D465" s="160"/>
      <c r="E465" s="160"/>
      <c r="F465" s="160"/>
      <c r="G465" s="160"/>
      <c r="H465" s="160"/>
      <c r="I465" s="172"/>
      <c r="J465" s="160"/>
      <c r="K465" s="172"/>
      <c r="L465" s="172"/>
      <c r="M465" s="172"/>
      <c r="N465" s="160"/>
      <c r="O465" s="160"/>
      <c r="P465" s="160"/>
      <c r="Q465" s="160"/>
      <c r="R465" s="160"/>
      <c r="S465" s="160"/>
      <c r="T465" s="18"/>
      <c r="U465" s="18"/>
      <c r="V465" s="18"/>
      <c r="W465" s="18"/>
      <c r="X465" s="18"/>
      <c r="Y465" s="18"/>
      <c r="Z465" s="18"/>
      <c r="AA465" s="18"/>
    </row>
    <row r="466">
      <c r="A466" s="317"/>
      <c r="B466" s="172"/>
      <c r="C466" s="160"/>
      <c r="D466" s="160"/>
      <c r="E466" s="160"/>
      <c r="F466" s="160"/>
      <c r="G466" s="160"/>
      <c r="H466" s="160"/>
      <c r="I466" s="172"/>
      <c r="J466" s="160"/>
      <c r="K466" s="172"/>
      <c r="L466" s="172"/>
      <c r="M466" s="172"/>
      <c r="N466" s="160"/>
      <c r="O466" s="160"/>
      <c r="P466" s="160"/>
      <c r="Q466" s="160"/>
      <c r="R466" s="160"/>
      <c r="S466" s="160"/>
      <c r="T466" s="18"/>
      <c r="U466" s="18"/>
      <c r="V466" s="18"/>
      <c r="W466" s="18"/>
      <c r="X466" s="18"/>
      <c r="Y466" s="18"/>
      <c r="Z466" s="18"/>
      <c r="AA466" s="18"/>
    </row>
    <row r="467">
      <c r="A467" s="317"/>
      <c r="B467" s="172"/>
      <c r="C467" s="160"/>
      <c r="D467" s="160"/>
      <c r="E467" s="160"/>
      <c r="F467" s="160"/>
      <c r="G467" s="160"/>
      <c r="H467" s="160"/>
      <c r="I467" s="172"/>
      <c r="J467" s="160"/>
      <c r="K467" s="172"/>
      <c r="L467" s="172"/>
      <c r="M467" s="172"/>
      <c r="N467" s="160"/>
      <c r="O467" s="160"/>
      <c r="P467" s="160"/>
      <c r="Q467" s="160"/>
      <c r="R467" s="160"/>
      <c r="S467" s="160"/>
      <c r="T467" s="18"/>
      <c r="U467" s="18"/>
      <c r="V467" s="18"/>
      <c r="W467" s="18"/>
      <c r="X467" s="18"/>
      <c r="Y467" s="18"/>
      <c r="Z467" s="18"/>
      <c r="AA467" s="18"/>
    </row>
    <row r="468">
      <c r="A468" s="317"/>
      <c r="B468" s="172"/>
      <c r="C468" s="160"/>
      <c r="D468" s="160"/>
      <c r="E468" s="160"/>
      <c r="F468" s="160"/>
      <c r="G468" s="160"/>
      <c r="H468" s="160"/>
      <c r="I468" s="172"/>
      <c r="J468" s="160"/>
      <c r="K468" s="172"/>
      <c r="L468" s="172"/>
      <c r="M468" s="172"/>
      <c r="N468" s="160"/>
      <c r="O468" s="160"/>
      <c r="P468" s="160"/>
      <c r="Q468" s="160"/>
      <c r="R468" s="160"/>
      <c r="S468" s="160"/>
      <c r="T468" s="18"/>
      <c r="U468" s="18"/>
      <c r="V468" s="18"/>
      <c r="W468" s="18"/>
      <c r="X468" s="18"/>
      <c r="Y468" s="18"/>
      <c r="Z468" s="18"/>
      <c r="AA468" s="18"/>
    </row>
    <row r="469">
      <c r="A469" s="317"/>
      <c r="B469" s="172"/>
      <c r="C469" s="160"/>
      <c r="D469" s="160"/>
      <c r="E469" s="160"/>
      <c r="F469" s="160"/>
      <c r="G469" s="160"/>
      <c r="H469" s="160"/>
      <c r="I469" s="172"/>
      <c r="J469" s="160"/>
      <c r="K469" s="172"/>
      <c r="L469" s="172"/>
      <c r="M469" s="172"/>
      <c r="N469" s="160"/>
      <c r="O469" s="160"/>
      <c r="P469" s="160"/>
      <c r="Q469" s="160"/>
      <c r="R469" s="160"/>
      <c r="S469" s="160"/>
      <c r="T469" s="18"/>
      <c r="U469" s="18"/>
      <c r="V469" s="18"/>
      <c r="W469" s="18"/>
      <c r="X469" s="18"/>
      <c r="Y469" s="18"/>
      <c r="Z469" s="18"/>
      <c r="AA469" s="18"/>
    </row>
    <row r="470">
      <c r="A470" s="317"/>
      <c r="B470" s="172"/>
      <c r="C470" s="160"/>
      <c r="D470" s="160"/>
      <c r="E470" s="160"/>
      <c r="F470" s="160"/>
      <c r="G470" s="160"/>
      <c r="H470" s="160"/>
      <c r="I470" s="172"/>
      <c r="J470" s="160"/>
      <c r="K470" s="172"/>
      <c r="L470" s="172"/>
      <c r="M470" s="172"/>
      <c r="N470" s="160"/>
      <c r="O470" s="160"/>
      <c r="P470" s="160"/>
      <c r="Q470" s="160"/>
      <c r="R470" s="160"/>
      <c r="S470" s="160"/>
      <c r="T470" s="18"/>
      <c r="U470" s="18"/>
      <c r="V470" s="18"/>
      <c r="W470" s="18"/>
      <c r="X470" s="18"/>
      <c r="Y470" s="18"/>
      <c r="Z470" s="18"/>
      <c r="AA470" s="18"/>
    </row>
    <row r="471">
      <c r="A471" s="317"/>
      <c r="B471" s="172"/>
      <c r="C471" s="160"/>
      <c r="D471" s="160"/>
      <c r="E471" s="160"/>
      <c r="F471" s="160"/>
      <c r="G471" s="160"/>
      <c r="H471" s="160"/>
      <c r="I471" s="172"/>
      <c r="J471" s="160"/>
      <c r="K471" s="172"/>
      <c r="L471" s="172"/>
      <c r="M471" s="172"/>
      <c r="N471" s="160"/>
      <c r="O471" s="160"/>
      <c r="P471" s="160"/>
      <c r="Q471" s="160"/>
      <c r="R471" s="160"/>
      <c r="S471" s="160"/>
      <c r="T471" s="18"/>
      <c r="U471" s="18"/>
      <c r="V471" s="18"/>
      <c r="W471" s="18"/>
      <c r="X471" s="18"/>
      <c r="Y471" s="18"/>
      <c r="Z471" s="18"/>
      <c r="AA471" s="18"/>
    </row>
    <row r="472">
      <c r="A472" s="317"/>
      <c r="B472" s="172"/>
      <c r="C472" s="160"/>
      <c r="D472" s="160"/>
      <c r="E472" s="160"/>
      <c r="F472" s="160"/>
      <c r="G472" s="160"/>
      <c r="H472" s="160"/>
      <c r="I472" s="172"/>
      <c r="J472" s="160"/>
      <c r="K472" s="172"/>
      <c r="L472" s="172"/>
      <c r="M472" s="172"/>
      <c r="N472" s="160"/>
      <c r="O472" s="160"/>
      <c r="P472" s="160"/>
      <c r="Q472" s="160"/>
      <c r="R472" s="160"/>
      <c r="S472" s="160"/>
      <c r="T472" s="18"/>
      <c r="U472" s="18"/>
      <c r="V472" s="18"/>
      <c r="W472" s="18"/>
      <c r="X472" s="18"/>
      <c r="Y472" s="18"/>
      <c r="Z472" s="18"/>
      <c r="AA472" s="18"/>
    </row>
    <row r="473">
      <c r="A473" s="317"/>
      <c r="B473" s="172"/>
      <c r="C473" s="160"/>
      <c r="D473" s="160"/>
      <c r="E473" s="160"/>
      <c r="F473" s="160"/>
      <c r="G473" s="160"/>
      <c r="H473" s="160"/>
      <c r="I473" s="172"/>
      <c r="J473" s="160"/>
      <c r="K473" s="172"/>
      <c r="L473" s="172"/>
      <c r="M473" s="172"/>
      <c r="N473" s="160"/>
      <c r="O473" s="160"/>
      <c r="P473" s="160"/>
      <c r="Q473" s="160"/>
      <c r="R473" s="160"/>
      <c r="S473" s="160"/>
      <c r="T473" s="18"/>
      <c r="U473" s="18"/>
      <c r="V473" s="18"/>
      <c r="W473" s="18"/>
      <c r="X473" s="18"/>
      <c r="Y473" s="18"/>
      <c r="Z473" s="18"/>
      <c r="AA473" s="18"/>
    </row>
    <row r="474">
      <c r="A474" s="317"/>
      <c r="B474" s="172"/>
      <c r="C474" s="160"/>
      <c r="D474" s="160"/>
      <c r="E474" s="160"/>
      <c r="F474" s="160"/>
      <c r="G474" s="160"/>
      <c r="H474" s="160"/>
      <c r="I474" s="172"/>
      <c r="J474" s="160"/>
      <c r="K474" s="172"/>
      <c r="L474" s="172"/>
      <c r="M474" s="172"/>
      <c r="N474" s="160"/>
      <c r="O474" s="160"/>
      <c r="P474" s="160"/>
      <c r="Q474" s="160"/>
      <c r="R474" s="160"/>
      <c r="S474" s="160"/>
      <c r="T474" s="18"/>
      <c r="U474" s="18"/>
      <c r="V474" s="18"/>
      <c r="W474" s="18"/>
      <c r="X474" s="18"/>
      <c r="Y474" s="18"/>
      <c r="Z474" s="18"/>
      <c r="AA474" s="18"/>
    </row>
    <row r="475">
      <c r="A475" s="317"/>
      <c r="B475" s="172"/>
      <c r="C475" s="160"/>
      <c r="D475" s="160"/>
      <c r="E475" s="160"/>
      <c r="F475" s="160"/>
      <c r="G475" s="160"/>
      <c r="H475" s="160"/>
      <c r="I475" s="172"/>
      <c r="J475" s="160"/>
      <c r="K475" s="172"/>
      <c r="L475" s="172"/>
      <c r="M475" s="172"/>
      <c r="N475" s="160"/>
      <c r="O475" s="160"/>
      <c r="P475" s="160"/>
      <c r="Q475" s="160"/>
      <c r="R475" s="160"/>
      <c r="S475" s="160"/>
      <c r="T475" s="18"/>
      <c r="U475" s="18"/>
      <c r="V475" s="18"/>
      <c r="W475" s="18"/>
      <c r="X475" s="18"/>
      <c r="Y475" s="18"/>
      <c r="Z475" s="18"/>
      <c r="AA475" s="18"/>
    </row>
    <row r="476">
      <c r="A476" s="317"/>
      <c r="B476" s="172"/>
      <c r="C476" s="160"/>
      <c r="D476" s="160"/>
      <c r="E476" s="160"/>
      <c r="F476" s="160"/>
      <c r="G476" s="160"/>
      <c r="H476" s="160"/>
      <c r="I476" s="172"/>
      <c r="J476" s="160"/>
      <c r="K476" s="172"/>
      <c r="L476" s="172"/>
      <c r="M476" s="172"/>
      <c r="N476" s="160"/>
      <c r="O476" s="160"/>
      <c r="P476" s="160"/>
      <c r="Q476" s="160"/>
      <c r="R476" s="160"/>
      <c r="S476" s="160"/>
      <c r="T476" s="18"/>
      <c r="U476" s="18"/>
      <c r="V476" s="18"/>
      <c r="W476" s="18"/>
      <c r="X476" s="18"/>
      <c r="Y476" s="18"/>
      <c r="Z476" s="18"/>
      <c r="AA476" s="18"/>
    </row>
    <row r="477">
      <c r="A477" s="317"/>
      <c r="B477" s="172"/>
      <c r="C477" s="160"/>
      <c r="D477" s="160"/>
      <c r="E477" s="160"/>
      <c r="F477" s="160"/>
      <c r="G477" s="160"/>
      <c r="H477" s="160"/>
      <c r="I477" s="172"/>
      <c r="J477" s="160"/>
      <c r="K477" s="172"/>
      <c r="L477" s="172"/>
      <c r="M477" s="172"/>
      <c r="N477" s="160"/>
      <c r="O477" s="160"/>
      <c r="P477" s="160"/>
      <c r="Q477" s="160"/>
      <c r="R477" s="160"/>
      <c r="S477" s="160"/>
      <c r="T477" s="18"/>
      <c r="U477" s="18"/>
      <c r="V477" s="18"/>
      <c r="W477" s="18"/>
      <c r="X477" s="18"/>
      <c r="Y477" s="18"/>
      <c r="Z477" s="18"/>
      <c r="AA477" s="18"/>
    </row>
    <row r="478">
      <c r="A478" s="317"/>
      <c r="B478" s="172"/>
      <c r="C478" s="160"/>
      <c r="D478" s="160"/>
      <c r="E478" s="160"/>
      <c r="F478" s="160"/>
      <c r="G478" s="160"/>
      <c r="H478" s="160"/>
      <c r="I478" s="172"/>
      <c r="J478" s="160"/>
      <c r="K478" s="172"/>
      <c r="L478" s="172"/>
      <c r="M478" s="172"/>
      <c r="N478" s="160"/>
      <c r="O478" s="160"/>
      <c r="P478" s="160"/>
      <c r="Q478" s="160"/>
      <c r="R478" s="160"/>
      <c r="S478" s="160"/>
      <c r="T478" s="18"/>
      <c r="U478" s="18"/>
      <c r="V478" s="18"/>
      <c r="W478" s="18"/>
      <c r="X478" s="18"/>
      <c r="Y478" s="18"/>
      <c r="Z478" s="18"/>
      <c r="AA478" s="18"/>
    </row>
    <row r="479">
      <c r="A479" s="317"/>
      <c r="B479" s="172"/>
      <c r="C479" s="160"/>
      <c r="D479" s="160"/>
      <c r="E479" s="160"/>
      <c r="F479" s="160"/>
      <c r="G479" s="160"/>
      <c r="H479" s="160"/>
      <c r="I479" s="172"/>
      <c r="J479" s="160"/>
      <c r="K479" s="172"/>
      <c r="L479" s="172"/>
      <c r="M479" s="172"/>
      <c r="N479" s="160"/>
      <c r="O479" s="160"/>
      <c r="P479" s="160"/>
      <c r="Q479" s="160"/>
      <c r="R479" s="160"/>
      <c r="S479" s="160"/>
      <c r="T479" s="18"/>
      <c r="U479" s="18"/>
      <c r="V479" s="18"/>
      <c r="W479" s="18"/>
      <c r="X479" s="18"/>
      <c r="Y479" s="18"/>
      <c r="Z479" s="18"/>
      <c r="AA479" s="18"/>
    </row>
    <row r="480">
      <c r="A480" s="317"/>
      <c r="B480" s="172"/>
      <c r="C480" s="160"/>
      <c r="D480" s="160"/>
      <c r="E480" s="160"/>
      <c r="F480" s="160"/>
      <c r="G480" s="160"/>
      <c r="H480" s="160"/>
      <c r="I480" s="172"/>
      <c r="J480" s="160"/>
      <c r="K480" s="172"/>
      <c r="L480" s="172"/>
      <c r="M480" s="172"/>
      <c r="N480" s="160"/>
      <c r="O480" s="160"/>
      <c r="P480" s="160"/>
      <c r="Q480" s="160"/>
      <c r="R480" s="160"/>
      <c r="S480" s="160"/>
      <c r="T480" s="18"/>
      <c r="U480" s="18"/>
      <c r="V480" s="18"/>
      <c r="W480" s="18"/>
      <c r="X480" s="18"/>
      <c r="Y480" s="18"/>
      <c r="Z480" s="18"/>
      <c r="AA480" s="18"/>
    </row>
    <row r="481">
      <c r="A481" s="317"/>
      <c r="B481" s="172"/>
      <c r="C481" s="160"/>
      <c r="D481" s="160"/>
      <c r="E481" s="160"/>
      <c r="F481" s="160"/>
      <c r="G481" s="160"/>
      <c r="H481" s="160"/>
      <c r="I481" s="172"/>
      <c r="J481" s="160"/>
      <c r="K481" s="172"/>
      <c r="L481" s="172"/>
      <c r="M481" s="172"/>
      <c r="N481" s="160"/>
      <c r="O481" s="160"/>
      <c r="P481" s="160"/>
      <c r="Q481" s="160"/>
      <c r="R481" s="160"/>
      <c r="S481" s="160"/>
      <c r="T481" s="18"/>
      <c r="U481" s="18"/>
      <c r="V481" s="18"/>
      <c r="W481" s="18"/>
      <c r="X481" s="18"/>
      <c r="Y481" s="18"/>
      <c r="Z481" s="18"/>
      <c r="AA481" s="18"/>
    </row>
    <row r="482">
      <c r="A482" s="317"/>
      <c r="B482" s="172"/>
      <c r="C482" s="160"/>
      <c r="D482" s="160"/>
      <c r="E482" s="160"/>
      <c r="F482" s="160"/>
      <c r="G482" s="160"/>
      <c r="H482" s="160"/>
      <c r="I482" s="172"/>
      <c r="J482" s="160"/>
      <c r="K482" s="172"/>
      <c r="L482" s="172"/>
      <c r="M482" s="172"/>
      <c r="N482" s="160"/>
      <c r="O482" s="160"/>
      <c r="P482" s="160"/>
      <c r="Q482" s="160"/>
      <c r="R482" s="160"/>
      <c r="S482" s="160"/>
      <c r="T482" s="18"/>
      <c r="U482" s="18"/>
      <c r="V482" s="18"/>
      <c r="W482" s="18"/>
      <c r="X482" s="18"/>
      <c r="Y482" s="18"/>
      <c r="Z482" s="18"/>
      <c r="AA482" s="18"/>
    </row>
    <row r="483">
      <c r="A483" s="317"/>
      <c r="B483" s="172"/>
      <c r="C483" s="160"/>
      <c r="D483" s="160"/>
      <c r="E483" s="160"/>
      <c r="F483" s="160"/>
      <c r="G483" s="160"/>
      <c r="H483" s="160"/>
      <c r="I483" s="172"/>
      <c r="J483" s="160"/>
      <c r="K483" s="172"/>
      <c r="L483" s="172"/>
      <c r="M483" s="172"/>
      <c r="N483" s="160"/>
      <c r="O483" s="160"/>
      <c r="P483" s="160"/>
      <c r="Q483" s="160"/>
      <c r="R483" s="160"/>
      <c r="S483" s="160"/>
      <c r="T483" s="18"/>
      <c r="U483" s="18"/>
      <c r="V483" s="18"/>
      <c r="W483" s="18"/>
      <c r="X483" s="18"/>
      <c r="Y483" s="18"/>
      <c r="Z483" s="18"/>
      <c r="AA483" s="18"/>
    </row>
    <row r="484">
      <c r="A484" s="317"/>
      <c r="B484" s="172"/>
      <c r="C484" s="160"/>
      <c r="D484" s="160"/>
      <c r="E484" s="160"/>
      <c r="F484" s="160"/>
      <c r="G484" s="160"/>
      <c r="H484" s="160"/>
      <c r="I484" s="172"/>
      <c r="J484" s="160"/>
      <c r="K484" s="172"/>
      <c r="L484" s="172"/>
      <c r="M484" s="172"/>
      <c r="N484" s="160"/>
      <c r="O484" s="160"/>
      <c r="P484" s="160"/>
      <c r="Q484" s="160"/>
      <c r="R484" s="160"/>
      <c r="S484" s="160"/>
      <c r="T484" s="18"/>
      <c r="U484" s="18"/>
      <c r="V484" s="18"/>
      <c r="W484" s="18"/>
      <c r="X484" s="18"/>
      <c r="Y484" s="18"/>
      <c r="Z484" s="18"/>
      <c r="AA484" s="18"/>
    </row>
    <row r="485">
      <c r="A485" s="317"/>
      <c r="B485" s="172"/>
      <c r="C485" s="160"/>
      <c r="D485" s="160"/>
      <c r="E485" s="160"/>
      <c r="F485" s="160"/>
      <c r="G485" s="160"/>
      <c r="H485" s="160"/>
      <c r="I485" s="172"/>
      <c r="J485" s="160"/>
      <c r="K485" s="172"/>
      <c r="L485" s="172"/>
      <c r="M485" s="172"/>
      <c r="N485" s="160"/>
      <c r="O485" s="160"/>
      <c r="P485" s="160"/>
      <c r="Q485" s="160"/>
      <c r="R485" s="160"/>
      <c r="S485" s="160"/>
      <c r="T485" s="18"/>
      <c r="U485" s="18"/>
      <c r="V485" s="18"/>
      <c r="W485" s="18"/>
      <c r="X485" s="18"/>
      <c r="Y485" s="18"/>
      <c r="Z485" s="18"/>
      <c r="AA485" s="18"/>
    </row>
    <row r="486">
      <c r="A486" s="317"/>
      <c r="B486" s="172"/>
      <c r="C486" s="160"/>
      <c r="D486" s="160"/>
      <c r="E486" s="160"/>
      <c r="F486" s="160"/>
      <c r="G486" s="160"/>
      <c r="H486" s="160"/>
      <c r="I486" s="172"/>
      <c r="J486" s="160"/>
      <c r="K486" s="172"/>
      <c r="L486" s="172"/>
      <c r="M486" s="172"/>
      <c r="N486" s="160"/>
      <c r="O486" s="160"/>
      <c r="P486" s="160"/>
      <c r="Q486" s="160"/>
      <c r="R486" s="160"/>
      <c r="S486" s="160"/>
      <c r="T486" s="18"/>
      <c r="U486" s="18"/>
      <c r="V486" s="18"/>
      <c r="W486" s="18"/>
      <c r="X486" s="18"/>
      <c r="Y486" s="18"/>
      <c r="Z486" s="18"/>
      <c r="AA486" s="18"/>
    </row>
    <row r="487">
      <c r="A487" s="317"/>
      <c r="B487" s="172"/>
      <c r="C487" s="160"/>
      <c r="D487" s="160"/>
      <c r="E487" s="160"/>
      <c r="F487" s="160"/>
      <c r="G487" s="160"/>
      <c r="H487" s="160"/>
      <c r="I487" s="172"/>
      <c r="J487" s="160"/>
      <c r="K487" s="172"/>
      <c r="L487" s="172"/>
      <c r="M487" s="172"/>
      <c r="N487" s="160"/>
      <c r="O487" s="160"/>
      <c r="P487" s="160"/>
      <c r="Q487" s="160"/>
      <c r="R487" s="160"/>
      <c r="S487" s="160"/>
      <c r="T487" s="18"/>
      <c r="U487" s="18"/>
      <c r="V487" s="18"/>
      <c r="W487" s="18"/>
      <c r="X487" s="18"/>
      <c r="Y487" s="18"/>
      <c r="Z487" s="18"/>
      <c r="AA487" s="18"/>
    </row>
    <row r="488">
      <c r="A488" s="317"/>
      <c r="B488" s="172"/>
      <c r="C488" s="160"/>
      <c r="D488" s="160"/>
      <c r="E488" s="160"/>
      <c r="F488" s="160"/>
      <c r="G488" s="160"/>
      <c r="H488" s="160"/>
      <c r="I488" s="172"/>
      <c r="J488" s="160"/>
      <c r="K488" s="172"/>
      <c r="L488" s="172"/>
      <c r="M488" s="172"/>
      <c r="N488" s="160"/>
      <c r="O488" s="160"/>
      <c r="P488" s="160"/>
      <c r="Q488" s="160"/>
      <c r="R488" s="160"/>
      <c r="S488" s="160"/>
      <c r="T488" s="18"/>
      <c r="U488" s="18"/>
      <c r="V488" s="18"/>
      <c r="W488" s="18"/>
      <c r="X488" s="18"/>
      <c r="Y488" s="18"/>
      <c r="Z488" s="18"/>
      <c r="AA488" s="18"/>
    </row>
    <row r="489">
      <c r="A489" s="317"/>
      <c r="B489" s="172"/>
      <c r="C489" s="160"/>
      <c r="D489" s="160"/>
      <c r="E489" s="160"/>
      <c r="F489" s="160"/>
      <c r="G489" s="160"/>
      <c r="H489" s="160"/>
      <c r="I489" s="172"/>
      <c r="J489" s="160"/>
      <c r="K489" s="172"/>
      <c r="L489" s="172"/>
      <c r="M489" s="172"/>
      <c r="N489" s="160"/>
      <c r="O489" s="160"/>
      <c r="P489" s="160"/>
      <c r="Q489" s="160"/>
      <c r="R489" s="160"/>
      <c r="S489" s="160"/>
      <c r="T489" s="18"/>
      <c r="U489" s="18"/>
      <c r="V489" s="18"/>
      <c r="W489" s="18"/>
      <c r="X489" s="18"/>
      <c r="Y489" s="18"/>
      <c r="Z489" s="18"/>
      <c r="AA489" s="18"/>
    </row>
    <row r="490">
      <c r="A490" s="317"/>
      <c r="B490" s="172"/>
      <c r="C490" s="160"/>
      <c r="D490" s="160"/>
      <c r="E490" s="160"/>
      <c r="F490" s="160"/>
      <c r="G490" s="160"/>
      <c r="H490" s="160"/>
      <c r="I490" s="172"/>
      <c r="J490" s="160"/>
      <c r="K490" s="172"/>
      <c r="L490" s="172"/>
      <c r="M490" s="172"/>
      <c r="N490" s="160"/>
      <c r="O490" s="160"/>
      <c r="P490" s="160"/>
      <c r="Q490" s="160"/>
      <c r="R490" s="160"/>
      <c r="S490" s="160"/>
      <c r="T490" s="18"/>
      <c r="U490" s="18"/>
      <c r="V490" s="18"/>
      <c r="W490" s="18"/>
      <c r="X490" s="18"/>
      <c r="Y490" s="18"/>
      <c r="Z490" s="18"/>
      <c r="AA490" s="18"/>
    </row>
    <row r="491">
      <c r="A491" s="317"/>
      <c r="B491" s="172"/>
      <c r="C491" s="160"/>
      <c r="D491" s="160"/>
      <c r="E491" s="160"/>
      <c r="F491" s="160"/>
      <c r="G491" s="160"/>
      <c r="H491" s="160"/>
      <c r="I491" s="172"/>
      <c r="J491" s="160"/>
      <c r="K491" s="172"/>
      <c r="L491" s="172"/>
      <c r="M491" s="172"/>
      <c r="N491" s="160"/>
      <c r="O491" s="160"/>
      <c r="P491" s="160"/>
      <c r="Q491" s="160"/>
      <c r="R491" s="160"/>
      <c r="S491" s="160"/>
      <c r="T491" s="18"/>
      <c r="U491" s="18"/>
      <c r="V491" s="18"/>
      <c r="W491" s="18"/>
      <c r="X491" s="18"/>
      <c r="Y491" s="18"/>
      <c r="Z491" s="18"/>
      <c r="AA491" s="18"/>
    </row>
    <row r="492">
      <c r="A492" s="317"/>
      <c r="B492" s="172"/>
      <c r="C492" s="160"/>
      <c r="D492" s="160"/>
      <c r="E492" s="160"/>
      <c r="F492" s="160"/>
      <c r="G492" s="160"/>
      <c r="H492" s="160"/>
      <c r="I492" s="172"/>
      <c r="J492" s="160"/>
      <c r="K492" s="172"/>
      <c r="L492" s="172"/>
      <c r="M492" s="172"/>
      <c r="N492" s="160"/>
      <c r="O492" s="160"/>
      <c r="P492" s="160"/>
      <c r="Q492" s="160"/>
      <c r="R492" s="160"/>
      <c r="S492" s="160"/>
      <c r="T492" s="18"/>
      <c r="U492" s="18"/>
      <c r="V492" s="18"/>
      <c r="W492" s="18"/>
      <c r="X492" s="18"/>
      <c r="Y492" s="18"/>
      <c r="Z492" s="18"/>
      <c r="AA492" s="18"/>
    </row>
    <row r="493">
      <c r="A493" s="317"/>
      <c r="B493" s="172"/>
      <c r="C493" s="160"/>
      <c r="D493" s="160"/>
      <c r="E493" s="160"/>
      <c r="F493" s="160"/>
      <c r="G493" s="160"/>
      <c r="H493" s="160"/>
      <c r="I493" s="172"/>
      <c r="J493" s="160"/>
      <c r="K493" s="172"/>
      <c r="L493" s="172"/>
      <c r="M493" s="172"/>
      <c r="N493" s="160"/>
      <c r="O493" s="160"/>
      <c r="P493" s="160"/>
      <c r="Q493" s="160"/>
      <c r="R493" s="160"/>
      <c r="S493" s="160"/>
      <c r="T493" s="18"/>
      <c r="U493" s="18"/>
      <c r="V493" s="18"/>
      <c r="W493" s="18"/>
      <c r="X493" s="18"/>
      <c r="Y493" s="18"/>
      <c r="Z493" s="18"/>
      <c r="AA493" s="18"/>
    </row>
    <row r="494">
      <c r="A494" s="317"/>
      <c r="B494" s="172"/>
      <c r="C494" s="160"/>
      <c r="D494" s="160"/>
      <c r="E494" s="160"/>
      <c r="F494" s="160"/>
      <c r="G494" s="160"/>
      <c r="H494" s="160"/>
      <c r="I494" s="172"/>
      <c r="J494" s="160"/>
      <c r="K494" s="172"/>
      <c r="L494" s="172"/>
      <c r="M494" s="172"/>
      <c r="N494" s="160"/>
      <c r="O494" s="160"/>
      <c r="P494" s="160"/>
      <c r="Q494" s="160"/>
      <c r="R494" s="160"/>
      <c r="S494" s="160"/>
      <c r="T494" s="18"/>
      <c r="U494" s="18"/>
      <c r="V494" s="18"/>
      <c r="W494" s="18"/>
      <c r="X494" s="18"/>
      <c r="Y494" s="18"/>
      <c r="Z494" s="18"/>
      <c r="AA494" s="18"/>
    </row>
    <row r="495">
      <c r="A495" s="317"/>
      <c r="B495" s="172"/>
      <c r="C495" s="160"/>
      <c r="D495" s="160"/>
      <c r="E495" s="160"/>
      <c r="F495" s="160"/>
      <c r="G495" s="160"/>
      <c r="H495" s="160"/>
      <c r="I495" s="172"/>
      <c r="J495" s="160"/>
      <c r="K495" s="172"/>
      <c r="L495" s="172"/>
      <c r="M495" s="172"/>
      <c r="N495" s="160"/>
      <c r="O495" s="160"/>
      <c r="P495" s="160"/>
      <c r="Q495" s="160"/>
      <c r="R495" s="160"/>
      <c r="S495" s="160"/>
      <c r="T495" s="18"/>
      <c r="U495" s="18"/>
      <c r="V495" s="18"/>
      <c r="W495" s="18"/>
      <c r="X495" s="18"/>
      <c r="Y495" s="18"/>
      <c r="Z495" s="18"/>
      <c r="AA495" s="18"/>
    </row>
    <row r="496">
      <c r="A496" s="317"/>
      <c r="B496" s="172"/>
      <c r="C496" s="160"/>
      <c r="D496" s="160"/>
      <c r="E496" s="160"/>
      <c r="F496" s="160"/>
      <c r="G496" s="160"/>
      <c r="H496" s="160"/>
      <c r="I496" s="172"/>
      <c r="J496" s="160"/>
      <c r="K496" s="172"/>
      <c r="L496" s="172"/>
      <c r="M496" s="172"/>
      <c r="N496" s="160"/>
      <c r="O496" s="160"/>
      <c r="P496" s="160"/>
      <c r="Q496" s="160"/>
      <c r="R496" s="160"/>
      <c r="S496" s="160"/>
      <c r="T496" s="18"/>
      <c r="U496" s="18"/>
      <c r="V496" s="18"/>
      <c r="W496" s="18"/>
      <c r="X496" s="18"/>
      <c r="Y496" s="18"/>
      <c r="Z496" s="18"/>
      <c r="AA496" s="18"/>
    </row>
    <row r="497">
      <c r="A497" s="317"/>
      <c r="B497" s="172"/>
      <c r="C497" s="160"/>
      <c r="D497" s="160"/>
      <c r="E497" s="160"/>
      <c r="F497" s="160"/>
      <c r="G497" s="160"/>
      <c r="H497" s="160"/>
      <c r="I497" s="172"/>
      <c r="J497" s="160"/>
      <c r="K497" s="172"/>
      <c r="L497" s="172"/>
      <c r="M497" s="172"/>
      <c r="N497" s="160"/>
      <c r="O497" s="160"/>
      <c r="P497" s="160"/>
      <c r="Q497" s="160"/>
      <c r="R497" s="160"/>
      <c r="S497" s="160"/>
      <c r="T497" s="18"/>
      <c r="U497" s="18"/>
      <c r="V497" s="18"/>
      <c r="W497" s="18"/>
      <c r="X497" s="18"/>
      <c r="Y497" s="18"/>
      <c r="Z497" s="18"/>
      <c r="AA497" s="18"/>
    </row>
    <row r="498">
      <c r="A498" s="317"/>
      <c r="B498" s="172"/>
      <c r="C498" s="160"/>
      <c r="D498" s="160"/>
      <c r="E498" s="160"/>
      <c r="F498" s="160"/>
      <c r="G498" s="160"/>
      <c r="H498" s="160"/>
      <c r="I498" s="172"/>
      <c r="J498" s="160"/>
      <c r="K498" s="172"/>
      <c r="L498" s="172"/>
      <c r="M498" s="172"/>
      <c r="N498" s="160"/>
      <c r="O498" s="160"/>
      <c r="P498" s="160"/>
      <c r="Q498" s="160"/>
      <c r="R498" s="160"/>
      <c r="S498" s="160"/>
      <c r="T498" s="18"/>
      <c r="U498" s="18"/>
      <c r="V498" s="18"/>
      <c r="W498" s="18"/>
      <c r="X498" s="18"/>
      <c r="Y498" s="18"/>
      <c r="Z498" s="18"/>
      <c r="AA498" s="18"/>
    </row>
    <row r="499">
      <c r="A499" s="317"/>
      <c r="B499" s="172"/>
      <c r="C499" s="160"/>
      <c r="D499" s="160"/>
      <c r="E499" s="160"/>
      <c r="F499" s="160"/>
      <c r="G499" s="160"/>
      <c r="H499" s="160"/>
      <c r="I499" s="172"/>
      <c r="J499" s="160"/>
      <c r="K499" s="172"/>
      <c r="L499" s="172"/>
      <c r="M499" s="172"/>
      <c r="N499" s="160"/>
      <c r="O499" s="160"/>
      <c r="P499" s="160"/>
      <c r="Q499" s="160"/>
      <c r="R499" s="160"/>
      <c r="S499" s="160"/>
      <c r="T499" s="18"/>
      <c r="U499" s="18"/>
      <c r="V499" s="18"/>
      <c r="W499" s="18"/>
      <c r="X499" s="18"/>
      <c r="Y499" s="18"/>
      <c r="Z499" s="18"/>
      <c r="AA499" s="18"/>
    </row>
    <row r="500">
      <c r="A500" s="317"/>
      <c r="B500" s="172"/>
      <c r="C500" s="160"/>
      <c r="D500" s="160"/>
      <c r="E500" s="160"/>
      <c r="F500" s="160"/>
      <c r="G500" s="160"/>
      <c r="H500" s="160"/>
      <c r="I500" s="172"/>
      <c r="J500" s="160"/>
      <c r="K500" s="172"/>
      <c r="L500" s="172"/>
      <c r="M500" s="172"/>
      <c r="N500" s="160"/>
      <c r="O500" s="160"/>
      <c r="P500" s="160"/>
      <c r="Q500" s="160"/>
      <c r="R500" s="160"/>
      <c r="S500" s="160"/>
      <c r="T500" s="18"/>
      <c r="U500" s="18"/>
      <c r="V500" s="18"/>
      <c r="W500" s="18"/>
      <c r="X500" s="18"/>
      <c r="Y500" s="18"/>
      <c r="Z500" s="18"/>
      <c r="AA500" s="18"/>
    </row>
    <row r="501">
      <c r="A501" s="317"/>
      <c r="B501" s="172"/>
      <c r="C501" s="160"/>
      <c r="D501" s="160"/>
      <c r="E501" s="160"/>
      <c r="F501" s="160"/>
      <c r="G501" s="160"/>
      <c r="H501" s="160"/>
      <c r="I501" s="172"/>
      <c r="J501" s="160"/>
      <c r="K501" s="172"/>
      <c r="L501" s="172"/>
      <c r="M501" s="172"/>
      <c r="N501" s="160"/>
      <c r="O501" s="160"/>
      <c r="P501" s="160"/>
      <c r="Q501" s="160"/>
      <c r="R501" s="160"/>
      <c r="S501" s="160"/>
      <c r="T501" s="18"/>
      <c r="U501" s="18"/>
      <c r="V501" s="18"/>
      <c r="W501" s="18"/>
      <c r="X501" s="18"/>
      <c r="Y501" s="18"/>
      <c r="Z501" s="18"/>
      <c r="AA501" s="18"/>
    </row>
    <row r="502">
      <c r="A502" s="317"/>
      <c r="B502" s="172"/>
      <c r="C502" s="160"/>
      <c r="D502" s="160"/>
      <c r="E502" s="160"/>
      <c r="F502" s="160"/>
      <c r="G502" s="160"/>
      <c r="H502" s="160"/>
      <c r="I502" s="172"/>
      <c r="J502" s="160"/>
      <c r="K502" s="172"/>
      <c r="L502" s="172"/>
      <c r="M502" s="172"/>
      <c r="N502" s="160"/>
      <c r="O502" s="160"/>
      <c r="P502" s="160"/>
      <c r="Q502" s="160"/>
      <c r="R502" s="160"/>
      <c r="S502" s="160"/>
      <c r="T502" s="18"/>
      <c r="U502" s="18"/>
      <c r="V502" s="18"/>
      <c r="W502" s="18"/>
      <c r="X502" s="18"/>
      <c r="Y502" s="18"/>
      <c r="Z502" s="18"/>
      <c r="AA502" s="18"/>
    </row>
    <row r="503">
      <c r="A503" s="317"/>
      <c r="B503" s="172"/>
      <c r="C503" s="160"/>
      <c r="D503" s="160"/>
      <c r="E503" s="160"/>
      <c r="F503" s="160"/>
      <c r="G503" s="160"/>
      <c r="H503" s="160"/>
      <c r="I503" s="172"/>
      <c r="J503" s="160"/>
      <c r="K503" s="172"/>
      <c r="L503" s="172"/>
      <c r="M503" s="172"/>
      <c r="N503" s="160"/>
      <c r="O503" s="160"/>
      <c r="P503" s="160"/>
      <c r="Q503" s="160"/>
      <c r="R503" s="160"/>
      <c r="S503" s="160"/>
      <c r="T503" s="18"/>
      <c r="U503" s="18"/>
      <c r="V503" s="18"/>
      <c r="W503" s="18"/>
      <c r="X503" s="18"/>
      <c r="Y503" s="18"/>
      <c r="Z503" s="18"/>
      <c r="AA503" s="18"/>
    </row>
    <row r="504">
      <c r="A504" s="317"/>
      <c r="B504" s="172"/>
      <c r="C504" s="160"/>
      <c r="D504" s="160"/>
      <c r="E504" s="160"/>
      <c r="F504" s="160"/>
      <c r="G504" s="160"/>
      <c r="H504" s="160"/>
      <c r="I504" s="172"/>
      <c r="J504" s="160"/>
      <c r="K504" s="172"/>
      <c r="L504" s="172"/>
      <c r="M504" s="172"/>
      <c r="N504" s="160"/>
      <c r="O504" s="160"/>
      <c r="P504" s="160"/>
      <c r="Q504" s="160"/>
      <c r="R504" s="160"/>
      <c r="S504" s="160"/>
      <c r="T504" s="18"/>
      <c r="U504" s="18"/>
      <c r="V504" s="18"/>
      <c r="W504" s="18"/>
      <c r="X504" s="18"/>
      <c r="Y504" s="18"/>
      <c r="Z504" s="18"/>
      <c r="AA504" s="18"/>
    </row>
    <row r="505">
      <c r="A505" s="317"/>
      <c r="B505" s="172"/>
      <c r="C505" s="160"/>
      <c r="D505" s="160"/>
      <c r="E505" s="160"/>
      <c r="F505" s="160"/>
      <c r="G505" s="160"/>
      <c r="H505" s="160"/>
      <c r="I505" s="172"/>
      <c r="J505" s="160"/>
      <c r="K505" s="172"/>
      <c r="L505" s="172"/>
      <c r="M505" s="172"/>
      <c r="N505" s="160"/>
      <c r="O505" s="160"/>
      <c r="P505" s="160"/>
      <c r="Q505" s="160"/>
      <c r="R505" s="160"/>
      <c r="S505" s="160"/>
      <c r="T505" s="18"/>
      <c r="U505" s="18"/>
      <c r="V505" s="18"/>
      <c r="W505" s="18"/>
      <c r="X505" s="18"/>
      <c r="Y505" s="18"/>
      <c r="Z505" s="18"/>
      <c r="AA505" s="18"/>
    </row>
    <row r="506">
      <c r="A506" s="317"/>
      <c r="B506" s="172"/>
      <c r="C506" s="160"/>
      <c r="D506" s="160"/>
      <c r="E506" s="160"/>
      <c r="F506" s="160"/>
      <c r="G506" s="160"/>
      <c r="H506" s="160"/>
      <c r="I506" s="172"/>
      <c r="J506" s="160"/>
      <c r="K506" s="172"/>
      <c r="L506" s="172"/>
      <c r="M506" s="172"/>
      <c r="N506" s="160"/>
      <c r="O506" s="160"/>
      <c r="P506" s="160"/>
      <c r="Q506" s="160"/>
      <c r="R506" s="160"/>
      <c r="S506" s="160"/>
      <c r="T506" s="18"/>
      <c r="U506" s="18"/>
      <c r="V506" s="18"/>
      <c r="W506" s="18"/>
      <c r="X506" s="18"/>
      <c r="Y506" s="18"/>
      <c r="Z506" s="18"/>
      <c r="AA506" s="18"/>
    </row>
    <row r="507">
      <c r="A507" s="317"/>
      <c r="B507" s="172"/>
      <c r="C507" s="160"/>
      <c r="D507" s="160"/>
      <c r="E507" s="160"/>
      <c r="F507" s="160"/>
      <c r="G507" s="160"/>
      <c r="H507" s="160"/>
      <c r="I507" s="172"/>
      <c r="J507" s="160"/>
      <c r="K507" s="172"/>
      <c r="L507" s="172"/>
      <c r="M507" s="172"/>
      <c r="N507" s="160"/>
      <c r="O507" s="160"/>
      <c r="P507" s="160"/>
      <c r="Q507" s="160"/>
      <c r="R507" s="160"/>
      <c r="S507" s="160"/>
      <c r="T507" s="18"/>
      <c r="U507" s="18"/>
      <c r="V507" s="18"/>
      <c r="W507" s="18"/>
      <c r="X507" s="18"/>
      <c r="Y507" s="18"/>
      <c r="Z507" s="18"/>
      <c r="AA507" s="18"/>
    </row>
    <row r="508">
      <c r="A508" s="317"/>
      <c r="B508" s="172"/>
      <c r="C508" s="160"/>
      <c r="D508" s="160"/>
      <c r="E508" s="160"/>
      <c r="F508" s="160"/>
      <c r="G508" s="160"/>
      <c r="H508" s="160"/>
      <c r="I508" s="172"/>
      <c r="J508" s="160"/>
      <c r="K508" s="172"/>
      <c r="L508" s="172"/>
      <c r="M508" s="172"/>
      <c r="N508" s="160"/>
      <c r="O508" s="160"/>
      <c r="P508" s="160"/>
      <c r="Q508" s="160"/>
      <c r="R508" s="160"/>
      <c r="S508" s="160"/>
      <c r="T508" s="18"/>
      <c r="U508" s="18"/>
      <c r="V508" s="18"/>
      <c r="W508" s="18"/>
      <c r="X508" s="18"/>
      <c r="Y508" s="18"/>
      <c r="Z508" s="18"/>
      <c r="AA508" s="18"/>
    </row>
    <row r="509">
      <c r="A509" s="317"/>
      <c r="B509" s="172"/>
      <c r="C509" s="160"/>
      <c r="D509" s="160"/>
      <c r="E509" s="160"/>
      <c r="F509" s="160"/>
      <c r="G509" s="160"/>
      <c r="H509" s="160"/>
      <c r="I509" s="172"/>
      <c r="J509" s="160"/>
      <c r="K509" s="172"/>
      <c r="L509" s="172"/>
      <c r="M509" s="172"/>
      <c r="N509" s="160"/>
      <c r="O509" s="160"/>
      <c r="P509" s="160"/>
      <c r="Q509" s="160"/>
      <c r="R509" s="160"/>
      <c r="S509" s="160"/>
      <c r="T509" s="18"/>
      <c r="U509" s="18"/>
      <c r="V509" s="18"/>
      <c r="W509" s="18"/>
      <c r="X509" s="18"/>
      <c r="Y509" s="18"/>
      <c r="Z509" s="18"/>
      <c r="AA509" s="18"/>
    </row>
    <row r="510">
      <c r="A510" s="317"/>
      <c r="B510" s="172"/>
      <c r="C510" s="160"/>
      <c r="D510" s="160"/>
      <c r="E510" s="160"/>
      <c r="F510" s="160"/>
      <c r="G510" s="160"/>
      <c r="H510" s="160"/>
      <c r="I510" s="172"/>
      <c r="J510" s="160"/>
      <c r="K510" s="172"/>
      <c r="L510" s="172"/>
      <c r="M510" s="172"/>
      <c r="N510" s="160"/>
      <c r="O510" s="160"/>
      <c r="P510" s="160"/>
      <c r="Q510" s="160"/>
      <c r="R510" s="160"/>
      <c r="S510" s="160"/>
      <c r="T510" s="18"/>
      <c r="U510" s="18"/>
      <c r="V510" s="18"/>
      <c r="W510" s="18"/>
      <c r="X510" s="18"/>
      <c r="Y510" s="18"/>
      <c r="Z510" s="18"/>
      <c r="AA510" s="18"/>
    </row>
    <row r="511">
      <c r="A511" s="317"/>
      <c r="B511" s="172"/>
      <c r="C511" s="160"/>
      <c r="D511" s="160"/>
      <c r="E511" s="160"/>
      <c r="F511" s="160"/>
      <c r="G511" s="160"/>
      <c r="H511" s="160"/>
      <c r="I511" s="172"/>
      <c r="J511" s="160"/>
      <c r="K511" s="172"/>
      <c r="L511" s="172"/>
      <c r="M511" s="172"/>
      <c r="N511" s="160"/>
      <c r="O511" s="160"/>
      <c r="P511" s="160"/>
      <c r="Q511" s="160"/>
      <c r="R511" s="160"/>
      <c r="S511" s="160"/>
      <c r="T511" s="18"/>
      <c r="U511" s="18"/>
      <c r="V511" s="18"/>
      <c r="W511" s="18"/>
      <c r="X511" s="18"/>
      <c r="Y511" s="18"/>
      <c r="Z511" s="18"/>
      <c r="AA511" s="18"/>
    </row>
    <row r="512">
      <c r="A512" s="317"/>
      <c r="B512" s="172"/>
      <c r="C512" s="160"/>
      <c r="D512" s="160"/>
      <c r="E512" s="160"/>
      <c r="F512" s="160"/>
      <c r="G512" s="160"/>
      <c r="H512" s="160"/>
      <c r="I512" s="172"/>
      <c r="J512" s="160"/>
      <c r="K512" s="172"/>
      <c r="L512" s="172"/>
      <c r="M512" s="172"/>
      <c r="N512" s="160"/>
      <c r="O512" s="160"/>
      <c r="P512" s="160"/>
      <c r="Q512" s="160"/>
      <c r="R512" s="160"/>
      <c r="S512" s="160"/>
      <c r="T512" s="18"/>
      <c r="U512" s="18"/>
      <c r="V512" s="18"/>
      <c r="W512" s="18"/>
      <c r="X512" s="18"/>
      <c r="Y512" s="18"/>
      <c r="Z512" s="18"/>
      <c r="AA512" s="18"/>
    </row>
    <row r="513">
      <c r="A513" s="317"/>
      <c r="B513" s="172"/>
      <c r="C513" s="160"/>
      <c r="D513" s="160"/>
      <c r="E513" s="160"/>
      <c r="F513" s="160"/>
      <c r="G513" s="160"/>
      <c r="H513" s="160"/>
      <c r="I513" s="172"/>
      <c r="J513" s="160"/>
      <c r="K513" s="172"/>
      <c r="L513" s="172"/>
      <c r="M513" s="172"/>
      <c r="N513" s="160"/>
      <c r="O513" s="160"/>
      <c r="P513" s="160"/>
      <c r="Q513" s="160"/>
      <c r="R513" s="160"/>
      <c r="S513" s="160"/>
      <c r="T513" s="18"/>
      <c r="U513" s="18"/>
      <c r="V513" s="18"/>
      <c r="W513" s="18"/>
      <c r="X513" s="18"/>
      <c r="Y513" s="18"/>
      <c r="Z513" s="18"/>
      <c r="AA513" s="18"/>
    </row>
    <row r="514">
      <c r="A514" s="317"/>
      <c r="B514" s="172"/>
      <c r="C514" s="160"/>
      <c r="D514" s="160"/>
      <c r="E514" s="160"/>
      <c r="F514" s="160"/>
      <c r="G514" s="160"/>
      <c r="H514" s="160"/>
      <c r="I514" s="172"/>
      <c r="J514" s="160"/>
      <c r="K514" s="172"/>
      <c r="L514" s="172"/>
      <c r="M514" s="172"/>
      <c r="N514" s="160"/>
      <c r="O514" s="160"/>
      <c r="P514" s="160"/>
      <c r="Q514" s="160"/>
      <c r="R514" s="160"/>
      <c r="S514" s="160"/>
      <c r="T514" s="18"/>
      <c r="U514" s="18"/>
      <c r="V514" s="18"/>
      <c r="W514" s="18"/>
      <c r="X514" s="18"/>
      <c r="Y514" s="18"/>
      <c r="Z514" s="18"/>
      <c r="AA514" s="18"/>
    </row>
    <row r="515">
      <c r="A515" s="317"/>
      <c r="B515" s="172"/>
      <c r="C515" s="160"/>
      <c r="D515" s="160"/>
      <c r="E515" s="160"/>
      <c r="F515" s="160"/>
      <c r="G515" s="160"/>
      <c r="H515" s="160"/>
      <c r="I515" s="172"/>
      <c r="J515" s="160"/>
      <c r="K515" s="172"/>
      <c r="L515" s="172"/>
      <c r="M515" s="172"/>
      <c r="N515" s="160"/>
      <c r="O515" s="160"/>
      <c r="P515" s="160"/>
      <c r="Q515" s="160"/>
      <c r="R515" s="160"/>
      <c r="S515" s="160"/>
      <c r="T515" s="18"/>
      <c r="U515" s="18"/>
      <c r="V515" s="18"/>
      <c r="W515" s="18"/>
      <c r="X515" s="18"/>
      <c r="Y515" s="18"/>
      <c r="Z515" s="18"/>
      <c r="AA515" s="18"/>
    </row>
    <row r="516">
      <c r="A516" s="317"/>
      <c r="B516" s="172"/>
      <c r="C516" s="160"/>
      <c r="D516" s="160"/>
      <c r="E516" s="160"/>
      <c r="F516" s="160"/>
      <c r="G516" s="160"/>
      <c r="H516" s="160"/>
      <c r="I516" s="172"/>
      <c r="J516" s="160"/>
      <c r="K516" s="172"/>
      <c r="L516" s="172"/>
      <c r="M516" s="172"/>
      <c r="N516" s="160"/>
      <c r="O516" s="160"/>
      <c r="P516" s="160"/>
      <c r="Q516" s="160"/>
      <c r="R516" s="160"/>
      <c r="S516" s="160"/>
      <c r="T516" s="18"/>
      <c r="U516" s="18"/>
      <c r="V516" s="18"/>
      <c r="W516" s="18"/>
      <c r="X516" s="18"/>
      <c r="Y516" s="18"/>
      <c r="Z516" s="18"/>
      <c r="AA516" s="18"/>
    </row>
    <row r="517">
      <c r="A517" s="317"/>
      <c r="B517" s="172"/>
      <c r="C517" s="160"/>
      <c r="D517" s="160"/>
      <c r="E517" s="160"/>
      <c r="F517" s="160"/>
      <c r="G517" s="160"/>
      <c r="H517" s="160"/>
      <c r="I517" s="172"/>
      <c r="J517" s="160"/>
      <c r="K517" s="172"/>
      <c r="L517" s="172"/>
      <c r="M517" s="172"/>
      <c r="N517" s="160"/>
      <c r="O517" s="160"/>
      <c r="P517" s="160"/>
      <c r="Q517" s="160"/>
      <c r="R517" s="160"/>
      <c r="S517" s="160"/>
      <c r="T517" s="18"/>
      <c r="U517" s="18"/>
      <c r="V517" s="18"/>
      <c r="W517" s="18"/>
      <c r="X517" s="18"/>
      <c r="Y517" s="18"/>
      <c r="Z517" s="18"/>
      <c r="AA517" s="18"/>
    </row>
    <row r="518">
      <c r="A518" s="317"/>
      <c r="B518" s="172"/>
      <c r="C518" s="160"/>
      <c r="D518" s="160"/>
      <c r="E518" s="160"/>
      <c r="F518" s="160"/>
      <c r="G518" s="160"/>
      <c r="H518" s="160"/>
      <c r="I518" s="172"/>
      <c r="J518" s="160"/>
      <c r="K518" s="172"/>
      <c r="L518" s="172"/>
      <c r="M518" s="172"/>
      <c r="N518" s="160"/>
      <c r="O518" s="160"/>
      <c r="P518" s="160"/>
      <c r="Q518" s="160"/>
      <c r="R518" s="160"/>
      <c r="S518" s="160"/>
      <c r="T518" s="18"/>
      <c r="U518" s="18"/>
      <c r="V518" s="18"/>
      <c r="W518" s="18"/>
      <c r="X518" s="18"/>
      <c r="Y518" s="18"/>
      <c r="Z518" s="18"/>
      <c r="AA518" s="18"/>
    </row>
    <row r="519">
      <c r="A519" s="317"/>
      <c r="B519" s="172"/>
      <c r="C519" s="160"/>
      <c r="D519" s="160"/>
      <c r="E519" s="160"/>
      <c r="F519" s="160"/>
      <c r="G519" s="160"/>
      <c r="H519" s="160"/>
      <c r="I519" s="172"/>
      <c r="J519" s="160"/>
      <c r="K519" s="172"/>
      <c r="L519" s="172"/>
      <c r="M519" s="172"/>
      <c r="N519" s="160"/>
      <c r="O519" s="160"/>
      <c r="P519" s="160"/>
      <c r="Q519" s="160"/>
      <c r="R519" s="160"/>
      <c r="S519" s="160"/>
      <c r="T519" s="18"/>
      <c r="U519" s="18"/>
      <c r="V519" s="18"/>
      <c r="W519" s="18"/>
      <c r="X519" s="18"/>
      <c r="Y519" s="18"/>
      <c r="Z519" s="18"/>
      <c r="AA519" s="18"/>
    </row>
    <row r="520">
      <c r="A520" s="317"/>
      <c r="B520" s="172"/>
      <c r="C520" s="160"/>
      <c r="D520" s="160"/>
      <c r="E520" s="160"/>
      <c r="F520" s="160"/>
      <c r="G520" s="160"/>
      <c r="H520" s="160"/>
      <c r="I520" s="172"/>
      <c r="J520" s="160"/>
      <c r="K520" s="172"/>
      <c r="L520" s="172"/>
      <c r="M520" s="172"/>
      <c r="N520" s="160"/>
      <c r="O520" s="160"/>
      <c r="P520" s="160"/>
      <c r="Q520" s="160"/>
      <c r="R520" s="160"/>
      <c r="S520" s="160"/>
      <c r="T520" s="18"/>
      <c r="U520" s="18"/>
      <c r="V520" s="18"/>
      <c r="W520" s="18"/>
      <c r="X520" s="18"/>
      <c r="Y520" s="18"/>
      <c r="Z520" s="18"/>
      <c r="AA520" s="18"/>
    </row>
    <row r="521">
      <c r="A521" s="317"/>
      <c r="B521" s="172"/>
      <c r="C521" s="160"/>
      <c r="D521" s="160"/>
      <c r="E521" s="160"/>
      <c r="F521" s="160"/>
      <c r="G521" s="160"/>
      <c r="H521" s="160"/>
      <c r="I521" s="172"/>
      <c r="J521" s="160"/>
      <c r="K521" s="172"/>
      <c r="L521" s="172"/>
      <c r="M521" s="172"/>
      <c r="N521" s="160"/>
      <c r="O521" s="160"/>
      <c r="P521" s="160"/>
      <c r="Q521" s="160"/>
      <c r="R521" s="160"/>
      <c r="S521" s="160"/>
      <c r="T521" s="18"/>
      <c r="U521" s="18"/>
      <c r="V521" s="18"/>
      <c r="W521" s="18"/>
      <c r="X521" s="18"/>
      <c r="Y521" s="18"/>
      <c r="Z521" s="18"/>
      <c r="AA521" s="18"/>
    </row>
    <row r="522">
      <c r="A522" s="317"/>
      <c r="B522" s="172"/>
      <c r="C522" s="160"/>
      <c r="D522" s="160"/>
      <c r="E522" s="160"/>
      <c r="F522" s="160"/>
      <c r="G522" s="160"/>
      <c r="H522" s="160"/>
      <c r="I522" s="172"/>
      <c r="J522" s="160"/>
      <c r="K522" s="172"/>
      <c r="L522" s="172"/>
      <c r="M522" s="172"/>
      <c r="N522" s="160"/>
      <c r="O522" s="160"/>
      <c r="P522" s="160"/>
      <c r="Q522" s="160"/>
      <c r="R522" s="160"/>
      <c r="S522" s="160"/>
      <c r="T522" s="18"/>
      <c r="U522" s="18"/>
      <c r="V522" s="18"/>
      <c r="W522" s="18"/>
      <c r="X522" s="18"/>
      <c r="Y522" s="18"/>
      <c r="Z522" s="18"/>
      <c r="AA522" s="18"/>
    </row>
    <row r="523">
      <c r="A523" s="317"/>
      <c r="B523" s="172"/>
      <c r="C523" s="160"/>
      <c r="D523" s="160"/>
      <c r="E523" s="160"/>
      <c r="F523" s="160"/>
      <c r="G523" s="160"/>
      <c r="H523" s="160"/>
      <c r="I523" s="172"/>
      <c r="J523" s="160"/>
      <c r="K523" s="172"/>
      <c r="L523" s="172"/>
      <c r="M523" s="172"/>
      <c r="N523" s="160"/>
      <c r="O523" s="160"/>
      <c r="P523" s="160"/>
      <c r="Q523" s="160"/>
      <c r="R523" s="160"/>
      <c r="S523" s="160"/>
      <c r="T523" s="18"/>
      <c r="U523" s="18"/>
      <c r="V523" s="18"/>
      <c r="W523" s="18"/>
      <c r="X523" s="18"/>
      <c r="Y523" s="18"/>
      <c r="Z523" s="18"/>
      <c r="AA523" s="18"/>
    </row>
    <row r="524">
      <c r="A524" s="317"/>
      <c r="B524" s="172"/>
      <c r="C524" s="160"/>
      <c r="D524" s="160"/>
      <c r="E524" s="160"/>
      <c r="F524" s="160"/>
      <c r="G524" s="160"/>
      <c r="H524" s="160"/>
      <c r="I524" s="172"/>
      <c r="J524" s="160"/>
      <c r="K524" s="172"/>
      <c r="L524" s="172"/>
      <c r="M524" s="172"/>
      <c r="N524" s="160"/>
      <c r="O524" s="160"/>
      <c r="P524" s="160"/>
      <c r="Q524" s="160"/>
      <c r="R524" s="160"/>
      <c r="S524" s="160"/>
      <c r="T524" s="18"/>
      <c r="U524" s="18"/>
      <c r="V524" s="18"/>
      <c r="W524" s="18"/>
      <c r="X524" s="18"/>
      <c r="Y524" s="18"/>
      <c r="Z524" s="18"/>
      <c r="AA524" s="18"/>
    </row>
    <row r="525">
      <c r="A525" s="317"/>
      <c r="B525" s="172"/>
      <c r="C525" s="160"/>
      <c r="D525" s="160"/>
      <c r="E525" s="160"/>
      <c r="F525" s="160"/>
      <c r="G525" s="160"/>
      <c r="H525" s="160"/>
      <c r="I525" s="172"/>
      <c r="J525" s="160"/>
      <c r="K525" s="172"/>
      <c r="L525" s="172"/>
      <c r="M525" s="172"/>
      <c r="N525" s="160"/>
      <c r="O525" s="160"/>
      <c r="P525" s="160"/>
      <c r="Q525" s="160"/>
      <c r="R525" s="160"/>
      <c r="S525" s="160"/>
      <c r="T525" s="18"/>
      <c r="U525" s="18"/>
      <c r="V525" s="18"/>
      <c r="W525" s="18"/>
      <c r="X525" s="18"/>
      <c r="Y525" s="18"/>
      <c r="Z525" s="18"/>
      <c r="AA525" s="18"/>
    </row>
    <row r="526">
      <c r="A526" s="317"/>
      <c r="B526" s="172"/>
      <c r="C526" s="160"/>
      <c r="D526" s="160"/>
      <c r="E526" s="160"/>
      <c r="F526" s="160"/>
      <c r="G526" s="160"/>
      <c r="H526" s="160"/>
      <c r="I526" s="172"/>
      <c r="J526" s="160"/>
      <c r="K526" s="172"/>
      <c r="L526" s="172"/>
      <c r="M526" s="172"/>
      <c r="N526" s="160"/>
      <c r="O526" s="160"/>
      <c r="P526" s="160"/>
      <c r="Q526" s="160"/>
      <c r="R526" s="160"/>
      <c r="S526" s="160"/>
      <c r="T526" s="18"/>
      <c r="U526" s="18"/>
      <c r="V526" s="18"/>
      <c r="W526" s="18"/>
      <c r="X526" s="18"/>
      <c r="Y526" s="18"/>
      <c r="Z526" s="18"/>
      <c r="AA526" s="18"/>
    </row>
    <row r="527">
      <c r="A527" s="317"/>
      <c r="B527" s="172"/>
      <c r="C527" s="160"/>
      <c r="D527" s="160"/>
      <c r="E527" s="160"/>
      <c r="F527" s="160"/>
      <c r="G527" s="160"/>
      <c r="H527" s="160"/>
      <c r="I527" s="172"/>
      <c r="J527" s="160"/>
      <c r="K527" s="172"/>
      <c r="L527" s="172"/>
      <c r="M527" s="172"/>
      <c r="N527" s="160"/>
      <c r="O527" s="160"/>
      <c r="P527" s="160"/>
      <c r="Q527" s="160"/>
      <c r="R527" s="160"/>
      <c r="S527" s="160"/>
      <c r="T527" s="18"/>
      <c r="U527" s="18"/>
      <c r="V527" s="18"/>
      <c r="W527" s="18"/>
      <c r="X527" s="18"/>
      <c r="Y527" s="18"/>
      <c r="Z527" s="18"/>
      <c r="AA527" s="18"/>
    </row>
    <row r="528">
      <c r="A528" s="317"/>
      <c r="B528" s="172"/>
      <c r="C528" s="160"/>
      <c r="D528" s="160"/>
      <c r="E528" s="160"/>
      <c r="F528" s="160"/>
      <c r="G528" s="160"/>
      <c r="H528" s="160"/>
      <c r="I528" s="172"/>
      <c r="J528" s="160"/>
      <c r="K528" s="172"/>
      <c r="L528" s="172"/>
      <c r="M528" s="172"/>
      <c r="N528" s="160"/>
      <c r="O528" s="160"/>
      <c r="P528" s="160"/>
      <c r="Q528" s="160"/>
      <c r="R528" s="160"/>
      <c r="S528" s="160"/>
      <c r="T528" s="18"/>
      <c r="U528" s="18"/>
      <c r="V528" s="18"/>
      <c r="W528" s="18"/>
      <c r="X528" s="18"/>
      <c r="Y528" s="18"/>
      <c r="Z528" s="18"/>
      <c r="AA528" s="18"/>
    </row>
    <row r="529">
      <c r="A529" s="317"/>
      <c r="B529" s="172"/>
      <c r="C529" s="160"/>
      <c r="D529" s="160"/>
      <c r="E529" s="160"/>
      <c r="F529" s="160"/>
      <c r="G529" s="160"/>
      <c r="H529" s="160"/>
      <c r="I529" s="172"/>
      <c r="J529" s="160"/>
      <c r="K529" s="172"/>
      <c r="L529" s="172"/>
      <c r="M529" s="172"/>
      <c r="N529" s="160"/>
      <c r="O529" s="160"/>
      <c r="P529" s="160"/>
      <c r="Q529" s="160"/>
      <c r="R529" s="160"/>
      <c r="S529" s="160"/>
      <c r="T529" s="18"/>
      <c r="U529" s="18"/>
      <c r="V529" s="18"/>
      <c r="W529" s="18"/>
      <c r="X529" s="18"/>
      <c r="Y529" s="18"/>
      <c r="Z529" s="18"/>
      <c r="AA529" s="18"/>
    </row>
    <row r="530">
      <c r="A530" s="317"/>
      <c r="B530" s="172"/>
      <c r="C530" s="160"/>
      <c r="D530" s="160"/>
      <c r="E530" s="160"/>
      <c r="F530" s="160"/>
      <c r="G530" s="160"/>
      <c r="H530" s="160"/>
      <c r="I530" s="172"/>
      <c r="J530" s="160"/>
      <c r="K530" s="172"/>
      <c r="L530" s="172"/>
      <c r="M530" s="172"/>
      <c r="N530" s="160"/>
      <c r="O530" s="160"/>
      <c r="P530" s="160"/>
      <c r="Q530" s="160"/>
      <c r="R530" s="160"/>
      <c r="S530" s="160"/>
      <c r="T530" s="18"/>
      <c r="U530" s="18"/>
      <c r="V530" s="18"/>
      <c r="W530" s="18"/>
      <c r="X530" s="18"/>
      <c r="Y530" s="18"/>
      <c r="Z530" s="18"/>
      <c r="AA530" s="18"/>
    </row>
    <row r="531">
      <c r="A531" s="317"/>
      <c r="B531" s="172"/>
      <c r="C531" s="160"/>
      <c r="D531" s="160"/>
      <c r="E531" s="160"/>
      <c r="F531" s="160"/>
      <c r="G531" s="160"/>
      <c r="H531" s="160"/>
      <c r="I531" s="172"/>
      <c r="J531" s="160"/>
      <c r="K531" s="172"/>
      <c r="L531" s="172"/>
      <c r="M531" s="172"/>
      <c r="N531" s="160"/>
      <c r="O531" s="160"/>
      <c r="P531" s="160"/>
      <c r="Q531" s="160"/>
      <c r="R531" s="160"/>
      <c r="S531" s="160"/>
      <c r="T531" s="18"/>
      <c r="U531" s="18"/>
      <c r="V531" s="18"/>
      <c r="W531" s="18"/>
      <c r="X531" s="18"/>
      <c r="Y531" s="18"/>
      <c r="Z531" s="18"/>
      <c r="AA531" s="18"/>
    </row>
    <row r="532">
      <c r="A532" s="317"/>
      <c r="B532" s="172"/>
      <c r="C532" s="160"/>
      <c r="D532" s="160"/>
      <c r="E532" s="160"/>
      <c r="F532" s="160"/>
      <c r="G532" s="160"/>
      <c r="H532" s="160"/>
      <c r="I532" s="172"/>
      <c r="J532" s="160"/>
      <c r="K532" s="172"/>
      <c r="L532" s="172"/>
      <c r="M532" s="172"/>
      <c r="N532" s="160"/>
      <c r="O532" s="160"/>
      <c r="P532" s="160"/>
      <c r="Q532" s="160"/>
      <c r="R532" s="160"/>
      <c r="S532" s="160"/>
      <c r="T532" s="18"/>
      <c r="U532" s="18"/>
      <c r="V532" s="18"/>
      <c r="W532" s="18"/>
      <c r="X532" s="18"/>
      <c r="Y532" s="18"/>
      <c r="Z532" s="18"/>
      <c r="AA532" s="18"/>
    </row>
    <row r="533">
      <c r="A533" s="317"/>
      <c r="B533" s="172"/>
      <c r="C533" s="160"/>
      <c r="D533" s="160"/>
      <c r="E533" s="160"/>
      <c r="F533" s="160"/>
      <c r="G533" s="160"/>
      <c r="H533" s="160"/>
      <c r="I533" s="172"/>
      <c r="J533" s="160"/>
      <c r="K533" s="172"/>
      <c r="L533" s="172"/>
      <c r="M533" s="172"/>
      <c r="N533" s="160"/>
      <c r="O533" s="160"/>
      <c r="P533" s="160"/>
      <c r="Q533" s="160"/>
      <c r="R533" s="160"/>
      <c r="S533" s="160"/>
      <c r="T533" s="18"/>
      <c r="U533" s="18"/>
      <c r="V533" s="18"/>
      <c r="W533" s="18"/>
      <c r="X533" s="18"/>
      <c r="Y533" s="18"/>
      <c r="Z533" s="18"/>
      <c r="AA533" s="18"/>
    </row>
    <row r="534">
      <c r="A534" s="317"/>
      <c r="B534" s="172"/>
      <c r="C534" s="160"/>
      <c r="D534" s="160"/>
      <c r="E534" s="160"/>
      <c r="F534" s="160"/>
      <c r="G534" s="160"/>
      <c r="H534" s="160"/>
      <c r="I534" s="172"/>
      <c r="J534" s="160"/>
      <c r="K534" s="172"/>
      <c r="L534" s="172"/>
      <c r="M534" s="172"/>
      <c r="N534" s="160"/>
      <c r="O534" s="160"/>
      <c r="P534" s="160"/>
      <c r="Q534" s="160"/>
      <c r="R534" s="160"/>
      <c r="S534" s="160"/>
      <c r="T534" s="18"/>
      <c r="U534" s="18"/>
      <c r="V534" s="18"/>
      <c r="W534" s="18"/>
      <c r="X534" s="18"/>
      <c r="Y534" s="18"/>
      <c r="Z534" s="18"/>
      <c r="AA534" s="18"/>
    </row>
    <row r="535">
      <c r="A535" s="317"/>
      <c r="B535" s="172"/>
      <c r="C535" s="160"/>
      <c r="D535" s="160"/>
      <c r="E535" s="160"/>
      <c r="F535" s="160"/>
      <c r="G535" s="160"/>
      <c r="H535" s="160"/>
      <c r="I535" s="172"/>
      <c r="J535" s="160"/>
      <c r="K535" s="172"/>
      <c r="L535" s="172"/>
      <c r="M535" s="172"/>
      <c r="N535" s="160"/>
      <c r="O535" s="160"/>
      <c r="P535" s="160"/>
      <c r="Q535" s="160"/>
      <c r="R535" s="160"/>
      <c r="S535" s="160"/>
      <c r="T535" s="18"/>
      <c r="U535" s="18"/>
      <c r="V535" s="18"/>
      <c r="W535" s="18"/>
      <c r="X535" s="18"/>
      <c r="Y535" s="18"/>
      <c r="Z535" s="18"/>
      <c r="AA535" s="18"/>
    </row>
    <row r="536">
      <c r="A536" s="317"/>
      <c r="B536" s="172"/>
      <c r="C536" s="160"/>
      <c r="D536" s="160"/>
      <c r="E536" s="160"/>
      <c r="F536" s="160"/>
      <c r="G536" s="160"/>
      <c r="H536" s="160"/>
      <c r="I536" s="172"/>
      <c r="J536" s="160"/>
      <c r="K536" s="172"/>
      <c r="L536" s="172"/>
      <c r="M536" s="172"/>
      <c r="N536" s="160"/>
      <c r="O536" s="160"/>
      <c r="P536" s="160"/>
      <c r="Q536" s="160"/>
      <c r="R536" s="160"/>
      <c r="S536" s="160"/>
      <c r="T536" s="18"/>
      <c r="U536" s="18"/>
      <c r="V536" s="18"/>
      <c r="W536" s="18"/>
      <c r="X536" s="18"/>
      <c r="Y536" s="18"/>
      <c r="Z536" s="18"/>
      <c r="AA536" s="18"/>
    </row>
    <row r="537">
      <c r="A537" s="317"/>
      <c r="B537" s="172"/>
      <c r="C537" s="160"/>
      <c r="D537" s="160"/>
      <c r="E537" s="160"/>
      <c r="F537" s="160"/>
      <c r="G537" s="160"/>
      <c r="H537" s="160"/>
      <c r="I537" s="172"/>
      <c r="J537" s="160"/>
      <c r="K537" s="172"/>
      <c r="L537" s="172"/>
      <c r="M537" s="172"/>
      <c r="N537" s="160"/>
      <c r="O537" s="160"/>
      <c r="P537" s="160"/>
      <c r="Q537" s="160"/>
      <c r="R537" s="160"/>
      <c r="S537" s="160"/>
      <c r="T537" s="18"/>
      <c r="U537" s="18"/>
      <c r="V537" s="18"/>
      <c r="W537" s="18"/>
      <c r="X537" s="18"/>
      <c r="Y537" s="18"/>
      <c r="Z537" s="18"/>
      <c r="AA537" s="18"/>
    </row>
    <row r="538">
      <c r="A538" s="317"/>
      <c r="B538" s="172"/>
      <c r="C538" s="160"/>
      <c r="D538" s="160"/>
      <c r="E538" s="160"/>
      <c r="F538" s="160"/>
      <c r="G538" s="160"/>
      <c r="H538" s="160"/>
      <c r="I538" s="172"/>
      <c r="J538" s="160"/>
      <c r="K538" s="172"/>
      <c r="L538" s="172"/>
      <c r="M538" s="172"/>
      <c r="N538" s="160"/>
      <c r="O538" s="160"/>
      <c r="P538" s="160"/>
      <c r="Q538" s="160"/>
      <c r="R538" s="160"/>
      <c r="S538" s="160"/>
      <c r="T538" s="18"/>
      <c r="U538" s="18"/>
      <c r="V538" s="18"/>
      <c r="W538" s="18"/>
      <c r="X538" s="18"/>
      <c r="Y538" s="18"/>
      <c r="Z538" s="18"/>
      <c r="AA538" s="18"/>
    </row>
    <row r="539">
      <c r="A539" s="317"/>
      <c r="B539" s="172"/>
      <c r="C539" s="160"/>
      <c r="D539" s="160"/>
      <c r="E539" s="160"/>
      <c r="F539" s="160"/>
      <c r="G539" s="160"/>
      <c r="H539" s="160"/>
      <c r="I539" s="172"/>
      <c r="J539" s="160"/>
      <c r="K539" s="172"/>
      <c r="L539" s="172"/>
      <c r="M539" s="172"/>
      <c r="N539" s="160"/>
      <c r="O539" s="160"/>
      <c r="P539" s="160"/>
      <c r="Q539" s="160"/>
      <c r="R539" s="160"/>
      <c r="S539" s="160"/>
      <c r="T539" s="18"/>
      <c r="U539" s="18"/>
      <c r="V539" s="18"/>
      <c r="W539" s="18"/>
      <c r="X539" s="18"/>
      <c r="Y539" s="18"/>
      <c r="Z539" s="18"/>
      <c r="AA539" s="18"/>
    </row>
    <row r="540">
      <c r="A540" s="317"/>
      <c r="B540" s="172"/>
      <c r="C540" s="160"/>
      <c r="D540" s="160"/>
      <c r="E540" s="160"/>
      <c r="F540" s="160"/>
      <c r="G540" s="160"/>
      <c r="H540" s="160"/>
      <c r="I540" s="172"/>
      <c r="J540" s="160"/>
      <c r="K540" s="172"/>
      <c r="L540" s="172"/>
      <c r="M540" s="172"/>
      <c r="N540" s="160"/>
      <c r="O540" s="160"/>
      <c r="P540" s="160"/>
      <c r="Q540" s="160"/>
      <c r="R540" s="160"/>
      <c r="S540" s="160"/>
      <c r="T540" s="18"/>
      <c r="U540" s="18"/>
      <c r="V540" s="18"/>
      <c r="W540" s="18"/>
      <c r="X540" s="18"/>
      <c r="Y540" s="18"/>
      <c r="Z540" s="18"/>
      <c r="AA540" s="18"/>
    </row>
    <row r="541">
      <c r="A541" s="317"/>
      <c r="B541" s="172"/>
      <c r="C541" s="160"/>
      <c r="D541" s="160"/>
      <c r="E541" s="160"/>
      <c r="F541" s="160"/>
      <c r="G541" s="160"/>
      <c r="H541" s="160"/>
      <c r="I541" s="172"/>
      <c r="J541" s="160"/>
      <c r="K541" s="172"/>
      <c r="L541" s="172"/>
      <c r="M541" s="172"/>
      <c r="N541" s="160"/>
      <c r="O541" s="160"/>
      <c r="P541" s="160"/>
      <c r="Q541" s="160"/>
      <c r="R541" s="160"/>
      <c r="S541" s="160"/>
      <c r="T541" s="18"/>
      <c r="U541" s="18"/>
      <c r="V541" s="18"/>
      <c r="W541" s="18"/>
      <c r="X541" s="18"/>
      <c r="Y541" s="18"/>
      <c r="Z541" s="18"/>
      <c r="AA541" s="18"/>
    </row>
    <row r="542">
      <c r="A542" s="317"/>
      <c r="B542" s="172"/>
      <c r="C542" s="160"/>
      <c r="D542" s="160"/>
      <c r="E542" s="160"/>
      <c r="F542" s="160"/>
      <c r="G542" s="160"/>
      <c r="H542" s="160"/>
      <c r="I542" s="172"/>
      <c r="J542" s="160"/>
      <c r="K542" s="172"/>
      <c r="L542" s="172"/>
      <c r="M542" s="172"/>
      <c r="N542" s="160"/>
      <c r="O542" s="160"/>
      <c r="P542" s="160"/>
      <c r="Q542" s="160"/>
      <c r="R542" s="160"/>
      <c r="S542" s="160"/>
      <c r="T542" s="18"/>
      <c r="U542" s="18"/>
      <c r="V542" s="18"/>
      <c r="W542" s="18"/>
      <c r="X542" s="18"/>
      <c r="Y542" s="18"/>
      <c r="Z542" s="18"/>
      <c r="AA542" s="18"/>
    </row>
    <row r="543">
      <c r="A543" s="317"/>
      <c r="B543" s="172"/>
      <c r="C543" s="160"/>
      <c r="D543" s="160"/>
      <c r="E543" s="160"/>
      <c r="F543" s="160"/>
      <c r="G543" s="160"/>
      <c r="H543" s="160"/>
      <c r="I543" s="172"/>
      <c r="J543" s="160"/>
      <c r="K543" s="172"/>
      <c r="L543" s="172"/>
      <c r="M543" s="172"/>
      <c r="N543" s="160"/>
      <c r="O543" s="160"/>
      <c r="P543" s="160"/>
      <c r="Q543" s="160"/>
      <c r="R543" s="160"/>
      <c r="S543" s="160"/>
      <c r="T543" s="18"/>
      <c r="U543" s="18"/>
      <c r="V543" s="18"/>
      <c r="W543" s="18"/>
      <c r="X543" s="18"/>
      <c r="Y543" s="18"/>
      <c r="Z543" s="18"/>
      <c r="AA543" s="18"/>
    </row>
    <row r="544">
      <c r="A544" s="317"/>
      <c r="B544" s="172"/>
      <c r="C544" s="160"/>
      <c r="D544" s="160"/>
      <c r="E544" s="160"/>
      <c r="F544" s="160"/>
      <c r="G544" s="160"/>
      <c r="H544" s="160"/>
      <c r="I544" s="172"/>
      <c r="J544" s="160"/>
      <c r="K544" s="172"/>
      <c r="L544" s="172"/>
      <c r="M544" s="172"/>
      <c r="N544" s="160"/>
      <c r="O544" s="160"/>
      <c r="P544" s="160"/>
      <c r="Q544" s="160"/>
      <c r="R544" s="160"/>
      <c r="S544" s="160"/>
      <c r="T544" s="18"/>
      <c r="U544" s="18"/>
      <c r="V544" s="18"/>
      <c r="W544" s="18"/>
      <c r="X544" s="18"/>
      <c r="Y544" s="18"/>
      <c r="Z544" s="18"/>
      <c r="AA544" s="18"/>
    </row>
    <row r="545">
      <c r="A545" s="317"/>
      <c r="B545" s="172"/>
      <c r="C545" s="160"/>
      <c r="D545" s="160"/>
      <c r="E545" s="160"/>
      <c r="F545" s="160"/>
      <c r="G545" s="160"/>
      <c r="H545" s="160"/>
      <c r="I545" s="172"/>
      <c r="J545" s="160"/>
      <c r="K545" s="172"/>
      <c r="L545" s="172"/>
      <c r="M545" s="172"/>
      <c r="N545" s="160"/>
      <c r="O545" s="160"/>
      <c r="P545" s="160"/>
      <c r="Q545" s="160"/>
      <c r="R545" s="160"/>
      <c r="S545" s="160"/>
      <c r="T545" s="18"/>
      <c r="U545" s="18"/>
      <c r="V545" s="18"/>
      <c r="W545" s="18"/>
      <c r="X545" s="18"/>
      <c r="Y545" s="18"/>
      <c r="Z545" s="18"/>
      <c r="AA545" s="18"/>
    </row>
    <row r="546">
      <c r="A546" s="317"/>
      <c r="B546" s="172"/>
      <c r="C546" s="160"/>
      <c r="D546" s="160"/>
      <c r="E546" s="160"/>
      <c r="F546" s="160"/>
      <c r="G546" s="160"/>
      <c r="H546" s="160"/>
      <c r="I546" s="172"/>
      <c r="J546" s="160"/>
      <c r="K546" s="172"/>
      <c r="L546" s="172"/>
      <c r="M546" s="172"/>
      <c r="N546" s="160"/>
      <c r="O546" s="160"/>
      <c r="P546" s="160"/>
      <c r="Q546" s="160"/>
      <c r="R546" s="160"/>
      <c r="S546" s="160"/>
      <c r="T546" s="18"/>
      <c r="U546" s="18"/>
      <c r="V546" s="18"/>
      <c r="W546" s="18"/>
      <c r="X546" s="18"/>
      <c r="Y546" s="18"/>
      <c r="Z546" s="18"/>
      <c r="AA546" s="18"/>
    </row>
    <row r="547">
      <c r="A547" s="317"/>
      <c r="B547" s="172"/>
      <c r="C547" s="160"/>
      <c r="D547" s="160"/>
      <c r="E547" s="160"/>
      <c r="F547" s="160"/>
      <c r="G547" s="160"/>
      <c r="H547" s="160"/>
      <c r="I547" s="172"/>
      <c r="J547" s="160"/>
      <c r="K547" s="172"/>
      <c r="L547" s="172"/>
      <c r="M547" s="172"/>
      <c r="N547" s="160"/>
      <c r="O547" s="160"/>
      <c r="P547" s="160"/>
      <c r="Q547" s="160"/>
      <c r="R547" s="160"/>
      <c r="S547" s="160"/>
      <c r="T547" s="18"/>
      <c r="U547" s="18"/>
      <c r="V547" s="18"/>
      <c r="W547" s="18"/>
      <c r="X547" s="18"/>
      <c r="Y547" s="18"/>
      <c r="Z547" s="18"/>
      <c r="AA547" s="18"/>
    </row>
    <row r="548">
      <c r="A548" s="317"/>
      <c r="B548" s="172"/>
      <c r="C548" s="160"/>
      <c r="D548" s="160"/>
      <c r="E548" s="160"/>
      <c r="F548" s="160"/>
      <c r="G548" s="160"/>
      <c r="H548" s="160"/>
      <c r="I548" s="172"/>
      <c r="J548" s="160"/>
      <c r="K548" s="172"/>
      <c r="L548" s="172"/>
      <c r="M548" s="172"/>
      <c r="N548" s="160"/>
      <c r="O548" s="160"/>
      <c r="P548" s="160"/>
      <c r="Q548" s="160"/>
      <c r="R548" s="160"/>
      <c r="S548" s="160"/>
      <c r="T548" s="18"/>
      <c r="U548" s="18"/>
      <c r="V548" s="18"/>
      <c r="W548" s="18"/>
      <c r="X548" s="18"/>
      <c r="Y548" s="18"/>
      <c r="Z548" s="18"/>
      <c r="AA548" s="18"/>
    </row>
    <row r="549">
      <c r="A549" s="317"/>
      <c r="B549" s="172"/>
      <c r="C549" s="160"/>
      <c r="D549" s="160"/>
      <c r="E549" s="160"/>
      <c r="F549" s="160"/>
      <c r="G549" s="160"/>
      <c r="H549" s="160"/>
      <c r="I549" s="172"/>
      <c r="J549" s="160"/>
      <c r="K549" s="172"/>
      <c r="L549" s="172"/>
      <c r="M549" s="172"/>
      <c r="N549" s="160"/>
      <c r="O549" s="160"/>
      <c r="P549" s="160"/>
      <c r="Q549" s="160"/>
      <c r="R549" s="160"/>
      <c r="S549" s="160"/>
      <c r="T549" s="18"/>
      <c r="U549" s="18"/>
      <c r="V549" s="18"/>
      <c r="W549" s="18"/>
      <c r="X549" s="18"/>
      <c r="Y549" s="18"/>
      <c r="Z549" s="18"/>
      <c r="AA549" s="18"/>
    </row>
    <row r="550">
      <c r="A550" s="317"/>
      <c r="B550" s="172"/>
      <c r="C550" s="160"/>
      <c r="D550" s="160"/>
      <c r="E550" s="160"/>
      <c r="F550" s="160"/>
      <c r="G550" s="160"/>
      <c r="H550" s="160"/>
      <c r="I550" s="172"/>
      <c r="J550" s="160"/>
      <c r="K550" s="172"/>
      <c r="L550" s="172"/>
      <c r="M550" s="172"/>
      <c r="N550" s="160"/>
      <c r="O550" s="160"/>
      <c r="P550" s="160"/>
      <c r="Q550" s="160"/>
      <c r="R550" s="160"/>
      <c r="S550" s="160"/>
      <c r="T550" s="18"/>
      <c r="U550" s="18"/>
      <c r="V550" s="18"/>
      <c r="W550" s="18"/>
      <c r="X550" s="18"/>
      <c r="Y550" s="18"/>
      <c r="Z550" s="18"/>
      <c r="AA550" s="18"/>
    </row>
    <row r="551">
      <c r="A551" s="317"/>
      <c r="B551" s="172"/>
      <c r="C551" s="160"/>
      <c r="D551" s="160"/>
      <c r="E551" s="160"/>
      <c r="F551" s="160"/>
      <c r="G551" s="160"/>
      <c r="H551" s="160"/>
      <c r="I551" s="172"/>
      <c r="J551" s="160"/>
      <c r="K551" s="172"/>
      <c r="L551" s="172"/>
      <c r="M551" s="172"/>
      <c r="N551" s="160"/>
      <c r="O551" s="160"/>
      <c r="P551" s="160"/>
      <c r="Q551" s="160"/>
      <c r="R551" s="160"/>
      <c r="S551" s="160"/>
      <c r="T551" s="18"/>
      <c r="U551" s="18"/>
      <c r="V551" s="18"/>
      <c r="W551" s="18"/>
      <c r="X551" s="18"/>
      <c r="Y551" s="18"/>
      <c r="Z551" s="18"/>
      <c r="AA551" s="18"/>
    </row>
    <row r="552">
      <c r="A552" s="317"/>
      <c r="B552" s="172"/>
      <c r="C552" s="160"/>
      <c r="D552" s="160"/>
      <c r="E552" s="160"/>
      <c r="F552" s="160"/>
      <c r="G552" s="160"/>
      <c r="H552" s="160"/>
      <c r="I552" s="172"/>
      <c r="J552" s="160"/>
      <c r="K552" s="172"/>
      <c r="L552" s="172"/>
      <c r="M552" s="172"/>
      <c r="N552" s="160"/>
      <c r="O552" s="160"/>
      <c r="P552" s="160"/>
      <c r="Q552" s="160"/>
      <c r="R552" s="160"/>
      <c r="S552" s="160"/>
      <c r="T552" s="18"/>
      <c r="U552" s="18"/>
      <c r="V552" s="18"/>
      <c r="W552" s="18"/>
      <c r="X552" s="18"/>
      <c r="Y552" s="18"/>
      <c r="Z552" s="18"/>
      <c r="AA552" s="18"/>
    </row>
    <row r="553">
      <c r="A553" s="317"/>
      <c r="B553" s="172"/>
      <c r="C553" s="160"/>
      <c r="D553" s="160"/>
      <c r="E553" s="160"/>
      <c r="F553" s="160"/>
      <c r="G553" s="160"/>
      <c r="H553" s="160"/>
      <c r="I553" s="172"/>
      <c r="J553" s="160"/>
      <c r="K553" s="172"/>
      <c r="L553" s="172"/>
      <c r="M553" s="172"/>
      <c r="N553" s="160"/>
      <c r="O553" s="160"/>
      <c r="P553" s="160"/>
      <c r="Q553" s="160"/>
      <c r="R553" s="160"/>
      <c r="S553" s="160"/>
      <c r="T553" s="18"/>
      <c r="U553" s="18"/>
      <c r="V553" s="18"/>
      <c r="W553" s="18"/>
      <c r="X553" s="18"/>
      <c r="Y553" s="18"/>
      <c r="Z553" s="18"/>
      <c r="AA553" s="18"/>
    </row>
    <row r="554">
      <c r="A554" s="317"/>
      <c r="B554" s="172"/>
      <c r="C554" s="160"/>
      <c r="D554" s="160"/>
      <c r="E554" s="160"/>
      <c r="F554" s="160"/>
      <c r="G554" s="160"/>
      <c r="H554" s="160"/>
      <c r="I554" s="172"/>
      <c r="J554" s="160"/>
      <c r="K554" s="172"/>
      <c r="L554" s="172"/>
      <c r="M554" s="172"/>
      <c r="N554" s="160"/>
      <c r="O554" s="160"/>
      <c r="P554" s="160"/>
      <c r="Q554" s="160"/>
      <c r="R554" s="160"/>
      <c r="S554" s="160"/>
      <c r="T554" s="18"/>
      <c r="U554" s="18"/>
      <c r="V554" s="18"/>
      <c r="W554" s="18"/>
      <c r="X554" s="18"/>
      <c r="Y554" s="18"/>
      <c r="Z554" s="18"/>
      <c r="AA554" s="18"/>
    </row>
    <row r="555">
      <c r="A555" s="317"/>
      <c r="B555" s="172"/>
      <c r="C555" s="160"/>
      <c r="D555" s="160"/>
      <c r="E555" s="160"/>
      <c r="F555" s="160"/>
      <c r="G555" s="160"/>
      <c r="H555" s="160"/>
      <c r="I555" s="172"/>
      <c r="J555" s="160"/>
      <c r="K555" s="172"/>
      <c r="L555" s="172"/>
      <c r="M555" s="172"/>
      <c r="N555" s="160"/>
      <c r="O555" s="160"/>
      <c r="P555" s="160"/>
      <c r="Q555" s="160"/>
      <c r="R555" s="160"/>
      <c r="S555" s="160"/>
      <c r="T555" s="18"/>
      <c r="U555" s="18"/>
      <c r="V555" s="18"/>
      <c r="W555" s="18"/>
      <c r="X555" s="18"/>
      <c r="Y555" s="18"/>
      <c r="Z555" s="18"/>
      <c r="AA555" s="18"/>
    </row>
    <row r="556">
      <c r="A556" s="317"/>
      <c r="B556" s="172"/>
      <c r="C556" s="160"/>
      <c r="D556" s="160"/>
      <c r="E556" s="160"/>
      <c r="F556" s="160"/>
      <c r="G556" s="160"/>
      <c r="H556" s="160"/>
      <c r="I556" s="172"/>
      <c r="J556" s="160"/>
      <c r="K556" s="172"/>
      <c r="L556" s="172"/>
      <c r="M556" s="172"/>
      <c r="N556" s="160"/>
      <c r="O556" s="160"/>
      <c r="P556" s="160"/>
      <c r="Q556" s="160"/>
      <c r="R556" s="160"/>
      <c r="S556" s="160"/>
      <c r="T556" s="18"/>
      <c r="U556" s="18"/>
      <c r="V556" s="18"/>
      <c r="W556" s="18"/>
      <c r="X556" s="18"/>
      <c r="Y556" s="18"/>
      <c r="Z556" s="18"/>
      <c r="AA556" s="18"/>
    </row>
    <row r="557">
      <c r="A557" s="317"/>
      <c r="B557" s="172"/>
      <c r="C557" s="160"/>
      <c r="D557" s="160"/>
      <c r="E557" s="160"/>
      <c r="F557" s="160"/>
      <c r="G557" s="160"/>
      <c r="H557" s="160"/>
      <c r="I557" s="172"/>
      <c r="J557" s="160"/>
      <c r="K557" s="172"/>
      <c r="L557" s="172"/>
      <c r="M557" s="172"/>
      <c r="N557" s="160"/>
      <c r="O557" s="160"/>
      <c r="P557" s="160"/>
      <c r="Q557" s="160"/>
      <c r="R557" s="160"/>
      <c r="S557" s="160"/>
      <c r="T557" s="18"/>
      <c r="U557" s="18"/>
      <c r="V557" s="18"/>
      <c r="W557" s="18"/>
      <c r="X557" s="18"/>
      <c r="Y557" s="18"/>
      <c r="Z557" s="18"/>
      <c r="AA557" s="18"/>
    </row>
    <row r="558">
      <c r="A558" s="317"/>
      <c r="B558" s="172"/>
      <c r="C558" s="160"/>
      <c r="D558" s="160"/>
      <c r="E558" s="160"/>
      <c r="F558" s="160"/>
      <c r="G558" s="160"/>
      <c r="H558" s="160"/>
      <c r="I558" s="172"/>
      <c r="J558" s="160"/>
      <c r="K558" s="172"/>
      <c r="L558" s="172"/>
      <c r="M558" s="172"/>
      <c r="N558" s="160"/>
      <c r="O558" s="160"/>
      <c r="P558" s="160"/>
      <c r="Q558" s="160"/>
      <c r="R558" s="160"/>
      <c r="S558" s="160"/>
      <c r="T558" s="18"/>
      <c r="U558" s="18"/>
      <c r="V558" s="18"/>
      <c r="W558" s="18"/>
      <c r="X558" s="18"/>
      <c r="Y558" s="18"/>
      <c r="Z558" s="18"/>
      <c r="AA558" s="18"/>
    </row>
    <row r="559">
      <c r="A559" s="317"/>
      <c r="B559" s="172"/>
      <c r="C559" s="160"/>
      <c r="D559" s="160"/>
      <c r="E559" s="160"/>
      <c r="F559" s="160"/>
      <c r="G559" s="160"/>
      <c r="H559" s="160"/>
      <c r="I559" s="172"/>
      <c r="J559" s="160"/>
      <c r="K559" s="172"/>
      <c r="L559" s="172"/>
      <c r="M559" s="172"/>
      <c r="N559" s="160"/>
      <c r="O559" s="160"/>
      <c r="P559" s="160"/>
      <c r="Q559" s="160"/>
      <c r="R559" s="160"/>
      <c r="S559" s="160"/>
      <c r="T559" s="18"/>
      <c r="U559" s="18"/>
      <c r="V559" s="18"/>
      <c r="W559" s="18"/>
      <c r="X559" s="18"/>
      <c r="Y559" s="18"/>
      <c r="Z559" s="18"/>
      <c r="AA559" s="18"/>
    </row>
    <row r="560">
      <c r="A560" s="317"/>
      <c r="B560" s="172"/>
      <c r="C560" s="160"/>
      <c r="D560" s="160"/>
      <c r="E560" s="160"/>
      <c r="F560" s="160"/>
      <c r="G560" s="160"/>
      <c r="H560" s="160"/>
      <c r="I560" s="172"/>
      <c r="J560" s="160"/>
      <c r="K560" s="172"/>
      <c r="L560" s="172"/>
      <c r="M560" s="172"/>
      <c r="N560" s="160"/>
      <c r="O560" s="160"/>
      <c r="P560" s="160"/>
      <c r="Q560" s="160"/>
      <c r="R560" s="160"/>
      <c r="S560" s="160"/>
      <c r="T560" s="18"/>
      <c r="U560" s="18"/>
      <c r="V560" s="18"/>
      <c r="W560" s="18"/>
      <c r="X560" s="18"/>
      <c r="Y560" s="18"/>
      <c r="Z560" s="18"/>
      <c r="AA560" s="18"/>
    </row>
    <row r="561">
      <c r="A561" s="317"/>
      <c r="B561" s="172"/>
      <c r="C561" s="160"/>
      <c r="D561" s="160"/>
      <c r="E561" s="160"/>
      <c r="F561" s="160"/>
      <c r="G561" s="160"/>
      <c r="H561" s="160"/>
      <c r="I561" s="172"/>
      <c r="J561" s="160"/>
      <c r="K561" s="172"/>
      <c r="L561" s="172"/>
      <c r="M561" s="172"/>
      <c r="N561" s="160"/>
      <c r="O561" s="160"/>
      <c r="P561" s="160"/>
      <c r="Q561" s="160"/>
      <c r="R561" s="160"/>
      <c r="S561" s="160"/>
      <c r="T561" s="18"/>
      <c r="U561" s="18"/>
      <c r="V561" s="18"/>
      <c r="W561" s="18"/>
      <c r="X561" s="18"/>
      <c r="Y561" s="18"/>
      <c r="Z561" s="18"/>
      <c r="AA561" s="18"/>
    </row>
    <row r="562">
      <c r="A562" s="317"/>
      <c r="B562" s="172"/>
      <c r="C562" s="160"/>
      <c r="D562" s="160"/>
      <c r="E562" s="160"/>
      <c r="F562" s="160"/>
      <c r="G562" s="160"/>
      <c r="H562" s="160"/>
      <c r="I562" s="172"/>
      <c r="J562" s="160"/>
      <c r="K562" s="172"/>
      <c r="L562" s="172"/>
      <c r="M562" s="172"/>
      <c r="N562" s="160"/>
      <c r="O562" s="160"/>
      <c r="P562" s="160"/>
      <c r="Q562" s="160"/>
      <c r="R562" s="160"/>
      <c r="S562" s="160"/>
      <c r="T562" s="18"/>
      <c r="U562" s="18"/>
      <c r="V562" s="18"/>
      <c r="W562" s="18"/>
      <c r="X562" s="18"/>
      <c r="Y562" s="18"/>
      <c r="Z562" s="18"/>
      <c r="AA562" s="18"/>
    </row>
    <row r="563">
      <c r="A563" s="317"/>
      <c r="B563" s="172"/>
      <c r="C563" s="160"/>
      <c r="D563" s="160"/>
      <c r="E563" s="160"/>
      <c r="F563" s="160"/>
      <c r="G563" s="160"/>
      <c r="H563" s="160"/>
      <c r="I563" s="172"/>
      <c r="J563" s="160"/>
      <c r="K563" s="172"/>
      <c r="L563" s="172"/>
      <c r="M563" s="172"/>
      <c r="N563" s="160"/>
      <c r="O563" s="160"/>
      <c r="P563" s="160"/>
      <c r="Q563" s="160"/>
      <c r="R563" s="160"/>
      <c r="S563" s="160"/>
      <c r="T563" s="18"/>
      <c r="U563" s="18"/>
      <c r="V563" s="18"/>
      <c r="W563" s="18"/>
      <c r="X563" s="18"/>
      <c r="Y563" s="18"/>
      <c r="Z563" s="18"/>
      <c r="AA563" s="18"/>
    </row>
    <row r="564">
      <c r="A564" s="317"/>
      <c r="B564" s="172"/>
      <c r="C564" s="160"/>
      <c r="D564" s="160"/>
      <c r="E564" s="160"/>
      <c r="F564" s="160"/>
      <c r="G564" s="160"/>
      <c r="H564" s="160"/>
      <c r="I564" s="172"/>
      <c r="J564" s="160"/>
      <c r="K564" s="172"/>
      <c r="L564" s="172"/>
      <c r="M564" s="172"/>
      <c r="N564" s="160"/>
      <c r="O564" s="160"/>
      <c r="P564" s="160"/>
      <c r="Q564" s="160"/>
      <c r="R564" s="160"/>
      <c r="S564" s="160"/>
      <c r="T564" s="18"/>
      <c r="U564" s="18"/>
      <c r="V564" s="18"/>
      <c r="W564" s="18"/>
      <c r="X564" s="18"/>
      <c r="Y564" s="18"/>
      <c r="Z564" s="18"/>
      <c r="AA564" s="18"/>
    </row>
    <row r="565">
      <c r="A565" s="317"/>
      <c r="B565" s="172"/>
      <c r="C565" s="160"/>
      <c r="D565" s="160"/>
      <c r="E565" s="160"/>
      <c r="F565" s="160"/>
      <c r="G565" s="160"/>
      <c r="H565" s="160"/>
      <c r="I565" s="172"/>
      <c r="J565" s="160"/>
      <c r="K565" s="172"/>
      <c r="L565" s="172"/>
      <c r="M565" s="172"/>
      <c r="N565" s="160"/>
      <c r="O565" s="160"/>
      <c r="P565" s="160"/>
      <c r="Q565" s="160"/>
      <c r="R565" s="160"/>
      <c r="S565" s="160"/>
      <c r="T565" s="18"/>
      <c r="U565" s="18"/>
      <c r="V565" s="18"/>
      <c r="W565" s="18"/>
      <c r="X565" s="18"/>
      <c r="Y565" s="18"/>
      <c r="Z565" s="18"/>
      <c r="AA565" s="18"/>
    </row>
    <row r="566">
      <c r="A566" s="317"/>
      <c r="B566" s="172"/>
      <c r="C566" s="160"/>
      <c r="D566" s="160"/>
      <c r="E566" s="160"/>
      <c r="F566" s="160"/>
      <c r="G566" s="160"/>
      <c r="H566" s="160"/>
      <c r="I566" s="172"/>
      <c r="J566" s="160"/>
      <c r="K566" s="172"/>
      <c r="L566" s="172"/>
      <c r="M566" s="172"/>
      <c r="N566" s="160"/>
      <c r="O566" s="160"/>
      <c r="P566" s="160"/>
      <c r="Q566" s="160"/>
      <c r="R566" s="160"/>
      <c r="S566" s="160"/>
      <c r="T566" s="18"/>
      <c r="U566" s="18"/>
      <c r="V566" s="18"/>
      <c r="W566" s="18"/>
      <c r="X566" s="18"/>
      <c r="Y566" s="18"/>
      <c r="Z566" s="18"/>
      <c r="AA566" s="18"/>
    </row>
    <row r="567">
      <c r="A567" s="317"/>
      <c r="B567" s="172"/>
      <c r="C567" s="160"/>
      <c r="D567" s="160"/>
      <c r="E567" s="160"/>
      <c r="F567" s="160"/>
      <c r="G567" s="160"/>
      <c r="H567" s="160"/>
      <c r="I567" s="172"/>
      <c r="J567" s="160"/>
      <c r="K567" s="172"/>
      <c r="L567" s="172"/>
      <c r="M567" s="172"/>
      <c r="N567" s="160"/>
      <c r="O567" s="160"/>
      <c r="P567" s="160"/>
      <c r="Q567" s="160"/>
      <c r="R567" s="160"/>
      <c r="S567" s="160"/>
      <c r="T567" s="18"/>
      <c r="U567" s="18"/>
      <c r="V567" s="18"/>
      <c r="W567" s="18"/>
      <c r="X567" s="18"/>
      <c r="Y567" s="18"/>
      <c r="Z567" s="18"/>
      <c r="AA567" s="18"/>
    </row>
    <row r="568">
      <c r="A568" s="317"/>
      <c r="B568" s="172"/>
      <c r="C568" s="160"/>
      <c r="D568" s="160"/>
      <c r="E568" s="160"/>
      <c r="F568" s="160"/>
      <c r="G568" s="160"/>
      <c r="H568" s="160"/>
      <c r="I568" s="172"/>
      <c r="J568" s="160"/>
      <c r="K568" s="172"/>
      <c r="L568" s="172"/>
      <c r="M568" s="172"/>
      <c r="N568" s="160"/>
      <c r="O568" s="160"/>
      <c r="P568" s="160"/>
      <c r="Q568" s="160"/>
      <c r="R568" s="160"/>
      <c r="S568" s="160"/>
      <c r="T568" s="18"/>
      <c r="U568" s="18"/>
      <c r="V568" s="18"/>
      <c r="W568" s="18"/>
      <c r="X568" s="18"/>
      <c r="Y568" s="18"/>
      <c r="Z568" s="18"/>
      <c r="AA568" s="18"/>
    </row>
    <row r="569">
      <c r="A569" s="317"/>
      <c r="B569" s="172"/>
      <c r="C569" s="160"/>
      <c r="D569" s="160"/>
      <c r="E569" s="160"/>
      <c r="F569" s="160"/>
      <c r="G569" s="160"/>
      <c r="H569" s="160"/>
      <c r="I569" s="172"/>
      <c r="J569" s="160"/>
      <c r="K569" s="172"/>
      <c r="L569" s="172"/>
      <c r="M569" s="172"/>
      <c r="N569" s="160"/>
      <c r="O569" s="160"/>
      <c r="P569" s="160"/>
      <c r="Q569" s="160"/>
      <c r="R569" s="160"/>
      <c r="S569" s="160"/>
      <c r="T569" s="18"/>
      <c r="U569" s="18"/>
      <c r="V569" s="18"/>
      <c r="W569" s="18"/>
      <c r="X569" s="18"/>
      <c r="Y569" s="18"/>
      <c r="Z569" s="18"/>
      <c r="AA569" s="18"/>
    </row>
    <row r="570">
      <c r="A570" s="317"/>
      <c r="B570" s="172"/>
      <c r="C570" s="160"/>
      <c r="D570" s="160"/>
      <c r="E570" s="160"/>
      <c r="F570" s="160"/>
      <c r="G570" s="160"/>
      <c r="H570" s="160"/>
      <c r="I570" s="172"/>
      <c r="J570" s="160"/>
      <c r="K570" s="172"/>
      <c r="L570" s="172"/>
      <c r="M570" s="172"/>
      <c r="N570" s="160"/>
      <c r="O570" s="160"/>
      <c r="P570" s="160"/>
      <c r="Q570" s="160"/>
      <c r="R570" s="160"/>
      <c r="S570" s="160"/>
      <c r="T570" s="18"/>
      <c r="U570" s="18"/>
      <c r="V570" s="18"/>
      <c r="W570" s="18"/>
      <c r="X570" s="18"/>
      <c r="Y570" s="18"/>
      <c r="Z570" s="18"/>
      <c r="AA570" s="18"/>
    </row>
    <row r="571">
      <c r="A571" s="317"/>
      <c r="B571" s="172"/>
      <c r="C571" s="160"/>
      <c r="D571" s="160"/>
      <c r="E571" s="160"/>
      <c r="F571" s="160"/>
      <c r="G571" s="160"/>
      <c r="H571" s="160"/>
      <c r="I571" s="172"/>
      <c r="J571" s="160"/>
      <c r="K571" s="172"/>
      <c r="L571" s="172"/>
      <c r="M571" s="172"/>
      <c r="N571" s="160"/>
      <c r="O571" s="160"/>
      <c r="P571" s="160"/>
      <c r="Q571" s="160"/>
      <c r="R571" s="160"/>
      <c r="S571" s="160"/>
      <c r="T571" s="18"/>
      <c r="U571" s="18"/>
      <c r="V571" s="18"/>
      <c r="W571" s="18"/>
      <c r="X571" s="18"/>
      <c r="Y571" s="18"/>
      <c r="Z571" s="18"/>
      <c r="AA571" s="18"/>
    </row>
    <row r="572">
      <c r="A572" s="317"/>
      <c r="B572" s="172"/>
      <c r="C572" s="160"/>
      <c r="D572" s="160"/>
      <c r="E572" s="160"/>
      <c r="F572" s="160"/>
      <c r="G572" s="160"/>
      <c r="H572" s="160"/>
      <c r="I572" s="172"/>
      <c r="J572" s="160"/>
      <c r="K572" s="172"/>
      <c r="L572" s="172"/>
      <c r="M572" s="172"/>
      <c r="N572" s="160"/>
      <c r="O572" s="160"/>
      <c r="P572" s="160"/>
      <c r="Q572" s="160"/>
      <c r="R572" s="160"/>
      <c r="S572" s="160"/>
      <c r="T572" s="18"/>
      <c r="U572" s="18"/>
      <c r="V572" s="18"/>
      <c r="W572" s="18"/>
      <c r="X572" s="18"/>
      <c r="Y572" s="18"/>
      <c r="Z572" s="18"/>
      <c r="AA572" s="18"/>
    </row>
    <row r="573">
      <c r="A573" s="317"/>
      <c r="B573" s="172"/>
      <c r="C573" s="160"/>
      <c r="D573" s="160"/>
      <c r="E573" s="160"/>
      <c r="F573" s="160"/>
      <c r="G573" s="160"/>
      <c r="H573" s="160"/>
      <c r="I573" s="172"/>
      <c r="J573" s="160"/>
      <c r="K573" s="172"/>
      <c r="L573" s="172"/>
      <c r="M573" s="172"/>
      <c r="N573" s="160"/>
      <c r="O573" s="160"/>
      <c r="P573" s="160"/>
      <c r="Q573" s="160"/>
      <c r="R573" s="160"/>
      <c r="S573" s="160"/>
      <c r="T573" s="18"/>
      <c r="U573" s="18"/>
      <c r="V573" s="18"/>
      <c r="W573" s="18"/>
      <c r="X573" s="18"/>
      <c r="Y573" s="18"/>
      <c r="Z573" s="18"/>
      <c r="AA573" s="18"/>
    </row>
    <row r="574">
      <c r="A574" s="317"/>
      <c r="B574" s="172"/>
      <c r="C574" s="160"/>
      <c r="D574" s="160"/>
      <c r="E574" s="160"/>
      <c r="F574" s="160"/>
      <c r="G574" s="160"/>
      <c r="H574" s="160"/>
      <c r="I574" s="172"/>
      <c r="J574" s="160"/>
      <c r="K574" s="172"/>
      <c r="L574" s="172"/>
      <c r="M574" s="172"/>
      <c r="N574" s="160"/>
      <c r="O574" s="160"/>
      <c r="P574" s="160"/>
      <c r="Q574" s="160"/>
      <c r="R574" s="160"/>
      <c r="S574" s="160"/>
      <c r="T574" s="18"/>
      <c r="U574" s="18"/>
      <c r="V574" s="18"/>
      <c r="W574" s="18"/>
      <c r="X574" s="18"/>
      <c r="Y574" s="18"/>
      <c r="Z574" s="18"/>
      <c r="AA574" s="18"/>
    </row>
    <row r="575">
      <c r="A575" s="317"/>
      <c r="B575" s="172"/>
      <c r="C575" s="160"/>
      <c r="D575" s="160"/>
      <c r="E575" s="160"/>
      <c r="F575" s="160"/>
      <c r="G575" s="160"/>
      <c r="H575" s="160"/>
      <c r="I575" s="172"/>
      <c r="J575" s="160"/>
      <c r="K575" s="172"/>
      <c r="L575" s="172"/>
      <c r="M575" s="172"/>
      <c r="N575" s="160"/>
      <c r="O575" s="160"/>
      <c r="P575" s="160"/>
      <c r="Q575" s="160"/>
      <c r="R575" s="160"/>
      <c r="S575" s="160"/>
      <c r="T575" s="18"/>
      <c r="U575" s="18"/>
      <c r="V575" s="18"/>
      <c r="W575" s="18"/>
      <c r="X575" s="18"/>
      <c r="Y575" s="18"/>
      <c r="Z575" s="18"/>
      <c r="AA575" s="18"/>
    </row>
    <row r="576">
      <c r="A576" s="317"/>
      <c r="B576" s="172"/>
      <c r="C576" s="160"/>
      <c r="D576" s="160"/>
      <c r="E576" s="160"/>
      <c r="F576" s="160"/>
      <c r="G576" s="160"/>
      <c r="H576" s="160"/>
      <c r="I576" s="172"/>
      <c r="J576" s="160"/>
      <c r="K576" s="172"/>
      <c r="L576" s="172"/>
      <c r="M576" s="172"/>
      <c r="N576" s="160"/>
      <c r="O576" s="160"/>
      <c r="P576" s="160"/>
      <c r="Q576" s="160"/>
      <c r="R576" s="160"/>
      <c r="S576" s="160"/>
      <c r="T576" s="18"/>
      <c r="U576" s="18"/>
      <c r="V576" s="18"/>
      <c r="W576" s="18"/>
      <c r="X576" s="18"/>
      <c r="Y576" s="18"/>
      <c r="Z576" s="18"/>
      <c r="AA576" s="18"/>
    </row>
    <row r="577">
      <c r="A577" s="317"/>
      <c r="B577" s="172"/>
      <c r="C577" s="160"/>
      <c r="D577" s="160"/>
      <c r="E577" s="160"/>
      <c r="F577" s="160"/>
      <c r="G577" s="160"/>
      <c r="H577" s="160"/>
      <c r="I577" s="172"/>
      <c r="J577" s="160"/>
      <c r="K577" s="172"/>
      <c r="L577" s="172"/>
      <c r="M577" s="172"/>
      <c r="N577" s="160"/>
      <c r="O577" s="160"/>
      <c r="P577" s="160"/>
      <c r="Q577" s="160"/>
      <c r="R577" s="160"/>
      <c r="S577" s="160"/>
      <c r="T577" s="18"/>
      <c r="U577" s="18"/>
      <c r="V577" s="18"/>
      <c r="W577" s="18"/>
      <c r="X577" s="18"/>
      <c r="Y577" s="18"/>
      <c r="Z577" s="18"/>
      <c r="AA577" s="18"/>
    </row>
    <row r="578">
      <c r="A578" s="317"/>
      <c r="B578" s="172"/>
      <c r="C578" s="160"/>
      <c r="D578" s="160"/>
      <c r="E578" s="160"/>
      <c r="F578" s="160"/>
      <c r="G578" s="160"/>
      <c r="H578" s="160"/>
      <c r="I578" s="172"/>
      <c r="J578" s="160"/>
      <c r="K578" s="172"/>
      <c r="L578" s="172"/>
      <c r="M578" s="172"/>
      <c r="N578" s="160"/>
      <c r="O578" s="160"/>
      <c r="P578" s="160"/>
      <c r="Q578" s="160"/>
      <c r="R578" s="160"/>
      <c r="S578" s="160"/>
      <c r="T578" s="18"/>
      <c r="U578" s="18"/>
      <c r="V578" s="18"/>
      <c r="W578" s="18"/>
      <c r="X578" s="18"/>
      <c r="Y578" s="18"/>
      <c r="Z578" s="18"/>
      <c r="AA578" s="18"/>
    </row>
    <row r="579">
      <c r="A579" s="317"/>
      <c r="B579" s="172"/>
      <c r="C579" s="160"/>
      <c r="D579" s="160"/>
      <c r="E579" s="160"/>
      <c r="F579" s="160"/>
      <c r="G579" s="160"/>
      <c r="H579" s="160"/>
      <c r="I579" s="172"/>
      <c r="J579" s="160"/>
      <c r="K579" s="172"/>
      <c r="L579" s="172"/>
      <c r="M579" s="172"/>
      <c r="N579" s="160"/>
      <c r="O579" s="160"/>
      <c r="P579" s="160"/>
      <c r="Q579" s="160"/>
      <c r="R579" s="160"/>
      <c r="S579" s="160"/>
      <c r="T579" s="18"/>
      <c r="U579" s="18"/>
      <c r="V579" s="18"/>
      <c r="W579" s="18"/>
      <c r="X579" s="18"/>
      <c r="Y579" s="18"/>
      <c r="Z579" s="18"/>
      <c r="AA579" s="18"/>
    </row>
    <row r="580">
      <c r="A580" s="317"/>
      <c r="B580" s="172"/>
      <c r="C580" s="160"/>
      <c r="D580" s="160"/>
      <c r="E580" s="160"/>
      <c r="F580" s="160"/>
      <c r="G580" s="160"/>
      <c r="H580" s="160"/>
      <c r="I580" s="172"/>
      <c r="J580" s="160"/>
      <c r="K580" s="172"/>
      <c r="L580" s="172"/>
      <c r="M580" s="172"/>
      <c r="N580" s="160"/>
      <c r="O580" s="160"/>
      <c r="P580" s="160"/>
      <c r="Q580" s="160"/>
      <c r="R580" s="160"/>
      <c r="S580" s="160"/>
      <c r="T580" s="18"/>
      <c r="U580" s="18"/>
      <c r="V580" s="18"/>
      <c r="W580" s="18"/>
      <c r="X580" s="18"/>
      <c r="Y580" s="18"/>
      <c r="Z580" s="18"/>
      <c r="AA580" s="18"/>
    </row>
    <row r="581">
      <c r="A581" s="317"/>
      <c r="B581" s="172"/>
      <c r="C581" s="160"/>
      <c r="D581" s="160"/>
      <c r="E581" s="160"/>
      <c r="F581" s="160"/>
      <c r="G581" s="160"/>
      <c r="H581" s="160"/>
      <c r="I581" s="172"/>
      <c r="J581" s="160"/>
      <c r="K581" s="172"/>
      <c r="L581" s="172"/>
      <c r="M581" s="172"/>
      <c r="N581" s="160"/>
      <c r="O581" s="160"/>
      <c r="P581" s="160"/>
      <c r="Q581" s="160"/>
      <c r="R581" s="160"/>
      <c r="S581" s="160"/>
      <c r="T581" s="18"/>
      <c r="U581" s="18"/>
      <c r="V581" s="18"/>
      <c r="W581" s="18"/>
      <c r="X581" s="18"/>
      <c r="Y581" s="18"/>
      <c r="Z581" s="18"/>
      <c r="AA581" s="18"/>
    </row>
    <row r="582">
      <c r="A582" s="317"/>
      <c r="B582" s="172"/>
      <c r="C582" s="160"/>
      <c r="D582" s="160"/>
      <c r="E582" s="160"/>
      <c r="F582" s="160"/>
      <c r="G582" s="160"/>
      <c r="H582" s="160"/>
      <c r="I582" s="172"/>
      <c r="J582" s="160"/>
      <c r="K582" s="172"/>
      <c r="L582" s="172"/>
      <c r="M582" s="172"/>
      <c r="N582" s="160"/>
      <c r="O582" s="160"/>
      <c r="P582" s="160"/>
      <c r="Q582" s="160"/>
      <c r="R582" s="160"/>
      <c r="S582" s="160"/>
      <c r="T582" s="18"/>
      <c r="U582" s="18"/>
      <c r="V582" s="18"/>
      <c r="W582" s="18"/>
      <c r="X582" s="18"/>
      <c r="Y582" s="18"/>
      <c r="Z582" s="18"/>
      <c r="AA582" s="18"/>
    </row>
    <row r="583">
      <c r="A583" s="317"/>
      <c r="B583" s="172"/>
      <c r="C583" s="160"/>
      <c r="D583" s="160"/>
      <c r="E583" s="160"/>
      <c r="F583" s="160"/>
      <c r="G583" s="160"/>
      <c r="H583" s="160"/>
      <c r="I583" s="172"/>
      <c r="J583" s="160"/>
      <c r="K583" s="172"/>
      <c r="L583" s="172"/>
      <c r="M583" s="172"/>
      <c r="N583" s="160"/>
      <c r="O583" s="160"/>
      <c r="P583" s="160"/>
      <c r="Q583" s="160"/>
      <c r="R583" s="160"/>
      <c r="S583" s="160"/>
      <c r="T583" s="18"/>
      <c r="U583" s="18"/>
      <c r="V583" s="18"/>
      <c r="W583" s="18"/>
      <c r="X583" s="18"/>
      <c r="Y583" s="18"/>
      <c r="Z583" s="18"/>
      <c r="AA583" s="18"/>
    </row>
    <row r="584">
      <c r="A584" s="317"/>
      <c r="B584" s="172"/>
      <c r="C584" s="160"/>
      <c r="D584" s="160"/>
      <c r="E584" s="160"/>
      <c r="F584" s="160"/>
      <c r="G584" s="160"/>
      <c r="H584" s="160"/>
      <c r="I584" s="172"/>
      <c r="J584" s="160"/>
      <c r="K584" s="172"/>
      <c r="L584" s="172"/>
      <c r="M584" s="172"/>
      <c r="N584" s="160"/>
      <c r="O584" s="160"/>
      <c r="P584" s="160"/>
      <c r="Q584" s="160"/>
      <c r="R584" s="160"/>
      <c r="S584" s="160"/>
      <c r="T584" s="18"/>
      <c r="U584" s="18"/>
      <c r="V584" s="18"/>
      <c r="W584" s="18"/>
      <c r="X584" s="18"/>
      <c r="Y584" s="18"/>
      <c r="Z584" s="18"/>
      <c r="AA584" s="18"/>
    </row>
    <row r="585">
      <c r="A585" s="317"/>
      <c r="B585" s="172"/>
      <c r="C585" s="160"/>
      <c r="D585" s="160"/>
      <c r="E585" s="160"/>
      <c r="F585" s="160"/>
      <c r="G585" s="160"/>
      <c r="H585" s="160"/>
      <c r="I585" s="172"/>
      <c r="J585" s="160"/>
      <c r="K585" s="172"/>
      <c r="L585" s="172"/>
      <c r="M585" s="172"/>
      <c r="N585" s="160"/>
      <c r="O585" s="160"/>
      <c r="P585" s="160"/>
      <c r="Q585" s="160"/>
      <c r="R585" s="160"/>
      <c r="S585" s="160"/>
      <c r="T585" s="18"/>
      <c r="U585" s="18"/>
      <c r="V585" s="18"/>
      <c r="W585" s="18"/>
      <c r="X585" s="18"/>
      <c r="Y585" s="18"/>
      <c r="Z585" s="18"/>
      <c r="AA585" s="18"/>
    </row>
    <row r="586">
      <c r="A586" s="317"/>
      <c r="B586" s="172"/>
      <c r="C586" s="160"/>
      <c r="D586" s="160"/>
      <c r="E586" s="160"/>
      <c r="F586" s="160"/>
      <c r="G586" s="160"/>
      <c r="H586" s="160"/>
      <c r="I586" s="172"/>
      <c r="J586" s="160"/>
      <c r="K586" s="172"/>
      <c r="L586" s="172"/>
      <c r="M586" s="172"/>
      <c r="N586" s="160"/>
      <c r="O586" s="160"/>
      <c r="P586" s="160"/>
      <c r="Q586" s="160"/>
      <c r="R586" s="160"/>
      <c r="S586" s="160"/>
      <c r="T586" s="18"/>
      <c r="U586" s="18"/>
      <c r="V586" s="18"/>
      <c r="W586" s="18"/>
      <c r="X586" s="18"/>
      <c r="Y586" s="18"/>
      <c r="Z586" s="18"/>
      <c r="AA586" s="18"/>
    </row>
    <row r="587">
      <c r="A587" s="317"/>
      <c r="B587" s="172"/>
      <c r="C587" s="160"/>
      <c r="D587" s="160"/>
      <c r="E587" s="160"/>
      <c r="F587" s="160"/>
      <c r="G587" s="160"/>
      <c r="H587" s="160"/>
      <c r="I587" s="172"/>
      <c r="J587" s="160"/>
      <c r="K587" s="172"/>
      <c r="L587" s="172"/>
      <c r="M587" s="172"/>
      <c r="N587" s="160"/>
      <c r="O587" s="160"/>
      <c r="P587" s="160"/>
      <c r="Q587" s="160"/>
      <c r="R587" s="160"/>
      <c r="S587" s="160"/>
      <c r="T587" s="18"/>
      <c r="U587" s="18"/>
      <c r="V587" s="18"/>
      <c r="W587" s="18"/>
      <c r="X587" s="18"/>
      <c r="Y587" s="18"/>
      <c r="Z587" s="18"/>
      <c r="AA587" s="18"/>
    </row>
    <row r="588">
      <c r="A588" s="317"/>
      <c r="B588" s="172"/>
      <c r="C588" s="160"/>
      <c r="D588" s="160"/>
      <c r="E588" s="160"/>
      <c r="F588" s="160"/>
      <c r="G588" s="160"/>
      <c r="H588" s="160"/>
      <c r="I588" s="172"/>
      <c r="J588" s="160"/>
      <c r="K588" s="172"/>
      <c r="L588" s="172"/>
      <c r="M588" s="172"/>
      <c r="N588" s="160"/>
      <c r="O588" s="160"/>
      <c r="P588" s="160"/>
      <c r="Q588" s="160"/>
      <c r="R588" s="160"/>
      <c r="S588" s="160"/>
      <c r="T588" s="18"/>
      <c r="U588" s="18"/>
      <c r="V588" s="18"/>
      <c r="W588" s="18"/>
      <c r="X588" s="18"/>
      <c r="Y588" s="18"/>
      <c r="Z588" s="18"/>
      <c r="AA588" s="18"/>
    </row>
    <row r="589">
      <c r="A589" s="317"/>
      <c r="B589" s="172"/>
      <c r="C589" s="160"/>
      <c r="D589" s="160"/>
      <c r="E589" s="160"/>
      <c r="F589" s="160"/>
      <c r="G589" s="160"/>
      <c r="H589" s="160"/>
      <c r="I589" s="172"/>
      <c r="J589" s="160"/>
      <c r="K589" s="172"/>
      <c r="L589" s="172"/>
      <c r="M589" s="172"/>
      <c r="N589" s="160"/>
      <c r="O589" s="160"/>
      <c r="P589" s="160"/>
      <c r="Q589" s="160"/>
      <c r="R589" s="160"/>
      <c r="S589" s="160"/>
      <c r="T589" s="18"/>
      <c r="U589" s="18"/>
      <c r="V589" s="18"/>
      <c r="W589" s="18"/>
      <c r="X589" s="18"/>
      <c r="Y589" s="18"/>
      <c r="Z589" s="18"/>
      <c r="AA589" s="18"/>
    </row>
    <row r="590">
      <c r="A590" s="317"/>
      <c r="B590" s="172"/>
      <c r="C590" s="160"/>
      <c r="D590" s="160"/>
      <c r="E590" s="160"/>
      <c r="F590" s="160"/>
      <c r="G590" s="160"/>
      <c r="H590" s="160"/>
      <c r="I590" s="172"/>
      <c r="J590" s="160"/>
      <c r="K590" s="172"/>
      <c r="L590" s="172"/>
      <c r="M590" s="172"/>
      <c r="N590" s="160"/>
      <c r="O590" s="160"/>
      <c r="P590" s="160"/>
      <c r="Q590" s="160"/>
      <c r="R590" s="160"/>
      <c r="S590" s="160"/>
      <c r="T590" s="18"/>
      <c r="U590" s="18"/>
      <c r="V590" s="18"/>
      <c r="W590" s="18"/>
      <c r="X590" s="18"/>
      <c r="Y590" s="18"/>
      <c r="Z590" s="18"/>
      <c r="AA590" s="18"/>
    </row>
    <row r="591">
      <c r="A591" s="317"/>
      <c r="B591" s="172"/>
      <c r="C591" s="160"/>
      <c r="D591" s="160"/>
      <c r="E591" s="160"/>
      <c r="F591" s="160"/>
      <c r="G591" s="160"/>
      <c r="H591" s="160"/>
      <c r="I591" s="172"/>
      <c r="J591" s="160"/>
      <c r="K591" s="172"/>
      <c r="L591" s="172"/>
      <c r="M591" s="172"/>
      <c r="N591" s="160"/>
      <c r="O591" s="160"/>
      <c r="P591" s="160"/>
      <c r="Q591" s="160"/>
      <c r="R591" s="160"/>
      <c r="S591" s="160"/>
      <c r="T591" s="18"/>
      <c r="U591" s="18"/>
      <c r="V591" s="18"/>
      <c r="W591" s="18"/>
      <c r="X591" s="18"/>
      <c r="Y591" s="18"/>
      <c r="Z591" s="18"/>
      <c r="AA591" s="18"/>
    </row>
    <row r="592">
      <c r="A592" s="317"/>
      <c r="B592" s="172"/>
      <c r="C592" s="160"/>
      <c r="D592" s="160"/>
      <c r="E592" s="160"/>
      <c r="F592" s="160"/>
      <c r="G592" s="160"/>
      <c r="H592" s="160"/>
      <c r="I592" s="172"/>
      <c r="J592" s="160"/>
      <c r="K592" s="172"/>
      <c r="L592" s="172"/>
      <c r="M592" s="172"/>
      <c r="N592" s="160"/>
      <c r="O592" s="160"/>
      <c r="P592" s="160"/>
      <c r="Q592" s="160"/>
      <c r="R592" s="160"/>
      <c r="S592" s="160"/>
      <c r="T592" s="18"/>
      <c r="U592" s="18"/>
      <c r="V592" s="18"/>
      <c r="W592" s="18"/>
      <c r="X592" s="18"/>
      <c r="Y592" s="18"/>
      <c r="Z592" s="18"/>
      <c r="AA592" s="18"/>
    </row>
    <row r="593">
      <c r="A593" s="317"/>
      <c r="B593" s="172"/>
      <c r="C593" s="160"/>
      <c r="D593" s="160"/>
      <c r="E593" s="160"/>
      <c r="F593" s="160"/>
      <c r="G593" s="160"/>
      <c r="H593" s="160"/>
      <c r="I593" s="172"/>
      <c r="J593" s="160"/>
      <c r="K593" s="172"/>
      <c r="L593" s="172"/>
      <c r="M593" s="172"/>
      <c r="N593" s="160"/>
      <c r="O593" s="160"/>
      <c r="P593" s="160"/>
      <c r="Q593" s="160"/>
      <c r="R593" s="160"/>
      <c r="S593" s="160"/>
      <c r="T593" s="18"/>
      <c r="U593" s="18"/>
      <c r="V593" s="18"/>
      <c r="W593" s="18"/>
      <c r="X593" s="18"/>
      <c r="Y593" s="18"/>
      <c r="Z593" s="18"/>
      <c r="AA593" s="18"/>
    </row>
    <row r="594">
      <c r="A594" s="317"/>
      <c r="B594" s="172"/>
      <c r="C594" s="160"/>
      <c r="D594" s="160"/>
      <c r="E594" s="160"/>
      <c r="F594" s="160"/>
      <c r="G594" s="160"/>
      <c r="H594" s="160"/>
      <c r="I594" s="172"/>
      <c r="J594" s="160"/>
      <c r="K594" s="172"/>
      <c r="L594" s="172"/>
      <c r="M594" s="172"/>
      <c r="N594" s="160"/>
      <c r="O594" s="160"/>
      <c r="P594" s="160"/>
      <c r="Q594" s="160"/>
      <c r="R594" s="160"/>
      <c r="S594" s="160"/>
      <c r="T594" s="18"/>
      <c r="U594" s="18"/>
      <c r="V594" s="18"/>
      <c r="W594" s="18"/>
      <c r="X594" s="18"/>
      <c r="Y594" s="18"/>
      <c r="Z594" s="18"/>
      <c r="AA594" s="18"/>
    </row>
    <row r="595">
      <c r="A595" s="317"/>
      <c r="B595" s="172"/>
      <c r="C595" s="160"/>
      <c r="D595" s="160"/>
      <c r="E595" s="160"/>
      <c r="F595" s="160"/>
      <c r="G595" s="160"/>
      <c r="H595" s="160"/>
      <c r="I595" s="172"/>
      <c r="J595" s="160"/>
      <c r="K595" s="172"/>
      <c r="L595" s="172"/>
      <c r="M595" s="172"/>
      <c r="N595" s="160"/>
      <c r="O595" s="160"/>
      <c r="P595" s="160"/>
      <c r="Q595" s="160"/>
      <c r="R595" s="160"/>
      <c r="S595" s="160"/>
      <c r="T595" s="18"/>
      <c r="U595" s="18"/>
      <c r="V595" s="18"/>
      <c r="W595" s="18"/>
      <c r="X595" s="18"/>
      <c r="Y595" s="18"/>
      <c r="Z595" s="18"/>
      <c r="AA595" s="18"/>
    </row>
    <row r="596">
      <c r="A596" s="317"/>
      <c r="B596" s="172"/>
      <c r="C596" s="160"/>
      <c r="D596" s="160"/>
      <c r="E596" s="160"/>
      <c r="F596" s="160"/>
      <c r="G596" s="160"/>
      <c r="H596" s="160"/>
      <c r="I596" s="172"/>
      <c r="J596" s="160"/>
      <c r="K596" s="172"/>
      <c r="L596" s="172"/>
      <c r="M596" s="172"/>
      <c r="N596" s="160"/>
      <c r="O596" s="160"/>
      <c r="P596" s="160"/>
      <c r="Q596" s="160"/>
      <c r="R596" s="160"/>
      <c r="S596" s="160"/>
      <c r="T596" s="18"/>
      <c r="U596" s="18"/>
      <c r="V596" s="18"/>
      <c r="W596" s="18"/>
      <c r="X596" s="18"/>
      <c r="Y596" s="18"/>
      <c r="Z596" s="18"/>
      <c r="AA596" s="18"/>
    </row>
    <row r="597">
      <c r="A597" s="317"/>
      <c r="B597" s="172"/>
      <c r="C597" s="160"/>
      <c r="D597" s="160"/>
      <c r="E597" s="160"/>
      <c r="F597" s="160"/>
      <c r="G597" s="160"/>
      <c r="H597" s="160"/>
      <c r="I597" s="172"/>
      <c r="J597" s="160"/>
      <c r="K597" s="172"/>
      <c r="L597" s="172"/>
      <c r="M597" s="172"/>
      <c r="N597" s="160"/>
      <c r="O597" s="160"/>
      <c r="P597" s="160"/>
      <c r="Q597" s="160"/>
      <c r="R597" s="160"/>
      <c r="S597" s="160"/>
      <c r="T597" s="18"/>
      <c r="U597" s="18"/>
      <c r="V597" s="18"/>
      <c r="W597" s="18"/>
      <c r="X597" s="18"/>
      <c r="Y597" s="18"/>
      <c r="Z597" s="18"/>
      <c r="AA597" s="18"/>
    </row>
    <row r="598">
      <c r="A598" s="317"/>
      <c r="B598" s="172"/>
      <c r="C598" s="160"/>
      <c r="D598" s="160"/>
      <c r="E598" s="160"/>
      <c r="F598" s="160"/>
      <c r="G598" s="160"/>
      <c r="H598" s="160"/>
      <c r="I598" s="172"/>
      <c r="J598" s="160"/>
      <c r="K598" s="172"/>
      <c r="L598" s="172"/>
      <c r="M598" s="172"/>
      <c r="N598" s="160"/>
      <c r="O598" s="160"/>
      <c r="P598" s="160"/>
      <c r="Q598" s="160"/>
      <c r="R598" s="160"/>
      <c r="S598" s="160"/>
      <c r="T598" s="18"/>
      <c r="U598" s="18"/>
      <c r="V598" s="18"/>
      <c r="W598" s="18"/>
      <c r="X598" s="18"/>
      <c r="Y598" s="18"/>
      <c r="Z598" s="18"/>
      <c r="AA598" s="18"/>
    </row>
    <row r="599">
      <c r="A599" s="317"/>
      <c r="B599" s="172"/>
      <c r="C599" s="160"/>
      <c r="D599" s="160"/>
      <c r="E599" s="160"/>
      <c r="F599" s="160"/>
      <c r="G599" s="160"/>
      <c r="H599" s="160"/>
      <c r="I599" s="172"/>
      <c r="J599" s="160"/>
      <c r="K599" s="172"/>
      <c r="L599" s="172"/>
      <c r="M599" s="172"/>
      <c r="N599" s="160"/>
      <c r="O599" s="160"/>
      <c r="P599" s="160"/>
      <c r="Q599" s="160"/>
      <c r="R599" s="160"/>
      <c r="S599" s="160"/>
      <c r="T599" s="18"/>
      <c r="U599" s="18"/>
      <c r="V599" s="18"/>
      <c r="W599" s="18"/>
      <c r="X599" s="18"/>
      <c r="Y599" s="18"/>
      <c r="Z599" s="18"/>
      <c r="AA599" s="18"/>
    </row>
    <row r="600">
      <c r="A600" s="317"/>
      <c r="B600" s="172"/>
      <c r="C600" s="160"/>
      <c r="D600" s="160"/>
      <c r="E600" s="160"/>
      <c r="F600" s="160"/>
      <c r="G600" s="160"/>
      <c r="H600" s="160"/>
      <c r="I600" s="172"/>
      <c r="J600" s="160"/>
      <c r="K600" s="172"/>
      <c r="L600" s="172"/>
      <c r="M600" s="172"/>
      <c r="N600" s="160"/>
      <c r="O600" s="160"/>
      <c r="P600" s="160"/>
      <c r="Q600" s="160"/>
      <c r="R600" s="160"/>
      <c r="S600" s="160"/>
      <c r="T600" s="18"/>
      <c r="U600" s="18"/>
      <c r="V600" s="18"/>
      <c r="W600" s="18"/>
      <c r="X600" s="18"/>
      <c r="Y600" s="18"/>
      <c r="Z600" s="18"/>
      <c r="AA600" s="18"/>
    </row>
    <row r="601">
      <c r="A601" s="317"/>
      <c r="B601" s="172"/>
      <c r="C601" s="160"/>
      <c r="D601" s="160"/>
      <c r="E601" s="160"/>
      <c r="F601" s="160"/>
      <c r="G601" s="160"/>
      <c r="H601" s="160"/>
      <c r="I601" s="172"/>
      <c r="J601" s="160"/>
      <c r="K601" s="172"/>
      <c r="L601" s="172"/>
      <c r="M601" s="172"/>
      <c r="N601" s="160"/>
      <c r="O601" s="160"/>
      <c r="P601" s="160"/>
      <c r="Q601" s="160"/>
      <c r="R601" s="160"/>
      <c r="S601" s="160"/>
      <c r="T601" s="18"/>
      <c r="U601" s="18"/>
      <c r="V601" s="18"/>
      <c r="W601" s="18"/>
      <c r="X601" s="18"/>
      <c r="Y601" s="18"/>
      <c r="Z601" s="18"/>
      <c r="AA601" s="18"/>
    </row>
    <row r="602">
      <c r="A602" s="317"/>
      <c r="B602" s="172"/>
      <c r="C602" s="160"/>
      <c r="D602" s="160"/>
      <c r="E602" s="160"/>
      <c r="F602" s="160"/>
      <c r="G602" s="160"/>
      <c r="H602" s="160"/>
      <c r="I602" s="172"/>
      <c r="J602" s="160"/>
      <c r="K602" s="172"/>
      <c r="L602" s="172"/>
      <c r="M602" s="172"/>
      <c r="N602" s="160"/>
      <c r="O602" s="160"/>
      <c r="P602" s="160"/>
      <c r="Q602" s="160"/>
      <c r="R602" s="160"/>
      <c r="S602" s="160"/>
      <c r="T602" s="18"/>
      <c r="U602" s="18"/>
      <c r="V602" s="18"/>
      <c r="W602" s="18"/>
      <c r="X602" s="18"/>
      <c r="Y602" s="18"/>
      <c r="Z602" s="18"/>
      <c r="AA602" s="18"/>
    </row>
    <row r="603">
      <c r="A603" s="317"/>
      <c r="B603" s="172"/>
      <c r="C603" s="160"/>
      <c r="D603" s="160"/>
      <c r="E603" s="160"/>
      <c r="F603" s="160"/>
      <c r="G603" s="160"/>
      <c r="H603" s="160"/>
      <c r="I603" s="172"/>
      <c r="J603" s="160"/>
      <c r="K603" s="172"/>
      <c r="L603" s="172"/>
      <c r="M603" s="172"/>
      <c r="N603" s="160"/>
      <c r="O603" s="160"/>
      <c r="P603" s="160"/>
      <c r="Q603" s="160"/>
      <c r="R603" s="160"/>
      <c r="S603" s="160"/>
      <c r="T603" s="18"/>
      <c r="U603" s="18"/>
      <c r="V603" s="18"/>
      <c r="W603" s="18"/>
      <c r="X603" s="18"/>
      <c r="Y603" s="18"/>
      <c r="Z603" s="18"/>
      <c r="AA603" s="18"/>
    </row>
    <row r="604">
      <c r="A604" s="317"/>
      <c r="B604" s="172"/>
      <c r="C604" s="160"/>
      <c r="D604" s="160"/>
      <c r="E604" s="160"/>
      <c r="F604" s="160"/>
      <c r="G604" s="160"/>
      <c r="H604" s="160"/>
      <c r="I604" s="172"/>
      <c r="J604" s="160"/>
      <c r="K604" s="172"/>
      <c r="L604" s="172"/>
      <c r="M604" s="172"/>
      <c r="N604" s="160"/>
      <c r="O604" s="160"/>
      <c r="P604" s="160"/>
      <c r="Q604" s="160"/>
      <c r="R604" s="160"/>
      <c r="S604" s="160"/>
      <c r="T604" s="18"/>
      <c r="U604" s="18"/>
      <c r="V604" s="18"/>
      <c r="W604" s="18"/>
      <c r="X604" s="18"/>
      <c r="Y604" s="18"/>
      <c r="Z604" s="18"/>
      <c r="AA604" s="18"/>
    </row>
    <row r="605">
      <c r="A605" s="317"/>
      <c r="B605" s="172"/>
      <c r="C605" s="160"/>
      <c r="D605" s="160"/>
      <c r="E605" s="160"/>
      <c r="F605" s="160"/>
      <c r="G605" s="160"/>
      <c r="H605" s="160"/>
      <c r="I605" s="172"/>
      <c r="J605" s="160"/>
      <c r="K605" s="172"/>
      <c r="L605" s="172"/>
      <c r="M605" s="172"/>
      <c r="N605" s="160"/>
      <c r="O605" s="160"/>
      <c r="P605" s="160"/>
      <c r="Q605" s="160"/>
      <c r="R605" s="160"/>
      <c r="S605" s="160"/>
      <c r="T605" s="18"/>
      <c r="U605" s="18"/>
      <c r="V605" s="18"/>
      <c r="W605" s="18"/>
      <c r="X605" s="18"/>
      <c r="Y605" s="18"/>
      <c r="Z605" s="18"/>
      <c r="AA605" s="18"/>
    </row>
    <row r="606">
      <c r="A606" s="317"/>
      <c r="B606" s="172"/>
      <c r="C606" s="160"/>
      <c r="D606" s="160"/>
      <c r="E606" s="160"/>
      <c r="F606" s="160"/>
      <c r="G606" s="160"/>
      <c r="H606" s="160"/>
      <c r="I606" s="172"/>
      <c r="J606" s="160"/>
      <c r="K606" s="172"/>
      <c r="L606" s="172"/>
      <c r="M606" s="172"/>
      <c r="N606" s="160"/>
      <c r="O606" s="160"/>
      <c r="P606" s="160"/>
      <c r="Q606" s="160"/>
      <c r="R606" s="160"/>
      <c r="S606" s="160"/>
      <c r="T606" s="18"/>
      <c r="U606" s="18"/>
      <c r="V606" s="18"/>
      <c r="W606" s="18"/>
      <c r="X606" s="18"/>
      <c r="Y606" s="18"/>
      <c r="Z606" s="18"/>
      <c r="AA606" s="18"/>
    </row>
    <row r="607">
      <c r="A607" s="317"/>
      <c r="B607" s="172"/>
      <c r="C607" s="160"/>
      <c r="D607" s="160"/>
      <c r="E607" s="160"/>
      <c r="F607" s="160"/>
      <c r="G607" s="160"/>
      <c r="H607" s="160"/>
      <c r="I607" s="172"/>
      <c r="J607" s="160"/>
      <c r="K607" s="172"/>
      <c r="L607" s="172"/>
      <c r="M607" s="172"/>
      <c r="N607" s="160"/>
      <c r="O607" s="160"/>
      <c r="P607" s="160"/>
      <c r="Q607" s="160"/>
      <c r="R607" s="160"/>
      <c r="S607" s="160"/>
      <c r="T607" s="18"/>
      <c r="U607" s="18"/>
      <c r="V607" s="18"/>
      <c r="W607" s="18"/>
      <c r="X607" s="18"/>
      <c r="Y607" s="18"/>
      <c r="Z607" s="18"/>
      <c r="AA607" s="18"/>
    </row>
    <row r="608">
      <c r="A608" s="317"/>
      <c r="B608" s="172"/>
      <c r="C608" s="160"/>
      <c r="D608" s="160"/>
      <c r="E608" s="160"/>
      <c r="F608" s="160"/>
      <c r="G608" s="160"/>
      <c r="H608" s="160"/>
      <c r="I608" s="172"/>
      <c r="J608" s="160"/>
      <c r="K608" s="172"/>
      <c r="L608" s="172"/>
      <c r="M608" s="172"/>
      <c r="N608" s="160"/>
      <c r="O608" s="160"/>
      <c r="P608" s="160"/>
      <c r="Q608" s="160"/>
      <c r="R608" s="160"/>
      <c r="S608" s="160"/>
      <c r="T608" s="18"/>
      <c r="U608" s="18"/>
      <c r="V608" s="18"/>
      <c r="W608" s="18"/>
      <c r="X608" s="18"/>
      <c r="Y608" s="18"/>
      <c r="Z608" s="18"/>
      <c r="AA608" s="18"/>
    </row>
    <row r="609">
      <c r="A609" s="317"/>
      <c r="B609" s="172"/>
      <c r="C609" s="160"/>
      <c r="D609" s="160"/>
      <c r="E609" s="160"/>
      <c r="F609" s="160"/>
      <c r="G609" s="160"/>
      <c r="H609" s="160"/>
      <c r="I609" s="172"/>
      <c r="J609" s="160"/>
      <c r="K609" s="172"/>
      <c r="L609" s="172"/>
      <c r="M609" s="172"/>
      <c r="N609" s="160"/>
      <c r="O609" s="160"/>
      <c r="P609" s="160"/>
      <c r="Q609" s="160"/>
      <c r="R609" s="160"/>
      <c r="S609" s="160"/>
      <c r="T609" s="18"/>
      <c r="U609" s="18"/>
      <c r="V609" s="18"/>
      <c r="W609" s="18"/>
      <c r="X609" s="18"/>
      <c r="Y609" s="18"/>
      <c r="Z609" s="18"/>
      <c r="AA609" s="18"/>
    </row>
    <row r="610">
      <c r="A610" s="317"/>
      <c r="B610" s="172"/>
      <c r="C610" s="160"/>
      <c r="D610" s="160"/>
      <c r="E610" s="160"/>
      <c r="F610" s="160"/>
      <c r="G610" s="160"/>
      <c r="H610" s="160"/>
      <c r="I610" s="172"/>
      <c r="J610" s="160"/>
      <c r="K610" s="172"/>
      <c r="L610" s="172"/>
      <c r="M610" s="172"/>
      <c r="N610" s="160"/>
      <c r="O610" s="160"/>
      <c r="P610" s="160"/>
      <c r="Q610" s="160"/>
      <c r="R610" s="160"/>
      <c r="S610" s="160"/>
      <c r="T610" s="18"/>
      <c r="U610" s="18"/>
      <c r="V610" s="18"/>
      <c r="W610" s="18"/>
      <c r="X610" s="18"/>
      <c r="Y610" s="18"/>
      <c r="Z610" s="18"/>
      <c r="AA610" s="18"/>
    </row>
    <row r="611">
      <c r="A611" s="317"/>
      <c r="B611" s="172"/>
      <c r="C611" s="160"/>
      <c r="D611" s="160"/>
      <c r="E611" s="160"/>
      <c r="F611" s="160"/>
      <c r="G611" s="160"/>
      <c r="H611" s="160"/>
      <c r="I611" s="172"/>
      <c r="J611" s="160"/>
      <c r="K611" s="172"/>
      <c r="L611" s="172"/>
      <c r="M611" s="172"/>
      <c r="N611" s="160"/>
      <c r="O611" s="160"/>
      <c r="P611" s="160"/>
      <c r="Q611" s="160"/>
      <c r="R611" s="160"/>
      <c r="S611" s="160"/>
      <c r="T611" s="18"/>
      <c r="U611" s="18"/>
      <c r="V611" s="18"/>
      <c r="W611" s="18"/>
      <c r="X611" s="18"/>
      <c r="Y611" s="18"/>
      <c r="Z611" s="18"/>
      <c r="AA611" s="18"/>
    </row>
    <row r="612">
      <c r="A612" s="317"/>
      <c r="B612" s="172"/>
      <c r="C612" s="160"/>
      <c r="D612" s="160"/>
      <c r="E612" s="160"/>
      <c r="F612" s="160"/>
      <c r="G612" s="160"/>
      <c r="H612" s="160"/>
      <c r="I612" s="172"/>
      <c r="J612" s="160"/>
      <c r="K612" s="172"/>
      <c r="L612" s="172"/>
      <c r="M612" s="172"/>
      <c r="N612" s="160"/>
      <c r="O612" s="160"/>
      <c r="P612" s="160"/>
      <c r="Q612" s="160"/>
      <c r="R612" s="160"/>
      <c r="S612" s="160"/>
      <c r="T612" s="18"/>
      <c r="U612" s="18"/>
      <c r="V612" s="18"/>
      <c r="W612" s="18"/>
      <c r="X612" s="18"/>
      <c r="Y612" s="18"/>
      <c r="Z612" s="18"/>
      <c r="AA612" s="18"/>
    </row>
    <row r="613">
      <c r="A613" s="317"/>
      <c r="B613" s="172"/>
      <c r="C613" s="160"/>
      <c r="D613" s="160"/>
      <c r="E613" s="160"/>
      <c r="F613" s="160"/>
      <c r="G613" s="160"/>
      <c r="H613" s="160"/>
      <c r="I613" s="172"/>
      <c r="J613" s="160"/>
      <c r="K613" s="172"/>
      <c r="L613" s="172"/>
      <c r="M613" s="172"/>
      <c r="N613" s="160"/>
      <c r="O613" s="160"/>
      <c r="P613" s="160"/>
      <c r="Q613" s="160"/>
      <c r="R613" s="160"/>
      <c r="S613" s="160"/>
      <c r="T613" s="18"/>
      <c r="U613" s="18"/>
      <c r="V613" s="18"/>
      <c r="W613" s="18"/>
      <c r="X613" s="18"/>
      <c r="Y613" s="18"/>
      <c r="Z613" s="18"/>
      <c r="AA613" s="18"/>
    </row>
    <row r="614">
      <c r="A614" s="317"/>
      <c r="B614" s="172"/>
      <c r="C614" s="160"/>
      <c r="D614" s="160"/>
      <c r="E614" s="160"/>
      <c r="F614" s="160"/>
      <c r="G614" s="160"/>
      <c r="H614" s="160"/>
      <c r="I614" s="172"/>
      <c r="J614" s="160"/>
      <c r="K614" s="172"/>
      <c r="L614" s="172"/>
      <c r="M614" s="172"/>
      <c r="N614" s="160"/>
      <c r="O614" s="160"/>
      <c r="P614" s="160"/>
      <c r="Q614" s="160"/>
      <c r="R614" s="160"/>
      <c r="S614" s="160"/>
      <c r="T614" s="18"/>
      <c r="U614" s="18"/>
      <c r="V614" s="18"/>
      <c r="W614" s="18"/>
      <c r="X614" s="18"/>
      <c r="Y614" s="18"/>
      <c r="Z614" s="18"/>
      <c r="AA614" s="18"/>
    </row>
    <row r="615">
      <c r="A615" s="317"/>
      <c r="B615" s="172"/>
      <c r="C615" s="160"/>
      <c r="D615" s="160"/>
      <c r="E615" s="160"/>
      <c r="F615" s="160"/>
      <c r="G615" s="160"/>
      <c r="H615" s="160"/>
      <c r="I615" s="172"/>
      <c r="J615" s="160"/>
      <c r="K615" s="172"/>
      <c r="L615" s="172"/>
      <c r="M615" s="172"/>
      <c r="N615" s="160"/>
      <c r="O615" s="160"/>
      <c r="P615" s="160"/>
      <c r="Q615" s="160"/>
      <c r="R615" s="160"/>
      <c r="S615" s="160"/>
      <c r="T615" s="18"/>
      <c r="U615" s="18"/>
      <c r="V615" s="18"/>
      <c r="W615" s="18"/>
      <c r="X615" s="18"/>
      <c r="Y615" s="18"/>
      <c r="Z615" s="18"/>
      <c r="AA615" s="18"/>
    </row>
    <row r="616">
      <c r="A616" s="317"/>
      <c r="B616" s="172"/>
      <c r="C616" s="160"/>
      <c r="D616" s="160"/>
      <c r="E616" s="160"/>
      <c r="F616" s="160"/>
      <c r="G616" s="160"/>
      <c r="H616" s="160"/>
      <c r="I616" s="172"/>
      <c r="J616" s="160"/>
      <c r="K616" s="172"/>
      <c r="L616" s="172"/>
      <c r="M616" s="172"/>
      <c r="N616" s="160"/>
      <c r="O616" s="160"/>
      <c r="P616" s="160"/>
      <c r="Q616" s="160"/>
      <c r="R616" s="160"/>
      <c r="S616" s="160"/>
      <c r="T616" s="18"/>
      <c r="U616" s="18"/>
      <c r="V616" s="18"/>
      <c r="W616" s="18"/>
      <c r="X616" s="18"/>
      <c r="Y616" s="18"/>
      <c r="Z616" s="18"/>
      <c r="AA616" s="18"/>
    </row>
    <row r="617">
      <c r="A617" s="317"/>
      <c r="B617" s="172"/>
      <c r="C617" s="160"/>
      <c r="D617" s="160"/>
      <c r="E617" s="160"/>
      <c r="F617" s="160"/>
      <c r="G617" s="160"/>
      <c r="H617" s="160"/>
      <c r="I617" s="172"/>
      <c r="J617" s="160"/>
      <c r="K617" s="172"/>
      <c r="L617" s="172"/>
      <c r="M617" s="172"/>
      <c r="N617" s="160"/>
      <c r="O617" s="160"/>
      <c r="P617" s="160"/>
      <c r="Q617" s="160"/>
      <c r="R617" s="160"/>
      <c r="S617" s="160"/>
      <c r="T617" s="18"/>
      <c r="U617" s="18"/>
      <c r="V617" s="18"/>
      <c r="W617" s="18"/>
      <c r="X617" s="18"/>
      <c r="Y617" s="18"/>
      <c r="Z617" s="18"/>
      <c r="AA617" s="18"/>
    </row>
    <row r="618">
      <c r="A618" s="317"/>
      <c r="B618" s="172"/>
      <c r="C618" s="160"/>
      <c r="D618" s="160"/>
      <c r="E618" s="160"/>
      <c r="F618" s="160"/>
      <c r="G618" s="160"/>
      <c r="H618" s="160"/>
      <c r="I618" s="172"/>
      <c r="J618" s="160"/>
      <c r="K618" s="172"/>
      <c r="L618" s="172"/>
      <c r="M618" s="172"/>
      <c r="N618" s="160"/>
      <c r="O618" s="160"/>
      <c r="P618" s="160"/>
      <c r="Q618" s="160"/>
      <c r="R618" s="160"/>
      <c r="S618" s="160"/>
      <c r="T618" s="18"/>
      <c r="U618" s="18"/>
      <c r="V618" s="18"/>
      <c r="W618" s="18"/>
      <c r="X618" s="18"/>
      <c r="Y618" s="18"/>
      <c r="Z618" s="18"/>
      <c r="AA618" s="18"/>
    </row>
    <row r="619">
      <c r="A619" s="317"/>
      <c r="B619" s="172"/>
      <c r="C619" s="160"/>
      <c r="D619" s="160"/>
      <c r="E619" s="160"/>
      <c r="F619" s="160"/>
      <c r="G619" s="160"/>
      <c r="H619" s="160"/>
      <c r="I619" s="172"/>
      <c r="J619" s="160"/>
      <c r="K619" s="172"/>
      <c r="L619" s="172"/>
      <c r="M619" s="172"/>
      <c r="N619" s="160"/>
      <c r="O619" s="160"/>
      <c r="P619" s="160"/>
      <c r="Q619" s="160"/>
      <c r="R619" s="160"/>
      <c r="S619" s="160"/>
      <c r="T619" s="18"/>
      <c r="U619" s="18"/>
      <c r="V619" s="18"/>
      <c r="W619" s="18"/>
      <c r="X619" s="18"/>
      <c r="Y619" s="18"/>
      <c r="Z619" s="18"/>
      <c r="AA619" s="18"/>
    </row>
    <row r="620">
      <c r="A620" s="317"/>
      <c r="B620" s="172"/>
      <c r="C620" s="160"/>
      <c r="D620" s="160"/>
      <c r="E620" s="160"/>
      <c r="F620" s="160"/>
      <c r="G620" s="160"/>
      <c r="H620" s="160"/>
      <c r="I620" s="172"/>
      <c r="J620" s="160"/>
      <c r="K620" s="172"/>
      <c r="L620" s="172"/>
      <c r="M620" s="172"/>
      <c r="N620" s="160"/>
      <c r="O620" s="160"/>
      <c r="P620" s="160"/>
      <c r="Q620" s="160"/>
      <c r="R620" s="160"/>
      <c r="S620" s="160"/>
      <c r="T620" s="18"/>
      <c r="U620" s="18"/>
      <c r="V620" s="18"/>
      <c r="W620" s="18"/>
      <c r="X620" s="18"/>
      <c r="Y620" s="18"/>
      <c r="Z620" s="18"/>
      <c r="AA620" s="18"/>
    </row>
    <row r="621">
      <c r="A621" s="317"/>
      <c r="B621" s="172"/>
      <c r="C621" s="160"/>
      <c r="D621" s="160"/>
      <c r="E621" s="160"/>
      <c r="F621" s="160"/>
      <c r="G621" s="160"/>
      <c r="H621" s="160"/>
      <c r="I621" s="172"/>
      <c r="J621" s="160"/>
      <c r="K621" s="172"/>
      <c r="L621" s="172"/>
      <c r="M621" s="172"/>
      <c r="N621" s="160"/>
      <c r="O621" s="160"/>
      <c r="P621" s="160"/>
      <c r="Q621" s="160"/>
      <c r="R621" s="160"/>
      <c r="S621" s="160"/>
      <c r="T621" s="18"/>
      <c r="U621" s="18"/>
      <c r="V621" s="18"/>
      <c r="W621" s="18"/>
      <c r="X621" s="18"/>
      <c r="Y621" s="18"/>
      <c r="Z621" s="18"/>
      <c r="AA621" s="18"/>
    </row>
    <row r="622">
      <c r="A622" s="317"/>
      <c r="B622" s="172"/>
      <c r="C622" s="160"/>
      <c r="D622" s="160"/>
      <c r="E622" s="160"/>
      <c r="F622" s="160"/>
      <c r="G622" s="160"/>
      <c r="H622" s="160"/>
      <c r="I622" s="172"/>
      <c r="J622" s="160"/>
      <c r="K622" s="172"/>
      <c r="L622" s="172"/>
      <c r="M622" s="172"/>
      <c r="N622" s="160"/>
      <c r="O622" s="160"/>
      <c r="P622" s="160"/>
      <c r="Q622" s="160"/>
      <c r="R622" s="160"/>
      <c r="S622" s="160"/>
      <c r="T622" s="18"/>
      <c r="U622" s="18"/>
      <c r="V622" s="18"/>
      <c r="W622" s="18"/>
      <c r="X622" s="18"/>
      <c r="Y622" s="18"/>
      <c r="Z622" s="18"/>
      <c r="AA622" s="18"/>
    </row>
    <row r="623">
      <c r="A623" s="317"/>
      <c r="B623" s="172"/>
      <c r="C623" s="160"/>
      <c r="D623" s="160"/>
      <c r="E623" s="160"/>
      <c r="F623" s="160"/>
      <c r="G623" s="160"/>
      <c r="H623" s="160"/>
      <c r="I623" s="172"/>
      <c r="J623" s="160"/>
      <c r="K623" s="172"/>
      <c r="L623" s="172"/>
      <c r="M623" s="172"/>
      <c r="N623" s="160"/>
      <c r="O623" s="160"/>
      <c r="P623" s="160"/>
      <c r="Q623" s="160"/>
      <c r="R623" s="160"/>
      <c r="S623" s="160"/>
      <c r="T623" s="18"/>
      <c r="U623" s="18"/>
      <c r="V623" s="18"/>
      <c r="W623" s="18"/>
      <c r="X623" s="18"/>
      <c r="Y623" s="18"/>
      <c r="Z623" s="18"/>
      <c r="AA623" s="18"/>
    </row>
    <row r="624">
      <c r="A624" s="317"/>
      <c r="B624" s="172"/>
      <c r="C624" s="160"/>
      <c r="D624" s="160"/>
      <c r="E624" s="160"/>
      <c r="F624" s="160"/>
      <c r="G624" s="160"/>
      <c r="H624" s="160"/>
      <c r="I624" s="172"/>
      <c r="J624" s="160"/>
      <c r="K624" s="172"/>
      <c r="L624" s="172"/>
      <c r="M624" s="172"/>
      <c r="N624" s="160"/>
      <c r="O624" s="160"/>
      <c r="P624" s="160"/>
      <c r="Q624" s="160"/>
      <c r="R624" s="160"/>
      <c r="S624" s="160"/>
      <c r="T624" s="18"/>
      <c r="U624" s="18"/>
      <c r="V624" s="18"/>
      <c r="W624" s="18"/>
      <c r="X624" s="18"/>
      <c r="Y624" s="18"/>
      <c r="Z624" s="18"/>
      <c r="AA624" s="18"/>
    </row>
    <row r="625">
      <c r="A625" s="317"/>
      <c r="B625" s="172"/>
      <c r="C625" s="160"/>
      <c r="D625" s="160"/>
      <c r="E625" s="160"/>
      <c r="F625" s="160"/>
      <c r="G625" s="160"/>
      <c r="H625" s="160"/>
      <c r="I625" s="172"/>
      <c r="J625" s="160"/>
      <c r="K625" s="172"/>
      <c r="L625" s="172"/>
      <c r="M625" s="172"/>
      <c r="N625" s="160"/>
      <c r="O625" s="160"/>
      <c r="P625" s="160"/>
      <c r="Q625" s="160"/>
      <c r="R625" s="160"/>
      <c r="S625" s="160"/>
      <c r="T625" s="18"/>
      <c r="U625" s="18"/>
      <c r="V625" s="18"/>
      <c r="W625" s="18"/>
      <c r="X625" s="18"/>
      <c r="Y625" s="18"/>
      <c r="Z625" s="18"/>
      <c r="AA625" s="18"/>
    </row>
    <row r="626">
      <c r="A626" s="317"/>
      <c r="B626" s="172"/>
      <c r="C626" s="160"/>
      <c r="D626" s="160"/>
      <c r="E626" s="160"/>
      <c r="F626" s="160"/>
      <c r="G626" s="160"/>
      <c r="H626" s="160"/>
      <c r="I626" s="172"/>
      <c r="J626" s="160"/>
      <c r="K626" s="172"/>
      <c r="L626" s="172"/>
      <c r="M626" s="172"/>
      <c r="N626" s="160"/>
      <c r="O626" s="160"/>
      <c r="P626" s="160"/>
      <c r="Q626" s="160"/>
      <c r="R626" s="160"/>
      <c r="S626" s="160"/>
      <c r="T626" s="18"/>
      <c r="U626" s="18"/>
      <c r="V626" s="18"/>
      <c r="W626" s="18"/>
      <c r="X626" s="18"/>
      <c r="Y626" s="18"/>
      <c r="Z626" s="18"/>
      <c r="AA626" s="18"/>
    </row>
    <row r="627">
      <c r="A627" s="317"/>
      <c r="B627" s="172"/>
      <c r="C627" s="160"/>
      <c r="D627" s="160"/>
      <c r="E627" s="160"/>
      <c r="F627" s="160"/>
      <c r="G627" s="160"/>
      <c r="H627" s="160"/>
      <c r="I627" s="172"/>
      <c r="J627" s="160"/>
      <c r="K627" s="172"/>
      <c r="L627" s="172"/>
      <c r="M627" s="172"/>
      <c r="N627" s="160"/>
      <c r="O627" s="160"/>
      <c r="P627" s="160"/>
      <c r="Q627" s="160"/>
      <c r="R627" s="160"/>
      <c r="S627" s="160"/>
      <c r="T627" s="18"/>
      <c r="U627" s="18"/>
      <c r="V627" s="18"/>
      <c r="W627" s="18"/>
      <c r="X627" s="18"/>
      <c r="Y627" s="18"/>
      <c r="Z627" s="18"/>
      <c r="AA627" s="18"/>
    </row>
    <row r="628">
      <c r="A628" s="317"/>
      <c r="B628" s="172"/>
      <c r="C628" s="160"/>
      <c r="D628" s="160"/>
      <c r="E628" s="160"/>
      <c r="F628" s="160"/>
      <c r="G628" s="160"/>
      <c r="H628" s="160"/>
      <c r="I628" s="172"/>
      <c r="J628" s="160"/>
      <c r="K628" s="172"/>
      <c r="L628" s="172"/>
      <c r="M628" s="172"/>
      <c r="N628" s="160"/>
      <c r="O628" s="160"/>
      <c r="P628" s="160"/>
      <c r="Q628" s="160"/>
      <c r="R628" s="160"/>
      <c r="S628" s="160"/>
      <c r="T628" s="18"/>
      <c r="U628" s="18"/>
      <c r="V628" s="18"/>
      <c r="W628" s="18"/>
      <c r="X628" s="18"/>
      <c r="Y628" s="18"/>
      <c r="Z628" s="18"/>
      <c r="AA628" s="18"/>
    </row>
    <row r="629">
      <c r="A629" s="317"/>
      <c r="B629" s="172"/>
      <c r="C629" s="160"/>
      <c r="D629" s="160"/>
      <c r="E629" s="160"/>
      <c r="F629" s="160"/>
      <c r="G629" s="160"/>
      <c r="H629" s="160"/>
      <c r="I629" s="172"/>
      <c r="J629" s="160"/>
      <c r="K629" s="172"/>
      <c r="L629" s="172"/>
      <c r="M629" s="172"/>
      <c r="N629" s="160"/>
      <c r="O629" s="160"/>
      <c r="P629" s="160"/>
      <c r="Q629" s="160"/>
      <c r="R629" s="160"/>
      <c r="S629" s="160"/>
      <c r="T629" s="18"/>
      <c r="U629" s="18"/>
      <c r="V629" s="18"/>
      <c r="W629" s="18"/>
      <c r="X629" s="18"/>
      <c r="Y629" s="18"/>
      <c r="Z629" s="18"/>
      <c r="AA629" s="18"/>
    </row>
    <row r="630">
      <c r="A630" s="317"/>
      <c r="B630" s="172"/>
      <c r="C630" s="160"/>
      <c r="D630" s="160"/>
      <c r="E630" s="160"/>
      <c r="F630" s="160"/>
      <c r="G630" s="160"/>
      <c r="H630" s="160"/>
      <c r="I630" s="172"/>
      <c r="J630" s="160"/>
      <c r="K630" s="172"/>
      <c r="L630" s="172"/>
      <c r="M630" s="172"/>
      <c r="N630" s="160"/>
      <c r="O630" s="160"/>
      <c r="P630" s="160"/>
      <c r="Q630" s="160"/>
      <c r="R630" s="160"/>
      <c r="S630" s="160"/>
      <c r="T630" s="18"/>
      <c r="U630" s="18"/>
      <c r="V630" s="18"/>
      <c r="W630" s="18"/>
      <c r="X630" s="18"/>
      <c r="Y630" s="18"/>
      <c r="Z630" s="18"/>
      <c r="AA630" s="18"/>
    </row>
    <row r="631">
      <c r="A631" s="317"/>
      <c r="B631" s="172"/>
      <c r="C631" s="160"/>
      <c r="D631" s="160"/>
      <c r="E631" s="160"/>
      <c r="F631" s="160"/>
      <c r="G631" s="160"/>
      <c r="H631" s="160"/>
      <c r="I631" s="172"/>
      <c r="J631" s="160"/>
      <c r="K631" s="172"/>
      <c r="L631" s="172"/>
      <c r="M631" s="172"/>
      <c r="N631" s="160"/>
      <c r="O631" s="160"/>
      <c r="P631" s="160"/>
      <c r="Q631" s="160"/>
      <c r="R631" s="160"/>
      <c r="S631" s="160"/>
      <c r="T631" s="18"/>
      <c r="U631" s="18"/>
      <c r="V631" s="18"/>
      <c r="W631" s="18"/>
      <c r="X631" s="18"/>
      <c r="Y631" s="18"/>
      <c r="Z631" s="18"/>
      <c r="AA631" s="18"/>
    </row>
    <row r="632">
      <c r="A632" s="317"/>
      <c r="B632" s="172"/>
      <c r="C632" s="160"/>
      <c r="D632" s="160"/>
      <c r="E632" s="160"/>
      <c r="F632" s="160"/>
      <c r="G632" s="160"/>
      <c r="H632" s="160"/>
      <c r="I632" s="172"/>
      <c r="J632" s="160"/>
      <c r="K632" s="172"/>
      <c r="L632" s="172"/>
      <c r="M632" s="172"/>
      <c r="N632" s="160"/>
      <c r="O632" s="160"/>
      <c r="P632" s="160"/>
      <c r="Q632" s="160"/>
      <c r="R632" s="160"/>
      <c r="S632" s="160"/>
      <c r="T632" s="18"/>
      <c r="U632" s="18"/>
      <c r="V632" s="18"/>
      <c r="W632" s="18"/>
      <c r="X632" s="18"/>
      <c r="Y632" s="18"/>
      <c r="Z632" s="18"/>
      <c r="AA632" s="18"/>
    </row>
    <row r="633">
      <c r="A633" s="317"/>
      <c r="B633" s="172"/>
      <c r="C633" s="160"/>
      <c r="D633" s="160"/>
      <c r="E633" s="160"/>
      <c r="F633" s="160"/>
      <c r="G633" s="160"/>
      <c r="H633" s="160"/>
      <c r="I633" s="172"/>
      <c r="J633" s="160"/>
      <c r="K633" s="172"/>
      <c r="L633" s="172"/>
      <c r="M633" s="172"/>
      <c r="N633" s="160"/>
      <c r="O633" s="160"/>
      <c r="P633" s="160"/>
      <c r="Q633" s="160"/>
      <c r="R633" s="160"/>
      <c r="S633" s="160"/>
      <c r="T633" s="18"/>
      <c r="U633" s="18"/>
      <c r="V633" s="18"/>
      <c r="W633" s="18"/>
      <c r="X633" s="18"/>
      <c r="Y633" s="18"/>
      <c r="Z633" s="18"/>
      <c r="AA633" s="18"/>
    </row>
    <row r="634">
      <c r="A634" s="317"/>
      <c r="B634" s="172"/>
      <c r="C634" s="160"/>
      <c r="D634" s="160"/>
      <c r="E634" s="160"/>
      <c r="F634" s="160"/>
      <c r="G634" s="160"/>
      <c r="H634" s="160"/>
      <c r="I634" s="172"/>
      <c r="J634" s="160"/>
      <c r="K634" s="172"/>
      <c r="L634" s="172"/>
      <c r="M634" s="172"/>
      <c r="N634" s="160"/>
      <c r="O634" s="160"/>
      <c r="P634" s="160"/>
      <c r="Q634" s="160"/>
      <c r="R634" s="160"/>
      <c r="S634" s="160"/>
      <c r="T634" s="18"/>
      <c r="U634" s="18"/>
      <c r="V634" s="18"/>
      <c r="W634" s="18"/>
      <c r="X634" s="18"/>
      <c r="Y634" s="18"/>
      <c r="Z634" s="18"/>
      <c r="AA634" s="18"/>
    </row>
    <row r="635">
      <c r="A635" s="317"/>
      <c r="B635" s="172"/>
      <c r="C635" s="160"/>
      <c r="D635" s="160"/>
      <c r="E635" s="160"/>
      <c r="F635" s="160"/>
      <c r="G635" s="160"/>
      <c r="H635" s="160"/>
      <c r="I635" s="172"/>
      <c r="J635" s="160"/>
      <c r="K635" s="172"/>
      <c r="L635" s="172"/>
      <c r="M635" s="172"/>
      <c r="N635" s="160"/>
      <c r="O635" s="160"/>
      <c r="P635" s="160"/>
      <c r="Q635" s="160"/>
      <c r="R635" s="160"/>
      <c r="S635" s="160"/>
      <c r="T635" s="18"/>
      <c r="U635" s="18"/>
      <c r="V635" s="18"/>
      <c r="W635" s="18"/>
      <c r="X635" s="18"/>
      <c r="Y635" s="18"/>
      <c r="Z635" s="18"/>
      <c r="AA635" s="18"/>
    </row>
    <row r="636">
      <c r="A636" s="317"/>
      <c r="B636" s="172"/>
      <c r="C636" s="160"/>
      <c r="D636" s="160"/>
      <c r="E636" s="160"/>
      <c r="F636" s="160"/>
      <c r="G636" s="160"/>
      <c r="H636" s="160"/>
      <c r="I636" s="172"/>
      <c r="J636" s="160"/>
      <c r="K636" s="172"/>
      <c r="L636" s="172"/>
      <c r="M636" s="172"/>
      <c r="N636" s="160"/>
      <c r="O636" s="160"/>
      <c r="P636" s="160"/>
      <c r="Q636" s="160"/>
      <c r="R636" s="160"/>
      <c r="S636" s="160"/>
      <c r="T636" s="18"/>
      <c r="U636" s="18"/>
      <c r="V636" s="18"/>
      <c r="W636" s="18"/>
      <c r="X636" s="18"/>
      <c r="Y636" s="18"/>
      <c r="Z636" s="18"/>
      <c r="AA636" s="18"/>
    </row>
    <row r="637">
      <c r="A637" s="317"/>
      <c r="B637" s="172"/>
      <c r="C637" s="160"/>
      <c r="D637" s="160"/>
      <c r="E637" s="160"/>
      <c r="F637" s="160"/>
      <c r="G637" s="160"/>
      <c r="H637" s="160"/>
      <c r="I637" s="172"/>
      <c r="J637" s="160"/>
      <c r="K637" s="172"/>
      <c r="L637" s="172"/>
      <c r="M637" s="172"/>
      <c r="N637" s="160"/>
      <c r="O637" s="160"/>
      <c r="P637" s="160"/>
      <c r="Q637" s="160"/>
      <c r="R637" s="160"/>
      <c r="S637" s="160"/>
      <c r="T637" s="18"/>
      <c r="U637" s="18"/>
      <c r="V637" s="18"/>
      <c r="W637" s="18"/>
      <c r="X637" s="18"/>
      <c r="Y637" s="18"/>
      <c r="Z637" s="18"/>
      <c r="AA637" s="18"/>
    </row>
    <row r="638">
      <c r="A638" s="317"/>
      <c r="B638" s="172"/>
      <c r="C638" s="160"/>
      <c r="D638" s="160"/>
      <c r="E638" s="160"/>
      <c r="F638" s="160"/>
      <c r="G638" s="160"/>
      <c r="H638" s="160"/>
      <c r="I638" s="172"/>
      <c r="J638" s="160"/>
      <c r="K638" s="172"/>
      <c r="L638" s="172"/>
      <c r="M638" s="172"/>
      <c r="N638" s="160"/>
      <c r="O638" s="160"/>
      <c r="P638" s="160"/>
      <c r="Q638" s="160"/>
      <c r="R638" s="160"/>
      <c r="S638" s="160"/>
      <c r="T638" s="18"/>
      <c r="U638" s="18"/>
      <c r="V638" s="18"/>
      <c r="W638" s="18"/>
      <c r="X638" s="18"/>
      <c r="Y638" s="18"/>
      <c r="Z638" s="18"/>
      <c r="AA638" s="18"/>
    </row>
    <row r="639">
      <c r="A639" s="317"/>
      <c r="B639" s="172"/>
      <c r="C639" s="160"/>
      <c r="D639" s="160"/>
      <c r="E639" s="160"/>
      <c r="F639" s="160"/>
      <c r="G639" s="160"/>
      <c r="H639" s="160"/>
      <c r="I639" s="172"/>
      <c r="J639" s="160"/>
      <c r="K639" s="172"/>
      <c r="L639" s="172"/>
      <c r="M639" s="172"/>
      <c r="N639" s="160"/>
      <c r="O639" s="160"/>
      <c r="P639" s="160"/>
      <c r="Q639" s="160"/>
      <c r="R639" s="160"/>
      <c r="S639" s="160"/>
      <c r="T639" s="18"/>
      <c r="U639" s="18"/>
      <c r="V639" s="18"/>
      <c r="W639" s="18"/>
      <c r="X639" s="18"/>
      <c r="Y639" s="18"/>
      <c r="Z639" s="18"/>
      <c r="AA639" s="18"/>
    </row>
    <row r="640">
      <c r="A640" s="317"/>
      <c r="B640" s="172"/>
      <c r="C640" s="160"/>
      <c r="D640" s="160"/>
      <c r="E640" s="160"/>
      <c r="F640" s="160"/>
      <c r="G640" s="160"/>
      <c r="H640" s="160"/>
      <c r="I640" s="172"/>
      <c r="J640" s="160"/>
      <c r="K640" s="172"/>
      <c r="L640" s="172"/>
      <c r="M640" s="172"/>
      <c r="N640" s="160"/>
      <c r="O640" s="160"/>
      <c r="P640" s="160"/>
      <c r="Q640" s="160"/>
      <c r="R640" s="160"/>
      <c r="S640" s="160"/>
      <c r="T640" s="18"/>
      <c r="U640" s="18"/>
      <c r="V640" s="18"/>
      <c r="W640" s="18"/>
      <c r="X640" s="18"/>
      <c r="Y640" s="18"/>
      <c r="Z640" s="18"/>
      <c r="AA640" s="18"/>
    </row>
    <row r="641">
      <c r="A641" s="317"/>
      <c r="B641" s="172"/>
      <c r="C641" s="160"/>
      <c r="D641" s="160"/>
      <c r="E641" s="160"/>
      <c r="F641" s="160"/>
      <c r="G641" s="160"/>
      <c r="H641" s="160"/>
      <c r="I641" s="172"/>
      <c r="J641" s="160"/>
      <c r="K641" s="172"/>
      <c r="L641" s="172"/>
      <c r="M641" s="172"/>
      <c r="N641" s="160"/>
      <c r="O641" s="160"/>
      <c r="P641" s="160"/>
      <c r="Q641" s="160"/>
      <c r="R641" s="160"/>
      <c r="S641" s="160"/>
      <c r="T641" s="18"/>
      <c r="U641" s="18"/>
      <c r="V641" s="18"/>
      <c r="W641" s="18"/>
      <c r="X641" s="18"/>
      <c r="Y641" s="18"/>
      <c r="Z641" s="18"/>
      <c r="AA641" s="18"/>
    </row>
    <row r="642">
      <c r="A642" s="317"/>
      <c r="B642" s="172"/>
      <c r="C642" s="160"/>
      <c r="D642" s="160"/>
      <c r="E642" s="160"/>
      <c r="F642" s="160"/>
      <c r="G642" s="160"/>
      <c r="H642" s="160"/>
      <c r="I642" s="172"/>
      <c r="J642" s="160"/>
      <c r="K642" s="172"/>
      <c r="L642" s="172"/>
      <c r="M642" s="172"/>
      <c r="N642" s="160"/>
      <c r="O642" s="160"/>
      <c r="P642" s="160"/>
      <c r="Q642" s="160"/>
      <c r="R642" s="160"/>
      <c r="S642" s="160"/>
      <c r="T642" s="18"/>
      <c r="U642" s="18"/>
      <c r="V642" s="18"/>
      <c r="W642" s="18"/>
      <c r="X642" s="18"/>
      <c r="Y642" s="18"/>
      <c r="Z642" s="18"/>
      <c r="AA642" s="18"/>
    </row>
    <row r="643">
      <c r="A643" s="317"/>
      <c r="B643" s="172"/>
      <c r="C643" s="160"/>
      <c r="D643" s="160"/>
      <c r="E643" s="160"/>
      <c r="F643" s="160"/>
      <c r="G643" s="160"/>
      <c r="H643" s="160"/>
      <c r="I643" s="172"/>
      <c r="J643" s="160"/>
      <c r="K643" s="172"/>
      <c r="L643" s="172"/>
      <c r="M643" s="172"/>
      <c r="N643" s="160"/>
      <c r="O643" s="160"/>
      <c r="P643" s="160"/>
      <c r="Q643" s="160"/>
      <c r="R643" s="160"/>
      <c r="S643" s="160"/>
      <c r="T643" s="18"/>
      <c r="U643" s="18"/>
      <c r="V643" s="18"/>
      <c r="W643" s="18"/>
      <c r="X643" s="18"/>
      <c r="Y643" s="18"/>
      <c r="Z643" s="18"/>
      <c r="AA643" s="18"/>
    </row>
    <row r="644">
      <c r="A644" s="317"/>
      <c r="B644" s="172"/>
      <c r="C644" s="160"/>
      <c r="D644" s="160"/>
      <c r="E644" s="160"/>
      <c r="F644" s="160"/>
      <c r="G644" s="160"/>
      <c r="H644" s="160"/>
      <c r="I644" s="172"/>
      <c r="J644" s="160"/>
      <c r="K644" s="172"/>
      <c r="L644" s="172"/>
      <c r="M644" s="172"/>
      <c r="N644" s="160"/>
      <c r="O644" s="160"/>
      <c r="P644" s="160"/>
      <c r="Q644" s="160"/>
      <c r="R644" s="160"/>
      <c r="S644" s="160"/>
      <c r="T644" s="18"/>
      <c r="U644" s="18"/>
      <c r="V644" s="18"/>
      <c r="W644" s="18"/>
      <c r="X644" s="18"/>
      <c r="Y644" s="18"/>
      <c r="Z644" s="18"/>
      <c r="AA644" s="18"/>
    </row>
    <row r="645">
      <c r="A645" s="317"/>
      <c r="B645" s="172"/>
      <c r="C645" s="160"/>
      <c r="D645" s="160"/>
      <c r="E645" s="160"/>
      <c r="F645" s="160"/>
      <c r="G645" s="160"/>
      <c r="H645" s="160"/>
      <c r="I645" s="172"/>
      <c r="J645" s="160"/>
      <c r="K645" s="172"/>
      <c r="L645" s="172"/>
      <c r="M645" s="172"/>
      <c r="N645" s="160"/>
      <c r="O645" s="160"/>
      <c r="P645" s="160"/>
      <c r="Q645" s="160"/>
      <c r="R645" s="160"/>
      <c r="S645" s="160"/>
      <c r="T645" s="18"/>
      <c r="U645" s="18"/>
      <c r="V645" s="18"/>
      <c r="W645" s="18"/>
      <c r="X645" s="18"/>
      <c r="Y645" s="18"/>
      <c r="Z645" s="18"/>
      <c r="AA645" s="18"/>
    </row>
    <row r="646">
      <c r="A646" s="317"/>
      <c r="B646" s="172"/>
      <c r="C646" s="160"/>
      <c r="D646" s="160"/>
      <c r="E646" s="160"/>
      <c r="F646" s="160"/>
      <c r="G646" s="160"/>
      <c r="H646" s="160"/>
      <c r="I646" s="172"/>
      <c r="J646" s="160"/>
      <c r="K646" s="172"/>
      <c r="L646" s="172"/>
      <c r="M646" s="172"/>
      <c r="N646" s="160"/>
      <c r="O646" s="160"/>
      <c r="P646" s="160"/>
      <c r="Q646" s="160"/>
      <c r="R646" s="160"/>
      <c r="S646" s="160"/>
      <c r="T646" s="18"/>
      <c r="U646" s="18"/>
      <c r="V646" s="18"/>
      <c r="W646" s="18"/>
      <c r="X646" s="18"/>
      <c r="Y646" s="18"/>
      <c r="Z646" s="18"/>
      <c r="AA646" s="18"/>
    </row>
    <row r="647">
      <c r="A647" s="317"/>
      <c r="B647" s="172"/>
      <c r="C647" s="160"/>
      <c r="D647" s="160"/>
      <c r="E647" s="160"/>
      <c r="F647" s="160"/>
      <c r="G647" s="160"/>
      <c r="H647" s="160"/>
      <c r="I647" s="172"/>
      <c r="J647" s="160"/>
      <c r="K647" s="172"/>
      <c r="L647" s="172"/>
      <c r="M647" s="172"/>
      <c r="N647" s="160"/>
      <c r="O647" s="160"/>
      <c r="P647" s="160"/>
      <c r="Q647" s="160"/>
      <c r="R647" s="160"/>
      <c r="S647" s="160"/>
      <c r="T647" s="18"/>
      <c r="U647" s="18"/>
      <c r="V647" s="18"/>
      <c r="W647" s="18"/>
      <c r="X647" s="18"/>
      <c r="Y647" s="18"/>
      <c r="Z647" s="18"/>
      <c r="AA647" s="18"/>
    </row>
    <row r="648">
      <c r="A648" s="317"/>
      <c r="B648" s="172"/>
      <c r="C648" s="160"/>
      <c r="D648" s="160"/>
      <c r="E648" s="160"/>
      <c r="F648" s="160"/>
      <c r="G648" s="160"/>
      <c r="H648" s="160"/>
      <c r="I648" s="172"/>
      <c r="J648" s="160"/>
      <c r="K648" s="172"/>
      <c r="L648" s="172"/>
      <c r="M648" s="172"/>
      <c r="N648" s="160"/>
      <c r="O648" s="160"/>
      <c r="P648" s="160"/>
      <c r="Q648" s="160"/>
      <c r="R648" s="160"/>
      <c r="S648" s="160"/>
      <c r="T648" s="18"/>
      <c r="U648" s="18"/>
      <c r="V648" s="18"/>
      <c r="W648" s="18"/>
      <c r="X648" s="18"/>
      <c r="Y648" s="18"/>
      <c r="Z648" s="18"/>
      <c r="AA648" s="18"/>
    </row>
    <row r="649">
      <c r="A649" s="317"/>
      <c r="B649" s="172"/>
      <c r="C649" s="160"/>
      <c r="D649" s="160"/>
      <c r="E649" s="160"/>
      <c r="F649" s="160"/>
      <c r="G649" s="160"/>
      <c r="H649" s="160"/>
      <c r="I649" s="172"/>
      <c r="J649" s="160"/>
      <c r="K649" s="172"/>
      <c r="L649" s="172"/>
      <c r="M649" s="172"/>
      <c r="N649" s="160"/>
      <c r="O649" s="160"/>
      <c r="P649" s="160"/>
      <c r="Q649" s="160"/>
      <c r="R649" s="160"/>
      <c r="S649" s="160"/>
      <c r="T649" s="18"/>
      <c r="U649" s="18"/>
      <c r="V649" s="18"/>
      <c r="W649" s="18"/>
      <c r="X649" s="18"/>
      <c r="Y649" s="18"/>
      <c r="Z649" s="18"/>
      <c r="AA649" s="18"/>
    </row>
    <row r="650">
      <c r="A650" s="317"/>
      <c r="B650" s="172"/>
      <c r="C650" s="160"/>
      <c r="D650" s="160"/>
      <c r="E650" s="160"/>
      <c r="F650" s="160"/>
      <c r="G650" s="160"/>
      <c r="H650" s="160"/>
      <c r="I650" s="172"/>
      <c r="J650" s="160"/>
      <c r="K650" s="172"/>
      <c r="L650" s="172"/>
      <c r="M650" s="172"/>
      <c r="N650" s="160"/>
      <c r="O650" s="160"/>
      <c r="P650" s="160"/>
      <c r="Q650" s="160"/>
      <c r="R650" s="160"/>
      <c r="S650" s="160"/>
      <c r="T650" s="18"/>
      <c r="U650" s="18"/>
      <c r="V650" s="18"/>
      <c r="W650" s="18"/>
      <c r="X650" s="18"/>
      <c r="Y650" s="18"/>
      <c r="Z650" s="18"/>
      <c r="AA650" s="18"/>
    </row>
    <row r="651">
      <c r="A651" s="317"/>
      <c r="B651" s="172"/>
      <c r="C651" s="160"/>
      <c r="D651" s="160"/>
      <c r="E651" s="160"/>
      <c r="F651" s="160"/>
      <c r="G651" s="160"/>
      <c r="H651" s="160"/>
      <c r="I651" s="172"/>
      <c r="J651" s="160"/>
      <c r="K651" s="172"/>
      <c r="L651" s="172"/>
      <c r="M651" s="172"/>
      <c r="N651" s="160"/>
      <c r="O651" s="160"/>
      <c r="P651" s="160"/>
      <c r="Q651" s="160"/>
      <c r="R651" s="160"/>
      <c r="S651" s="160"/>
      <c r="T651" s="18"/>
      <c r="U651" s="18"/>
      <c r="V651" s="18"/>
      <c r="W651" s="18"/>
      <c r="X651" s="18"/>
      <c r="Y651" s="18"/>
      <c r="Z651" s="18"/>
      <c r="AA651" s="18"/>
    </row>
    <row r="652">
      <c r="A652" s="317"/>
      <c r="B652" s="172"/>
      <c r="C652" s="160"/>
      <c r="D652" s="160"/>
      <c r="E652" s="160"/>
      <c r="F652" s="160"/>
      <c r="G652" s="160"/>
      <c r="H652" s="160"/>
      <c r="I652" s="172"/>
      <c r="J652" s="160"/>
      <c r="K652" s="172"/>
      <c r="L652" s="172"/>
      <c r="M652" s="172"/>
      <c r="N652" s="160"/>
      <c r="O652" s="160"/>
      <c r="P652" s="160"/>
      <c r="Q652" s="160"/>
      <c r="R652" s="160"/>
      <c r="S652" s="160"/>
      <c r="T652" s="18"/>
      <c r="U652" s="18"/>
      <c r="V652" s="18"/>
      <c r="W652" s="18"/>
      <c r="X652" s="18"/>
      <c r="Y652" s="18"/>
      <c r="Z652" s="18"/>
      <c r="AA652" s="18"/>
    </row>
    <row r="653">
      <c r="A653" s="317"/>
      <c r="B653" s="172"/>
      <c r="C653" s="160"/>
      <c r="D653" s="160"/>
      <c r="E653" s="160"/>
      <c r="F653" s="160"/>
      <c r="G653" s="160"/>
      <c r="H653" s="160"/>
      <c r="I653" s="172"/>
      <c r="J653" s="160"/>
      <c r="K653" s="172"/>
      <c r="L653" s="172"/>
      <c r="M653" s="172"/>
      <c r="N653" s="160"/>
      <c r="O653" s="160"/>
      <c r="P653" s="160"/>
      <c r="Q653" s="160"/>
      <c r="R653" s="160"/>
      <c r="S653" s="160"/>
      <c r="T653" s="18"/>
      <c r="U653" s="18"/>
      <c r="V653" s="18"/>
      <c r="W653" s="18"/>
      <c r="X653" s="18"/>
      <c r="Y653" s="18"/>
      <c r="Z653" s="18"/>
      <c r="AA653" s="18"/>
    </row>
    <row r="654">
      <c r="A654" s="317"/>
      <c r="B654" s="172"/>
      <c r="C654" s="160"/>
      <c r="D654" s="160"/>
      <c r="E654" s="160"/>
      <c r="F654" s="160"/>
      <c r="G654" s="160"/>
      <c r="H654" s="160"/>
      <c r="I654" s="172"/>
      <c r="J654" s="160"/>
      <c r="K654" s="172"/>
      <c r="L654" s="172"/>
      <c r="M654" s="172"/>
      <c r="N654" s="160"/>
      <c r="O654" s="160"/>
      <c r="P654" s="160"/>
      <c r="Q654" s="160"/>
      <c r="R654" s="160"/>
      <c r="S654" s="160"/>
      <c r="T654" s="18"/>
      <c r="U654" s="18"/>
      <c r="V654" s="18"/>
      <c r="W654" s="18"/>
      <c r="X654" s="18"/>
      <c r="Y654" s="18"/>
      <c r="Z654" s="18"/>
      <c r="AA654" s="18"/>
    </row>
    <row r="655">
      <c r="A655" s="317"/>
      <c r="B655" s="172"/>
      <c r="C655" s="160"/>
      <c r="D655" s="160"/>
      <c r="E655" s="160"/>
      <c r="F655" s="160"/>
      <c r="G655" s="160"/>
      <c r="H655" s="160"/>
      <c r="I655" s="172"/>
      <c r="J655" s="160"/>
      <c r="K655" s="172"/>
      <c r="L655" s="172"/>
      <c r="M655" s="172"/>
      <c r="N655" s="160"/>
      <c r="O655" s="160"/>
      <c r="P655" s="160"/>
      <c r="Q655" s="160"/>
      <c r="R655" s="160"/>
      <c r="S655" s="160"/>
      <c r="T655" s="18"/>
      <c r="U655" s="18"/>
      <c r="V655" s="18"/>
      <c r="W655" s="18"/>
      <c r="X655" s="18"/>
      <c r="Y655" s="18"/>
      <c r="Z655" s="18"/>
      <c r="AA655" s="18"/>
    </row>
    <row r="656">
      <c r="A656" s="317"/>
      <c r="B656" s="172"/>
      <c r="C656" s="160"/>
      <c r="D656" s="160"/>
      <c r="E656" s="160"/>
      <c r="F656" s="160"/>
      <c r="G656" s="160"/>
      <c r="H656" s="160"/>
      <c r="I656" s="172"/>
      <c r="J656" s="160"/>
      <c r="K656" s="172"/>
      <c r="L656" s="172"/>
      <c r="M656" s="172"/>
      <c r="N656" s="160"/>
      <c r="O656" s="160"/>
      <c r="P656" s="160"/>
      <c r="Q656" s="160"/>
      <c r="R656" s="160"/>
      <c r="S656" s="160"/>
      <c r="T656" s="18"/>
      <c r="U656" s="18"/>
      <c r="V656" s="18"/>
      <c r="W656" s="18"/>
      <c r="X656" s="18"/>
      <c r="Y656" s="18"/>
      <c r="Z656" s="18"/>
      <c r="AA656" s="18"/>
    </row>
    <row r="657">
      <c r="A657" s="317"/>
      <c r="B657" s="172"/>
      <c r="C657" s="160"/>
      <c r="D657" s="160"/>
      <c r="E657" s="160"/>
      <c r="F657" s="160"/>
      <c r="G657" s="160"/>
      <c r="H657" s="160"/>
      <c r="I657" s="172"/>
      <c r="J657" s="160"/>
      <c r="K657" s="172"/>
      <c r="L657" s="172"/>
      <c r="M657" s="172"/>
      <c r="N657" s="160"/>
      <c r="O657" s="160"/>
      <c r="P657" s="160"/>
      <c r="Q657" s="160"/>
      <c r="R657" s="160"/>
      <c r="S657" s="160"/>
      <c r="T657" s="18"/>
      <c r="U657" s="18"/>
      <c r="V657" s="18"/>
      <c r="W657" s="18"/>
      <c r="X657" s="18"/>
      <c r="Y657" s="18"/>
      <c r="Z657" s="18"/>
      <c r="AA657" s="18"/>
    </row>
    <row r="658">
      <c r="A658" s="317"/>
      <c r="B658" s="172"/>
      <c r="C658" s="160"/>
      <c r="D658" s="160"/>
      <c r="E658" s="160"/>
      <c r="F658" s="160"/>
      <c r="G658" s="160"/>
      <c r="H658" s="160"/>
      <c r="I658" s="172"/>
      <c r="J658" s="160"/>
      <c r="K658" s="172"/>
      <c r="L658" s="172"/>
      <c r="M658" s="172"/>
      <c r="N658" s="160"/>
      <c r="O658" s="160"/>
      <c r="P658" s="160"/>
      <c r="Q658" s="160"/>
      <c r="R658" s="160"/>
      <c r="S658" s="160"/>
      <c r="T658" s="18"/>
      <c r="U658" s="18"/>
      <c r="V658" s="18"/>
      <c r="W658" s="18"/>
      <c r="X658" s="18"/>
      <c r="Y658" s="18"/>
      <c r="Z658" s="18"/>
      <c r="AA658" s="18"/>
    </row>
    <row r="659">
      <c r="A659" s="317"/>
      <c r="B659" s="172"/>
      <c r="C659" s="160"/>
      <c r="D659" s="160"/>
      <c r="E659" s="160"/>
      <c r="F659" s="160"/>
      <c r="G659" s="160"/>
      <c r="H659" s="160"/>
      <c r="I659" s="172"/>
      <c r="J659" s="160"/>
      <c r="K659" s="172"/>
      <c r="L659" s="172"/>
      <c r="M659" s="172"/>
      <c r="N659" s="160"/>
      <c r="O659" s="160"/>
      <c r="P659" s="160"/>
      <c r="Q659" s="160"/>
      <c r="R659" s="160"/>
      <c r="S659" s="160"/>
      <c r="T659" s="18"/>
      <c r="U659" s="18"/>
      <c r="V659" s="18"/>
      <c r="W659" s="18"/>
      <c r="X659" s="18"/>
      <c r="Y659" s="18"/>
      <c r="Z659" s="18"/>
      <c r="AA659" s="18"/>
    </row>
    <row r="660">
      <c r="A660" s="317"/>
      <c r="B660" s="172"/>
      <c r="C660" s="160"/>
      <c r="D660" s="160"/>
      <c r="E660" s="160"/>
      <c r="F660" s="160"/>
      <c r="G660" s="160"/>
      <c r="H660" s="160"/>
      <c r="I660" s="172"/>
      <c r="J660" s="160"/>
      <c r="K660" s="172"/>
      <c r="L660" s="172"/>
      <c r="M660" s="172"/>
      <c r="N660" s="160"/>
      <c r="O660" s="160"/>
      <c r="P660" s="160"/>
      <c r="Q660" s="160"/>
      <c r="R660" s="160"/>
      <c r="S660" s="160"/>
      <c r="T660" s="18"/>
      <c r="U660" s="18"/>
      <c r="V660" s="18"/>
      <c r="W660" s="18"/>
      <c r="X660" s="18"/>
      <c r="Y660" s="18"/>
      <c r="Z660" s="18"/>
      <c r="AA660" s="18"/>
    </row>
    <row r="661">
      <c r="A661" s="317"/>
      <c r="B661" s="172"/>
      <c r="C661" s="160"/>
      <c r="D661" s="160"/>
      <c r="E661" s="160"/>
      <c r="F661" s="160"/>
      <c r="G661" s="160"/>
      <c r="H661" s="160"/>
      <c r="I661" s="172"/>
      <c r="J661" s="160"/>
      <c r="K661" s="172"/>
      <c r="L661" s="172"/>
      <c r="M661" s="172"/>
      <c r="N661" s="160"/>
      <c r="O661" s="160"/>
      <c r="P661" s="160"/>
      <c r="Q661" s="160"/>
      <c r="R661" s="160"/>
      <c r="S661" s="160"/>
      <c r="T661" s="18"/>
      <c r="U661" s="18"/>
      <c r="V661" s="18"/>
      <c r="W661" s="18"/>
      <c r="X661" s="18"/>
      <c r="Y661" s="18"/>
      <c r="Z661" s="18"/>
      <c r="AA661" s="18"/>
    </row>
    <row r="662">
      <c r="A662" s="317"/>
      <c r="B662" s="172"/>
      <c r="C662" s="160"/>
      <c r="D662" s="160"/>
      <c r="E662" s="160"/>
      <c r="F662" s="160"/>
      <c r="G662" s="160"/>
      <c r="H662" s="160"/>
      <c r="I662" s="172"/>
      <c r="J662" s="160"/>
      <c r="K662" s="172"/>
      <c r="L662" s="172"/>
      <c r="M662" s="172"/>
      <c r="N662" s="160"/>
      <c r="O662" s="160"/>
      <c r="P662" s="160"/>
      <c r="Q662" s="160"/>
      <c r="R662" s="160"/>
      <c r="S662" s="160"/>
      <c r="T662" s="18"/>
      <c r="U662" s="18"/>
      <c r="V662" s="18"/>
      <c r="W662" s="18"/>
      <c r="X662" s="18"/>
      <c r="Y662" s="18"/>
      <c r="Z662" s="18"/>
      <c r="AA662" s="18"/>
    </row>
    <row r="663">
      <c r="A663" s="317"/>
      <c r="B663" s="172"/>
      <c r="C663" s="160"/>
      <c r="D663" s="160"/>
      <c r="E663" s="160"/>
      <c r="F663" s="160"/>
      <c r="G663" s="160"/>
      <c r="H663" s="160"/>
      <c r="I663" s="172"/>
      <c r="J663" s="160"/>
      <c r="K663" s="172"/>
      <c r="L663" s="172"/>
      <c r="M663" s="172"/>
      <c r="N663" s="160"/>
      <c r="O663" s="160"/>
      <c r="P663" s="160"/>
      <c r="Q663" s="160"/>
      <c r="R663" s="160"/>
      <c r="S663" s="160"/>
      <c r="T663" s="18"/>
      <c r="U663" s="18"/>
      <c r="V663" s="18"/>
      <c r="W663" s="18"/>
      <c r="X663" s="18"/>
      <c r="Y663" s="18"/>
      <c r="Z663" s="18"/>
      <c r="AA663" s="18"/>
    </row>
    <row r="664">
      <c r="A664" s="317"/>
      <c r="B664" s="172"/>
      <c r="C664" s="160"/>
      <c r="D664" s="160"/>
      <c r="E664" s="160"/>
      <c r="F664" s="160"/>
      <c r="G664" s="160"/>
      <c r="H664" s="160"/>
      <c r="I664" s="172"/>
      <c r="J664" s="160"/>
      <c r="K664" s="172"/>
      <c r="L664" s="172"/>
      <c r="M664" s="172"/>
      <c r="N664" s="160"/>
      <c r="O664" s="160"/>
      <c r="P664" s="160"/>
      <c r="Q664" s="160"/>
      <c r="R664" s="160"/>
      <c r="S664" s="160"/>
      <c r="T664" s="18"/>
      <c r="U664" s="18"/>
      <c r="V664" s="18"/>
      <c r="W664" s="18"/>
      <c r="X664" s="18"/>
      <c r="Y664" s="18"/>
      <c r="Z664" s="18"/>
      <c r="AA664" s="18"/>
    </row>
    <row r="665">
      <c r="A665" s="317"/>
      <c r="B665" s="172"/>
      <c r="C665" s="160"/>
      <c r="D665" s="160"/>
      <c r="E665" s="160"/>
      <c r="F665" s="160"/>
      <c r="G665" s="160"/>
      <c r="H665" s="160"/>
      <c r="I665" s="172"/>
      <c r="J665" s="160"/>
      <c r="K665" s="172"/>
      <c r="L665" s="172"/>
      <c r="M665" s="172"/>
      <c r="N665" s="160"/>
      <c r="O665" s="160"/>
      <c r="P665" s="160"/>
      <c r="Q665" s="160"/>
      <c r="R665" s="160"/>
      <c r="S665" s="160"/>
      <c r="T665" s="18"/>
      <c r="U665" s="18"/>
      <c r="V665" s="18"/>
      <c r="W665" s="18"/>
      <c r="X665" s="18"/>
      <c r="Y665" s="18"/>
      <c r="Z665" s="18"/>
      <c r="AA665" s="18"/>
    </row>
    <row r="666">
      <c r="A666" s="317"/>
      <c r="B666" s="172"/>
      <c r="C666" s="160"/>
      <c r="D666" s="160"/>
      <c r="E666" s="160"/>
      <c r="F666" s="160"/>
      <c r="G666" s="160"/>
      <c r="H666" s="160"/>
      <c r="I666" s="172"/>
      <c r="J666" s="160"/>
      <c r="K666" s="172"/>
      <c r="L666" s="172"/>
      <c r="M666" s="172"/>
      <c r="N666" s="160"/>
      <c r="O666" s="160"/>
      <c r="P666" s="160"/>
      <c r="Q666" s="160"/>
      <c r="R666" s="160"/>
      <c r="S666" s="160"/>
      <c r="T666" s="18"/>
      <c r="U666" s="18"/>
      <c r="V666" s="18"/>
      <c r="W666" s="18"/>
      <c r="X666" s="18"/>
      <c r="Y666" s="18"/>
      <c r="Z666" s="18"/>
      <c r="AA666" s="18"/>
    </row>
    <row r="667">
      <c r="A667" s="317"/>
      <c r="B667" s="172"/>
      <c r="C667" s="160"/>
      <c r="D667" s="160"/>
      <c r="E667" s="160"/>
      <c r="F667" s="160"/>
      <c r="G667" s="160"/>
      <c r="H667" s="160"/>
      <c r="I667" s="172"/>
      <c r="J667" s="160"/>
      <c r="K667" s="172"/>
      <c r="L667" s="172"/>
      <c r="M667" s="172"/>
      <c r="N667" s="160"/>
      <c r="O667" s="160"/>
      <c r="P667" s="160"/>
      <c r="Q667" s="160"/>
      <c r="R667" s="160"/>
      <c r="S667" s="160"/>
      <c r="T667" s="18"/>
      <c r="U667" s="18"/>
      <c r="V667" s="18"/>
      <c r="W667" s="18"/>
      <c r="X667" s="18"/>
      <c r="Y667" s="18"/>
      <c r="Z667" s="18"/>
      <c r="AA667" s="18"/>
    </row>
    <row r="668">
      <c r="A668" s="317"/>
      <c r="B668" s="172"/>
      <c r="C668" s="160"/>
      <c r="D668" s="160"/>
      <c r="E668" s="160"/>
      <c r="F668" s="160"/>
      <c r="G668" s="160"/>
      <c r="H668" s="160"/>
      <c r="I668" s="172"/>
      <c r="J668" s="160"/>
      <c r="K668" s="172"/>
      <c r="L668" s="172"/>
      <c r="M668" s="172"/>
      <c r="N668" s="160"/>
      <c r="O668" s="160"/>
      <c r="P668" s="160"/>
      <c r="Q668" s="160"/>
      <c r="R668" s="160"/>
      <c r="S668" s="160"/>
      <c r="T668" s="18"/>
      <c r="U668" s="18"/>
      <c r="V668" s="18"/>
      <c r="W668" s="18"/>
      <c r="X668" s="18"/>
      <c r="Y668" s="18"/>
      <c r="Z668" s="18"/>
      <c r="AA668" s="18"/>
    </row>
    <row r="669">
      <c r="A669" s="317"/>
      <c r="B669" s="172"/>
      <c r="C669" s="160"/>
      <c r="D669" s="160"/>
      <c r="E669" s="160"/>
      <c r="F669" s="160"/>
      <c r="G669" s="160"/>
      <c r="H669" s="160"/>
      <c r="I669" s="172"/>
      <c r="J669" s="160"/>
      <c r="K669" s="172"/>
      <c r="L669" s="172"/>
      <c r="M669" s="172"/>
      <c r="N669" s="160"/>
      <c r="O669" s="160"/>
      <c r="P669" s="160"/>
      <c r="Q669" s="160"/>
      <c r="R669" s="160"/>
      <c r="S669" s="160"/>
      <c r="T669" s="18"/>
      <c r="U669" s="18"/>
      <c r="V669" s="18"/>
      <c r="W669" s="18"/>
      <c r="X669" s="18"/>
      <c r="Y669" s="18"/>
      <c r="Z669" s="18"/>
      <c r="AA669" s="18"/>
    </row>
    <row r="670">
      <c r="A670" s="317"/>
      <c r="B670" s="172"/>
      <c r="C670" s="160"/>
      <c r="D670" s="160"/>
      <c r="E670" s="160"/>
      <c r="F670" s="160"/>
      <c r="G670" s="160"/>
      <c r="H670" s="160"/>
      <c r="I670" s="172"/>
      <c r="J670" s="160"/>
      <c r="K670" s="172"/>
      <c r="L670" s="172"/>
      <c r="M670" s="172"/>
      <c r="N670" s="160"/>
      <c r="O670" s="160"/>
      <c r="P670" s="160"/>
      <c r="Q670" s="160"/>
      <c r="R670" s="160"/>
      <c r="S670" s="160"/>
      <c r="T670" s="18"/>
      <c r="U670" s="18"/>
      <c r="V670" s="18"/>
      <c r="W670" s="18"/>
      <c r="X670" s="18"/>
      <c r="Y670" s="18"/>
      <c r="Z670" s="18"/>
      <c r="AA670" s="18"/>
    </row>
    <row r="671">
      <c r="A671" s="317"/>
      <c r="B671" s="172"/>
      <c r="C671" s="160"/>
      <c r="D671" s="160"/>
      <c r="E671" s="160"/>
      <c r="F671" s="160"/>
      <c r="G671" s="160"/>
      <c r="H671" s="160"/>
      <c r="I671" s="172"/>
      <c r="J671" s="160"/>
      <c r="K671" s="172"/>
      <c r="L671" s="172"/>
      <c r="M671" s="172"/>
      <c r="N671" s="160"/>
      <c r="O671" s="160"/>
      <c r="P671" s="160"/>
      <c r="Q671" s="160"/>
      <c r="R671" s="160"/>
      <c r="S671" s="160"/>
      <c r="T671" s="18"/>
      <c r="U671" s="18"/>
      <c r="V671" s="18"/>
      <c r="W671" s="18"/>
      <c r="X671" s="18"/>
      <c r="Y671" s="18"/>
      <c r="Z671" s="18"/>
      <c r="AA671" s="18"/>
    </row>
    <row r="672">
      <c r="A672" s="317"/>
      <c r="B672" s="172"/>
      <c r="C672" s="160"/>
      <c r="D672" s="160"/>
      <c r="E672" s="160"/>
      <c r="F672" s="160"/>
      <c r="G672" s="160"/>
      <c r="H672" s="160"/>
      <c r="I672" s="172"/>
      <c r="J672" s="160"/>
      <c r="K672" s="172"/>
      <c r="L672" s="172"/>
      <c r="M672" s="172"/>
      <c r="N672" s="160"/>
      <c r="O672" s="160"/>
      <c r="P672" s="160"/>
      <c r="Q672" s="160"/>
      <c r="R672" s="160"/>
      <c r="S672" s="160"/>
      <c r="T672" s="18"/>
      <c r="U672" s="18"/>
      <c r="V672" s="18"/>
      <c r="W672" s="18"/>
      <c r="X672" s="18"/>
      <c r="Y672" s="18"/>
      <c r="Z672" s="18"/>
      <c r="AA672" s="18"/>
    </row>
    <row r="673">
      <c r="A673" s="317"/>
      <c r="B673" s="172"/>
      <c r="C673" s="160"/>
      <c r="D673" s="160"/>
      <c r="E673" s="160"/>
      <c r="F673" s="160"/>
      <c r="G673" s="160"/>
      <c r="H673" s="160"/>
      <c r="I673" s="172"/>
      <c r="J673" s="160"/>
      <c r="K673" s="172"/>
      <c r="L673" s="172"/>
      <c r="M673" s="172"/>
      <c r="N673" s="160"/>
      <c r="O673" s="160"/>
      <c r="P673" s="160"/>
      <c r="Q673" s="160"/>
      <c r="R673" s="160"/>
      <c r="S673" s="160"/>
      <c r="T673" s="18"/>
      <c r="U673" s="18"/>
      <c r="V673" s="18"/>
      <c r="W673" s="18"/>
      <c r="X673" s="18"/>
      <c r="Y673" s="18"/>
      <c r="Z673" s="18"/>
      <c r="AA673" s="18"/>
    </row>
    <row r="674">
      <c r="A674" s="317"/>
      <c r="B674" s="172"/>
      <c r="C674" s="160"/>
      <c r="D674" s="160"/>
      <c r="E674" s="160"/>
      <c r="F674" s="160"/>
      <c r="G674" s="160"/>
      <c r="H674" s="160"/>
      <c r="I674" s="172"/>
      <c r="J674" s="160"/>
      <c r="K674" s="172"/>
      <c r="L674" s="172"/>
      <c r="M674" s="172"/>
      <c r="N674" s="160"/>
      <c r="O674" s="160"/>
      <c r="P674" s="160"/>
      <c r="Q674" s="160"/>
      <c r="R674" s="160"/>
      <c r="S674" s="160"/>
      <c r="T674" s="18"/>
      <c r="U674" s="18"/>
      <c r="V674" s="18"/>
      <c r="W674" s="18"/>
      <c r="X674" s="18"/>
      <c r="Y674" s="18"/>
      <c r="Z674" s="18"/>
      <c r="AA674" s="18"/>
    </row>
    <row r="675">
      <c r="A675" s="317"/>
      <c r="B675" s="172"/>
      <c r="C675" s="160"/>
      <c r="D675" s="160"/>
      <c r="E675" s="160"/>
      <c r="F675" s="160"/>
      <c r="G675" s="160"/>
      <c r="H675" s="160"/>
      <c r="I675" s="172"/>
      <c r="J675" s="160"/>
      <c r="K675" s="172"/>
      <c r="L675" s="172"/>
      <c r="M675" s="172"/>
      <c r="N675" s="160"/>
      <c r="O675" s="160"/>
      <c r="P675" s="160"/>
      <c r="Q675" s="160"/>
      <c r="R675" s="160"/>
      <c r="S675" s="160"/>
      <c r="T675" s="18"/>
      <c r="U675" s="18"/>
      <c r="V675" s="18"/>
      <c r="W675" s="18"/>
      <c r="X675" s="18"/>
      <c r="Y675" s="18"/>
      <c r="Z675" s="18"/>
      <c r="AA675" s="18"/>
    </row>
    <row r="676">
      <c r="A676" s="317"/>
      <c r="B676" s="172"/>
      <c r="C676" s="160"/>
      <c r="D676" s="160"/>
      <c r="E676" s="160"/>
      <c r="F676" s="160"/>
      <c r="G676" s="160"/>
      <c r="H676" s="160"/>
      <c r="I676" s="172"/>
      <c r="J676" s="160"/>
      <c r="K676" s="172"/>
      <c r="L676" s="172"/>
      <c r="M676" s="172"/>
      <c r="N676" s="160"/>
      <c r="O676" s="160"/>
      <c r="P676" s="160"/>
      <c r="Q676" s="160"/>
      <c r="R676" s="160"/>
      <c r="S676" s="160"/>
      <c r="T676" s="18"/>
      <c r="U676" s="18"/>
      <c r="V676" s="18"/>
      <c r="W676" s="18"/>
      <c r="X676" s="18"/>
      <c r="Y676" s="18"/>
      <c r="Z676" s="18"/>
      <c r="AA676" s="18"/>
    </row>
    <row r="677">
      <c r="A677" s="317"/>
      <c r="B677" s="172"/>
      <c r="C677" s="160"/>
      <c r="D677" s="160"/>
      <c r="E677" s="160"/>
      <c r="F677" s="160"/>
      <c r="G677" s="160"/>
      <c r="H677" s="160"/>
      <c r="I677" s="172"/>
      <c r="J677" s="160"/>
      <c r="K677" s="172"/>
      <c r="L677" s="172"/>
      <c r="M677" s="172"/>
      <c r="N677" s="160"/>
      <c r="O677" s="160"/>
      <c r="P677" s="160"/>
      <c r="Q677" s="160"/>
      <c r="R677" s="160"/>
      <c r="S677" s="160"/>
      <c r="T677" s="18"/>
      <c r="U677" s="18"/>
      <c r="V677" s="18"/>
      <c r="W677" s="18"/>
      <c r="X677" s="18"/>
      <c r="Y677" s="18"/>
      <c r="Z677" s="18"/>
      <c r="AA677" s="18"/>
    </row>
    <row r="678">
      <c r="A678" s="317"/>
      <c r="B678" s="172"/>
      <c r="C678" s="160"/>
      <c r="D678" s="160"/>
      <c r="E678" s="160"/>
      <c r="F678" s="160"/>
      <c r="G678" s="160"/>
      <c r="H678" s="160"/>
      <c r="I678" s="172"/>
      <c r="J678" s="160"/>
      <c r="K678" s="172"/>
      <c r="L678" s="172"/>
      <c r="M678" s="172"/>
      <c r="N678" s="160"/>
      <c r="O678" s="160"/>
      <c r="P678" s="160"/>
      <c r="Q678" s="160"/>
      <c r="R678" s="160"/>
      <c r="S678" s="160"/>
      <c r="T678" s="18"/>
      <c r="U678" s="18"/>
      <c r="V678" s="18"/>
      <c r="W678" s="18"/>
      <c r="X678" s="18"/>
      <c r="Y678" s="18"/>
      <c r="Z678" s="18"/>
      <c r="AA678" s="18"/>
    </row>
    <row r="679">
      <c r="A679" s="317"/>
      <c r="B679" s="172"/>
      <c r="C679" s="160"/>
      <c r="D679" s="160"/>
      <c r="E679" s="160"/>
      <c r="F679" s="160"/>
      <c r="G679" s="160"/>
      <c r="H679" s="160"/>
      <c r="I679" s="172"/>
      <c r="J679" s="160"/>
      <c r="K679" s="172"/>
      <c r="L679" s="172"/>
      <c r="M679" s="172"/>
      <c r="N679" s="160"/>
      <c r="O679" s="160"/>
      <c r="P679" s="160"/>
      <c r="Q679" s="160"/>
      <c r="R679" s="160"/>
      <c r="S679" s="160"/>
      <c r="T679" s="18"/>
      <c r="U679" s="18"/>
      <c r="V679" s="18"/>
      <c r="W679" s="18"/>
      <c r="X679" s="18"/>
      <c r="Y679" s="18"/>
      <c r="Z679" s="18"/>
      <c r="AA679" s="18"/>
    </row>
    <row r="680">
      <c r="A680" s="317"/>
      <c r="B680" s="172"/>
      <c r="C680" s="160"/>
      <c r="D680" s="160"/>
      <c r="E680" s="160"/>
      <c r="F680" s="160"/>
      <c r="G680" s="160"/>
      <c r="H680" s="160"/>
      <c r="I680" s="172"/>
      <c r="J680" s="160"/>
      <c r="K680" s="172"/>
      <c r="L680" s="172"/>
      <c r="M680" s="172"/>
      <c r="N680" s="160"/>
      <c r="O680" s="160"/>
      <c r="P680" s="160"/>
      <c r="Q680" s="160"/>
      <c r="R680" s="160"/>
      <c r="S680" s="160"/>
      <c r="T680" s="18"/>
      <c r="U680" s="18"/>
      <c r="V680" s="18"/>
      <c r="W680" s="18"/>
      <c r="X680" s="18"/>
      <c r="Y680" s="18"/>
      <c r="Z680" s="18"/>
      <c r="AA680" s="18"/>
    </row>
    <row r="681">
      <c r="A681" s="317"/>
      <c r="B681" s="172"/>
      <c r="C681" s="160"/>
      <c r="D681" s="160"/>
      <c r="E681" s="160"/>
      <c r="F681" s="160"/>
      <c r="G681" s="160"/>
      <c r="H681" s="160"/>
      <c r="I681" s="172"/>
      <c r="J681" s="160"/>
      <c r="K681" s="172"/>
      <c r="L681" s="172"/>
      <c r="M681" s="172"/>
      <c r="N681" s="160"/>
      <c r="O681" s="160"/>
      <c r="P681" s="160"/>
      <c r="Q681" s="160"/>
      <c r="R681" s="160"/>
      <c r="S681" s="160"/>
      <c r="T681" s="18"/>
      <c r="U681" s="18"/>
      <c r="V681" s="18"/>
      <c r="W681" s="18"/>
      <c r="X681" s="18"/>
      <c r="Y681" s="18"/>
      <c r="Z681" s="18"/>
      <c r="AA681" s="18"/>
    </row>
    <row r="682">
      <c r="A682" s="317"/>
      <c r="B682" s="172"/>
      <c r="C682" s="160"/>
      <c r="D682" s="160"/>
      <c r="E682" s="160"/>
      <c r="F682" s="160"/>
      <c r="G682" s="160"/>
      <c r="H682" s="160"/>
      <c r="I682" s="172"/>
      <c r="J682" s="160"/>
      <c r="K682" s="172"/>
      <c r="L682" s="172"/>
      <c r="M682" s="172"/>
      <c r="N682" s="160"/>
      <c r="O682" s="160"/>
      <c r="P682" s="160"/>
      <c r="Q682" s="160"/>
      <c r="R682" s="160"/>
      <c r="S682" s="160"/>
      <c r="T682" s="18"/>
      <c r="U682" s="18"/>
      <c r="V682" s="18"/>
      <c r="W682" s="18"/>
      <c r="X682" s="18"/>
      <c r="Y682" s="18"/>
      <c r="Z682" s="18"/>
      <c r="AA682" s="18"/>
    </row>
    <row r="683">
      <c r="A683" s="317"/>
      <c r="B683" s="172"/>
      <c r="C683" s="160"/>
      <c r="D683" s="160"/>
      <c r="E683" s="160"/>
      <c r="F683" s="160"/>
      <c r="G683" s="160"/>
      <c r="H683" s="160"/>
      <c r="I683" s="172"/>
      <c r="J683" s="160"/>
      <c r="K683" s="172"/>
      <c r="L683" s="172"/>
      <c r="M683" s="172"/>
      <c r="N683" s="160"/>
      <c r="O683" s="160"/>
      <c r="P683" s="160"/>
      <c r="Q683" s="160"/>
      <c r="R683" s="160"/>
      <c r="S683" s="160"/>
      <c r="T683" s="18"/>
      <c r="U683" s="18"/>
      <c r="V683" s="18"/>
      <c r="W683" s="18"/>
      <c r="X683" s="18"/>
      <c r="Y683" s="18"/>
      <c r="Z683" s="18"/>
      <c r="AA683" s="18"/>
    </row>
    <row r="684">
      <c r="A684" s="317"/>
      <c r="B684" s="172"/>
      <c r="C684" s="160"/>
      <c r="D684" s="160"/>
      <c r="E684" s="160"/>
      <c r="F684" s="160"/>
      <c r="G684" s="160"/>
      <c r="H684" s="160"/>
      <c r="I684" s="172"/>
      <c r="J684" s="160"/>
      <c r="K684" s="172"/>
      <c r="L684" s="172"/>
      <c r="M684" s="172"/>
      <c r="N684" s="160"/>
      <c r="O684" s="160"/>
      <c r="P684" s="160"/>
      <c r="Q684" s="160"/>
      <c r="R684" s="160"/>
      <c r="S684" s="160"/>
      <c r="T684" s="18"/>
      <c r="U684" s="18"/>
      <c r="V684" s="18"/>
      <c r="W684" s="18"/>
      <c r="X684" s="18"/>
      <c r="Y684" s="18"/>
      <c r="Z684" s="18"/>
      <c r="AA684" s="18"/>
    </row>
    <row r="685">
      <c r="A685" s="317"/>
      <c r="B685" s="172"/>
      <c r="C685" s="160"/>
      <c r="D685" s="160"/>
      <c r="E685" s="160"/>
      <c r="F685" s="160"/>
      <c r="G685" s="160"/>
      <c r="H685" s="160"/>
      <c r="I685" s="172"/>
      <c r="J685" s="160"/>
      <c r="K685" s="172"/>
      <c r="L685" s="172"/>
      <c r="M685" s="172"/>
      <c r="N685" s="160"/>
      <c r="O685" s="160"/>
      <c r="P685" s="160"/>
      <c r="Q685" s="160"/>
      <c r="R685" s="160"/>
      <c r="S685" s="160"/>
      <c r="T685" s="18"/>
      <c r="U685" s="18"/>
      <c r="V685" s="18"/>
      <c r="W685" s="18"/>
      <c r="X685" s="18"/>
      <c r="Y685" s="18"/>
      <c r="Z685" s="18"/>
      <c r="AA685" s="18"/>
    </row>
    <row r="686">
      <c r="A686" s="317"/>
      <c r="B686" s="172"/>
      <c r="C686" s="160"/>
      <c r="D686" s="160"/>
      <c r="E686" s="160"/>
      <c r="F686" s="160"/>
      <c r="G686" s="160"/>
      <c r="H686" s="160"/>
      <c r="I686" s="172"/>
      <c r="J686" s="160"/>
      <c r="K686" s="172"/>
      <c r="L686" s="172"/>
      <c r="M686" s="172"/>
      <c r="N686" s="160"/>
      <c r="O686" s="160"/>
      <c r="P686" s="160"/>
      <c r="Q686" s="160"/>
      <c r="R686" s="160"/>
      <c r="S686" s="160"/>
      <c r="T686" s="18"/>
      <c r="U686" s="18"/>
      <c r="V686" s="18"/>
      <c r="W686" s="18"/>
      <c r="X686" s="18"/>
      <c r="Y686" s="18"/>
      <c r="Z686" s="18"/>
      <c r="AA686" s="18"/>
    </row>
    <row r="687">
      <c r="A687" s="317"/>
      <c r="B687" s="172"/>
      <c r="C687" s="160"/>
      <c r="D687" s="160"/>
      <c r="E687" s="160"/>
      <c r="F687" s="160"/>
      <c r="G687" s="160"/>
      <c r="H687" s="160"/>
      <c r="I687" s="172"/>
      <c r="J687" s="160"/>
      <c r="K687" s="172"/>
      <c r="L687" s="172"/>
      <c r="M687" s="172"/>
      <c r="N687" s="160"/>
      <c r="O687" s="160"/>
      <c r="P687" s="160"/>
      <c r="Q687" s="160"/>
      <c r="R687" s="160"/>
      <c r="S687" s="160"/>
      <c r="T687" s="18"/>
      <c r="U687" s="18"/>
      <c r="V687" s="18"/>
      <c r="W687" s="18"/>
      <c r="X687" s="18"/>
      <c r="Y687" s="18"/>
      <c r="Z687" s="18"/>
      <c r="AA687" s="18"/>
    </row>
    <row r="688">
      <c r="A688" s="317"/>
      <c r="B688" s="172"/>
      <c r="C688" s="160"/>
      <c r="D688" s="160"/>
      <c r="E688" s="160"/>
      <c r="F688" s="160"/>
      <c r="G688" s="160"/>
      <c r="H688" s="160"/>
      <c r="I688" s="172"/>
      <c r="J688" s="160"/>
      <c r="K688" s="172"/>
      <c r="L688" s="172"/>
      <c r="M688" s="172"/>
      <c r="N688" s="160"/>
      <c r="O688" s="160"/>
      <c r="P688" s="160"/>
      <c r="Q688" s="160"/>
      <c r="R688" s="160"/>
      <c r="S688" s="160"/>
      <c r="T688" s="18"/>
      <c r="U688" s="18"/>
      <c r="V688" s="18"/>
      <c r="W688" s="18"/>
      <c r="X688" s="18"/>
      <c r="Y688" s="18"/>
      <c r="Z688" s="18"/>
      <c r="AA688" s="18"/>
    </row>
    <row r="689">
      <c r="A689" s="317"/>
      <c r="B689" s="172"/>
      <c r="C689" s="160"/>
      <c r="D689" s="160"/>
      <c r="E689" s="160"/>
      <c r="F689" s="160"/>
      <c r="G689" s="160"/>
      <c r="H689" s="160"/>
      <c r="I689" s="172"/>
      <c r="J689" s="160"/>
      <c r="K689" s="172"/>
      <c r="L689" s="172"/>
      <c r="M689" s="172"/>
      <c r="N689" s="160"/>
      <c r="O689" s="160"/>
      <c r="P689" s="160"/>
      <c r="Q689" s="160"/>
      <c r="R689" s="160"/>
      <c r="S689" s="160"/>
      <c r="T689" s="18"/>
      <c r="U689" s="18"/>
      <c r="V689" s="18"/>
      <c r="W689" s="18"/>
      <c r="X689" s="18"/>
      <c r="Y689" s="18"/>
      <c r="Z689" s="18"/>
      <c r="AA689" s="18"/>
    </row>
    <row r="690">
      <c r="A690" s="317"/>
      <c r="B690" s="172"/>
      <c r="C690" s="160"/>
      <c r="D690" s="160"/>
      <c r="E690" s="160"/>
      <c r="F690" s="160"/>
      <c r="G690" s="160"/>
      <c r="H690" s="160"/>
      <c r="I690" s="172"/>
      <c r="J690" s="160"/>
      <c r="K690" s="172"/>
      <c r="L690" s="172"/>
      <c r="M690" s="172"/>
      <c r="N690" s="160"/>
      <c r="O690" s="160"/>
      <c r="P690" s="160"/>
      <c r="Q690" s="160"/>
      <c r="R690" s="160"/>
      <c r="S690" s="160"/>
      <c r="T690" s="18"/>
      <c r="U690" s="18"/>
      <c r="V690" s="18"/>
      <c r="W690" s="18"/>
      <c r="X690" s="18"/>
      <c r="Y690" s="18"/>
      <c r="Z690" s="18"/>
      <c r="AA690" s="18"/>
    </row>
    <row r="691">
      <c r="A691" s="317"/>
      <c r="B691" s="172"/>
      <c r="C691" s="160"/>
      <c r="D691" s="160"/>
      <c r="E691" s="160"/>
      <c r="F691" s="160"/>
      <c r="G691" s="160"/>
      <c r="H691" s="160"/>
      <c r="I691" s="172"/>
      <c r="J691" s="160"/>
      <c r="K691" s="172"/>
      <c r="L691" s="172"/>
      <c r="M691" s="172"/>
      <c r="N691" s="160"/>
      <c r="O691" s="160"/>
      <c r="P691" s="160"/>
      <c r="Q691" s="160"/>
      <c r="R691" s="160"/>
      <c r="S691" s="160"/>
      <c r="T691" s="18"/>
      <c r="U691" s="18"/>
      <c r="V691" s="18"/>
      <c r="W691" s="18"/>
      <c r="X691" s="18"/>
      <c r="Y691" s="18"/>
      <c r="Z691" s="18"/>
      <c r="AA691" s="18"/>
    </row>
    <row r="692">
      <c r="A692" s="317"/>
      <c r="B692" s="172"/>
      <c r="C692" s="160"/>
      <c r="D692" s="160"/>
      <c r="E692" s="160"/>
      <c r="F692" s="160"/>
      <c r="G692" s="160"/>
      <c r="H692" s="160"/>
      <c r="I692" s="172"/>
      <c r="J692" s="160"/>
      <c r="K692" s="172"/>
      <c r="L692" s="172"/>
      <c r="M692" s="172"/>
      <c r="N692" s="160"/>
      <c r="O692" s="160"/>
      <c r="P692" s="160"/>
      <c r="Q692" s="160"/>
      <c r="R692" s="160"/>
      <c r="S692" s="160"/>
      <c r="T692" s="18"/>
      <c r="U692" s="18"/>
      <c r="V692" s="18"/>
      <c r="W692" s="18"/>
      <c r="X692" s="18"/>
      <c r="Y692" s="18"/>
      <c r="Z692" s="18"/>
      <c r="AA692" s="18"/>
    </row>
    <row r="693">
      <c r="A693" s="317"/>
      <c r="B693" s="172"/>
      <c r="C693" s="160"/>
      <c r="D693" s="160"/>
      <c r="E693" s="160"/>
      <c r="F693" s="160"/>
      <c r="G693" s="160"/>
      <c r="H693" s="160"/>
      <c r="I693" s="172"/>
      <c r="J693" s="160"/>
      <c r="K693" s="172"/>
      <c r="L693" s="172"/>
      <c r="M693" s="172"/>
      <c r="N693" s="160"/>
      <c r="O693" s="160"/>
      <c r="P693" s="160"/>
      <c r="Q693" s="160"/>
      <c r="R693" s="160"/>
      <c r="S693" s="160"/>
      <c r="T693" s="18"/>
      <c r="U693" s="18"/>
      <c r="V693" s="18"/>
      <c r="W693" s="18"/>
      <c r="X693" s="18"/>
      <c r="Y693" s="18"/>
      <c r="Z693" s="18"/>
      <c r="AA693" s="18"/>
    </row>
    <row r="694">
      <c r="A694" s="317"/>
      <c r="B694" s="172"/>
      <c r="C694" s="160"/>
      <c r="D694" s="160"/>
      <c r="E694" s="160"/>
      <c r="F694" s="160"/>
      <c r="G694" s="160"/>
      <c r="H694" s="160"/>
      <c r="I694" s="172"/>
      <c r="J694" s="160"/>
      <c r="K694" s="172"/>
      <c r="L694" s="172"/>
      <c r="M694" s="172"/>
      <c r="N694" s="160"/>
      <c r="O694" s="160"/>
      <c r="P694" s="160"/>
      <c r="Q694" s="160"/>
      <c r="R694" s="160"/>
      <c r="S694" s="160"/>
      <c r="T694" s="18"/>
      <c r="U694" s="18"/>
      <c r="V694" s="18"/>
      <c r="W694" s="18"/>
      <c r="X694" s="18"/>
      <c r="Y694" s="18"/>
      <c r="Z694" s="18"/>
      <c r="AA694" s="18"/>
    </row>
    <row r="695">
      <c r="A695" s="317"/>
      <c r="B695" s="172"/>
      <c r="C695" s="160"/>
      <c r="D695" s="160"/>
      <c r="E695" s="160"/>
      <c r="F695" s="160"/>
      <c r="G695" s="160"/>
      <c r="H695" s="160"/>
      <c r="I695" s="172"/>
      <c r="J695" s="160"/>
      <c r="K695" s="172"/>
      <c r="L695" s="172"/>
      <c r="M695" s="172"/>
      <c r="N695" s="160"/>
      <c r="O695" s="160"/>
      <c r="P695" s="160"/>
      <c r="Q695" s="160"/>
      <c r="R695" s="160"/>
      <c r="S695" s="160"/>
      <c r="T695" s="18"/>
      <c r="U695" s="18"/>
      <c r="V695" s="18"/>
      <c r="W695" s="18"/>
      <c r="X695" s="18"/>
      <c r="Y695" s="18"/>
      <c r="Z695" s="18"/>
      <c r="AA695" s="18"/>
    </row>
    <row r="696">
      <c r="A696" s="317"/>
      <c r="B696" s="172"/>
      <c r="C696" s="160"/>
      <c r="D696" s="160"/>
      <c r="E696" s="160"/>
      <c r="F696" s="160"/>
      <c r="G696" s="160"/>
      <c r="H696" s="160"/>
      <c r="I696" s="172"/>
      <c r="J696" s="160"/>
      <c r="K696" s="172"/>
      <c r="L696" s="172"/>
      <c r="M696" s="172"/>
      <c r="N696" s="160"/>
      <c r="O696" s="160"/>
      <c r="P696" s="160"/>
      <c r="Q696" s="160"/>
      <c r="R696" s="160"/>
      <c r="S696" s="160"/>
      <c r="T696" s="18"/>
      <c r="U696" s="18"/>
      <c r="V696" s="18"/>
      <c r="W696" s="18"/>
      <c r="X696" s="18"/>
      <c r="Y696" s="18"/>
      <c r="Z696" s="18"/>
      <c r="AA696" s="18"/>
    </row>
    <row r="697">
      <c r="A697" s="317"/>
      <c r="B697" s="172"/>
      <c r="C697" s="160"/>
      <c r="D697" s="160"/>
      <c r="E697" s="160"/>
      <c r="F697" s="160"/>
      <c r="G697" s="160"/>
      <c r="H697" s="160"/>
      <c r="I697" s="172"/>
      <c r="J697" s="160"/>
      <c r="K697" s="172"/>
      <c r="L697" s="172"/>
      <c r="M697" s="172"/>
      <c r="N697" s="160"/>
      <c r="O697" s="160"/>
      <c r="P697" s="160"/>
      <c r="Q697" s="160"/>
      <c r="R697" s="160"/>
      <c r="S697" s="160"/>
      <c r="T697" s="18"/>
      <c r="U697" s="18"/>
      <c r="V697" s="18"/>
      <c r="W697" s="18"/>
      <c r="X697" s="18"/>
      <c r="Y697" s="18"/>
      <c r="Z697" s="18"/>
      <c r="AA697" s="18"/>
    </row>
    <row r="698">
      <c r="A698" s="317"/>
      <c r="B698" s="172"/>
      <c r="C698" s="160"/>
      <c r="D698" s="160"/>
      <c r="E698" s="160"/>
      <c r="F698" s="160"/>
      <c r="G698" s="160"/>
      <c r="H698" s="160"/>
      <c r="I698" s="172"/>
      <c r="J698" s="160"/>
      <c r="K698" s="172"/>
      <c r="L698" s="172"/>
      <c r="M698" s="172"/>
      <c r="N698" s="160"/>
      <c r="O698" s="160"/>
      <c r="P698" s="160"/>
      <c r="Q698" s="160"/>
      <c r="R698" s="160"/>
      <c r="S698" s="160"/>
      <c r="T698" s="18"/>
      <c r="U698" s="18"/>
      <c r="V698" s="18"/>
      <c r="W698" s="18"/>
      <c r="X698" s="18"/>
      <c r="Y698" s="18"/>
      <c r="Z698" s="18"/>
      <c r="AA698" s="18"/>
    </row>
    <row r="699">
      <c r="A699" s="317"/>
      <c r="B699" s="172"/>
      <c r="C699" s="160"/>
      <c r="D699" s="160"/>
      <c r="E699" s="160"/>
      <c r="F699" s="160"/>
      <c r="G699" s="160"/>
      <c r="H699" s="160"/>
      <c r="I699" s="172"/>
      <c r="J699" s="160"/>
      <c r="K699" s="172"/>
      <c r="L699" s="172"/>
      <c r="M699" s="172"/>
      <c r="N699" s="160"/>
      <c r="O699" s="160"/>
      <c r="P699" s="160"/>
      <c r="Q699" s="160"/>
      <c r="R699" s="160"/>
      <c r="S699" s="160"/>
      <c r="T699" s="18"/>
      <c r="U699" s="18"/>
      <c r="V699" s="18"/>
      <c r="W699" s="18"/>
      <c r="X699" s="18"/>
      <c r="Y699" s="18"/>
      <c r="Z699" s="18"/>
      <c r="AA699" s="18"/>
    </row>
    <row r="700">
      <c r="A700" s="317"/>
      <c r="B700" s="172"/>
      <c r="C700" s="160"/>
      <c r="D700" s="160"/>
      <c r="E700" s="160"/>
      <c r="F700" s="160"/>
      <c r="G700" s="160"/>
      <c r="H700" s="160"/>
      <c r="I700" s="172"/>
      <c r="J700" s="160"/>
      <c r="K700" s="172"/>
      <c r="L700" s="172"/>
      <c r="M700" s="172"/>
      <c r="N700" s="160"/>
      <c r="O700" s="160"/>
      <c r="P700" s="160"/>
      <c r="Q700" s="160"/>
      <c r="R700" s="160"/>
      <c r="S700" s="160"/>
      <c r="T700" s="18"/>
      <c r="U700" s="18"/>
      <c r="V700" s="18"/>
      <c r="W700" s="18"/>
      <c r="X700" s="18"/>
      <c r="Y700" s="18"/>
      <c r="Z700" s="18"/>
      <c r="AA700" s="18"/>
    </row>
    <row r="701">
      <c r="A701" s="317"/>
      <c r="B701" s="172"/>
      <c r="C701" s="160"/>
      <c r="D701" s="160"/>
      <c r="E701" s="160"/>
      <c r="F701" s="160"/>
      <c r="G701" s="160"/>
      <c r="H701" s="160"/>
      <c r="I701" s="172"/>
      <c r="J701" s="160"/>
      <c r="K701" s="172"/>
      <c r="L701" s="172"/>
      <c r="M701" s="172"/>
      <c r="N701" s="160"/>
      <c r="O701" s="160"/>
      <c r="P701" s="160"/>
      <c r="Q701" s="160"/>
      <c r="R701" s="160"/>
      <c r="S701" s="160"/>
      <c r="T701" s="18"/>
      <c r="U701" s="18"/>
      <c r="V701" s="18"/>
      <c r="W701" s="18"/>
      <c r="X701" s="18"/>
      <c r="Y701" s="18"/>
      <c r="Z701" s="18"/>
      <c r="AA701" s="18"/>
    </row>
    <row r="702">
      <c r="A702" s="317"/>
      <c r="B702" s="172"/>
      <c r="C702" s="160"/>
      <c r="D702" s="160"/>
      <c r="E702" s="160"/>
      <c r="F702" s="160"/>
      <c r="G702" s="160"/>
      <c r="H702" s="160"/>
      <c r="I702" s="172"/>
      <c r="J702" s="160"/>
      <c r="K702" s="172"/>
      <c r="L702" s="172"/>
      <c r="M702" s="172"/>
      <c r="N702" s="160"/>
      <c r="O702" s="160"/>
      <c r="P702" s="160"/>
      <c r="Q702" s="160"/>
      <c r="R702" s="160"/>
      <c r="S702" s="160"/>
      <c r="T702" s="18"/>
      <c r="U702" s="18"/>
      <c r="V702" s="18"/>
      <c r="W702" s="18"/>
      <c r="X702" s="18"/>
      <c r="Y702" s="18"/>
      <c r="Z702" s="18"/>
      <c r="AA702" s="18"/>
    </row>
    <row r="703">
      <c r="A703" s="317"/>
      <c r="B703" s="172"/>
      <c r="C703" s="160"/>
      <c r="D703" s="160"/>
      <c r="E703" s="160"/>
      <c r="F703" s="160"/>
      <c r="G703" s="160"/>
      <c r="H703" s="160"/>
      <c r="I703" s="172"/>
      <c r="J703" s="160"/>
      <c r="K703" s="172"/>
      <c r="L703" s="172"/>
      <c r="M703" s="172"/>
      <c r="N703" s="160"/>
      <c r="O703" s="160"/>
      <c r="P703" s="160"/>
      <c r="Q703" s="160"/>
      <c r="R703" s="160"/>
      <c r="S703" s="160"/>
      <c r="T703" s="18"/>
      <c r="U703" s="18"/>
      <c r="V703" s="18"/>
      <c r="W703" s="18"/>
      <c r="X703" s="18"/>
      <c r="Y703" s="18"/>
      <c r="Z703" s="18"/>
      <c r="AA703" s="18"/>
    </row>
    <row r="704">
      <c r="A704" s="317"/>
      <c r="B704" s="172"/>
      <c r="C704" s="160"/>
      <c r="D704" s="160"/>
      <c r="E704" s="160"/>
      <c r="F704" s="160"/>
      <c r="G704" s="160"/>
      <c r="H704" s="160"/>
      <c r="I704" s="172"/>
      <c r="J704" s="160"/>
      <c r="K704" s="172"/>
      <c r="L704" s="172"/>
      <c r="M704" s="172"/>
      <c r="N704" s="160"/>
      <c r="O704" s="160"/>
      <c r="P704" s="160"/>
      <c r="Q704" s="160"/>
      <c r="R704" s="160"/>
      <c r="S704" s="160"/>
      <c r="T704" s="18"/>
      <c r="U704" s="18"/>
      <c r="V704" s="18"/>
      <c r="W704" s="18"/>
      <c r="X704" s="18"/>
      <c r="Y704" s="18"/>
      <c r="Z704" s="18"/>
      <c r="AA704" s="18"/>
    </row>
    <row r="705">
      <c r="A705" s="317"/>
      <c r="B705" s="172"/>
      <c r="C705" s="160"/>
      <c r="D705" s="160"/>
      <c r="E705" s="160"/>
      <c r="F705" s="160"/>
      <c r="G705" s="160"/>
      <c r="H705" s="160"/>
      <c r="I705" s="172"/>
      <c r="J705" s="160"/>
      <c r="K705" s="172"/>
      <c r="L705" s="172"/>
      <c r="M705" s="172"/>
      <c r="N705" s="160"/>
      <c r="O705" s="160"/>
      <c r="P705" s="160"/>
      <c r="Q705" s="160"/>
      <c r="R705" s="160"/>
      <c r="S705" s="160"/>
      <c r="T705" s="18"/>
      <c r="U705" s="18"/>
      <c r="V705" s="18"/>
      <c r="W705" s="18"/>
      <c r="X705" s="18"/>
      <c r="Y705" s="18"/>
      <c r="Z705" s="18"/>
      <c r="AA705" s="18"/>
    </row>
    <row r="706">
      <c r="A706" s="317"/>
      <c r="B706" s="172"/>
      <c r="C706" s="160"/>
      <c r="D706" s="160"/>
      <c r="E706" s="160"/>
      <c r="F706" s="160"/>
      <c r="G706" s="160"/>
      <c r="H706" s="160"/>
      <c r="I706" s="172"/>
      <c r="J706" s="160"/>
      <c r="K706" s="172"/>
      <c r="L706" s="172"/>
      <c r="M706" s="172"/>
      <c r="N706" s="160"/>
      <c r="O706" s="160"/>
      <c r="P706" s="160"/>
      <c r="Q706" s="160"/>
      <c r="R706" s="160"/>
      <c r="S706" s="160"/>
      <c r="T706" s="18"/>
      <c r="U706" s="18"/>
      <c r="V706" s="18"/>
      <c r="W706" s="18"/>
      <c r="X706" s="18"/>
      <c r="Y706" s="18"/>
      <c r="Z706" s="18"/>
      <c r="AA706" s="18"/>
    </row>
    <row r="707">
      <c r="A707" s="317"/>
      <c r="B707" s="172"/>
      <c r="C707" s="160"/>
      <c r="D707" s="160"/>
      <c r="E707" s="160"/>
      <c r="F707" s="160"/>
      <c r="G707" s="160"/>
      <c r="H707" s="160"/>
      <c r="I707" s="172"/>
      <c r="J707" s="160"/>
      <c r="K707" s="172"/>
      <c r="L707" s="172"/>
      <c r="M707" s="172"/>
      <c r="N707" s="160"/>
      <c r="O707" s="160"/>
      <c r="P707" s="160"/>
      <c r="Q707" s="160"/>
      <c r="R707" s="160"/>
      <c r="S707" s="160"/>
      <c r="T707" s="18"/>
      <c r="U707" s="18"/>
      <c r="V707" s="18"/>
      <c r="W707" s="18"/>
      <c r="X707" s="18"/>
      <c r="Y707" s="18"/>
      <c r="Z707" s="18"/>
      <c r="AA707" s="18"/>
    </row>
    <row r="708">
      <c r="A708" s="317"/>
      <c r="B708" s="172"/>
      <c r="C708" s="160"/>
      <c r="D708" s="160"/>
      <c r="E708" s="160"/>
      <c r="F708" s="160"/>
      <c r="G708" s="160"/>
      <c r="H708" s="160"/>
      <c r="I708" s="172"/>
      <c r="J708" s="160"/>
      <c r="K708" s="172"/>
      <c r="L708" s="172"/>
      <c r="M708" s="172"/>
      <c r="N708" s="160"/>
      <c r="O708" s="160"/>
      <c r="P708" s="160"/>
      <c r="Q708" s="160"/>
      <c r="R708" s="160"/>
      <c r="S708" s="160"/>
      <c r="T708" s="18"/>
      <c r="U708" s="18"/>
      <c r="V708" s="18"/>
      <c r="W708" s="18"/>
      <c r="X708" s="18"/>
      <c r="Y708" s="18"/>
      <c r="Z708" s="18"/>
      <c r="AA708" s="18"/>
    </row>
    <row r="709">
      <c r="A709" s="317"/>
      <c r="B709" s="172"/>
      <c r="C709" s="160"/>
      <c r="D709" s="160"/>
      <c r="E709" s="160"/>
      <c r="F709" s="160"/>
      <c r="G709" s="160"/>
      <c r="H709" s="160"/>
      <c r="I709" s="172"/>
      <c r="J709" s="160"/>
      <c r="K709" s="172"/>
      <c r="L709" s="172"/>
      <c r="M709" s="172"/>
      <c r="N709" s="160"/>
      <c r="O709" s="160"/>
      <c r="P709" s="160"/>
      <c r="Q709" s="160"/>
      <c r="R709" s="160"/>
      <c r="S709" s="160"/>
      <c r="T709" s="18"/>
      <c r="U709" s="18"/>
      <c r="V709" s="18"/>
      <c r="W709" s="18"/>
      <c r="X709" s="18"/>
      <c r="Y709" s="18"/>
      <c r="Z709" s="18"/>
      <c r="AA709" s="18"/>
    </row>
    <row r="710">
      <c r="A710" s="317"/>
      <c r="B710" s="172"/>
      <c r="C710" s="160"/>
      <c r="D710" s="160"/>
      <c r="E710" s="160"/>
      <c r="F710" s="160"/>
      <c r="G710" s="160"/>
      <c r="H710" s="160"/>
      <c r="I710" s="172"/>
      <c r="J710" s="160"/>
      <c r="K710" s="172"/>
      <c r="L710" s="172"/>
      <c r="M710" s="172"/>
      <c r="N710" s="160"/>
      <c r="O710" s="160"/>
      <c r="P710" s="160"/>
      <c r="Q710" s="160"/>
      <c r="R710" s="160"/>
      <c r="S710" s="160"/>
      <c r="T710" s="18"/>
      <c r="U710" s="18"/>
      <c r="V710" s="18"/>
      <c r="W710" s="18"/>
      <c r="X710" s="18"/>
      <c r="Y710" s="18"/>
      <c r="Z710" s="18"/>
      <c r="AA710" s="18"/>
    </row>
    <row r="711">
      <c r="A711" s="317"/>
      <c r="B711" s="172"/>
      <c r="C711" s="160"/>
      <c r="D711" s="160"/>
      <c r="E711" s="160"/>
      <c r="F711" s="160"/>
      <c r="G711" s="160"/>
      <c r="H711" s="160"/>
      <c r="I711" s="172"/>
      <c r="J711" s="160"/>
      <c r="K711" s="172"/>
      <c r="L711" s="172"/>
      <c r="M711" s="172"/>
      <c r="N711" s="160"/>
      <c r="O711" s="160"/>
      <c r="P711" s="160"/>
      <c r="Q711" s="160"/>
      <c r="R711" s="160"/>
      <c r="S711" s="160"/>
      <c r="T711" s="18"/>
      <c r="U711" s="18"/>
      <c r="V711" s="18"/>
      <c r="W711" s="18"/>
      <c r="X711" s="18"/>
      <c r="Y711" s="18"/>
      <c r="Z711" s="18"/>
      <c r="AA711" s="18"/>
    </row>
    <row r="712">
      <c r="A712" s="317"/>
      <c r="B712" s="172"/>
      <c r="C712" s="160"/>
      <c r="D712" s="160"/>
      <c r="E712" s="160"/>
      <c r="F712" s="160"/>
      <c r="G712" s="160"/>
      <c r="H712" s="160"/>
      <c r="I712" s="172"/>
      <c r="J712" s="160"/>
      <c r="K712" s="172"/>
      <c r="L712" s="172"/>
      <c r="M712" s="172"/>
      <c r="N712" s="160"/>
      <c r="O712" s="160"/>
      <c r="P712" s="160"/>
      <c r="Q712" s="160"/>
      <c r="R712" s="160"/>
      <c r="S712" s="160"/>
      <c r="T712" s="18"/>
      <c r="U712" s="18"/>
      <c r="V712" s="18"/>
      <c r="W712" s="18"/>
      <c r="X712" s="18"/>
      <c r="Y712" s="18"/>
      <c r="Z712" s="18"/>
      <c r="AA712" s="18"/>
    </row>
    <row r="713">
      <c r="A713" s="317"/>
      <c r="B713" s="172"/>
      <c r="C713" s="160"/>
      <c r="D713" s="160"/>
      <c r="E713" s="160"/>
      <c r="F713" s="160"/>
      <c r="G713" s="160"/>
      <c r="H713" s="160"/>
      <c r="I713" s="172"/>
      <c r="J713" s="160"/>
      <c r="K713" s="172"/>
      <c r="L713" s="172"/>
      <c r="M713" s="172"/>
      <c r="N713" s="160"/>
      <c r="O713" s="160"/>
      <c r="P713" s="160"/>
      <c r="Q713" s="160"/>
      <c r="R713" s="160"/>
      <c r="S713" s="160"/>
      <c r="T713" s="18"/>
      <c r="U713" s="18"/>
      <c r="V713" s="18"/>
      <c r="W713" s="18"/>
      <c r="X713" s="18"/>
      <c r="Y713" s="18"/>
      <c r="Z713" s="18"/>
      <c r="AA713" s="18"/>
    </row>
    <row r="714">
      <c r="A714" s="317"/>
      <c r="B714" s="172"/>
      <c r="C714" s="160"/>
      <c r="D714" s="160"/>
      <c r="E714" s="160"/>
      <c r="F714" s="160"/>
      <c r="G714" s="160"/>
      <c r="H714" s="160"/>
      <c r="I714" s="172"/>
      <c r="J714" s="160"/>
      <c r="K714" s="172"/>
      <c r="L714" s="172"/>
      <c r="M714" s="172"/>
      <c r="N714" s="160"/>
      <c r="O714" s="160"/>
      <c r="P714" s="160"/>
      <c r="Q714" s="160"/>
      <c r="R714" s="160"/>
      <c r="S714" s="160"/>
      <c r="T714" s="18"/>
      <c r="U714" s="18"/>
      <c r="V714" s="18"/>
      <c r="W714" s="18"/>
      <c r="X714" s="18"/>
      <c r="Y714" s="18"/>
      <c r="Z714" s="18"/>
      <c r="AA714" s="18"/>
    </row>
    <row r="715">
      <c r="A715" s="317"/>
      <c r="B715" s="172"/>
      <c r="C715" s="160"/>
      <c r="D715" s="160"/>
      <c r="E715" s="160"/>
      <c r="F715" s="160"/>
      <c r="G715" s="160"/>
      <c r="H715" s="160"/>
      <c r="I715" s="172"/>
      <c r="J715" s="160"/>
      <c r="K715" s="172"/>
      <c r="L715" s="172"/>
      <c r="M715" s="172"/>
      <c r="N715" s="160"/>
      <c r="O715" s="160"/>
      <c r="P715" s="160"/>
      <c r="Q715" s="160"/>
      <c r="R715" s="160"/>
      <c r="S715" s="160"/>
      <c r="T715" s="18"/>
      <c r="U715" s="18"/>
      <c r="V715" s="18"/>
      <c r="W715" s="18"/>
      <c r="X715" s="18"/>
      <c r="Y715" s="18"/>
      <c r="Z715" s="18"/>
      <c r="AA715" s="18"/>
    </row>
    <row r="716">
      <c r="A716" s="317"/>
      <c r="B716" s="172"/>
      <c r="C716" s="160"/>
      <c r="D716" s="160"/>
      <c r="E716" s="160"/>
      <c r="F716" s="160"/>
      <c r="G716" s="160"/>
      <c r="H716" s="160"/>
      <c r="I716" s="172"/>
      <c r="J716" s="160"/>
      <c r="K716" s="172"/>
      <c r="L716" s="172"/>
      <c r="M716" s="172"/>
      <c r="N716" s="160"/>
      <c r="O716" s="160"/>
      <c r="P716" s="160"/>
      <c r="Q716" s="160"/>
      <c r="R716" s="160"/>
      <c r="S716" s="160"/>
      <c r="T716" s="18"/>
      <c r="U716" s="18"/>
      <c r="V716" s="18"/>
      <c r="W716" s="18"/>
      <c r="X716" s="18"/>
      <c r="Y716" s="18"/>
      <c r="Z716" s="18"/>
      <c r="AA716" s="18"/>
    </row>
    <row r="717">
      <c r="A717" s="317"/>
      <c r="B717" s="172"/>
      <c r="C717" s="160"/>
      <c r="D717" s="160"/>
      <c r="E717" s="160"/>
      <c r="F717" s="160"/>
      <c r="G717" s="160"/>
      <c r="H717" s="160"/>
      <c r="I717" s="172"/>
      <c r="J717" s="160"/>
      <c r="K717" s="172"/>
      <c r="L717" s="172"/>
      <c r="M717" s="172"/>
      <c r="N717" s="160"/>
      <c r="O717" s="160"/>
      <c r="P717" s="160"/>
      <c r="Q717" s="160"/>
      <c r="R717" s="160"/>
      <c r="S717" s="160"/>
      <c r="T717" s="18"/>
      <c r="U717" s="18"/>
      <c r="V717" s="18"/>
      <c r="W717" s="18"/>
      <c r="X717" s="18"/>
      <c r="Y717" s="18"/>
      <c r="Z717" s="18"/>
      <c r="AA717" s="18"/>
    </row>
    <row r="718">
      <c r="A718" s="317"/>
      <c r="B718" s="172"/>
      <c r="C718" s="160"/>
      <c r="D718" s="160"/>
      <c r="E718" s="160"/>
      <c r="F718" s="160"/>
      <c r="G718" s="160"/>
      <c r="H718" s="160"/>
      <c r="I718" s="172"/>
      <c r="J718" s="160"/>
      <c r="K718" s="172"/>
      <c r="L718" s="172"/>
      <c r="M718" s="172"/>
      <c r="N718" s="160"/>
      <c r="O718" s="160"/>
      <c r="P718" s="160"/>
      <c r="Q718" s="160"/>
      <c r="R718" s="160"/>
      <c r="S718" s="160"/>
      <c r="T718" s="18"/>
      <c r="U718" s="18"/>
      <c r="V718" s="18"/>
      <c r="W718" s="18"/>
      <c r="X718" s="18"/>
      <c r="Y718" s="18"/>
      <c r="Z718" s="18"/>
      <c r="AA718" s="18"/>
    </row>
    <row r="719">
      <c r="A719" s="317"/>
      <c r="B719" s="172"/>
      <c r="C719" s="160"/>
      <c r="D719" s="160"/>
      <c r="E719" s="160"/>
      <c r="F719" s="160"/>
      <c r="G719" s="160"/>
      <c r="H719" s="160"/>
      <c r="I719" s="172"/>
      <c r="J719" s="160"/>
      <c r="K719" s="172"/>
      <c r="L719" s="172"/>
      <c r="M719" s="172"/>
      <c r="N719" s="160"/>
      <c r="O719" s="160"/>
      <c r="P719" s="160"/>
      <c r="Q719" s="160"/>
      <c r="R719" s="160"/>
      <c r="S719" s="160"/>
      <c r="T719" s="18"/>
      <c r="U719" s="18"/>
      <c r="V719" s="18"/>
      <c r="W719" s="18"/>
      <c r="X719" s="18"/>
      <c r="Y719" s="18"/>
      <c r="Z719" s="18"/>
      <c r="AA719" s="18"/>
    </row>
    <row r="720">
      <c r="A720" s="317"/>
      <c r="B720" s="172"/>
      <c r="C720" s="160"/>
      <c r="D720" s="160"/>
      <c r="E720" s="160"/>
      <c r="F720" s="160"/>
      <c r="G720" s="160"/>
      <c r="H720" s="160"/>
      <c r="I720" s="172"/>
      <c r="J720" s="160"/>
      <c r="K720" s="172"/>
      <c r="L720" s="172"/>
      <c r="M720" s="172"/>
      <c r="N720" s="160"/>
      <c r="O720" s="160"/>
      <c r="P720" s="160"/>
      <c r="Q720" s="160"/>
      <c r="R720" s="160"/>
      <c r="S720" s="160"/>
      <c r="T720" s="18"/>
      <c r="U720" s="18"/>
      <c r="V720" s="18"/>
      <c r="W720" s="18"/>
      <c r="X720" s="18"/>
      <c r="Y720" s="18"/>
      <c r="Z720" s="18"/>
      <c r="AA720" s="18"/>
    </row>
    <row r="721">
      <c r="A721" s="317"/>
      <c r="B721" s="172"/>
      <c r="C721" s="160"/>
      <c r="D721" s="160"/>
      <c r="E721" s="160"/>
      <c r="F721" s="160"/>
      <c r="G721" s="160"/>
      <c r="H721" s="160"/>
      <c r="I721" s="172"/>
      <c r="J721" s="160"/>
      <c r="K721" s="172"/>
      <c r="L721" s="172"/>
      <c r="M721" s="172"/>
      <c r="N721" s="160"/>
      <c r="O721" s="160"/>
      <c r="P721" s="160"/>
      <c r="Q721" s="160"/>
      <c r="R721" s="160"/>
      <c r="S721" s="160"/>
      <c r="T721" s="18"/>
      <c r="U721" s="18"/>
      <c r="V721" s="18"/>
      <c r="W721" s="18"/>
      <c r="X721" s="18"/>
      <c r="Y721" s="18"/>
      <c r="Z721" s="18"/>
      <c r="AA721" s="18"/>
    </row>
    <row r="722">
      <c r="A722" s="317"/>
      <c r="B722" s="172"/>
      <c r="C722" s="160"/>
      <c r="D722" s="160"/>
      <c r="E722" s="160"/>
      <c r="F722" s="160"/>
      <c r="G722" s="160"/>
      <c r="H722" s="160"/>
      <c r="I722" s="172"/>
      <c r="J722" s="160"/>
      <c r="K722" s="172"/>
      <c r="L722" s="172"/>
      <c r="M722" s="172"/>
      <c r="N722" s="160"/>
      <c r="O722" s="160"/>
      <c r="P722" s="160"/>
      <c r="Q722" s="160"/>
      <c r="R722" s="160"/>
      <c r="S722" s="160"/>
      <c r="T722" s="18"/>
      <c r="U722" s="18"/>
      <c r="V722" s="18"/>
      <c r="W722" s="18"/>
      <c r="X722" s="18"/>
      <c r="Y722" s="18"/>
      <c r="Z722" s="18"/>
      <c r="AA722" s="18"/>
    </row>
    <row r="723">
      <c r="A723" s="317"/>
      <c r="B723" s="172"/>
      <c r="C723" s="160"/>
      <c r="D723" s="160"/>
      <c r="E723" s="160"/>
      <c r="F723" s="160"/>
      <c r="G723" s="160"/>
      <c r="H723" s="160"/>
      <c r="I723" s="172"/>
      <c r="J723" s="160"/>
      <c r="K723" s="172"/>
      <c r="L723" s="172"/>
      <c r="M723" s="172"/>
      <c r="N723" s="160"/>
      <c r="O723" s="160"/>
      <c r="P723" s="160"/>
      <c r="Q723" s="160"/>
      <c r="R723" s="160"/>
      <c r="S723" s="160"/>
      <c r="T723" s="18"/>
      <c r="U723" s="18"/>
      <c r="V723" s="18"/>
      <c r="W723" s="18"/>
      <c r="X723" s="18"/>
      <c r="Y723" s="18"/>
      <c r="Z723" s="18"/>
      <c r="AA723" s="18"/>
    </row>
    <row r="724">
      <c r="A724" s="317"/>
      <c r="B724" s="172"/>
      <c r="C724" s="160"/>
      <c r="D724" s="160"/>
      <c r="E724" s="160"/>
      <c r="F724" s="160"/>
      <c r="G724" s="160"/>
      <c r="H724" s="160"/>
      <c r="I724" s="172"/>
      <c r="J724" s="160"/>
      <c r="K724" s="172"/>
      <c r="L724" s="172"/>
      <c r="M724" s="172"/>
      <c r="N724" s="160"/>
      <c r="O724" s="160"/>
      <c r="P724" s="160"/>
      <c r="Q724" s="160"/>
      <c r="R724" s="160"/>
      <c r="S724" s="160"/>
      <c r="T724" s="18"/>
      <c r="U724" s="18"/>
      <c r="V724" s="18"/>
      <c r="W724" s="18"/>
      <c r="X724" s="18"/>
      <c r="Y724" s="18"/>
      <c r="Z724" s="18"/>
      <c r="AA724" s="18"/>
    </row>
    <row r="725">
      <c r="A725" s="317"/>
      <c r="B725" s="172"/>
      <c r="C725" s="160"/>
      <c r="D725" s="160"/>
      <c r="E725" s="160"/>
      <c r="F725" s="160"/>
      <c r="G725" s="160"/>
      <c r="H725" s="160"/>
      <c r="I725" s="172"/>
      <c r="J725" s="160"/>
      <c r="K725" s="172"/>
      <c r="L725" s="172"/>
      <c r="M725" s="172"/>
      <c r="N725" s="160"/>
      <c r="O725" s="160"/>
      <c r="P725" s="160"/>
      <c r="Q725" s="160"/>
      <c r="R725" s="160"/>
      <c r="S725" s="160"/>
      <c r="T725" s="18"/>
      <c r="U725" s="18"/>
      <c r="V725" s="18"/>
      <c r="W725" s="18"/>
      <c r="X725" s="18"/>
      <c r="Y725" s="18"/>
      <c r="Z725" s="18"/>
      <c r="AA725" s="18"/>
    </row>
    <row r="726">
      <c r="A726" s="317"/>
      <c r="B726" s="172"/>
      <c r="C726" s="160"/>
      <c r="D726" s="160"/>
      <c r="E726" s="160"/>
      <c r="F726" s="160"/>
      <c r="G726" s="160"/>
      <c r="H726" s="160"/>
      <c r="I726" s="172"/>
      <c r="J726" s="160"/>
      <c r="K726" s="172"/>
      <c r="L726" s="172"/>
      <c r="M726" s="172"/>
      <c r="N726" s="160"/>
      <c r="O726" s="160"/>
      <c r="P726" s="160"/>
      <c r="Q726" s="160"/>
      <c r="R726" s="160"/>
      <c r="S726" s="160"/>
      <c r="T726" s="18"/>
      <c r="U726" s="18"/>
      <c r="V726" s="18"/>
      <c r="W726" s="18"/>
      <c r="X726" s="18"/>
      <c r="Y726" s="18"/>
      <c r="Z726" s="18"/>
      <c r="AA726" s="18"/>
    </row>
    <row r="727">
      <c r="A727" s="317"/>
      <c r="B727" s="172"/>
      <c r="C727" s="160"/>
      <c r="D727" s="160"/>
      <c r="E727" s="160"/>
      <c r="F727" s="160"/>
      <c r="G727" s="160"/>
      <c r="H727" s="160"/>
      <c r="I727" s="172"/>
      <c r="J727" s="160"/>
      <c r="K727" s="172"/>
      <c r="L727" s="172"/>
      <c r="M727" s="172"/>
      <c r="N727" s="160"/>
      <c r="O727" s="160"/>
      <c r="P727" s="160"/>
      <c r="Q727" s="160"/>
      <c r="R727" s="160"/>
      <c r="S727" s="160"/>
      <c r="T727" s="18"/>
      <c r="U727" s="18"/>
      <c r="V727" s="18"/>
      <c r="W727" s="18"/>
      <c r="X727" s="18"/>
      <c r="Y727" s="18"/>
      <c r="Z727" s="18"/>
      <c r="AA727" s="18"/>
    </row>
    <row r="728">
      <c r="A728" s="317"/>
      <c r="B728" s="172"/>
      <c r="C728" s="160"/>
      <c r="D728" s="160"/>
      <c r="E728" s="160"/>
      <c r="F728" s="160"/>
      <c r="G728" s="160"/>
      <c r="H728" s="160"/>
      <c r="I728" s="172"/>
      <c r="J728" s="160"/>
      <c r="K728" s="172"/>
      <c r="L728" s="172"/>
      <c r="M728" s="172"/>
      <c r="N728" s="160"/>
      <c r="O728" s="160"/>
      <c r="P728" s="160"/>
      <c r="Q728" s="160"/>
      <c r="R728" s="160"/>
      <c r="S728" s="160"/>
      <c r="T728" s="18"/>
      <c r="U728" s="18"/>
      <c r="V728" s="18"/>
      <c r="W728" s="18"/>
      <c r="X728" s="18"/>
      <c r="Y728" s="18"/>
      <c r="Z728" s="18"/>
      <c r="AA728" s="18"/>
    </row>
    <row r="729">
      <c r="A729" s="317"/>
      <c r="B729" s="172"/>
      <c r="C729" s="160"/>
      <c r="D729" s="160"/>
      <c r="E729" s="160"/>
      <c r="F729" s="160"/>
      <c r="G729" s="160"/>
      <c r="H729" s="160"/>
      <c r="I729" s="172"/>
      <c r="J729" s="160"/>
      <c r="K729" s="172"/>
      <c r="L729" s="172"/>
      <c r="M729" s="172"/>
      <c r="N729" s="160"/>
      <c r="O729" s="160"/>
      <c r="P729" s="160"/>
      <c r="Q729" s="160"/>
      <c r="R729" s="160"/>
      <c r="S729" s="160"/>
      <c r="T729" s="18"/>
      <c r="U729" s="18"/>
      <c r="V729" s="18"/>
      <c r="W729" s="18"/>
      <c r="X729" s="18"/>
      <c r="Y729" s="18"/>
      <c r="Z729" s="18"/>
      <c r="AA729" s="18"/>
    </row>
    <row r="730">
      <c r="A730" s="317"/>
      <c r="B730" s="172"/>
      <c r="C730" s="160"/>
      <c r="D730" s="160"/>
      <c r="E730" s="160"/>
      <c r="F730" s="160"/>
      <c r="G730" s="160"/>
      <c r="H730" s="160"/>
      <c r="I730" s="172"/>
      <c r="J730" s="160"/>
      <c r="K730" s="172"/>
      <c r="L730" s="172"/>
      <c r="M730" s="172"/>
      <c r="N730" s="160"/>
      <c r="O730" s="160"/>
      <c r="P730" s="160"/>
      <c r="Q730" s="160"/>
      <c r="R730" s="160"/>
      <c r="S730" s="160"/>
      <c r="T730" s="18"/>
      <c r="U730" s="18"/>
      <c r="V730" s="18"/>
      <c r="W730" s="18"/>
      <c r="X730" s="18"/>
      <c r="Y730" s="18"/>
      <c r="Z730" s="18"/>
      <c r="AA730" s="18"/>
    </row>
    <row r="731">
      <c r="A731" s="317"/>
      <c r="B731" s="172"/>
      <c r="C731" s="160"/>
      <c r="D731" s="160"/>
      <c r="E731" s="160"/>
      <c r="F731" s="160"/>
      <c r="G731" s="160"/>
      <c r="H731" s="160"/>
      <c r="I731" s="172"/>
      <c r="J731" s="160"/>
      <c r="K731" s="172"/>
      <c r="L731" s="172"/>
      <c r="M731" s="172"/>
      <c r="N731" s="160"/>
      <c r="O731" s="160"/>
      <c r="P731" s="160"/>
      <c r="Q731" s="160"/>
      <c r="R731" s="160"/>
      <c r="S731" s="160"/>
      <c r="T731" s="18"/>
      <c r="U731" s="18"/>
      <c r="V731" s="18"/>
      <c r="W731" s="18"/>
      <c r="X731" s="18"/>
      <c r="Y731" s="18"/>
      <c r="Z731" s="18"/>
      <c r="AA731" s="18"/>
    </row>
    <row r="732">
      <c r="A732" s="317"/>
      <c r="B732" s="172"/>
      <c r="C732" s="160"/>
      <c r="D732" s="160"/>
      <c r="E732" s="160"/>
      <c r="F732" s="160"/>
      <c r="G732" s="160"/>
      <c r="H732" s="160"/>
      <c r="I732" s="172"/>
      <c r="J732" s="160"/>
      <c r="K732" s="172"/>
      <c r="L732" s="172"/>
      <c r="M732" s="172"/>
      <c r="N732" s="160"/>
      <c r="O732" s="160"/>
      <c r="P732" s="160"/>
      <c r="Q732" s="160"/>
      <c r="R732" s="160"/>
      <c r="S732" s="160"/>
      <c r="T732" s="18"/>
      <c r="U732" s="18"/>
      <c r="V732" s="18"/>
      <c r="W732" s="18"/>
      <c r="X732" s="18"/>
      <c r="Y732" s="18"/>
      <c r="Z732" s="18"/>
      <c r="AA732" s="18"/>
    </row>
    <row r="733">
      <c r="A733" s="317"/>
      <c r="B733" s="172"/>
      <c r="C733" s="160"/>
      <c r="D733" s="160"/>
      <c r="E733" s="160"/>
      <c r="F733" s="160"/>
      <c r="G733" s="160"/>
      <c r="H733" s="160"/>
      <c r="I733" s="172"/>
      <c r="J733" s="160"/>
      <c r="K733" s="172"/>
      <c r="L733" s="172"/>
      <c r="M733" s="172"/>
      <c r="N733" s="160"/>
      <c r="O733" s="160"/>
      <c r="P733" s="160"/>
      <c r="Q733" s="160"/>
      <c r="R733" s="160"/>
      <c r="S733" s="160"/>
      <c r="T733" s="18"/>
      <c r="U733" s="18"/>
      <c r="V733" s="18"/>
      <c r="W733" s="18"/>
      <c r="X733" s="18"/>
      <c r="Y733" s="18"/>
      <c r="Z733" s="18"/>
      <c r="AA733" s="18"/>
    </row>
    <row r="734">
      <c r="A734" s="317"/>
      <c r="B734" s="172"/>
      <c r="C734" s="160"/>
      <c r="D734" s="160"/>
      <c r="E734" s="160"/>
      <c r="F734" s="160"/>
      <c r="G734" s="160"/>
      <c r="H734" s="160"/>
      <c r="I734" s="172"/>
      <c r="J734" s="160"/>
      <c r="K734" s="172"/>
      <c r="L734" s="172"/>
      <c r="M734" s="172"/>
      <c r="N734" s="160"/>
      <c r="O734" s="160"/>
      <c r="P734" s="160"/>
      <c r="Q734" s="160"/>
      <c r="R734" s="160"/>
      <c r="S734" s="160"/>
      <c r="T734" s="18"/>
      <c r="U734" s="18"/>
      <c r="V734" s="18"/>
      <c r="W734" s="18"/>
      <c r="X734" s="18"/>
      <c r="Y734" s="18"/>
      <c r="Z734" s="18"/>
      <c r="AA734" s="18"/>
    </row>
    <row r="735">
      <c r="A735" s="317"/>
      <c r="B735" s="172"/>
      <c r="C735" s="160"/>
      <c r="D735" s="160"/>
      <c r="E735" s="160"/>
      <c r="F735" s="160"/>
      <c r="G735" s="160"/>
      <c r="H735" s="160"/>
      <c r="I735" s="172"/>
      <c r="J735" s="160"/>
      <c r="K735" s="172"/>
      <c r="L735" s="172"/>
      <c r="M735" s="172"/>
      <c r="N735" s="160"/>
      <c r="O735" s="160"/>
      <c r="P735" s="160"/>
      <c r="Q735" s="160"/>
      <c r="R735" s="160"/>
      <c r="S735" s="160"/>
      <c r="T735" s="18"/>
      <c r="U735" s="18"/>
      <c r="V735" s="18"/>
      <c r="W735" s="18"/>
      <c r="X735" s="18"/>
      <c r="Y735" s="18"/>
      <c r="Z735" s="18"/>
      <c r="AA735" s="18"/>
    </row>
    <row r="736">
      <c r="A736" s="317"/>
      <c r="B736" s="172"/>
      <c r="C736" s="160"/>
      <c r="D736" s="160"/>
      <c r="E736" s="160"/>
      <c r="F736" s="160"/>
      <c r="G736" s="160"/>
      <c r="H736" s="160"/>
      <c r="I736" s="172"/>
      <c r="J736" s="160"/>
      <c r="K736" s="172"/>
      <c r="L736" s="172"/>
      <c r="M736" s="172"/>
      <c r="N736" s="160"/>
      <c r="O736" s="160"/>
      <c r="P736" s="160"/>
      <c r="Q736" s="160"/>
      <c r="R736" s="160"/>
      <c r="S736" s="160"/>
      <c r="T736" s="18"/>
      <c r="U736" s="18"/>
      <c r="V736" s="18"/>
      <c r="W736" s="18"/>
      <c r="X736" s="18"/>
      <c r="Y736" s="18"/>
      <c r="Z736" s="18"/>
      <c r="AA736" s="18"/>
    </row>
    <row r="737">
      <c r="A737" s="317"/>
      <c r="B737" s="172"/>
      <c r="C737" s="160"/>
      <c r="D737" s="160"/>
      <c r="E737" s="160"/>
      <c r="F737" s="160"/>
      <c r="G737" s="160"/>
      <c r="H737" s="160"/>
      <c r="I737" s="172"/>
      <c r="J737" s="160"/>
      <c r="K737" s="172"/>
      <c r="L737" s="172"/>
      <c r="M737" s="172"/>
      <c r="N737" s="160"/>
      <c r="O737" s="160"/>
      <c r="P737" s="160"/>
      <c r="Q737" s="160"/>
      <c r="R737" s="160"/>
      <c r="S737" s="160"/>
      <c r="T737" s="18"/>
      <c r="U737" s="18"/>
      <c r="V737" s="18"/>
      <c r="W737" s="18"/>
      <c r="X737" s="18"/>
      <c r="Y737" s="18"/>
      <c r="Z737" s="18"/>
      <c r="AA737" s="18"/>
    </row>
    <row r="738">
      <c r="A738" s="317"/>
      <c r="B738" s="172"/>
      <c r="C738" s="160"/>
      <c r="D738" s="160"/>
      <c r="E738" s="160"/>
      <c r="F738" s="160"/>
      <c r="G738" s="160"/>
      <c r="H738" s="160"/>
      <c r="I738" s="172"/>
      <c r="J738" s="160"/>
      <c r="K738" s="172"/>
      <c r="L738" s="172"/>
      <c r="M738" s="172"/>
      <c r="N738" s="160"/>
      <c r="O738" s="160"/>
      <c r="P738" s="160"/>
      <c r="Q738" s="160"/>
      <c r="R738" s="160"/>
      <c r="S738" s="160"/>
      <c r="T738" s="18"/>
      <c r="U738" s="18"/>
      <c r="V738" s="18"/>
      <c r="W738" s="18"/>
      <c r="X738" s="18"/>
      <c r="Y738" s="18"/>
      <c r="Z738" s="18"/>
      <c r="AA738" s="18"/>
    </row>
    <row r="739">
      <c r="A739" s="317"/>
      <c r="B739" s="172"/>
      <c r="C739" s="160"/>
      <c r="D739" s="160"/>
      <c r="E739" s="160"/>
      <c r="F739" s="160"/>
      <c r="G739" s="160"/>
      <c r="H739" s="160"/>
      <c r="I739" s="172"/>
      <c r="J739" s="160"/>
      <c r="K739" s="172"/>
      <c r="L739" s="172"/>
      <c r="M739" s="172"/>
      <c r="N739" s="160"/>
      <c r="O739" s="160"/>
      <c r="P739" s="160"/>
      <c r="Q739" s="160"/>
      <c r="R739" s="160"/>
      <c r="S739" s="160"/>
      <c r="T739" s="18"/>
      <c r="U739" s="18"/>
      <c r="V739" s="18"/>
      <c r="W739" s="18"/>
      <c r="X739" s="18"/>
      <c r="Y739" s="18"/>
      <c r="Z739" s="18"/>
      <c r="AA739" s="18"/>
    </row>
    <row r="740">
      <c r="A740" s="317"/>
      <c r="B740" s="172"/>
      <c r="C740" s="160"/>
      <c r="D740" s="160"/>
      <c r="E740" s="160"/>
      <c r="F740" s="160"/>
      <c r="G740" s="160"/>
      <c r="H740" s="160"/>
      <c r="I740" s="172"/>
      <c r="J740" s="160"/>
      <c r="K740" s="172"/>
      <c r="L740" s="172"/>
      <c r="M740" s="172"/>
      <c r="N740" s="160"/>
      <c r="O740" s="160"/>
      <c r="P740" s="160"/>
      <c r="Q740" s="160"/>
      <c r="R740" s="160"/>
      <c r="S740" s="160"/>
      <c r="T740" s="18"/>
      <c r="U740" s="18"/>
      <c r="V740" s="18"/>
      <c r="W740" s="18"/>
      <c r="X740" s="18"/>
      <c r="Y740" s="18"/>
      <c r="Z740" s="18"/>
      <c r="AA740" s="18"/>
    </row>
    <row r="741">
      <c r="A741" s="317"/>
      <c r="B741" s="172"/>
      <c r="C741" s="160"/>
      <c r="D741" s="160"/>
      <c r="E741" s="160"/>
      <c r="F741" s="160"/>
      <c r="G741" s="160"/>
      <c r="H741" s="160"/>
      <c r="I741" s="172"/>
      <c r="J741" s="160"/>
      <c r="K741" s="172"/>
      <c r="L741" s="172"/>
      <c r="M741" s="172"/>
      <c r="N741" s="160"/>
      <c r="O741" s="160"/>
      <c r="P741" s="160"/>
      <c r="Q741" s="160"/>
      <c r="R741" s="160"/>
      <c r="S741" s="160"/>
      <c r="T741" s="18"/>
      <c r="U741" s="18"/>
      <c r="V741" s="18"/>
      <c r="W741" s="18"/>
      <c r="X741" s="18"/>
      <c r="Y741" s="18"/>
      <c r="Z741" s="18"/>
      <c r="AA741" s="18"/>
    </row>
    <row r="742">
      <c r="A742" s="317"/>
      <c r="B742" s="172"/>
      <c r="C742" s="160"/>
      <c r="D742" s="160"/>
      <c r="E742" s="160"/>
      <c r="F742" s="160"/>
      <c r="G742" s="160"/>
      <c r="H742" s="160"/>
      <c r="I742" s="172"/>
      <c r="J742" s="160"/>
      <c r="K742" s="172"/>
      <c r="L742" s="172"/>
      <c r="M742" s="172"/>
      <c r="N742" s="160"/>
      <c r="O742" s="160"/>
      <c r="P742" s="160"/>
      <c r="Q742" s="160"/>
      <c r="R742" s="160"/>
      <c r="S742" s="160"/>
      <c r="T742" s="18"/>
      <c r="U742" s="18"/>
      <c r="V742" s="18"/>
      <c r="W742" s="18"/>
      <c r="X742" s="18"/>
      <c r="Y742" s="18"/>
      <c r="Z742" s="18"/>
      <c r="AA742" s="18"/>
    </row>
    <row r="743">
      <c r="A743" s="317"/>
      <c r="B743" s="172"/>
      <c r="C743" s="160"/>
      <c r="D743" s="160"/>
      <c r="E743" s="160"/>
      <c r="F743" s="160"/>
      <c r="G743" s="160"/>
      <c r="H743" s="160"/>
      <c r="I743" s="172"/>
      <c r="J743" s="160"/>
      <c r="K743" s="172"/>
      <c r="L743" s="172"/>
      <c r="M743" s="172"/>
      <c r="N743" s="160"/>
      <c r="O743" s="160"/>
      <c r="P743" s="160"/>
      <c r="Q743" s="160"/>
      <c r="R743" s="160"/>
      <c r="S743" s="160"/>
      <c r="T743" s="18"/>
      <c r="U743" s="18"/>
      <c r="V743" s="18"/>
      <c r="W743" s="18"/>
      <c r="X743" s="18"/>
      <c r="Y743" s="18"/>
      <c r="Z743" s="18"/>
      <c r="AA743" s="18"/>
    </row>
    <row r="744">
      <c r="A744" s="317"/>
      <c r="B744" s="172"/>
      <c r="C744" s="160"/>
      <c r="D744" s="160"/>
      <c r="E744" s="160"/>
      <c r="F744" s="160"/>
      <c r="G744" s="160"/>
      <c r="H744" s="160"/>
      <c r="I744" s="172"/>
      <c r="J744" s="160"/>
      <c r="K744" s="172"/>
      <c r="L744" s="172"/>
      <c r="M744" s="172"/>
      <c r="N744" s="160"/>
      <c r="O744" s="160"/>
      <c r="P744" s="160"/>
      <c r="Q744" s="160"/>
      <c r="R744" s="160"/>
      <c r="S744" s="160"/>
      <c r="T744" s="18"/>
      <c r="U744" s="18"/>
      <c r="V744" s="18"/>
      <c r="W744" s="18"/>
      <c r="X744" s="18"/>
      <c r="Y744" s="18"/>
      <c r="Z744" s="18"/>
      <c r="AA744" s="18"/>
    </row>
    <row r="745">
      <c r="A745" s="317"/>
      <c r="B745" s="172"/>
      <c r="C745" s="160"/>
      <c r="D745" s="160"/>
      <c r="E745" s="160"/>
      <c r="F745" s="160"/>
      <c r="G745" s="160"/>
      <c r="H745" s="160"/>
      <c r="I745" s="172"/>
      <c r="J745" s="160"/>
      <c r="K745" s="172"/>
      <c r="L745" s="172"/>
      <c r="M745" s="172"/>
      <c r="N745" s="160"/>
      <c r="O745" s="160"/>
      <c r="P745" s="160"/>
      <c r="Q745" s="160"/>
      <c r="R745" s="160"/>
      <c r="S745" s="160"/>
      <c r="T745" s="18"/>
      <c r="U745" s="18"/>
      <c r="V745" s="18"/>
      <c r="W745" s="18"/>
      <c r="X745" s="18"/>
      <c r="Y745" s="18"/>
      <c r="Z745" s="18"/>
      <c r="AA745" s="18"/>
    </row>
    <row r="746">
      <c r="A746" s="317"/>
      <c r="B746" s="172"/>
      <c r="C746" s="160"/>
      <c r="D746" s="160"/>
      <c r="E746" s="160"/>
      <c r="F746" s="160"/>
      <c r="G746" s="160"/>
      <c r="H746" s="160"/>
      <c r="I746" s="172"/>
      <c r="J746" s="160"/>
      <c r="K746" s="172"/>
      <c r="L746" s="172"/>
      <c r="M746" s="172"/>
      <c r="N746" s="160"/>
      <c r="O746" s="160"/>
      <c r="P746" s="160"/>
      <c r="Q746" s="160"/>
      <c r="R746" s="160"/>
      <c r="S746" s="160"/>
      <c r="T746" s="18"/>
      <c r="U746" s="18"/>
      <c r="V746" s="18"/>
      <c r="W746" s="18"/>
      <c r="X746" s="18"/>
      <c r="Y746" s="18"/>
      <c r="Z746" s="18"/>
      <c r="AA746" s="18"/>
    </row>
    <row r="747">
      <c r="A747" s="317"/>
      <c r="B747" s="172"/>
      <c r="C747" s="160"/>
      <c r="D747" s="160"/>
      <c r="E747" s="160"/>
      <c r="F747" s="160"/>
      <c r="G747" s="160"/>
      <c r="H747" s="160"/>
      <c r="I747" s="172"/>
      <c r="J747" s="160"/>
      <c r="K747" s="172"/>
      <c r="L747" s="172"/>
      <c r="M747" s="172"/>
      <c r="N747" s="160"/>
      <c r="O747" s="160"/>
      <c r="P747" s="160"/>
      <c r="Q747" s="160"/>
      <c r="R747" s="160"/>
      <c r="S747" s="160"/>
      <c r="T747" s="18"/>
      <c r="U747" s="18"/>
      <c r="V747" s="18"/>
      <c r="W747" s="18"/>
      <c r="X747" s="18"/>
      <c r="Y747" s="18"/>
      <c r="Z747" s="18"/>
      <c r="AA747" s="18"/>
    </row>
    <row r="748">
      <c r="A748" s="317"/>
      <c r="B748" s="172"/>
      <c r="C748" s="160"/>
      <c r="D748" s="160"/>
      <c r="E748" s="160"/>
      <c r="F748" s="160"/>
      <c r="G748" s="160"/>
      <c r="H748" s="160"/>
      <c r="I748" s="172"/>
      <c r="J748" s="160"/>
      <c r="K748" s="172"/>
      <c r="L748" s="172"/>
      <c r="M748" s="172"/>
      <c r="N748" s="160"/>
      <c r="O748" s="160"/>
      <c r="P748" s="160"/>
      <c r="Q748" s="160"/>
      <c r="R748" s="160"/>
      <c r="S748" s="160"/>
      <c r="T748" s="18"/>
      <c r="U748" s="18"/>
      <c r="V748" s="18"/>
      <c r="W748" s="18"/>
      <c r="X748" s="18"/>
      <c r="Y748" s="18"/>
      <c r="Z748" s="18"/>
      <c r="AA748" s="18"/>
    </row>
    <row r="749">
      <c r="A749" s="317"/>
      <c r="B749" s="172"/>
      <c r="C749" s="160"/>
      <c r="D749" s="160"/>
      <c r="E749" s="160"/>
      <c r="F749" s="160"/>
      <c r="G749" s="160"/>
      <c r="H749" s="160"/>
      <c r="I749" s="172"/>
      <c r="J749" s="160"/>
      <c r="K749" s="172"/>
      <c r="L749" s="172"/>
      <c r="M749" s="172"/>
      <c r="N749" s="160"/>
      <c r="O749" s="160"/>
      <c r="P749" s="160"/>
      <c r="Q749" s="160"/>
      <c r="R749" s="160"/>
      <c r="S749" s="160"/>
      <c r="T749" s="18"/>
      <c r="U749" s="18"/>
      <c r="V749" s="18"/>
      <c r="W749" s="18"/>
      <c r="X749" s="18"/>
      <c r="Y749" s="18"/>
      <c r="Z749" s="18"/>
      <c r="AA749" s="18"/>
    </row>
    <row r="750">
      <c r="A750" s="317"/>
      <c r="B750" s="172"/>
      <c r="C750" s="160"/>
      <c r="D750" s="160"/>
      <c r="E750" s="160"/>
      <c r="F750" s="160"/>
      <c r="G750" s="160"/>
      <c r="H750" s="160"/>
      <c r="I750" s="172"/>
      <c r="J750" s="160"/>
      <c r="K750" s="172"/>
      <c r="L750" s="172"/>
      <c r="M750" s="172"/>
      <c r="N750" s="160"/>
      <c r="O750" s="160"/>
      <c r="P750" s="160"/>
      <c r="Q750" s="160"/>
      <c r="R750" s="160"/>
      <c r="S750" s="160"/>
      <c r="T750" s="18"/>
      <c r="U750" s="18"/>
      <c r="V750" s="18"/>
      <c r="W750" s="18"/>
      <c r="X750" s="18"/>
      <c r="Y750" s="18"/>
      <c r="Z750" s="18"/>
      <c r="AA750" s="18"/>
    </row>
    <row r="751">
      <c r="A751" s="317"/>
      <c r="B751" s="172"/>
      <c r="C751" s="160"/>
      <c r="D751" s="160"/>
      <c r="E751" s="160"/>
      <c r="F751" s="160"/>
      <c r="G751" s="160"/>
      <c r="H751" s="160"/>
      <c r="I751" s="172"/>
      <c r="J751" s="160"/>
      <c r="K751" s="172"/>
      <c r="L751" s="172"/>
      <c r="M751" s="172"/>
      <c r="N751" s="160"/>
      <c r="O751" s="160"/>
      <c r="P751" s="160"/>
      <c r="Q751" s="160"/>
      <c r="R751" s="160"/>
      <c r="S751" s="160"/>
      <c r="T751" s="18"/>
      <c r="U751" s="18"/>
      <c r="V751" s="18"/>
      <c r="W751" s="18"/>
      <c r="X751" s="18"/>
      <c r="Y751" s="18"/>
      <c r="Z751" s="18"/>
      <c r="AA751" s="18"/>
    </row>
    <row r="752">
      <c r="A752" s="317"/>
      <c r="B752" s="172"/>
      <c r="C752" s="160"/>
      <c r="D752" s="160"/>
      <c r="E752" s="160"/>
      <c r="F752" s="160"/>
      <c r="G752" s="160"/>
      <c r="H752" s="160"/>
      <c r="I752" s="172"/>
      <c r="J752" s="160"/>
      <c r="K752" s="172"/>
      <c r="L752" s="172"/>
      <c r="M752" s="172"/>
      <c r="N752" s="160"/>
      <c r="O752" s="160"/>
      <c r="P752" s="160"/>
      <c r="Q752" s="160"/>
      <c r="R752" s="160"/>
      <c r="S752" s="160"/>
      <c r="T752" s="18"/>
      <c r="U752" s="18"/>
      <c r="V752" s="18"/>
      <c r="W752" s="18"/>
      <c r="X752" s="18"/>
      <c r="Y752" s="18"/>
      <c r="Z752" s="18"/>
      <c r="AA752" s="18"/>
    </row>
    <row r="753">
      <c r="A753" s="317"/>
      <c r="B753" s="172"/>
      <c r="C753" s="160"/>
      <c r="D753" s="160"/>
      <c r="E753" s="160"/>
      <c r="F753" s="160"/>
      <c r="G753" s="160"/>
      <c r="H753" s="160"/>
      <c r="I753" s="172"/>
      <c r="J753" s="160"/>
      <c r="K753" s="172"/>
      <c r="L753" s="172"/>
      <c r="M753" s="172"/>
      <c r="N753" s="160"/>
      <c r="O753" s="160"/>
      <c r="P753" s="160"/>
      <c r="Q753" s="160"/>
      <c r="R753" s="160"/>
      <c r="S753" s="160"/>
      <c r="T753" s="18"/>
      <c r="U753" s="18"/>
      <c r="V753" s="18"/>
      <c r="W753" s="18"/>
      <c r="X753" s="18"/>
      <c r="Y753" s="18"/>
      <c r="Z753" s="18"/>
      <c r="AA753" s="18"/>
    </row>
    <row r="754">
      <c r="A754" s="317"/>
      <c r="B754" s="172"/>
      <c r="C754" s="160"/>
      <c r="D754" s="160"/>
      <c r="E754" s="160"/>
      <c r="F754" s="160"/>
      <c r="G754" s="160"/>
      <c r="H754" s="160"/>
      <c r="I754" s="172"/>
      <c r="J754" s="160"/>
      <c r="K754" s="172"/>
      <c r="L754" s="172"/>
      <c r="M754" s="172"/>
      <c r="N754" s="160"/>
      <c r="O754" s="160"/>
      <c r="P754" s="160"/>
      <c r="Q754" s="160"/>
      <c r="R754" s="160"/>
      <c r="S754" s="160"/>
      <c r="T754" s="18"/>
      <c r="U754" s="18"/>
      <c r="V754" s="18"/>
      <c r="W754" s="18"/>
      <c r="X754" s="18"/>
      <c r="Y754" s="18"/>
      <c r="Z754" s="18"/>
      <c r="AA754" s="18"/>
    </row>
    <row r="755">
      <c r="A755" s="317"/>
      <c r="B755" s="172"/>
      <c r="C755" s="160"/>
      <c r="D755" s="160"/>
      <c r="E755" s="160"/>
      <c r="F755" s="160"/>
      <c r="G755" s="160"/>
      <c r="H755" s="160"/>
      <c r="I755" s="172"/>
      <c r="J755" s="160"/>
      <c r="K755" s="172"/>
      <c r="L755" s="172"/>
      <c r="M755" s="172"/>
      <c r="N755" s="160"/>
      <c r="O755" s="160"/>
      <c r="P755" s="160"/>
      <c r="Q755" s="160"/>
      <c r="R755" s="160"/>
      <c r="S755" s="160"/>
      <c r="T755" s="18"/>
      <c r="U755" s="18"/>
      <c r="V755" s="18"/>
      <c r="W755" s="18"/>
      <c r="X755" s="18"/>
      <c r="Y755" s="18"/>
      <c r="Z755" s="18"/>
      <c r="AA755" s="18"/>
    </row>
    <row r="756">
      <c r="A756" s="317"/>
      <c r="B756" s="172"/>
      <c r="C756" s="160"/>
      <c r="D756" s="160"/>
      <c r="E756" s="160"/>
      <c r="F756" s="160"/>
      <c r="G756" s="160"/>
      <c r="H756" s="160"/>
      <c r="I756" s="172"/>
      <c r="J756" s="160"/>
      <c r="K756" s="172"/>
      <c r="L756" s="172"/>
      <c r="M756" s="172"/>
      <c r="N756" s="160"/>
      <c r="O756" s="160"/>
      <c r="P756" s="160"/>
      <c r="Q756" s="160"/>
      <c r="R756" s="160"/>
      <c r="S756" s="160"/>
      <c r="T756" s="18"/>
      <c r="U756" s="18"/>
      <c r="V756" s="18"/>
      <c r="W756" s="18"/>
      <c r="X756" s="18"/>
      <c r="Y756" s="18"/>
      <c r="Z756" s="18"/>
      <c r="AA756" s="18"/>
    </row>
    <row r="757">
      <c r="A757" s="317"/>
      <c r="B757" s="172"/>
      <c r="C757" s="160"/>
      <c r="D757" s="160"/>
      <c r="E757" s="160"/>
      <c r="F757" s="160"/>
      <c r="G757" s="160"/>
      <c r="H757" s="160"/>
      <c r="I757" s="172"/>
      <c r="J757" s="160"/>
      <c r="K757" s="172"/>
      <c r="L757" s="172"/>
      <c r="M757" s="172"/>
      <c r="N757" s="160"/>
      <c r="O757" s="160"/>
      <c r="P757" s="160"/>
      <c r="Q757" s="160"/>
      <c r="R757" s="160"/>
      <c r="S757" s="160"/>
      <c r="T757" s="18"/>
      <c r="U757" s="18"/>
      <c r="V757" s="18"/>
      <c r="W757" s="18"/>
      <c r="X757" s="18"/>
      <c r="Y757" s="18"/>
      <c r="Z757" s="18"/>
      <c r="AA757" s="18"/>
    </row>
    <row r="758">
      <c r="A758" s="317"/>
      <c r="B758" s="172"/>
      <c r="C758" s="160"/>
      <c r="D758" s="160"/>
      <c r="E758" s="160"/>
      <c r="F758" s="160"/>
      <c r="G758" s="160"/>
      <c r="H758" s="160"/>
      <c r="I758" s="172"/>
      <c r="J758" s="160"/>
      <c r="K758" s="172"/>
      <c r="L758" s="172"/>
      <c r="M758" s="172"/>
      <c r="N758" s="160"/>
      <c r="O758" s="160"/>
      <c r="P758" s="160"/>
      <c r="Q758" s="160"/>
      <c r="R758" s="160"/>
      <c r="S758" s="160"/>
      <c r="T758" s="18"/>
      <c r="U758" s="18"/>
      <c r="V758" s="18"/>
      <c r="W758" s="18"/>
      <c r="X758" s="18"/>
      <c r="Y758" s="18"/>
      <c r="Z758" s="18"/>
      <c r="AA758" s="18"/>
    </row>
    <row r="759">
      <c r="A759" s="317"/>
      <c r="B759" s="172"/>
      <c r="C759" s="160"/>
      <c r="D759" s="160"/>
      <c r="E759" s="160"/>
      <c r="F759" s="160"/>
      <c r="G759" s="160"/>
      <c r="H759" s="160"/>
      <c r="I759" s="172"/>
      <c r="J759" s="160"/>
      <c r="K759" s="172"/>
      <c r="L759" s="172"/>
      <c r="M759" s="172"/>
      <c r="N759" s="160"/>
      <c r="O759" s="160"/>
      <c r="P759" s="160"/>
      <c r="Q759" s="160"/>
      <c r="R759" s="160"/>
      <c r="S759" s="160"/>
      <c r="T759" s="18"/>
      <c r="U759" s="18"/>
      <c r="V759" s="18"/>
      <c r="W759" s="18"/>
      <c r="X759" s="18"/>
      <c r="Y759" s="18"/>
      <c r="Z759" s="18"/>
      <c r="AA759" s="18"/>
    </row>
    <row r="760">
      <c r="A760" s="317"/>
      <c r="B760" s="172"/>
      <c r="C760" s="160"/>
      <c r="D760" s="160"/>
      <c r="E760" s="160"/>
      <c r="F760" s="160"/>
      <c r="G760" s="160"/>
      <c r="H760" s="160"/>
      <c r="I760" s="172"/>
      <c r="J760" s="160"/>
      <c r="K760" s="172"/>
      <c r="L760" s="172"/>
      <c r="M760" s="172"/>
      <c r="N760" s="160"/>
      <c r="O760" s="160"/>
      <c r="P760" s="160"/>
      <c r="Q760" s="160"/>
      <c r="R760" s="160"/>
      <c r="S760" s="160"/>
      <c r="T760" s="18"/>
      <c r="U760" s="18"/>
      <c r="V760" s="18"/>
      <c r="W760" s="18"/>
      <c r="X760" s="18"/>
      <c r="Y760" s="18"/>
      <c r="Z760" s="18"/>
      <c r="AA760" s="18"/>
    </row>
    <row r="761">
      <c r="A761" s="317"/>
      <c r="B761" s="172"/>
      <c r="C761" s="160"/>
      <c r="D761" s="160"/>
      <c r="E761" s="160"/>
      <c r="F761" s="160"/>
      <c r="G761" s="160"/>
      <c r="H761" s="160"/>
      <c r="I761" s="172"/>
      <c r="J761" s="160"/>
      <c r="K761" s="172"/>
      <c r="L761" s="172"/>
      <c r="M761" s="172"/>
      <c r="N761" s="160"/>
      <c r="O761" s="160"/>
      <c r="P761" s="160"/>
      <c r="Q761" s="160"/>
      <c r="R761" s="160"/>
      <c r="S761" s="160"/>
      <c r="T761" s="18"/>
      <c r="U761" s="18"/>
      <c r="V761" s="18"/>
      <c r="W761" s="18"/>
      <c r="X761" s="18"/>
      <c r="Y761" s="18"/>
      <c r="Z761" s="18"/>
      <c r="AA761" s="18"/>
    </row>
    <row r="762">
      <c r="A762" s="317"/>
      <c r="B762" s="172"/>
      <c r="C762" s="160"/>
      <c r="D762" s="160"/>
      <c r="E762" s="160"/>
      <c r="F762" s="160"/>
      <c r="G762" s="160"/>
      <c r="H762" s="160"/>
      <c r="I762" s="172"/>
      <c r="J762" s="160"/>
      <c r="K762" s="172"/>
      <c r="L762" s="172"/>
      <c r="M762" s="172"/>
      <c r="N762" s="160"/>
      <c r="O762" s="160"/>
      <c r="P762" s="160"/>
      <c r="Q762" s="160"/>
      <c r="R762" s="160"/>
      <c r="S762" s="160"/>
      <c r="T762" s="18"/>
      <c r="U762" s="18"/>
      <c r="V762" s="18"/>
      <c r="W762" s="18"/>
      <c r="X762" s="18"/>
      <c r="Y762" s="18"/>
      <c r="Z762" s="18"/>
      <c r="AA762" s="18"/>
    </row>
    <row r="763">
      <c r="A763" s="317"/>
      <c r="B763" s="172"/>
      <c r="C763" s="160"/>
      <c r="D763" s="160"/>
      <c r="E763" s="160"/>
      <c r="F763" s="160"/>
      <c r="G763" s="160"/>
      <c r="H763" s="160"/>
      <c r="I763" s="172"/>
      <c r="J763" s="160"/>
      <c r="K763" s="172"/>
      <c r="L763" s="172"/>
      <c r="M763" s="172"/>
      <c r="N763" s="160"/>
      <c r="O763" s="160"/>
      <c r="P763" s="160"/>
      <c r="Q763" s="160"/>
      <c r="R763" s="160"/>
      <c r="S763" s="160"/>
      <c r="T763" s="18"/>
      <c r="U763" s="18"/>
      <c r="V763" s="18"/>
      <c r="W763" s="18"/>
      <c r="X763" s="18"/>
      <c r="Y763" s="18"/>
      <c r="Z763" s="18"/>
      <c r="AA763" s="18"/>
    </row>
    <row r="764">
      <c r="A764" s="317"/>
      <c r="B764" s="172"/>
      <c r="C764" s="160"/>
      <c r="D764" s="160"/>
      <c r="E764" s="160"/>
      <c r="F764" s="160"/>
      <c r="G764" s="160"/>
      <c r="H764" s="160"/>
      <c r="I764" s="172"/>
      <c r="J764" s="160"/>
      <c r="K764" s="172"/>
      <c r="L764" s="172"/>
      <c r="M764" s="172"/>
      <c r="N764" s="160"/>
      <c r="O764" s="160"/>
      <c r="P764" s="160"/>
      <c r="Q764" s="160"/>
      <c r="R764" s="160"/>
      <c r="S764" s="160"/>
      <c r="T764" s="18"/>
      <c r="U764" s="18"/>
      <c r="V764" s="18"/>
      <c r="W764" s="18"/>
      <c r="X764" s="18"/>
      <c r="Y764" s="18"/>
      <c r="Z764" s="18"/>
      <c r="AA764" s="18"/>
    </row>
    <row r="765">
      <c r="A765" s="317"/>
      <c r="B765" s="172"/>
      <c r="C765" s="160"/>
      <c r="D765" s="160"/>
      <c r="E765" s="160"/>
      <c r="F765" s="160"/>
      <c r="G765" s="160"/>
      <c r="H765" s="160"/>
      <c r="I765" s="172"/>
      <c r="J765" s="160"/>
      <c r="K765" s="172"/>
      <c r="L765" s="172"/>
      <c r="M765" s="172"/>
      <c r="N765" s="160"/>
      <c r="O765" s="160"/>
      <c r="P765" s="160"/>
      <c r="Q765" s="160"/>
      <c r="R765" s="160"/>
      <c r="S765" s="160"/>
      <c r="T765" s="18"/>
      <c r="U765" s="18"/>
      <c r="V765" s="18"/>
      <c r="W765" s="18"/>
      <c r="X765" s="18"/>
      <c r="Y765" s="18"/>
      <c r="Z765" s="18"/>
      <c r="AA765" s="18"/>
    </row>
    <row r="766">
      <c r="A766" s="317"/>
      <c r="B766" s="172"/>
      <c r="C766" s="160"/>
      <c r="D766" s="160"/>
      <c r="E766" s="160"/>
      <c r="F766" s="160"/>
      <c r="G766" s="160"/>
      <c r="H766" s="160"/>
      <c r="I766" s="172"/>
      <c r="J766" s="160"/>
      <c r="K766" s="172"/>
      <c r="L766" s="172"/>
      <c r="M766" s="172"/>
      <c r="N766" s="160"/>
      <c r="O766" s="160"/>
      <c r="P766" s="160"/>
      <c r="Q766" s="160"/>
      <c r="R766" s="160"/>
      <c r="S766" s="160"/>
      <c r="T766" s="18"/>
      <c r="U766" s="18"/>
      <c r="V766" s="18"/>
      <c r="W766" s="18"/>
      <c r="X766" s="18"/>
      <c r="Y766" s="18"/>
      <c r="Z766" s="18"/>
      <c r="AA766" s="18"/>
    </row>
    <row r="767">
      <c r="A767" s="317"/>
      <c r="B767" s="172"/>
      <c r="C767" s="160"/>
      <c r="D767" s="160"/>
      <c r="E767" s="160"/>
      <c r="F767" s="160"/>
      <c r="G767" s="160"/>
      <c r="H767" s="160"/>
      <c r="I767" s="172"/>
      <c r="J767" s="160"/>
      <c r="K767" s="172"/>
      <c r="L767" s="172"/>
      <c r="M767" s="172"/>
      <c r="N767" s="160"/>
      <c r="O767" s="160"/>
      <c r="P767" s="160"/>
      <c r="Q767" s="160"/>
      <c r="R767" s="160"/>
      <c r="S767" s="160"/>
      <c r="T767" s="18"/>
      <c r="U767" s="18"/>
      <c r="V767" s="18"/>
      <c r="W767" s="18"/>
      <c r="X767" s="18"/>
      <c r="Y767" s="18"/>
      <c r="Z767" s="18"/>
      <c r="AA767" s="18"/>
    </row>
    <row r="768">
      <c r="A768" s="317"/>
      <c r="B768" s="172"/>
      <c r="C768" s="160"/>
      <c r="D768" s="160"/>
      <c r="E768" s="160"/>
      <c r="F768" s="160"/>
      <c r="G768" s="160"/>
      <c r="H768" s="160"/>
      <c r="I768" s="172"/>
      <c r="J768" s="160"/>
      <c r="K768" s="172"/>
      <c r="L768" s="172"/>
      <c r="M768" s="172"/>
      <c r="N768" s="160"/>
      <c r="O768" s="160"/>
      <c r="P768" s="160"/>
      <c r="Q768" s="160"/>
      <c r="R768" s="160"/>
      <c r="S768" s="160"/>
      <c r="T768" s="18"/>
      <c r="U768" s="18"/>
      <c r="V768" s="18"/>
      <c r="W768" s="18"/>
      <c r="X768" s="18"/>
      <c r="Y768" s="18"/>
      <c r="Z768" s="18"/>
      <c r="AA768" s="18"/>
    </row>
    <row r="769">
      <c r="A769" s="317"/>
      <c r="B769" s="172"/>
      <c r="C769" s="160"/>
      <c r="D769" s="160"/>
      <c r="E769" s="160"/>
      <c r="F769" s="160"/>
      <c r="G769" s="160"/>
      <c r="H769" s="160"/>
      <c r="I769" s="172"/>
      <c r="J769" s="160"/>
      <c r="K769" s="172"/>
      <c r="L769" s="172"/>
      <c r="M769" s="172"/>
      <c r="N769" s="160"/>
      <c r="O769" s="160"/>
      <c r="P769" s="160"/>
      <c r="Q769" s="160"/>
      <c r="R769" s="160"/>
      <c r="S769" s="160"/>
      <c r="T769" s="18"/>
      <c r="U769" s="18"/>
      <c r="V769" s="18"/>
      <c r="W769" s="18"/>
      <c r="X769" s="18"/>
      <c r="Y769" s="18"/>
      <c r="Z769" s="18"/>
      <c r="AA769" s="18"/>
    </row>
    <row r="770">
      <c r="A770" s="317"/>
      <c r="B770" s="172"/>
      <c r="C770" s="160"/>
      <c r="D770" s="160"/>
      <c r="E770" s="160"/>
      <c r="F770" s="160"/>
      <c r="G770" s="160"/>
      <c r="H770" s="160"/>
      <c r="I770" s="172"/>
      <c r="J770" s="160"/>
      <c r="K770" s="172"/>
      <c r="L770" s="172"/>
      <c r="M770" s="172"/>
      <c r="N770" s="160"/>
      <c r="O770" s="160"/>
      <c r="P770" s="160"/>
      <c r="Q770" s="160"/>
      <c r="R770" s="160"/>
      <c r="S770" s="160"/>
      <c r="T770" s="18"/>
      <c r="U770" s="18"/>
      <c r="V770" s="18"/>
      <c r="W770" s="18"/>
      <c r="X770" s="18"/>
      <c r="Y770" s="18"/>
      <c r="Z770" s="18"/>
      <c r="AA770" s="18"/>
    </row>
    <row r="771">
      <c r="A771" s="317"/>
      <c r="B771" s="172"/>
      <c r="C771" s="160"/>
      <c r="D771" s="160"/>
      <c r="E771" s="160"/>
      <c r="F771" s="160"/>
      <c r="G771" s="160"/>
      <c r="H771" s="160"/>
      <c r="I771" s="172"/>
      <c r="J771" s="160"/>
      <c r="K771" s="172"/>
      <c r="L771" s="172"/>
      <c r="M771" s="172"/>
      <c r="N771" s="160"/>
      <c r="O771" s="160"/>
      <c r="P771" s="160"/>
      <c r="Q771" s="160"/>
      <c r="R771" s="160"/>
      <c r="S771" s="160"/>
      <c r="T771" s="18"/>
      <c r="U771" s="18"/>
      <c r="V771" s="18"/>
      <c r="W771" s="18"/>
      <c r="X771" s="18"/>
      <c r="Y771" s="18"/>
      <c r="Z771" s="18"/>
      <c r="AA771" s="18"/>
    </row>
    <row r="772">
      <c r="A772" s="317"/>
      <c r="B772" s="172"/>
      <c r="C772" s="160"/>
      <c r="D772" s="160"/>
      <c r="E772" s="160"/>
      <c r="F772" s="160"/>
      <c r="G772" s="160"/>
      <c r="H772" s="160"/>
      <c r="I772" s="172"/>
      <c r="J772" s="160"/>
      <c r="K772" s="172"/>
      <c r="L772" s="172"/>
      <c r="M772" s="172"/>
      <c r="N772" s="160"/>
      <c r="O772" s="160"/>
      <c r="P772" s="160"/>
      <c r="Q772" s="160"/>
      <c r="R772" s="160"/>
      <c r="S772" s="160"/>
      <c r="T772" s="18"/>
      <c r="U772" s="18"/>
      <c r="V772" s="18"/>
      <c r="W772" s="18"/>
      <c r="X772" s="18"/>
      <c r="Y772" s="18"/>
      <c r="Z772" s="18"/>
      <c r="AA772" s="18"/>
    </row>
    <row r="773">
      <c r="A773" s="317"/>
      <c r="B773" s="172"/>
      <c r="C773" s="160"/>
      <c r="D773" s="160"/>
      <c r="E773" s="160"/>
      <c r="F773" s="160"/>
      <c r="G773" s="160"/>
      <c r="H773" s="160"/>
      <c r="I773" s="172"/>
      <c r="J773" s="160"/>
      <c r="K773" s="172"/>
      <c r="L773" s="172"/>
      <c r="M773" s="172"/>
      <c r="N773" s="160"/>
      <c r="O773" s="160"/>
      <c r="P773" s="160"/>
      <c r="Q773" s="160"/>
      <c r="R773" s="160"/>
      <c r="S773" s="160"/>
      <c r="T773" s="18"/>
      <c r="U773" s="18"/>
      <c r="V773" s="18"/>
      <c r="W773" s="18"/>
      <c r="X773" s="18"/>
      <c r="Y773" s="18"/>
      <c r="Z773" s="18"/>
      <c r="AA773" s="18"/>
    </row>
    <row r="774">
      <c r="A774" s="317"/>
      <c r="B774" s="172"/>
      <c r="C774" s="160"/>
      <c r="D774" s="160"/>
      <c r="E774" s="160"/>
      <c r="F774" s="160"/>
      <c r="G774" s="160"/>
      <c r="H774" s="160"/>
      <c r="I774" s="172"/>
      <c r="J774" s="160"/>
      <c r="K774" s="172"/>
      <c r="L774" s="172"/>
      <c r="M774" s="172"/>
      <c r="N774" s="160"/>
      <c r="O774" s="160"/>
      <c r="P774" s="160"/>
      <c r="Q774" s="160"/>
      <c r="R774" s="160"/>
      <c r="S774" s="160"/>
      <c r="T774" s="18"/>
      <c r="U774" s="18"/>
      <c r="V774" s="18"/>
      <c r="W774" s="18"/>
      <c r="X774" s="18"/>
      <c r="Y774" s="18"/>
      <c r="Z774" s="18"/>
      <c r="AA774" s="18"/>
    </row>
    <row r="775">
      <c r="A775" s="317"/>
      <c r="B775" s="172"/>
      <c r="C775" s="160"/>
      <c r="D775" s="160"/>
      <c r="E775" s="160"/>
      <c r="F775" s="160"/>
      <c r="G775" s="160"/>
      <c r="H775" s="160"/>
      <c r="I775" s="172"/>
      <c r="J775" s="160"/>
      <c r="K775" s="172"/>
      <c r="L775" s="172"/>
      <c r="M775" s="172"/>
      <c r="N775" s="160"/>
      <c r="O775" s="160"/>
      <c r="P775" s="160"/>
      <c r="Q775" s="160"/>
      <c r="R775" s="160"/>
      <c r="S775" s="160"/>
      <c r="T775" s="18"/>
      <c r="U775" s="18"/>
      <c r="V775" s="18"/>
      <c r="W775" s="18"/>
      <c r="X775" s="18"/>
      <c r="Y775" s="18"/>
      <c r="Z775" s="18"/>
      <c r="AA775" s="18"/>
    </row>
    <row r="776">
      <c r="A776" s="317"/>
      <c r="B776" s="172"/>
      <c r="C776" s="160"/>
      <c r="D776" s="160"/>
      <c r="E776" s="160"/>
      <c r="F776" s="160"/>
      <c r="G776" s="160"/>
      <c r="H776" s="160"/>
      <c r="I776" s="172"/>
      <c r="J776" s="160"/>
      <c r="K776" s="172"/>
      <c r="L776" s="172"/>
      <c r="M776" s="172"/>
      <c r="N776" s="160"/>
      <c r="O776" s="160"/>
      <c r="P776" s="160"/>
      <c r="Q776" s="160"/>
      <c r="R776" s="160"/>
      <c r="S776" s="160"/>
      <c r="T776" s="18"/>
      <c r="U776" s="18"/>
      <c r="V776" s="18"/>
      <c r="W776" s="18"/>
      <c r="X776" s="18"/>
      <c r="Y776" s="18"/>
      <c r="Z776" s="18"/>
      <c r="AA776" s="18"/>
    </row>
    <row r="777">
      <c r="A777" s="317"/>
      <c r="B777" s="172"/>
      <c r="C777" s="160"/>
      <c r="D777" s="160"/>
      <c r="E777" s="160"/>
      <c r="F777" s="160"/>
      <c r="G777" s="160"/>
      <c r="H777" s="160"/>
      <c r="I777" s="172"/>
      <c r="J777" s="160"/>
      <c r="K777" s="172"/>
      <c r="L777" s="172"/>
      <c r="M777" s="172"/>
      <c r="N777" s="160"/>
      <c r="O777" s="160"/>
      <c r="P777" s="160"/>
      <c r="Q777" s="160"/>
      <c r="R777" s="160"/>
      <c r="S777" s="160"/>
      <c r="T777" s="18"/>
      <c r="U777" s="18"/>
      <c r="V777" s="18"/>
      <c r="W777" s="18"/>
      <c r="X777" s="18"/>
      <c r="Y777" s="18"/>
      <c r="Z777" s="18"/>
      <c r="AA777" s="18"/>
    </row>
    <row r="778">
      <c r="A778" s="317"/>
      <c r="B778" s="172"/>
      <c r="C778" s="160"/>
      <c r="D778" s="160"/>
      <c r="E778" s="160"/>
      <c r="F778" s="160"/>
      <c r="G778" s="160"/>
      <c r="H778" s="160"/>
      <c r="I778" s="172"/>
      <c r="J778" s="160"/>
      <c r="K778" s="172"/>
      <c r="L778" s="172"/>
      <c r="M778" s="172"/>
      <c r="N778" s="160"/>
      <c r="O778" s="160"/>
      <c r="P778" s="160"/>
      <c r="Q778" s="160"/>
      <c r="R778" s="160"/>
      <c r="S778" s="160"/>
      <c r="T778" s="18"/>
      <c r="U778" s="18"/>
      <c r="V778" s="18"/>
      <c r="W778" s="18"/>
      <c r="X778" s="18"/>
      <c r="Y778" s="18"/>
      <c r="Z778" s="18"/>
      <c r="AA778" s="18"/>
    </row>
    <row r="779">
      <c r="A779" s="317"/>
      <c r="B779" s="172"/>
      <c r="C779" s="160"/>
      <c r="D779" s="160"/>
      <c r="E779" s="160"/>
      <c r="F779" s="160"/>
      <c r="G779" s="160"/>
      <c r="H779" s="160"/>
      <c r="I779" s="172"/>
      <c r="J779" s="160"/>
      <c r="K779" s="172"/>
      <c r="L779" s="172"/>
      <c r="M779" s="172"/>
      <c r="N779" s="160"/>
      <c r="O779" s="160"/>
      <c r="P779" s="160"/>
      <c r="Q779" s="160"/>
      <c r="R779" s="160"/>
      <c r="S779" s="160"/>
      <c r="T779" s="18"/>
      <c r="U779" s="18"/>
      <c r="V779" s="18"/>
      <c r="W779" s="18"/>
      <c r="X779" s="18"/>
      <c r="Y779" s="18"/>
      <c r="Z779" s="18"/>
      <c r="AA779" s="18"/>
    </row>
    <row r="780">
      <c r="A780" s="317"/>
      <c r="B780" s="172"/>
      <c r="C780" s="160"/>
      <c r="D780" s="160"/>
      <c r="E780" s="160"/>
      <c r="F780" s="160"/>
      <c r="G780" s="160"/>
      <c r="H780" s="160"/>
      <c r="I780" s="172"/>
      <c r="J780" s="160"/>
      <c r="K780" s="172"/>
      <c r="L780" s="172"/>
      <c r="M780" s="172"/>
      <c r="N780" s="160"/>
      <c r="O780" s="160"/>
      <c r="P780" s="160"/>
      <c r="Q780" s="160"/>
      <c r="R780" s="160"/>
      <c r="S780" s="160"/>
      <c r="T780" s="18"/>
      <c r="U780" s="18"/>
      <c r="V780" s="18"/>
      <c r="W780" s="18"/>
      <c r="X780" s="18"/>
      <c r="Y780" s="18"/>
      <c r="Z780" s="18"/>
      <c r="AA780" s="18"/>
    </row>
    <row r="781">
      <c r="A781" s="317"/>
      <c r="B781" s="172"/>
      <c r="C781" s="160"/>
      <c r="D781" s="160"/>
      <c r="E781" s="160"/>
      <c r="F781" s="160"/>
      <c r="G781" s="160"/>
      <c r="H781" s="160"/>
      <c r="I781" s="172"/>
      <c r="J781" s="160"/>
      <c r="K781" s="172"/>
      <c r="L781" s="172"/>
      <c r="M781" s="172"/>
      <c r="N781" s="160"/>
      <c r="O781" s="160"/>
      <c r="P781" s="160"/>
      <c r="Q781" s="160"/>
      <c r="R781" s="160"/>
      <c r="S781" s="160"/>
      <c r="T781" s="18"/>
      <c r="U781" s="18"/>
      <c r="V781" s="18"/>
      <c r="W781" s="18"/>
      <c r="X781" s="18"/>
      <c r="Y781" s="18"/>
      <c r="Z781" s="18"/>
      <c r="AA781" s="18"/>
    </row>
    <row r="782">
      <c r="A782" s="317"/>
      <c r="B782" s="172"/>
      <c r="C782" s="160"/>
      <c r="D782" s="160"/>
      <c r="E782" s="160"/>
      <c r="F782" s="160"/>
      <c r="G782" s="160"/>
      <c r="H782" s="160"/>
      <c r="I782" s="172"/>
      <c r="J782" s="160"/>
      <c r="K782" s="172"/>
      <c r="L782" s="172"/>
      <c r="M782" s="172"/>
      <c r="N782" s="160"/>
      <c r="O782" s="160"/>
      <c r="P782" s="160"/>
      <c r="Q782" s="160"/>
      <c r="R782" s="160"/>
      <c r="S782" s="160"/>
      <c r="T782" s="18"/>
      <c r="U782" s="18"/>
      <c r="V782" s="18"/>
      <c r="W782" s="18"/>
      <c r="X782" s="18"/>
      <c r="Y782" s="18"/>
      <c r="Z782" s="18"/>
      <c r="AA782" s="18"/>
    </row>
    <row r="783">
      <c r="A783" s="317"/>
      <c r="B783" s="172"/>
      <c r="C783" s="160"/>
      <c r="D783" s="160"/>
      <c r="E783" s="160"/>
      <c r="F783" s="160"/>
      <c r="G783" s="160"/>
      <c r="H783" s="160"/>
      <c r="I783" s="172"/>
      <c r="J783" s="160"/>
      <c r="K783" s="172"/>
      <c r="L783" s="172"/>
      <c r="M783" s="172"/>
      <c r="N783" s="160"/>
      <c r="O783" s="160"/>
      <c r="P783" s="160"/>
      <c r="Q783" s="160"/>
      <c r="R783" s="160"/>
      <c r="S783" s="160"/>
      <c r="T783" s="18"/>
      <c r="U783" s="18"/>
      <c r="V783" s="18"/>
      <c r="W783" s="18"/>
      <c r="X783" s="18"/>
      <c r="Y783" s="18"/>
      <c r="Z783" s="18"/>
      <c r="AA783" s="18"/>
    </row>
    <row r="784">
      <c r="A784" s="317"/>
      <c r="B784" s="172"/>
      <c r="C784" s="160"/>
      <c r="D784" s="160"/>
      <c r="E784" s="160"/>
      <c r="F784" s="160"/>
      <c r="G784" s="160"/>
      <c r="H784" s="160"/>
      <c r="I784" s="172"/>
      <c r="J784" s="160"/>
      <c r="K784" s="172"/>
      <c r="L784" s="172"/>
      <c r="M784" s="172"/>
      <c r="N784" s="160"/>
      <c r="O784" s="160"/>
      <c r="P784" s="160"/>
      <c r="Q784" s="160"/>
      <c r="R784" s="160"/>
      <c r="S784" s="160"/>
      <c r="T784" s="18"/>
      <c r="U784" s="18"/>
      <c r="V784" s="18"/>
      <c r="W784" s="18"/>
      <c r="X784" s="18"/>
      <c r="Y784" s="18"/>
      <c r="Z784" s="18"/>
      <c r="AA784" s="18"/>
    </row>
    <row r="785">
      <c r="A785" s="317"/>
      <c r="B785" s="172"/>
      <c r="C785" s="160"/>
      <c r="D785" s="160"/>
      <c r="E785" s="160"/>
      <c r="F785" s="160"/>
      <c r="G785" s="160"/>
      <c r="H785" s="160"/>
      <c r="I785" s="172"/>
      <c r="J785" s="160"/>
      <c r="K785" s="172"/>
      <c r="L785" s="172"/>
      <c r="M785" s="172"/>
      <c r="N785" s="160"/>
      <c r="O785" s="160"/>
      <c r="P785" s="160"/>
      <c r="Q785" s="160"/>
      <c r="R785" s="160"/>
      <c r="S785" s="160"/>
      <c r="T785" s="18"/>
      <c r="U785" s="18"/>
      <c r="V785" s="18"/>
      <c r="W785" s="18"/>
      <c r="X785" s="18"/>
      <c r="Y785" s="18"/>
      <c r="Z785" s="18"/>
      <c r="AA785" s="18"/>
    </row>
    <row r="786">
      <c r="A786" s="317"/>
      <c r="B786" s="172"/>
      <c r="C786" s="160"/>
      <c r="D786" s="160"/>
      <c r="E786" s="160"/>
      <c r="F786" s="160"/>
      <c r="G786" s="160"/>
      <c r="H786" s="160"/>
      <c r="I786" s="172"/>
      <c r="J786" s="160"/>
      <c r="K786" s="172"/>
      <c r="L786" s="172"/>
      <c r="M786" s="172"/>
      <c r="N786" s="160"/>
      <c r="O786" s="160"/>
      <c r="P786" s="160"/>
      <c r="Q786" s="160"/>
      <c r="R786" s="160"/>
      <c r="S786" s="160"/>
      <c r="T786" s="18"/>
      <c r="U786" s="18"/>
      <c r="V786" s="18"/>
      <c r="W786" s="18"/>
      <c r="X786" s="18"/>
      <c r="Y786" s="18"/>
      <c r="Z786" s="18"/>
      <c r="AA786" s="18"/>
    </row>
    <row r="787">
      <c r="A787" s="317"/>
      <c r="B787" s="172"/>
      <c r="C787" s="160"/>
      <c r="D787" s="160"/>
      <c r="E787" s="160"/>
      <c r="F787" s="160"/>
      <c r="G787" s="160"/>
      <c r="H787" s="160"/>
      <c r="I787" s="172"/>
      <c r="J787" s="160"/>
      <c r="K787" s="172"/>
      <c r="L787" s="172"/>
      <c r="M787" s="172"/>
      <c r="N787" s="160"/>
      <c r="O787" s="160"/>
      <c r="P787" s="160"/>
      <c r="Q787" s="160"/>
      <c r="R787" s="160"/>
      <c r="S787" s="160"/>
      <c r="T787" s="18"/>
      <c r="U787" s="18"/>
      <c r="V787" s="18"/>
      <c r="W787" s="18"/>
      <c r="X787" s="18"/>
      <c r="Y787" s="18"/>
      <c r="Z787" s="18"/>
      <c r="AA787" s="18"/>
    </row>
    <row r="788">
      <c r="A788" s="317"/>
      <c r="B788" s="172"/>
      <c r="C788" s="160"/>
      <c r="D788" s="160"/>
      <c r="E788" s="160"/>
      <c r="F788" s="160"/>
      <c r="G788" s="160"/>
      <c r="H788" s="160"/>
      <c r="I788" s="172"/>
      <c r="J788" s="160"/>
      <c r="K788" s="172"/>
      <c r="L788" s="172"/>
      <c r="M788" s="172"/>
      <c r="N788" s="160"/>
      <c r="O788" s="160"/>
      <c r="P788" s="160"/>
      <c r="Q788" s="160"/>
      <c r="R788" s="160"/>
      <c r="S788" s="160"/>
      <c r="T788" s="18"/>
      <c r="U788" s="18"/>
      <c r="V788" s="18"/>
      <c r="W788" s="18"/>
      <c r="X788" s="18"/>
      <c r="Y788" s="18"/>
      <c r="Z788" s="18"/>
      <c r="AA788" s="18"/>
    </row>
    <row r="789">
      <c r="A789" s="317"/>
      <c r="B789" s="172"/>
      <c r="C789" s="160"/>
      <c r="D789" s="160"/>
      <c r="E789" s="160"/>
      <c r="F789" s="160"/>
      <c r="G789" s="160"/>
      <c r="H789" s="160"/>
      <c r="I789" s="172"/>
      <c r="J789" s="160"/>
      <c r="K789" s="172"/>
      <c r="L789" s="172"/>
      <c r="M789" s="172"/>
      <c r="N789" s="160"/>
      <c r="O789" s="160"/>
      <c r="P789" s="160"/>
      <c r="Q789" s="160"/>
      <c r="R789" s="160"/>
      <c r="S789" s="160"/>
      <c r="T789" s="18"/>
      <c r="U789" s="18"/>
      <c r="V789" s="18"/>
      <c r="W789" s="18"/>
      <c r="X789" s="18"/>
      <c r="Y789" s="18"/>
      <c r="Z789" s="18"/>
      <c r="AA789" s="18"/>
    </row>
    <row r="790">
      <c r="A790" s="317"/>
      <c r="B790" s="172"/>
      <c r="C790" s="160"/>
      <c r="D790" s="160"/>
      <c r="E790" s="160"/>
      <c r="F790" s="160"/>
      <c r="G790" s="160"/>
      <c r="H790" s="160"/>
      <c r="I790" s="172"/>
      <c r="J790" s="160"/>
      <c r="K790" s="172"/>
      <c r="L790" s="172"/>
      <c r="M790" s="172"/>
      <c r="N790" s="160"/>
      <c r="O790" s="160"/>
      <c r="P790" s="160"/>
      <c r="Q790" s="160"/>
      <c r="R790" s="160"/>
      <c r="S790" s="160"/>
      <c r="T790" s="18"/>
      <c r="U790" s="18"/>
      <c r="V790" s="18"/>
      <c r="W790" s="18"/>
      <c r="X790" s="18"/>
      <c r="Y790" s="18"/>
      <c r="Z790" s="18"/>
      <c r="AA790" s="18"/>
    </row>
    <row r="791">
      <c r="A791" s="317"/>
      <c r="B791" s="172"/>
      <c r="C791" s="160"/>
      <c r="D791" s="160"/>
      <c r="E791" s="160"/>
      <c r="F791" s="160"/>
      <c r="G791" s="160"/>
      <c r="H791" s="160"/>
      <c r="I791" s="172"/>
      <c r="J791" s="160"/>
      <c r="K791" s="172"/>
      <c r="L791" s="172"/>
      <c r="M791" s="172"/>
      <c r="N791" s="160"/>
      <c r="O791" s="160"/>
      <c r="P791" s="160"/>
      <c r="Q791" s="160"/>
      <c r="R791" s="160"/>
      <c r="S791" s="160"/>
      <c r="T791" s="18"/>
      <c r="U791" s="18"/>
      <c r="V791" s="18"/>
      <c r="W791" s="18"/>
      <c r="X791" s="18"/>
      <c r="Y791" s="18"/>
      <c r="Z791" s="18"/>
      <c r="AA791" s="18"/>
    </row>
    <row r="792">
      <c r="A792" s="317"/>
      <c r="B792" s="172"/>
      <c r="C792" s="160"/>
      <c r="D792" s="160"/>
      <c r="E792" s="160"/>
      <c r="F792" s="160"/>
      <c r="G792" s="160"/>
      <c r="H792" s="160"/>
      <c r="I792" s="172"/>
      <c r="J792" s="160"/>
      <c r="K792" s="172"/>
      <c r="L792" s="172"/>
      <c r="M792" s="172"/>
      <c r="N792" s="160"/>
      <c r="O792" s="160"/>
      <c r="P792" s="160"/>
      <c r="Q792" s="160"/>
      <c r="R792" s="160"/>
      <c r="S792" s="160"/>
      <c r="T792" s="18"/>
      <c r="U792" s="18"/>
      <c r="V792" s="18"/>
      <c r="W792" s="18"/>
      <c r="X792" s="18"/>
      <c r="Y792" s="18"/>
      <c r="Z792" s="18"/>
      <c r="AA792" s="18"/>
    </row>
    <row r="793">
      <c r="A793" s="317"/>
      <c r="B793" s="172"/>
      <c r="C793" s="160"/>
      <c r="D793" s="160"/>
      <c r="E793" s="160"/>
      <c r="F793" s="160"/>
      <c r="G793" s="160"/>
      <c r="H793" s="160"/>
      <c r="I793" s="172"/>
      <c r="J793" s="160"/>
      <c r="K793" s="172"/>
      <c r="L793" s="172"/>
      <c r="M793" s="172"/>
      <c r="N793" s="160"/>
      <c r="O793" s="160"/>
      <c r="P793" s="160"/>
      <c r="Q793" s="160"/>
      <c r="R793" s="160"/>
      <c r="S793" s="160"/>
      <c r="T793" s="18"/>
      <c r="U793" s="18"/>
      <c r="V793" s="18"/>
      <c r="W793" s="18"/>
      <c r="X793" s="18"/>
      <c r="Y793" s="18"/>
      <c r="Z793" s="18"/>
      <c r="AA793" s="18"/>
    </row>
    <row r="794">
      <c r="A794" s="317"/>
      <c r="B794" s="172"/>
      <c r="C794" s="160"/>
      <c r="D794" s="160"/>
      <c r="E794" s="160"/>
      <c r="F794" s="160"/>
      <c r="G794" s="160"/>
      <c r="H794" s="160"/>
      <c r="I794" s="172"/>
      <c r="J794" s="160"/>
      <c r="K794" s="172"/>
      <c r="L794" s="172"/>
      <c r="M794" s="172"/>
      <c r="N794" s="160"/>
      <c r="O794" s="160"/>
      <c r="P794" s="160"/>
      <c r="Q794" s="160"/>
      <c r="R794" s="160"/>
      <c r="S794" s="160"/>
      <c r="T794" s="18"/>
      <c r="U794" s="18"/>
      <c r="V794" s="18"/>
      <c r="W794" s="18"/>
      <c r="X794" s="18"/>
      <c r="Y794" s="18"/>
      <c r="Z794" s="18"/>
      <c r="AA794" s="18"/>
    </row>
    <row r="795">
      <c r="A795" s="317"/>
      <c r="B795" s="172"/>
      <c r="C795" s="160"/>
      <c r="D795" s="160"/>
      <c r="E795" s="160"/>
      <c r="F795" s="160"/>
      <c r="G795" s="160"/>
      <c r="H795" s="160"/>
      <c r="I795" s="172"/>
      <c r="J795" s="160"/>
      <c r="K795" s="172"/>
      <c r="L795" s="172"/>
      <c r="M795" s="172"/>
      <c r="N795" s="160"/>
      <c r="O795" s="160"/>
      <c r="P795" s="160"/>
      <c r="Q795" s="160"/>
      <c r="R795" s="160"/>
      <c r="S795" s="160"/>
      <c r="T795" s="18"/>
      <c r="U795" s="18"/>
      <c r="V795" s="18"/>
      <c r="W795" s="18"/>
      <c r="X795" s="18"/>
      <c r="Y795" s="18"/>
      <c r="Z795" s="18"/>
      <c r="AA795" s="18"/>
    </row>
    <row r="796">
      <c r="A796" s="317"/>
      <c r="B796" s="172"/>
      <c r="C796" s="160"/>
      <c r="D796" s="160"/>
      <c r="E796" s="160"/>
      <c r="F796" s="160"/>
      <c r="G796" s="160"/>
      <c r="H796" s="160"/>
      <c r="I796" s="172"/>
      <c r="J796" s="160"/>
      <c r="K796" s="172"/>
      <c r="L796" s="172"/>
      <c r="M796" s="172"/>
      <c r="N796" s="160"/>
      <c r="O796" s="160"/>
      <c r="P796" s="160"/>
      <c r="Q796" s="160"/>
      <c r="R796" s="160"/>
      <c r="S796" s="160"/>
      <c r="T796" s="18"/>
      <c r="U796" s="18"/>
      <c r="V796" s="18"/>
      <c r="W796" s="18"/>
      <c r="X796" s="18"/>
      <c r="Y796" s="18"/>
      <c r="Z796" s="18"/>
      <c r="AA796" s="18"/>
    </row>
    <row r="797">
      <c r="A797" s="317"/>
      <c r="B797" s="172"/>
      <c r="C797" s="160"/>
      <c r="D797" s="160"/>
      <c r="E797" s="160"/>
      <c r="F797" s="160"/>
      <c r="G797" s="160"/>
      <c r="H797" s="160"/>
      <c r="I797" s="172"/>
      <c r="J797" s="160"/>
      <c r="K797" s="172"/>
      <c r="L797" s="172"/>
      <c r="M797" s="172"/>
      <c r="N797" s="160"/>
      <c r="O797" s="160"/>
      <c r="P797" s="160"/>
      <c r="Q797" s="160"/>
      <c r="R797" s="160"/>
      <c r="S797" s="160"/>
      <c r="T797" s="18"/>
      <c r="U797" s="18"/>
      <c r="V797" s="18"/>
      <c r="W797" s="18"/>
      <c r="X797" s="18"/>
      <c r="Y797" s="18"/>
      <c r="Z797" s="18"/>
      <c r="AA797" s="18"/>
    </row>
    <row r="798">
      <c r="A798" s="317"/>
      <c r="B798" s="172"/>
      <c r="C798" s="160"/>
      <c r="D798" s="160"/>
      <c r="E798" s="160"/>
      <c r="F798" s="160"/>
      <c r="G798" s="160"/>
      <c r="H798" s="160"/>
      <c r="I798" s="172"/>
      <c r="J798" s="160"/>
      <c r="K798" s="172"/>
      <c r="L798" s="172"/>
      <c r="M798" s="172"/>
      <c r="N798" s="160"/>
      <c r="O798" s="160"/>
      <c r="P798" s="160"/>
      <c r="Q798" s="160"/>
      <c r="R798" s="160"/>
      <c r="S798" s="160"/>
      <c r="T798" s="18"/>
      <c r="U798" s="18"/>
      <c r="V798" s="18"/>
      <c r="W798" s="18"/>
      <c r="X798" s="18"/>
      <c r="Y798" s="18"/>
      <c r="Z798" s="18"/>
      <c r="AA798" s="18"/>
    </row>
    <row r="799">
      <c r="A799" s="317"/>
      <c r="B799" s="172"/>
      <c r="C799" s="160"/>
      <c r="D799" s="160"/>
      <c r="E799" s="160"/>
      <c r="F799" s="160"/>
      <c r="G799" s="160"/>
      <c r="H799" s="160"/>
      <c r="I799" s="172"/>
      <c r="J799" s="160"/>
      <c r="K799" s="172"/>
      <c r="L799" s="172"/>
      <c r="M799" s="172"/>
      <c r="N799" s="160"/>
      <c r="O799" s="160"/>
      <c r="P799" s="160"/>
      <c r="Q799" s="160"/>
      <c r="R799" s="160"/>
      <c r="S799" s="160"/>
      <c r="T799" s="18"/>
      <c r="U799" s="18"/>
      <c r="V799" s="18"/>
      <c r="W799" s="18"/>
      <c r="X799" s="18"/>
      <c r="Y799" s="18"/>
      <c r="Z799" s="18"/>
      <c r="AA799" s="18"/>
    </row>
    <row r="800">
      <c r="A800" s="317"/>
      <c r="B800" s="172"/>
      <c r="C800" s="160"/>
      <c r="D800" s="160"/>
      <c r="E800" s="160"/>
      <c r="F800" s="160"/>
      <c r="G800" s="160"/>
      <c r="H800" s="160"/>
      <c r="I800" s="172"/>
      <c r="J800" s="160"/>
      <c r="K800" s="172"/>
      <c r="L800" s="172"/>
      <c r="M800" s="172"/>
      <c r="N800" s="160"/>
      <c r="O800" s="160"/>
      <c r="P800" s="160"/>
      <c r="Q800" s="160"/>
      <c r="R800" s="160"/>
      <c r="S800" s="160"/>
      <c r="T800" s="18"/>
      <c r="U800" s="18"/>
      <c r="V800" s="18"/>
      <c r="W800" s="18"/>
      <c r="X800" s="18"/>
      <c r="Y800" s="18"/>
      <c r="Z800" s="18"/>
      <c r="AA800" s="18"/>
    </row>
    <row r="801">
      <c r="A801" s="317"/>
      <c r="B801" s="172"/>
      <c r="C801" s="160"/>
      <c r="D801" s="160"/>
      <c r="E801" s="160"/>
      <c r="F801" s="160"/>
      <c r="G801" s="160"/>
      <c r="H801" s="160"/>
      <c r="I801" s="172"/>
      <c r="J801" s="160"/>
      <c r="K801" s="172"/>
      <c r="L801" s="172"/>
      <c r="M801" s="172"/>
      <c r="N801" s="160"/>
      <c r="O801" s="160"/>
      <c r="P801" s="160"/>
      <c r="Q801" s="160"/>
      <c r="R801" s="160"/>
      <c r="S801" s="160"/>
      <c r="T801" s="18"/>
      <c r="U801" s="18"/>
      <c r="V801" s="18"/>
      <c r="W801" s="18"/>
      <c r="X801" s="18"/>
      <c r="Y801" s="18"/>
      <c r="Z801" s="18"/>
      <c r="AA801" s="18"/>
    </row>
    <row r="802">
      <c r="A802" s="317"/>
      <c r="B802" s="172"/>
      <c r="C802" s="160"/>
      <c r="D802" s="160"/>
      <c r="E802" s="160"/>
      <c r="F802" s="160"/>
      <c r="G802" s="160"/>
      <c r="H802" s="160"/>
      <c r="I802" s="172"/>
      <c r="J802" s="160"/>
      <c r="K802" s="172"/>
      <c r="L802" s="172"/>
      <c r="M802" s="172"/>
      <c r="N802" s="160"/>
      <c r="O802" s="160"/>
      <c r="P802" s="160"/>
      <c r="Q802" s="160"/>
      <c r="R802" s="160"/>
      <c r="S802" s="160"/>
      <c r="T802" s="18"/>
      <c r="U802" s="18"/>
      <c r="V802" s="18"/>
      <c r="W802" s="18"/>
      <c r="X802" s="18"/>
      <c r="Y802" s="18"/>
      <c r="Z802" s="18"/>
      <c r="AA802" s="18"/>
    </row>
    <row r="803">
      <c r="A803" s="317"/>
      <c r="B803" s="172"/>
      <c r="C803" s="160"/>
      <c r="D803" s="160"/>
      <c r="E803" s="160"/>
      <c r="F803" s="160"/>
      <c r="G803" s="160"/>
      <c r="H803" s="160"/>
      <c r="I803" s="172"/>
      <c r="J803" s="160"/>
      <c r="K803" s="172"/>
      <c r="L803" s="172"/>
      <c r="M803" s="172"/>
      <c r="N803" s="160"/>
      <c r="O803" s="160"/>
      <c r="P803" s="160"/>
      <c r="Q803" s="160"/>
      <c r="R803" s="160"/>
      <c r="S803" s="160"/>
      <c r="T803" s="18"/>
      <c r="U803" s="18"/>
      <c r="V803" s="18"/>
      <c r="W803" s="18"/>
      <c r="X803" s="18"/>
      <c r="Y803" s="18"/>
      <c r="Z803" s="18"/>
      <c r="AA803" s="18"/>
    </row>
    <row r="804">
      <c r="A804" s="317"/>
      <c r="B804" s="172"/>
      <c r="C804" s="160"/>
      <c r="D804" s="160"/>
      <c r="E804" s="160"/>
      <c r="F804" s="160"/>
      <c r="G804" s="160"/>
      <c r="H804" s="160"/>
      <c r="I804" s="172"/>
      <c r="J804" s="160"/>
      <c r="K804" s="172"/>
      <c r="L804" s="172"/>
      <c r="M804" s="172"/>
      <c r="N804" s="160"/>
      <c r="O804" s="160"/>
      <c r="P804" s="160"/>
      <c r="Q804" s="160"/>
      <c r="R804" s="160"/>
      <c r="S804" s="160"/>
      <c r="T804" s="18"/>
      <c r="U804" s="18"/>
      <c r="V804" s="18"/>
      <c r="W804" s="18"/>
      <c r="X804" s="18"/>
      <c r="Y804" s="18"/>
      <c r="Z804" s="18"/>
      <c r="AA804" s="18"/>
    </row>
    <row r="805">
      <c r="A805" s="317"/>
      <c r="B805" s="172"/>
      <c r="C805" s="160"/>
      <c r="D805" s="160"/>
      <c r="E805" s="160"/>
      <c r="F805" s="160"/>
      <c r="G805" s="160"/>
      <c r="H805" s="160"/>
      <c r="I805" s="172"/>
      <c r="J805" s="160"/>
      <c r="K805" s="172"/>
      <c r="L805" s="172"/>
      <c r="M805" s="172"/>
      <c r="N805" s="160"/>
      <c r="O805" s="160"/>
      <c r="P805" s="160"/>
      <c r="Q805" s="160"/>
      <c r="R805" s="160"/>
      <c r="S805" s="160"/>
      <c r="T805" s="18"/>
      <c r="U805" s="18"/>
      <c r="V805" s="18"/>
      <c r="W805" s="18"/>
      <c r="X805" s="18"/>
      <c r="Y805" s="18"/>
      <c r="Z805" s="18"/>
      <c r="AA805" s="18"/>
    </row>
    <row r="806">
      <c r="A806" s="317"/>
      <c r="B806" s="172"/>
      <c r="C806" s="160"/>
      <c r="D806" s="160"/>
      <c r="E806" s="160"/>
      <c r="F806" s="160"/>
      <c r="G806" s="160"/>
      <c r="H806" s="160"/>
      <c r="I806" s="172"/>
      <c r="J806" s="160"/>
      <c r="K806" s="172"/>
      <c r="L806" s="172"/>
      <c r="M806" s="172"/>
      <c r="N806" s="160"/>
      <c r="O806" s="160"/>
      <c r="P806" s="160"/>
      <c r="Q806" s="160"/>
      <c r="R806" s="160"/>
      <c r="S806" s="160"/>
      <c r="T806" s="18"/>
      <c r="U806" s="18"/>
      <c r="V806" s="18"/>
      <c r="W806" s="18"/>
      <c r="X806" s="18"/>
      <c r="Y806" s="18"/>
      <c r="Z806" s="18"/>
      <c r="AA806" s="18"/>
    </row>
    <row r="807">
      <c r="A807" s="317"/>
      <c r="B807" s="172"/>
      <c r="C807" s="160"/>
      <c r="D807" s="160"/>
      <c r="E807" s="160"/>
      <c r="F807" s="160"/>
      <c r="G807" s="160"/>
      <c r="H807" s="160"/>
      <c r="I807" s="172"/>
      <c r="J807" s="160"/>
      <c r="K807" s="172"/>
      <c r="L807" s="172"/>
      <c r="M807" s="172"/>
      <c r="N807" s="160"/>
      <c r="O807" s="160"/>
      <c r="P807" s="160"/>
      <c r="Q807" s="160"/>
      <c r="R807" s="160"/>
      <c r="S807" s="160"/>
      <c r="T807" s="18"/>
      <c r="U807" s="18"/>
      <c r="V807" s="18"/>
      <c r="W807" s="18"/>
      <c r="X807" s="18"/>
      <c r="Y807" s="18"/>
      <c r="Z807" s="18"/>
      <c r="AA807" s="18"/>
    </row>
    <row r="808">
      <c r="A808" s="317"/>
      <c r="B808" s="172"/>
      <c r="C808" s="160"/>
      <c r="D808" s="160"/>
      <c r="E808" s="160"/>
      <c r="F808" s="160"/>
      <c r="G808" s="160"/>
      <c r="H808" s="160"/>
      <c r="I808" s="172"/>
      <c r="J808" s="160"/>
      <c r="K808" s="172"/>
      <c r="L808" s="172"/>
      <c r="M808" s="172"/>
      <c r="N808" s="160"/>
      <c r="O808" s="160"/>
      <c r="P808" s="160"/>
      <c r="Q808" s="160"/>
      <c r="R808" s="160"/>
      <c r="S808" s="160"/>
      <c r="T808" s="18"/>
      <c r="U808" s="18"/>
      <c r="V808" s="18"/>
      <c r="W808" s="18"/>
      <c r="X808" s="18"/>
      <c r="Y808" s="18"/>
      <c r="Z808" s="18"/>
      <c r="AA808" s="18"/>
    </row>
    <row r="809">
      <c r="A809" s="317"/>
      <c r="B809" s="172"/>
      <c r="C809" s="160"/>
      <c r="D809" s="160"/>
      <c r="E809" s="160"/>
      <c r="F809" s="160"/>
      <c r="G809" s="160"/>
      <c r="H809" s="160"/>
      <c r="I809" s="172"/>
      <c r="J809" s="160"/>
      <c r="K809" s="172"/>
      <c r="L809" s="172"/>
      <c r="M809" s="172"/>
      <c r="N809" s="160"/>
      <c r="O809" s="160"/>
      <c r="P809" s="160"/>
      <c r="Q809" s="160"/>
      <c r="R809" s="160"/>
      <c r="S809" s="160"/>
      <c r="T809" s="18"/>
      <c r="U809" s="18"/>
      <c r="V809" s="18"/>
      <c r="W809" s="18"/>
      <c r="X809" s="18"/>
      <c r="Y809" s="18"/>
      <c r="Z809" s="18"/>
      <c r="AA809" s="18"/>
    </row>
    <row r="810">
      <c r="A810" s="317"/>
      <c r="B810" s="172"/>
      <c r="C810" s="160"/>
      <c r="D810" s="160"/>
      <c r="E810" s="160"/>
      <c r="F810" s="160"/>
      <c r="G810" s="160"/>
      <c r="H810" s="160"/>
      <c r="I810" s="172"/>
      <c r="J810" s="160"/>
      <c r="K810" s="172"/>
      <c r="L810" s="172"/>
      <c r="M810" s="172"/>
      <c r="N810" s="160"/>
      <c r="O810" s="160"/>
      <c r="P810" s="160"/>
      <c r="Q810" s="160"/>
      <c r="R810" s="160"/>
      <c r="S810" s="160"/>
      <c r="T810" s="18"/>
      <c r="U810" s="18"/>
      <c r="V810" s="18"/>
      <c r="W810" s="18"/>
      <c r="X810" s="18"/>
      <c r="Y810" s="18"/>
      <c r="Z810" s="18"/>
      <c r="AA810" s="18"/>
    </row>
    <row r="811">
      <c r="A811" s="317"/>
      <c r="B811" s="172"/>
      <c r="C811" s="160"/>
      <c r="D811" s="160"/>
      <c r="E811" s="160"/>
      <c r="F811" s="160"/>
      <c r="G811" s="160"/>
      <c r="H811" s="160"/>
      <c r="I811" s="172"/>
      <c r="J811" s="160"/>
      <c r="K811" s="172"/>
      <c r="L811" s="172"/>
      <c r="M811" s="172"/>
      <c r="N811" s="160"/>
      <c r="O811" s="160"/>
      <c r="P811" s="160"/>
      <c r="Q811" s="160"/>
      <c r="R811" s="160"/>
      <c r="S811" s="160"/>
      <c r="T811" s="18"/>
      <c r="U811" s="18"/>
      <c r="V811" s="18"/>
      <c r="W811" s="18"/>
      <c r="X811" s="18"/>
      <c r="Y811" s="18"/>
      <c r="Z811" s="18"/>
      <c r="AA811" s="18"/>
    </row>
    <row r="812">
      <c r="A812" s="317"/>
      <c r="B812" s="172"/>
      <c r="C812" s="160"/>
      <c r="D812" s="160"/>
      <c r="E812" s="160"/>
      <c r="F812" s="160"/>
      <c r="G812" s="160"/>
      <c r="H812" s="160"/>
      <c r="I812" s="172"/>
      <c r="J812" s="160"/>
      <c r="K812" s="172"/>
      <c r="L812" s="172"/>
      <c r="M812" s="172"/>
      <c r="N812" s="160"/>
      <c r="O812" s="160"/>
      <c r="P812" s="160"/>
      <c r="Q812" s="160"/>
      <c r="R812" s="160"/>
      <c r="S812" s="160"/>
      <c r="T812" s="18"/>
      <c r="U812" s="18"/>
      <c r="V812" s="18"/>
      <c r="W812" s="18"/>
      <c r="X812" s="18"/>
      <c r="Y812" s="18"/>
      <c r="Z812" s="18"/>
      <c r="AA812" s="18"/>
    </row>
    <row r="813">
      <c r="A813" s="317"/>
      <c r="B813" s="172"/>
      <c r="C813" s="160"/>
      <c r="D813" s="160"/>
      <c r="E813" s="160"/>
      <c r="F813" s="160"/>
      <c r="G813" s="160"/>
      <c r="H813" s="160"/>
      <c r="I813" s="172"/>
      <c r="J813" s="160"/>
      <c r="K813" s="172"/>
      <c r="L813" s="172"/>
      <c r="M813" s="172"/>
      <c r="N813" s="160"/>
      <c r="O813" s="160"/>
      <c r="P813" s="160"/>
      <c r="Q813" s="160"/>
      <c r="R813" s="160"/>
      <c r="S813" s="160"/>
      <c r="T813" s="18"/>
      <c r="U813" s="18"/>
      <c r="V813" s="18"/>
      <c r="W813" s="18"/>
      <c r="X813" s="18"/>
      <c r="Y813" s="18"/>
      <c r="Z813" s="18"/>
      <c r="AA813" s="18"/>
    </row>
    <row r="814">
      <c r="A814" s="317"/>
      <c r="B814" s="172"/>
      <c r="C814" s="160"/>
      <c r="D814" s="160"/>
      <c r="E814" s="160"/>
      <c r="F814" s="160"/>
      <c r="G814" s="160"/>
      <c r="H814" s="160"/>
      <c r="I814" s="172"/>
      <c r="J814" s="160"/>
      <c r="K814" s="172"/>
      <c r="L814" s="172"/>
      <c r="M814" s="172"/>
      <c r="N814" s="160"/>
      <c r="O814" s="160"/>
      <c r="P814" s="160"/>
      <c r="Q814" s="160"/>
      <c r="R814" s="160"/>
      <c r="S814" s="160"/>
      <c r="T814" s="18"/>
      <c r="U814" s="18"/>
      <c r="V814" s="18"/>
      <c r="W814" s="18"/>
      <c r="X814" s="18"/>
      <c r="Y814" s="18"/>
      <c r="Z814" s="18"/>
      <c r="AA814" s="18"/>
    </row>
    <row r="815">
      <c r="A815" s="317"/>
      <c r="B815" s="172"/>
      <c r="C815" s="160"/>
      <c r="D815" s="160"/>
      <c r="E815" s="160"/>
      <c r="F815" s="160"/>
      <c r="G815" s="160"/>
      <c r="H815" s="160"/>
      <c r="I815" s="172"/>
      <c r="J815" s="160"/>
      <c r="K815" s="172"/>
      <c r="L815" s="172"/>
      <c r="M815" s="172"/>
      <c r="N815" s="160"/>
      <c r="O815" s="160"/>
      <c r="P815" s="160"/>
      <c r="Q815" s="160"/>
      <c r="R815" s="160"/>
      <c r="S815" s="160"/>
      <c r="T815" s="18"/>
      <c r="U815" s="18"/>
      <c r="V815" s="18"/>
      <c r="W815" s="18"/>
      <c r="X815" s="18"/>
      <c r="Y815" s="18"/>
      <c r="Z815" s="18"/>
      <c r="AA815" s="18"/>
    </row>
    <row r="816">
      <c r="A816" s="317"/>
      <c r="B816" s="172"/>
      <c r="C816" s="160"/>
      <c r="D816" s="160"/>
      <c r="E816" s="160"/>
      <c r="F816" s="160"/>
      <c r="G816" s="160"/>
      <c r="H816" s="160"/>
      <c r="I816" s="172"/>
      <c r="J816" s="160"/>
      <c r="K816" s="172"/>
      <c r="L816" s="172"/>
      <c r="M816" s="172"/>
      <c r="N816" s="160"/>
      <c r="O816" s="160"/>
      <c r="P816" s="160"/>
      <c r="Q816" s="160"/>
      <c r="R816" s="160"/>
      <c r="S816" s="160"/>
      <c r="T816" s="18"/>
      <c r="U816" s="18"/>
      <c r="V816" s="18"/>
      <c r="W816" s="18"/>
      <c r="X816" s="18"/>
      <c r="Y816" s="18"/>
      <c r="Z816" s="18"/>
      <c r="AA816" s="18"/>
    </row>
    <row r="817">
      <c r="A817" s="317"/>
      <c r="B817" s="172"/>
      <c r="C817" s="160"/>
      <c r="D817" s="160"/>
      <c r="E817" s="160"/>
      <c r="F817" s="160"/>
      <c r="G817" s="160"/>
      <c r="H817" s="160"/>
      <c r="I817" s="172"/>
      <c r="J817" s="160"/>
      <c r="K817" s="172"/>
      <c r="L817" s="172"/>
      <c r="M817" s="172"/>
      <c r="N817" s="160"/>
      <c r="O817" s="160"/>
      <c r="P817" s="160"/>
      <c r="Q817" s="160"/>
      <c r="R817" s="160"/>
      <c r="S817" s="160"/>
      <c r="T817" s="18"/>
      <c r="U817" s="18"/>
      <c r="V817" s="18"/>
      <c r="W817" s="18"/>
      <c r="X817" s="18"/>
      <c r="Y817" s="18"/>
      <c r="Z817" s="18"/>
      <c r="AA817" s="18"/>
    </row>
    <row r="818">
      <c r="A818" s="317"/>
      <c r="B818" s="172"/>
      <c r="C818" s="160"/>
      <c r="D818" s="160"/>
      <c r="E818" s="160"/>
      <c r="F818" s="160"/>
      <c r="G818" s="160"/>
      <c r="H818" s="160"/>
      <c r="I818" s="172"/>
      <c r="J818" s="160"/>
      <c r="K818" s="172"/>
      <c r="L818" s="172"/>
      <c r="M818" s="172"/>
      <c r="N818" s="160"/>
      <c r="O818" s="160"/>
      <c r="P818" s="160"/>
      <c r="Q818" s="160"/>
      <c r="R818" s="160"/>
      <c r="S818" s="160"/>
      <c r="T818" s="18"/>
      <c r="U818" s="18"/>
      <c r="V818" s="18"/>
      <c r="W818" s="18"/>
      <c r="X818" s="18"/>
      <c r="Y818" s="18"/>
      <c r="Z818" s="18"/>
      <c r="AA818" s="18"/>
    </row>
    <row r="819">
      <c r="A819" s="317"/>
      <c r="B819" s="172"/>
      <c r="C819" s="160"/>
      <c r="D819" s="160"/>
      <c r="E819" s="160"/>
      <c r="F819" s="160"/>
      <c r="G819" s="160"/>
      <c r="H819" s="160"/>
      <c r="I819" s="172"/>
      <c r="J819" s="160"/>
      <c r="K819" s="172"/>
      <c r="L819" s="172"/>
      <c r="M819" s="172"/>
      <c r="N819" s="160"/>
      <c r="O819" s="160"/>
      <c r="P819" s="160"/>
      <c r="Q819" s="160"/>
      <c r="R819" s="160"/>
      <c r="S819" s="160"/>
      <c r="T819" s="18"/>
      <c r="U819" s="18"/>
      <c r="V819" s="18"/>
      <c r="W819" s="18"/>
      <c r="X819" s="18"/>
      <c r="Y819" s="18"/>
      <c r="Z819" s="18"/>
      <c r="AA819" s="18"/>
    </row>
    <row r="820">
      <c r="A820" s="317"/>
      <c r="B820" s="172"/>
      <c r="C820" s="160"/>
      <c r="D820" s="160"/>
      <c r="E820" s="160"/>
      <c r="F820" s="160"/>
      <c r="G820" s="160"/>
      <c r="H820" s="160"/>
      <c r="I820" s="172"/>
      <c r="J820" s="160"/>
      <c r="K820" s="172"/>
      <c r="L820" s="172"/>
      <c r="M820" s="172"/>
      <c r="N820" s="160"/>
      <c r="O820" s="160"/>
      <c r="P820" s="160"/>
      <c r="Q820" s="160"/>
      <c r="R820" s="160"/>
      <c r="S820" s="160"/>
      <c r="T820" s="18"/>
      <c r="U820" s="18"/>
      <c r="V820" s="18"/>
      <c r="W820" s="18"/>
      <c r="X820" s="18"/>
      <c r="Y820" s="18"/>
      <c r="Z820" s="18"/>
      <c r="AA820" s="18"/>
    </row>
    <row r="821">
      <c r="A821" s="317"/>
      <c r="B821" s="172"/>
      <c r="C821" s="160"/>
      <c r="D821" s="160"/>
      <c r="E821" s="160"/>
      <c r="F821" s="160"/>
      <c r="G821" s="160"/>
      <c r="H821" s="160"/>
      <c r="I821" s="172"/>
      <c r="J821" s="160"/>
      <c r="K821" s="172"/>
      <c r="L821" s="172"/>
      <c r="M821" s="172"/>
      <c r="N821" s="160"/>
      <c r="O821" s="160"/>
      <c r="P821" s="160"/>
      <c r="Q821" s="160"/>
      <c r="R821" s="160"/>
      <c r="S821" s="160"/>
      <c r="T821" s="18"/>
      <c r="U821" s="18"/>
      <c r="V821" s="18"/>
      <c r="W821" s="18"/>
      <c r="X821" s="18"/>
      <c r="Y821" s="18"/>
      <c r="Z821" s="18"/>
      <c r="AA821" s="18"/>
    </row>
    <row r="822">
      <c r="A822" s="317"/>
      <c r="B822" s="172"/>
      <c r="C822" s="160"/>
      <c r="D822" s="160"/>
      <c r="E822" s="160"/>
      <c r="F822" s="160"/>
      <c r="G822" s="160"/>
      <c r="H822" s="160"/>
      <c r="I822" s="172"/>
      <c r="J822" s="160"/>
      <c r="K822" s="172"/>
      <c r="L822" s="172"/>
      <c r="M822" s="172"/>
      <c r="N822" s="160"/>
      <c r="O822" s="160"/>
      <c r="P822" s="160"/>
      <c r="Q822" s="160"/>
      <c r="R822" s="160"/>
      <c r="S822" s="160"/>
      <c r="T822" s="18"/>
      <c r="U822" s="18"/>
      <c r="V822" s="18"/>
      <c r="W822" s="18"/>
      <c r="X822" s="18"/>
      <c r="Y822" s="18"/>
      <c r="Z822" s="18"/>
      <c r="AA822" s="18"/>
    </row>
    <row r="823">
      <c r="A823" s="317"/>
      <c r="B823" s="172"/>
      <c r="C823" s="160"/>
      <c r="D823" s="160"/>
      <c r="E823" s="160"/>
      <c r="F823" s="160"/>
      <c r="G823" s="160"/>
      <c r="H823" s="160"/>
      <c r="I823" s="172"/>
      <c r="J823" s="160"/>
      <c r="K823" s="172"/>
      <c r="L823" s="172"/>
      <c r="M823" s="172"/>
      <c r="N823" s="160"/>
      <c r="O823" s="160"/>
      <c r="P823" s="160"/>
      <c r="Q823" s="160"/>
      <c r="R823" s="160"/>
      <c r="S823" s="160"/>
      <c r="T823" s="18"/>
      <c r="U823" s="18"/>
      <c r="V823" s="18"/>
      <c r="W823" s="18"/>
      <c r="X823" s="18"/>
      <c r="Y823" s="18"/>
      <c r="Z823" s="18"/>
      <c r="AA823" s="18"/>
    </row>
    <row r="824">
      <c r="A824" s="317"/>
      <c r="B824" s="172"/>
      <c r="C824" s="160"/>
      <c r="D824" s="160"/>
      <c r="E824" s="160"/>
      <c r="F824" s="160"/>
      <c r="G824" s="160"/>
      <c r="H824" s="160"/>
      <c r="I824" s="172"/>
      <c r="J824" s="160"/>
      <c r="K824" s="172"/>
      <c r="L824" s="172"/>
      <c r="M824" s="172"/>
      <c r="N824" s="160"/>
      <c r="O824" s="160"/>
      <c r="P824" s="160"/>
      <c r="Q824" s="160"/>
      <c r="R824" s="160"/>
      <c r="S824" s="160"/>
      <c r="T824" s="18"/>
      <c r="U824" s="18"/>
      <c r="V824" s="18"/>
      <c r="W824" s="18"/>
      <c r="X824" s="18"/>
      <c r="Y824" s="18"/>
      <c r="Z824" s="18"/>
      <c r="AA824" s="18"/>
    </row>
    <row r="825">
      <c r="A825" s="317"/>
      <c r="B825" s="172"/>
      <c r="C825" s="160"/>
      <c r="D825" s="160"/>
      <c r="E825" s="160"/>
      <c r="F825" s="160"/>
      <c r="G825" s="160"/>
      <c r="H825" s="160"/>
      <c r="I825" s="172"/>
      <c r="J825" s="160"/>
      <c r="K825" s="172"/>
      <c r="L825" s="172"/>
      <c r="M825" s="172"/>
      <c r="N825" s="160"/>
      <c r="O825" s="160"/>
      <c r="P825" s="160"/>
      <c r="Q825" s="160"/>
      <c r="R825" s="160"/>
      <c r="S825" s="160"/>
      <c r="T825" s="18"/>
      <c r="U825" s="18"/>
      <c r="V825" s="18"/>
      <c r="W825" s="18"/>
      <c r="X825" s="18"/>
      <c r="Y825" s="18"/>
      <c r="Z825" s="18"/>
      <c r="AA825" s="18"/>
    </row>
    <row r="826">
      <c r="A826" s="317"/>
      <c r="B826" s="172"/>
      <c r="C826" s="160"/>
      <c r="D826" s="160"/>
      <c r="E826" s="160"/>
      <c r="F826" s="160"/>
      <c r="G826" s="160"/>
      <c r="H826" s="160"/>
      <c r="I826" s="172"/>
      <c r="J826" s="160"/>
      <c r="K826" s="172"/>
      <c r="L826" s="172"/>
      <c r="M826" s="172"/>
      <c r="N826" s="160"/>
      <c r="O826" s="160"/>
      <c r="P826" s="160"/>
      <c r="Q826" s="160"/>
      <c r="R826" s="160"/>
      <c r="S826" s="160"/>
      <c r="T826" s="18"/>
      <c r="U826" s="18"/>
      <c r="V826" s="18"/>
      <c r="W826" s="18"/>
      <c r="X826" s="18"/>
      <c r="Y826" s="18"/>
      <c r="Z826" s="18"/>
      <c r="AA826" s="18"/>
    </row>
    <row r="827">
      <c r="A827" s="317"/>
      <c r="B827" s="172"/>
      <c r="C827" s="160"/>
      <c r="D827" s="160"/>
      <c r="E827" s="160"/>
      <c r="F827" s="160"/>
      <c r="G827" s="160"/>
      <c r="H827" s="160"/>
      <c r="I827" s="172"/>
      <c r="J827" s="160"/>
      <c r="K827" s="172"/>
      <c r="L827" s="172"/>
      <c r="M827" s="172"/>
      <c r="N827" s="160"/>
      <c r="O827" s="160"/>
      <c r="P827" s="160"/>
      <c r="Q827" s="160"/>
      <c r="R827" s="160"/>
      <c r="S827" s="160"/>
      <c r="T827" s="18"/>
      <c r="U827" s="18"/>
      <c r="V827" s="18"/>
      <c r="W827" s="18"/>
      <c r="X827" s="18"/>
      <c r="Y827" s="18"/>
      <c r="Z827" s="18"/>
      <c r="AA827" s="18"/>
    </row>
    <row r="828">
      <c r="A828" s="317"/>
      <c r="B828" s="172"/>
      <c r="C828" s="160"/>
      <c r="D828" s="160"/>
      <c r="E828" s="160"/>
      <c r="F828" s="160"/>
      <c r="G828" s="160"/>
      <c r="H828" s="160"/>
      <c r="I828" s="172"/>
      <c r="J828" s="160"/>
      <c r="K828" s="172"/>
      <c r="L828" s="172"/>
      <c r="M828" s="172"/>
      <c r="N828" s="160"/>
      <c r="O828" s="160"/>
      <c r="P828" s="160"/>
      <c r="Q828" s="160"/>
      <c r="R828" s="160"/>
      <c r="S828" s="160"/>
      <c r="T828" s="18"/>
      <c r="U828" s="18"/>
      <c r="V828" s="18"/>
      <c r="W828" s="18"/>
      <c r="X828" s="18"/>
      <c r="Y828" s="18"/>
      <c r="Z828" s="18"/>
      <c r="AA828" s="18"/>
    </row>
    <row r="829">
      <c r="A829" s="317"/>
      <c r="B829" s="172"/>
      <c r="C829" s="160"/>
      <c r="D829" s="160"/>
      <c r="E829" s="160"/>
      <c r="F829" s="160"/>
      <c r="G829" s="160"/>
      <c r="H829" s="160"/>
      <c r="I829" s="172"/>
      <c r="J829" s="160"/>
      <c r="K829" s="172"/>
      <c r="L829" s="172"/>
      <c r="M829" s="172"/>
      <c r="N829" s="160"/>
      <c r="O829" s="160"/>
      <c r="P829" s="160"/>
      <c r="Q829" s="160"/>
      <c r="R829" s="160"/>
      <c r="S829" s="160"/>
      <c r="T829" s="18"/>
      <c r="U829" s="18"/>
      <c r="V829" s="18"/>
      <c r="W829" s="18"/>
      <c r="X829" s="18"/>
      <c r="Y829" s="18"/>
      <c r="Z829" s="18"/>
      <c r="AA829" s="18"/>
    </row>
    <row r="830">
      <c r="A830" s="317"/>
      <c r="B830" s="172"/>
      <c r="C830" s="160"/>
      <c r="D830" s="160"/>
      <c r="E830" s="160"/>
      <c r="F830" s="160"/>
      <c r="G830" s="160"/>
      <c r="H830" s="160"/>
      <c r="I830" s="172"/>
      <c r="J830" s="160"/>
      <c r="K830" s="172"/>
      <c r="L830" s="172"/>
      <c r="M830" s="172"/>
      <c r="N830" s="160"/>
      <c r="O830" s="160"/>
      <c r="P830" s="160"/>
      <c r="Q830" s="160"/>
      <c r="R830" s="160"/>
      <c r="S830" s="160"/>
      <c r="T830" s="18"/>
      <c r="U830" s="18"/>
      <c r="V830" s="18"/>
      <c r="W830" s="18"/>
      <c r="X830" s="18"/>
      <c r="Y830" s="18"/>
      <c r="Z830" s="18"/>
      <c r="AA830" s="18"/>
    </row>
    <row r="831">
      <c r="A831" s="317"/>
      <c r="B831" s="172"/>
      <c r="C831" s="160"/>
      <c r="D831" s="160"/>
      <c r="E831" s="160"/>
      <c r="F831" s="160"/>
      <c r="G831" s="160"/>
      <c r="H831" s="160"/>
      <c r="I831" s="172"/>
      <c r="J831" s="160"/>
      <c r="K831" s="172"/>
      <c r="L831" s="172"/>
      <c r="M831" s="172"/>
      <c r="N831" s="160"/>
      <c r="O831" s="160"/>
      <c r="P831" s="160"/>
      <c r="Q831" s="160"/>
      <c r="R831" s="160"/>
      <c r="S831" s="160"/>
      <c r="T831" s="18"/>
      <c r="U831" s="18"/>
      <c r="V831" s="18"/>
      <c r="W831" s="18"/>
      <c r="X831" s="18"/>
      <c r="Y831" s="18"/>
      <c r="Z831" s="18"/>
      <c r="AA831" s="18"/>
    </row>
    <row r="832">
      <c r="A832" s="317"/>
      <c r="B832" s="172"/>
      <c r="C832" s="160"/>
      <c r="D832" s="160"/>
      <c r="E832" s="160"/>
      <c r="F832" s="160"/>
      <c r="G832" s="160"/>
      <c r="H832" s="160"/>
      <c r="I832" s="172"/>
      <c r="J832" s="160"/>
      <c r="K832" s="172"/>
      <c r="L832" s="172"/>
      <c r="M832" s="172"/>
      <c r="N832" s="160"/>
      <c r="O832" s="160"/>
      <c r="P832" s="160"/>
      <c r="Q832" s="160"/>
      <c r="R832" s="160"/>
      <c r="S832" s="160"/>
      <c r="T832" s="18"/>
      <c r="U832" s="18"/>
      <c r="V832" s="18"/>
      <c r="W832" s="18"/>
      <c r="X832" s="18"/>
      <c r="Y832" s="18"/>
      <c r="Z832" s="18"/>
      <c r="AA832" s="18"/>
    </row>
    <row r="833">
      <c r="A833" s="317"/>
      <c r="B833" s="172"/>
      <c r="C833" s="160"/>
      <c r="D833" s="160"/>
      <c r="E833" s="160"/>
      <c r="F833" s="160"/>
      <c r="G833" s="160"/>
      <c r="H833" s="160"/>
      <c r="I833" s="172"/>
      <c r="J833" s="160"/>
      <c r="K833" s="172"/>
      <c r="L833" s="172"/>
      <c r="M833" s="172"/>
      <c r="N833" s="160"/>
      <c r="O833" s="160"/>
      <c r="P833" s="160"/>
      <c r="Q833" s="160"/>
      <c r="R833" s="160"/>
      <c r="S833" s="160"/>
      <c r="T833" s="18"/>
      <c r="U833" s="18"/>
      <c r="V833" s="18"/>
      <c r="W833" s="18"/>
      <c r="X833" s="18"/>
      <c r="Y833" s="18"/>
      <c r="Z833" s="18"/>
      <c r="AA833" s="18"/>
    </row>
    <row r="834">
      <c r="A834" s="317"/>
      <c r="B834" s="172"/>
      <c r="C834" s="160"/>
      <c r="D834" s="160"/>
      <c r="E834" s="160"/>
      <c r="F834" s="160"/>
      <c r="G834" s="160"/>
      <c r="H834" s="160"/>
      <c r="I834" s="172"/>
      <c r="J834" s="160"/>
      <c r="K834" s="172"/>
      <c r="L834" s="172"/>
      <c r="M834" s="172"/>
      <c r="N834" s="160"/>
      <c r="O834" s="160"/>
      <c r="P834" s="160"/>
      <c r="Q834" s="160"/>
      <c r="R834" s="160"/>
      <c r="S834" s="160"/>
      <c r="T834" s="18"/>
      <c r="U834" s="18"/>
      <c r="V834" s="18"/>
      <c r="W834" s="18"/>
      <c r="X834" s="18"/>
      <c r="Y834" s="18"/>
      <c r="Z834" s="18"/>
      <c r="AA834" s="18"/>
    </row>
    <row r="835">
      <c r="A835" s="317"/>
      <c r="B835" s="172"/>
      <c r="C835" s="160"/>
      <c r="D835" s="160"/>
      <c r="E835" s="160"/>
      <c r="F835" s="160"/>
      <c r="G835" s="160"/>
      <c r="H835" s="160"/>
      <c r="I835" s="172"/>
      <c r="J835" s="160"/>
      <c r="K835" s="172"/>
      <c r="L835" s="172"/>
      <c r="M835" s="172"/>
      <c r="N835" s="160"/>
      <c r="O835" s="160"/>
      <c r="P835" s="160"/>
      <c r="Q835" s="160"/>
      <c r="R835" s="160"/>
      <c r="S835" s="160"/>
      <c r="T835" s="18"/>
      <c r="U835" s="18"/>
      <c r="V835" s="18"/>
      <c r="W835" s="18"/>
      <c r="X835" s="18"/>
      <c r="Y835" s="18"/>
      <c r="Z835" s="18"/>
      <c r="AA835" s="18"/>
    </row>
    <row r="836">
      <c r="A836" s="317"/>
      <c r="B836" s="172"/>
      <c r="C836" s="160"/>
      <c r="D836" s="160"/>
      <c r="E836" s="160"/>
      <c r="F836" s="160"/>
      <c r="G836" s="160"/>
      <c r="H836" s="160"/>
      <c r="I836" s="172"/>
      <c r="J836" s="160"/>
      <c r="K836" s="172"/>
      <c r="L836" s="172"/>
      <c r="M836" s="172"/>
      <c r="N836" s="160"/>
      <c r="O836" s="160"/>
      <c r="P836" s="160"/>
      <c r="Q836" s="160"/>
      <c r="R836" s="160"/>
      <c r="S836" s="160"/>
      <c r="T836" s="18"/>
      <c r="U836" s="18"/>
      <c r="V836" s="18"/>
      <c r="W836" s="18"/>
      <c r="X836" s="18"/>
      <c r="Y836" s="18"/>
      <c r="Z836" s="18"/>
      <c r="AA836" s="18"/>
    </row>
    <row r="837">
      <c r="A837" s="317"/>
      <c r="B837" s="172"/>
      <c r="C837" s="160"/>
      <c r="D837" s="160"/>
      <c r="E837" s="160"/>
      <c r="F837" s="160"/>
      <c r="G837" s="160"/>
      <c r="H837" s="160"/>
      <c r="I837" s="172"/>
      <c r="J837" s="160"/>
      <c r="K837" s="172"/>
      <c r="L837" s="172"/>
      <c r="M837" s="172"/>
      <c r="N837" s="160"/>
      <c r="O837" s="160"/>
      <c r="P837" s="160"/>
      <c r="Q837" s="160"/>
      <c r="R837" s="160"/>
      <c r="S837" s="160"/>
      <c r="T837" s="18"/>
      <c r="U837" s="18"/>
      <c r="V837" s="18"/>
      <c r="W837" s="18"/>
      <c r="X837" s="18"/>
      <c r="Y837" s="18"/>
      <c r="Z837" s="18"/>
      <c r="AA837" s="18"/>
    </row>
    <row r="838">
      <c r="A838" s="317"/>
      <c r="B838" s="172"/>
      <c r="C838" s="160"/>
      <c r="D838" s="160"/>
      <c r="E838" s="160"/>
      <c r="F838" s="160"/>
      <c r="G838" s="160"/>
      <c r="H838" s="160"/>
      <c r="I838" s="172"/>
      <c r="J838" s="160"/>
      <c r="K838" s="172"/>
      <c r="L838" s="172"/>
      <c r="M838" s="172"/>
      <c r="N838" s="160"/>
      <c r="O838" s="160"/>
      <c r="P838" s="160"/>
      <c r="Q838" s="160"/>
      <c r="R838" s="160"/>
      <c r="S838" s="160"/>
      <c r="T838" s="18"/>
      <c r="U838" s="18"/>
      <c r="V838" s="18"/>
      <c r="W838" s="18"/>
      <c r="X838" s="18"/>
      <c r="Y838" s="18"/>
      <c r="Z838" s="18"/>
      <c r="AA838" s="18"/>
    </row>
    <row r="839">
      <c r="A839" s="317"/>
      <c r="B839" s="172"/>
      <c r="C839" s="160"/>
      <c r="D839" s="160"/>
      <c r="E839" s="160"/>
      <c r="F839" s="160"/>
      <c r="G839" s="160"/>
      <c r="H839" s="160"/>
      <c r="I839" s="172"/>
      <c r="J839" s="160"/>
      <c r="K839" s="172"/>
      <c r="L839" s="172"/>
      <c r="M839" s="172"/>
      <c r="N839" s="160"/>
      <c r="O839" s="160"/>
      <c r="P839" s="160"/>
      <c r="Q839" s="160"/>
      <c r="R839" s="160"/>
      <c r="S839" s="160"/>
      <c r="T839" s="18"/>
      <c r="U839" s="18"/>
      <c r="V839" s="18"/>
      <c r="W839" s="18"/>
      <c r="X839" s="18"/>
      <c r="Y839" s="18"/>
      <c r="Z839" s="18"/>
      <c r="AA839" s="18"/>
    </row>
    <row r="840">
      <c r="A840" s="317"/>
      <c r="B840" s="172"/>
      <c r="C840" s="160"/>
      <c r="D840" s="160"/>
      <c r="E840" s="160"/>
      <c r="F840" s="160"/>
      <c r="G840" s="160"/>
      <c r="H840" s="160"/>
      <c r="I840" s="172"/>
      <c r="J840" s="160"/>
      <c r="K840" s="172"/>
      <c r="L840" s="172"/>
      <c r="M840" s="172"/>
      <c r="N840" s="160"/>
      <c r="O840" s="160"/>
      <c r="P840" s="160"/>
      <c r="Q840" s="160"/>
      <c r="R840" s="160"/>
      <c r="S840" s="160"/>
      <c r="T840" s="18"/>
      <c r="U840" s="18"/>
      <c r="V840" s="18"/>
      <c r="W840" s="18"/>
      <c r="X840" s="18"/>
      <c r="Y840" s="18"/>
      <c r="Z840" s="18"/>
      <c r="AA840" s="18"/>
    </row>
    <row r="841">
      <c r="A841" s="317"/>
      <c r="B841" s="172"/>
      <c r="C841" s="160"/>
      <c r="D841" s="160"/>
      <c r="E841" s="160"/>
      <c r="F841" s="160"/>
      <c r="G841" s="160"/>
      <c r="H841" s="160"/>
      <c r="I841" s="172"/>
      <c r="J841" s="160"/>
      <c r="K841" s="172"/>
      <c r="L841" s="172"/>
      <c r="M841" s="172"/>
      <c r="N841" s="160"/>
      <c r="O841" s="160"/>
      <c r="P841" s="160"/>
      <c r="Q841" s="160"/>
      <c r="R841" s="160"/>
      <c r="S841" s="160"/>
      <c r="T841" s="18"/>
      <c r="U841" s="18"/>
      <c r="V841" s="18"/>
      <c r="W841" s="18"/>
      <c r="X841" s="18"/>
      <c r="Y841" s="18"/>
      <c r="Z841" s="18"/>
      <c r="AA841" s="18"/>
    </row>
    <row r="842">
      <c r="A842" s="317"/>
      <c r="B842" s="172"/>
      <c r="C842" s="160"/>
      <c r="D842" s="160"/>
      <c r="E842" s="160"/>
      <c r="F842" s="160"/>
      <c r="G842" s="160"/>
      <c r="H842" s="160"/>
      <c r="I842" s="172"/>
      <c r="J842" s="160"/>
      <c r="K842" s="172"/>
      <c r="L842" s="172"/>
      <c r="M842" s="172"/>
      <c r="N842" s="160"/>
      <c r="O842" s="160"/>
      <c r="P842" s="160"/>
      <c r="Q842" s="160"/>
      <c r="R842" s="160"/>
      <c r="S842" s="160"/>
      <c r="T842" s="18"/>
      <c r="U842" s="18"/>
      <c r="V842" s="18"/>
      <c r="W842" s="18"/>
      <c r="X842" s="18"/>
      <c r="Y842" s="18"/>
      <c r="Z842" s="18"/>
      <c r="AA842" s="18"/>
    </row>
    <row r="843">
      <c r="A843" s="317"/>
      <c r="B843" s="172"/>
      <c r="C843" s="160"/>
      <c r="D843" s="160"/>
      <c r="E843" s="160"/>
      <c r="F843" s="160"/>
      <c r="G843" s="160"/>
      <c r="H843" s="160"/>
      <c r="I843" s="172"/>
      <c r="J843" s="160"/>
      <c r="K843" s="172"/>
      <c r="L843" s="172"/>
      <c r="M843" s="172"/>
      <c r="N843" s="160"/>
      <c r="O843" s="160"/>
      <c r="P843" s="160"/>
      <c r="Q843" s="160"/>
      <c r="R843" s="160"/>
      <c r="S843" s="160"/>
      <c r="T843" s="18"/>
      <c r="U843" s="18"/>
      <c r="V843" s="18"/>
      <c r="W843" s="18"/>
      <c r="X843" s="18"/>
      <c r="Y843" s="18"/>
      <c r="Z843" s="18"/>
      <c r="AA843" s="18"/>
    </row>
    <row r="844">
      <c r="A844" s="317"/>
      <c r="B844" s="172"/>
      <c r="C844" s="160"/>
      <c r="D844" s="160"/>
      <c r="E844" s="160"/>
      <c r="F844" s="160"/>
      <c r="G844" s="160"/>
      <c r="H844" s="160"/>
      <c r="I844" s="172"/>
      <c r="J844" s="160"/>
      <c r="K844" s="172"/>
      <c r="L844" s="172"/>
      <c r="M844" s="172"/>
      <c r="N844" s="160"/>
      <c r="O844" s="160"/>
      <c r="P844" s="160"/>
      <c r="Q844" s="160"/>
      <c r="R844" s="160"/>
      <c r="S844" s="160"/>
      <c r="T844" s="18"/>
      <c r="U844" s="18"/>
      <c r="V844" s="18"/>
      <c r="W844" s="18"/>
      <c r="X844" s="18"/>
      <c r="Y844" s="18"/>
      <c r="Z844" s="18"/>
      <c r="AA844" s="18"/>
    </row>
    <row r="845">
      <c r="A845" s="317"/>
      <c r="B845" s="172"/>
      <c r="C845" s="160"/>
      <c r="D845" s="160"/>
      <c r="E845" s="160"/>
      <c r="F845" s="160"/>
      <c r="G845" s="160"/>
      <c r="H845" s="160"/>
      <c r="I845" s="172"/>
      <c r="J845" s="160"/>
      <c r="K845" s="172"/>
      <c r="L845" s="172"/>
      <c r="M845" s="172"/>
      <c r="N845" s="160"/>
      <c r="O845" s="160"/>
      <c r="P845" s="160"/>
      <c r="Q845" s="160"/>
      <c r="R845" s="160"/>
      <c r="S845" s="160"/>
      <c r="T845" s="18"/>
      <c r="U845" s="18"/>
      <c r="V845" s="18"/>
      <c r="W845" s="18"/>
      <c r="X845" s="18"/>
      <c r="Y845" s="18"/>
      <c r="Z845" s="18"/>
      <c r="AA845" s="18"/>
    </row>
    <row r="846">
      <c r="A846" s="317"/>
      <c r="B846" s="172"/>
      <c r="C846" s="160"/>
      <c r="D846" s="160"/>
      <c r="E846" s="160"/>
      <c r="F846" s="160"/>
      <c r="G846" s="160"/>
      <c r="H846" s="160"/>
      <c r="I846" s="172"/>
      <c r="J846" s="160"/>
      <c r="K846" s="172"/>
      <c r="L846" s="172"/>
      <c r="M846" s="172"/>
      <c r="N846" s="160"/>
      <c r="O846" s="160"/>
      <c r="P846" s="160"/>
      <c r="Q846" s="160"/>
      <c r="R846" s="160"/>
      <c r="S846" s="160"/>
      <c r="T846" s="18"/>
      <c r="U846" s="18"/>
      <c r="V846" s="18"/>
      <c r="W846" s="18"/>
      <c r="X846" s="18"/>
      <c r="Y846" s="18"/>
      <c r="Z846" s="18"/>
      <c r="AA846" s="18"/>
    </row>
    <row r="847">
      <c r="A847" s="317"/>
      <c r="B847" s="172"/>
      <c r="C847" s="160"/>
      <c r="D847" s="160"/>
      <c r="E847" s="160"/>
      <c r="F847" s="160"/>
      <c r="G847" s="160"/>
      <c r="H847" s="160"/>
      <c r="I847" s="172"/>
      <c r="J847" s="160"/>
      <c r="K847" s="172"/>
      <c r="L847" s="172"/>
      <c r="M847" s="172"/>
      <c r="N847" s="160"/>
      <c r="O847" s="160"/>
      <c r="P847" s="160"/>
      <c r="Q847" s="160"/>
      <c r="R847" s="160"/>
      <c r="S847" s="160"/>
      <c r="T847" s="18"/>
      <c r="U847" s="18"/>
      <c r="V847" s="18"/>
      <c r="W847" s="18"/>
      <c r="X847" s="18"/>
      <c r="Y847" s="18"/>
      <c r="Z847" s="18"/>
      <c r="AA847" s="18"/>
    </row>
    <row r="848">
      <c r="A848" s="317"/>
      <c r="B848" s="172"/>
      <c r="C848" s="160"/>
      <c r="D848" s="160"/>
      <c r="E848" s="160"/>
      <c r="F848" s="160"/>
      <c r="G848" s="160"/>
      <c r="H848" s="160"/>
      <c r="I848" s="172"/>
      <c r="J848" s="160"/>
      <c r="K848" s="172"/>
      <c r="L848" s="172"/>
      <c r="M848" s="172"/>
      <c r="N848" s="160"/>
      <c r="O848" s="160"/>
      <c r="P848" s="160"/>
      <c r="Q848" s="160"/>
      <c r="R848" s="160"/>
      <c r="S848" s="160"/>
      <c r="T848" s="18"/>
      <c r="U848" s="18"/>
      <c r="V848" s="18"/>
      <c r="W848" s="18"/>
      <c r="X848" s="18"/>
      <c r="Y848" s="18"/>
      <c r="Z848" s="18"/>
      <c r="AA848" s="18"/>
    </row>
    <row r="849">
      <c r="A849" s="317"/>
      <c r="B849" s="172"/>
      <c r="C849" s="160"/>
      <c r="D849" s="160"/>
      <c r="E849" s="160"/>
      <c r="F849" s="160"/>
      <c r="G849" s="160"/>
      <c r="H849" s="160"/>
      <c r="I849" s="172"/>
      <c r="J849" s="160"/>
      <c r="K849" s="172"/>
      <c r="L849" s="172"/>
      <c r="M849" s="172"/>
      <c r="N849" s="160"/>
      <c r="O849" s="160"/>
      <c r="P849" s="160"/>
      <c r="Q849" s="160"/>
      <c r="R849" s="160"/>
      <c r="S849" s="160"/>
      <c r="T849" s="18"/>
      <c r="U849" s="18"/>
      <c r="V849" s="18"/>
      <c r="W849" s="18"/>
      <c r="X849" s="18"/>
      <c r="Y849" s="18"/>
      <c r="Z849" s="18"/>
      <c r="AA849" s="18"/>
    </row>
    <row r="850">
      <c r="A850" s="317"/>
      <c r="B850" s="172"/>
      <c r="C850" s="160"/>
      <c r="D850" s="160"/>
      <c r="E850" s="160"/>
      <c r="F850" s="160"/>
      <c r="G850" s="160"/>
      <c r="H850" s="160"/>
      <c r="I850" s="172"/>
      <c r="J850" s="160"/>
      <c r="K850" s="172"/>
      <c r="L850" s="172"/>
      <c r="M850" s="172"/>
      <c r="N850" s="160"/>
      <c r="O850" s="160"/>
      <c r="P850" s="160"/>
      <c r="Q850" s="160"/>
      <c r="R850" s="160"/>
      <c r="S850" s="160"/>
      <c r="T850" s="18"/>
      <c r="U850" s="18"/>
      <c r="V850" s="18"/>
      <c r="W850" s="18"/>
      <c r="X850" s="18"/>
      <c r="Y850" s="18"/>
      <c r="Z850" s="18"/>
      <c r="AA850" s="18"/>
    </row>
    <row r="851">
      <c r="A851" s="317"/>
      <c r="B851" s="172"/>
      <c r="C851" s="160"/>
      <c r="D851" s="160"/>
      <c r="E851" s="160"/>
      <c r="F851" s="160"/>
      <c r="G851" s="160"/>
      <c r="H851" s="160"/>
      <c r="I851" s="172"/>
      <c r="J851" s="160"/>
      <c r="K851" s="172"/>
      <c r="L851" s="172"/>
      <c r="M851" s="172"/>
      <c r="N851" s="160"/>
      <c r="O851" s="160"/>
      <c r="P851" s="160"/>
      <c r="Q851" s="160"/>
      <c r="R851" s="160"/>
      <c r="S851" s="160"/>
      <c r="T851" s="18"/>
      <c r="U851" s="18"/>
      <c r="V851" s="18"/>
      <c r="W851" s="18"/>
      <c r="X851" s="18"/>
      <c r="Y851" s="18"/>
      <c r="Z851" s="18"/>
      <c r="AA851" s="18"/>
    </row>
    <row r="852">
      <c r="A852" s="317"/>
      <c r="B852" s="172"/>
      <c r="C852" s="160"/>
      <c r="D852" s="160"/>
      <c r="E852" s="160"/>
      <c r="F852" s="160"/>
      <c r="G852" s="160"/>
      <c r="H852" s="160"/>
      <c r="I852" s="172"/>
      <c r="J852" s="160"/>
      <c r="K852" s="172"/>
      <c r="L852" s="172"/>
      <c r="M852" s="172"/>
      <c r="N852" s="160"/>
      <c r="O852" s="160"/>
      <c r="P852" s="160"/>
      <c r="Q852" s="160"/>
      <c r="R852" s="160"/>
      <c r="S852" s="160"/>
      <c r="T852" s="18"/>
      <c r="U852" s="18"/>
      <c r="V852" s="18"/>
      <c r="W852" s="18"/>
      <c r="X852" s="18"/>
      <c r="Y852" s="18"/>
      <c r="Z852" s="18"/>
      <c r="AA852" s="18"/>
    </row>
    <row r="853">
      <c r="A853" s="317"/>
      <c r="B853" s="172"/>
      <c r="C853" s="160"/>
      <c r="D853" s="160"/>
      <c r="E853" s="160"/>
      <c r="F853" s="160"/>
      <c r="G853" s="160"/>
      <c r="H853" s="160"/>
      <c r="I853" s="172"/>
      <c r="J853" s="160"/>
      <c r="K853" s="172"/>
      <c r="L853" s="172"/>
      <c r="M853" s="172"/>
      <c r="N853" s="160"/>
      <c r="O853" s="160"/>
      <c r="P853" s="160"/>
      <c r="Q853" s="160"/>
      <c r="R853" s="160"/>
      <c r="S853" s="160"/>
      <c r="T853" s="18"/>
      <c r="U853" s="18"/>
      <c r="V853" s="18"/>
      <c r="W853" s="18"/>
      <c r="X853" s="18"/>
      <c r="Y853" s="18"/>
      <c r="Z853" s="18"/>
      <c r="AA853" s="18"/>
    </row>
    <row r="854">
      <c r="A854" s="317"/>
      <c r="B854" s="172"/>
      <c r="C854" s="160"/>
      <c r="D854" s="160"/>
      <c r="E854" s="160"/>
      <c r="F854" s="160"/>
      <c r="G854" s="160"/>
      <c r="H854" s="160"/>
      <c r="I854" s="172"/>
      <c r="J854" s="160"/>
      <c r="K854" s="172"/>
      <c r="L854" s="172"/>
      <c r="M854" s="172"/>
      <c r="N854" s="160"/>
      <c r="O854" s="160"/>
      <c r="P854" s="160"/>
      <c r="Q854" s="160"/>
      <c r="R854" s="160"/>
      <c r="S854" s="160"/>
      <c r="T854" s="18"/>
      <c r="U854" s="18"/>
      <c r="V854" s="18"/>
      <c r="W854" s="18"/>
      <c r="X854" s="18"/>
      <c r="Y854" s="18"/>
      <c r="Z854" s="18"/>
      <c r="AA854" s="18"/>
    </row>
    <row r="855">
      <c r="A855" s="317"/>
      <c r="B855" s="172"/>
      <c r="C855" s="160"/>
      <c r="D855" s="160"/>
      <c r="E855" s="160"/>
      <c r="F855" s="160"/>
      <c r="G855" s="160"/>
      <c r="H855" s="160"/>
      <c r="I855" s="172"/>
      <c r="J855" s="160"/>
      <c r="K855" s="172"/>
      <c r="L855" s="172"/>
      <c r="M855" s="172"/>
      <c r="N855" s="160"/>
      <c r="O855" s="160"/>
      <c r="P855" s="160"/>
      <c r="Q855" s="160"/>
      <c r="R855" s="160"/>
      <c r="S855" s="160"/>
      <c r="T855" s="18"/>
      <c r="U855" s="18"/>
      <c r="V855" s="18"/>
      <c r="W855" s="18"/>
      <c r="X855" s="18"/>
      <c r="Y855" s="18"/>
      <c r="Z855" s="18"/>
      <c r="AA855" s="18"/>
    </row>
    <row r="856">
      <c r="A856" s="317"/>
      <c r="B856" s="172"/>
      <c r="C856" s="160"/>
      <c r="D856" s="160"/>
      <c r="E856" s="160"/>
      <c r="F856" s="160"/>
      <c r="G856" s="160"/>
      <c r="H856" s="160"/>
      <c r="I856" s="172"/>
      <c r="J856" s="160"/>
      <c r="K856" s="172"/>
      <c r="L856" s="172"/>
      <c r="M856" s="172"/>
      <c r="N856" s="160"/>
      <c r="O856" s="160"/>
      <c r="P856" s="160"/>
      <c r="Q856" s="160"/>
      <c r="R856" s="160"/>
      <c r="S856" s="160"/>
      <c r="T856" s="18"/>
      <c r="U856" s="18"/>
      <c r="V856" s="18"/>
      <c r="W856" s="18"/>
      <c r="X856" s="18"/>
      <c r="Y856" s="18"/>
      <c r="Z856" s="18"/>
      <c r="AA856" s="18"/>
    </row>
    <row r="857">
      <c r="A857" s="317"/>
      <c r="B857" s="172"/>
      <c r="C857" s="160"/>
      <c r="D857" s="160"/>
      <c r="E857" s="160"/>
      <c r="F857" s="160"/>
      <c r="G857" s="160"/>
      <c r="H857" s="160"/>
      <c r="I857" s="172"/>
      <c r="J857" s="160"/>
      <c r="K857" s="172"/>
      <c r="L857" s="172"/>
      <c r="M857" s="172"/>
      <c r="N857" s="160"/>
      <c r="O857" s="160"/>
      <c r="P857" s="160"/>
      <c r="Q857" s="160"/>
      <c r="R857" s="160"/>
      <c r="S857" s="160"/>
      <c r="T857" s="18"/>
      <c r="U857" s="18"/>
      <c r="V857" s="18"/>
      <c r="W857" s="18"/>
      <c r="X857" s="18"/>
      <c r="Y857" s="18"/>
      <c r="Z857" s="18"/>
      <c r="AA857" s="18"/>
    </row>
    <row r="858">
      <c r="A858" s="317"/>
      <c r="B858" s="172"/>
      <c r="C858" s="160"/>
      <c r="D858" s="160"/>
      <c r="E858" s="160"/>
      <c r="F858" s="160"/>
      <c r="G858" s="160"/>
      <c r="H858" s="160"/>
      <c r="I858" s="172"/>
      <c r="J858" s="160"/>
      <c r="K858" s="172"/>
      <c r="L858" s="172"/>
      <c r="M858" s="172"/>
      <c r="N858" s="160"/>
      <c r="O858" s="160"/>
      <c r="P858" s="160"/>
      <c r="Q858" s="160"/>
      <c r="R858" s="160"/>
      <c r="S858" s="160"/>
      <c r="T858" s="18"/>
      <c r="U858" s="18"/>
      <c r="V858" s="18"/>
      <c r="W858" s="18"/>
      <c r="X858" s="18"/>
      <c r="Y858" s="18"/>
      <c r="Z858" s="18"/>
      <c r="AA858" s="18"/>
    </row>
    <row r="859">
      <c r="A859" s="317"/>
      <c r="B859" s="172"/>
      <c r="C859" s="160"/>
      <c r="D859" s="160"/>
      <c r="E859" s="160"/>
      <c r="F859" s="160"/>
      <c r="G859" s="160"/>
      <c r="H859" s="160"/>
      <c r="I859" s="172"/>
      <c r="J859" s="160"/>
      <c r="K859" s="172"/>
      <c r="L859" s="172"/>
      <c r="M859" s="172"/>
      <c r="N859" s="160"/>
      <c r="O859" s="160"/>
      <c r="P859" s="160"/>
      <c r="Q859" s="160"/>
      <c r="R859" s="160"/>
      <c r="S859" s="160"/>
      <c r="T859" s="18"/>
      <c r="U859" s="18"/>
      <c r="V859" s="18"/>
      <c r="W859" s="18"/>
      <c r="X859" s="18"/>
      <c r="Y859" s="18"/>
      <c r="Z859" s="18"/>
      <c r="AA859" s="18"/>
    </row>
    <row r="860">
      <c r="A860" s="317"/>
      <c r="B860" s="172"/>
      <c r="C860" s="160"/>
      <c r="D860" s="160"/>
      <c r="E860" s="160"/>
      <c r="F860" s="160"/>
      <c r="G860" s="160"/>
      <c r="H860" s="160"/>
      <c r="I860" s="172"/>
      <c r="J860" s="160"/>
      <c r="K860" s="172"/>
      <c r="L860" s="172"/>
      <c r="M860" s="172"/>
      <c r="N860" s="160"/>
      <c r="O860" s="160"/>
      <c r="P860" s="160"/>
      <c r="Q860" s="160"/>
      <c r="R860" s="160"/>
      <c r="S860" s="160"/>
      <c r="T860" s="18"/>
      <c r="U860" s="18"/>
      <c r="V860" s="18"/>
      <c r="W860" s="18"/>
      <c r="X860" s="18"/>
      <c r="Y860" s="18"/>
      <c r="Z860" s="18"/>
      <c r="AA860" s="18"/>
    </row>
    <row r="861">
      <c r="A861" s="317"/>
      <c r="B861" s="172"/>
      <c r="C861" s="160"/>
      <c r="D861" s="160"/>
      <c r="E861" s="160"/>
      <c r="F861" s="160"/>
      <c r="G861" s="160"/>
      <c r="H861" s="160"/>
      <c r="I861" s="172"/>
      <c r="J861" s="160"/>
      <c r="K861" s="172"/>
      <c r="L861" s="172"/>
      <c r="M861" s="172"/>
      <c r="N861" s="160"/>
      <c r="O861" s="160"/>
      <c r="P861" s="160"/>
      <c r="Q861" s="160"/>
      <c r="R861" s="160"/>
      <c r="S861" s="160"/>
      <c r="T861" s="18"/>
      <c r="U861" s="18"/>
      <c r="V861" s="18"/>
      <c r="W861" s="18"/>
      <c r="X861" s="18"/>
      <c r="Y861" s="18"/>
      <c r="Z861" s="18"/>
      <c r="AA861" s="18"/>
    </row>
    <row r="862">
      <c r="A862" s="317"/>
      <c r="B862" s="172"/>
      <c r="C862" s="160"/>
      <c r="D862" s="160"/>
      <c r="E862" s="160"/>
      <c r="F862" s="160"/>
      <c r="G862" s="160"/>
      <c r="H862" s="160"/>
      <c r="I862" s="172"/>
      <c r="J862" s="160"/>
      <c r="K862" s="172"/>
      <c r="L862" s="172"/>
      <c r="M862" s="172"/>
      <c r="N862" s="160"/>
      <c r="O862" s="160"/>
      <c r="P862" s="160"/>
      <c r="Q862" s="160"/>
      <c r="R862" s="160"/>
      <c r="S862" s="160"/>
      <c r="T862" s="18"/>
      <c r="U862" s="18"/>
      <c r="V862" s="18"/>
      <c r="W862" s="18"/>
      <c r="X862" s="18"/>
      <c r="Y862" s="18"/>
      <c r="Z862" s="18"/>
      <c r="AA862" s="18"/>
    </row>
    <row r="863">
      <c r="A863" s="317"/>
      <c r="B863" s="172"/>
      <c r="C863" s="160"/>
      <c r="D863" s="160"/>
      <c r="E863" s="160"/>
      <c r="F863" s="160"/>
      <c r="G863" s="160"/>
      <c r="H863" s="160"/>
      <c r="I863" s="172"/>
      <c r="J863" s="160"/>
      <c r="K863" s="172"/>
      <c r="L863" s="172"/>
      <c r="M863" s="172"/>
      <c r="N863" s="160"/>
      <c r="O863" s="160"/>
      <c r="P863" s="160"/>
      <c r="Q863" s="160"/>
      <c r="R863" s="160"/>
      <c r="S863" s="160"/>
      <c r="T863" s="18"/>
      <c r="U863" s="18"/>
      <c r="V863" s="18"/>
      <c r="W863" s="18"/>
      <c r="X863" s="18"/>
      <c r="Y863" s="18"/>
      <c r="Z863" s="18"/>
      <c r="AA863" s="18"/>
    </row>
    <row r="864">
      <c r="A864" s="317"/>
      <c r="B864" s="172"/>
      <c r="C864" s="160"/>
      <c r="D864" s="160"/>
      <c r="E864" s="160"/>
      <c r="F864" s="160"/>
      <c r="G864" s="160"/>
      <c r="H864" s="160"/>
      <c r="I864" s="172"/>
      <c r="J864" s="160"/>
      <c r="K864" s="172"/>
      <c r="L864" s="172"/>
      <c r="M864" s="172"/>
      <c r="N864" s="160"/>
      <c r="O864" s="160"/>
      <c r="P864" s="160"/>
      <c r="Q864" s="160"/>
      <c r="R864" s="160"/>
      <c r="S864" s="160"/>
      <c r="T864" s="18"/>
      <c r="U864" s="18"/>
      <c r="V864" s="18"/>
      <c r="W864" s="18"/>
      <c r="X864" s="18"/>
      <c r="Y864" s="18"/>
      <c r="Z864" s="18"/>
      <c r="AA864" s="18"/>
    </row>
    <row r="865">
      <c r="A865" s="317"/>
      <c r="B865" s="172"/>
      <c r="C865" s="160"/>
      <c r="D865" s="160"/>
      <c r="E865" s="160"/>
      <c r="F865" s="160"/>
      <c r="G865" s="160"/>
      <c r="H865" s="160"/>
      <c r="I865" s="172"/>
      <c r="J865" s="160"/>
      <c r="K865" s="172"/>
      <c r="L865" s="172"/>
      <c r="M865" s="172"/>
      <c r="N865" s="160"/>
      <c r="O865" s="160"/>
      <c r="P865" s="160"/>
      <c r="Q865" s="160"/>
      <c r="R865" s="160"/>
      <c r="S865" s="160"/>
      <c r="T865" s="18"/>
      <c r="U865" s="18"/>
      <c r="V865" s="18"/>
      <c r="W865" s="18"/>
      <c r="X865" s="18"/>
      <c r="Y865" s="18"/>
      <c r="Z865" s="18"/>
      <c r="AA865" s="18"/>
    </row>
    <row r="866">
      <c r="A866" s="317"/>
      <c r="B866" s="172"/>
      <c r="C866" s="160"/>
      <c r="D866" s="160"/>
      <c r="E866" s="160"/>
      <c r="F866" s="160"/>
      <c r="G866" s="160"/>
      <c r="H866" s="160"/>
      <c r="I866" s="172"/>
      <c r="J866" s="160"/>
      <c r="K866" s="172"/>
      <c r="L866" s="172"/>
      <c r="M866" s="172"/>
      <c r="N866" s="160"/>
      <c r="O866" s="160"/>
      <c r="P866" s="160"/>
      <c r="Q866" s="160"/>
      <c r="R866" s="160"/>
      <c r="S866" s="160"/>
      <c r="T866" s="18"/>
      <c r="U866" s="18"/>
      <c r="V866" s="18"/>
      <c r="W866" s="18"/>
      <c r="X866" s="18"/>
      <c r="Y866" s="18"/>
      <c r="Z866" s="18"/>
      <c r="AA866" s="18"/>
    </row>
    <row r="867">
      <c r="A867" s="317"/>
      <c r="B867" s="172"/>
      <c r="C867" s="160"/>
      <c r="D867" s="160"/>
      <c r="E867" s="160"/>
      <c r="F867" s="160"/>
      <c r="G867" s="160"/>
      <c r="H867" s="160"/>
      <c r="I867" s="172"/>
      <c r="J867" s="160"/>
      <c r="K867" s="172"/>
      <c r="L867" s="172"/>
      <c r="M867" s="172"/>
      <c r="N867" s="160"/>
      <c r="O867" s="160"/>
      <c r="P867" s="160"/>
      <c r="Q867" s="160"/>
      <c r="R867" s="160"/>
      <c r="S867" s="160"/>
      <c r="T867" s="18"/>
      <c r="U867" s="18"/>
      <c r="V867" s="18"/>
      <c r="W867" s="18"/>
      <c r="X867" s="18"/>
      <c r="Y867" s="18"/>
      <c r="Z867" s="18"/>
      <c r="AA867" s="18"/>
    </row>
    <row r="868">
      <c r="A868" s="317"/>
      <c r="B868" s="172"/>
      <c r="C868" s="160"/>
      <c r="D868" s="160"/>
      <c r="E868" s="160"/>
      <c r="F868" s="160"/>
      <c r="G868" s="160"/>
      <c r="H868" s="160"/>
      <c r="I868" s="172"/>
      <c r="J868" s="160"/>
      <c r="K868" s="172"/>
      <c r="L868" s="172"/>
      <c r="M868" s="172"/>
      <c r="N868" s="160"/>
      <c r="O868" s="160"/>
      <c r="P868" s="160"/>
      <c r="Q868" s="160"/>
      <c r="R868" s="160"/>
      <c r="S868" s="160"/>
      <c r="T868" s="18"/>
      <c r="U868" s="18"/>
      <c r="V868" s="18"/>
      <c r="W868" s="18"/>
      <c r="X868" s="18"/>
      <c r="Y868" s="18"/>
      <c r="Z868" s="18"/>
      <c r="AA868" s="18"/>
    </row>
    <row r="869">
      <c r="A869" s="317"/>
      <c r="B869" s="172"/>
      <c r="C869" s="160"/>
      <c r="D869" s="160"/>
      <c r="E869" s="160"/>
      <c r="F869" s="160"/>
      <c r="G869" s="160"/>
      <c r="H869" s="160"/>
      <c r="I869" s="172"/>
      <c r="J869" s="160"/>
      <c r="K869" s="172"/>
      <c r="L869" s="172"/>
      <c r="M869" s="172"/>
      <c r="N869" s="160"/>
      <c r="O869" s="160"/>
      <c r="P869" s="160"/>
      <c r="Q869" s="160"/>
      <c r="R869" s="160"/>
      <c r="S869" s="160"/>
      <c r="T869" s="18"/>
      <c r="U869" s="18"/>
      <c r="V869" s="18"/>
      <c r="W869" s="18"/>
      <c r="X869" s="18"/>
      <c r="Y869" s="18"/>
      <c r="Z869" s="18"/>
      <c r="AA869" s="18"/>
    </row>
    <row r="870">
      <c r="A870" s="317"/>
      <c r="B870" s="172"/>
      <c r="C870" s="160"/>
      <c r="D870" s="160"/>
      <c r="E870" s="160"/>
      <c r="F870" s="160"/>
      <c r="G870" s="160"/>
      <c r="H870" s="160"/>
      <c r="I870" s="172"/>
      <c r="J870" s="160"/>
      <c r="K870" s="172"/>
      <c r="L870" s="172"/>
      <c r="M870" s="172"/>
      <c r="N870" s="160"/>
      <c r="O870" s="160"/>
      <c r="P870" s="160"/>
      <c r="Q870" s="160"/>
      <c r="R870" s="160"/>
      <c r="S870" s="160"/>
      <c r="T870" s="18"/>
      <c r="U870" s="18"/>
      <c r="V870" s="18"/>
      <c r="W870" s="18"/>
      <c r="X870" s="18"/>
      <c r="Y870" s="18"/>
      <c r="Z870" s="18"/>
      <c r="AA870" s="18"/>
    </row>
    <row r="871">
      <c r="A871" s="317"/>
      <c r="B871" s="172"/>
      <c r="C871" s="160"/>
      <c r="D871" s="160"/>
      <c r="E871" s="160"/>
      <c r="F871" s="160"/>
      <c r="G871" s="160"/>
      <c r="H871" s="160"/>
      <c r="I871" s="172"/>
      <c r="J871" s="160"/>
      <c r="K871" s="172"/>
      <c r="L871" s="172"/>
      <c r="M871" s="172"/>
      <c r="N871" s="160"/>
      <c r="O871" s="160"/>
      <c r="P871" s="160"/>
      <c r="Q871" s="160"/>
      <c r="R871" s="160"/>
      <c r="S871" s="160"/>
      <c r="T871" s="18"/>
      <c r="U871" s="18"/>
      <c r="V871" s="18"/>
      <c r="W871" s="18"/>
      <c r="X871" s="18"/>
      <c r="Y871" s="18"/>
      <c r="Z871" s="18"/>
      <c r="AA871" s="18"/>
    </row>
    <row r="872">
      <c r="A872" s="317"/>
      <c r="B872" s="172"/>
      <c r="C872" s="160"/>
      <c r="D872" s="160"/>
      <c r="E872" s="160"/>
      <c r="F872" s="160"/>
      <c r="G872" s="160"/>
      <c r="H872" s="160"/>
      <c r="I872" s="172"/>
      <c r="J872" s="160"/>
      <c r="K872" s="172"/>
      <c r="L872" s="172"/>
      <c r="M872" s="172"/>
      <c r="N872" s="160"/>
      <c r="O872" s="160"/>
      <c r="P872" s="160"/>
      <c r="Q872" s="160"/>
      <c r="R872" s="160"/>
      <c r="S872" s="160"/>
      <c r="T872" s="18"/>
      <c r="U872" s="18"/>
      <c r="V872" s="18"/>
      <c r="W872" s="18"/>
      <c r="X872" s="18"/>
      <c r="Y872" s="18"/>
      <c r="Z872" s="18"/>
      <c r="AA872" s="18"/>
    </row>
    <row r="873">
      <c r="A873" s="317"/>
      <c r="B873" s="172"/>
      <c r="C873" s="160"/>
      <c r="D873" s="160"/>
      <c r="E873" s="160"/>
      <c r="F873" s="160"/>
      <c r="G873" s="160"/>
      <c r="H873" s="160"/>
      <c r="I873" s="172"/>
      <c r="J873" s="160"/>
      <c r="K873" s="172"/>
      <c r="L873" s="172"/>
      <c r="M873" s="172"/>
      <c r="N873" s="160"/>
      <c r="O873" s="160"/>
      <c r="P873" s="160"/>
      <c r="Q873" s="160"/>
      <c r="R873" s="160"/>
      <c r="S873" s="160"/>
      <c r="T873" s="18"/>
      <c r="U873" s="18"/>
      <c r="V873" s="18"/>
      <c r="W873" s="18"/>
      <c r="X873" s="18"/>
      <c r="Y873" s="18"/>
      <c r="Z873" s="18"/>
      <c r="AA873" s="18"/>
    </row>
    <row r="874">
      <c r="A874" s="317"/>
      <c r="B874" s="172"/>
      <c r="C874" s="160"/>
      <c r="D874" s="160"/>
      <c r="E874" s="160"/>
      <c r="F874" s="160"/>
      <c r="G874" s="160"/>
      <c r="H874" s="160"/>
      <c r="I874" s="172"/>
      <c r="J874" s="160"/>
      <c r="K874" s="172"/>
      <c r="L874" s="172"/>
      <c r="M874" s="172"/>
      <c r="N874" s="160"/>
      <c r="O874" s="160"/>
      <c r="P874" s="160"/>
      <c r="Q874" s="160"/>
      <c r="R874" s="160"/>
      <c r="S874" s="160"/>
      <c r="T874" s="18"/>
      <c r="U874" s="18"/>
      <c r="V874" s="18"/>
      <c r="W874" s="18"/>
      <c r="X874" s="18"/>
      <c r="Y874" s="18"/>
      <c r="Z874" s="18"/>
      <c r="AA874" s="18"/>
    </row>
    <row r="875">
      <c r="A875" s="317"/>
      <c r="B875" s="172"/>
      <c r="C875" s="160"/>
      <c r="D875" s="160"/>
      <c r="E875" s="160"/>
      <c r="F875" s="160"/>
      <c r="G875" s="160"/>
      <c r="H875" s="160"/>
      <c r="I875" s="172"/>
      <c r="J875" s="160"/>
      <c r="K875" s="172"/>
      <c r="L875" s="172"/>
      <c r="M875" s="172"/>
      <c r="N875" s="160"/>
      <c r="O875" s="160"/>
      <c r="P875" s="160"/>
      <c r="Q875" s="160"/>
      <c r="R875" s="160"/>
      <c r="S875" s="160"/>
      <c r="T875" s="18"/>
      <c r="U875" s="18"/>
      <c r="V875" s="18"/>
      <c r="W875" s="18"/>
      <c r="X875" s="18"/>
      <c r="Y875" s="18"/>
      <c r="Z875" s="18"/>
      <c r="AA875" s="18"/>
    </row>
    <row r="876">
      <c r="A876" s="317"/>
      <c r="B876" s="172"/>
      <c r="C876" s="160"/>
      <c r="D876" s="160"/>
      <c r="E876" s="160"/>
      <c r="F876" s="160"/>
      <c r="G876" s="160"/>
      <c r="H876" s="160"/>
      <c r="I876" s="172"/>
      <c r="J876" s="160"/>
      <c r="K876" s="172"/>
      <c r="L876" s="172"/>
      <c r="M876" s="172"/>
      <c r="N876" s="160"/>
      <c r="O876" s="160"/>
      <c r="P876" s="160"/>
      <c r="Q876" s="160"/>
      <c r="R876" s="160"/>
      <c r="S876" s="160"/>
      <c r="T876" s="18"/>
      <c r="U876" s="18"/>
      <c r="V876" s="18"/>
      <c r="W876" s="18"/>
      <c r="X876" s="18"/>
      <c r="Y876" s="18"/>
      <c r="Z876" s="18"/>
      <c r="AA876" s="18"/>
    </row>
    <row r="877">
      <c r="A877" s="317"/>
      <c r="B877" s="172"/>
      <c r="C877" s="160"/>
      <c r="D877" s="160"/>
      <c r="E877" s="160"/>
      <c r="F877" s="160"/>
      <c r="G877" s="160"/>
      <c r="H877" s="160"/>
      <c r="I877" s="172"/>
      <c r="J877" s="160"/>
      <c r="K877" s="172"/>
      <c r="L877" s="172"/>
      <c r="M877" s="172"/>
      <c r="N877" s="160"/>
      <c r="O877" s="160"/>
      <c r="P877" s="160"/>
      <c r="Q877" s="160"/>
      <c r="R877" s="160"/>
      <c r="S877" s="160"/>
      <c r="T877" s="18"/>
      <c r="U877" s="18"/>
      <c r="V877" s="18"/>
      <c r="W877" s="18"/>
      <c r="X877" s="18"/>
      <c r="Y877" s="18"/>
      <c r="Z877" s="18"/>
      <c r="AA877" s="18"/>
    </row>
    <row r="878">
      <c r="A878" s="317"/>
      <c r="B878" s="172"/>
      <c r="C878" s="160"/>
      <c r="D878" s="160"/>
      <c r="E878" s="160"/>
      <c r="F878" s="160"/>
      <c r="G878" s="160"/>
      <c r="H878" s="160"/>
      <c r="I878" s="172"/>
      <c r="J878" s="160"/>
      <c r="K878" s="172"/>
      <c r="L878" s="172"/>
      <c r="M878" s="172"/>
      <c r="N878" s="160"/>
      <c r="O878" s="160"/>
      <c r="P878" s="160"/>
      <c r="Q878" s="160"/>
      <c r="R878" s="160"/>
      <c r="S878" s="160"/>
      <c r="T878" s="18"/>
      <c r="U878" s="18"/>
      <c r="V878" s="18"/>
      <c r="W878" s="18"/>
      <c r="X878" s="18"/>
      <c r="Y878" s="18"/>
      <c r="Z878" s="18"/>
      <c r="AA878" s="18"/>
    </row>
    <row r="879">
      <c r="A879" s="317"/>
      <c r="B879" s="172"/>
      <c r="C879" s="160"/>
      <c r="D879" s="160"/>
      <c r="E879" s="160"/>
      <c r="F879" s="160"/>
      <c r="G879" s="160"/>
      <c r="H879" s="160"/>
      <c r="I879" s="172"/>
      <c r="J879" s="160"/>
      <c r="K879" s="172"/>
      <c r="L879" s="172"/>
      <c r="M879" s="172"/>
      <c r="N879" s="160"/>
      <c r="O879" s="160"/>
      <c r="P879" s="160"/>
      <c r="Q879" s="160"/>
      <c r="R879" s="160"/>
      <c r="S879" s="160"/>
      <c r="T879" s="18"/>
      <c r="U879" s="18"/>
      <c r="V879" s="18"/>
      <c r="W879" s="18"/>
      <c r="X879" s="18"/>
      <c r="Y879" s="18"/>
      <c r="Z879" s="18"/>
      <c r="AA879" s="18"/>
    </row>
    <row r="880">
      <c r="A880" s="317"/>
      <c r="B880" s="172"/>
      <c r="C880" s="160"/>
      <c r="D880" s="160"/>
      <c r="E880" s="160"/>
      <c r="F880" s="160"/>
      <c r="G880" s="160"/>
      <c r="H880" s="160"/>
      <c r="I880" s="172"/>
      <c r="J880" s="160"/>
      <c r="K880" s="172"/>
      <c r="L880" s="172"/>
      <c r="M880" s="172"/>
      <c r="N880" s="160"/>
      <c r="O880" s="160"/>
      <c r="P880" s="160"/>
      <c r="Q880" s="160"/>
      <c r="R880" s="160"/>
      <c r="S880" s="160"/>
      <c r="T880" s="18"/>
      <c r="U880" s="18"/>
      <c r="V880" s="18"/>
      <c r="W880" s="18"/>
      <c r="X880" s="18"/>
      <c r="Y880" s="18"/>
      <c r="Z880" s="18"/>
      <c r="AA880" s="18"/>
    </row>
    <row r="881">
      <c r="A881" s="317"/>
      <c r="B881" s="172"/>
      <c r="C881" s="160"/>
      <c r="D881" s="160"/>
      <c r="E881" s="160"/>
      <c r="F881" s="160"/>
      <c r="G881" s="160"/>
      <c r="H881" s="160"/>
      <c r="I881" s="172"/>
      <c r="J881" s="160"/>
      <c r="K881" s="172"/>
      <c r="L881" s="172"/>
      <c r="M881" s="172"/>
      <c r="N881" s="160"/>
      <c r="O881" s="160"/>
      <c r="P881" s="160"/>
      <c r="Q881" s="160"/>
      <c r="R881" s="160"/>
      <c r="S881" s="160"/>
      <c r="T881" s="18"/>
      <c r="U881" s="18"/>
      <c r="V881" s="18"/>
      <c r="W881" s="18"/>
      <c r="X881" s="18"/>
      <c r="Y881" s="18"/>
      <c r="Z881" s="18"/>
      <c r="AA881" s="18"/>
    </row>
    <row r="882">
      <c r="A882" s="317"/>
      <c r="B882" s="172"/>
      <c r="C882" s="160"/>
      <c r="D882" s="160"/>
      <c r="E882" s="160"/>
      <c r="F882" s="160"/>
      <c r="G882" s="160"/>
      <c r="H882" s="160"/>
      <c r="I882" s="172"/>
      <c r="J882" s="160"/>
      <c r="K882" s="172"/>
      <c r="L882" s="172"/>
      <c r="M882" s="172"/>
      <c r="N882" s="160"/>
      <c r="O882" s="160"/>
      <c r="P882" s="160"/>
      <c r="Q882" s="160"/>
      <c r="R882" s="160"/>
      <c r="S882" s="160"/>
      <c r="T882" s="18"/>
      <c r="U882" s="18"/>
      <c r="V882" s="18"/>
      <c r="W882" s="18"/>
      <c r="X882" s="18"/>
      <c r="Y882" s="18"/>
      <c r="Z882" s="18"/>
      <c r="AA882" s="18"/>
    </row>
    <row r="883">
      <c r="A883" s="317"/>
      <c r="B883" s="172"/>
      <c r="C883" s="160"/>
      <c r="D883" s="160"/>
      <c r="E883" s="160"/>
      <c r="F883" s="160"/>
      <c r="G883" s="160"/>
      <c r="H883" s="160"/>
      <c r="I883" s="172"/>
      <c r="J883" s="160"/>
      <c r="K883" s="172"/>
      <c r="L883" s="172"/>
      <c r="M883" s="172"/>
      <c r="N883" s="160"/>
      <c r="O883" s="160"/>
      <c r="P883" s="160"/>
      <c r="Q883" s="160"/>
      <c r="R883" s="160"/>
      <c r="S883" s="160"/>
      <c r="T883" s="18"/>
      <c r="U883" s="18"/>
      <c r="V883" s="18"/>
      <c r="W883" s="18"/>
      <c r="X883" s="18"/>
      <c r="Y883" s="18"/>
      <c r="Z883" s="18"/>
      <c r="AA883" s="18"/>
    </row>
    <row r="884">
      <c r="A884" s="317"/>
      <c r="B884" s="172"/>
      <c r="C884" s="160"/>
      <c r="D884" s="160"/>
      <c r="E884" s="160"/>
      <c r="F884" s="160"/>
      <c r="G884" s="160"/>
      <c r="H884" s="160"/>
      <c r="I884" s="172"/>
      <c r="J884" s="160"/>
      <c r="K884" s="172"/>
      <c r="L884" s="172"/>
      <c r="M884" s="172"/>
      <c r="N884" s="160"/>
      <c r="O884" s="160"/>
      <c r="P884" s="160"/>
      <c r="Q884" s="160"/>
      <c r="R884" s="160"/>
      <c r="S884" s="160"/>
      <c r="T884" s="18"/>
      <c r="U884" s="18"/>
      <c r="V884" s="18"/>
      <c r="W884" s="18"/>
      <c r="X884" s="18"/>
      <c r="Y884" s="18"/>
      <c r="Z884" s="18"/>
      <c r="AA884" s="18"/>
    </row>
    <row r="885">
      <c r="A885" s="317"/>
      <c r="B885" s="172"/>
      <c r="C885" s="160"/>
      <c r="D885" s="160"/>
      <c r="E885" s="160"/>
      <c r="F885" s="160"/>
      <c r="G885" s="160"/>
      <c r="H885" s="160"/>
      <c r="I885" s="172"/>
      <c r="J885" s="160"/>
      <c r="K885" s="172"/>
      <c r="L885" s="172"/>
      <c r="M885" s="172"/>
      <c r="N885" s="160"/>
      <c r="O885" s="160"/>
      <c r="P885" s="160"/>
      <c r="Q885" s="160"/>
      <c r="R885" s="160"/>
      <c r="S885" s="160"/>
      <c r="T885" s="18"/>
      <c r="U885" s="18"/>
      <c r="V885" s="18"/>
      <c r="W885" s="18"/>
      <c r="X885" s="18"/>
      <c r="Y885" s="18"/>
      <c r="Z885" s="18"/>
      <c r="AA885" s="18"/>
    </row>
    <row r="886">
      <c r="A886" s="317"/>
      <c r="B886" s="172"/>
      <c r="C886" s="160"/>
      <c r="D886" s="160"/>
      <c r="E886" s="160"/>
      <c r="F886" s="160"/>
      <c r="G886" s="160"/>
      <c r="H886" s="160"/>
      <c r="I886" s="172"/>
      <c r="J886" s="160"/>
      <c r="K886" s="172"/>
      <c r="L886" s="172"/>
      <c r="M886" s="172"/>
      <c r="N886" s="160"/>
      <c r="O886" s="160"/>
      <c r="P886" s="160"/>
      <c r="Q886" s="160"/>
      <c r="R886" s="160"/>
      <c r="S886" s="160"/>
      <c r="T886" s="18"/>
      <c r="U886" s="18"/>
      <c r="V886" s="18"/>
      <c r="W886" s="18"/>
      <c r="X886" s="18"/>
      <c r="Y886" s="18"/>
      <c r="Z886" s="18"/>
      <c r="AA886" s="18"/>
    </row>
    <row r="887">
      <c r="A887" s="317"/>
      <c r="B887" s="172"/>
      <c r="C887" s="160"/>
      <c r="D887" s="160"/>
      <c r="E887" s="160"/>
      <c r="F887" s="160"/>
      <c r="G887" s="160"/>
      <c r="H887" s="160"/>
      <c r="I887" s="172"/>
      <c r="J887" s="160"/>
      <c r="K887" s="172"/>
      <c r="L887" s="172"/>
      <c r="M887" s="172"/>
      <c r="N887" s="160"/>
      <c r="O887" s="160"/>
      <c r="P887" s="160"/>
      <c r="Q887" s="160"/>
      <c r="R887" s="160"/>
      <c r="S887" s="160"/>
      <c r="T887" s="18"/>
      <c r="U887" s="18"/>
      <c r="V887" s="18"/>
      <c r="W887" s="18"/>
      <c r="X887" s="18"/>
      <c r="Y887" s="18"/>
      <c r="Z887" s="18"/>
      <c r="AA887" s="18"/>
    </row>
    <row r="888">
      <c r="A888" s="317"/>
      <c r="B888" s="172"/>
      <c r="C888" s="160"/>
      <c r="D888" s="160"/>
      <c r="E888" s="160"/>
      <c r="F888" s="160"/>
      <c r="G888" s="160"/>
      <c r="H888" s="160"/>
      <c r="I888" s="172"/>
      <c r="J888" s="160"/>
      <c r="K888" s="172"/>
      <c r="L888" s="172"/>
      <c r="M888" s="172"/>
      <c r="N888" s="160"/>
      <c r="O888" s="160"/>
      <c r="P888" s="160"/>
      <c r="Q888" s="160"/>
      <c r="R888" s="160"/>
      <c r="S888" s="160"/>
      <c r="T888" s="18"/>
      <c r="U888" s="18"/>
      <c r="V888" s="18"/>
      <c r="W888" s="18"/>
      <c r="X888" s="18"/>
      <c r="Y888" s="18"/>
      <c r="Z888" s="18"/>
      <c r="AA888" s="18"/>
    </row>
    <row r="889">
      <c r="A889" s="317"/>
      <c r="B889" s="172"/>
      <c r="C889" s="160"/>
      <c r="D889" s="160"/>
      <c r="E889" s="160"/>
      <c r="F889" s="160"/>
      <c r="G889" s="160"/>
      <c r="H889" s="160"/>
      <c r="I889" s="172"/>
      <c r="J889" s="160"/>
      <c r="K889" s="172"/>
      <c r="L889" s="172"/>
      <c r="M889" s="172"/>
      <c r="N889" s="160"/>
      <c r="O889" s="160"/>
      <c r="P889" s="160"/>
      <c r="Q889" s="160"/>
      <c r="R889" s="160"/>
      <c r="S889" s="160"/>
      <c r="T889" s="18"/>
      <c r="U889" s="18"/>
      <c r="V889" s="18"/>
      <c r="W889" s="18"/>
      <c r="X889" s="18"/>
      <c r="Y889" s="18"/>
      <c r="Z889" s="18"/>
      <c r="AA889" s="18"/>
    </row>
    <row r="890">
      <c r="A890" s="317"/>
      <c r="B890" s="172"/>
      <c r="C890" s="160"/>
      <c r="D890" s="160"/>
      <c r="E890" s="160"/>
      <c r="F890" s="160"/>
      <c r="G890" s="160"/>
      <c r="H890" s="160"/>
      <c r="I890" s="172"/>
      <c r="J890" s="160"/>
      <c r="K890" s="172"/>
      <c r="L890" s="172"/>
      <c r="M890" s="172"/>
      <c r="N890" s="160"/>
      <c r="O890" s="160"/>
      <c r="P890" s="160"/>
      <c r="Q890" s="160"/>
      <c r="R890" s="160"/>
      <c r="S890" s="160"/>
      <c r="T890" s="18"/>
      <c r="U890" s="18"/>
      <c r="V890" s="18"/>
      <c r="W890" s="18"/>
      <c r="X890" s="18"/>
      <c r="Y890" s="18"/>
      <c r="Z890" s="18"/>
      <c r="AA890" s="18"/>
    </row>
    <row r="891">
      <c r="A891" s="317"/>
      <c r="B891" s="172"/>
      <c r="C891" s="160"/>
      <c r="D891" s="160"/>
      <c r="E891" s="160"/>
      <c r="F891" s="160"/>
      <c r="G891" s="160"/>
      <c r="H891" s="160"/>
      <c r="I891" s="172"/>
      <c r="J891" s="160"/>
      <c r="K891" s="172"/>
      <c r="L891" s="172"/>
      <c r="M891" s="172"/>
      <c r="N891" s="160"/>
      <c r="O891" s="160"/>
      <c r="P891" s="160"/>
      <c r="Q891" s="160"/>
      <c r="R891" s="160"/>
      <c r="S891" s="160"/>
      <c r="T891" s="18"/>
      <c r="U891" s="18"/>
      <c r="V891" s="18"/>
      <c r="W891" s="18"/>
      <c r="X891" s="18"/>
      <c r="Y891" s="18"/>
      <c r="Z891" s="18"/>
      <c r="AA891" s="18"/>
    </row>
    <row r="892">
      <c r="A892" s="317"/>
      <c r="B892" s="172"/>
      <c r="C892" s="160"/>
      <c r="D892" s="160"/>
      <c r="E892" s="160"/>
      <c r="F892" s="160"/>
      <c r="G892" s="160"/>
      <c r="H892" s="160"/>
      <c r="I892" s="172"/>
      <c r="J892" s="160"/>
      <c r="K892" s="172"/>
      <c r="L892" s="172"/>
      <c r="M892" s="172"/>
      <c r="N892" s="160"/>
      <c r="O892" s="160"/>
      <c r="P892" s="160"/>
      <c r="Q892" s="160"/>
      <c r="R892" s="160"/>
      <c r="S892" s="160"/>
      <c r="T892" s="18"/>
      <c r="U892" s="18"/>
      <c r="V892" s="18"/>
      <c r="W892" s="18"/>
      <c r="X892" s="18"/>
      <c r="Y892" s="18"/>
      <c r="Z892" s="18"/>
      <c r="AA892" s="18"/>
    </row>
    <row r="893">
      <c r="A893" s="317"/>
      <c r="B893" s="172"/>
      <c r="C893" s="160"/>
      <c r="D893" s="160"/>
      <c r="E893" s="160"/>
      <c r="F893" s="160"/>
      <c r="G893" s="160"/>
      <c r="H893" s="160"/>
      <c r="I893" s="172"/>
      <c r="J893" s="160"/>
      <c r="K893" s="172"/>
      <c r="L893" s="172"/>
      <c r="M893" s="172"/>
      <c r="N893" s="160"/>
      <c r="O893" s="160"/>
      <c r="P893" s="160"/>
      <c r="Q893" s="160"/>
      <c r="R893" s="160"/>
      <c r="S893" s="160"/>
      <c r="T893" s="18"/>
      <c r="U893" s="18"/>
      <c r="V893" s="18"/>
      <c r="W893" s="18"/>
      <c r="X893" s="18"/>
      <c r="Y893" s="18"/>
      <c r="Z893" s="18"/>
      <c r="AA893" s="18"/>
    </row>
    <row r="894">
      <c r="A894" s="317"/>
      <c r="B894" s="172"/>
      <c r="C894" s="160"/>
      <c r="D894" s="160"/>
      <c r="E894" s="160"/>
      <c r="F894" s="160"/>
      <c r="G894" s="160"/>
      <c r="H894" s="160"/>
      <c r="I894" s="172"/>
      <c r="J894" s="160"/>
      <c r="K894" s="172"/>
      <c r="L894" s="172"/>
      <c r="M894" s="172"/>
      <c r="N894" s="160"/>
      <c r="O894" s="160"/>
      <c r="P894" s="160"/>
      <c r="Q894" s="160"/>
      <c r="R894" s="160"/>
      <c r="S894" s="160"/>
      <c r="T894" s="18"/>
      <c r="U894" s="18"/>
      <c r="V894" s="18"/>
      <c r="W894" s="18"/>
      <c r="X894" s="18"/>
      <c r="Y894" s="18"/>
      <c r="Z894" s="18"/>
      <c r="AA894" s="18"/>
    </row>
    <row r="895">
      <c r="A895" s="317"/>
      <c r="B895" s="172"/>
      <c r="C895" s="160"/>
      <c r="D895" s="160"/>
      <c r="E895" s="160"/>
      <c r="F895" s="160"/>
      <c r="G895" s="160"/>
      <c r="H895" s="160"/>
      <c r="I895" s="172"/>
      <c r="J895" s="160"/>
      <c r="K895" s="172"/>
      <c r="L895" s="172"/>
      <c r="M895" s="172"/>
      <c r="N895" s="160"/>
      <c r="O895" s="160"/>
      <c r="P895" s="160"/>
      <c r="Q895" s="160"/>
      <c r="R895" s="160"/>
      <c r="S895" s="160"/>
      <c r="T895" s="18"/>
      <c r="U895" s="18"/>
      <c r="V895" s="18"/>
      <c r="W895" s="18"/>
      <c r="X895" s="18"/>
      <c r="Y895" s="18"/>
      <c r="Z895" s="18"/>
      <c r="AA895" s="18"/>
    </row>
    <row r="896">
      <c r="A896" s="317"/>
      <c r="B896" s="172"/>
      <c r="C896" s="160"/>
      <c r="D896" s="160"/>
      <c r="E896" s="160"/>
      <c r="F896" s="160"/>
      <c r="G896" s="160"/>
      <c r="H896" s="160"/>
      <c r="I896" s="172"/>
      <c r="J896" s="160"/>
      <c r="K896" s="172"/>
      <c r="L896" s="172"/>
      <c r="M896" s="172"/>
      <c r="N896" s="160"/>
      <c r="O896" s="160"/>
      <c r="P896" s="160"/>
      <c r="Q896" s="160"/>
      <c r="R896" s="160"/>
      <c r="S896" s="160"/>
      <c r="T896" s="18"/>
      <c r="U896" s="18"/>
      <c r="V896" s="18"/>
      <c r="W896" s="18"/>
      <c r="X896" s="18"/>
      <c r="Y896" s="18"/>
      <c r="Z896" s="18"/>
      <c r="AA896" s="18"/>
    </row>
    <row r="897">
      <c r="A897" s="317"/>
      <c r="B897" s="172"/>
      <c r="C897" s="160"/>
      <c r="D897" s="160"/>
      <c r="E897" s="160"/>
      <c r="F897" s="160"/>
      <c r="G897" s="160"/>
      <c r="H897" s="160"/>
      <c r="I897" s="172"/>
      <c r="J897" s="160"/>
      <c r="K897" s="172"/>
      <c r="L897" s="172"/>
      <c r="M897" s="172"/>
      <c r="N897" s="160"/>
      <c r="O897" s="160"/>
      <c r="P897" s="160"/>
      <c r="Q897" s="160"/>
      <c r="R897" s="160"/>
      <c r="S897" s="160"/>
      <c r="T897" s="18"/>
      <c r="U897" s="18"/>
      <c r="V897" s="18"/>
      <c r="W897" s="18"/>
      <c r="X897" s="18"/>
      <c r="Y897" s="18"/>
      <c r="Z897" s="18"/>
      <c r="AA897" s="18"/>
    </row>
    <row r="898">
      <c r="A898" s="317"/>
      <c r="B898" s="172"/>
      <c r="C898" s="160"/>
      <c r="D898" s="160"/>
      <c r="E898" s="160"/>
      <c r="F898" s="160"/>
      <c r="G898" s="160"/>
      <c r="H898" s="160"/>
      <c r="I898" s="172"/>
      <c r="J898" s="160"/>
      <c r="K898" s="172"/>
      <c r="L898" s="172"/>
      <c r="M898" s="172"/>
      <c r="N898" s="160"/>
      <c r="O898" s="160"/>
      <c r="P898" s="160"/>
      <c r="Q898" s="160"/>
      <c r="R898" s="160"/>
      <c r="S898" s="160"/>
      <c r="T898" s="18"/>
      <c r="U898" s="18"/>
      <c r="V898" s="18"/>
      <c r="W898" s="18"/>
      <c r="X898" s="18"/>
      <c r="Y898" s="18"/>
      <c r="Z898" s="18"/>
      <c r="AA898" s="18"/>
    </row>
    <row r="899">
      <c r="A899" s="317"/>
      <c r="B899" s="172"/>
      <c r="C899" s="160"/>
      <c r="D899" s="160"/>
      <c r="E899" s="160"/>
      <c r="F899" s="160"/>
      <c r="G899" s="160"/>
      <c r="H899" s="160"/>
      <c r="I899" s="172"/>
      <c r="J899" s="160"/>
      <c r="K899" s="172"/>
      <c r="L899" s="172"/>
      <c r="M899" s="172"/>
      <c r="N899" s="160"/>
      <c r="O899" s="160"/>
      <c r="P899" s="160"/>
      <c r="Q899" s="160"/>
      <c r="R899" s="160"/>
      <c r="S899" s="160"/>
      <c r="T899" s="18"/>
      <c r="U899" s="18"/>
      <c r="V899" s="18"/>
      <c r="W899" s="18"/>
      <c r="X899" s="18"/>
      <c r="Y899" s="18"/>
      <c r="Z899" s="18"/>
      <c r="AA899" s="18"/>
    </row>
    <row r="900">
      <c r="A900" s="317"/>
      <c r="B900" s="172"/>
      <c r="C900" s="160"/>
      <c r="D900" s="160"/>
      <c r="E900" s="160"/>
      <c r="F900" s="160"/>
      <c r="G900" s="160"/>
      <c r="H900" s="160"/>
      <c r="I900" s="172"/>
      <c r="J900" s="160"/>
      <c r="K900" s="172"/>
      <c r="L900" s="172"/>
      <c r="M900" s="172"/>
      <c r="N900" s="160"/>
      <c r="O900" s="160"/>
      <c r="P900" s="160"/>
      <c r="Q900" s="160"/>
      <c r="R900" s="160"/>
      <c r="S900" s="160"/>
      <c r="T900" s="18"/>
      <c r="U900" s="18"/>
      <c r="V900" s="18"/>
      <c r="W900" s="18"/>
      <c r="X900" s="18"/>
      <c r="Y900" s="18"/>
      <c r="Z900" s="18"/>
      <c r="AA900" s="18"/>
    </row>
    <row r="901">
      <c r="A901" s="317"/>
      <c r="B901" s="172"/>
      <c r="C901" s="160"/>
      <c r="D901" s="160"/>
      <c r="E901" s="160"/>
      <c r="F901" s="160"/>
      <c r="G901" s="160"/>
      <c r="H901" s="160"/>
      <c r="I901" s="172"/>
      <c r="J901" s="160"/>
      <c r="K901" s="172"/>
      <c r="L901" s="172"/>
      <c r="M901" s="172"/>
      <c r="N901" s="160"/>
      <c r="O901" s="160"/>
      <c r="P901" s="160"/>
      <c r="Q901" s="160"/>
      <c r="R901" s="160"/>
      <c r="S901" s="160"/>
      <c r="T901" s="18"/>
      <c r="U901" s="18"/>
      <c r="V901" s="18"/>
      <c r="W901" s="18"/>
      <c r="X901" s="18"/>
      <c r="Y901" s="18"/>
      <c r="Z901" s="18"/>
      <c r="AA901" s="18"/>
    </row>
    <row r="902">
      <c r="A902" s="317"/>
      <c r="B902" s="172"/>
      <c r="C902" s="160"/>
      <c r="D902" s="160"/>
      <c r="E902" s="160"/>
      <c r="F902" s="160"/>
      <c r="G902" s="160"/>
      <c r="H902" s="160"/>
      <c r="I902" s="172"/>
      <c r="J902" s="160"/>
      <c r="K902" s="172"/>
      <c r="L902" s="172"/>
      <c r="M902" s="172"/>
      <c r="N902" s="160"/>
      <c r="O902" s="160"/>
      <c r="P902" s="160"/>
      <c r="Q902" s="160"/>
      <c r="R902" s="160"/>
      <c r="S902" s="160"/>
      <c r="T902" s="18"/>
      <c r="U902" s="18"/>
      <c r="V902" s="18"/>
      <c r="W902" s="18"/>
      <c r="X902" s="18"/>
      <c r="Y902" s="18"/>
      <c r="Z902" s="18"/>
      <c r="AA902" s="18"/>
    </row>
    <row r="903">
      <c r="A903" s="317"/>
      <c r="B903" s="172"/>
      <c r="C903" s="160"/>
      <c r="D903" s="160"/>
      <c r="E903" s="160"/>
      <c r="F903" s="160"/>
      <c r="G903" s="160"/>
      <c r="H903" s="160"/>
      <c r="I903" s="172"/>
      <c r="J903" s="160"/>
      <c r="K903" s="172"/>
      <c r="L903" s="172"/>
      <c r="M903" s="172"/>
      <c r="N903" s="160"/>
      <c r="O903" s="160"/>
      <c r="P903" s="160"/>
      <c r="Q903" s="160"/>
      <c r="R903" s="160"/>
      <c r="S903" s="160"/>
      <c r="T903" s="18"/>
      <c r="U903" s="18"/>
      <c r="V903" s="18"/>
      <c r="W903" s="18"/>
      <c r="X903" s="18"/>
      <c r="Y903" s="18"/>
      <c r="Z903" s="18"/>
      <c r="AA903" s="18"/>
    </row>
    <row r="904">
      <c r="A904" s="317"/>
      <c r="B904" s="172"/>
      <c r="C904" s="160"/>
      <c r="D904" s="160"/>
      <c r="E904" s="160"/>
      <c r="F904" s="160"/>
      <c r="G904" s="160"/>
      <c r="H904" s="160"/>
      <c r="I904" s="172"/>
      <c r="J904" s="160"/>
      <c r="K904" s="172"/>
      <c r="L904" s="172"/>
      <c r="M904" s="172"/>
      <c r="N904" s="160"/>
      <c r="O904" s="160"/>
      <c r="P904" s="160"/>
      <c r="Q904" s="160"/>
      <c r="R904" s="160"/>
      <c r="S904" s="160"/>
      <c r="T904" s="18"/>
      <c r="U904" s="18"/>
      <c r="V904" s="18"/>
      <c r="W904" s="18"/>
      <c r="X904" s="18"/>
      <c r="Y904" s="18"/>
      <c r="Z904" s="18"/>
      <c r="AA904" s="18"/>
    </row>
    <row r="905">
      <c r="A905" s="317"/>
      <c r="B905" s="172"/>
      <c r="C905" s="160"/>
      <c r="D905" s="160"/>
      <c r="E905" s="160"/>
      <c r="F905" s="160"/>
      <c r="G905" s="160"/>
      <c r="H905" s="160"/>
      <c r="I905" s="172"/>
      <c r="J905" s="160"/>
      <c r="K905" s="172"/>
      <c r="L905" s="172"/>
      <c r="M905" s="172"/>
      <c r="N905" s="160"/>
      <c r="O905" s="160"/>
      <c r="P905" s="160"/>
      <c r="Q905" s="160"/>
      <c r="R905" s="160"/>
      <c r="S905" s="160"/>
      <c r="T905" s="18"/>
      <c r="U905" s="18"/>
      <c r="V905" s="18"/>
      <c r="W905" s="18"/>
      <c r="X905" s="18"/>
      <c r="Y905" s="18"/>
      <c r="Z905" s="18"/>
      <c r="AA905" s="18"/>
    </row>
    <row r="906">
      <c r="A906" s="317"/>
      <c r="B906" s="172"/>
      <c r="C906" s="160"/>
      <c r="D906" s="160"/>
      <c r="E906" s="160"/>
      <c r="F906" s="160"/>
      <c r="G906" s="160"/>
      <c r="H906" s="160"/>
      <c r="I906" s="172"/>
      <c r="J906" s="160"/>
      <c r="K906" s="172"/>
      <c r="L906" s="172"/>
      <c r="M906" s="172"/>
      <c r="N906" s="160"/>
      <c r="O906" s="160"/>
      <c r="P906" s="160"/>
      <c r="Q906" s="160"/>
      <c r="R906" s="160"/>
      <c r="S906" s="160"/>
      <c r="T906" s="18"/>
      <c r="U906" s="18"/>
      <c r="V906" s="18"/>
      <c r="W906" s="18"/>
      <c r="X906" s="18"/>
      <c r="Y906" s="18"/>
      <c r="Z906" s="18"/>
      <c r="AA906" s="18"/>
    </row>
    <row r="907">
      <c r="A907" s="317"/>
      <c r="B907" s="172"/>
      <c r="C907" s="160"/>
      <c r="D907" s="160"/>
      <c r="E907" s="160"/>
      <c r="F907" s="160"/>
      <c r="G907" s="160"/>
      <c r="H907" s="160"/>
      <c r="I907" s="172"/>
      <c r="J907" s="160"/>
      <c r="K907" s="172"/>
      <c r="L907" s="172"/>
      <c r="M907" s="172"/>
      <c r="N907" s="160"/>
      <c r="O907" s="160"/>
      <c r="P907" s="160"/>
      <c r="Q907" s="160"/>
      <c r="R907" s="160"/>
      <c r="S907" s="160"/>
      <c r="T907" s="18"/>
      <c r="U907" s="18"/>
      <c r="V907" s="18"/>
      <c r="W907" s="18"/>
      <c r="X907" s="18"/>
      <c r="Y907" s="18"/>
      <c r="Z907" s="18"/>
      <c r="AA907" s="18"/>
    </row>
    <row r="908">
      <c r="A908" s="317"/>
      <c r="B908" s="172"/>
      <c r="C908" s="160"/>
      <c r="D908" s="160"/>
      <c r="E908" s="160"/>
      <c r="F908" s="160"/>
      <c r="G908" s="160"/>
      <c r="H908" s="160"/>
      <c r="I908" s="172"/>
      <c r="J908" s="160"/>
      <c r="K908" s="172"/>
      <c r="L908" s="172"/>
      <c r="M908" s="172"/>
      <c r="N908" s="160"/>
      <c r="O908" s="160"/>
      <c r="P908" s="160"/>
      <c r="Q908" s="160"/>
      <c r="R908" s="160"/>
      <c r="S908" s="160"/>
      <c r="T908" s="18"/>
      <c r="U908" s="18"/>
      <c r="V908" s="18"/>
      <c r="W908" s="18"/>
      <c r="X908" s="18"/>
      <c r="Y908" s="18"/>
      <c r="Z908" s="18"/>
      <c r="AA908" s="18"/>
    </row>
    <row r="909">
      <c r="A909" s="317"/>
      <c r="B909" s="172"/>
      <c r="C909" s="160"/>
      <c r="D909" s="160"/>
      <c r="E909" s="160"/>
      <c r="F909" s="160"/>
      <c r="G909" s="160"/>
      <c r="H909" s="160"/>
      <c r="I909" s="172"/>
      <c r="J909" s="160"/>
      <c r="K909" s="172"/>
      <c r="L909" s="172"/>
      <c r="M909" s="172"/>
      <c r="N909" s="160"/>
      <c r="O909" s="160"/>
      <c r="P909" s="160"/>
      <c r="Q909" s="160"/>
      <c r="R909" s="160"/>
      <c r="S909" s="160"/>
      <c r="T909" s="18"/>
      <c r="U909" s="18"/>
      <c r="V909" s="18"/>
      <c r="W909" s="18"/>
      <c r="X909" s="18"/>
      <c r="Y909" s="18"/>
      <c r="Z909" s="18"/>
      <c r="AA909" s="18"/>
    </row>
    <row r="910">
      <c r="A910" s="317"/>
      <c r="B910" s="172"/>
      <c r="C910" s="160"/>
      <c r="D910" s="160"/>
      <c r="E910" s="160"/>
      <c r="F910" s="160"/>
      <c r="G910" s="160"/>
      <c r="H910" s="160"/>
      <c r="I910" s="172"/>
      <c r="J910" s="160"/>
      <c r="K910" s="172"/>
      <c r="L910" s="172"/>
      <c r="M910" s="172"/>
      <c r="N910" s="160"/>
      <c r="O910" s="160"/>
      <c r="P910" s="160"/>
      <c r="Q910" s="160"/>
      <c r="R910" s="160"/>
      <c r="S910" s="160"/>
      <c r="T910" s="18"/>
      <c r="U910" s="18"/>
      <c r="V910" s="18"/>
      <c r="W910" s="18"/>
      <c r="X910" s="18"/>
      <c r="Y910" s="18"/>
      <c r="Z910" s="18"/>
      <c r="AA910" s="18"/>
    </row>
    <row r="911">
      <c r="A911" s="317"/>
      <c r="B911" s="172"/>
      <c r="C911" s="160"/>
      <c r="D911" s="160"/>
      <c r="E911" s="160"/>
      <c r="F911" s="160"/>
      <c r="G911" s="160"/>
      <c r="H911" s="160"/>
      <c r="I911" s="172"/>
      <c r="J911" s="160"/>
      <c r="K911" s="172"/>
      <c r="L911" s="172"/>
      <c r="M911" s="172"/>
      <c r="N911" s="160"/>
      <c r="O911" s="160"/>
      <c r="P911" s="160"/>
      <c r="Q911" s="160"/>
      <c r="R911" s="160"/>
      <c r="S911" s="160"/>
      <c r="T911" s="18"/>
      <c r="U911" s="18"/>
      <c r="V911" s="18"/>
      <c r="W911" s="18"/>
      <c r="X911" s="18"/>
      <c r="Y911" s="18"/>
      <c r="Z911" s="18"/>
      <c r="AA911" s="18"/>
    </row>
    <row r="912">
      <c r="A912" s="317"/>
      <c r="B912" s="172"/>
      <c r="C912" s="160"/>
      <c r="D912" s="160"/>
      <c r="E912" s="160"/>
      <c r="F912" s="160"/>
      <c r="G912" s="160"/>
      <c r="H912" s="160"/>
      <c r="I912" s="172"/>
      <c r="J912" s="160"/>
      <c r="K912" s="172"/>
      <c r="L912" s="172"/>
      <c r="M912" s="172"/>
      <c r="N912" s="160"/>
      <c r="O912" s="160"/>
      <c r="P912" s="160"/>
      <c r="Q912" s="160"/>
      <c r="R912" s="160"/>
      <c r="S912" s="160"/>
      <c r="T912" s="18"/>
      <c r="U912" s="18"/>
      <c r="V912" s="18"/>
      <c r="W912" s="18"/>
      <c r="X912" s="18"/>
      <c r="Y912" s="18"/>
      <c r="Z912" s="18"/>
      <c r="AA912" s="18"/>
    </row>
    <row r="913">
      <c r="A913" s="317"/>
      <c r="B913" s="172"/>
      <c r="C913" s="160"/>
      <c r="D913" s="160"/>
      <c r="E913" s="160"/>
      <c r="F913" s="160"/>
      <c r="G913" s="160"/>
      <c r="H913" s="160"/>
      <c r="I913" s="172"/>
      <c r="J913" s="160"/>
      <c r="K913" s="172"/>
      <c r="L913" s="172"/>
      <c r="M913" s="172"/>
      <c r="N913" s="160"/>
      <c r="O913" s="160"/>
      <c r="P913" s="160"/>
      <c r="Q913" s="160"/>
      <c r="R913" s="160"/>
      <c r="S913" s="160"/>
      <c r="T913" s="18"/>
      <c r="U913" s="18"/>
      <c r="V913" s="18"/>
      <c r="W913" s="18"/>
      <c r="X913" s="18"/>
      <c r="Y913" s="18"/>
      <c r="Z913" s="18"/>
      <c r="AA913" s="18"/>
    </row>
    <row r="914">
      <c r="A914" s="317"/>
      <c r="B914" s="172"/>
      <c r="C914" s="160"/>
      <c r="D914" s="160"/>
      <c r="E914" s="160"/>
      <c r="F914" s="160"/>
      <c r="G914" s="160"/>
      <c r="H914" s="160"/>
      <c r="I914" s="172"/>
      <c r="J914" s="160"/>
      <c r="K914" s="172"/>
      <c r="L914" s="172"/>
      <c r="M914" s="172"/>
      <c r="N914" s="160"/>
      <c r="O914" s="160"/>
      <c r="P914" s="160"/>
      <c r="Q914" s="160"/>
      <c r="R914" s="160"/>
      <c r="S914" s="160"/>
      <c r="T914" s="18"/>
      <c r="U914" s="18"/>
      <c r="V914" s="18"/>
      <c r="W914" s="18"/>
      <c r="X914" s="18"/>
      <c r="Y914" s="18"/>
      <c r="Z914" s="18"/>
      <c r="AA914" s="18"/>
    </row>
    <row r="915">
      <c r="A915" s="317"/>
      <c r="B915" s="172"/>
      <c r="C915" s="160"/>
      <c r="D915" s="160"/>
      <c r="E915" s="160"/>
      <c r="F915" s="160"/>
      <c r="G915" s="160"/>
      <c r="H915" s="160"/>
      <c r="I915" s="172"/>
      <c r="J915" s="160"/>
      <c r="K915" s="172"/>
      <c r="L915" s="172"/>
      <c r="M915" s="172"/>
      <c r="N915" s="160"/>
      <c r="O915" s="160"/>
      <c r="P915" s="160"/>
      <c r="Q915" s="160"/>
      <c r="R915" s="160"/>
      <c r="S915" s="160"/>
      <c r="T915" s="18"/>
      <c r="U915" s="18"/>
      <c r="V915" s="18"/>
      <c r="W915" s="18"/>
      <c r="X915" s="18"/>
      <c r="Y915" s="18"/>
      <c r="Z915" s="18"/>
      <c r="AA915" s="18"/>
    </row>
    <row r="916">
      <c r="A916" s="317"/>
      <c r="B916" s="172"/>
      <c r="C916" s="160"/>
      <c r="D916" s="160"/>
      <c r="E916" s="160"/>
      <c r="F916" s="160"/>
      <c r="G916" s="160"/>
      <c r="H916" s="160"/>
      <c r="I916" s="172"/>
      <c r="J916" s="160"/>
      <c r="K916" s="172"/>
      <c r="L916" s="172"/>
      <c r="M916" s="172"/>
      <c r="N916" s="160"/>
      <c r="O916" s="160"/>
      <c r="P916" s="160"/>
      <c r="Q916" s="160"/>
      <c r="R916" s="160"/>
      <c r="S916" s="160"/>
      <c r="T916" s="18"/>
      <c r="U916" s="18"/>
      <c r="V916" s="18"/>
      <c r="W916" s="18"/>
      <c r="X916" s="18"/>
      <c r="Y916" s="18"/>
      <c r="Z916" s="18"/>
      <c r="AA916" s="18"/>
    </row>
    <row r="917">
      <c r="A917" s="317"/>
      <c r="B917" s="172"/>
      <c r="C917" s="160"/>
      <c r="D917" s="160"/>
      <c r="E917" s="160"/>
      <c r="F917" s="160"/>
      <c r="G917" s="160"/>
      <c r="H917" s="160"/>
      <c r="I917" s="172"/>
      <c r="J917" s="160"/>
      <c r="K917" s="172"/>
      <c r="L917" s="172"/>
      <c r="M917" s="172"/>
      <c r="N917" s="160"/>
      <c r="O917" s="160"/>
      <c r="P917" s="160"/>
      <c r="Q917" s="160"/>
      <c r="R917" s="160"/>
      <c r="S917" s="160"/>
      <c r="T917" s="18"/>
      <c r="U917" s="18"/>
      <c r="V917" s="18"/>
      <c r="W917" s="18"/>
      <c r="X917" s="18"/>
      <c r="Y917" s="18"/>
      <c r="Z917" s="18"/>
      <c r="AA917" s="18"/>
    </row>
    <row r="918">
      <c r="A918" s="317"/>
      <c r="B918" s="172"/>
      <c r="C918" s="160"/>
      <c r="D918" s="160"/>
      <c r="E918" s="160"/>
      <c r="F918" s="160"/>
      <c r="G918" s="160"/>
      <c r="H918" s="160"/>
      <c r="I918" s="172"/>
      <c r="J918" s="160"/>
      <c r="K918" s="172"/>
      <c r="L918" s="172"/>
      <c r="M918" s="172"/>
      <c r="N918" s="160"/>
      <c r="O918" s="160"/>
      <c r="P918" s="160"/>
      <c r="Q918" s="160"/>
      <c r="R918" s="160"/>
      <c r="S918" s="160"/>
      <c r="T918" s="18"/>
      <c r="U918" s="18"/>
      <c r="V918" s="18"/>
      <c r="W918" s="18"/>
      <c r="X918" s="18"/>
      <c r="Y918" s="18"/>
      <c r="Z918" s="18"/>
      <c r="AA918" s="18"/>
    </row>
    <row r="919">
      <c r="A919" s="317"/>
      <c r="B919" s="172"/>
      <c r="C919" s="160"/>
      <c r="D919" s="160"/>
      <c r="E919" s="160"/>
      <c r="F919" s="160"/>
      <c r="G919" s="160"/>
      <c r="H919" s="160"/>
      <c r="I919" s="172"/>
      <c r="J919" s="160"/>
      <c r="K919" s="172"/>
      <c r="L919" s="172"/>
      <c r="M919" s="172"/>
      <c r="N919" s="160"/>
      <c r="O919" s="160"/>
      <c r="P919" s="160"/>
      <c r="Q919" s="160"/>
      <c r="R919" s="160"/>
      <c r="S919" s="160"/>
      <c r="T919" s="18"/>
      <c r="U919" s="18"/>
      <c r="V919" s="18"/>
      <c r="W919" s="18"/>
      <c r="X919" s="18"/>
      <c r="Y919" s="18"/>
      <c r="Z919" s="18"/>
      <c r="AA919" s="18"/>
    </row>
    <row r="920">
      <c r="A920" s="317"/>
      <c r="B920" s="172"/>
      <c r="C920" s="160"/>
      <c r="D920" s="160"/>
      <c r="E920" s="160"/>
      <c r="F920" s="160"/>
      <c r="G920" s="160"/>
      <c r="H920" s="160"/>
      <c r="I920" s="172"/>
      <c r="J920" s="160"/>
      <c r="K920" s="172"/>
      <c r="L920" s="172"/>
      <c r="M920" s="172"/>
      <c r="N920" s="160"/>
      <c r="O920" s="160"/>
      <c r="P920" s="160"/>
      <c r="Q920" s="160"/>
      <c r="R920" s="160"/>
      <c r="S920" s="160"/>
      <c r="T920" s="18"/>
      <c r="U920" s="18"/>
      <c r="V920" s="18"/>
      <c r="W920" s="18"/>
      <c r="X920" s="18"/>
      <c r="Y920" s="18"/>
      <c r="Z920" s="18"/>
      <c r="AA920" s="18"/>
    </row>
    <row r="921">
      <c r="A921" s="317"/>
      <c r="B921" s="172"/>
      <c r="C921" s="160"/>
      <c r="D921" s="160"/>
      <c r="E921" s="160"/>
      <c r="F921" s="160"/>
      <c r="G921" s="160"/>
      <c r="H921" s="160"/>
      <c r="I921" s="172"/>
      <c r="J921" s="160"/>
      <c r="K921" s="172"/>
      <c r="L921" s="172"/>
      <c r="M921" s="172"/>
      <c r="N921" s="160"/>
      <c r="O921" s="160"/>
      <c r="P921" s="160"/>
      <c r="Q921" s="160"/>
      <c r="R921" s="160"/>
      <c r="S921" s="160"/>
      <c r="T921" s="18"/>
      <c r="U921" s="18"/>
      <c r="V921" s="18"/>
      <c r="W921" s="18"/>
      <c r="X921" s="18"/>
      <c r="Y921" s="18"/>
      <c r="Z921" s="18"/>
      <c r="AA921" s="18"/>
    </row>
    <row r="922">
      <c r="A922" s="317"/>
      <c r="B922" s="172"/>
      <c r="C922" s="160"/>
      <c r="D922" s="160"/>
      <c r="E922" s="160"/>
      <c r="F922" s="160"/>
      <c r="G922" s="160"/>
      <c r="H922" s="160"/>
      <c r="I922" s="172"/>
      <c r="J922" s="160"/>
      <c r="K922" s="172"/>
      <c r="L922" s="172"/>
      <c r="M922" s="172"/>
      <c r="N922" s="160"/>
      <c r="O922" s="160"/>
      <c r="P922" s="160"/>
      <c r="Q922" s="160"/>
      <c r="R922" s="160"/>
      <c r="S922" s="160"/>
      <c r="T922" s="18"/>
      <c r="U922" s="18"/>
      <c r="V922" s="18"/>
      <c r="W922" s="18"/>
      <c r="X922" s="18"/>
      <c r="Y922" s="18"/>
      <c r="Z922" s="18"/>
      <c r="AA922" s="18"/>
    </row>
    <row r="923">
      <c r="A923" s="317"/>
      <c r="B923" s="172"/>
      <c r="C923" s="160"/>
      <c r="D923" s="160"/>
      <c r="E923" s="160"/>
      <c r="F923" s="160"/>
      <c r="G923" s="160"/>
      <c r="H923" s="160"/>
      <c r="I923" s="172"/>
      <c r="J923" s="160"/>
      <c r="K923" s="172"/>
      <c r="L923" s="172"/>
      <c r="M923" s="172"/>
      <c r="N923" s="160"/>
      <c r="O923" s="160"/>
      <c r="P923" s="160"/>
      <c r="Q923" s="160"/>
      <c r="R923" s="160"/>
      <c r="S923" s="160"/>
      <c r="T923" s="18"/>
      <c r="U923" s="18"/>
      <c r="V923" s="18"/>
      <c r="W923" s="18"/>
      <c r="X923" s="18"/>
      <c r="Y923" s="18"/>
      <c r="Z923" s="18"/>
      <c r="AA923" s="18"/>
    </row>
    <row r="924">
      <c r="A924" s="317"/>
      <c r="B924" s="172"/>
      <c r="C924" s="160"/>
      <c r="D924" s="160"/>
      <c r="E924" s="160"/>
      <c r="F924" s="160"/>
      <c r="G924" s="160"/>
      <c r="H924" s="160"/>
      <c r="I924" s="172"/>
      <c r="J924" s="160"/>
      <c r="K924" s="172"/>
      <c r="L924" s="172"/>
      <c r="M924" s="172"/>
      <c r="N924" s="160"/>
      <c r="O924" s="160"/>
      <c r="P924" s="160"/>
      <c r="Q924" s="160"/>
      <c r="R924" s="160"/>
      <c r="S924" s="160"/>
      <c r="T924" s="18"/>
      <c r="U924" s="18"/>
      <c r="V924" s="18"/>
      <c r="W924" s="18"/>
      <c r="X924" s="18"/>
      <c r="Y924" s="18"/>
      <c r="Z924" s="18"/>
      <c r="AA924" s="18"/>
    </row>
    <row r="925">
      <c r="A925" s="317"/>
      <c r="B925" s="172"/>
      <c r="C925" s="160"/>
      <c r="D925" s="160"/>
      <c r="E925" s="160"/>
      <c r="F925" s="160"/>
      <c r="G925" s="160"/>
      <c r="H925" s="160"/>
      <c r="I925" s="172"/>
      <c r="J925" s="160"/>
      <c r="K925" s="172"/>
      <c r="L925" s="172"/>
      <c r="M925" s="172"/>
      <c r="N925" s="160"/>
      <c r="O925" s="160"/>
      <c r="P925" s="160"/>
      <c r="Q925" s="160"/>
      <c r="R925" s="160"/>
      <c r="S925" s="160"/>
      <c r="T925" s="18"/>
      <c r="U925" s="18"/>
      <c r="V925" s="18"/>
      <c r="W925" s="18"/>
      <c r="X925" s="18"/>
      <c r="Y925" s="18"/>
      <c r="Z925" s="18"/>
      <c r="AA925" s="18"/>
    </row>
    <row r="926">
      <c r="A926" s="317"/>
      <c r="B926" s="172"/>
      <c r="C926" s="160"/>
      <c r="D926" s="160"/>
      <c r="E926" s="160"/>
      <c r="F926" s="160"/>
      <c r="G926" s="160"/>
      <c r="H926" s="160"/>
      <c r="I926" s="172"/>
      <c r="J926" s="160"/>
      <c r="K926" s="172"/>
      <c r="L926" s="172"/>
      <c r="M926" s="172"/>
      <c r="N926" s="160"/>
      <c r="O926" s="160"/>
      <c r="P926" s="160"/>
      <c r="Q926" s="160"/>
      <c r="R926" s="160"/>
      <c r="S926" s="160"/>
      <c r="T926" s="18"/>
      <c r="U926" s="18"/>
      <c r="V926" s="18"/>
      <c r="W926" s="18"/>
      <c r="X926" s="18"/>
      <c r="Y926" s="18"/>
      <c r="Z926" s="18"/>
      <c r="AA926" s="18"/>
    </row>
    <row r="927">
      <c r="A927" s="317"/>
      <c r="B927" s="172"/>
      <c r="C927" s="160"/>
      <c r="D927" s="160"/>
      <c r="E927" s="160"/>
      <c r="F927" s="160"/>
      <c r="G927" s="160"/>
      <c r="H927" s="160"/>
      <c r="I927" s="172"/>
      <c r="J927" s="160"/>
      <c r="K927" s="172"/>
      <c r="L927" s="172"/>
      <c r="M927" s="172"/>
      <c r="N927" s="160"/>
      <c r="O927" s="160"/>
      <c r="P927" s="160"/>
      <c r="Q927" s="160"/>
      <c r="R927" s="160"/>
      <c r="S927" s="160"/>
      <c r="T927" s="18"/>
      <c r="U927" s="18"/>
      <c r="V927" s="18"/>
      <c r="W927" s="18"/>
      <c r="X927" s="18"/>
      <c r="Y927" s="18"/>
      <c r="Z927" s="18"/>
      <c r="AA927" s="18"/>
    </row>
    <row r="928">
      <c r="A928" s="317"/>
      <c r="B928" s="172"/>
      <c r="C928" s="160"/>
      <c r="D928" s="160"/>
      <c r="E928" s="160"/>
      <c r="F928" s="160"/>
      <c r="G928" s="160"/>
      <c r="H928" s="160"/>
      <c r="I928" s="172"/>
      <c r="J928" s="160"/>
      <c r="K928" s="172"/>
      <c r="L928" s="172"/>
      <c r="M928" s="172"/>
      <c r="N928" s="160"/>
      <c r="O928" s="160"/>
      <c r="P928" s="160"/>
      <c r="Q928" s="160"/>
      <c r="R928" s="160"/>
      <c r="S928" s="160"/>
      <c r="T928" s="18"/>
      <c r="U928" s="18"/>
      <c r="V928" s="18"/>
      <c r="W928" s="18"/>
      <c r="X928" s="18"/>
      <c r="Y928" s="18"/>
      <c r="Z928" s="18"/>
      <c r="AA928" s="18"/>
    </row>
    <row r="929">
      <c r="A929" s="317"/>
      <c r="B929" s="172"/>
      <c r="C929" s="160"/>
      <c r="D929" s="160"/>
      <c r="E929" s="160"/>
      <c r="F929" s="160"/>
      <c r="G929" s="160"/>
      <c r="H929" s="160"/>
      <c r="I929" s="172"/>
      <c r="J929" s="160"/>
      <c r="K929" s="172"/>
      <c r="L929" s="172"/>
      <c r="M929" s="172"/>
      <c r="N929" s="160"/>
      <c r="O929" s="160"/>
      <c r="P929" s="160"/>
      <c r="Q929" s="160"/>
      <c r="R929" s="160"/>
      <c r="S929" s="160"/>
      <c r="T929" s="18"/>
      <c r="U929" s="18"/>
      <c r="V929" s="18"/>
      <c r="W929" s="18"/>
      <c r="X929" s="18"/>
      <c r="Y929" s="18"/>
      <c r="Z929" s="18"/>
      <c r="AA929" s="18"/>
    </row>
    <row r="930">
      <c r="A930" s="317"/>
      <c r="B930" s="172"/>
      <c r="C930" s="160"/>
      <c r="D930" s="160"/>
      <c r="E930" s="160"/>
      <c r="F930" s="160"/>
      <c r="G930" s="160"/>
      <c r="H930" s="160"/>
      <c r="I930" s="172"/>
      <c r="J930" s="160"/>
      <c r="K930" s="172"/>
      <c r="L930" s="172"/>
      <c r="M930" s="172"/>
      <c r="N930" s="160"/>
      <c r="O930" s="160"/>
      <c r="P930" s="160"/>
      <c r="Q930" s="160"/>
      <c r="R930" s="160"/>
      <c r="S930" s="160"/>
      <c r="T930" s="18"/>
      <c r="U930" s="18"/>
      <c r="V930" s="18"/>
      <c r="W930" s="18"/>
      <c r="X930" s="18"/>
      <c r="Y930" s="18"/>
      <c r="Z930" s="18"/>
      <c r="AA930" s="18"/>
    </row>
    <row r="931">
      <c r="A931" s="317"/>
      <c r="B931" s="172"/>
      <c r="C931" s="160"/>
      <c r="D931" s="160"/>
      <c r="E931" s="160"/>
      <c r="F931" s="160"/>
      <c r="G931" s="160"/>
      <c r="H931" s="160"/>
      <c r="I931" s="172"/>
      <c r="J931" s="160"/>
      <c r="K931" s="172"/>
      <c r="L931" s="172"/>
      <c r="M931" s="172"/>
      <c r="N931" s="160"/>
      <c r="O931" s="160"/>
      <c r="P931" s="160"/>
      <c r="Q931" s="160"/>
      <c r="R931" s="160"/>
      <c r="S931" s="160"/>
      <c r="T931" s="18"/>
      <c r="U931" s="18"/>
      <c r="V931" s="18"/>
      <c r="W931" s="18"/>
      <c r="X931" s="18"/>
      <c r="Y931" s="18"/>
      <c r="Z931" s="18"/>
      <c r="AA931" s="18"/>
    </row>
    <row r="932">
      <c r="A932" s="317"/>
      <c r="B932" s="172"/>
      <c r="C932" s="160"/>
      <c r="D932" s="160"/>
      <c r="E932" s="160"/>
      <c r="F932" s="160"/>
      <c r="G932" s="160"/>
      <c r="H932" s="160"/>
      <c r="I932" s="172"/>
      <c r="J932" s="160"/>
      <c r="K932" s="172"/>
      <c r="L932" s="172"/>
      <c r="M932" s="172"/>
      <c r="N932" s="160"/>
      <c r="O932" s="160"/>
      <c r="P932" s="160"/>
      <c r="Q932" s="160"/>
      <c r="R932" s="160"/>
      <c r="S932" s="160"/>
      <c r="T932" s="18"/>
      <c r="U932" s="18"/>
      <c r="V932" s="18"/>
      <c r="W932" s="18"/>
      <c r="X932" s="18"/>
      <c r="Y932" s="18"/>
      <c r="Z932" s="18"/>
      <c r="AA932" s="18"/>
    </row>
    <row r="933">
      <c r="A933" s="317"/>
      <c r="B933" s="172"/>
      <c r="C933" s="160"/>
      <c r="D933" s="160"/>
      <c r="E933" s="160"/>
      <c r="F933" s="160"/>
      <c r="G933" s="160"/>
      <c r="H933" s="160"/>
      <c r="I933" s="172"/>
      <c r="J933" s="160"/>
      <c r="K933" s="172"/>
      <c r="L933" s="172"/>
      <c r="M933" s="172"/>
      <c r="N933" s="160"/>
      <c r="O933" s="160"/>
      <c r="P933" s="160"/>
      <c r="Q933" s="160"/>
      <c r="R933" s="160"/>
      <c r="S933" s="160"/>
      <c r="T933" s="18"/>
      <c r="U933" s="18"/>
      <c r="V933" s="18"/>
      <c r="W933" s="18"/>
      <c r="X933" s="18"/>
      <c r="Y933" s="18"/>
      <c r="Z933" s="18"/>
      <c r="AA933" s="18"/>
    </row>
    <row r="934">
      <c r="A934" s="317"/>
      <c r="B934" s="172"/>
      <c r="C934" s="160"/>
      <c r="D934" s="160"/>
      <c r="E934" s="160"/>
      <c r="F934" s="160"/>
      <c r="G934" s="160"/>
      <c r="H934" s="160"/>
      <c r="I934" s="172"/>
      <c r="J934" s="160"/>
      <c r="K934" s="172"/>
      <c r="L934" s="172"/>
      <c r="M934" s="172"/>
      <c r="N934" s="160"/>
      <c r="O934" s="160"/>
      <c r="P934" s="160"/>
      <c r="Q934" s="160"/>
      <c r="R934" s="160"/>
      <c r="S934" s="160"/>
      <c r="T934" s="18"/>
      <c r="U934" s="18"/>
      <c r="V934" s="18"/>
      <c r="W934" s="18"/>
      <c r="X934" s="18"/>
      <c r="Y934" s="18"/>
      <c r="Z934" s="18"/>
      <c r="AA934" s="18"/>
    </row>
    <row r="935">
      <c r="A935" s="317"/>
      <c r="B935" s="172"/>
      <c r="C935" s="160"/>
      <c r="D935" s="160"/>
      <c r="E935" s="160"/>
      <c r="F935" s="160"/>
      <c r="G935" s="160"/>
      <c r="H935" s="160"/>
      <c r="I935" s="172"/>
      <c r="J935" s="160"/>
      <c r="K935" s="172"/>
      <c r="L935" s="172"/>
      <c r="M935" s="172"/>
      <c r="N935" s="160"/>
      <c r="O935" s="160"/>
      <c r="P935" s="160"/>
      <c r="Q935" s="160"/>
      <c r="R935" s="160"/>
      <c r="S935" s="160"/>
      <c r="T935" s="18"/>
      <c r="U935" s="18"/>
      <c r="V935" s="18"/>
      <c r="W935" s="18"/>
      <c r="X935" s="18"/>
      <c r="Y935" s="18"/>
      <c r="Z935" s="18"/>
      <c r="AA935" s="18"/>
    </row>
    <row r="936">
      <c r="A936" s="317"/>
      <c r="B936" s="172"/>
      <c r="C936" s="160"/>
      <c r="D936" s="160"/>
      <c r="E936" s="160"/>
      <c r="F936" s="160"/>
      <c r="G936" s="160"/>
      <c r="H936" s="160"/>
      <c r="I936" s="172"/>
      <c r="J936" s="160"/>
      <c r="K936" s="172"/>
      <c r="L936" s="172"/>
      <c r="M936" s="172"/>
      <c r="N936" s="160"/>
      <c r="O936" s="160"/>
      <c r="P936" s="160"/>
      <c r="Q936" s="160"/>
      <c r="R936" s="160"/>
      <c r="S936" s="160"/>
      <c r="T936" s="18"/>
      <c r="U936" s="18"/>
      <c r="V936" s="18"/>
      <c r="W936" s="18"/>
      <c r="X936" s="18"/>
      <c r="Y936" s="18"/>
      <c r="Z936" s="18"/>
      <c r="AA936" s="18"/>
    </row>
    <row r="937">
      <c r="A937" s="317"/>
      <c r="B937" s="172"/>
      <c r="C937" s="160"/>
      <c r="D937" s="160"/>
      <c r="E937" s="160"/>
      <c r="F937" s="160"/>
      <c r="G937" s="160"/>
      <c r="H937" s="160"/>
      <c r="I937" s="172"/>
      <c r="J937" s="160"/>
      <c r="K937" s="172"/>
      <c r="L937" s="172"/>
      <c r="M937" s="172"/>
      <c r="N937" s="160"/>
      <c r="O937" s="160"/>
      <c r="P937" s="160"/>
      <c r="Q937" s="160"/>
      <c r="R937" s="160"/>
      <c r="S937" s="160"/>
      <c r="T937" s="18"/>
      <c r="U937" s="18"/>
      <c r="V937" s="18"/>
      <c r="W937" s="18"/>
      <c r="X937" s="18"/>
      <c r="Y937" s="18"/>
      <c r="Z937" s="18"/>
      <c r="AA937" s="18"/>
    </row>
    <row r="938">
      <c r="A938" s="317"/>
      <c r="B938" s="172"/>
      <c r="C938" s="160"/>
      <c r="D938" s="160"/>
      <c r="E938" s="160"/>
      <c r="F938" s="160"/>
      <c r="G938" s="160"/>
      <c r="H938" s="160"/>
      <c r="I938" s="172"/>
      <c r="J938" s="160"/>
      <c r="K938" s="172"/>
      <c r="L938" s="172"/>
      <c r="M938" s="172"/>
      <c r="N938" s="160"/>
      <c r="O938" s="160"/>
      <c r="P938" s="160"/>
      <c r="Q938" s="160"/>
      <c r="R938" s="160"/>
      <c r="S938" s="160"/>
      <c r="T938" s="18"/>
      <c r="U938" s="18"/>
      <c r="V938" s="18"/>
      <c r="W938" s="18"/>
      <c r="X938" s="18"/>
      <c r="Y938" s="18"/>
      <c r="Z938" s="18"/>
      <c r="AA938" s="18"/>
    </row>
    <row r="939">
      <c r="A939" s="317"/>
      <c r="B939" s="172"/>
      <c r="C939" s="160"/>
      <c r="D939" s="160"/>
      <c r="E939" s="160"/>
      <c r="F939" s="160"/>
      <c r="G939" s="160"/>
      <c r="H939" s="160"/>
      <c r="I939" s="172"/>
      <c r="J939" s="160"/>
      <c r="K939" s="172"/>
      <c r="L939" s="172"/>
      <c r="M939" s="172"/>
      <c r="N939" s="160"/>
      <c r="O939" s="160"/>
      <c r="P939" s="160"/>
      <c r="Q939" s="160"/>
      <c r="R939" s="160"/>
      <c r="S939" s="160"/>
      <c r="T939" s="18"/>
      <c r="U939" s="18"/>
      <c r="V939" s="18"/>
      <c r="W939" s="18"/>
      <c r="X939" s="18"/>
      <c r="Y939" s="18"/>
      <c r="Z939" s="18"/>
      <c r="AA939" s="18"/>
    </row>
    <row r="940">
      <c r="A940" s="317"/>
      <c r="B940" s="172"/>
      <c r="C940" s="160"/>
      <c r="D940" s="160"/>
      <c r="E940" s="160"/>
      <c r="F940" s="160"/>
      <c r="G940" s="160"/>
      <c r="H940" s="160"/>
      <c r="I940" s="172"/>
      <c r="J940" s="160"/>
      <c r="K940" s="172"/>
      <c r="L940" s="172"/>
      <c r="M940" s="172"/>
      <c r="N940" s="160"/>
      <c r="O940" s="160"/>
      <c r="P940" s="160"/>
      <c r="Q940" s="160"/>
      <c r="R940" s="160"/>
      <c r="S940" s="160"/>
      <c r="T940" s="18"/>
      <c r="U940" s="18"/>
      <c r="V940" s="18"/>
      <c r="W940" s="18"/>
      <c r="X940" s="18"/>
      <c r="Y940" s="18"/>
      <c r="Z940" s="18"/>
      <c r="AA940" s="18"/>
    </row>
    <row r="941">
      <c r="A941" s="317"/>
      <c r="B941" s="172"/>
      <c r="C941" s="160"/>
      <c r="D941" s="160"/>
      <c r="E941" s="160"/>
      <c r="F941" s="160"/>
      <c r="G941" s="160"/>
      <c r="H941" s="160"/>
      <c r="I941" s="172"/>
      <c r="J941" s="160"/>
      <c r="K941" s="172"/>
      <c r="L941" s="172"/>
      <c r="M941" s="172"/>
      <c r="N941" s="160"/>
      <c r="O941" s="160"/>
      <c r="P941" s="160"/>
      <c r="Q941" s="160"/>
      <c r="R941" s="160"/>
      <c r="S941" s="160"/>
      <c r="T941" s="18"/>
      <c r="U941" s="18"/>
      <c r="V941" s="18"/>
      <c r="W941" s="18"/>
      <c r="X941" s="18"/>
      <c r="Y941" s="18"/>
      <c r="Z941" s="18"/>
      <c r="AA941" s="18"/>
    </row>
    <row r="942">
      <c r="A942" s="317"/>
      <c r="B942" s="172"/>
      <c r="C942" s="160"/>
      <c r="D942" s="160"/>
      <c r="E942" s="160"/>
      <c r="F942" s="160"/>
      <c r="G942" s="160"/>
      <c r="H942" s="160"/>
      <c r="I942" s="172"/>
      <c r="J942" s="160"/>
      <c r="K942" s="172"/>
      <c r="L942" s="172"/>
      <c r="M942" s="172"/>
      <c r="N942" s="160"/>
      <c r="O942" s="160"/>
      <c r="P942" s="160"/>
      <c r="Q942" s="160"/>
      <c r="R942" s="160"/>
      <c r="S942" s="160"/>
      <c r="T942" s="18"/>
      <c r="U942" s="18"/>
      <c r="V942" s="18"/>
      <c r="W942" s="18"/>
      <c r="X942" s="18"/>
      <c r="Y942" s="18"/>
      <c r="Z942" s="18"/>
      <c r="AA942" s="18"/>
    </row>
    <row r="943">
      <c r="A943" s="317"/>
      <c r="B943" s="172"/>
      <c r="C943" s="160"/>
      <c r="D943" s="160"/>
      <c r="E943" s="160"/>
      <c r="F943" s="160"/>
      <c r="G943" s="160"/>
      <c r="H943" s="160"/>
      <c r="I943" s="172"/>
      <c r="J943" s="160"/>
      <c r="K943" s="172"/>
      <c r="L943" s="172"/>
      <c r="M943" s="172"/>
      <c r="N943" s="160"/>
      <c r="O943" s="160"/>
      <c r="P943" s="160"/>
      <c r="Q943" s="160"/>
      <c r="R943" s="160"/>
      <c r="S943" s="160"/>
      <c r="T943" s="18"/>
      <c r="U943" s="18"/>
      <c r="V943" s="18"/>
      <c r="W943" s="18"/>
      <c r="X943" s="18"/>
      <c r="Y943" s="18"/>
      <c r="Z943" s="18"/>
      <c r="AA943" s="18"/>
    </row>
    <row r="944">
      <c r="A944" s="317"/>
      <c r="B944" s="172"/>
      <c r="C944" s="160"/>
      <c r="D944" s="160"/>
      <c r="E944" s="160"/>
      <c r="F944" s="160"/>
      <c r="G944" s="160"/>
      <c r="H944" s="160"/>
      <c r="I944" s="172"/>
      <c r="J944" s="160"/>
      <c r="K944" s="172"/>
      <c r="L944" s="172"/>
      <c r="M944" s="172"/>
      <c r="N944" s="160"/>
      <c r="O944" s="160"/>
      <c r="P944" s="160"/>
      <c r="Q944" s="160"/>
      <c r="R944" s="160"/>
      <c r="S944" s="160"/>
      <c r="T944" s="18"/>
      <c r="U944" s="18"/>
      <c r="V944" s="18"/>
      <c r="W944" s="18"/>
      <c r="X944" s="18"/>
      <c r="Y944" s="18"/>
      <c r="Z944" s="18"/>
      <c r="AA944" s="18"/>
    </row>
    <row r="945">
      <c r="A945" s="317"/>
      <c r="B945" s="172"/>
      <c r="C945" s="160"/>
      <c r="D945" s="160"/>
      <c r="E945" s="160"/>
      <c r="F945" s="160"/>
      <c r="G945" s="160"/>
      <c r="H945" s="160"/>
      <c r="I945" s="172"/>
      <c r="J945" s="160"/>
      <c r="K945" s="172"/>
      <c r="L945" s="172"/>
      <c r="M945" s="172"/>
      <c r="N945" s="160"/>
      <c r="O945" s="160"/>
      <c r="P945" s="160"/>
      <c r="Q945" s="160"/>
      <c r="R945" s="160"/>
      <c r="S945" s="160"/>
      <c r="T945" s="18"/>
      <c r="U945" s="18"/>
      <c r="V945" s="18"/>
      <c r="W945" s="18"/>
      <c r="X945" s="18"/>
      <c r="Y945" s="18"/>
      <c r="Z945" s="18"/>
      <c r="AA945" s="18"/>
    </row>
    <row r="946">
      <c r="A946" s="317"/>
      <c r="B946" s="172"/>
      <c r="C946" s="160"/>
      <c r="D946" s="160"/>
      <c r="E946" s="160"/>
      <c r="F946" s="160"/>
      <c r="G946" s="160"/>
      <c r="H946" s="160"/>
      <c r="I946" s="172"/>
      <c r="J946" s="160"/>
      <c r="K946" s="172"/>
      <c r="L946" s="172"/>
      <c r="M946" s="172"/>
      <c r="N946" s="160"/>
      <c r="O946" s="160"/>
      <c r="P946" s="160"/>
      <c r="Q946" s="160"/>
      <c r="R946" s="160"/>
      <c r="S946" s="160"/>
      <c r="T946" s="18"/>
      <c r="U946" s="18"/>
      <c r="V946" s="18"/>
      <c r="W946" s="18"/>
      <c r="X946" s="18"/>
      <c r="Y946" s="18"/>
      <c r="Z946" s="18"/>
      <c r="AA946" s="18"/>
    </row>
    <row r="947">
      <c r="A947" s="317"/>
      <c r="B947" s="172"/>
      <c r="C947" s="160"/>
      <c r="D947" s="160"/>
      <c r="E947" s="160"/>
      <c r="F947" s="160"/>
      <c r="G947" s="160"/>
      <c r="H947" s="160"/>
      <c r="I947" s="172"/>
      <c r="J947" s="160"/>
      <c r="K947" s="172"/>
      <c r="L947" s="172"/>
      <c r="M947" s="172"/>
      <c r="N947" s="160"/>
      <c r="O947" s="160"/>
      <c r="P947" s="160"/>
      <c r="Q947" s="160"/>
      <c r="R947" s="160"/>
      <c r="S947" s="160"/>
      <c r="T947" s="18"/>
      <c r="U947" s="18"/>
      <c r="V947" s="18"/>
      <c r="W947" s="18"/>
      <c r="X947" s="18"/>
      <c r="Y947" s="18"/>
      <c r="Z947" s="18"/>
      <c r="AA947" s="18"/>
    </row>
    <row r="948">
      <c r="A948" s="317"/>
      <c r="B948" s="172"/>
      <c r="C948" s="160"/>
      <c r="D948" s="160"/>
      <c r="E948" s="160"/>
      <c r="F948" s="160"/>
      <c r="G948" s="160"/>
      <c r="H948" s="160"/>
      <c r="I948" s="172"/>
      <c r="J948" s="160"/>
      <c r="K948" s="172"/>
      <c r="L948" s="172"/>
      <c r="M948" s="172"/>
      <c r="N948" s="160"/>
      <c r="O948" s="160"/>
      <c r="P948" s="160"/>
      <c r="Q948" s="160"/>
      <c r="R948" s="160"/>
      <c r="S948" s="160"/>
      <c r="T948" s="18"/>
      <c r="U948" s="18"/>
      <c r="V948" s="18"/>
      <c r="W948" s="18"/>
      <c r="X948" s="18"/>
      <c r="Y948" s="18"/>
      <c r="Z948" s="18"/>
      <c r="AA948" s="18"/>
    </row>
    <row r="949">
      <c r="A949" s="317"/>
      <c r="B949" s="172"/>
      <c r="C949" s="160"/>
      <c r="D949" s="160"/>
      <c r="E949" s="160"/>
      <c r="F949" s="160"/>
      <c r="G949" s="160"/>
      <c r="H949" s="160"/>
      <c r="I949" s="172"/>
      <c r="J949" s="160"/>
      <c r="K949" s="172"/>
      <c r="L949" s="172"/>
      <c r="M949" s="172"/>
      <c r="N949" s="160"/>
      <c r="O949" s="160"/>
      <c r="P949" s="160"/>
      <c r="Q949" s="160"/>
      <c r="R949" s="160"/>
      <c r="S949" s="160"/>
      <c r="T949" s="18"/>
      <c r="U949" s="18"/>
      <c r="V949" s="18"/>
      <c r="W949" s="18"/>
      <c r="X949" s="18"/>
      <c r="Y949" s="18"/>
      <c r="Z949" s="18"/>
      <c r="AA949" s="18"/>
    </row>
    <row r="950">
      <c r="A950" s="317"/>
      <c r="B950" s="172"/>
      <c r="C950" s="160"/>
      <c r="D950" s="160"/>
      <c r="E950" s="160"/>
      <c r="F950" s="160"/>
      <c r="G950" s="160"/>
      <c r="H950" s="160"/>
      <c r="I950" s="172"/>
      <c r="J950" s="160"/>
      <c r="K950" s="172"/>
      <c r="L950" s="172"/>
      <c r="M950" s="172"/>
      <c r="N950" s="160"/>
      <c r="O950" s="160"/>
      <c r="P950" s="160"/>
      <c r="Q950" s="160"/>
      <c r="R950" s="160"/>
      <c r="S950" s="160"/>
      <c r="T950" s="18"/>
      <c r="U950" s="18"/>
      <c r="V950" s="18"/>
      <c r="W950" s="18"/>
      <c r="X950" s="18"/>
      <c r="Y950" s="18"/>
      <c r="Z950" s="18"/>
      <c r="AA950" s="18"/>
    </row>
    <row r="951">
      <c r="A951" s="317"/>
      <c r="B951" s="172"/>
      <c r="C951" s="160"/>
      <c r="D951" s="160"/>
      <c r="E951" s="160"/>
      <c r="F951" s="160"/>
      <c r="G951" s="160"/>
      <c r="H951" s="160"/>
      <c r="I951" s="172"/>
      <c r="J951" s="160"/>
      <c r="K951" s="172"/>
      <c r="L951" s="172"/>
      <c r="M951" s="172"/>
      <c r="N951" s="160"/>
      <c r="O951" s="160"/>
      <c r="P951" s="160"/>
      <c r="Q951" s="160"/>
      <c r="R951" s="160"/>
      <c r="S951" s="160"/>
      <c r="T951" s="18"/>
      <c r="U951" s="18"/>
      <c r="V951" s="18"/>
      <c r="W951" s="18"/>
      <c r="X951" s="18"/>
      <c r="Y951" s="18"/>
      <c r="Z951" s="18"/>
      <c r="AA951" s="18"/>
    </row>
    <row r="952">
      <c r="A952" s="317"/>
      <c r="B952" s="172"/>
      <c r="C952" s="160"/>
      <c r="D952" s="160"/>
      <c r="E952" s="160"/>
      <c r="F952" s="160"/>
      <c r="G952" s="160"/>
      <c r="H952" s="160"/>
      <c r="I952" s="172"/>
      <c r="J952" s="160"/>
      <c r="K952" s="172"/>
      <c r="L952" s="172"/>
      <c r="M952" s="172"/>
      <c r="N952" s="160"/>
      <c r="O952" s="160"/>
      <c r="P952" s="160"/>
      <c r="Q952" s="160"/>
      <c r="R952" s="160"/>
      <c r="S952" s="160"/>
      <c r="T952" s="18"/>
      <c r="U952" s="18"/>
      <c r="V952" s="18"/>
      <c r="W952" s="18"/>
      <c r="X952" s="18"/>
      <c r="Y952" s="18"/>
      <c r="Z952" s="18"/>
      <c r="AA952" s="18"/>
    </row>
    <row r="953">
      <c r="A953" s="317"/>
      <c r="B953" s="172"/>
      <c r="C953" s="160"/>
      <c r="D953" s="160"/>
      <c r="E953" s="160"/>
      <c r="F953" s="160"/>
      <c r="G953" s="160"/>
      <c r="H953" s="160"/>
      <c r="I953" s="172"/>
      <c r="J953" s="160"/>
      <c r="K953" s="172"/>
      <c r="L953" s="172"/>
      <c r="M953" s="172"/>
      <c r="N953" s="160"/>
      <c r="O953" s="160"/>
      <c r="P953" s="160"/>
      <c r="Q953" s="160"/>
      <c r="R953" s="160"/>
      <c r="S953" s="160"/>
      <c r="T953" s="18"/>
      <c r="U953" s="18"/>
      <c r="V953" s="18"/>
      <c r="W953" s="18"/>
      <c r="X953" s="18"/>
      <c r="Y953" s="18"/>
      <c r="Z953" s="18"/>
      <c r="AA953" s="18"/>
    </row>
    <row r="954">
      <c r="A954" s="317"/>
      <c r="B954" s="172"/>
      <c r="C954" s="160"/>
      <c r="D954" s="160"/>
      <c r="E954" s="160"/>
      <c r="F954" s="160"/>
      <c r="G954" s="160"/>
      <c r="H954" s="160"/>
      <c r="I954" s="172"/>
      <c r="J954" s="160"/>
      <c r="K954" s="172"/>
      <c r="L954" s="172"/>
      <c r="M954" s="172"/>
      <c r="N954" s="160"/>
      <c r="O954" s="160"/>
      <c r="P954" s="160"/>
      <c r="Q954" s="160"/>
      <c r="R954" s="160"/>
      <c r="S954" s="160"/>
      <c r="T954" s="18"/>
      <c r="U954" s="18"/>
      <c r="V954" s="18"/>
      <c r="W954" s="18"/>
      <c r="X954" s="18"/>
      <c r="Y954" s="18"/>
      <c r="Z954" s="18"/>
      <c r="AA954" s="18"/>
    </row>
    <row r="955">
      <c r="A955" s="317"/>
      <c r="B955" s="172"/>
      <c r="C955" s="160"/>
      <c r="D955" s="160"/>
      <c r="E955" s="160"/>
      <c r="F955" s="160"/>
      <c r="G955" s="160"/>
      <c r="H955" s="160"/>
      <c r="I955" s="172"/>
      <c r="J955" s="160"/>
      <c r="K955" s="172"/>
      <c r="L955" s="172"/>
      <c r="M955" s="172"/>
      <c r="N955" s="160"/>
      <c r="O955" s="160"/>
      <c r="P955" s="160"/>
      <c r="Q955" s="160"/>
      <c r="R955" s="160"/>
      <c r="S955" s="160"/>
      <c r="T955" s="18"/>
      <c r="U955" s="18"/>
      <c r="V955" s="18"/>
      <c r="W955" s="18"/>
      <c r="X955" s="18"/>
      <c r="Y955" s="18"/>
      <c r="Z955" s="18"/>
      <c r="AA955" s="18"/>
    </row>
    <row r="956">
      <c r="A956" s="317"/>
      <c r="B956" s="172"/>
      <c r="C956" s="160"/>
      <c r="D956" s="160"/>
      <c r="E956" s="160"/>
      <c r="F956" s="160"/>
      <c r="G956" s="160"/>
      <c r="H956" s="160"/>
      <c r="I956" s="172"/>
      <c r="J956" s="160"/>
      <c r="K956" s="172"/>
      <c r="L956" s="172"/>
      <c r="M956" s="172"/>
      <c r="N956" s="160"/>
      <c r="O956" s="160"/>
      <c r="P956" s="160"/>
      <c r="Q956" s="160"/>
      <c r="R956" s="160"/>
      <c r="S956" s="160"/>
      <c r="T956" s="18"/>
      <c r="U956" s="18"/>
      <c r="V956" s="18"/>
      <c r="W956" s="18"/>
      <c r="X956" s="18"/>
      <c r="Y956" s="18"/>
      <c r="Z956" s="18"/>
      <c r="AA956" s="18"/>
    </row>
    <row r="957">
      <c r="A957" s="317"/>
      <c r="B957" s="172"/>
      <c r="C957" s="160"/>
      <c r="D957" s="160"/>
      <c r="E957" s="160"/>
      <c r="F957" s="160"/>
      <c r="G957" s="160"/>
      <c r="H957" s="160"/>
      <c r="I957" s="172"/>
      <c r="J957" s="160"/>
      <c r="K957" s="172"/>
      <c r="L957" s="172"/>
      <c r="M957" s="172"/>
      <c r="N957" s="160"/>
      <c r="O957" s="160"/>
      <c r="P957" s="160"/>
      <c r="Q957" s="160"/>
      <c r="R957" s="160"/>
      <c r="S957" s="160"/>
      <c r="T957" s="18"/>
      <c r="U957" s="18"/>
      <c r="V957" s="18"/>
      <c r="W957" s="18"/>
      <c r="X957" s="18"/>
      <c r="Y957" s="18"/>
      <c r="Z957" s="18"/>
      <c r="AA957" s="18"/>
    </row>
    <row r="958">
      <c r="A958" s="317"/>
      <c r="B958" s="172"/>
      <c r="C958" s="160"/>
      <c r="D958" s="160"/>
      <c r="E958" s="160"/>
      <c r="F958" s="160"/>
      <c r="G958" s="160"/>
      <c r="H958" s="160"/>
      <c r="I958" s="172"/>
      <c r="J958" s="160"/>
      <c r="K958" s="172"/>
      <c r="L958" s="172"/>
      <c r="M958" s="172"/>
      <c r="N958" s="160"/>
      <c r="O958" s="160"/>
      <c r="P958" s="160"/>
      <c r="Q958" s="160"/>
      <c r="R958" s="160"/>
      <c r="S958" s="160"/>
      <c r="T958" s="18"/>
      <c r="U958" s="18"/>
      <c r="V958" s="18"/>
      <c r="W958" s="18"/>
      <c r="X958" s="18"/>
      <c r="Y958" s="18"/>
      <c r="Z958" s="18"/>
      <c r="AA958" s="18"/>
    </row>
    <row r="959">
      <c r="A959" s="317"/>
      <c r="B959" s="172"/>
      <c r="C959" s="160"/>
      <c r="D959" s="160"/>
      <c r="E959" s="160"/>
      <c r="F959" s="160"/>
      <c r="G959" s="160"/>
      <c r="H959" s="160"/>
      <c r="I959" s="172"/>
      <c r="J959" s="160"/>
      <c r="K959" s="172"/>
      <c r="L959" s="172"/>
      <c r="M959" s="172"/>
      <c r="N959" s="160"/>
      <c r="O959" s="160"/>
      <c r="P959" s="160"/>
      <c r="Q959" s="160"/>
      <c r="R959" s="160"/>
      <c r="S959" s="160"/>
      <c r="T959" s="18"/>
      <c r="U959" s="18"/>
      <c r="V959" s="18"/>
      <c r="W959" s="18"/>
      <c r="X959" s="18"/>
      <c r="Y959" s="18"/>
      <c r="Z959" s="18"/>
      <c r="AA959" s="18"/>
    </row>
    <row r="960">
      <c r="A960" s="317"/>
      <c r="B960" s="172"/>
      <c r="C960" s="160"/>
      <c r="D960" s="160"/>
      <c r="E960" s="160"/>
      <c r="F960" s="160"/>
      <c r="G960" s="160"/>
      <c r="H960" s="160"/>
      <c r="I960" s="172"/>
      <c r="J960" s="160"/>
      <c r="K960" s="172"/>
      <c r="L960" s="172"/>
      <c r="M960" s="172"/>
      <c r="N960" s="160"/>
      <c r="O960" s="160"/>
      <c r="P960" s="160"/>
      <c r="Q960" s="160"/>
      <c r="R960" s="160"/>
      <c r="S960" s="160"/>
      <c r="T960" s="18"/>
      <c r="U960" s="18"/>
      <c r="V960" s="18"/>
      <c r="W960" s="18"/>
      <c r="X960" s="18"/>
      <c r="Y960" s="18"/>
      <c r="Z960" s="18"/>
      <c r="AA960" s="18"/>
    </row>
    <row r="961">
      <c r="A961" s="317"/>
      <c r="B961" s="172"/>
      <c r="C961" s="160"/>
      <c r="D961" s="160"/>
      <c r="E961" s="160"/>
      <c r="F961" s="160"/>
      <c r="G961" s="160"/>
      <c r="H961" s="160"/>
      <c r="I961" s="172"/>
      <c r="J961" s="160"/>
      <c r="K961" s="172"/>
      <c r="L961" s="172"/>
      <c r="M961" s="172"/>
      <c r="N961" s="160"/>
      <c r="O961" s="160"/>
      <c r="P961" s="160"/>
      <c r="Q961" s="160"/>
      <c r="R961" s="160"/>
      <c r="S961" s="160"/>
      <c r="T961" s="18"/>
      <c r="U961" s="18"/>
      <c r="V961" s="18"/>
      <c r="W961" s="18"/>
      <c r="X961" s="18"/>
      <c r="Y961" s="18"/>
      <c r="Z961" s="18"/>
      <c r="AA961" s="18"/>
    </row>
    <row r="962">
      <c r="A962" s="317"/>
      <c r="B962" s="172"/>
      <c r="C962" s="160"/>
      <c r="D962" s="160"/>
      <c r="E962" s="160"/>
      <c r="F962" s="160"/>
      <c r="G962" s="160"/>
      <c r="H962" s="160"/>
      <c r="I962" s="172"/>
      <c r="J962" s="160"/>
      <c r="K962" s="172"/>
      <c r="L962" s="172"/>
      <c r="M962" s="172"/>
      <c r="N962" s="160"/>
      <c r="O962" s="160"/>
      <c r="P962" s="160"/>
      <c r="Q962" s="160"/>
      <c r="R962" s="160"/>
      <c r="S962" s="160"/>
      <c r="T962" s="18"/>
      <c r="U962" s="18"/>
      <c r="V962" s="18"/>
      <c r="W962" s="18"/>
      <c r="X962" s="18"/>
      <c r="Y962" s="18"/>
      <c r="Z962" s="18"/>
      <c r="AA962" s="18"/>
    </row>
    <row r="963">
      <c r="A963" s="317"/>
      <c r="B963" s="172"/>
      <c r="C963" s="160"/>
      <c r="D963" s="160"/>
      <c r="E963" s="160"/>
      <c r="F963" s="160"/>
      <c r="G963" s="160"/>
      <c r="H963" s="160"/>
      <c r="I963" s="172"/>
      <c r="J963" s="160"/>
      <c r="K963" s="172"/>
      <c r="L963" s="172"/>
      <c r="M963" s="172"/>
      <c r="N963" s="160"/>
      <c r="O963" s="160"/>
      <c r="P963" s="160"/>
      <c r="Q963" s="160"/>
      <c r="R963" s="160"/>
      <c r="S963" s="160"/>
      <c r="T963" s="18"/>
      <c r="U963" s="18"/>
      <c r="V963" s="18"/>
      <c r="W963" s="18"/>
      <c r="X963" s="18"/>
      <c r="Y963" s="18"/>
      <c r="Z963" s="18"/>
      <c r="AA963" s="18"/>
    </row>
    <row r="964">
      <c r="A964" s="317"/>
      <c r="B964" s="172"/>
      <c r="C964" s="160"/>
      <c r="D964" s="160"/>
      <c r="E964" s="160"/>
      <c r="F964" s="160"/>
      <c r="G964" s="160"/>
      <c r="H964" s="160"/>
      <c r="I964" s="172"/>
      <c r="J964" s="160"/>
      <c r="K964" s="172"/>
      <c r="L964" s="172"/>
      <c r="M964" s="172"/>
      <c r="N964" s="160"/>
      <c r="O964" s="160"/>
      <c r="P964" s="160"/>
      <c r="Q964" s="160"/>
      <c r="R964" s="160"/>
      <c r="S964" s="160"/>
      <c r="T964" s="18"/>
      <c r="U964" s="18"/>
      <c r="V964" s="18"/>
      <c r="W964" s="18"/>
      <c r="X964" s="18"/>
      <c r="Y964" s="18"/>
      <c r="Z964" s="18"/>
      <c r="AA964" s="18"/>
    </row>
    <row r="965">
      <c r="A965" s="317"/>
      <c r="B965" s="172"/>
      <c r="C965" s="160"/>
      <c r="D965" s="160"/>
      <c r="E965" s="160"/>
      <c r="F965" s="160"/>
      <c r="G965" s="160"/>
      <c r="H965" s="160"/>
      <c r="I965" s="172"/>
      <c r="J965" s="160"/>
      <c r="K965" s="172"/>
      <c r="L965" s="172"/>
      <c r="M965" s="172"/>
      <c r="N965" s="160"/>
      <c r="O965" s="160"/>
      <c r="P965" s="160"/>
      <c r="Q965" s="160"/>
      <c r="R965" s="160"/>
      <c r="S965" s="160"/>
      <c r="T965" s="18"/>
      <c r="U965" s="18"/>
      <c r="V965" s="18"/>
      <c r="W965" s="18"/>
      <c r="X965" s="18"/>
      <c r="Y965" s="18"/>
      <c r="Z965" s="18"/>
      <c r="AA965" s="18"/>
    </row>
    <row r="966">
      <c r="A966" s="317"/>
      <c r="B966" s="172"/>
      <c r="C966" s="160"/>
      <c r="D966" s="160"/>
      <c r="E966" s="160"/>
      <c r="F966" s="160"/>
      <c r="G966" s="160"/>
      <c r="H966" s="160"/>
      <c r="I966" s="172"/>
      <c r="J966" s="160"/>
      <c r="K966" s="172"/>
      <c r="L966" s="172"/>
      <c r="M966" s="172"/>
      <c r="N966" s="160"/>
      <c r="O966" s="160"/>
      <c r="P966" s="160"/>
      <c r="Q966" s="160"/>
      <c r="R966" s="160"/>
      <c r="S966" s="160"/>
      <c r="T966" s="18"/>
      <c r="U966" s="18"/>
      <c r="V966" s="18"/>
      <c r="W966" s="18"/>
      <c r="X966" s="18"/>
      <c r="Y966" s="18"/>
      <c r="Z966" s="18"/>
      <c r="AA966" s="18"/>
    </row>
    <row r="967">
      <c r="A967" s="317"/>
      <c r="B967" s="172"/>
      <c r="C967" s="160"/>
      <c r="D967" s="160"/>
      <c r="E967" s="160"/>
      <c r="F967" s="160"/>
      <c r="G967" s="160"/>
      <c r="H967" s="160"/>
      <c r="I967" s="172"/>
      <c r="J967" s="160"/>
      <c r="K967" s="172"/>
      <c r="L967" s="172"/>
      <c r="M967" s="172"/>
      <c r="N967" s="160"/>
      <c r="O967" s="160"/>
      <c r="P967" s="160"/>
      <c r="Q967" s="160"/>
      <c r="R967" s="160"/>
      <c r="S967" s="160"/>
      <c r="T967" s="18"/>
      <c r="U967" s="18"/>
      <c r="V967" s="18"/>
      <c r="W967" s="18"/>
      <c r="X967" s="18"/>
      <c r="Y967" s="18"/>
      <c r="Z967" s="18"/>
      <c r="AA967" s="18"/>
    </row>
    <row r="968">
      <c r="A968" s="317"/>
      <c r="B968" s="172"/>
      <c r="C968" s="160"/>
      <c r="D968" s="160"/>
      <c r="E968" s="160"/>
      <c r="F968" s="160"/>
      <c r="G968" s="160"/>
      <c r="H968" s="160"/>
      <c r="I968" s="172"/>
      <c r="J968" s="160"/>
      <c r="K968" s="172"/>
      <c r="L968" s="172"/>
      <c r="M968" s="172"/>
      <c r="N968" s="160"/>
      <c r="O968" s="160"/>
      <c r="P968" s="160"/>
      <c r="Q968" s="160"/>
      <c r="R968" s="160"/>
      <c r="S968" s="160"/>
      <c r="T968" s="18"/>
      <c r="U968" s="18"/>
      <c r="V968" s="18"/>
      <c r="W968" s="18"/>
      <c r="X968" s="18"/>
      <c r="Y968" s="18"/>
      <c r="Z968" s="18"/>
      <c r="AA968" s="18"/>
    </row>
    <row r="969">
      <c r="A969" s="317"/>
      <c r="B969" s="172"/>
      <c r="C969" s="160"/>
      <c r="D969" s="160"/>
      <c r="E969" s="160"/>
      <c r="F969" s="160"/>
      <c r="G969" s="160"/>
      <c r="H969" s="160"/>
      <c r="I969" s="172"/>
      <c r="J969" s="160"/>
      <c r="K969" s="172"/>
      <c r="L969" s="172"/>
      <c r="M969" s="172"/>
      <c r="N969" s="160"/>
      <c r="O969" s="160"/>
      <c r="P969" s="160"/>
      <c r="Q969" s="160"/>
      <c r="R969" s="160"/>
      <c r="S969" s="160"/>
      <c r="T969" s="18"/>
      <c r="U969" s="18"/>
      <c r="V969" s="18"/>
      <c r="W969" s="18"/>
      <c r="X969" s="18"/>
      <c r="Y969" s="18"/>
      <c r="Z969" s="18"/>
      <c r="AA969" s="18"/>
    </row>
    <row r="970">
      <c r="A970" s="317"/>
      <c r="B970" s="172"/>
      <c r="C970" s="160"/>
      <c r="D970" s="160"/>
      <c r="E970" s="160"/>
      <c r="F970" s="160"/>
      <c r="G970" s="160"/>
      <c r="H970" s="160"/>
      <c r="I970" s="172"/>
      <c r="J970" s="160"/>
      <c r="K970" s="172"/>
      <c r="L970" s="172"/>
      <c r="M970" s="172"/>
      <c r="N970" s="160"/>
      <c r="O970" s="160"/>
      <c r="P970" s="160"/>
      <c r="Q970" s="160"/>
      <c r="R970" s="160"/>
      <c r="S970" s="160"/>
      <c r="T970" s="18"/>
      <c r="U970" s="18"/>
      <c r="V970" s="18"/>
      <c r="W970" s="18"/>
      <c r="X970" s="18"/>
      <c r="Y970" s="18"/>
      <c r="Z970" s="18"/>
      <c r="AA970" s="18"/>
    </row>
    <row r="971">
      <c r="A971" s="317"/>
      <c r="B971" s="172"/>
      <c r="C971" s="160"/>
      <c r="D971" s="160"/>
      <c r="E971" s="160"/>
      <c r="F971" s="160"/>
      <c r="G971" s="160"/>
      <c r="H971" s="160"/>
      <c r="I971" s="172"/>
      <c r="J971" s="160"/>
      <c r="K971" s="172"/>
      <c r="L971" s="172"/>
      <c r="M971" s="172"/>
      <c r="N971" s="160"/>
      <c r="O971" s="160"/>
      <c r="P971" s="160"/>
      <c r="Q971" s="160"/>
      <c r="R971" s="160"/>
      <c r="S971" s="160"/>
      <c r="T971" s="18"/>
      <c r="U971" s="18"/>
      <c r="V971" s="18"/>
      <c r="W971" s="18"/>
      <c r="X971" s="18"/>
      <c r="Y971" s="18"/>
      <c r="Z971" s="18"/>
      <c r="AA971" s="18"/>
    </row>
    <row r="972">
      <c r="A972" s="317"/>
      <c r="B972" s="172"/>
      <c r="C972" s="160"/>
      <c r="D972" s="160"/>
      <c r="E972" s="160"/>
      <c r="F972" s="160"/>
      <c r="G972" s="160"/>
      <c r="H972" s="160"/>
      <c r="I972" s="172"/>
      <c r="J972" s="160"/>
      <c r="K972" s="172"/>
      <c r="L972" s="172"/>
      <c r="M972" s="172"/>
      <c r="N972" s="160"/>
      <c r="O972" s="160"/>
      <c r="P972" s="160"/>
      <c r="Q972" s="160"/>
      <c r="R972" s="160"/>
      <c r="S972" s="160"/>
      <c r="T972" s="18"/>
      <c r="U972" s="18"/>
      <c r="V972" s="18"/>
      <c r="W972" s="18"/>
      <c r="X972" s="18"/>
      <c r="Y972" s="18"/>
      <c r="Z972" s="18"/>
      <c r="AA972" s="18"/>
    </row>
    <row r="973">
      <c r="A973" s="317"/>
      <c r="B973" s="172"/>
      <c r="C973" s="160"/>
      <c r="D973" s="160"/>
      <c r="E973" s="160"/>
      <c r="F973" s="160"/>
      <c r="G973" s="160"/>
      <c r="H973" s="160"/>
      <c r="I973" s="172"/>
      <c r="J973" s="160"/>
      <c r="K973" s="172"/>
      <c r="L973" s="172"/>
      <c r="M973" s="172"/>
      <c r="N973" s="160"/>
      <c r="O973" s="160"/>
      <c r="P973" s="160"/>
      <c r="Q973" s="160"/>
      <c r="R973" s="160"/>
      <c r="S973" s="160"/>
      <c r="T973" s="18"/>
      <c r="U973" s="18"/>
      <c r="V973" s="18"/>
      <c r="W973" s="18"/>
      <c r="X973" s="18"/>
      <c r="Y973" s="18"/>
      <c r="Z973" s="18"/>
      <c r="AA973" s="18"/>
    </row>
    <row r="974">
      <c r="A974" s="317"/>
      <c r="B974" s="172"/>
      <c r="C974" s="160"/>
      <c r="D974" s="160"/>
      <c r="E974" s="160"/>
      <c r="F974" s="160"/>
      <c r="G974" s="160"/>
      <c r="H974" s="160"/>
      <c r="I974" s="172"/>
      <c r="J974" s="160"/>
      <c r="K974" s="172"/>
      <c r="L974" s="172"/>
      <c r="M974" s="172"/>
      <c r="N974" s="160"/>
      <c r="O974" s="160"/>
      <c r="P974" s="160"/>
      <c r="Q974" s="160"/>
      <c r="R974" s="160"/>
      <c r="S974" s="160"/>
      <c r="T974" s="18"/>
      <c r="U974" s="18"/>
      <c r="V974" s="18"/>
      <c r="W974" s="18"/>
      <c r="X974" s="18"/>
      <c r="Y974" s="18"/>
      <c r="Z974" s="18"/>
      <c r="AA974" s="18"/>
    </row>
    <row r="975">
      <c r="A975" s="317"/>
      <c r="B975" s="172"/>
      <c r="C975" s="160"/>
      <c r="D975" s="160"/>
      <c r="E975" s="160"/>
      <c r="F975" s="160"/>
      <c r="G975" s="160"/>
      <c r="H975" s="160"/>
      <c r="I975" s="172"/>
      <c r="J975" s="160"/>
      <c r="K975" s="172"/>
      <c r="L975" s="172"/>
      <c r="M975" s="172"/>
      <c r="N975" s="160"/>
      <c r="O975" s="160"/>
      <c r="P975" s="160"/>
      <c r="Q975" s="160"/>
      <c r="R975" s="160"/>
      <c r="S975" s="160"/>
      <c r="T975" s="18"/>
      <c r="U975" s="18"/>
      <c r="V975" s="18"/>
      <c r="W975" s="18"/>
      <c r="X975" s="18"/>
      <c r="Y975" s="18"/>
      <c r="Z975" s="18"/>
      <c r="AA975" s="18"/>
    </row>
    <row r="976">
      <c r="A976" s="317"/>
      <c r="B976" s="172"/>
      <c r="C976" s="160"/>
      <c r="D976" s="160"/>
      <c r="E976" s="160"/>
      <c r="F976" s="160"/>
      <c r="G976" s="160"/>
      <c r="H976" s="160"/>
      <c r="I976" s="172"/>
      <c r="J976" s="160"/>
      <c r="K976" s="172"/>
      <c r="L976" s="172"/>
      <c r="M976" s="172"/>
      <c r="N976" s="160"/>
      <c r="O976" s="160"/>
      <c r="P976" s="160"/>
      <c r="Q976" s="160"/>
      <c r="R976" s="160"/>
      <c r="S976" s="160"/>
      <c r="T976" s="18"/>
      <c r="U976" s="18"/>
      <c r="V976" s="18"/>
      <c r="W976" s="18"/>
      <c r="X976" s="18"/>
      <c r="Y976" s="18"/>
      <c r="Z976" s="18"/>
      <c r="AA976" s="18"/>
    </row>
    <row r="977">
      <c r="A977" s="317"/>
      <c r="B977" s="172"/>
      <c r="C977" s="160"/>
      <c r="D977" s="160"/>
      <c r="E977" s="160"/>
      <c r="F977" s="160"/>
      <c r="G977" s="160"/>
      <c r="H977" s="160"/>
      <c r="I977" s="172"/>
      <c r="J977" s="160"/>
      <c r="K977" s="172"/>
      <c r="L977" s="172"/>
      <c r="M977" s="172"/>
      <c r="N977" s="160"/>
      <c r="O977" s="160"/>
      <c r="P977" s="160"/>
      <c r="Q977" s="160"/>
      <c r="R977" s="160"/>
      <c r="S977" s="160"/>
      <c r="T977" s="18"/>
      <c r="U977" s="18"/>
      <c r="V977" s="18"/>
      <c r="W977" s="18"/>
      <c r="X977" s="18"/>
      <c r="Y977" s="18"/>
      <c r="Z977" s="18"/>
      <c r="AA977" s="18"/>
    </row>
    <row r="978">
      <c r="A978" s="317"/>
      <c r="B978" s="172"/>
      <c r="C978" s="160"/>
      <c r="D978" s="160"/>
      <c r="E978" s="160"/>
      <c r="F978" s="160"/>
      <c r="G978" s="160"/>
      <c r="H978" s="160"/>
      <c r="I978" s="172"/>
      <c r="J978" s="160"/>
      <c r="K978" s="172"/>
      <c r="L978" s="172"/>
      <c r="M978" s="172"/>
      <c r="N978" s="160"/>
      <c r="O978" s="160"/>
      <c r="P978" s="160"/>
      <c r="Q978" s="160"/>
      <c r="R978" s="160"/>
      <c r="S978" s="160"/>
      <c r="T978" s="18"/>
      <c r="U978" s="18"/>
      <c r="V978" s="18"/>
      <c r="W978" s="18"/>
      <c r="X978" s="18"/>
      <c r="Y978" s="18"/>
      <c r="Z978" s="18"/>
      <c r="AA978" s="18"/>
    </row>
    <row r="979">
      <c r="A979" s="317"/>
      <c r="B979" s="172"/>
      <c r="C979" s="160"/>
      <c r="D979" s="160"/>
      <c r="E979" s="160"/>
      <c r="F979" s="160"/>
      <c r="G979" s="160"/>
      <c r="H979" s="160"/>
      <c r="I979" s="172"/>
      <c r="J979" s="160"/>
      <c r="K979" s="172"/>
      <c r="L979" s="172"/>
      <c r="M979" s="172"/>
      <c r="N979" s="160"/>
      <c r="O979" s="160"/>
      <c r="P979" s="160"/>
      <c r="Q979" s="160"/>
      <c r="R979" s="160"/>
      <c r="S979" s="160"/>
      <c r="T979" s="18"/>
      <c r="U979" s="18"/>
      <c r="V979" s="18"/>
      <c r="W979" s="18"/>
      <c r="X979" s="18"/>
      <c r="Y979" s="18"/>
      <c r="Z979" s="18"/>
      <c r="AA979" s="18"/>
    </row>
    <row r="980">
      <c r="A980" s="317"/>
      <c r="B980" s="172"/>
      <c r="C980" s="160"/>
      <c r="D980" s="160"/>
      <c r="E980" s="160"/>
      <c r="F980" s="160"/>
      <c r="G980" s="160"/>
      <c r="H980" s="160"/>
      <c r="I980" s="172"/>
      <c r="J980" s="160"/>
      <c r="K980" s="172"/>
      <c r="L980" s="172"/>
      <c r="M980" s="172"/>
      <c r="N980" s="160"/>
      <c r="O980" s="160"/>
      <c r="P980" s="160"/>
      <c r="Q980" s="160"/>
      <c r="R980" s="160"/>
      <c r="S980" s="160"/>
      <c r="T980" s="18"/>
      <c r="U980" s="18"/>
      <c r="V980" s="18"/>
      <c r="W980" s="18"/>
      <c r="X980" s="18"/>
      <c r="Y980" s="18"/>
      <c r="Z980" s="18"/>
      <c r="AA980" s="18"/>
    </row>
    <row r="981">
      <c r="A981" s="317"/>
      <c r="B981" s="172"/>
      <c r="C981" s="160"/>
      <c r="D981" s="160"/>
      <c r="E981" s="160"/>
      <c r="F981" s="160"/>
      <c r="G981" s="160"/>
      <c r="H981" s="160"/>
      <c r="I981" s="172"/>
      <c r="J981" s="160"/>
      <c r="K981" s="172"/>
      <c r="L981" s="172"/>
      <c r="M981" s="172"/>
      <c r="N981" s="160"/>
      <c r="O981" s="160"/>
      <c r="P981" s="160"/>
      <c r="Q981" s="160"/>
      <c r="R981" s="160"/>
      <c r="S981" s="160"/>
      <c r="T981" s="18"/>
      <c r="U981" s="18"/>
      <c r="V981" s="18"/>
      <c r="W981" s="18"/>
      <c r="X981" s="18"/>
      <c r="Y981" s="18"/>
      <c r="Z981" s="18"/>
      <c r="AA981" s="18"/>
    </row>
    <row r="982">
      <c r="A982" s="317"/>
      <c r="B982" s="172"/>
      <c r="C982" s="160"/>
      <c r="D982" s="160"/>
      <c r="E982" s="160"/>
      <c r="F982" s="160"/>
      <c r="G982" s="160"/>
      <c r="H982" s="160"/>
      <c r="I982" s="172"/>
      <c r="J982" s="160"/>
      <c r="K982" s="172"/>
      <c r="L982" s="172"/>
      <c r="M982" s="172"/>
      <c r="N982" s="160"/>
      <c r="O982" s="160"/>
      <c r="P982" s="160"/>
      <c r="Q982" s="160"/>
      <c r="R982" s="160"/>
      <c r="S982" s="160"/>
      <c r="T982" s="18"/>
      <c r="U982" s="18"/>
      <c r="V982" s="18"/>
      <c r="W982" s="18"/>
      <c r="X982" s="18"/>
      <c r="Y982" s="18"/>
      <c r="Z982" s="18"/>
      <c r="AA982" s="18"/>
    </row>
    <row r="983">
      <c r="A983" s="317"/>
      <c r="B983" s="172"/>
      <c r="C983" s="160"/>
      <c r="D983" s="160"/>
      <c r="E983" s="160"/>
      <c r="F983" s="160"/>
      <c r="G983" s="160"/>
      <c r="H983" s="160"/>
      <c r="I983" s="172"/>
      <c r="J983" s="160"/>
      <c r="K983" s="172"/>
      <c r="L983" s="172"/>
      <c r="M983" s="172"/>
      <c r="N983" s="160"/>
      <c r="O983" s="160"/>
      <c r="P983" s="160"/>
      <c r="Q983" s="160"/>
      <c r="R983" s="160"/>
      <c r="S983" s="160"/>
      <c r="T983" s="18"/>
      <c r="U983" s="18"/>
      <c r="V983" s="18"/>
      <c r="W983" s="18"/>
      <c r="X983" s="18"/>
      <c r="Y983" s="18"/>
      <c r="Z983" s="18"/>
      <c r="AA983" s="18"/>
    </row>
    <row r="984">
      <c r="A984" s="317"/>
      <c r="B984" s="172"/>
      <c r="C984" s="160"/>
      <c r="D984" s="160"/>
      <c r="E984" s="160"/>
      <c r="F984" s="160"/>
      <c r="G984" s="160"/>
      <c r="H984" s="160"/>
      <c r="I984" s="172"/>
      <c r="J984" s="160"/>
      <c r="K984" s="172"/>
      <c r="L984" s="172"/>
      <c r="M984" s="172"/>
      <c r="N984" s="160"/>
      <c r="O984" s="160"/>
      <c r="P984" s="160"/>
      <c r="Q984" s="160"/>
      <c r="R984" s="160"/>
      <c r="S984" s="160"/>
      <c r="T984" s="18"/>
      <c r="U984" s="18"/>
      <c r="V984" s="18"/>
      <c r="W984" s="18"/>
      <c r="X984" s="18"/>
      <c r="Y984" s="18"/>
      <c r="Z984" s="18"/>
      <c r="AA984" s="18"/>
    </row>
    <row r="985">
      <c r="A985" s="317"/>
      <c r="B985" s="172"/>
      <c r="C985" s="160"/>
      <c r="D985" s="160"/>
      <c r="E985" s="160"/>
      <c r="F985" s="160"/>
      <c r="G985" s="160"/>
      <c r="H985" s="160"/>
      <c r="I985" s="172"/>
      <c r="J985" s="160"/>
      <c r="K985" s="172"/>
      <c r="L985" s="172"/>
      <c r="M985" s="172"/>
      <c r="N985" s="160"/>
      <c r="O985" s="160"/>
      <c r="P985" s="160"/>
      <c r="Q985" s="160"/>
      <c r="R985" s="160"/>
      <c r="S985" s="160"/>
      <c r="T985" s="18"/>
      <c r="U985" s="18"/>
      <c r="V985" s="18"/>
      <c r="W985" s="18"/>
      <c r="X985" s="18"/>
      <c r="Y985" s="18"/>
      <c r="Z985" s="18"/>
      <c r="AA985" s="18"/>
    </row>
    <row r="986">
      <c r="A986" s="317"/>
      <c r="B986" s="172"/>
      <c r="C986" s="160"/>
      <c r="D986" s="160"/>
      <c r="E986" s="160"/>
      <c r="F986" s="160"/>
      <c r="G986" s="160"/>
      <c r="H986" s="160"/>
      <c r="I986" s="172"/>
      <c r="J986" s="160"/>
      <c r="K986" s="172"/>
      <c r="L986" s="172"/>
      <c r="M986" s="172"/>
      <c r="N986" s="160"/>
      <c r="O986" s="160"/>
      <c r="P986" s="160"/>
      <c r="Q986" s="160"/>
      <c r="R986" s="160"/>
      <c r="S986" s="160"/>
      <c r="T986" s="18"/>
      <c r="U986" s="18"/>
      <c r="V986" s="18"/>
      <c r="W986" s="18"/>
      <c r="X986" s="18"/>
      <c r="Y986" s="18"/>
      <c r="Z986" s="18"/>
      <c r="AA986" s="18"/>
    </row>
    <row r="987">
      <c r="A987" s="317"/>
      <c r="B987" s="172"/>
      <c r="C987" s="160"/>
      <c r="D987" s="160"/>
      <c r="E987" s="160"/>
      <c r="F987" s="160"/>
      <c r="G987" s="160"/>
      <c r="H987" s="160"/>
      <c r="I987" s="172"/>
      <c r="J987" s="160"/>
      <c r="K987" s="172"/>
      <c r="L987" s="172"/>
      <c r="M987" s="172"/>
      <c r="N987" s="160"/>
      <c r="O987" s="160"/>
      <c r="P987" s="160"/>
      <c r="Q987" s="160"/>
      <c r="R987" s="160"/>
      <c r="S987" s="160"/>
      <c r="T987" s="18"/>
      <c r="U987" s="18"/>
      <c r="V987" s="18"/>
      <c r="W987" s="18"/>
      <c r="X987" s="18"/>
      <c r="Y987" s="18"/>
      <c r="Z987" s="18"/>
      <c r="AA987" s="18"/>
    </row>
    <row r="988">
      <c r="A988" s="317"/>
      <c r="B988" s="172"/>
      <c r="C988" s="160"/>
      <c r="D988" s="160"/>
      <c r="E988" s="160"/>
      <c r="F988" s="160"/>
      <c r="G988" s="160"/>
      <c r="H988" s="160"/>
      <c r="I988" s="172"/>
      <c r="J988" s="160"/>
      <c r="K988" s="172"/>
      <c r="L988" s="172"/>
      <c r="M988" s="172"/>
      <c r="N988" s="160"/>
      <c r="O988" s="160"/>
      <c r="P988" s="160"/>
      <c r="Q988" s="160"/>
      <c r="R988" s="160"/>
      <c r="S988" s="160"/>
      <c r="T988" s="18"/>
      <c r="U988" s="18"/>
      <c r="V988" s="18"/>
      <c r="W988" s="18"/>
      <c r="X988" s="18"/>
      <c r="Y988" s="18"/>
      <c r="Z988" s="18"/>
      <c r="AA988" s="18"/>
    </row>
    <row r="989">
      <c r="A989" s="317"/>
      <c r="B989" s="172"/>
      <c r="C989" s="160"/>
      <c r="D989" s="160"/>
      <c r="E989" s="160"/>
      <c r="F989" s="160"/>
      <c r="G989" s="160"/>
      <c r="H989" s="160"/>
      <c r="I989" s="172"/>
      <c r="J989" s="160"/>
      <c r="K989" s="172"/>
      <c r="L989" s="172"/>
      <c r="M989" s="172"/>
      <c r="N989" s="160"/>
      <c r="O989" s="160"/>
      <c r="P989" s="160"/>
      <c r="Q989" s="160"/>
      <c r="R989" s="160"/>
      <c r="S989" s="160"/>
      <c r="T989" s="18"/>
      <c r="U989" s="18"/>
      <c r="V989" s="18"/>
      <c r="W989" s="18"/>
      <c r="X989" s="18"/>
      <c r="Y989" s="18"/>
      <c r="Z989" s="18"/>
      <c r="AA989" s="18"/>
    </row>
    <row r="990">
      <c r="A990" s="317"/>
      <c r="B990" s="172"/>
      <c r="C990" s="160"/>
      <c r="D990" s="160"/>
      <c r="E990" s="160"/>
      <c r="F990" s="160"/>
      <c r="G990" s="160"/>
      <c r="H990" s="160"/>
      <c r="I990" s="172"/>
      <c r="J990" s="160"/>
      <c r="K990" s="172"/>
      <c r="L990" s="172"/>
      <c r="M990" s="172"/>
      <c r="N990" s="160"/>
      <c r="O990" s="160"/>
      <c r="P990" s="160"/>
      <c r="Q990" s="160"/>
      <c r="R990" s="160"/>
      <c r="S990" s="160"/>
      <c r="T990" s="18"/>
      <c r="U990" s="18"/>
      <c r="V990" s="18"/>
      <c r="W990" s="18"/>
      <c r="X990" s="18"/>
      <c r="Y990" s="18"/>
      <c r="Z990" s="18"/>
      <c r="AA990" s="18"/>
    </row>
    <row r="991">
      <c r="A991" s="317"/>
      <c r="B991" s="172"/>
      <c r="C991" s="160"/>
      <c r="D991" s="160"/>
      <c r="E991" s="160"/>
      <c r="F991" s="160"/>
      <c r="G991" s="160"/>
      <c r="H991" s="160"/>
      <c r="I991" s="172"/>
      <c r="J991" s="160"/>
      <c r="K991" s="172"/>
      <c r="L991" s="172"/>
      <c r="M991" s="172"/>
      <c r="N991" s="160"/>
      <c r="O991" s="160"/>
      <c r="P991" s="160"/>
      <c r="Q991" s="160"/>
      <c r="R991" s="160"/>
      <c r="S991" s="160"/>
      <c r="T991" s="18"/>
      <c r="U991" s="18"/>
      <c r="V991" s="18"/>
      <c r="W991" s="18"/>
      <c r="X991" s="18"/>
      <c r="Y991" s="18"/>
      <c r="Z991" s="18"/>
      <c r="AA991" s="18"/>
    </row>
    <row r="992">
      <c r="A992" s="317"/>
      <c r="B992" s="172"/>
      <c r="C992" s="160"/>
      <c r="D992" s="160"/>
      <c r="E992" s="160"/>
      <c r="F992" s="160"/>
      <c r="G992" s="160"/>
      <c r="H992" s="160"/>
      <c r="I992" s="172"/>
      <c r="J992" s="160"/>
      <c r="K992" s="172"/>
      <c r="L992" s="172"/>
      <c r="M992" s="172"/>
      <c r="N992" s="160"/>
      <c r="O992" s="160"/>
      <c r="P992" s="160"/>
      <c r="Q992" s="160"/>
      <c r="R992" s="160"/>
      <c r="S992" s="160"/>
      <c r="T992" s="18"/>
      <c r="U992" s="18"/>
      <c r="V992" s="18"/>
      <c r="W992" s="18"/>
      <c r="X992" s="18"/>
      <c r="Y992" s="18"/>
      <c r="Z992" s="18"/>
      <c r="AA992" s="18"/>
    </row>
    <row r="993">
      <c r="A993" s="317"/>
      <c r="B993" s="172"/>
      <c r="C993" s="160"/>
      <c r="D993" s="160"/>
      <c r="E993" s="160"/>
      <c r="F993" s="160"/>
      <c r="G993" s="160"/>
      <c r="H993" s="160"/>
      <c r="I993" s="172"/>
      <c r="J993" s="160"/>
      <c r="K993" s="172"/>
      <c r="L993" s="172"/>
      <c r="M993" s="172"/>
      <c r="N993" s="160"/>
      <c r="O993" s="160"/>
      <c r="P993" s="160"/>
      <c r="Q993" s="160"/>
      <c r="R993" s="160"/>
      <c r="S993" s="160"/>
      <c r="T993" s="18"/>
      <c r="U993" s="18"/>
      <c r="V993" s="18"/>
      <c r="W993" s="18"/>
      <c r="X993" s="18"/>
      <c r="Y993" s="18"/>
      <c r="Z993" s="18"/>
      <c r="AA993" s="18"/>
    </row>
    <row r="994">
      <c r="A994" s="317"/>
      <c r="B994" s="172"/>
      <c r="C994" s="160"/>
      <c r="D994" s="160"/>
      <c r="E994" s="160"/>
      <c r="F994" s="160"/>
      <c r="G994" s="160"/>
      <c r="H994" s="160"/>
      <c r="I994" s="172"/>
      <c r="J994" s="160"/>
      <c r="K994" s="172"/>
      <c r="L994" s="172"/>
      <c r="M994" s="172"/>
      <c r="N994" s="160"/>
      <c r="O994" s="160"/>
      <c r="P994" s="160"/>
      <c r="Q994" s="160"/>
      <c r="R994" s="160"/>
      <c r="S994" s="160"/>
      <c r="T994" s="18"/>
      <c r="U994" s="18"/>
      <c r="V994" s="18"/>
      <c r="W994" s="18"/>
      <c r="X994" s="18"/>
      <c r="Y994" s="18"/>
      <c r="Z994" s="18"/>
      <c r="AA994" s="18"/>
    </row>
    <row r="995">
      <c r="A995" s="317"/>
      <c r="B995" s="172"/>
      <c r="C995" s="160"/>
      <c r="D995" s="160"/>
      <c r="E995" s="160"/>
      <c r="F995" s="160"/>
      <c r="G995" s="160"/>
      <c r="H995" s="160"/>
      <c r="I995" s="172"/>
      <c r="J995" s="160"/>
      <c r="K995" s="172"/>
      <c r="L995" s="172"/>
      <c r="M995" s="172"/>
      <c r="N995" s="160"/>
      <c r="O995" s="160"/>
      <c r="P995" s="160"/>
      <c r="Q995" s="160"/>
      <c r="R995" s="160"/>
      <c r="S995" s="160"/>
      <c r="T995" s="18"/>
      <c r="U995" s="18"/>
      <c r="V995" s="18"/>
      <c r="W995" s="18"/>
      <c r="X995" s="18"/>
      <c r="Y995" s="18"/>
      <c r="Z995" s="18"/>
      <c r="AA995" s="18"/>
    </row>
    <row r="996">
      <c r="A996" s="317"/>
      <c r="B996" s="172"/>
      <c r="C996" s="160"/>
      <c r="D996" s="160"/>
      <c r="E996" s="160"/>
      <c r="F996" s="160"/>
      <c r="G996" s="160"/>
      <c r="H996" s="160"/>
      <c r="I996" s="172"/>
      <c r="J996" s="160"/>
      <c r="K996" s="172"/>
      <c r="L996" s="172"/>
      <c r="M996" s="172"/>
      <c r="N996" s="160"/>
      <c r="O996" s="160"/>
      <c r="P996" s="160"/>
      <c r="Q996" s="160"/>
      <c r="R996" s="160"/>
      <c r="S996" s="160"/>
      <c r="T996" s="18"/>
      <c r="U996" s="18"/>
      <c r="V996" s="18"/>
      <c r="W996" s="18"/>
      <c r="X996" s="18"/>
      <c r="Y996" s="18"/>
      <c r="Z996" s="18"/>
      <c r="AA996" s="18"/>
    </row>
    <row r="997">
      <c r="A997" s="317"/>
      <c r="B997" s="172"/>
      <c r="C997" s="160"/>
      <c r="D997" s="160"/>
      <c r="E997" s="160"/>
      <c r="F997" s="160"/>
      <c r="G997" s="160"/>
      <c r="H997" s="160"/>
      <c r="I997" s="172"/>
      <c r="J997" s="160"/>
      <c r="K997" s="172"/>
      <c r="L997" s="172"/>
      <c r="M997" s="172"/>
      <c r="N997" s="160"/>
      <c r="O997" s="160"/>
      <c r="P997" s="160"/>
      <c r="Q997" s="160"/>
      <c r="R997" s="160"/>
      <c r="S997" s="160"/>
      <c r="T997" s="18"/>
      <c r="U997" s="18"/>
      <c r="V997" s="18"/>
      <c r="W997" s="18"/>
      <c r="X997" s="18"/>
      <c r="Y997" s="18"/>
      <c r="Z997" s="18"/>
      <c r="AA997" s="18"/>
    </row>
    <row r="998">
      <c r="A998" s="317"/>
      <c r="B998" s="172"/>
      <c r="C998" s="160"/>
      <c r="D998" s="160"/>
      <c r="E998" s="160"/>
      <c r="F998" s="160"/>
      <c r="G998" s="160"/>
      <c r="H998" s="160"/>
      <c r="I998" s="172"/>
      <c r="J998" s="160"/>
      <c r="K998" s="172"/>
      <c r="L998" s="172"/>
      <c r="M998" s="172"/>
      <c r="N998" s="160"/>
      <c r="O998" s="160"/>
      <c r="P998" s="160"/>
      <c r="Q998" s="160"/>
      <c r="R998" s="160"/>
      <c r="S998" s="160"/>
      <c r="T998" s="18"/>
      <c r="U998" s="18"/>
      <c r="V998" s="18"/>
      <c r="W998" s="18"/>
      <c r="X998" s="18"/>
      <c r="Y998" s="18"/>
      <c r="Z998" s="18"/>
      <c r="AA998" s="18"/>
    </row>
    <row r="999">
      <c r="A999" s="317"/>
      <c r="B999" s="172"/>
      <c r="C999" s="160"/>
      <c r="D999" s="160"/>
      <c r="E999" s="160"/>
      <c r="F999" s="160"/>
      <c r="G999" s="160"/>
      <c r="H999" s="160"/>
      <c r="I999" s="172"/>
      <c r="J999" s="160"/>
      <c r="K999" s="172"/>
      <c r="L999" s="172"/>
      <c r="M999" s="172"/>
      <c r="N999" s="160"/>
      <c r="O999" s="160"/>
      <c r="P999" s="160"/>
      <c r="Q999" s="160"/>
      <c r="R999" s="160"/>
      <c r="S999" s="160"/>
      <c r="T999" s="18"/>
      <c r="U999" s="18"/>
      <c r="V999" s="18"/>
      <c r="W999" s="18"/>
      <c r="X999" s="18"/>
      <c r="Y999" s="18"/>
      <c r="Z999" s="18"/>
      <c r="AA999" s="18"/>
    </row>
    <row r="1000">
      <c r="A1000" s="317"/>
      <c r="B1000" s="172"/>
      <c r="C1000" s="160"/>
      <c r="D1000" s="160"/>
      <c r="E1000" s="160"/>
      <c r="F1000" s="160"/>
      <c r="G1000" s="160"/>
      <c r="H1000" s="160"/>
      <c r="I1000" s="172"/>
      <c r="J1000" s="160"/>
      <c r="K1000" s="172"/>
      <c r="L1000" s="172"/>
      <c r="M1000" s="172"/>
      <c r="N1000" s="160"/>
      <c r="O1000" s="160"/>
      <c r="P1000" s="160"/>
      <c r="Q1000" s="160"/>
      <c r="R1000" s="160"/>
      <c r="S1000" s="160"/>
      <c r="T1000" s="18"/>
      <c r="U1000" s="18"/>
      <c r="V1000" s="18"/>
      <c r="W1000" s="18"/>
      <c r="X1000" s="18"/>
      <c r="Y1000" s="18"/>
      <c r="Z1000" s="18"/>
      <c r="AA1000" s="18"/>
    </row>
    <row r="1001">
      <c r="A1001" s="317"/>
      <c r="B1001" s="172"/>
      <c r="C1001" s="160"/>
      <c r="D1001" s="160"/>
      <c r="E1001" s="160"/>
      <c r="F1001" s="160"/>
      <c r="G1001" s="160"/>
      <c r="H1001" s="160"/>
      <c r="I1001" s="172"/>
      <c r="J1001" s="160"/>
      <c r="K1001" s="172"/>
      <c r="L1001" s="172"/>
      <c r="M1001" s="172"/>
      <c r="N1001" s="160"/>
      <c r="O1001" s="160"/>
      <c r="P1001" s="160"/>
      <c r="Q1001" s="160"/>
      <c r="R1001" s="160"/>
      <c r="S1001" s="160"/>
      <c r="T1001" s="18"/>
      <c r="U1001" s="18"/>
      <c r="V1001" s="18"/>
      <c r="W1001" s="18"/>
      <c r="X1001" s="18"/>
      <c r="Y1001" s="18"/>
      <c r="Z1001" s="18"/>
      <c r="AA1001" s="18"/>
    </row>
    <row r="1002">
      <c r="A1002" s="317"/>
      <c r="B1002" s="172"/>
      <c r="C1002" s="160"/>
      <c r="D1002" s="160"/>
      <c r="E1002" s="160"/>
      <c r="F1002" s="160"/>
      <c r="G1002" s="160"/>
      <c r="H1002" s="160"/>
      <c r="I1002" s="172"/>
      <c r="J1002" s="160"/>
      <c r="K1002" s="172"/>
      <c r="L1002" s="172"/>
      <c r="M1002" s="172"/>
      <c r="N1002" s="160"/>
      <c r="O1002" s="160"/>
      <c r="P1002" s="160"/>
      <c r="Q1002" s="160"/>
      <c r="R1002" s="160"/>
      <c r="S1002" s="160"/>
      <c r="T1002" s="18"/>
      <c r="U1002" s="18"/>
      <c r="V1002" s="18"/>
      <c r="W1002" s="18"/>
      <c r="X1002" s="18"/>
      <c r="Y1002" s="18"/>
      <c r="Z1002" s="18"/>
      <c r="AA1002" s="18"/>
    </row>
    <row r="1003">
      <c r="A1003" s="317"/>
      <c r="B1003" s="172"/>
      <c r="C1003" s="160"/>
      <c r="D1003" s="160"/>
      <c r="E1003" s="160"/>
      <c r="F1003" s="160"/>
      <c r="G1003" s="160"/>
      <c r="H1003" s="160"/>
      <c r="I1003" s="172"/>
      <c r="J1003" s="160"/>
      <c r="K1003" s="172"/>
      <c r="L1003" s="172"/>
      <c r="M1003" s="172"/>
      <c r="N1003" s="160"/>
      <c r="O1003" s="160"/>
      <c r="P1003" s="160"/>
      <c r="Q1003" s="160"/>
      <c r="R1003" s="160"/>
      <c r="S1003" s="160"/>
      <c r="T1003" s="18"/>
      <c r="U1003" s="18"/>
      <c r="V1003" s="18"/>
      <c r="W1003" s="18"/>
      <c r="X1003" s="18"/>
      <c r="Y1003" s="18"/>
      <c r="Z1003" s="18"/>
      <c r="AA1003" s="18"/>
    </row>
    <row r="1004">
      <c r="A1004" s="317"/>
      <c r="B1004" s="172"/>
      <c r="C1004" s="160"/>
      <c r="D1004" s="160"/>
      <c r="E1004" s="160"/>
      <c r="F1004" s="160"/>
      <c r="G1004" s="160"/>
      <c r="H1004" s="160"/>
      <c r="I1004" s="172"/>
      <c r="J1004" s="160"/>
      <c r="K1004" s="172"/>
      <c r="L1004" s="172"/>
      <c r="M1004" s="172"/>
      <c r="N1004" s="160"/>
      <c r="O1004" s="160"/>
      <c r="P1004" s="160"/>
      <c r="Q1004" s="160"/>
      <c r="R1004" s="160"/>
      <c r="S1004" s="160"/>
      <c r="T1004" s="18"/>
      <c r="U1004" s="18"/>
      <c r="V1004" s="18"/>
      <c r="W1004" s="18"/>
      <c r="X1004" s="18"/>
      <c r="Y1004" s="18"/>
      <c r="Z1004" s="18"/>
      <c r="AA1004" s="18"/>
    </row>
    <row r="1005">
      <c r="A1005" s="317"/>
      <c r="B1005" s="172"/>
      <c r="C1005" s="160"/>
      <c r="D1005" s="160"/>
      <c r="E1005" s="160"/>
      <c r="F1005" s="160"/>
      <c r="G1005" s="160"/>
      <c r="H1005" s="160"/>
      <c r="I1005" s="172"/>
      <c r="J1005" s="160"/>
      <c r="K1005" s="172"/>
      <c r="L1005" s="172"/>
      <c r="M1005" s="172"/>
      <c r="N1005" s="160"/>
      <c r="O1005" s="160"/>
      <c r="P1005" s="160"/>
      <c r="Q1005" s="160"/>
      <c r="R1005" s="160"/>
      <c r="S1005" s="160"/>
      <c r="T1005" s="18"/>
      <c r="U1005" s="18"/>
      <c r="V1005" s="18"/>
      <c r="W1005" s="18"/>
      <c r="X1005" s="18"/>
      <c r="Y1005" s="18"/>
      <c r="Z1005" s="18"/>
      <c r="AA1005" s="18"/>
    </row>
    <row r="1006">
      <c r="A1006" s="317"/>
      <c r="B1006" s="172"/>
      <c r="C1006" s="160"/>
      <c r="D1006" s="160"/>
      <c r="E1006" s="160"/>
      <c r="F1006" s="160"/>
      <c r="G1006" s="160"/>
      <c r="H1006" s="160"/>
      <c r="I1006" s="172"/>
      <c r="J1006" s="160"/>
      <c r="K1006" s="172"/>
      <c r="L1006" s="172"/>
      <c r="M1006" s="172"/>
      <c r="N1006" s="160"/>
      <c r="O1006" s="160"/>
      <c r="P1006" s="160"/>
      <c r="Q1006" s="160"/>
      <c r="R1006" s="160"/>
      <c r="S1006" s="160"/>
      <c r="T1006" s="18"/>
      <c r="U1006" s="18"/>
      <c r="V1006" s="18"/>
      <c r="W1006" s="18"/>
      <c r="X1006" s="18"/>
      <c r="Y1006" s="18"/>
      <c r="Z1006" s="18"/>
      <c r="AA1006" s="18"/>
    </row>
    <row r="1007">
      <c r="A1007" s="317"/>
      <c r="B1007" s="172"/>
      <c r="C1007" s="160"/>
      <c r="D1007" s="160"/>
      <c r="E1007" s="160"/>
      <c r="F1007" s="160"/>
      <c r="G1007" s="160"/>
      <c r="H1007" s="160"/>
      <c r="I1007" s="172"/>
      <c r="J1007" s="160"/>
      <c r="K1007" s="172"/>
      <c r="L1007" s="172"/>
      <c r="M1007" s="172"/>
      <c r="N1007" s="160"/>
      <c r="O1007" s="160"/>
      <c r="P1007" s="160"/>
      <c r="Q1007" s="160"/>
      <c r="R1007" s="160"/>
      <c r="S1007" s="160"/>
      <c r="T1007" s="18"/>
      <c r="U1007" s="18"/>
      <c r="V1007" s="18"/>
      <c r="W1007" s="18"/>
      <c r="X1007" s="18"/>
      <c r="Y1007" s="18"/>
      <c r="Z1007" s="18"/>
      <c r="AA1007" s="18"/>
    </row>
    <row r="1008">
      <c r="A1008" s="317"/>
      <c r="B1008" s="172"/>
      <c r="C1008" s="160"/>
      <c r="D1008" s="160"/>
      <c r="E1008" s="160"/>
      <c r="F1008" s="160"/>
      <c r="G1008" s="160"/>
      <c r="H1008" s="160"/>
      <c r="I1008" s="172"/>
      <c r="J1008" s="160"/>
      <c r="K1008" s="172"/>
      <c r="L1008" s="172"/>
      <c r="M1008" s="172"/>
      <c r="N1008" s="160"/>
      <c r="O1008" s="160"/>
      <c r="P1008" s="160"/>
      <c r="Q1008" s="160"/>
      <c r="R1008" s="160"/>
      <c r="S1008" s="160"/>
      <c r="T1008" s="18"/>
      <c r="U1008" s="18"/>
      <c r="V1008" s="18"/>
      <c r="W1008" s="18"/>
      <c r="X1008" s="18"/>
      <c r="Y1008" s="18"/>
      <c r="Z1008" s="18"/>
      <c r="AA1008" s="18"/>
    </row>
    <row r="1009">
      <c r="A1009" s="317"/>
      <c r="B1009" s="172"/>
      <c r="C1009" s="160"/>
      <c r="D1009" s="160"/>
      <c r="E1009" s="160"/>
      <c r="F1009" s="160"/>
      <c r="G1009" s="160"/>
      <c r="H1009" s="160"/>
      <c r="I1009" s="172"/>
      <c r="J1009" s="160"/>
      <c r="K1009" s="172"/>
      <c r="L1009" s="172"/>
      <c r="M1009" s="172"/>
      <c r="N1009" s="160"/>
      <c r="O1009" s="160"/>
      <c r="P1009" s="160"/>
      <c r="Q1009" s="160"/>
      <c r="R1009" s="160"/>
      <c r="S1009" s="160"/>
      <c r="T1009" s="18"/>
      <c r="U1009" s="18"/>
      <c r="V1009" s="18"/>
      <c r="W1009" s="18"/>
      <c r="X1009" s="18"/>
      <c r="Y1009" s="18"/>
      <c r="Z1009" s="18"/>
      <c r="AA1009" s="18"/>
    </row>
    <row r="1010">
      <c r="A1010" s="317"/>
      <c r="B1010" s="172"/>
      <c r="C1010" s="160"/>
      <c r="D1010" s="160"/>
      <c r="E1010" s="160"/>
      <c r="F1010" s="160"/>
      <c r="G1010" s="160"/>
      <c r="H1010" s="160"/>
      <c r="I1010" s="172"/>
      <c r="J1010" s="160"/>
      <c r="K1010" s="172"/>
      <c r="L1010" s="172"/>
      <c r="M1010" s="172"/>
      <c r="N1010" s="160"/>
      <c r="O1010" s="160"/>
      <c r="P1010" s="160"/>
      <c r="Q1010" s="160"/>
      <c r="R1010" s="160"/>
      <c r="S1010" s="160"/>
      <c r="T1010" s="18"/>
      <c r="U1010" s="18"/>
      <c r="V1010" s="18"/>
      <c r="W1010" s="18"/>
      <c r="X1010" s="18"/>
      <c r="Y1010" s="18"/>
      <c r="Z1010" s="18"/>
      <c r="AA1010" s="18"/>
    </row>
    <row r="1011">
      <c r="A1011" s="317"/>
      <c r="B1011" s="172"/>
      <c r="C1011" s="160"/>
      <c r="D1011" s="160"/>
      <c r="E1011" s="160"/>
      <c r="F1011" s="160"/>
      <c r="G1011" s="160"/>
      <c r="H1011" s="160"/>
      <c r="I1011" s="172"/>
      <c r="J1011" s="160"/>
      <c r="K1011" s="172"/>
      <c r="L1011" s="172"/>
      <c r="M1011" s="172"/>
      <c r="N1011" s="160"/>
      <c r="O1011" s="160"/>
      <c r="P1011" s="160"/>
      <c r="Q1011" s="160"/>
      <c r="R1011" s="160"/>
      <c r="S1011" s="160"/>
      <c r="T1011" s="18"/>
      <c r="U1011" s="18"/>
      <c r="V1011" s="18"/>
      <c r="W1011" s="18"/>
      <c r="X1011" s="18"/>
      <c r="Y1011" s="18"/>
      <c r="Z1011" s="18"/>
      <c r="AA1011" s="18"/>
    </row>
    <row r="1012">
      <c r="A1012" s="317"/>
      <c r="B1012" s="172"/>
      <c r="C1012" s="160"/>
      <c r="D1012" s="160"/>
      <c r="E1012" s="160"/>
      <c r="F1012" s="160"/>
      <c r="G1012" s="160"/>
      <c r="H1012" s="160"/>
      <c r="I1012" s="172"/>
      <c r="J1012" s="160"/>
      <c r="K1012" s="172"/>
      <c r="L1012" s="172"/>
      <c r="M1012" s="172"/>
      <c r="N1012" s="160"/>
      <c r="O1012" s="160"/>
      <c r="P1012" s="160"/>
      <c r="Q1012" s="160"/>
      <c r="R1012" s="160"/>
      <c r="S1012" s="160"/>
      <c r="T1012" s="18"/>
      <c r="U1012" s="18"/>
      <c r="V1012" s="18"/>
      <c r="W1012" s="18"/>
      <c r="X1012" s="18"/>
      <c r="Y1012" s="18"/>
      <c r="Z1012" s="18"/>
      <c r="AA1012" s="18"/>
    </row>
    <row r="1013">
      <c r="A1013" s="317"/>
      <c r="B1013" s="172"/>
      <c r="C1013" s="160"/>
      <c r="D1013" s="160"/>
      <c r="E1013" s="160"/>
      <c r="F1013" s="160"/>
      <c r="G1013" s="160"/>
      <c r="H1013" s="160"/>
      <c r="I1013" s="172"/>
      <c r="J1013" s="160"/>
      <c r="K1013" s="172"/>
      <c r="L1013" s="172"/>
      <c r="M1013" s="172"/>
      <c r="N1013" s="160"/>
      <c r="O1013" s="160"/>
      <c r="P1013" s="160"/>
      <c r="Q1013" s="160"/>
      <c r="R1013" s="160"/>
      <c r="S1013" s="160"/>
      <c r="T1013" s="18"/>
      <c r="U1013" s="18"/>
      <c r="V1013" s="18"/>
      <c r="W1013" s="18"/>
      <c r="X1013" s="18"/>
      <c r="Y1013" s="18"/>
      <c r="Z1013" s="18"/>
      <c r="AA1013" s="18"/>
    </row>
    <row r="1014">
      <c r="A1014" s="317"/>
      <c r="B1014" s="172"/>
      <c r="C1014" s="160"/>
      <c r="D1014" s="160"/>
      <c r="E1014" s="160"/>
      <c r="F1014" s="160"/>
      <c r="G1014" s="160"/>
      <c r="H1014" s="160"/>
      <c r="I1014" s="172"/>
      <c r="J1014" s="160"/>
      <c r="K1014" s="172"/>
      <c r="L1014" s="172"/>
      <c r="M1014" s="172"/>
      <c r="N1014" s="160"/>
      <c r="O1014" s="160"/>
      <c r="P1014" s="160"/>
      <c r="Q1014" s="160"/>
      <c r="R1014" s="160"/>
      <c r="S1014" s="160"/>
      <c r="T1014" s="18"/>
      <c r="U1014" s="18"/>
      <c r="V1014" s="18"/>
      <c r="W1014" s="18"/>
      <c r="X1014" s="18"/>
      <c r="Y1014" s="18"/>
      <c r="Z1014" s="18"/>
      <c r="AA1014" s="18"/>
    </row>
    <row r="1015">
      <c r="A1015" s="317"/>
      <c r="B1015" s="172"/>
      <c r="C1015" s="160"/>
      <c r="D1015" s="160"/>
      <c r="E1015" s="160"/>
      <c r="F1015" s="160"/>
      <c r="G1015" s="160"/>
      <c r="H1015" s="160"/>
      <c r="I1015" s="172"/>
      <c r="J1015" s="160"/>
      <c r="K1015" s="172"/>
      <c r="L1015" s="172"/>
      <c r="M1015" s="172"/>
      <c r="N1015" s="160"/>
      <c r="O1015" s="160"/>
      <c r="P1015" s="160"/>
      <c r="Q1015" s="160"/>
      <c r="R1015" s="160"/>
      <c r="S1015" s="160"/>
      <c r="T1015" s="18"/>
      <c r="U1015" s="18"/>
      <c r="V1015" s="18"/>
      <c r="W1015" s="18"/>
      <c r="X1015" s="18"/>
      <c r="Y1015" s="18"/>
      <c r="Z1015" s="18"/>
      <c r="AA1015" s="18"/>
    </row>
    <row r="1016">
      <c r="A1016" s="317"/>
      <c r="B1016" s="172"/>
      <c r="C1016" s="160"/>
      <c r="D1016" s="160"/>
      <c r="E1016" s="160"/>
      <c r="F1016" s="160"/>
      <c r="G1016" s="160"/>
      <c r="H1016" s="160"/>
      <c r="I1016" s="172"/>
      <c r="J1016" s="160"/>
      <c r="K1016" s="172"/>
      <c r="L1016" s="172"/>
      <c r="M1016" s="172"/>
      <c r="N1016" s="160"/>
      <c r="O1016" s="160"/>
      <c r="P1016" s="160"/>
      <c r="Q1016" s="160"/>
      <c r="R1016" s="160"/>
      <c r="S1016" s="160"/>
      <c r="T1016" s="18"/>
      <c r="U1016" s="18"/>
      <c r="V1016" s="18"/>
      <c r="W1016" s="18"/>
      <c r="X1016" s="18"/>
      <c r="Y1016" s="18"/>
      <c r="Z1016" s="18"/>
      <c r="AA1016" s="18"/>
    </row>
    <row r="1017">
      <c r="A1017" s="317"/>
      <c r="B1017" s="172"/>
      <c r="C1017" s="160"/>
      <c r="D1017" s="160"/>
      <c r="E1017" s="160"/>
      <c r="F1017" s="160"/>
      <c r="G1017" s="160"/>
      <c r="H1017" s="160"/>
      <c r="I1017" s="172"/>
      <c r="J1017" s="160"/>
      <c r="K1017" s="172"/>
      <c r="L1017" s="172"/>
      <c r="M1017" s="172"/>
      <c r="N1017" s="160"/>
      <c r="O1017" s="160"/>
      <c r="P1017" s="160"/>
      <c r="Q1017" s="160"/>
      <c r="R1017" s="160"/>
      <c r="S1017" s="160"/>
      <c r="T1017" s="18"/>
      <c r="U1017" s="18"/>
      <c r="V1017" s="18"/>
      <c r="W1017" s="18"/>
      <c r="X1017" s="18"/>
      <c r="Y1017" s="18"/>
      <c r="Z1017" s="18"/>
      <c r="AA1017" s="18"/>
    </row>
    <row r="1018">
      <c r="A1018" s="317"/>
      <c r="B1018" s="172"/>
      <c r="C1018" s="160"/>
      <c r="D1018" s="160"/>
      <c r="E1018" s="160"/>
      <c r="F1018" s="160"/>
      <c r="G1018" s="160"/>
      <c r="H1018" s="160"/>
      <c r="I1018" s="172"/>
      <c r="J1018" s="160"/>
      <c r="K1018" s="172"/>
      <c r="L1018" s="172"/>
      <c r="M1018" s="172"/>
      <c r="N1018" s="160"/>
      <c r="O1018" s="160"/>
      <c r="P1018" s="160"/>
      <c r="Q1018" s="160"/>
      <c r="R1018" s="160"/>
      <c r="S1018" s="160"/>
      <c r="T1018" s="18"/>
      <c r="U1018" s="18"/>
      <c r="V1018" s="18"/>
      <c r="W1018" s="18"/>
      <c r="X1018" s="18"/>
      <c r="Y1018" s="18"/>
      <c r="Z1018" s="18"/>
      <c r="AA1018" s="18"/>
    </row>
    <row r="1019">
      <c r="A1019" s="317"/>
      <c r="B1019" s="172"/>
      <c r="C1019" s="160"/>
      <c r="D1019" s="160"/>
      <c r="E1019" s="160"/>
      <c r="F1019" s="160"/>
      <c r="G1019" s="160"/>
      <c r="H1019" s="160"/>
      <c r="I1019" s="172"/>
      <c r="J1019" s="160"/>
      <c r="K1019" s="172"/>
      <c r="L1019" s="172"/>
      <c r="M1019" s="172"/>
      <c r="N1019" s="160"/>
      <c r="O1019" s="160"/>
      <c r="P1019" s="160"/>
      <c r="Q1019" s="160"/>
      <c r="R1019" s="160"/>
      <c r="S1019" s="160"/>
      <c r="T1019" s="18"/>
      <c r="U1019" s="18"/>
      <c r="V1019" s="18"/>
      <c r="W1019" s="18"/>
      <c r="X1019" s="18"/>
      <c r="Y1019" s="18"/>
      <c r="Z1019" s="18"/>
      <c r="AA1019" s="18"/>
    </row>
    <row r="1020">
      <c r="A1020" s="317"/>
      <c r="B1020" s="172"/>
      <c r="C1020" s="160"/>
      <c r="D1020" s="160"/>
      <c r="E1020" s="160"/>
      <c r="F1020" s="160"/>
      <c r="G1020" s="160"/>
      <c r="H1020" s="160"/>
      <c r="I1020" s="172"/>
      <c r="J1020" s="160"/>
      <c r="K1020" s="172"/>
      <c r="L1020" s="172"/>
      <c r="M1020" s="172"/>
      <c r="N1020" s="160"/>
      <c r="O1020" s="160"/>
      <c r="P1020" s="160"/>
      <c r="Q1020" s="160"/>
      <c r="R1020" s="160"/>
      <c r="S1020" s="160"/>
      <c r="T1020" s="18"/>
      <c r="U1020" s="18"/>
      <c r="V1020" s="18"/>
      <c r="W1020" s="18"/>
      <c r="X1020" s="18"/>
      <c r="Y1020" s="18"/>
      <c r="Z1020" s="18"/>
      <c r="AA1020" s="18"/>
    </row>
    <row r="1021">
      <c r="A1021" s="317"/>
      <c r="B1021" s="172"/>
      <c r="C1021" s="160"/>
      <c r="D1021" s="160"/>
      <c r="E1021" s="160"/>
      <c r="F1021" s="160"/>
      <c r="G1021" s="160"/>
      <c r="H1021" s="160"/>
      <c r="I1021" s="172"/>
      <c r="J1021" s="160"/>
      <c r="K1021" s="172"/>
      <c r="L1021" s="172"/>
      <c r="M1021" s="172"/>
      <c r="N1021" s="160"/>
      <c r="O1021" s="160"/>
      <c r="P1021" s="160"/>
      <c r="Q1021" s="160"/>
      <c r="R1021" s="160"/>
      <c r="S1021" s="160"/>
      <c r="T1021" s="18"/>
      <c r="U1021" s="18"/>
      <c r="V1021" s="18"/>
      <c r="W1021" s="18"/>
      <c r="X1021" s="18"/>
      <c r="Y1021" s="18"/>
      <c r="Z1021" s="18"/>
      <c r="AA1021" s="18"/>
    </row>
    <row r="1022">
      <c r="A1022" s="317"/>
      <c r="B1022" s="172"/>
      <c r="C1022" s="160"/>
      <c r="D1022" s="160"/>
      <c r="E1022" s="160"/>
      <c r="F1022" s="160"/>
      <c r="G1022" s="160"/>
      <c r="H1022" s="160"/>
      <c r="I1022" s="172"/>
      <c r="J1022" s="160"/>
      <c r="K1022" s="172"/>
      <c r="L1022" s="172"/>
      <c r="M1022" s="172"/>
      <c r="N1022" s="160"/>
      <c r="O1022" s="160"/>
      <c r="P1022" s="160"/>
      <c r="Q1022" s="160"/>
      <c r="R1022" s="160"/>
      <c r="S1022" s="160"/>
      <c r="T1022" s="18"/>
      <c r="U1022" s="18"/>
      <c r="V1022" s="18"/>
      <c r="W1022" s="18"/>
      <c r="X1022" s="18"/>
      <c r="Y1022" s="18"/>
      <c r="Z1022" s="18"/>
      <c r="AA1022" s="18"/>
    </row>
    <row r="1023">
      <c r="A1023" s="317"/>
      <c r="B1023" s="172"/>
      <c r="C1023" s="160"/>
      <c r="D1023" s="160"/>
      <c r="E1023" s="160"/>
      <c r="F1023" s="160"/>
      <c r="G1023" s="160"/>
      <c r="H1023" s="160"/>
      <c r="I1023" s="172"/>
      <c r="J1023" s="160"/>
      <c r="K1023" s="172"/>
      <c r="L1023" s="172"/>
      <c r="M1023" s="172"/>
      <c r="N1023" s="160"/>
      <c r="O1023" s="160"/>
      <c r="P1023" s="160"/>
      <c r="Q1023" s="160"/>
      <c r="R1023" s="160"/>
      <c r="S1023" s="160"/>
      <c r="T1023" s="18"/>
      <c r="U1023" s="18"/>
      <c r="V1023" s="18"/>
      <c r="W1023" s="18"/>
      <c r="X1023" s="18"/>
      <c r="Y1023" s="18"/>
      <c r="Z1023" s="18"/>
      <c r="AA1023" s="18"/>
    </row>
    <row r="1024">
      <c r="A1024" s="317"/>
      <c r="B1024" s="172"/>
      <c r="C1024" s="160"/>
      <c r="D1024" s="160"/>
      <c r="E1024" s="160"/>
      <c r="F1024" s="160"/>
      <c r="G1024" s="160"/>
      <c r="H1024" s="160"/>
      <c r="I1024" s="172"/>
      <c r="J1024" s="160"/>
      <c r="K1024" s="172"/>
      <c r="L1024" s="172"/>
      <c r="M1024" s="172"/>
      <c r="N1024" s="160"/>
      <c r="O1024" s="160"/>
      <c r="P1024" s="160"/>
      <c r="Q1024" s="160"/>
      <c r="R1024" s="160"/>
      <c r="S1024" s="160"/>
      <c r="T1024" s="18"/>
      <c r="U1024" s="18"/>
      <c r="V1024" s="18"/>
      <c r="W1024" s="18"/>
      <c r="X1024" s="18"/>
      <c r="Y1024" s="18"/>
      <c r="Z1024" s="18"/>
      <c r="AA1024" s="18"/>
    </row>
    <row r="1025">
      <c r="A1025" s="317"/>
      <c r="B1025" s="172"/>
      <c r="C1025" s="160"/>
      <c r="D1025" s="160"/>
      <c r="E1025" s="160"/>
      <c r="F1025" s="160"/>
      <c r="G1025" s="160"/>
      <c r="H1025" s="160"/>
      <c r="I1025" s="172"/>
      <c r="J1025" s="160"/>
      <c r="K1025" s="172"/>
      <c r="L1025" s="172"/>
      <c r="M1025" s="172"/>
      <c r="N1025" s="160"/>
      <c r="O1025" s="160"/>
      <c r="P1025" s="160"/>
      <c r="Q1025" s="160"/>
      <c r="R1025" s="160"/>
      <c r="S1025" s="160"/>
      <c r="T1025" s="18"/>
      <c r="U1025" s="18"/>
      <c r="V1025" s="18"/>
      <c r="W1025" s="18"/>
      <c r="X1025" s="18"/>
      <c r="Y1025" s="18"/>
      <c r="Z1025" s="18"/>
      <c r="AA1025" s="18"/>
    </row>
    <row r="1026">
      <c r="A1026" s="317"/>
      <c r="B1026" s="172"/>
      <c r="C1026" s="160"/>
      <c r="D1026" s="160"/>
      <c r="E1026" s="160"/>
      <c r="F1026" s="160"/>
      <c r="G1026" s="160"/>
      <c r="H1026" s="160"/>
      <c r="I1026" s="172"/>
      <c r="J1026" s="160"/>
      <c r="K1026" s="172"/>
      <c r="L1026" s="172"/>
      <c r="M1026" s="172"/>
      <c r="N1026" s="160"/>
      <c r="O1026" s="160"/>
      <c r="P1026" s="160"/>
      <c r="Q1026" s="160"/>
      <c r="R1026" s="160"/>
      <c r="S1026" s="160"/>
      <c r="T1026" s="18"/>
      <c r="U1026" s="18"/>
      <c r="V1026" s="18"/>
      <c r="W1026" s="18"/>
      <c r="X1026" s="18"/>
      <c r="Y1026" s="18"/>
      <c r="Z1026" s="18"/>
      <c r="AA1026" s="18"/>
    </row>
    <row r="1027">
      <c r="A1027" s="317"/>
      <c r="B1027" s="172"/>
      <c r="C1027" s="160"/>
      <c r="D1027" s="160"/>
      <c r="E1027" s="160"/>
      <c r="F1027" s="160"/>
      <c r="G1027" s="160"/>
      <c r="H1027" s="160"/>
      <c r="I1027" s="172"/>
      <c r="J1027" s="160"/>
      <c r="K1027" s="172"/>
      <c r="L1027" s="172"/>
      <c r="M1027" s="172"/>
      <c r="N1027" s="160"/>
      <c r="O1027" s="160"/>
      <c r="P1027" s="160"/>
      <c r="Q1027" s="160"/>
      <c r="R1027" s="160"/>
      <c r="S1027" s="160"/>
      <c r="T1027" s="18"/>
      <c r="U1027" s="18"/>
      <c r="V1027" s="18"/>
      <c r="W1027" s="18"/>
      <c r="X1027" s="18"/>
      <c r="Y1027" s="18"/>
      <c r="Z1027" s="18"/>
      <c r="AA1027" s="18"/>
    </row>
    <row r="1028">
      <c r="A1028" s="317"/>
      <c r="B1028" s="172"/>
      <c r="C1028" s="160"/>
      <c r="D1028" s="160"/>
      <c r="E1028" s="160"/>
      <c r="F1028" s="160"/>
      <c r="G1028" s="160"/>
      <c r="H1028" s="160"/>
      <c r="I1028" s="172"/>
      <c r="J1028" s="160"/>
      <c r="K1028" s="172"/>
      <c r="L1028" s="172"/>
      <c r="M1028" s="172"/>
      <c r="N1028" s="160"/>
      <c r="O1028" s="160"/>
      <c r="P1028" s="160"/>
      <c r="Q1028" s="160"/>
      <c r="R1028" s="160"/>
      <c r="S1028" s="160"/>
      <c r="T1028" s="18"/>
      <c r="U1028" s="18"/>
      <c r="V1028" s="18"/>
      <c r="W1028" s="18"/>
      <c r="X1028" s="18"/>
      <c r="Y1028" s="18"/>
      <c r="Z1028" s="18"/>
      <c r="AA1028" s="18"/>
    </row>
    <row r="1029">
      <c r="A1029" s="317"/>
      <c r="B1029" s="172"/>
      <c r="C1029" s="160"/>
      <c r="D1029" s="160"/>
      <c r="E1029" s="160"/>
      <c r="F1029" s="160"/>
      <c r="G1029" s="160"/>
      <c r="H1029" s="160"/>
      <c r="I1029" s="172"/>
      <c r="J1029" s="160"/>
      <c r="K1029" s="172"/>
      <c r="L1029" s="172"/>
      <c r="M1029" s="172"/>
      <c r="N1029" s="160"/>
      <c r="O1029" s="160"/>
      <c r="P1029" s="160"/>
      <c r="Q1029" s="160"/>
      <c r="R1029" s="160"/>
      <c r="S1029" s="160"/>
      <c r="T1029" s="18"/>
      <c r="U1029" s="18"/>
      <c r="V1029" s="18"/>
      <c r="W1029" s="18"/>
      <c r="X1029" s="18"/>
      <c r="Y1029" s="18"/>
      <c r="Z1029" s="18"/>
      <c r="AA1029" s="18"/>
    </row>
    <row r="1030">
      <c r="A1030" s="317"/>
      <c r="B1030" s="172"/>
      <c r="C1030" s="160"/>
      <c r="D1030" s="160"/>
      <c r="E1030" s="160"/>
      <c r="F1030" s="160"/>
      <c r="G1030" s="160"/>
      <c r="H1030" s="160"/>
      <c r="I1030" s="172"/>
      <c r="J1030" s="160"/>
      <c r="K1030" s="172"/>
      <c r="L1030" s="172"/>
      <c r="M1030" s="172"/>
      <c r="N1030" s="160"/>
      <c r="O1030" s="160"/>
      <c r="P1030" s="160"/>
      <c r="Q1030" s="160"/>
      <c r="R1030" s="160"/>
      <c r="S1030" s="160"/>
      <c r="T1030" s="18"/>
      <c r="U1030" s="18"/>
      <c r="V1030" s="18"/>
      <c r="W1030" s="18"/>
      <c r="X1030" s="18"/>
      <c r="Y1030" s="18"/>
      <c r="Z1030" s="18"/>
      <c r="AA1030" s="18"/>
    </row>
    <row r="1031">
      <c r="A1031" s="317"/>
      <c r="B1031" s="172"/>
      <c r="C1031" s="160"/>
      <c r="D1031" s="160"/>
      <c r="E1031" s="160"/>
      <c r="F1031" s="160"/>
      <c r="G1031" s="160"/>
      <c r="H1031" s="160"/>
      <c r="I1031" s="172"/>
      <c r="J1031" s="160"/>
      <c r="K1031" s="172"/>
      <c r="L1031" s="172"/>
      <c r="M1031" s="172"/>
      <c r="N1031" s="160"/>
      <c r="O1031" s="160"/>
      <c r="P1031" s="160"/>
      <c r="Q1031" s="160"/>
      <c r="R1031" s="160"/>
      <c r="S1031" s="160"/>
      <c r="T1031" s="18"/>
      <c r="U1031" s="18"/>
      <c r="V1031" s="18"/>
      <c r="W1031" s="18"/>
      <c r="X1031" s="18"/>
      <c r="Y1031" s="18"/>
      <c r="Z1031" s="18"/>
      <c r="AA1031" s="18"/>
    </row>
    <row r="1032">
      <c r="A1032" s="317"/>
      <c r="B1032" s="172"/>
      <c r="C1032" s="160"/>
      <c r="D1032" s="160"/>
      <c r="E1032" s="160"/>
      <c r="F1032" s="160"/>
      <c r="G1032" s="160"/>
      <c r="H1032" s="160"/>
      <c r="I1032" s="172"/>
      <c r="J1032" s="160"/>
      <c r="K1032" s="172"/>
      <c r="L1032" s="172"/>
      <c r="M1032" s="172"/>
      <c r="N1032" s="160"/>
      <c r="O1032" s="160"/>
      <c r="P1032" s="160"/>
      <c r="Q1032" s="160"/>
      <c r="R1032" s="160"/>
      <c r="S1032" s="160"/>
      <c r="T1032" s="18"/>
      <c r="U1032" s="18"/>
      <c r="V1032" s="18"/>
      <c r="W1032" s="18"/>
      <c r="X1032" s="18"/>
      <c r="Y1032" s="18"/>
      <c r="Z1032" s="18"/>
      <c r="AA1032" s="18"/>
    </row>
    <row r="1033">
      <c r="A1033" s="317"/>
      <c r="B1033" s="172"/>
      <c r="C1033" s="160"/>
      <c r="D1033" s="160"/>
      <c r="E1033" s="160"/>
      <c r="F1033" s="160"/>
      <c r="G1033" s="160"/>
      <c r="H1033" s="160"/>
      <c r="I1033" s="172"/>
      <c r="J1033" s="160"/>
      <c r="K1033" s="172"/>
      <c r="L1033" s="172"/>
      <c r="M1033" s="172"/>
      <c r="N1033" s="160"/>
      <c r="O1033" s="160"/>
      <c r="P1033" s="160"/>
      <c r="Q1033" s="160"/>
      <c r="R1033" s="160"/>
      <c r="S1033" s="160"/>
      <c r="T1033" s="18"/>
      <c r="U1033" s="18"/>
      <c r="V1033" s="18"/>
      <c r="W1033" s="18"/>
      <c r="X1033" s="18"/>
      <c r="Y1033" s="18"/>
      <c r="Z1033" s="18"/>
      <c r="AA1033" s="18"/>
    </row>
    <row r="1034">
      <c r="A1034" s="317"/>
      <c r="B1034" s="172"/>
      <c r="C1034" s="160"/>
      <c r="D1034" s="160"/>
      <c r="E1034" s="160"/>
      <c r="F1034" s="160"/>
      <c r="G1034" s="160"/>
      <c r="H1034" s="160"/>
      <c r="I1034" s="172"/>
      <c r="J1034" s="160"/>
      <c r="K1034" s="172"/>
      <c r="L1034" s="172"/>
      <c r="M1034" s="172"/>
      <c r="N1034" s="160"/>
      <c r="O1034" s="160"/>
      <c r="P1034" s="160"/>
      <c r="Q1034" s="160"/>
      <c r="R1034" s="160"/>
      <c r="S1034" s="160"/>
      <c r="T1034" s="18"/>
      <c r="U1034" s="18"/>
      <c r="V1034" s="18"/>
      <c r="W1034" s="18"/>
      <c r="X1034" s="18"/>
      <c r="Y1034" s="18"/>
      <c r="Z1034" s="18"/>
      <c r="AA1034" s="18"/>
    </row>
    <row r="1035">
      <c r="A1035" s="317"/>
      <c r="B1035" s="172"/>
      <c r="C1035" s="160"/>
      <c r="D1035" s="160"/>
      <c r="E1035" s="160"/>
      <c r="F1035" s="160"/>
      <c r="G1035" s="160"/>
      <c r="H1035" s="160"/>
      <c r="I1035" s="172"/>
      <c r="J1035" s="160"/>
      <c r="K1035" s="172"/>
      <c r="L1035" s="172"/>
      <c r="M1035" s="172"/>
      <c r="N1035" s="160"/>
      <c r="O1035" s="160"/>
      <c r="P1035" s="160"/>
      <c r="Q1035" s="160"/>
      <c r="R1035" s="160"/>
      <c r="S1035" s="160"/>
      <c r="T1035" s="18"/>
      <c r="U1035" s="18"/>
      <c r="V1035" s="18"/>
      <c r="W1035" s="18"/>
      <c r="X1035" s="18"/>
      <c r="Y1035" s="18"/>
      <c r="Z1035" s="18"/>
      <c r="AA1035" s="18"/>
    </row>
    <row r="1036">
      <c r="A1036" s="317"/>
      <c r="B1036" s="172"/>
      <c r="C1036" s="160"/>
      <c r="D1036" s="160"/>
      <c r="E1036" s="160"/>
      <c r="F1036" s="160"/>
      <c r="G1036" s="160"/>
      <c r="H1036" s="160"/>
      <c r="I1036" s="172"/>
      <c r="J1036" s="160"/>
      <c r="K1036" s="172"/>
      <c r="L1036" s="172"/>
      <c r="M1036" s="172"/>
      <c r="N1036" s="160"/>
      <c r="O1036" s="160"/>
      <c r="P1036" s="160"/>
      <c r="Q1036" s="160"/>
      <c r="R1036" s="160"/>
      <c r="S1036" s="160"/>
      <c r="T1036" s="18"/>
      <c r="U1036" s="18"/>
      <c r="V1036" s="18"/>
      <c r="W1036" s="18"/>
      <c r="X1036" s="18"/>
      <c r="Y1036" s="18"/>
      <c r="Z1036" s="18"/>
      <c r="AA1036" s="18"/>
    </row>
    <row r="1037">
      <c r="A1037" s="317"/>
      <c r="B1037" s="172"/>
      <c r="C1037" s="160"/>
      <c r="D1037" s="160"/>
      <c r="E1037" s="160"/>
      <c r="F1037" s="160"/>
      <c r="G1037" s="160"/>
      <c r="H1037" s="160"/>
      <c r="I1037" s="172"/>
      <c r="J1037" s="160"/>
      <c r="K1037" s="172"/>
      <c r="L1037" s="172"/>
      <c r="M1037" s="172"/>
      <c r="N1037" s="160"/>
      <c r="O1037" s="160"/>
      <c r="P1037" s="160"/>
      <c r="Q1037" s="160"/>
      <c r="R1037" s="160"/>
      <c r="S1037" s="160"/>
      <c r="T1037" s="18"/>
      <c r="U1037" s="18"/>
      <c r="V1037" s="18"/>
      <c r="W1037" s="18"/>
      <c r="X1037" s="18"/>
      <c r="Y1037" s="18"/>
      <c r="Z1037" s="18"/>
      <c r="AA1037" s="18"/>
    </row>
    <row r="1038">
      <c r="A1038" s="317"/>
      <c r="B1038" s="172"/>
      <c r="C1038" s="160"/>
      <c r="D1038" s="160"/>
      <c r="E1038" s="160"/>
      <c r="F1038" s="160"/>
      <c r="G1038" s="160"/>
      <c r="H1038" s="160"/>
      <c r="I1038" s="172"/>
      <c r="J1038" s="160"/>
      <c r="K1038" s="172"/>
      <c r="L1038" s="172"/>
      <c r="M1038" s="172"/>
      <c r="N1038" s="160"/>
      <c r="O1038" s="160"/>
      <c r="P1038" s="160"/>
      <c r="Q1038" s="160"/>
      <c r="R1038" s="160"/>
      <c r="S1038" s="160"/>
      <c r="T1038" s="18"/>
      <c r="U1038" s="18"/>
      <c r="V1038" s="18"/>
      <c r="W1038" s="18"/>
      <c r="X1038" s="18"/>
      <c r="Y1038" s="18"/>
      <c r="Z1038" s="18"/>
      <c r="AA1038" s="18"/>
    </row>
    <row r="1039">
      <c r="A1039" s="317"/>
      <c r="B1039" s="172"/>
      <c r="C1039" s="160"/>
      <c r="D1039" s="160"/>
      <c r="E1039" s="160"/>
      <c r="F1039" s="160"/>
      <c r="G1039" s="160"/>
      <c r="H1039" s="160"/>
      <c r="I1039" s="172"/>
      <c r="J1039" s="160"/>
      <c r="K1039" s="172"/>
      <c r="L1039" s="172"/>
      <c r="M1039" s="172"/>
      <c r="N1039" s="160"/>
      <c r="O1039" s="160"/>
      <c r="P1039" s="160"/>
      <c r="Q1039" s="160"/>
      <c r="R1039" s="160"/>
      <c r="S1039" s="160"/>
      <c r="T1039" s="18"/>
      <c r="U1039" s="18"/>
      <c r="V1039" s="18"/>
      <c r="W1039" s="18"/>
      <c r="X1039" s="18"/>
      <c r="Y1039" s="18"/>
      <c r="Z1039" s="18"/>
      <c r="AA1039" s="18"/>
    </row>
    <row r="1040">
      <c r="A1040" s="317"/>
      <c r="B1040" s="172"/>
      <c r="C1040" s="160"/>
      <c r="D1040" s="160"/>
      <c r="E1040" s="160"/>
      <c r="F1040" s="160"/>
      <c r="G1040" s="160"/>
      <c r="H1040" s="160"/>
      <c r="I1040" s="172"/>
      <c r="J1040" s="160"/>
      <c r="K1040" s="172"/>
      <c r="L1040" s="172"/>
      <c r="M1040" s="172"/>
      <c r="N1040" s="160"/>
      <c r="O1040" s="160"/>
      <c r="P1040" s="160"/>
      <c r="Q1040" s="160"/>
      <c r="R1040" s="160"/>
      <c r="S1040" s="160"/>
      <c r="T1040" s="18"/>
      <c r="U1040" s="18"/>
      <c r="V1040" s="18"/>
      <c r="W1040" s="18"/>
      <c r="X1040" s="18"/>
      <c r="Y1040" s="18"/>
      <c r="Z1040" s="18"/>
      <c r="AA1040" s="18"/>
    </row>
    <row r="1041">
      <c r="A1041" s="317"/>
      <c r="B1041" s="172"/>
      <c r="C1041" s="160"/>
      <c r="D1041" s="160"/>
      <c r="E1041" s="160"/>
      <c r="F1041" s="160"/>
      <c r="G1041" s="160"/>
      <c r="H1041" s="160"/>
      <c r="I1041" s="172"/>
      <c r="J1041" s="160"/>
      <c r="K1041" s="172"/>
      <c r="L1041" s="172"/>
      <c r="M1041" s="172"/>
      <c r="N1041" s="160"/>
      <c r="O1041" s="160"/>
      <c r="P1041" s="160"/>
      <c r="Q1041" s="160"/>
      <c r="R1041" s="160"/>
      <c r="S1041" s="160"/>
      <c r="T1041" s="18"/>
      <c r="U1041" s="18"/>
      <c r="V1041" s="18"/>
      <c r="W1041" s="18"/>
      <c r="X1041" s="18"/>
      <c r="Y1041" s="18"/>
      <c r="Z1041" s="18"/>
      <c r="AA1041" s="18"/>
    </row>
    <row r="1042">
      <c r="A1042" s="317"/>
      <c r="B1042" s="172"/>
      <c r="C1042" s="160"/>
      <c r="D1042" s="160"/>
      <c r="E1042" s="160"/>
      <c r="F1042" s="160"/>
      <c r="G1042" s="160"/>
      <c r="H1042" s="160"/>
      <c r="I1042" s="172"/>
      <c r="J1042" s="160"/>
      <c r="K1042" s="172"/>
      <c r="L1042" s="172"/>
      <c r="M1042" s="172"/>
      <c r="N1042" s="160"/>
      <c r="O1042" s="160"/>
      <c r="P1042" s="160"/>
      <c r="Q1042" s="160"/>
      <c r="R1042" s="160"/>
      <c r="S1042" s="160"/>
      <c r="T1042" s="18"/>
      <c r="U1042" s="18"/>
      <c r="V1042" s="18"/>
      <c r="W1042" s="18"/>
      <c r="X1042" s="18"/>
      <c r="Y1042" s="18"/>
      <c r="Z1042" s="18"/>
      <c r="AA1042" s="18"/>
    </row>
    <row r="1043">
      <c r="A1043" s="317"/>
      <c r="B1043" s="172"/>
      <c r="C1043" s="160"/>
      <c r="D1043" s="160"/>
      <c r="E1043" s="160"/>
      <c r="F1043" s="160"/>
      <c r="G1043" s="160"/>
      <c r="H1043" s="160"/>
      <c r="I1043" s="172"/>
      <c r="J1043" s="160"/>
      <c r="K1043" s="172"/>
      <c r="L1043" s="172"/>
      <c r="M1043" s="172"/>
      <c r="N1043" s="160"/>
      <c r="O1043" s="160"/>
      <c r="P1043" s="160"/>
      <c r="Q1043" s="160"/>
      <c r="R1043" s="160"/>
      <c r="S1043" s="160"/>
      <c r="T1043" s="18"/>
      <c r="U1043" s="18"/>
      <c r="V1043" s="18"/>
      <c r="W1043" s="18"/>
      <c r="X1043" s="18"/>
      <c r="Y1043" s="18"/>
      <c r="Z1043" s="18"/>
      <c r="AA1043" s="18"/>
    </row>
    <row r="1044">
      <c r="A1044" s="317"/>
      <c r="B1044" s="172"/>
      <c r="C1044" s="160"/>
      <c r="D1044" s="160"/>
      <c r="E1044" s="160"/>
      <c r="F1044" s="160"/>
      <c r="G1044" s="160"/>
      <c r="H1044" s="160"/>
      <c r="I1044" s="172"/>
      <c r="J1044" s="160"/>
      <c r="K1044" s="172"/>
      <c r="L1044" s="172"/>
      <c r="M1044" s="172"/>
      <c r="N1044" s="160"/>
      <c r="O1044" s="160"/>
      <c r="P1044" s="160"/>
      <c r="Q1044" s="160"/>
      <c r="R1044" s="160"/>
      <c r="S1044" s="160"/>
      <c r="T1044" s="18"/>
      <c r="U1044" s="18"/>
      <c r="V1044" s="18"/>
      <c r="W1044" s="18"/>
      <c r="X1044" s="18"/>
      <c r="Y1044" s="18"/>
      <c r="Z1044" s="18"/>
      <c r="AA1044" s="18"/>
    </row>
    <row r="1045">
      <c r="A1045" s="317"/>
      <c r="B1045" s="172"/>
      <c r="C1045" s="160"/>
      <c r="D1045" s="160"/>
      <c r="E1045" s="160"/>
      <c r="F1045" s="160"/>
      <c r="G1045" s="160"/>
      <c r="H1045" s="160"/>
      <c r="I1045" s="172"/>
      <c r="J1045" s="160"/>
      <c r="K1045" s="172"/>
      <c r="L1045" s="172"/>
      <c r="M1045" s="172"/>
      <c r="N1045" s="160"/>
      <c r="O1045" s="160"/>
      <c r="P1045" s="160"/>
      <c r="Q1045" s="160"/>
      <c r="R1045" s="160"/>
      <c r="S1045" s="160"/>
      <c r="T1045" s="18"/>
      <c r="U1045" s="18"/>
      <c r="V1045" s="18"/>
      <c r="W1045" s="18"/>
      <c r="X1045" s="18"/>
      <c r="Y1045" s="18"/>
      <c r="Z1045" s="18"/>
      <c r="AA1045" s="18"/>
    </row>
    <row r="1046">
      <c r="A1046" s="317"/>
      <c r="B1046" s="172"/>
      <c r="C1046" s="160"/>
      <c r="D1046" s="160"/>
      <c r="E1046" s="160"/>
      <c r="F1046" s="160"/>
      <c r="G1046" s="160"/>
      <c r="H1046" s="160"/>
      <c r="I1046" s="172"/>
      <c r="J1046" s="160"/>
      <c r="K1046" s="172"/>
      <c r="L1046" s="172"/>
      <c r="M1046" s="172"/>
      <c r="N1046" s="160"/>
      <c r="O1046" s="160"/>
      <c r="P1046" s="160"/>
      <c r="Q1046" s="160"/>
      <c r="R1046" s="160"/>
      <c r="S1046" s="160"/>
      <c r="T1046" s="18"/>
      <c r="U1046" s="18"/>
      <c r="V1046" s="18"/>
      <c r="W1046" s="18"/>
      <c r="X1046" s="18"/>
      <c r="Y1046" s="18"/>
      <c r="Z1046" s="18"/>
      <c r="AA1046" s="18"/>
    </row>
    <row r="1047">
      <c r="A1047" s="317"/>
      <c r="B1047" s="172"/>
      <c r="C1047" s="160"/>
      <c r="D1047" s="160"/>
      <c r="E1047" s="160"/>
      <c r="F1047" s="160"/>
      <c r="G1047" s="160"/>
      <c r="H1047" s="160"/>
      <c r="I1047" s="172"/>
      <c r="J1047" s="160"/>
      <c r="K1047" s="172"/>
      <c r="L1047" s="172"/>
      <c r="M1047" s="172"/>
      <c r="N1047" s="160"/>
      <c r="O1047" s="160"/>
      <c r="P1047" s="160"/>
      <c r="Q1047" s="160"/>
      <c r="R1047" s="160"/>
      <c r="S1047" s="160"/>
      <c r="T1047" s="18"/>
      <c r="U1047" s="18"/>
      <c r="V1047" s="18"/>
      <c r="W1047" s="18"/>
      <c r="X1047" s="18"/>
      <c r="Y1047" s="18"/>
      <c r="Z1047" s="18"/>
      <c r="AA1047" s="18"/>
    </row>
    <row r="1048">
      <c r="A1048" s="317"/>
      <c r="B1048" s="172"/>
      <c r="C1048" s="160"/>
      <c r="D1048" s="160"/>
      <c r="E1048" s="160"/>
      <c r="F1048" s="160"/>
      <c r="G1048" s="160"/>
      <c r="H1048" s="160"/>
      <c r="I1048" s="172"/>
      <c r="J1048" s="160"/>
      <c r="K1048" s="172"/>
      <c r="L1048" s="172"/>
      <c r="M1048" s="172"/>
      <c r="N1048" s="160"/>
      <c r="O1048" s="160"/>
      <c r="P1048" s="160"/>
      <c r="Q1048" s="160"/>
      <c r="R1048" s="160"/>
      <c r="S1048" s="160"/>
      <c r="T1048" s="18"/>
      <c r="U1048" s="18"/>
      <c r="V1048" s="18"/>
      <c r="W1048" s="18"/>
      <c r="X1048" s="18"/>
      <c r="Y1048" s="18"/>
      <c r="Z1048" s="18"/>
      <c r="AA1048" s="18"/>
    </row>
    <row r="1049">
      <c r="A1049" s="317"/>
      <c r="B1049" s="172"/>
      <c r="C1049" s="160"/>
      <c r="D1049" s="160"/>
      <c r="E1049" s="160"/>
      <c r="F1049" s="160"/>
      <c r="G1049" s="160"/>
      <c r="H1049" s="160"/>
      <c r="I1049" s="172"/>
      <c r="J1049" s="160"/>
      <c r="K1049" s="172"/>
      <c r="L1049" s="172"/>
      <c r="M1049" s="172"/>
      <c r="N1049" s="160"/>
      <c r="O1049" s="160"/>
      <c r="P1049" s="160"/>
      <c r="Q1049" s="160"/>
      <c r="R1049" s="160"/>
      <c r="S1049" s="160"/>
      <c r="T1049" s="18"/>
      <c r="U1049" s="18"/>
      <c r="V1049" s="18"/>
      <c r="W1049" s="18"/>
      <c r="X1049" s="18"/>
      <c r="Y1049" s="18"/>
      <c r="Z1049" s="18"/>
      <c r="AA1049" s="18"/>
    </row>
    <row r="1050">
      <c r="A1050" s="317"/>
      <c r="B1050" s="172"/>
      <c r="C1050" s="160"/>
      <c r="D1050" s="160"/>
      <c r="E1050" s="160"/>
      <c r="F1050" s="160"/>
      <c r="G1050" s="160"/>
      <c r="H1050" s="160"/>
      <c r="I1050" s="172"/>
      <c r="J1050" s="160"/>
      <c r="K1050" s="172"/>
      <c r="L1050" s="172"/>
      <c r="M1050" s="172"/>
      <c r="N1050" s="160"/>
      <c r="O1050" s="160"/>
      <c r="P1050" s="160"/>
      <c r="Q1050" s="160"/>
      <c r="R1050" s="160"/>
      <c r="S1050" s="160"/>
      <c r="T1050" s="18"/>
      <c r="U1050" s="18"/>
      <c r="V1050" s="18"/>
      <c r="W1050" s="18"/>
      <c r="X1050" s="18"/>
      <c r="Y1050" s="18"/>
      <c r="Z1050" s="18"/>
      <c r="AA1050" s="18"/>
    </row>
    <row r="1051">
      <c r="A1051" s="317"/>
      <c r="B1051" s="172"/>
      <c r="C1051" s="160"/>
      <c r="D1051" s="160"/>
      <c r="E1051" s="160"/>
      <c r="F1051" s="160"/>
      <c r="G1051" s="160"/>
      <c r="H1051" s="160"/>
      <c r="I1051" s="172"/>
      <c r="J1051" s="160"/>
      <c r="K1051" s="172"/>
      <c r="L1051" s="172"/>
      <c r="M1051" s="172"/>
      <c r="N1051" s="160"/>
      <c r="O1051" s="160"/>
      <c r="P1051" s="160"/>
      <c r="Q1051" s="160"/>
      <c r="R1051" s="160"/>
      <c r="S1051" s="160"/>
      <c r="T1051" s="18"/>
      <c r="U1051" s="18"/>
      <c r="V1051" s="18"/>
      <c r="W1051" s="18"/>
      <c r="X1051" s="18"/>
      <c r="Y1051" s="18"/>
      <c r="Z1051" s="18"/>
      <c r="AA1051" s="18"/>
    </row>
  </sheetData>
  <dataValidations>
    <dataValidation type="list" allowBlank="1" showErrorMessage="1" sqref="E2:E59 E61:E541">
      <formula1>Dropdown!$G$2:$G1051</formula1>
    </dataValidation>
    <dataValidation type="list" allowBlank="1" showErrorMessage="1" sqref="I2:I341">
      <formula1>Dropdown!$C$2:$C1051</formula1>
    </dataValidation>
    <dataValidation type="list" allowBlank="1" showErrorMessage="1" sqref="J2:J8 J10:J541">
      <formula1>Dropdown!$E$2:$E1051</formula1>
    </dataValidation>
  </dataValidations>
  <hyperlinks>
    <hyperlink r:id="rId4" ref="A2"/>
    <hyperlink r:id="rId5" ref="A3"/>
    <hyperlink r:id="rId6" ref="A5"/>
    <hyperlink r:id="rId7" ref="A15"/>
    <hyperlink r:id="rId8" ref="A16"/>
    <hyperlink r:id="rId9" ref="A17"/>
    <hyperlink r:id="rId10" ref="A18"/>
    <hyperlink r:id="rId11" ref="A19"/>
    <hyperlink r:id="rId12" ref="A20"/>
    <hyperlink r:id="rId13" ref="A21"/>
    <hyperlink r:id="rId14" ref="A22"/>
    <hyperlink r:id="rId15" ref="D22"/>
    <hyperlink r:id="rId16" ref="A23"/>
    <hyperlink r:id="rId17" ref="A24"/>
    <hyperlink r:id="rId18" ref="A25"/>
    <hyperlink r:id="rId19" ref="A26"/>
    <hyperlink r:id="rId20" ref="A27"/>
    <hyperlink r:id="rId21" ref="A28"/>
    <hyperlink r:id="rId22" ref="A29"/>
    <hyperlink r:id="rId23" ref="A30"/>
    <hyperlink r:id="rId24" ref="A31"/>
    <hyperlink r:id="rId25" ref="A32"/>
    <hyperlink r:id="rId26" ref="A33"/>
    <hyperlink r:id="rId27" ref="A34"/>
    <hyperlink r:id="rId28" ref="A35"/>
    <hyperlink r:id="rId29" ref="A36"/>
    <hyperlink r:id="rId30" ref="A37"/>
    <hyperlink r:id="rId31" ref="A38"/>
    <hyperlink r:id="rId32" ref="A39"/>
    <hyperlink r:id="rId33" ref="A40"/>
    <hyperlink r:id="rId34" ref="D40"/>
    <hyperlink r:id="rId35" ref="A41"/>
    <hyperlink r:id="rId36" ref="A42"/>
    <hyperlink r:id="rId37" ref="A43"/>
    <hyperlink r:id="rId38" ref="A44"/>
    <hyperlink r:id="rId39" ref="A45"/>
    <hyperlink r:id="rId40" ref="A46"/>
    <hyperlink r:id="rId41" ref="A47"/>
    <hyperlink r:id="rId42" ref="A48"/>
    <hyperlink r:id="rId43" ref="A49"/>
    <hyperlink r:id="rId44" ref="A50"/>
    <hyperlink r:id="rId45" ref="A51"/>
    <hyperlink r:id="rId46" ref="A52"/>
    <hyperlink r:id="rId47" ref="A53"/>
    <hyperlink r:id="rId48" ref="A54"/>
    <hyperlink r:id="rId49" ref="O54"/>
    <hyperlink r:id="rId50" ref="A56"/>
    <hyperlink r:id="rId51" ref="A57"/>
    <hyperlink r:id="rId52" ref="A58"/>
    <hyperlink r:id="rId53" ref="A59"/>
    <hyperlink r:id="rId54" ref="A60"/>
    <hyperlink r:id="rId55" ref="O60"/>
    <hyperlink r:id="rId56" ref="A61"/>
    <hyperlink r:id="rId57" ref="A62"/>
    <hyperlink r:id="rId58" ref="A63"/>
    <hyperlink r:id="rId59" ref="A64"/>
    <hyperlink r:id="rId60" ref="A65"/>
    <hyperlink r:id="rId61" ref="A66"/>
    <hyperlink r:id="rId62" ref="A67"/>
    <hyperlink r:id="rId63" ref="A68"/>
    <hyperlink r:id="rId64" ref="A69"/>
    <hyperlink r:id="rId65" ref="A70"/>
    <hyperlink r:id="rId66" ref="A71"/>
    <hyperlink r:id="rId67" ref="A72"/>
    <hyperlink r:id="rId68" ref="A73"/>
    <hyperlink r:id="rId69" ref="A74"/>
    <hyperlink r:id="rId70" ref="D74"/>
    <hyperlink r:id="rId71" ref="A75"/>
    <hyperlink r:id="rId72" ref="A76"/>
    <hyperlink r:id="rId73" ref="A77"/>
    <hyperlink r:id="rId74" ref="A78"/>
    <hyperlink r:id="rId75" ref="A79"/>
    <hyperlink r:id="rId76" ref="A80"/>
    <hyperlink r:id="rId77" ref="Q80"/>
    <hyperlink r:id="rId78" ref="A81"/>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100"/>
    <hyperlink r:id="rId94" ref="A101"/>
    <hyperlink r:id="rId95" ref="A106"/>
    <hyperlink r:id="rId96" ref="A107"/>
    <hyperlink r:id="rId97" ref="A108"/>
  </hyperlinks>
  <drawing r:id="rId98"/>
  <legacyDrawing r:id="rId99"/>
  <tableParts count="11">
    <tablePart r:id="rId111"/>
    <tablePart r:id="rId112"/>
    <tablePart r:id="rId113"/>
    <tablePart r:id="rId114"/>
    <tablePart r:id="rId115"/>
    <tablePart r:id="rId116"/>
    <tablePart r:id="rId117"/>
    <tablePart r:id="rId118"/>
    <tablePart r:id="rId119"/>
    <tablePart r:id="rId120"/>
    <tablePart r:id="rId12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24.25"/>
    <col customWidth="1" min="3" max="3" width="20.63"/>
    <col customWidth="1" min="6" max="6" width="55.75"/>
  </cols>
  <sheetData>
    <row r="1">
      <c r="A1" s="491" t="s">
        <v>1969</v>
      </c>
      <c r="B1" s="492" t="s">
        <v>1970</v>
      </c>
      <c r="C1" s="492" t="s">
        <v>1971</v>
      </c>
      <c r="D1" s="492" t="s">
        <v>1972</v>
      </c>
      <c r="E1" s="492" t="s">
        <v>1973</v>
      </c>
      <c r="F1" s="492" t="s">
        <v>1974</v>
      </c>
      <c r="G1" s="161"/>
      <c r="H1" s="161"/>
      <c r="I1" s="161"/>
      <c r="J1" s="161"/>
      <c r="K1" s="161"/>
      <c r="L1" s="161"/>
      <c r="M1" s="161"/>
      <c r="N1" s="161"/>
      <c r="O1" s="161"/>
      <c r="P1" s="161"/>
      <c r="Q1" s="161"/>
      <c r="R1" s="161"/>
      <c r="S1" s="161"/>
      <c r="T1" s="161"/>
      <c r="U1" s="161"/>
      <c r="V1" s="161"/>
      <c r="W1" s="161"/>
      <c r="X1" s="161"/>
      <c r="Y1" s="161"/>
      <c r="Z1" s="161"/>
    </row>
    <row r="2">
      <c r="A2" s="493">
        <v>1.0</v>
      </c>
      <c r="B2" s="493" t="s">
        <v>1975</v>
      </c>
      <c r="C2" s="493" t="s">
        <v>1976</v>
      </c>
      <c r="D2" s="493" t="s">
        <v>1977</v>
      </c>
      <c r="E2" s="301" t="s">
        <v>1978</v>
      </c>
      <c r="F2" s="301" t="s">
        <v>1979</v>
      </c>
      <c r="G2" s="161"/>
      <c r="H2" s="161"/>
      <c r="I2" s="161"/>
      <c r="J2" s="161"/>
      <c r="K2" s="161"/>
      <c r="L2" s="161"/>
      <c r="M2" s="161"/>
      <c r="N2" s="161"/>
      <c r="O2" s="161"/>
      <c r="P2" s="161"/>
      <c r="Q2" s="161"/>
      <c r="R2" s="161"/>
      <c r="S2" s="161"/>
      <c r="T2" s="161"/>
      <c r="U2" s="161"/>
      <c r="V2" s="161"/>
      <c r="W2" s="161"/>
      <c r="X2" s="161"/>
      <c r="Y2" s="161"/>
      <c r="Z2" s="161"/>
    </row>
    <row r="3">
      <c r="A3" s="301">
        <v>2.0</v>
      </c>
      <c r="B3" s="493" t="s">
        <v>1976</v>
      </c>
      <c r="C3" s="301" t="s">
        <v>1980</v>
      </c>
      <c r="D3" s="494" t="s">
        <v>1981</v>
      </c>
      <c r="E3" s="172"/>
      <c r="F3" s="301" t="s">
        <v>1982</v>
      </c>
      <c r="G3" s="161"/>
      <c r="H3" s="161"/>
      <c r="I3" s="161"/>
      <c r="J3" s="161"/>
      <c r="K3" s="161"/>
      <c r="L3" s="161"/>
      <c r="M3" s="161"/>
      <c r="N3" s="161"/>
      <c r="O3" s="161"/>
      <c r="P3" s="161"/>
      <c r="Q3" s="161"/>
      <c r="R3" s="161"/>
      <c r="S3" s="161"/>
      <c r="T3" s="161"/>
      <c r="U3" s="161"/>
      <c r="V3" s="161"/>
      <c r="W3" s="161"/>
      <c r="X3" s="161"/>
      <c r="Y3" s="161"/>
      <c r="Z3" s="161"/>
    </row>
    <row r="4">
      <c r="A4" s="493">
        <v>3.0</v>
      </c>
      <c r="B4" s="493" t="s">
        <v>1983</v>
      </c>
      <c r="C4" s="493" t="s">
        <v>1976</v>
      </c>
      <c r="D4" s="495">
        <v>45697.0</v>
      </c>
      <c r="E4" s="301" t="s">
        <v>1978</v>
      </c>
      <c r="F4" s="172"/>
      <c r="G4" s="161"/>
      <c r="H4" s="161"/>
      <c r="I4" s="161"/>
      <c r="J4" s="161"/>
      <c r="K4" s="161"/>
      <c r="L4" s="161"/>
      <c r="M4" s="161"/>
      <c r="N4" s="161"/>
      <c r="O4" s="161"/>
      <c r="P4" s="161"/>
      <c r="Q4" s="161"/>
      <c r="R4" s="161"/>
      <c r="S4" s="161"/>
      <c r="T4" s="161"/>
      <c r="U4" s="161"/>
      <c r="V4" s="161"/>
      <c r="W4" s="161"/>
      <c r="X4" s="161"/>
      <c r="Y4" s="161"/>
      <c r="Z4" s="161"/>
    </row>
    <row r="5">
      <c r="A5" s="301">
        <v>4.0</v>
      </c>
      <c r="B5" s="301" t="s">
        <v>1984</v>
      </c>
      <c r="C5" s="338" t="s">
        <v>1985</v>
      </c>
      <c r="D5" s="496">
        <v>45756.0</v>
      </c>
      <c r="E5" s="301" t="s">
        <v>1978</v>
      </c>
      <c r="F5" s="301" t="s">
        <v>1986</v>
      </c>
      <c r="G5" s="161"/>
      <c r="H5" s="161"/>
      <c r="I5" s="161"/>
      <c r="J5" s="161"/>
      <c r="K5" s="161"/>
      <c r="L5" s="161"/>
      <c r="M5" s="161"/>
      <c r="N5" s="161"/>
      <c r="O5" s="161"/>
      <c r="P5" s="161"/>
      <c r="Q5" s="161"/>
      <c r="R5" s="161"/>
      <c r="S5" s="161"/>
      <c r="T5" s="161"/>
      <c r="U5" s="161"/>
      <c r="V5" s="161"/>
      <c r="W5" s="161"/>
      <c r="X5" s="161"/>
      <c r="Y5" s="161"/>
      <c r="Z5" s="161"/>
    </row>
    <row r="6">
      <c r="A6" s="493">
        <v>5.0</v>
      </c>
      <c r="B6" s="338" t="s">
        <v>1987</v>
      </c>
      <c r="C6" s="493" t="s">
        <v>1976</v>
      </c>
      <c r="D6" s="496">
        <v>45939.0</v>
      </c>
      <c r="E6" s="160"/>
      <c r="F6" s="172"/>
      <c r="G6" s="161"/>
      <c r="H6" s="161"/>
      <c r="I6" s="161"/>
      <c r="J6" s="161"/>
      <c r="K6" s="161"/>
      <c r="L6" s="161"/>
      <c r="M6" s="161"/>
      <c r="N6" s="161"/>
      <c r="O6" s="161"/>
      <c r="P6" s="161"/>
      <c r="Q6" s="161"/>
      <c r="R6" s="161"/>
      <c r="S6" s="161"/>
      <c r="T6" s="161"/>
      <c r="U6" s="161"/>
      <c r="V6" s="161"/>
      <c r="W6" s="161"/>
      <c r="X6" s="161"/>
      <c r="Y6" s="161"/>
      <c r="Z6" s="161"/>
    </row>
    <row r="7">
      <c r="A7" s="301">
        <v>6.0</v>
      </c>
      <c r="B7" s="493" t="s">
        <v>1976</v>
      </c>
      <c r="C7" s="301" t="s">
        <v>1988</v>
      </c>
      <c r="D7" s="496">
        <v>45970.0</v>
      </c>
      <c r="E7" s="172"/>
      <c r="F7" s="172"/>
      <c r="G7" s="161"/>
      <c r="H7" s="161"/>
      <c r="I7" s="161"/>
      <c r="J7" s="161"/>
      <c r="K7" s="161"/>
      <c r="L7" s="161"/>
      <c r="M7" s="161"/>
      <c r="N7" s="161"/>
      <c r="O7" s="161"/>
      <c r="P7" s="161"/>
      <c r="Q7" s="161"/>
      <c r="R7" s="161"/>
      <c r="S7" s="161"/>
      <c r="T7" s="161"/>
      <c r="U7" s="161"/>
      <c r="V7" s="161"/>
      <c r="W7" s="161"/>
      <c r="X7" s="161"/>
      <c r="Y7" s="161"/>
      <c r="Z7" s="161"/>
    </row>
    <row r="8">
      <c r="A8" s="493">
        <v>7.0</v>
      </c>
      <c r="B8" s="301" t="s">
        <v>1988</v>
      </c>
      <c r="C8" s="493" t="s">
        <v>1976</v>
      </c>
      <c r="D8" s="160"/>
      <c r="E8" s="301" t="s">
        <v>1978</v>
      </c>
      <c r="F8" s="301" t="s">
        <v>1989</v>
      </c>
      <c r="G8" s="161"/>
      <c r="H8" s="161"/>
      <c r="I8" s="161"/>
      <c r="J8" s="161"/>
      <c r="K8" s="161"/>
      <c r="L8" s="161"/>
      <c r="M8" s="161"/>
      <c r="N8" s="161"/>
      <c r="O8" s="161"/>
      <c r="P8" s="161"/>
      <c r="Q8" s="161"/>
      <c r="R8" s="161"/>
      <c r="S8" s="161"/>
      <c r="T8" s="161"/>
      <c r="U8" s="161"/>
      <c r="V8" s="161"/>
      <c r="W8" s="161"/>
      <c r="X8" s="161"/>
      <c r="Y8" s="161"/>
      <c r="Z8" s="161"/>
    </row>
    <row r="9">
      <c r="A9" s="301">
        <v>8.0</v>
      </c>
      <c r="B9" s="301" t="s">
        <v>1988</v>
      </c>
      <c r="C9" s="493" t="s">
        <v>1976</v>
      </c>
      <c r="D9" s="496">
        <v>45912.0</v>
      </c>
      <c r="E9" s="301" t="s">
        <v>1978</v>
      </c>
      <c r="F9" s="301" t="s">
        <v>1990</v>
      </c>
      <c r="G9" s="161"/>
      <c r="H9" s="161"/>
      <c r="I9" s="161"/>
      <c r="J9" s="161"/>
      <c r="K9" s="161"/>
      <c r="L9" s="161"/>
      <c r="M9" s="161"/>
      <c r="N9" s="161"/>
      <c r="O9" s="161"/>
      <c r="P9" s="161"/>
      <c r="Q9" s="161"/>
      <c r="R9" s="161"/>
      <c r="S9" s="161"/>
      <c r="T9" s="161"/>
      <c r="U9" s="161"/>
      <c r="V9" s="161"/>
      <c r="W9" s="161"/>
      <c r="X9" s="161"/>
      <c r="Y9" s="161"/>
      <c r="Z9" s="161"/>
    </row>
    <row r="10">
      <c r="A10" s="493">
        <v>9.0</v>
      </c>
      <c r="B10" s="301" t="s">
        <v>1991</v>
      </c>
      <c r="C10" s="301" t="s">
        <v>1992</v>
      </c>
      <c r="D10" s="496">
        <v>45912.0</v>
      </c>
      <c r="E10" s="497"/>
      <c r="F10" s="498" t="s">
        <v>1993</v>
      </c>
      <c r="G10" s="161"/>
      <c r="H10" s="161"/>
      <c r="I10" s="161"/>
      <c r="J10" s="161"/>
      <c r="K10" s="161"/>
      <c r="L10" s="161"/>
      <c r="M10" s="161"/>
      <c r="N10" s="161"/>
      <c r="O10" s="161"/>
      <c r="P10" s="161"/>
      <c r="Q10" s="161"/>
      <c r="R10" s="161"/>
      <c r="S10" s="161"/>
      <c r="T10" s="161"/>
      <c r="U10" s="161"/>
      <c r="V10" s="161"/>
      <c r="W10" s="161"/>
      <c r="X10" s="161"/>
      <c r="Y10" s="161"/>
      <c r="Z10" s="161"/>
    </row>
    <row r="11">
      <c r="A11" s="301">
        <v>10.0</v>
      </c>
      <c r="B11" s="301" t="s">
        <v>1988</v>
      </c>
      <c r="C11" s="301" t="s">
        <v>1991</v>
      </c>
      <c r="D11" s="496">
        <v>45917.0</v>
      </c>
      <c r="E11" s="301" t="s">
        <v>1978</v>
      </c>
      <c r="F11" s="499" t="s">
        <v>1994</v>
      </c>
      <c r="G11" s="374"/>
      <c r="H11" s="374"/>
      <c r="I11" s="374"/>
      <c r="J11" s="374"/>
      <c r="K11" s="374"/>
      <c r="L11" s="374"/>
      <c r="M11" s="374"/>
      <c r="N11" s="374"/>
      <c r="O11" s="374"/>
      <c r="P11" s="374"/>
      <c r="Q11" s="374"/>
      <c r="R11" s="374"/>
      <c r="S11" s="374"/>
      <c r="T11" s="374"/>
      <c r="U11" s="374"/>
      <c r="V11" s="374"/>
      <c r="W11" s="374"/>
      <c r="X11" s="374"/>
      <c r="Y11" s="374"/>
      <c r="Z11" s="374"/>
    </row>
    <row r="12">
      <c r="A12" s="493">
        <v>11.0</v>
      </c>
      <c r="B12" s="301" t="s">
        <v>1995</v>
      </c>
      <c r="C12" s="301" t="s">
        <v>1991</v>
      </c>
      <c r="D12" s="496">
        <v>45918.0</v>
      </c>
      <c r="E12" s="301" t="s">
        <v>1978</v>
      </c>
      <c r="F12" s="498" t="s">
        <v>1996</v>
      </c>
      <c r="G12" s="161"/>
      <c r="H12" s="161"/>
      <c r="I12" s="161"/>
      <c r="J12" s="161"/>
      <c r="K12" s="161"/>
      <c r="L12" s="161"/>
      <c r="M12" s="161"/>
      <c r="N12" s="161"/>
      <c r="O12" s="161"/>
      <c r="P12" s="161"/>
      <c r="Q12" s="161"/>
      <c r="R12" s="161"/>
      <c r="S12" s="161"/>
      <c r="T12" s="161"/>
      <c r="U12" s="161"/>
      <c r="V12" s="161"/>
      <c r="W12" s="161"/>
      <c r="X12" s="161"/>
      <c r="Y12" s="161"/>
      <c r="Z12" s="161"/>
    </row>
    <row r="13">
      <c r="A13" s="301">
        <v>12.0</v>
      </c>
      <c r="B13" s="301" t="s">
        <v>1995</v>
      </c>
      <c r="C13" s="301" t="s">
        <v>1991</v>
      </c>
      <c r="D13" s="496">
        <v>45919.0</v>
      </c>
      <c r="E13" s="301" t="s">
        <v>1978</v>
      </c>
      <c r="F13" s="500"/>
      <c r="G13" s="161"/>
      <c r="H13" s="161"/>
      <c r="I13" s="161"/>
      <c r="J13" s="161"/>
      <c r="K13" s="161"/>
      <c r="L13" s="161"/>
      <c r="M13" s="161"/>
      <c r="N13" s="161"/>
      <c r="O13" s="161"/>
      <c r="P13" s="161"/>
      <c r="Q13" s="161"/>
      <c r="R13" s="161"/>
      <c r="S13" s="161"/>
      <c r="T13" s="161"/>
      <c r="U13" s="161"/>
      <c r="V13" s="161"/>
      <c r="W13" s="161"/>
      <c r="X13" s="161"/>
      <c r="Y13" s="161"/>
      <c r="Z13" s="161"/>
    </row>
    <row r="14">
      <c r="A14" s="493">
        <v>13.0</v>
      </c>
      <c r="B14" s="301" t="s">
        <v>1997</v>
      </c>
      <c r="C14" s="501" t="s">
        <v>1998</v>
      </c>
      <c r="D14" s="496">
        <v>45920.0</v>
      </c>
      <c r="E14" s="497"/>
      <c r="F14" s="500"/>
      <c r="G14" s="161"/>
      <c r="H14" s="161"/>
      <c r="I14" s="161"/>
      <c r="J14" s="161"/>
      <c r="K14" s="161"/>
      <c r="L14" s="161"/>
      <c r="M14" s="161"/>
      <c r="N14" s="161"/>
      <c r="O14" s="161"/>
      <c r="P14" s="161"/>
      <c r="Q14" s="161"/>
      <c r="R14" s="161"/>
      <c r="S14" s="161"/>
      <c r="T14" s="161"/>
      <c r="U14" s="161"/>
      <c r="V14" s="161"/>
      <c r="W14" s="161"/>
      <c r="X14" s="161"/>
      <c r="Y14" s="161"/>
      <c r="Z14" s="161"/>
    </row>
    <row r="15">
      <c r="A15" s="494">
        <v>14.0</v>
      </c>
      <c r="B15" s="301" t="s">
        <v>1997</v>
      </c>
      <c r="C15" s="501" t="s">
        <v>1999</v>
      </c>
      <c r="D15" s="496">
        <v>45921.0</v>
      </c>
      <c r="E15" s="497"/>
      <c r="F15" s="498" t="s">
        <v>2000</v>
      </c>
      <c r="G15" s="161"/>
      <c r="H15" s="161"/>
      <c r="I15" s="161"/>
      <c r="J15" s="161"/>
      <c r="K15" s="161"/>
      <c r="L15" s="161"/>
      <c r="M15" s="161"/>
      <c r="N15" s="161"/>
      <c r="O15" s="161"/>
      <c r="P15" s="161"/>
      <c r="Q15" s="161"/>
      <c r="R15" s="161"/>
      <c r="S15" s="161"/>
      <c r="T15" s="161"/>
      <c r="U15" s="161"/>
      <c r="V15" s="161"/>
      <c r="W15" s="161"/>
      <c r="X15" s="161"/>
      <c r="Y15" s="161"/>
      <c r="Z15" s="161"/>
    </row>
    <row r="16">
      <c r="A16" s="301">
        <v>15.0</v>
      </c>
      <c r="B16" s="301" t="s">
        <v>1995</v>
      </c>
      <c r="C16" s="301" t="s">
        <v>1991</v>
      </c>
      <c r="D16" s="496">
        <v>45922.0</v>
      </c>
      <c r="E16" s="301" t="s">
        <v>1978</v>
      </c>
      <c r="F16" s="498" t="s">
        <v>2001</v>
      </c>
      <c r="G16" s="161"/>
      <c r="H16" s="161"/>
      <c r="I16" s="161"/>
      <c r="J16" s="161"/>
      <c r="K16" s="161"/>
      <c r="L16" s="161"/>
      <c r="M16" s="161"/>
      <c r="N16" s="161"/>
      <c r="O16" s="161"/>
      <c r="P16" s="161"/>
      <c r="Q16" s="161"/>
      <c r="R16" s="161"/>
      <c r="S16" s="161"/>
      <c r="T16" s="161"/>
      <c r="U16" s="161"/>
      <c r="V16" s="161"/>
      <c r="W16" s="161"/>
      <c r="X16" s="161"/>
      <c r="Y16" s="161"/>
      <c r="Z16" s="161"/>
    </row>
    <row r="17">
      <c r="A17" s="301">
        <v>16.0</v>
      </c>
      <c r="B17" s="301" t="s">
        <v>1991</v>
      </c>
      <c r="C17" s="501" t="s">
        <v>2002</v>
      </c>
      <c r="D17" s="496">
        <v>45922.0</v>
      </c>
      <c r="E17" s="301" t="s">
        <v>1978</v>
      </c>
      <c r="F17" s="498" t="s">
        <v>2001</v>
      </c>
      <c r="G17" s="161"/>
      <c r="H17" s="161"/>
      <c r="I17" s="161"/>
      <c r="J17" s="161"/>
      <c r="K17" s="161"/>
      <c r="L17" s="161"/>
      <c r="M17" s="161"/>
      <c r="N17" s="161"/>
      <c r="O17" s="161"/>
      <c r="P17" s="161"/>
      <c r="Q17" s="161"/>
      <c r="R17" s="161"/>
      <c r="S17" s="161"/>
      <c r="T17" s="161"/>
      <c r="U17" s="161"/>
      <c r="V17" s="161"/>
      <c r="W17" s="161"/>
      <c r="X17" s="161"/>
      <c r="Y17" s="161"/>
      <c r="Z17" s="161"/>
    </row>
    <row r="18">
      <c r="A18" s="301">
        <v>17.0</v>
      </c>
      <c r="B18" s="337" t="s">
        <v>2003</v>
      </c>
      <c r="C18" s="301" t="s">
        <v>1991</v>
      </c>
      <c r="D18" s="496">
        <v>45931.0</v>
      </c>
      <c r="E18" s="497"/>
      <c r="F18" s="498" t="s">
        <v>2004</v>
      </c>
      <c r="G18" s="161"/>
      <c r="H18" s="161"/>
      <c r="I18" s="161"/>
      <c r="J18" s="161"/>
      <c r="K18" s="161"/>
      <c r="L18" s="161"/>
      <c r="M18" s="161"/>
      <c r="N18" s="161"/>
      <c r="O18" s="161"/>
      <c r="P18" s="161"/>
      <c r="Q18" s="161"/>
      <c r="R18" s="161"/>
      <c r="S18" s="161"/>
      <c r="T18" s="161"/>
      <c r="U18" s="161"/>
      <c r="V18" s="161"/>
      <c r="W18" s="161"/>
      <c r="X18" s="161"/>
      <c r="Y18" s="161"/>
      <c r="Z18" s="161"/>
    </row>
    <row r="19">
      <c r="A19" s="301">
        <v>18.0</v>
      </c>
      <c r="B19" s="337" t="s">
        <v>2005</v>
      </c>
      <c r="C19" s="301" t="s">
        <v>1991</v>
      </c>
      <c r="D19" s="496">
        <v>45937.0</v>
      </c>
      <c r="E19" s="497"/>
      <c r="F19" s="498" t="s">
        <v>2006</v>
      </c>
      <c r="G19" s="161"/>
      <c r="H19" s="161"/>
      <c r="I19" s="161"/>
      <c r="J19" s="161"/>
      <c r="K19" s="161"/>
      <c r="L19" s="161"/>
      <c r="M19" s="161"/>
      <c r="N19" s="161"/>
      <c r="O19" s="161"/>
      <c r="P19" s="161"/>
      <c r="Q19" s="161"/>
      <c r="R19" s="161"/>
      <c r="S19" s="161"/>
      <c r="T19" s="161"/>
      <c r="U19" s="161"/>
      <c r="V19" s="161"/>
      <c r="W19" s="161"/>
      <c r="X19" s="161"/>
      <c r="Y19" s="161"/>
      <c r="Z19" s="161"/>
    </row>
    <row r="20">
      <c r="A20" s="301">
        <v>19.0</v>
      </c>
      <c r="B20" s="301" t="s">
        <v>1991</v>
      </c>
      <c r="C20" s="501" t="s">
        <v>2007</v>
      </c>
      <c r="D20" s="496">
        <v>45938.0</v>
      </c>
      <c r="E20" s="497"/>
      <c r="F20" s="498" t="s">
        <v>2006</v>
      </c>
      <c r="G20" s="161"/>
      <c r="H20" s="161"/>
      <c r="I20" s="161"/>
      <c r="J20" s="161"/>
      <c r="K20" s="161"/>
      <c r="L20" s="161"/>
      <c r="M20" s="161"/>
      <c r="N20" s="161"/>
      <c r="O20" s="161"/>
      <c r="P20" s="161"/>
      <c r="Q20" s="161"/>
      <c r="R20" s="161"/>
      <c r="S20" s="161"/>
      <c r="T20" s="161"/>
      <c r="U20" s="161"/>
      <c r="V20" s="161"/>
      <c r="W20" s="161"/>
      <c r="X20" s="161"/>
      <c r="Y20" s="161"/>
      <c r="Z20" s="161"/>
    </row>
    <row r="21">
      <c r="A21" s="301">
        <v>20.0</v>
      </c>
      <c r="B21" s="337" t="s">
        <v>2008</v>
      </c>
      <c r="C21" s="301" t="s">
        <v>1991</v>
      </c>
      <c r="D21" s="496">
        <v>45943.0</v>
      </c>
      <c r="E21" s="497"/>
      <c r="F21" s="498" t="s">
        <v>2009</v>
      </c>
      <c r="G21" s="161"/>
      <c r="H21" s="161"/>
      <c r="I21" s="161"/>
      <c r="J21" s="161"/>
      <c r="K21" s="161"/>
      <c r="L21" s="161"/>
      <c r="M21" s="161"/>
      <c r="N21" s="161"/>
      <c r="O21" s="161"/>
      <c r="P21" s="161"/>
      <c r="Q21" s="161"/>
      <c r="R21" s="161"/>
      <c r="S21" s="161"/>
      <c r="T21" s="161"/>
      <c r="U21" s="161"/>
      <c r="V21" s="161"/>
      <c r="W21" s="161"/>
      <c r="X21" s="161"/>
      <c r="Y21" s="161"/>
      <c r="Z21" s="161"/>
    </row>
    <row r="22">
      <c r="A22" s="301">
        <v>21.0</v>
      </c>
      <c r="B22" s="337" t="s">
        <v>2008</v>
      </c>
      <c r="C22" s="301" t="s">
        <v>1991</v>
      </c>
      <c r="D22" s="496">
        <v>45946.0</v>
      </c>
      <c r="E22" s="497"/>
      <c r="F22" s="498" t="s">
        <v>2010</v>
      </c>
      <c r="G22" s="161"/>
      <c r="H22" s="161"/>
      <c r="I22" s="161"/>
      <c r="J22" s="161"/>
      <c r="K22" s="161"/>
      <c r="L22" s="161"/>
      <c r="M22" s="161"/>
      <c r="N22" s="161"/>
      <c r="O22" s="161"/>
      <c r="P22" s="161"/>
      <c r="Q22" s="161"/>
      <c r="R22" s="161"/>
      <c r="S22" s="161"/>
      <c r="T22" s="161"/>
      <c r="U22" s="161"/>
      <c r="V22" s="161"/>
      <c r="W22" s="161"/>
      <c r="X22" s="161"/>
      <c r="Y22" s="161"/>
      <c r="Z22" s="161"/>
    </row>
    <row r="23">
      <c r="A23" s="301">
        <v>22.0</v>
      </c>
      <c r="B23" s="301" t="s">
        <v>1991</v>
      </c>
      <c r="C23" s="501" t="s">
        <v>2011</v>
      </c>
      <c r="D23" s="496">
        <v>45946.0</v>
      </c>
      <c r="E23" s="497"/>
      <c r="F23" s="498" t="s">
        <v>2010</v>
      </c>
      <c r="G23" s="161"/>
      <c r="H23" s="161"/>
      <c r="I23" s="161"/>
      <c r="J23" s="161"/>
      <c r="K23" s="161"/>
      <c r="L23" s="161"/>
      <c r="M23" s="161"/>
      <c r="N23" s="161"/>
      <c r="O23" s="161"/>
      <c r="P23" s="161"/>
      <c r="Q23" s="161"/>
      <c r="R23" s="161"/>
      <c r="S23" s="161"/>
      <c r="T23" s="161"/>
      <c r="U23" s="161"/>
      <c r="V23" s="161"/>
      <c r="W23" s="161"/>
      <c r="X23" s="161"/>
      <c r="Y23" s="161"/>
      <c r="Z23" s="161"/>
    </row>
    <row r="24">
      <c r="A24" s="301">
        <v>23.0</v>
      </c>
      <c r="B24" s="337" t="s">
        <v>2008</v>
      </c>
      <c r="C24" s="301" t="s">
        <v>1991</v>
      </c>
      <c r="D24" s="496">
        <v>45952.0</v>
      </c>
      <c r="E24" s="497"/>
      <c r="F24" s="498" t="s">
        <v>2012</v>
      </c>
      <c r="G24" s="161"/>
      <c r="H24" s="161"/>
      <c r="I24" s="161"/>
      <c r="J24" s="161"/>
      <c r="K24" s="161"/>
      <c r="L24" s="161"/>
      <c r="M24" s="161"/>
      <c r="N24" s="161"/>
      <c r="O24" s="161"/>
      <c r="P24" s="161"/>
      <c r="Q24" s="161"/>
      <c r="R24" s="161"/>
      <c r="S24" s="161"/>
      <c r="T24" s="161"/>
      <c r="U24" s="161"/>
      <c r="V24" s="161"/>
      <c r="W24" s="161"/>
      <c r="X24" s="161"/>
      <c r="Y24" s="161"/>
      <c r="Z24" s="161"/>
    </row>
    <row r="25">
      <c r="A25" s="301">
        <v>24.0</v>
      </c>
      <c r="B25" s="301" t="s">
        <v>1991</v>
      </c>
      <c r="C25" s="501" t="s">
        <v>2013</v>
      </c>
      <c r="D25" s="496">
        <v>45952.0</v>
      </c>
      <c r="E25" s="497"/>
      <c r="F25" s="498" t="s">
        <v>2014</v>
      </c>
      <c r="G25" s="161"/>
      <c r="H25" s="161"/>
      <c r="I25" s="161"/>
      <c r="J25" s="161"/>
      <c r="K25" s="161"/>
      <c r="L25" s="161"/>
      <c r="M25" s="161"/>
      <c r="N25" s="161"/>
      <c r="O25" s="161"/>
      <c r="P25" s="161"/>
      <c r="Q25" s="161"/>
      <c r="R25" s="161"/>
      <c r="S25" s="161"/>
      <c r="T25" s="161"/>
      <c r="U25" s="161"/>
      <c r="V25" s="161"/>
      <c r="W25" s="161"/>
      <c r="X25" s="161"/>
      <c r="Y25" s="161"/>
      <c r="Z25" s="161"/>
    </row>
    <row r="26">
      <c r="A26" s="301">
        <v>25.0</v>
      </c>
      <c r="B26" s="337" t="s">
        <v>2008</v>
      </c>
      <c r="C26" s="301" t="s">
        <v>1991</v>
      </c>
      <c r="D26" s="496">
        <v>45959.0</v>
      </c>
      <c r="E26" s="497"/>
      <c r="F26" s="498" t="s">
        <v>2015</v>
      </c>
      <c r="G26" s="161"/>
      <c r="H26" s="161"/>
      <c r="I26" s="161"/>
      <c r="J26" s="161"/>
      <c r="K26" s="161"/>
      <c r="L26" s="161"/>
      <c r="M26" s="161"/>
      <c r="N26" s="161"/>
      <c r="O26" s="161"/>
      <c r="P26" s="161"/>
      <c r="Q26" s="161"/>
      <c r="R26" s="161"/>
      <c r="S26" s="161"/>
      <c r="T26" s="161"/>
      <c r="U26" s="161"/>
      <c r="V26" s="161"/>
      <c r="W26" s="161"/>
      <c r="X26" s="161"/>
      <c r="Y26" s="161"/>
      <c r="Z26" s="161"/>
    </row>
    <row r="27">
      <c r="A27" s="301">
        <v>26.0</v>
      </c>
      <c r="B27" s="337" t="s">
        <v>2008</v>
      </c>
      <c r="C27" s="301" t="s">
        <v>1991</v>
      </c>
      <c r="D27" s="496">
        <v>45960.0</v>
      </c>
      <c r="E27" s="497"/>
      <c r="F27" s="498" t="s">
        <v>2016</v>
      </c>
      <c r="G27" s="161"/>
      <c r="H27" s="161"/>
      <c r="I27" s="161"/>
      <c r="J27" s="161"/>
      <c r="K27" s="161"/>
      <c r="L27" s="161"/>
      <c r="M27" s="161"/>
      <c r="N27" s="161"/>
      <c r="O27" s="161"/>
      <c r="P27" s="161"/>
      <c r="Q27" s="161"/>
      <c r="R27" s="161"/>
      <c r="S27" s="161"/>
      <c r="T27" s="161"/>
      <c r="U27" s="161"/>
      <c r="V27" s="161"/>
      <c r="W27" s="161"/>
      <c r="X27" s="161"/>
      <c r="Y27" s="161"/>
      <c r="Z27" s="161"/>
    </row>
    <row r="28">
      <c r="A28" s="301">
        <v>27.0</v>
      </c>
      <c r="B28" s="301" t="s">
        <v>1991</v>
      </c>
      <c r="C28" s="501" t="s">
        <v>2017</v>
      </c>
      <c r="D28" s="496">
        <v>45960.0</v>
      </c>
      <c r="E28" s="497"/>
      <c r="F28" s="498" t="s">
        <v>2016</v>
      </c>
      <c r="G28" s="161"/>
      <c r="H28" s="161"/>
      <c r="I28" s="161"/>
      <c r="J28" s="161"/>
      <c r="K28" s="161"/>
      <c r="L28" s="161"/>
      <c r="M28" s="161"/>
      <c r="N28" s="161"/>
      <c r="O28" s="161"/>
      <c r="P28" s="161"/>
      <c r="Q28" s="161"/>
      <c r="R28" s="161"/>
      <c r="S28" s="161"/>
      <c r="T28" s="161"/>
      <c r="U28" s="161"/>
      <c r="V28" s="161"/>
      <c r="W28" s="161"/>
      <c r="X28" s="161"/>
      <c r="Y28" s="161"/>
      <c r="Z28" s="161"/>
    </row>
    <row r="29">
      <c r="A29" s="301">
        <v>28.0</v>
      </c>
      <c r="B29" s="337" t="s">
        <v>2008</v>
      </c>
      <c r="C29" s="301" t="s">
        <v>1991</v>
      </c>
      <c r="D29" s="496">
        <v>45968.0</v>
      </c>
      <c r="E29" s="497"/>
      <c r="F29" s="498" t="s">
        <v>2018</v>
      </c>
      <c r="G29" s="161"/>
      <c r="H29" s="161"/>
      <c r="I29" s="161"/>
      <c r="J29" s="161"/>
      <c r="K29" s="161"/>
      <c r="L29" s="161"/>
      <c r="M29" s="161"/>
      <c r="N29" s="161"/>
      <c r="O29" s="161"/>
      <c r="P29" s="161"/>
      <c r="Q29" s="161"/>
      <c r="R29" s="161"/>
      <c r="S29" s="161"/>
      <c r="T29" s="161"/>
      <c r="U29" s="161"/>
      <c r="V29" s="161"/>
      <c r="W29" s="161"/>
      <c r="X29" s="161"/>
      <c r="Y29" s="161"/>
      <c r="Z29" s="161"/>
    </row>
    <row r="30">
      <c r="A30" s="301">
        <v>29.0</v>
      </c>
      <c r="B30" s="301" t="s">
        <v>1991</v>
      </c>
      <c r="C30" s="501" t="s">
        <v>2019</v>
      </c>
      <c r="D30" s="496">
        <v>45968.0</v>
      </c>
      <c r="E30" s="497"/>
      <c r="F30" s="498" t="s">
        <v>2020</v>
      </c>
      <c r="G30" s="161"/>
      <c r="H30" s="161"/>
      <c r="I30" s="161"/>
      <c r="J30" s="161"/>
      <c r="K30" s="161"/>
      <c r="L30" s="161"/>
      <c r="M30" s="161"/>
      <c r="N30" s="161"/>
      <c r="O30" s="161"/>
      <c r="P30" s="161"/>
      <c r="Q30" s="161"/>
      <c r="R30" s="161"/>
      <c r="S30" s="161"/>
      <c r="T30" s="161"/>
      <c r="U30" s="161"/>
      <c r="V30" s="161"/>
      <c r="W30" s="161"/>
      <c r="X30" s="161"/>
      <c r="Y30" s="161"/>
      <c r="Z30" s="161"/>
    </row>
    <row r="31">
      <c r="A31" s="301">
        <v>30.0</v>
      </c>
      <c r="B31" s="337" t="s">
        <v>2008</v>
      </c>
      <c r="C31" s="301" t="s">
        <v>1991</v>
      </c>
      <c r="D31" s="496">
        <v>45971.0</v>
      </c>
      <c r="E31" s="497"/>
      <c r="F31" s="498" t="s">
        <v>2021</v>
      </c>
      <c r="G31" s="161"/>
      <c r="H31" s="161"/>
      <c r="I31" s="161"/>
      <c r="J31" s="161"/>
      <c r="K31" s="161"/>
      <c r="L31" s="161"/>
      <c r="M31" s="161"/>
      <c r="N31" s="161"/>
      <c r="O31" s="161"/>
      <c r="P31" s="161"/>
      <c r="Q31" s="161"/>
      <c r="R31" s="161"/>
      <c r="S31" s="161"/>
      <c r="T31" s="161"/>
      <c r="U31" s="161"/>
      <c r="V31" s="161"/>
      <c r="W31" s="161"/>
      <c r="X31" s="161"/>
      <c r="Y31" s="161"/>
      <c r="Z31" s="161"/>
    </row>
    <row r="32">
      <c r="A32" s="301">
        <v>31.0</v>
      </c>
      <c r="B32" s="301" t="s">
        <v>1991</v>
      </c>
      <c r="C32" s="501" t="s">
        <v>2022</v>
      </c>
      <c r="D32" s="496">
        <v>45971.0</v>
      </c>
      <c r="E32" s="497"/>
      <c r="F32" s="498" t="s">
        <v>2023</v>
      </c>
      <c r="G32" s="161"/>
      <c r="H32" s="161"/>
      <c r="I32" s="161"/>
      <c r="J32" s="161"/>
      <c r="K32" s="161"/>
      <c r="L32" s="161"/>
      <c r="M32" s="161"/>
      <c r="N32" s="161"/>
      <c r="O32" s="161"/>
      <c r="P32" s="161"/>
      <c r="Q32" s="161"/>
      <c r="R32" s="161"/>
      <c r="S32" s="161"/>
      <c r="T32" s="161"/>
      <c r="U32" s="161"/>
      <c r="V32" s="161"/>
      <c r="W32" s="161"/>
      <c r="X32" s="161"/>
      <c r="Y32" s="161"/>
      <c r="Z32" s="161"/>
    </row>
    <row r="33">
      <c r="A33" s="301">
        <v>32.0</v>
      </c>
      <c r="B33" s="337" t="s">
        <v>2008</v>
      </c>
      <c r="C33" s="301" t="s">
        <v>1991</v>
      </c>
      <c r="D33" s="498" t="s">
        <v>2024</v>
      </c>
      <c r="E33" s="497"/>
      <c r="F33" s="498" t="s">
        <v>2025</v>
      </c>
      <c r="G33" s="161"/>
      <c r="H33" s="161"/>
      <c r="I33" s="161"/>
      <c r="J33" s="161"/>
      <c r="K33" s="161"/>
      <c r="L33" s="161"/>
      <c r="M33" s="161"/>
      <c r="N33" s="161"/>
      <c r="O33" s="161"/>
      <c r="P33" s="161"/>
      <c r="Q33" s="161"/>
      <c r="R33" s="161"/>
      <c r="S33" s="161"/>
      <c r="T33" s="161"/>
      <c r="U33" s="161"/>
      <c r="V33" s="161"/>
      <c r="W33" s="161"/>
      <c r="X33" s="161"/>
      <c r="Y33" s="161"/>
      <c r="Z33" s="161"/>
    </row>
    <row r="34">
      <c r="A34" s="301">
        <v>33.0</v>
      </c>
      <c r="B34" s="301" t="s">
        <v>1991</v>
      </c>
      <c r="C34" s="501" t="s">
        <v>2026</v>
      </c>
      <c r="D34" s="498" t="s">
        <v>2024</v>
      </c>
      <c r="E34" s="497"/>
      <c r="F34" s="498" t="s">
        <v>2025</v>
      </c>
      <c r="G34" s="161"/>
      <c r="H34" s="161"/>
      <c r="I34" s="161"/>
      <c r="J34" s="161"/>
      <c r="K34" s="161"/>
      <c r="L34" s="161"/>
      <c r="M34" s="161"/>
      <c r="N34" s="161"/>
      <c r="O34" s="161"/>
      <c r="P34" s="161"/>
      <c r="Q34" s="161"/>
      <c r="R34" s="161"/>
      <c r="S34" s="161"/>
      <c r="T34" s="161"/>
      <c r="U34" s="161"/>
      <c r="V34" s="161"/>
      <c r="W34" s="161"/>
      <c r="X34" s="161"/>
      <c r="Y34" s="161"/>
      <c r="Z34" s="161"/>
    </row>
    <row r="35">
      <c r="A35" s="301">
        <v>34.0</v>
      </c>
      <c r="B35" s="337" t="s">
        <v>2008</v>
      </c>
      <c r="C35" s="301" t="s">
        <v>1991</v>
      </c>
      <c r="D35" s="498" t="s">
        <v>2027</v>
      </c>
      <c r="E35" s="497"/>
      <c r="F35" s="498" t="s">
        <v>2028</v>
      </c>
      <c r="G35" s="161"/>
      <c r="H35" s="161"/>
      <c r="I35" s="161"/>
      <c r="J35" s="161"/>
      <c r="K35" s="161"/>
      <c r="L35" s="161"/>
      <c r="M35" s="161"/>
      <c r="N35" s="161"/>
      <c r="O35" s="161"/>
      <c r="P35" s="161"/>
      <c r="Q35" s="161"/>
      <c r="R35" s="161"/>
      <c r="S35" s="161"/>
      <c r="T35" s="161"/>
      <c r="U35" s="161"/>
      <c r="V35" s="161"/>
      <c r="W35" s="161"/>
      <c r="X35" s="161"/>
      <c r="Y35" s="161"/>
      <c r="Z35" s="161"/>
    </row>
    <row r="36">
      <c r="A36" s="301">
        <v>35.0</v>
      </c>
      <c r="B36" s="301" t="s">
        <v>1991</v>
      </c>
      <c r="C36" s="501" t="s">
        <v>2029</v>
      </c>
      <c r="D36" s="498" t="s">
        <v>2027</v>
      </c>
      <c r="E36" s="497"/>
      <c r="F36" s="498" t="s">
        <v>2028</v>
      </c>
      <c r="G36" s="161"/>
      <c r="H36" s="161"/>
      <c r="I36" s="161"/>
      <c r="J36" s="161"/>
      <c r="K36" s="161"/>
      <c r="L36" s="161"/>
      <c r="M36" s="161"/>
      <c r="N36" s="161"/>
      <c r="O36" s="161"/>
      <c r="P36" s="161"/>
      <c r="Q36" s="161"/>
      <c r="R36" s="161"/>
      <c r="S36" s="161"/>
      <c r="T36" s="161"/>
      <c r="U36" s="161"/>
      <c r="V36" s="161"/>
      <c r="W36" s="161"/>
      <c r="X36" s="161"/>
      <c r="Y36" s="161"/>
      <c r="Z36" s="161"/>
    </row>
    <row r="37">
      <c r="A37" s="502">
        <v>36.0</v>
      </c>
      <c r="B37" s="503" t="s">
        <v>2008</v>
      </c>
      <c r="C37" s="301" t="s">
        <v>1991</v>
      </c>
      <c r="D37" s="499" t="s">
        <v>2030</v>
      </c>
      <c r="E37" s="504"/>
      <c r="F37" s="499" t="s">
        <v>2031</v>
      </c>
      <c r="G37" s="374"/>
      <c r="H37" s="374"/>
      <c r="I37" s="374"/>
      <c r="J37" s="374"/>
      <c r="K37" s="374"/>
      <c r="L37" s="374"/>
      <c r="M37" s="374"/>
      <c r="N37" s="374"/>
      <c r="O37" s="374"/>
      <c r="P37" s="374"/>
      <c r="Q37" s="374"/>
      <c r="R37" s="374"/>
      <c r="S37" s="374"/>
      <c r="T37" s="374"/>
      <c r="U37" s="374"/>
      <c r="V37" s="374"/>
      <c r="W37" s="374"/>
      <c r="X37" s="374"/>
      <c r="Y37" s="374"/>
      <c r="Z37" s="374"/>
    </row>
    <row r="38">
      <c r="A38" s="502">
        <v>37.0</v>
      </c>
      <c r="B38" s="301" t="s">
        <v>1991</v>
      </c>
      <c r="C38" s="501" t="s">
        <v>2032</v>
      </c>
      <c r="D38" s="499" t="s">
        <v>2030</v>
      </c>
      <c r="E38" s="504"/>
      <c r="F38" s="499" t="s">
        <v>2031</v>
      </c>
      <c r="G38" s="374"/>
      <c r="H38" s="374"/>
      <c r="I38" s="374"/>
      <c r="J38" s="374"/>
      <c r="K38" s="374"/>
      <c r="L38" s="374"/>
      <c r="M38" s="374"/>
      <c r="N38" s="374"/>
      <c r="O38" s="374"/>
      <c r="P38" s="374"/>
      <c r="Q38" s="374"/>
      <c r="R38" s="374"/>
      <c r="S38" s="374"/>
      <c r="T38" s="374"/>
      <c r="U38" s="374"/>
      <c r="V38" s="374"/>
      <c r="W38" s="374"/>
      <c r="X38" s="374"/>
      <c r="Y38" s="374"/>
      <c r="Z38" s="374"/>
    </row>
    <row r="39">
      <c r="A39" s="312">
        <v>38.0</v>
      </c>
      <c r="B39" s="505" t="s">
        <v>2008</v>
      </c>
      <c r="C39" s="301" t="s">
        <v>1991</v>
      </c>
      <c r="D39" s="312" t="s">
        <v>2033</v>
      </c>
      <c r="E39" s="506"/>
      <c r="F39" s="312" t="s">
        <v>2034</v>
      </c>
      <c r="G39" s="467"/>
      <c r="H39" s="467"/>
      <c r="I39" s="467"/>
      <c r="J39" s="467"/>
      <c r="K39" s="467"/>
      <c r="L39" s="467"/>
      <c r="M39" s="467"/>
      <c r="N39" s="467"/>
      <c r="O39" s="467"/>
      <c r="P39" s="467"/>
      <c r="Q39" s="467"/>
      <c r="R39" s="467"/>
      <c r="S39" s="467"/>
      <c r="T39" s="467"/>
      <c r="U39" s="467"/>
      <c r="V39" s="467"/>
      <c r="W39" s="467"/>
      <c r="X39" s="467"/>
      <c r="Y39" s="467"/>
      <c r="Z39" s="467"/>
    </row>
    <row r="40">
      <c r="A40" s="312">
        <v>39.0</v>
      </c>
      <c r="B40" s="505" t="s">
        <v>2008</v>
      </c>
      <c r="C40" s="301" t="s">
        <v>1991</v>
      </c>
      <c r="D40" s="507">
        <v>45669.0</v>
      </c>
      <c r="E40" s="497"/>
      <c r="F40" s="499" t="s">
        <v>2035</v>
      </c>
      <c r="G40" s="161"/>
      <c r="H40" s="161"/>
      <c r="I40" s="161"/>
      <c r="J40" s="161"/>
      <c r="K40" s="161"/>
      <c r="L40" s="161"/>
      <c r="M40" s="161"/>
      <c r="N40" s="161"/>
      <c r="O40" s="161"/>
      <c r="P40" s="161"/>
      <c r="Q40" s="161"/>
      <c r="R40" s="161"/>
      <c r="S40" s="161"/>
      <c r="T40" s="161"/>
      <c r="U40" s="161"/>
      <c r="V40" s="161"/>
      <c r="W40" s="161"/>
      <c r="X40" s="161"/>
      <c r="Y40" s="161"/>
      <c r="Z40" s="161"/>
    </row>
    <row r="41">
      <c r="A41" s="312">
        <v>40.0</v>
      </c>
      <c r="B41" s="301" t="s">
        <v>1991</v>
      </c>
      <c r="C41" s="501" t="s">
        <v>2036</v>
      </c>
      <c r="D41" s="507">
        <v>45669.0</v>
      </c>
      <c r="E41" s="497"/>
      <c r="F41" s="499" t="s">
        <v>2035</v>
      </c>
      <c r="G41" s="161"/>
      <c r="H41" s="161"/>
      <c r="I41" s="161"/>
      <c r="J41" s="161"/>
      <c r="K41" s="161"/>
      <c r="L41" s="161"/>
      <c r="M41" s="161"/>
      <c r="N41" s="161"/>
      <c r="O41" s="161"/>
      <c r="P41" s="161"/>
      <c r="Q41" s="161"/>
      <c r="R41" s="161"/>
      <c r="S41" s="161"/>
      <c r="T41" s="161"/>
      <c r="U41" s="161"/>
      <c r="V41" s="161"/>
      <c r="W41" s="161"/>
      <c r="X41" s="161"/>
      <c r="Y41" s="161"/>
      <c r="Z41" s="161"/>
    </row>
    <row r="42">
      <c r="A42" s="498">
        <v>41.0</v>
      </c>
      <c r="B42" s="505" t="s">
        <v>2008</v>
      </c>
      <c r="C42" s="301" t="s">
        <v>1991</v>
      </c>
      <c r="D42" s="508">
        <v>45728.0</v>
      </c>
      <c r="E42" s="497"/>
      <c r="F42" s="498" t="s">
        <v>2037</v>
      </c>
      <c r="G42" s="161"/>
      <c r="H42" s="161"/>
      <c r="I42" s="161"/>
      <c r="J42" s="161"/>
      <c r="K42" s="161"/>
      <c r="L42" s="161"/>
      <c r="M42" s="161"/>
      <c r="N42" s="161"/>
      <c r="O42" s="161"/>
      <c r="P42" s="161"/>
      <c r="Q42" s="161"/>
      <c r="R42" s="161"/>
      <c r="S42" s="161"/>
      <c r="T42" s="161"/>
      <c r="U42" s="161"/>
      <c r="V42" s="161"/>
      <c r="W42" s="161"/>
      <c r="X42" s="161"/>
      <c r="Y42" s="161"/>
      <c r="Z42" s="161"/>
    </row>
    <row r="43">
      <c r="A43" s="498">
        <v>42.0</v>
      </c>
      <c r="B43" s="301" t="s">
        <v>1991</v>
      </c>
      <c r="C43" s="501" t="s">
        <v>2038</v>
      </c>
      <c r="D43" s="508">
        <v>45728.0</v>
      </c>
      <c r="E43" s="497"/>
      <c r="F43" s="498" t="s">
        <v>2037</v>
      </c>
      <c r="G43" s="161"/>
      <c r="H43" s="161"/>
      <c r="I43" s="161"/>
      <c r="J43" s="161"/>
      <c r="K43" s="161"/>
      <c r="L43" s="161"/>
      <c r="M43" s="161"/>
      <c r="N43" s="161"/>
      <c r="O43" s="161"/>
      <c r="P43" s="161"/>
      <c r="Q43" s="161"/>
      <c r="R43" s="161"/>
      <c r="S43" s="161"/>
      <c r="T43" s="161"/>
      <c r="U43" s="161"/>
      <c r="V43" s="161"/>
      <c r="W43" s="161"/>
      <c r="X43" s="161"/>
      <c r="Y43" s="161"/>
      <c r="Z43" s="161"/>
    </row>
    <row r="44">
      <c r="A44" s="498">
        <v>43.0</v>
      </c>
      <c r="B44" s="505" t="s">
        <v>2008</v>
      </c>
      <c r="C44" s="301" t="s">
        <v>1991</v>
      </c>
      <c r="D44" s="508">
        <v>45789.0</v>
      </c>
      <c r="E44" s="497"/>
      <c r="F44" s="498" t="s">
        <v>2039</v>
      </c>
      <c r="G44" s="161"/>
      <c r="H44" s="161"/>
      <c r="I44" s="161"/>
      <c r="J44" s="161"/>
      <c r="K44" s="161"/>
      <c r="L44" s="161"/>
      <c r="M44" s="161"/>
      <c r="N44" s="161"/>
      <c r="O44" s="161"/>
      <c r="P44" s="161"/>
      <c r="Q44" s="161"/>
      <c r="R44" s="161"/>
      <c r="S44" s="161"/>
      <c r="T44" s="161"/>
      <c r="U44" s="161"/>
      <c r="V44" s="161"/>
      <c r="W44" s="161"/>
      <c r="X44" s="161"/>
      <c r="Y44" s="161"/>
      <c r="Z44" s="161"/>
    </row>
    <row r="45">
      <c r="A45" s="498">
        <v>44.0</v>
      </c>
      <c r="B45" s="301" t="s">
        <v>1991</v>
      </c>
      <c r="C45" s="501" t="s">
        <v>2040</v>
      </c>
      <c r="D45" s="508">
        <v>45789.0</v>
      </c>
      <c r="E45" s="497"/>
      <c r="F45" s="498" t="s">
        <v>2039</v>
      </c>
      <c r="G45" s="161"/>
      <c r="H45" s="161"/>
      <c r="I45" s="161"/>
      <c r="J45" s="161"/>
      <c r="K45" s="161"/>
      <c r="L45" s="161"/>
      <c r="M45" s="161"/>
      <c r="N45" s="161"/>
      <c r="O45" s="161"/>
      <c r="P45" s="161"/>
      <c r="Q45" s="161"/>
      <c r="R45" s="161"/>
      <c r="S45" s="161"/>
      <c r="T45" s="161"/>
      <c r="U45" s="161"/>
      <c r="V45" s="161"/>
      <c r="W45" s="161"/>
      <c r="X45" s="161"/>
      <c r="Y45" s="161"/>
      <c r="Z45" s="161"/>
    </row>
    <row r="46">
      <c r="A46" s="498">
        <v>45.0</v>
      </c>
      <c r="B46" s="505" t="s">
        <v>2008</v>
      </c>
      <c r="C46" s="301" t="s">
        <v>1991</v>
      </c>
      <c r="D46" s="508">
        <v>45942.0</v>
      </c>
      <c r="E46" s="497"/>
      <c r="F46" s="498" t="s">
        <v>2041</v>
      </c>
      <c r="G46" s="161"/>
      <c r="H46" s="161"/>
      <c r="I46" s="161"/>
      <c r="J46" s="161"/>
      <c r="K46" s="161"/>
      <c r="L46" s="161"/>
      <c r="M46" s="161"/>
      <c r="N46" s="161"/>
      <c r="O46" s="161"/>
      <c r="P46" s="161"/>
      <c r="Q46" s="161"/>
      <c r="R46" s="161"/>
      <c r="S46" s="161"/>
      <c r="T46" s="161"/>
      <c r="U46" s="161"/>
      <c r="V46" s="161"/>
      <c r="W46" s="161"/>
      <c r="X46" s="161"/>
      <c r="Y46" s="161"/>
      <c r="Z46" s="161"/>
    </row>
    <row r="47">
      <c r="A47" s="498">
        <v>46.0</v>
      </c>
      <c r="B47" s="301" t="s">
        <v>1991</v>
      </c>
      <c r="C47" s="501" t="s">
        <v>2042</v>
      </c>
      <c r="D47" s="508">
        <v>45789.0</v>
      </c>
      <c r="E47" s="497"/>
      <c r="F47" s="498" t="s">
        <v>2039</v>
      </c>
      <c r="G47" s="161"/>
      <c r="H47" s="161"/>
      <c r="I47" s="161"/>
      <c r="J47" s="161"/>
      <c r="K47" s="161"/>
      <c r="L47" s="161"/>
      <c r="M47" s="161"/>
      <c r="N47" s="161"/>
      <c r="O47" s="161"/>
      <c r="P47" s="161"/>
      <c r="Q47" s="161"/>
      <c r="R47" s="161"/>
      <c r="S47" s="161"/>
      <c r="T47" s="161"/>
      <c r="U47" s="161"/>
      <c r="V47" s="161"/>
      <c r="W47" s="161"/>
      <c r="X47" s="161"/>
      <c r="Y47" s="161"/>
      <c r="Z47" s="161"/>
    </row>
    <row r="48">
      <c r="A48" s="498">
        <v>47.0</v>
      </c>
      <c r="B48" s="509" t="s">
        <v>2043</v>
      </c>
      <c r="C48" s="301" t="s">
        <v>1991</v>
      </c>
      <c r="D48" s="494" t="s">
        <v>2044</v>
      </c>
      <c r="E48" s="497"/>
      <c r="F48" s="498" t="s">
        <v>2045</v>
      </c>
      <c r="G48" s="161"/>
      <c r="H48" s="161"/>
      <c r="I48" s="161"/>
      <c r="J48" s="161"/>
      <c r="K48" s="161"/>
      <c r="L48" s="161"/>
      <c r="M48" s="161"/>
      <c r="N48" s="161"/>
      <c r="O48" s="161"/>
      <c r="P48" s="161"/>
      <c r="Q48" s="161"/>
      <c r="R48" s="161"/>
      <c r="S48" s="161"/>
      <c r="T48" s="161"/>
      <c r="U48" s="161"/>
      <c r="V48" s="161"/>
      <c r="W48" s="161"/>
      <c r="X48" s="161"/>
      <c r="Y48" s="161"/>
      <c r="Z48" s="161"/>
    </row>
    <row r="49">
      <c r="A49" s="498">
        <v>48.0</v>
      </c>
      <c r="B49" s="301" t="s">
        <v>1991</v>
      </c>
      <c r="C49" s="501" t="s">
        <v>2046</v>
      </c>
      <c r="D49" s="494" t="s">
        <v>2047</v>
      </c>
      <c r="E49" s="497"/>
      <c r="F49" s="498" t="s">
        <v>2045</v>
      </c>
      <c r="G49" s="161"/>
      <c r="H49" s="161"/>
      <c r="I49" s="161"/>
      <c r="J49" s="161"/>
      <c r="K49" s="161"/>
      <c r="L49" s="161"/>
      <c r="M49" s="161"/>
      <c r="N49" s="161"/>
      <c r="O49" s="161"/>
      <c r="P49" s="161"/>
      <c r="Q49" s="161"/>
      <c r="R49" s="161"/>
      <c r="S49" s="161"/>
      <c r="T49" s="161"/>
      <c r="U49" s="161"/>
      <c r="V49" s="161"/>
      <c r="W49" s="161"/>
      <c r="X49" s="161"/>
      <c r="Y49" s="161"/>
      <c r="Z49" s="161"/>
    </row>
    <row r="50">
      <c r="A50" s="498">
        <v>49.0</v>
      </c>
      <c r="B50" s="509" t="s">
        <v>2043</v>
      </c>
      <c r="C50" s="301" t="s">
        <v>1991</v>
      </c>
      <c r="D50" s="494" t="s">
        <v>2048</v>
      </c>
      <c r="E50" s="497"/>
      <c r="F50" s="498" t="s">
        <v>2049</v>
      </c>
      <c r="G50" s="161"/>
      <c r="H50" s="161"/>
      <c r="I50" s="161"/>
      <c r="J50" s="161"/>
      <c r="K50" s="161"/>
      <c r="L50" s="161"/>
      <c r="M50" s="161"/>
      <c r="N50" s="161"/>
      <c r="O50" s="161"/>
      <c r="P50" s="161"/>
      <c r="Q50" s="161"/>
      <c r="R50" s="161"/>
      <c r="S50" s="161"/>
      <c r="T50" s="161"/>
      <c r="U50" s="161"/>
      <c r="V50" s="161"/>
      <c r="W50" s="161"/>
      <c r="X50" s="161"/>
      <c r="Y50" s="161"/>
      <c r="Z50" s="161"/>
    </row>
    <row r="51">
      <c r="A51" s="498">
        <v>50.0</v>
      </c>
      <c r="B51" s="509" t="s">
        <v>2043</v>
      </c>
      <c r="C51" s="301" t="s">
        <v>1991</v>
      </c>
      <c r="D51" s="494" t="s">
        <v>2050</v>
      </c>
      <c r="E51" s="497"/>
      <c r="F51" s="498" t="s">
        <v>2051</v>
      </c>
      <c r="G51" s="161"/>
      <c r="H51" s="161"/>
      <c r="I51" s="161"/>
      <c r="J51" s="161"/>
      <c r="K51" s="161"/>
      <c r="L51" s="161"/>
      <c r="M51" s="161"/>
      <c r="N51" s="161"/>
      <c r="O51" s="161"/>
      <c r="P51" s="161"/>
      <c r="Q51" s="161"/>
      <c r="R51" s="161"/>
      <c r="S51" s="161"/>
      <c r="T51" s="161"/>
      <c r="U51" s="161"/>
      <c r="V51" s="161"/>
      <c r="W51" s="161"/>
      <c r="X51" s="161"/>
      <c r="Y51" s="161"/>
      <c r="Z51" s="161"/>
    </row>
    <row r="52">
      <c r="A52" s="498">
        <v>51.0</v>
      </c>
      <c r="B52" s="301" t="s">
        <v>1991</v>
      </c>
      <c r="C52" s="501" t="s">
        <v>2052</v>
      </c>
      <c r="D52" s="494" t="s">
        <v>2050</v>
      </c>
      <c r="E52" s="497"/>
      <c r="F52" s="498" t="s">
        <v>2051</v>
      </c>
      <c r="G52" s="161"/>
      <c r="H52" s="161"/>
      <c r="I52" s="161"/>
      <c r="J52" s="161"/>
      <c r="K52" s="161"/>
      <c r="L52" s="161"/>
      <c r="M52" s="161"/>
      <c r="N52" s="161"/>
      <c r="O52" s="161"/>
      <c r="P52" s="161"/>
      <c r="Q52" s="161"/>
      <c r="R52" s="161"/>
      <c r="S52" s="161"/>
      <c r="T52" s="161"/>
      <c r="U52" s="161"/>
      <c r="V52" s="161"/>
      <c r="W52" s="161"/>
      <c r="X52" s="161"/>
      <c r="Y52" s="161"/>
      <c r="Z52" s="161"/>
    </row>
    <row r="53">
      <c r="A53" s="498">
        <v>52.0</v>
      </c>
      <c r="B53" s="509" t="s">
        <v>2043</v>
      </c>
      <c r="C53" s="301" t="s">
        <v>1991</v>
      </c>
      <c r="D53" s="508">
        <v>46056.0</v>
      </c>
      <c r="E53" s="497"/>
      <c r="F53" s="498" t="s">
        <v>2053</v>
      </c>
      <c r="G53" s="161"/>
      <c r="H53" s="161"/>
      <c r="I53" s="161"/>
      <c r="J53" s="161"/>
      <c r="K53" s="161"/>
      <c r="L53" s="161"/>
      <c r="M53" s="161"/>
      <c r="N53" s="161"/>
      <c r="O53" s="161"/>
      <c r="P53" s="161"/>
      <c r="Q53" s="161"/>
      <c r="R53" s="161"/>
      <c r="S53" s="161"/>
      <c r="T53" s="161"/>
      <c r="U53" s="161"/>
      <c r="V53" s="161"/>
      <c r="W53" s="161"/>
      <c r="X53" s="161"/>
      <c r="Y53" s="161"/>
      <c r="Z53" s="161"/>
    </row>
    <row r="54">
      <c r="A54" s="498">
        <v>53.0</v>
      </c>
      <c r="B54" s="301" t="s">
        <v>1991</v>
      </c>
      <c r="C54" s="501" t="s">
        <v>2054</v>
      </c>
      <c r="D54" s="508">
        <v>46085.0</v>
      </c>
      <c r="E54" s="497"/>
      <c r="F54" s="498" t="s">
        <v>2053</v>
      </c>
      <c r="G54" s="161"/>
      <c r="H54" s="161"/>
      <c r="I54" s="161"/>
      <c r="J54" s="161"/>
      <c r="K54" s="161"/>
      <c r="L54" s="161"/>
      <c r="M54" s="161"/>
      <c r="N54" s="161"/>
      <c r="O54" s="161"/>
      <c r="P54" s="161"/>
      <c r="Q54" s="161"/>
      <c r="R54" s="161"/>
      <c r="S54" s="161"/>
      <c r="T54" s="161"/>
      <c r="U54" s="161"/>
      <c r="V54" s="161"/>
      <c r="W54" s="161"/>
      <c r="X54" s="161"/>
      <c r="Y54" s="161"/>
      <c r="Z54" s="161"/>
    </row>
    <row r="55">
      <c r="A55" s="498">
        <v>54.0</v>
      </c>
      <c r="B55" s="509" t="s">
        <v>2043</v>
      </c>
      <c r="C55" s="301" t="s">
        <v>1991</v>
      </c>
      <c r="D55" s="508">
        <v>46062.0</v>
      </c>
      <c r="E55" s="497"/>
      <c r="F55" s="498" t="s">
        <v>2055</v>
      </c>
      <c r="G55" s="161"/>
      <c r="H55" s="161"/>
      <c r="I55" s="161"/>
      <c r="J55" s="161"/>
      <c r="K55" s="161"/>
      <c r="L55" s="161"/>
      <c r="M55" s="161"/>
      <c r="N55" s="161"/>
      <c r="O55" s="161"/>
      <c r="P55" s="161"/>
      <c r="Q55" s="161"/>
      <c r="R55" s="161"/>
      <c r="S55" s="161"/>
      <c r="T55" s="161"/>
      <c r="U55" s="161"/>
      <c r="V55" s="161"/>
      <c r="W55" s="161"/>
      <c r="X55" s="161"/>
      <c r="Y55" s="161"/>
      <c r="Z55" s="161"/>
    </row>
    <row r="56">
      <c r="A56" s="498">
        <v>55.0</v>
      </c>
      <c r="B56" s="509" t="s">
        <v>2043</v>
      </c>
      <c r="C56" s="301" t="s">
        <v>1991</v>
      </c>
      <c r="D56" s="508">
        <v>46064.0</v>
      </c>
      <c r="E56" s="497"/>
      <c r="F56" s="498" t="s">
        <v>2056</v>
      </c>
      <c r="G56" s="161"/>
      <c r="H56" s="161"/>
      <c r="I56" s="161"/>
      <c r="J56" s="161"/>
      <c r="K56" s="161"/>
      <c r="L56" s="161"/>
      <c r="M56" s="161"/>
      <c r="N56" s="161"/>
      <c r="O56" s="161"/>
      <c r="P56" s="161"/>
      <c r="Q56" s="161"/>
      <c r="R56" s="161"/>
      <c r="S56" s="161"/>
      <c r="T56" s="161"/>
      <c r="U56" s="161"/>
      <c r="V56" s="161"/>
      <c r="W56" s="161"/>
      <c r="X56" s="161"/>
      <c r="Y56" s="161"/>
      <c r="Z56" s="161"/>
    </row>
    <row r="57">
      <c r="A57" s="498">
        <v>56.0</v>
      </c>
      <c r="B57" s="509" t="s">
        <v>2043</v>
      </c>
      <c r="C57" s="301" t="s">
        <v>1991</v>
      </c>
      <c r="D57" s="508">
        <v>46065.0</v>
      </c>
      <c r="E57" s="497"/>
      <c r="F57" s="498" t="s">
        <v>2057</v>
      </c>
      <c r="G57" s="161"/>
      <c r="H57" s="161"/>
      <c r="I57" s="161"/>
      <c r="J57" s="161"/>
      <c r="K57" s="161"/>
      <c r="L57" s="161"/>
      <c r="M57" s="161"/>
      <c r="N57" s="161"/>
      <c r="O57" s="161"/>
      <c r="P57" s="161"/>
      <c r="Q57" s="161"/>
      <c r="R57" s="161"/>
      <c r="S57" s="161"/>
      <c r="T57" s="161"/>
      <c r="U57" s="161"/>
      <c r="V57" s="161"/>
      <c r="W57" s="161"/>
      <c r="X57" s="161"/>
      <c r="Y57" s="161"/>
      <c r="Z57" s="161"/>
    </row>
    <row r="58">
      <c r="A58" s="498">
        <v>57.0</v>
      </c>
      <c r="B58" s="509" t="s">
        <v>2043</v>
      </c>
      <c r="C58" s="301" t="s">
        <v>1991</v>
      </c>
      <c r="D58" s="508">
        <v>46066.0</v>
      </c>
      <c r="E58" s="497"/>
      <c r="F58" s="498" t="s">
        <v>2058</v>
      </c>
      <c r="G58" s="161"/>
      <c r="H58" s="161"/>
      <c r="I58" s="161"/>
      <c r="J58" s="161"/>
      <c r="K58" s="161"/>
      <c r="L58" s="161"/>
      <c r="M58" s="161"/>
      <c r="N58" s="161"/>
      <c r="O58" s="161"/>
      <c r="P58" s="161"/>
      <c r="Q58" s="161"/>
      <c r="R58" s="161"/>
      <c r="S58" s="161"/>
      <c r="T58" s="161"/>
      <c r="U58" s="161"/>
      <c r="V58" s="161"/>
      <c r="W58" s="161"/>
      <c r="X58" s="161"/>
      <c r="Y58" s="161"/>
      <c r="Z58" s="161"/>
    </row>
    <row r="59">
      <c r="A59" s="498">
        <v>58.0</v>
      </c>
      <c r="B59" s="301" t="s">
        <v>1991</v>
      </c>
      <c r="C59" s="501" t="s">
        <v>2059</v>
      </c>
      <c r="D59" s="508">
        <v>46077.0</v>
      </c>
      <c r="E59" s="497"/>
      <c r="F59" s="498" t="s">
        <v>608</v>
      </c>
      <c r="G59" s="161"/>
      <c r="H59" s="161"/>
      <c r="I59" s="161"/>
      <c r="J59" s="161"/>
      <c r="K59" s="161"/>
      <c r="L59" s="161"/>
      <c r="M59" s="161"/>
      <c r="N59" s="161"/>
      <c r="O59" s="161"/>
      <c r="P59" s="161"/>
      <c r="Q59" s="161"/>
      <c r="R59" s="161"/>
      <c r="S59" s="161"/>
      <c r="T59" s="161"/>
      <c r="U59" s="161"/>
      <c r="V59" s="161"/>
      <c r="W59" s="161"/>
      <c r="X59" s="161"/>
      <c r="Y59" s="161"/>
      <c r="Z59" s="161"/>
    </row>
    <row r="60">
      <c r="A60" s="498">
        <v>59.0</v>
      </c>
      <c r="B60" s="301" t="s">
        <v>2060</v>
      </c>
      <c r="C60" s="301" t="s">
        <v>1991</v>
      </c>
      <c r="D60" s="508">
        <v>46184.0</v>
      </c>
      <c r="E60" s="497"/>
      <c r="F60" s="510" t="s">
        <v>2061</v>
      </c>
      <c r="G60" s="161"/>
      <c r="H60" s="161"/>
      <c r="I60" s="161"/>
      <c r="J60" s="161"/>
      <c r="K60" s="161"/>
      <c r="L60" s="161"/>
      <c r="M60" s="161"/>
      <c r="N60" s="161"/>
      <c r="O60" s="161"/>
      <c r="P60" s="161"/>
      <c r="Q60" s="161"/>
      <c r="R60" s="161"/>
      <c r="S60" s="161"/>
      <c r="T60" s="161"/>
      <c r="U60" s="161"/>
      <c r="V60" s="161"/>
      <c r="W60" s="161"/>
      <c r="X60" s="161"/>
      <c r="Y60" s="161"/>
      <c r="Z60" s="161"/>
    </row>
    <row r="61">
      <c r="A61" s="498">
        <v>60.0</v>
      </c>
      <c r="B61" s="301" t="s">
        <v>1991</v>
      </c>
      <c r="C61" s="501" t="s">
        <v>2062</v>
      </c>
      <c r="D61" s="508">
        <v>46185.0</v>
      </c>
      <c r="E61" s="497"/>
      <c r="F61" s="510" t="s">
        <v>2063</v>
      </c>
      <c r="G61" s="161"/>
      <c r="H61" s="161"/>
      <c r="I61" s="161"/>
      <c r="J61" s="161"/>
      <c r="K61" s="161"/>
      <c r="L61" s="161"/>
      <c r="M61" s="161"/>
      <c r="N61" s="161"/>
      <c r="O61" s="161"/>
      <c r="P61" s="161"/>
      <c r="Q61" s="161"/>
      <c r="R61" s="161"/>
      <c r="S61" s="161"/>
      <c r="T61" s="161"/>
      <c r="U61" s="161"/>
      <c r="V61" s="161"/>
      <c r="W61" s="161"/>
      <c r="X61" s="161"/>
      <c r="Y61" s="161"/>
      <c r="Z61" s="161"/>
    </row>
    <row r="62">
      <c r="A62" s="511"/>
      <c r="B62" s="18"/>
      <c r="C62" s="18"/>
      <c r="D62" s="161"/>
      <c r="E62" s="161"/>
      <c r="F62" s="511"/>
      <c r="G62" s="161"/>
      <c r="H62" s="161"/>
      <c r="I62" s="161"/>
      <c r="J62" s="161"/>
      <c r="K62" s="161"/>
      <c r="L62" s="161"/>
      <c r="M62" s="161"/>
      <c r="N62" s="161"/>
      <c r="O62" s="161"/>
      <c r="P62" s="161"/>
      <c r="Q62" s="161"/>
      <c r="R62" s="161"/>
      <c r="S62" s="161"/>
      <c r="T62" s="161"/>
      <c r="U62" s="161"/>
      <c r="V62" s="161"/>
      <c r="W62" s="161"/>
      <c r="X62" s="161"/>
      <c r="Y62" s="161"/>
      <c r="Z62" s="161"/>
    </row>
    <row r="63">
      <c r="A63" s="511"/>
      <c r="B63" s="18"/>
      <c r="C63" s="18"/>
      <c r="D63" s="161"/>
      <c r="E63" s="161"/>
      <c r="F63" s="511"/>
      <c r="G63" s="161"/>
      <c r="H63" s="161"/>
      <c r="I63" s="161"/>
      <c r="J63" s="161"/>
      <c r="K63" s="161"/>
      <c r="L63" s="161"/>
      <c r="M63" s="161"/>
      <c r="N63" s="161"/>
      <c r="O63" s="161"/>
      <c r="P63" s="161"/>
      <c r="Q63" s="161"/>
      <c r="R63" s="161"/>
      <c r="S63" s="161"/>
      <c r="T63" s="161"/>
      <c r="U63" s="161"/>
      <c r="V63" s="161"/>
      <c r="W63" s="161"/>
      <c r="X63" s="161"/>
      <c r="Y63" s="161"/>
      <c r="Z63" s="161"/>
    </row>
    <row r="64">
      <c r="A64" s="511"/>
      <c r="B64" s="18"/>
      <c r="C64" s="18"/>
      <c r="D64" s="161"/>
      <c r="E64" s="161"/>
      <c r="F64" s="511"/>
      <c r="G64" s="161"/>
      <c r="H64" s="161"/>
      <c r="I64" s="161"/>
      <c r="J64" s="161"/>
      <c r="K64" s="161"/>
      <c r="L64" s="161"/>
      <c r="M64" s="161"/>
      <c r="N64" s="161"/>
      <c r="O64" s="161"/>
      <c r="P64" s="161"/>
      <c r="Q64" s="161"/>
      <c r="R64" s="161"/>
      <c r="S64" s="161"/>
      <c r="T64" s="161"/>
      <c r="U64" s="161"/>
      <c r="V64" s="161"/>
      <c r="W64" s="161"/>
      <c r="X64" s="161"/>
      <c r="Y64" s="161"/>
      <c r="Z64" s="161"/>
    </row>
    <row r="65">
      <c r="A65" s="511"/>
      <c r="B65" s="18"/>
      <c r="C65" s="18"/>
      <c r="D65" s="161"/>
      <c r="E65" s="161"/>
      <c r="F65" s="511"/>
      <c r="G65" s="161"/>
      <c r="H65" s="161"/>
      <c r="I65" s="161"/>
      <c r="J65" s="161"/>
      <c r="K65" s="161"/>
      <c r="L65" s="161"/>
      <c r="M65" s="161"/>
      <c r="N65" s="161"/>
      <c r="O65" s="161"/>
      <c r="P65" s="161"/>
      <c r="Q65" s="161"/>
      <c r="R65" s="161"/>
      <c r="S65" s="161"/>
      <c r="T65" s="161"/>
      <c r="U65" s="161"/>
      <c r="V65" s="161"/>
      <c r="W65" s="161"/>
      <c r="X65" s="161"/>
      <c r="Y65" s="161"/>
      <c r="Z65" s="161"/>
    </row>
    <row r="66">
      <c r="A66" s="511"/>
      <c r="B66" s="18"/>
      <c r="C66" s="18"/>
      <c r="D66" s="161"/>
      <c r="E66" s="161"/>
      <c r="F66" s="511"/>
      <c r="G66" s="161"/>
      <c r="H66" s="161"/>
      <c r="I66" s="161"/>
      <c r="J66" s="161"/>
      <c r="K66" s="161"/>
      <c r="L66" s="161"/>
      <c r="M66" s="161"/>
      <c r="N66" s="161"/>
      <c r="O66" s="161"/>
      <c r="P66" s="161"/>
      <c r="Q66" s="161"/>
      <c r="R66" s="161"/>
      <c r="S66" s="161"/>
      <c r="T66" s="161"/>
      <c r="U66" s="161"/>
      <c r="V66" s="161"/>
      <c r="W66" s="161"/>
      <c r="X66" s="161"/>
      <c r="Y66" s="161"/>
      <c r="Z66" s="161"/>
    </row>
    <row r="67">
      <c r="A67" s="511"/>
      <c r="B67" s="18"/>
      <c r="C67" s="18"/>
      <c r="D67" s="161"/>
      <c r="E67" s="161"/>
      <c r="F67" s="511"/>
      <c r="G67" s="161"/>
      <c r="H67" s="161"/>
      <c r="I67" s="161"/>
      <c r="J67" s="161"/>
      <c r="K67" s="161"/>
      <c r="L67" s="161"/>
      <c r="M67" s="161"/>
      <c r="N67" s="161"/>
      <c r="O67" s="161"/>
      <c r="P67" s="161"/>
      <c r="Q67" s="161"/>
      <c r="R67" s="161"/>
      <c r="S67" s="161"/>
      <c r="T67" s="161"/>
      <c r="U67" s="161"/>
      <c r="V67" s="161"/>
      <c r="W67" s="161"/>
      <c r="X67" s="161"/>
      <c r="Y67" s="161"/>
      <c r="Z67" s="161"/>
    </row>
    <row r="68">
      <c r="A68" s="511"/>
      <c r="B68" s="18"/>
      <c r="C68" s="18"/>
      <c r="D68" s="161"/>
      <c r="E68" s="161"/>
      <c r="F68" s="511"/>
      <c r="G68" s="161"/>
      <c r="H68" s="161"/>
      <c r="I68" s="161"/>
      <c r="J68" s="161"/>
      <c r="K68" s="161"/>
      <c r="L68" s="161"/>
      <c r="M68" s="161"/>
      <c r="N68" s="161"/>
      <c r="O68" s="161"/>
      <c r="P68" s="161"/>
      <c r="Q68" s="161"/>
      <c r="R68" s="161"/>
      <c r="S68" s="161"/>
      <c r="T68" s="161"/>
      <c r="U68" s="161"/>
      <c r="V68" s="161"/>
      <c r="W68" s="161"/>
      <c r="X68" s="161"/>
      <c r="Y68" s="161"/>
      <c r="Z68" s="161"/>
    </row>
    <row r="69">
      <c r="A69" s="511"/>
      <c r="B69" s="18"/>
      <c r="C69" s="18"/>
      <c r="D69" s="161"/>
      <c r="E69" s="161"/>
      <c r="F69" s="511"/>
      <c r="G69" s="161"/>
      <c r="H69" s="161"/>
      <c r="I69" s="161"/>
      <c r="J69" s="161"/>
      <c r="K69" s="161"/>
      <c r="L69" s="161"/>
      <c r="M69" s="161"/>
      <c r="N69" s="161"/>
      <c r="O69" s="161"/>
      <c r="P69" s="161"/>
      <c r="Q69" s="161"/>
      <c r="R69" s="161"/>
      <c r="S69" s="161"/>
      <c r="T69" s="161"/>
      <c r="U69" s="161"/>
      <c r="V69" s="161"/>
      <c r="W69" s="161"/>
      <c r="X69" s="161"/>
      <c r="Y69" s="161"/>
      <c r="Z69" s="161"/>
    </row>
    <row r="70">
      <c r="A70" s="511"/>
      <c r="B70" s="18"/>
      <c r="C70" s="18"/>
      <c r="D70" s="161"/>
      <c r="E70" s="161"/>
      <c r="F70" s="511"/>
      <c r="G70" s="161"/>
      <c r="H70" s="161"/>
      <c r="I70" s="161"/>
      <c r="J70" s="161"/>
      <c r="K70" s="161"/>
      <c r="L70" s="161"/>
      <c r="M70" s="161"/>
      <c r="N70" s="161"/>
      <c r="O70" s="161"/>
      <c r="P70" s="161"/>
      <c r="Q70" s="161"/>
      <c r="R70" s="161"/>
      <c r="S70" s="161"/>
      <c r="T70" s="161"/>
      <c r="U70" s="161"/>
      <c r="V70" s="161"/>
      <c r="W70" s="161"/>
      <c r="X70" s="161"/>
      <c r="Y70" s="161"/>
      <c r="Z70" s="161"/>
    </row>
    <row r="71">
      <c r="A71" s="511"/>
      <c r="B71" s="18"/>
      <c r="C71" s="18"/>
      <c r="D71" s="161"/>
      <c r="E71" s="161"/>
      <c r="F71" s="511"/>
      <c r="G71" s="161"/>
      <c r="H71" s="161"/>
      <c r="I71" s="161"/>
      <c r="J71" s="161"/>
      <c r="K71" s="161"/>
      <c r="L71" s="161"/>
      <c r="M71" s="161"/>
      <c r="N71" s="161"/>
      <c r="O71" s="161"/>
      <c r="P71" s="161"/>
      <c r="Q71" s="161"/>
      <c r="R71" s="161"/>
      <c r="S71" s="161"/>
      <c r="T71" s="161"/>
      <c r="U71" s="161"/>
      <c r="V71" s="161"/>
      <c r="W71" s="161"/>
      <c r="X71" s="161"/>
      <c r="Y71" s="161"/>
      <c r="Z71" s="161"/>
    </row>
    <row r="72">
      <c r="A72" s="511"/>
      <c r="B72" s="18"/>
      <c r="C72" s="18"/>
      <c r="D72" s="161"/>
      <c r="E72" s="161"/>
      <c r="F72" s="511"/>
      <c r="G72" s="161"/>
      <c r="H72" s="161"/>
      <c r="I72" s="161"/>
      <c r="J72" s="161"/>
      <c r="K72" s="161"/>
      <c r="L72" s="161"/>
      <c r="M72" s="161"/>
      <c r="N72" s="161"/>
      <c r="O72" s="161"/>
      <c r="P72" s="161"/>
      <c r="Q72" s="161"/>
      <c r="R72" s="161"/>
      <c r="S72" s="161"/>
      <c r="T72" s="161"/>
      <c r="U72" s="161"/>
      <c r="V72" s="161"/>
      <c r="W72" s="161"/>
      <c r="X72" s="161"/>
      <c r="Y72" s="161"/>
      <c r="Z72" s="161"/>
    </row>
    <row r="73">
      <c r="A73" s="511"/>
      <c r="B73" s="18"/>
      <c r="C73" s="18"/>
      <c r="D73" s="161"/>
      <c r="E73" s="161"/>
      <c r="F73" s="511"/>
      <c r="G73" s="161"/>
      <c r="H73" s="161"/>
      <c r="I73" s="161"/>
      <c r="J73" s="161"/>
      <c r="K73" s="161"/>
      <c r="L73" s="161"/>
      <c r="M73" s="161"/>
      <c r="N73" s="161"/>
      <c r="O73" s="161"/>
      <c r="P73" s="161"/>
      <c r="Q73" s="161"/>
      <c r="R73" s="161"/>
      <c r="S73" s="161"/>
      <c r="T73" s="161"/>
      <c r="U73" s="161"/>
      <c r="V73" s="161"/>
      <c r="W73" s="161"/>
      <c r="X73" s="161"/>
      <c r="Y73" s="161"/>
      <c r="Z73" s="161"/>
    </row>
    <row r="74">
      <c r="A74" s="511"/>
      <c r="B74" s="18"/>
      <c r="C74" s="18"/>
      <c r="D74" s="161"/>
      <c r="E74" s="161"/>
      <c r="F74" s="511"/>
      <c r="G74" s="161"/>
      <c r="H74" s="161"/>
      <c r="I74" s="161"/>
      <c r="J74" s="161"/>
      <c r="K74" s="161"/>
      <c r="L74" s="161"/>
      <c r="M74" s="161"/>
      <c r="N74" s="161"/>
      <c r="O74" s="161"/>
      <c r="P74" s="161"/>
      <c r="Q74" s="161"/>
      <c r="R74" s="161"/>
      <c r="S74" s="161"/>
      <c r="T74" s="161"/>
      <c r="U74" s="161"/>
      <c r="V74" s="161"/>
      <c r="W74" s="161"/>
      <c r="X74" s="161"/>
      <c r="Y74" s="161"/>
      <c r="Z74" s="161"/>
    </row>
    <row r="75">
      <c r="A75" s="511"/>
      <c r="B75" s="18"/>
      <c r="C75" s="18"/>
      <c r="D75" s="161"/>
      <c r="E75" s="161"/>
      <c r="F75" s="511"/>
      <c r="G75" s="161"/>
      <c r="H75" s="161"/>
      <c r="I75" s="161"/>
      <c r="J75" s="161"/>
      <c r="K75" s="161"/>
      <c r="L75" s="161"/>
      <c r="M75" s="161"/>
      <c r="N75" s="161"/>
      <c r="O75" s="161"/>
      <c r="P75" s="161"/>
      <c r="Q75" s="161"/>
      <c r="R75" s="161"/>
      <c r="S75" s="161"/>
      <c r="T75" s="161"/>
      <c r="U75" s="161"/>
      <c r="V75" s="161"/>
      <c r="W75" s="161"/>
      <c r="X75" s="161"/>
      <c r="Y75" s="161"/>
      <c r="Z75" s="161"/>
    </row>
    <row r="76">
      <c r="A76" s="511"/>
      <c r="B76" s="18"/>
      <c r="C76" s="18"/>
      <c r="D76" s="161"/>
      <c r="E76" s="161"/>
      <c r="F76" s="511"/>
      <c r="G76" s="161"/>
      <c r="H76" s="161"/>
      <c r="I76" s="161"/>
      <c r="J76" s="161"/>
      <c r="K76" s="161"/>
      <c r="L76" s="161"/>
      <c r="M76" s="161"/>
      <c r="N76" s="161"/>
      <c r="O76" s="161"/>
      <c r="P76" s="161"/>
      <c r="Q76" s="161"/>
      <c r="R76" s="161"/>
      <c r="S76" s="161"/>
      <c r="T76" s="161"/>
      <c r="U76" s="161"/>
      <c r="V76" s="161"/>
      <c r="W76" s="161"/>
      <c r="X76" s="161"/>
      <c r="Y76" s="161"/>
      <c r="Z76" s="161"/>
    </row>
    <row r="77">
      <c r="A77" s="511"/>
      <c r="B77" s="18"/>
      <c r="C77" s="18"/>
      <c r="D77" s="161"/>
      <c r="E77" s="161"/>
      <c r="F77" s="511"/>
      <c r="G77" s="161"/>
      <c r="H77" s="161"/>
      <c r="I77" s="161"/>
      <c r="J77" s="161"/>
      <c r="K77" s="161"/>
      <c r="L77" s="161"/>
      <c r="M77" s="161"/>
      <c r="N77" s="161"/>
      <c r="O77" s="161"/>
      <c r="P77" s="161"/>
      <c r="Q77" s="161"/>
      <c r="R77" s="161"/>
      <c r="S77" s="161"/>
      <c r="T77" s="161"/>
      <c r="U77" s="161"/>
      <c r="V77" s="161"/>
      <c r="W77" s="161"/>
      <c r="X77" s="161"/>
      <c r="Y77" s="161"/>
      <c r="Z77" s="161"/>
    </row>
    <row r="78">
      <c r="A78" s="511"/>
      <c r="B78" s="18"/>
      <c r="C78" s="18"/>
      <c r="D78" s="161"/>
      <c r="E78" s="161"/>
      <c r="F78" s="511"/>
      <c r="G78" s="161"/>
      <c r="H78" s="161"/>
      <c r="I78" s="161"/>
      <c r="J78" s="161"/>
      <c r="K78" s="161"/>
      <c r="L78" s="161"/>
      <c r="M78" s="161"/>
      <c r="N78" s="161"/>
      <c r="O78" s="161"/>
      <c r="P78" s="161"/>
      <c r="Q78" s="161"/>
      <c r="R78" s="161"/>
      <c r="S78" s="161"/>
      <c r="T78" s="161"/>
      <c r="U78" s="161"/>
      <c r="V78" s="161"/>
      <c r="W78" s="161"/>
      <c r="X78" s="161"/>
      <c r="Y78" s="161"/>
      <c r="Z78" s="161"/>
    </row>
    <row r="79">
      <c r="A79" s="511"/>
      <c r="B79" s="18"/>
      <c r="C79" s="18"/>
      <c r="D79" s="161"/>
      <c r="E79" s="161"/>
      <c r="F79" s="511"/>
      <c r="G79" s="161"/>
      <c r="H79" s="161"/>
      <c r="I79" s="161"/>
      <c r="J79" s="161"/>
      <c r="K79" s="161"/>
      <c r="L79" s="161"/>
      <c r="M79" s="161"/>
      <c r="N79" s="161"/>
      <c r="O79" s="161"/>
      <c r="P79" s="161"/>
      <c r="Q79" s="161"/>
      <c r="R79" s="161"/>
      <c r="S79" s="161"/>
      <c r="T79" s="161"/>
      <c r="U79" s="161"/>
      <c r="V79" s="161"/>
      <c r="W79" s="161"/>
      <c r="X79" s="161"/>
      <c r="Y79" s="161"/>
      <c r="Z79" s="161"/>
    </row>
    <row r="80">
      <c r="A80" s="511"/>
      <c r="B80" s="18"/>
      <c r="C80" s="18"/>
      <c r="D80" s="161"/>
      <c r="E80" s="161"/>
      <c r="F80" s="511"/>
      <c r="G80" s="161"/>
      <c r="H80" s="161"/>
      <c r="I80" s="161"/>
      <c r="J80" s="161"/>
      <c r="K80" s="161"/>
      <c r="L80" s="161"/>
      <c r="M80" s="161"/>
      <c r="N80" s="161"/>
      <c r="O80" s="161"/>
      <c r="P80" s="161"/>
      <c r="Q80" s="161"/>
      <c r="R80" s="161"/>
      <c r="S80" s="161"/>
      <c r="T80" s="161"/>
      <c r="U80" s="161"/>
      <c r="V80" s="161"/>
      <c r="W80" s="161"/>
      <c r="X80" s="161"/>
      <c r="Y80" s="161"/>
      <c r="Z80" s="161"/>
    </row>
    <row r="81">
      <c r="A81" s="511"/>
      <c r="B81" s="18"/>
      <c r="C81" s="18"/>
      <c r="D81" s="161"/>
      <c r="E81" s="161"/>
      <c r="F81" s="511"/>
      <c r="G81" s="161"/>
      <c r="H81" s="161"/>
      <c r="I81" s="161"/>
      <c r="J81" s="161"/>
      <c r="K81" s="161"/>
      <c r="L81" s="161"/>
      <c r="M81" s="161"/>
      <c r="N81" s="161"/>
      <c r="O81" s="161"/>
      <c r="P81" s="161"/>
      <c r="Q81" s="161"/>
      <c r="R81" s="161"/>
      <c r="S81" s="161"/>
      <c r="T81" s="161"/>
      <c r="U81" s="161"/>
      <c r="V81" s="161"/>
      <c r="W81" s="161"/>
      <c r="X81" s="161"/>
      <c r="Y81" s="161"/>
      <c r="Z81" s="161"/>
    </row>
    <row r="82">
      <c r="A82" s="511"/>
      <c r="B82" s="18"/>
      <c r="C82" s="18"/>
      <c r="D82" s="161"/>
      <c r="E82" s="161"/>
      <c r="F82" s="511"/>
      <c r="G82" s="161"/>
      <c r="H82" s="161"/>
      <c r="I82" s="161"/>
      <c r="J82" s="161"/>
      <c r="K82" s="161"/>
      <c r="L82" s="161"/>
      <c r="M82" s="161"/>
      <c r="N82" s="161"/>
      <c r="O82" s="161"/>
      <c r="P82" s="161"/>
      <c r="Q82" s="161"/>
      <c r="R82" s="161"/>
      <c r="S82" s="161"/>
      <c r="T82" s="161"/>
      <c r="U82" s="161"/>
      <c r="V82" s="161"/>
      <c r="W82" s="161"/>
      <c r="X82" s="161"/>
      <c r="Y82" s="161"/>
      <c r="Z82" s="161"/>
    </row>
    <row r="83">
      <c r="A83" s="511"/>
      <c r="B83" s="18"/>
      <c r="C83" s="18"/>
      <c r="D83" s="161"/>
      <c r="E83" s="161"/>
      <c r="F83" s="511"/>
      <c r="G83" s="161"/>
      <c r="H83" s="161"/>
      <c r="I83" s="161"/>
      <c r="J83" s="161"/>
      <c r="K83" s="161"/>
      <c r="L83" s="161"/>
      <c r="M83" s="161"/>
      <c r="N83" s="161"/>
      <c r="O83" s="161"/>
      <c r="P83" s="161"/>
      <c r="Q83" s="161"/>
      <c r="R83" s="161"/>
      <c r="S83" s="161"/>
      <c r="T83" s="161"/>
      <c r="U83" s="161"/>
      <c r="V83" s="161"/>
      <c r="W83" s="161"/>
      <c r="X83" s="161"/>
      <c r="Y83" s="161"/>
      <c r="Z83" s="161"/>
    </row>
    <row r="84">
      <c r="A84" s="511"/>
      <c r="B84" s="18"/>
      <c r="C84" s="18"/>
      <c r="D84" s="161"/>
      <c r="E84" s="161"/>
      <c r="F84" s="511"/>
      <c r="G84" s="161"/>
      <c r="H84" s="161"/>
      <c r="I84" s="161"/>
      <c r="J84" s="161"/>
      <c r="K84" s="161"/>
      <c r="L84" s="161"/>
      <c r="M84" s="161"/>
      <c r="N84" s="161"/>
      <c r="O84" s="161"/>
      <c r="P84" s="161"/>
      <c r="Q84" s="161"/>
      <c r="R84" s="161"/>
      <c r="S84" s="161"/>
      <c r="T84" s="161"/>
      <c r="U84" s="161"/>
      <c r="V84" s="161"/>
      <c r="W84" s="161"/>
      <c r="X84" s="161"/>
      <c r="Y84" s="161"/>
      <c r="Z84" s="161"/>
    </row>
    <row r="85">
      <c r="A85" s="511"/>
      <c r="B85" s="18"/>
      <c r="C85" s="18"/>
      <c r="D85" s="161"/>
      <c r="E85" s="161"/>
      <c r="F85" s="511"/>
      <c r="G85" s="161"/>
      <c r="H85" s="161"/>
      <c r="I85" s="161"/>
      <c r="J85" s="161"/>
      <c r="K85" s="161"/>
      <c r="L85" s="161"/>
      <c r="M85" s="161"/>
      <c r="N85" s="161"/>
      <c r="O85" s="161"/>
      <c r="P85" s="161"/>
      <c r="Q85" s="161"/>
      <c r="R85" s="161"/>
      <c r="S85" s="161"/>
      <c r="T85" s="161"/>
      <c r="U85" s="161"/>
      <c r="V85" s="161"/>
      <c r="W85" s="161"/>
      <c r="X85" s="161"/>
      <c r="Y85" s="161"/>
      <c r="Z85" s="161"/>
    </row>
    <row r="86">
      <c r="A86" s="511"/>
      <c r="B86" s="18"/>
      <c r="C86" s="18"/>
      <c r="D86" s="161"/>
      <c r="E86" s="161"/>
      <c r="F86" s="511"/>
      <c r="G86" s="161"/>
      <c r="H86" s="161"/>
      <c r="I86" s="161"/>
      <c r="J86" s="161"/>
      <c r="K86" s="161"/>
      <c r="L86" s="161"/>
      <c r="M86" s="161"/>
      <c r="N86" s="161"/>
      <c r="O86" s="161"/>
      <c r="P86" s="161"/>
      <c r="Q86" s="161"/>
      <c r="R86" s="161"/>
      <c r="S86" s="161"/>
      <c r="T86" s="161"/>
      <c r="U86" s="161"/>
      <c r="V86" s="161"/>
      <c r="W86" s="161"/>
      <c r="X86" s="161"/>
      <c r="Y86" s="161"/>
      <c r="Z86" s="161"/>
    </row>
    <row r="87">
      <c r="A87" s="511"/>
      <c r="B87" s="18"/>
      <c r="C87" s="18"/>
      <c r="D87" s="161"/>
      <c r="E87" s="161"/>
      <c r="F87" s="511"/>
      <c r="G87" s="161"/>
      <c r="H87" s="161"/>
      <c r="I87" s="161"/>
      <c r="J87" s="161"/>
      <c r="K87" s="161"/>
      <c r="L87" s="161"/>
      <c r="M87" s="161"/>
      <c r="N87" s="161"/>
      <c r="O87" s="161"/>
      <c r="P87" s="161"/>
      <c r="Q87" s="161"/>
      <c r="R87" s="161"/>
      <c r="S87" s="161"/>
      <c r="T87" s="161"/>
      <c r="U87" s="161"/>
      <c r="V87" s="161"/>
      <c r="W87" s="161"/>
      <c r="X87" s="161"/>
      <c r="Y87" s="161"/>
      <c r="Z87" s="161"/>
    </row>
    <row r="88">
      <c r="A88" s="511"/>
      <c r="B88" s="18"/>
      <c r="C88" s="18"/>
      <c r="D88" s="161"/>
      <c r="E88" s="161"/>
      <c r="F88" s="511"/>
      <c r="G88" s="161"/>
      <c r="H88" s="161"/>
      <c r="I88" s="161"/>
      <c r="J88" s="161"/>
      <c r="K88" s="161"/>
      <c r="L88" s="161"/>
      <c r="M88" s="161"/>
      <c r="N88" s="161"/>
      <c r="O88" s="161"/>
      <c r="P88" s="161"/>
      <c r="Q88" s="161"/>
      <c r="R88" s="161"/>
      <c r="S88" s="161"/>
      <c r="T88" s="161"/>
      <c r="U88" s="161"/>
      <c r="V88" s="161"/>
      <c r="W88" s="161"/>
      <c r="X88" s="161"/>
      <c r="Y88" s="161"/>
      <c r="Z88" s="161"/>
    </row>
    <row r="89">
      <c r="A89" s="511"/>
      <c r="B89" s="18"/>
      <c r="C89" s="18"/>
      <c r="D89" s="161"/>
      <c r="E89" s="161"/>
      <c r="F89" s="511"/>
      <c r="G89" s="161"/>
      <c r="H89" s="161"/>
      <c r="I89" s="161"/>
      <c r="J89" s="161"/>
      <c r="K89" s="161"/>
      <c r="L89" s="161"/>
      <c r="M89" s="161"/>
      <c r="N89" s="161"/>
      <c r="O89" s="161"/>
      <c r="P89" s="161"/>
      <c r="Q89" s="161"/>
      <c r="R89" s="161"/>
      <c r="S89" s="161"/>
      <c r="T89" s="161"/>
      <c r="U89" s="161"/>
      <c r="V89" s="161"/>
      <c r="W89" s="161"/>
      <c r="X89" s="161"/>
      <c r="Y89" s="161"/>
      <c r="Z89" s="161"/>
    </row>
    <row r="90">
      <c r="A90" s="511"/>
      <c r="B90" s="18"/>
      <c r="C90" s="18"/>
      <c r="D90" s="161"/>
      <c r="E90" s="161"/>
      <c r="F90" s="511"/>
      <c r="G90" s="161"/>
      <c r="H90" s="161"/>
      <c r="I90" s="161"/>
      <c r="J90" s="161"/>
      <c r="K90" s="161"/>
      <c r="L90" s="161"/>
      <c r="M90" s="161"/>
      <c r="N90" s="161"/>
      <c r="O90" s="161"/>
      <c r="P90" s="161"/>
      <c r="Q90" s="161"/>
      <c r="R90" s="161"/>
      <c r="S90" s="161"/>
      <c r="T90" s="161"/>
      <c r="U90" s="161"/>
      <c r="V90" s="161"/>
      <c r="W90" s="161"/>
      <c r="X90" s="161"/>
      <c r="Y90" s="161"/>
      <c r="Z90" s="161"/>
    </row>
    <row r="91">
      <c r="A91" s="511"/>
      <c r="B91" s="18"/>
      <c r="C91" s="18"/>
      <c r="D91" s="161"/>
      <c r="E91" s="161"/>
      <c r="F91" s="511"/>
      <c r="G91" s="161"/>
      <c r="H91" s="161"/>
      <c r="I91" s="161"/>
      <c r="J91" s="161"/>
      <c r="K91" s="161"/>
      <c r="L91" s="161"/>
      <c r="M91" s="161"/>
      <c r="N91" s="161"/>
      <c r="O91" s="161"/>
      <c r="P91" s="161"/>
      <c r="Q91" s="161"/>
      <c r="R91" s="161"/>
      <c r="S91" s="161"/>
      <c r="T91" s="161"/>
      <c r="U91" s="161"/>
      <c r="V91" s="161"/>
      <c r="W91" s="161"/>
      <c r="X91" s="161"/>
      <c r="Y91" s="161"/>
      <c r="Z91" s="161"/>
    </row>
    <row r="92">
      <c r="A92" s="511"/>
      <c r="B92" s="18"/>
      <c r="C92" s="18"/>
      <c r="D92" s="161"/>
      <c r="E92" s="161"/>
      <c r="F92" s="511"/>
      <c r="G92" s="161"/>
      <c r="H92" s="161"/>
      <c r="I92" s="161"/>
      <c r="J92" s="161"/>
      <c r="K92" s="161"/>
      <c r="L92" s="161"/>
      <c r="M92" s="161"/>
      <c r="N92" s="161"/>
      <c r="O92" s="161"/>
      <c r="P92" s="161"/>
      <c r="Q92" s="161"/>
      <c r="R92" s="161"/>
      <c r="S92" s="161"/>
      <c r="T92" s="161"/>
      <c r="U92" s="161"/>
      <c r="V92" s="161"/>
      <c r="W92" s="161"/>
      <c r="X92" s="161"/>
      <c r="Y92" s="161"/>
      <c r="Z92" s="161"/>
    </row>
    <row r="93">
      <c r="A93" s="511"/>
      <c r="B93" s="18"/>
      <c r="C93" s="18"/>
      <c r="D93" s="161"/>
      <c r="E93" s="161"/>
      <c r="F93" s="511"/>
      <c r="G93" s="161"/>
      <c r="H93" s="161"/>
      <c r="I93" s="161"/>
      <c r="J93" s="161"/>
      <c r="K93" s="161"/>
      <c r="L93" s="161"/>
      <c r="M93" s="161"/>
      <c r="N93" s="161"/>
      <c r="O93" s="161"/>
      <c r="P93" s="161"/>
      <c r="Q93" s="161"/>
      <c r="R93" s="161"/>
      <c r="S93" s="161"/>
      <c r="T93" s="161"/>
      <c r="U93" s="161"/>
      <c r="V93" s="161"/>
      <c r="W93" s="161"/>
      <c r="X93" s="161"/>
      <c r="Y93" s="161"/>
      <c r="Z93" s="161"/>
    </row>
    <row r="94">
      <c r="A94" s="511"/>
      <c r="B94" s="18"/>
      <c r="C94" s="18"/>
      <c r="D94" s="161"/>
      <c r="E94" s="161"/>
      <c r="F94" s="511"/>
      <c r="G94" s="161"/>
      <c r="H94" s="161"/>
      <c r="I94" s="161"/>
      <c r="J94" s="161"/>
      <c r="K94" s="161"/>
      <c r="L94" s="161"/>
      <c r="M94" s="161"/>
      <c r="N94" s="161"/>
      <c r="O94" s="161"/>
      <c r="P94" s="161"/>
      <c r="Q94" s="161"/>
      <c r="R94" s="161"/>
      <c r="S94" s="161"/>
      <c r="T94" s="161"/>
      <c r="U94" s="161"/>
      <c r="V94" s="161"/>
      <c r="W94" s="161"/>
      <c r="X94" s="161"/>
      <c r="Y94" s="161"/>
      <c r="Z94" s="161"/>
    </row>
    <row r="95">
      <c r="A95" s="511"/>
      <c r="B95" s="18"/>
      <c r="C95" s="18"/>
      <c r="D95" s="161"/>
      <c r="E95" s="161"/>
      <c r="F95" s="511"/>
      <c r="G95" s="161"/>
      <c r="H95" s="161"/>
      <c r="I95" s="161"/>
      <c r="J95" s="161"/>
      <c r="K95" s="161"/>
      <c r="L95" s="161"/>
      <c r="M95" s="161"/>
      <c r="N95" s="161"/>
      <c r="O95" s="161"/>
      <c r="P95" s="161"/>
      <c r="Q95" s="161"/>
      <c r="R95" s="161"/>
      <c r="S95" s="161"/>
      <c r="T95" s="161"/>
      <c r="U95" s="161"/>
      <c r="V95" s="161"/>
      <c r="W95" s="161"/>
      <c r="X95" s="161"/>
      <c r="Y95" s="161"/>
      <c r="Z95" s="161"/>
    </row>
    <row r="96">
      <c r="A96" s="511"/>
      <c r="B96" s="18"/>
      <c r="C96" s="18"/>
      <c r="D96" s="161"/>
      <c r="E96" s="161"/>
      <c r="F96" s="511"/>
      <c r="G96" s="161"/>
      <c r="H96" s="161"/>
      <c r="I96" s="161"/>
      <c r="J96" s="161"/>
      <c r="K96" s="161"/>
      <c r="L96" s="161"/>
      <c r="M96" s="161"/>
      <c r="N96" s="161"/>
      <c r="O96" s="161"/>
      <c r="P96" s="161"/>
      <c r="Q96" s="161"/>
      <c r="R96" s="161"/>
      <c r="S96" s="161"/>
      <c r="T96" s="161"/>
      <c r="U96" s="161"/>
      <c r="V96" s="161"/>
      <c r="W96" s="161"/>
      <c r="X96" s="161"/>
      <c r="Y96" s="161"/>
      <c r="Z96" s="161"/>
    </row>
    <row r="97">
      <c r="A97" s="511"/>
      <c r="B97" s="18"/>
      <c r="C97" s="18"/>
      <c r="D97" s="161"/>
      <c r="E97" s="161"/>
      <c r="F97" s="511"/>
      <c r="G97" s="161"/>
      <c r="H97" s="161"/>
      <c r="I97" s="161"/>
      <c r="J97" s="161"/>
      <c r="K97" s="161"/>
      <c r="L97" s="161"/>
      <c r="M97" s="161"/>
      <c r="N97" s="161"/>
      <c r="O97" s="161"/>
      <c r="P97" s="161"/>
      <c r="Q97" s="161"/>
      <c r="R97" s="161"/>
      <c r="S97" s="161"/>
      <c r="T97" s="161"/>
      <c r="U97" s="161"/>
      <c r="V97" s="161"/>
      <c r="W97" s="161"/>
      <c r="X97" s="161"/>
      <c r="Y97" s="161"/>
      <c r="Z97" s="161"/>
    </row>
    <row r="98">
      <c r="A98" s="511"/>
      <c r="B98" s="18"/>
      <c r="C98" s="18"/>
      <c r="D98" s="161"/>
      <c r="E98" s="161"/>
      <c r="F98" s="511"/>
      <c r="G98" s="161"/>
      <c r="H98" s="161"/>
      <c r="I98" s="161"/>
      <c r="J98" s="161"/>
      <c r="K98" s="161"/>
      <c r="L98" s="161"/>
      <c r="M98" s="161"/>
      <c r="N98" s="161"/>
      <c r="O98" s="161"/>
      <c r="P98" s="161"/>
      <c r="Q98" s="161"/>
      <c r="R98" s="161"/>
      <c r="S98" s="161"/>
      <c r="T98" s="161"/>
      <c r="U98" s="161"/>
      <c r="V98" s="161"/>
      <c r="W98" s="161"/>
      <c r="X98" s="161"/>
      <c r="Y98" s="161"/>
      <c r="Z98" s="161"/>
    </row>
    <row r="99">
      <c r="A99" s="511"/>
      <c r="B99" s="18"/>
      <c r="C99" s="18"/>
      <c r="D99" s="161"/>
      <c r="E99" s="161"/>
      <c r="F99" s="511"/>
      <c r="G99" s="161"/>
      <c r="H99" s="161"/>
      <c r="I99" s="161"/>
      <c r="J99" s="161"/>
      <c r="K99" s="161"/>
      <c r="L99" s="161"/>
      <c r="M99" s="161"/>
      <c r="N99" s="161"/>
      <c r="O99" s="161"/>
      <c r="P99" s="161"/>
      <c r="Q99" s="161"/>
      <c r="R99" s="161"/>
      <c r="S99" s="161"/>
      <c r="T99" s="161"/>
      <c r="U99" s="161"/>
      <c r="V99" s="161"/>
      <c r="W99" s="161"/>
      <c r="X99" s="161"/>
      <c r="Y99" s="161"/>
      <c r="Z99" s="161"/>
    </row>
    <row r="100">
      <c r="A100" s="511"/>
      <c r="B100" s="18"/>
      <c r="C100" s="18"/>
      <c r="D100" s="161"/>
      <c r="E100" s="161"/>
      <c r="F100" s="511"/>
      <c r="G100" s="161"/>
      <c r="H100" s="161"/>
      <c r="I100" s="161"/>
      <c r="J100" s="161"/>
      <c r="K100" s="161"/>
      <c r="L100" s="161"/>
      <c r="M100" s="161"/>
      <c r="N100" s="161"/>
      <c r="O100" s="161"/>
      <c r="P100" s="161"/>
      <c r="Q100" s="161"/>
      <c r="R100" s="161"/>
      <c r="S100" s="161"/>
      <c r="T100" s="161"/>
      <c r="U100" s="161"/>
      <c r="V100" s="161"/>
      <c r="W100" s="161"/>
      <c r="X100" s="161"/>
      <c r="Y100" s="161"/>
      <c r="Z100" s="161"/>
    </row>
    <row r="101">
      <c r="A101" s="511"/>
      <c r="B101" s="18"/>
      <c r="C101" s="18"/>
      <c r="D101" s="161"/>
      <c r="E101" s="161"/>
      <c r="F101" s="511"/>
      <c r="G101" s="161"/>
      <c r="H101" s="161"/>
      <c r="I101" s="161"/>
      <c r="J101" s="161"/>
      <c r="K101" s="161"/>
      <c r="L101" s="161"/>
      <c r="M101" s="161"/>
      <c r="N101" s="161"/>
      <c r="O101" s="161"/>
      <c r="P101" s="161"/>
      <c r="Q101" s="161"/>
      <c r="R101" s="161"/>
      <c r="S101" s="161"/>
      <c r="T101" s="161"/>
      <c r="U101" s="161"/>
      <c r="V101" s="161"/>
      <c r="W101" s="161"/>
      <c r="X101" s="161"/>
      <c r="Y101" s="161"/>
      <c r="Z101" s="161"/>
    </row>
    <row r="102">
      <c r="A102" s="511"/>
      <c r="B102" s="18"/>
      <c r="C102" s="18"/>
      <c r="D102" s="161"/>
      <c r="E102" s="161"/>
      <c r="F102" s="511"/>
      <c r="G102" s="161"/>
      <c r="H102" s="161"/>
      <c r="I102" s="161"/>
      <c r="J102" s="161"/>
      <c r="K102" s="161"/>
      <c r="L102" s="161"/>
      <c r="M102" s="161"/>
      <c r="N102" s="161"/>
      <c r="O102" s="161"/>
      <c r="P102" s="161"/>
      <c r="Q102" s="161"/>
      <c r="R102" s="161"/>
      <c r="S102" s="161"/>
      <c r="T102" s="161"/>
      <c r="U102" s="161"/>
      <c r="V102" s="161"/>
      <c r="W102" s="161"/>
      <c r="X102" s="161"/>
      <c r="Y102" s="161"/>
      <c r="Z102" s="161"/>
    </row>
    <row r="103">
      <c r="A103" s="511"/>
      <c r="B103" s="18"/>
      <c r="C103" s="18"/>
      <c r="D103" s="161"/>
      <c r="E103" s="161"/>
      <c r="F103" s="511"/>
      <c r="G103" s="161"/>
      <c r="H103" s="161"/>
      <c r="I103" s="161"/>
      <c r="J103" s="161"/>
      <c r="K103" s="161"/>
      <c r="L103" s="161"/>
      <c r="M103" s="161"/>
      <c r="N103" s="161"/>
      <c r="O103" s="161"/>
      <c r="P103" s="161"/>
      <c r="Q103" s="161"/>
      <c r="R103" s="161"/>
      <c r="S103" s="161"/>
      <c r="T103" s="161"/>
      <c r="U103" s="161"/>
      <c r="V103" s="161"/>
      <c r="W103" s="161"/>
      <c r="X103" s="161"/>
      <c r="Y103" s="161"/>
      <c r="Z103" s="161"/>
    </row>
    <row r="104">
      <c r="A104" s="511"/>
      <c r="B104" s="18"/>
      <c r="C104" s="18"/>
      <c r="D104" s="161"/>
      <c r="E104" s="161"/>
      <c r="F104" s="511"/>
      <c r="G104" s="161"/>
      <c r="H104" s="161"/>
      <c r="I104" s="161"/>
      <c r="J104" s="161"/>
      <c r="K104" s="161"/>
      <c r="L104" s="161"/>
      <c r="M104" s="161"/>
      <c r="N104" s="161"/>
      <c r="O104" s="161"/>
      <c r="P104" s="161"/>
      <c r="Q104" s="161"/>
      <c r="R104" s="161"/>
      <c r="S104" s="161"/>
      <c r="T104" s="161"/>
      <c r="U104" s="161"/>
      <c r="V104" s="161"/>
      <c r="W104" s="161"/>
      <c r="X104" s="161"/>
      <c r="Y104" s="161"/>
      <c r="Z104" s="161"/>
    </row>
    <row r="105">
      <c r="A105" s="511"/>
      <c r="B105" s="18"/>
      <c r="C105" s="18"/>
      <c r="D105" s="161"/>
      <c r="E105" s="161"/>
      <c r="F105" s="511"/>
      <c r="G105" s="161"/>
      <c r="H105" s="161"/>
      <c r="I105" s="161"/>
      <c r="J105" s="161"/>
      <c r="K105" s="161"/>
      <c r="L105" s="161"/>
      <c r="M105" s="161"/>
      <c r="N105" s="161"/>
      <c r="O105" s="161"/>
      <c r="P105" s="161"/>
      <c r="Q105" s="161"/>
      <c r="R105" s="161"/>
      <c r="S105" s="161"/>
      <c r="T105" s="161"/>
      <c r="U105" s="161"/>
      <c r="V105" s="161"/>
      <c r="W105" s="161"/>
      <c r="X105" s="161"/>
      <c r="Y105" s="161"/>
      <c r="Z105" s="161"/>
    </row>
    <row r="106">
      <c r="A106" s="511"/>
      <c r="B106" s="18"/>
      <c r="C106" s="18"/>
      <c r="D106" s="161"/>
      <c r="E106" s="161"/>
      <c r="F106" s="511"/>
      <c r="G106" s="161"/>
      <c r="H106" s="161"/>
      <c r="I106" s="161"/>
      <c r="J106" s="161"/>
      <c r="K106" s="161"/>
      <c r="L106" s="161"/>
      <c r="M106" s="161"/>
      <c r="N106" s="161"/>
      <c r="O106" s="161"/>
      <c r="P106" s="161"/>
      <c r="Q106" s="161"/>
      <c r="R106" s="161"/>
      <c r="S106" s="161"/>
      <c r="T106" s="161"/>
      <c r="U106" s="161"/>
      <c r="V106" s="161"/>
      <c r="W106" s="161"/>
      <c r="X106" s="161"/>
      <c r="Y106" s="161"/>
      <c r="Z106" s="161"/>
    </row>
    <row r="107">
      <c r="A107" s="511"/>
      <c r="B107" s="18"/>
      <c r="C107" s="18"/>
      <c r="D107" s="161"/>
      <c r="E107" s="161"/>
      <c r="F107" s="511"/>
      <c r="G107" s="161"/>
      <c r="H107" s="161"/>
      <c r="I107" s="161"/>
      <c r="J107" s="161"/>
      <c r="K107" s="161"/>
      <c r="L107" s="161"/>
      <c r="M107" s="161"/>
      <c r="N107" s="161"/>
      <c r="O107" s="161"/>
      <c r="P107" s="161"/>
      <c r="Q107" s="161"/>
      <c r="R107" s="161"/>
      <c r="S107" s="161"/>
      <c r="T107" s="161"/>
      <c r="U107" s="161"/>
      <c r="V107" s="161"/>
      <c r="W107" s="161"/>
      <c r="X107" s="161"/>
      <c r="Y107" s="161"/>
      <c r="Z107" s="161"/>
    </row>
    <row r="108">
      <c r="A108" s="511"/>
      <c r="B108" s="18"/>
      <c r="C108" s="18"/>
      <c r="D108" s="161"/>
      <c r="E108" s="161"/>
      <c r="F108" s="511"/>
      <c r="G108" s="161"/>
      <c r="H108" s="161"/>
      <c r="I108" s="161"/>
      <c r="J108" s="161"/>
      <c r="K108" s="161"/>
      <c r="L108" s="161"/>
      <c r="M108" s="161"/>
      <c r="N108" s="161"/>
      <c r="O108" s="161"/>
      <c r="P108" s="161"/>
      <c r="Q108" s="161"/>
      <c r="R108" s="161"/>
      <c r="S108" s="161"/>
      <c r="T108" s="161"/>
      <c r="U108" s="161"/>
      <c r="V108" s="161"/>
      <c r="W108" s="161"/>
      <c r="X108" s="161"/>
      <c r="Y108" s="161"/>
      <c r="Z108" s="161"/>
    </row>
    <row r="109">
      <c r="A109" s="511"/>
      <c r="B109" s="18"/>
      <c r="C109" s="18"/>
      <c r="D109" s="161"/>
      <c r="E109" s="161"/>
      <c r="F109" s="511"/>
      <c r="G109" s="161"/>
      <c r="H109" s="161"/>
      <c r="I109" s="161"/>
      <c r="J109" s="161"/>
      <c r="K109" s="161"/>
      <c r="L109" s="161"/>
      <c r="M109" s="161"/>
      <c r="N109" s="161"/>
      <c r="O109" s="161"/>
      <c r="P109" s="161"/>
      <c r="Q109" s="161"/>
      <c r="R109" s="161"/>
      <c r="S109" s="161"/>
      <c r="T109" s="161"/>
      <c r="U109" s="161"/>
      <c r="V109" s="161"/>
      <c r="W109" s="161"/>
      <c r="X109" s="161"/>
      <c r="Y109" s="161"/>
      <c r="Z109" s="161"/>
    </row>
    <row r="110">
      <c r="A110" s="511"/>
      <c r="B110" s="18"/>
      <c r="C110" s="18"/>
      <c r="D110" s="161"/>
      <c r="E110" s="161"/>
      <c r="F110" s="511"/>
      <c r="G110" s="161"/>
      <c r="H110" s="161"/>
      <c r="I110" s="161"/>
      <c r="J110" s="161"/>
      <c r="K110" s="161"/>
      <c r="L110" s="161"/>
      <c r="M110" s="161"/>
      <c r="N110" s="161"/>
      <c r="O110" s="161"/>
      <c r="P110" s="161"/>
      <c r="Q110" s="161"/>
      <c r="R110" s="161"/>
      <c r="S110" s="161"/>
      <c r="T110" s="161"/>
      <c r="U110" s="161"/>
      <c r="V110" s="161"/>
      <c r="W110" s="161"/>
      <c r="X110" s="161"/>
      <c r="Y110" s="161"/>
      <c r="Z110" s="161"/>
    </row>
    <row r="111">
      <c r="A111" s="511"/>
      <c r="B111" s="18"/>
      <c r="C111" s="18"/>
      <c r="D111" s="161"/>
      <c r="E111" s="161"/>
      <c r="F111" s="511"/>
      <c r="G111" s="161"/>
      <c r="H111" s="161"/>
      <c r="I111" s="161"/>
      <c r="J111" s="161"/>
      <c r="K111" s="161"/>
      <c r="L111" s="161"/>
      <c r="M111" s="161"/>
      <c r="N111" s="161"/>
      <c r="O111" s="161"/>
      <c r="P111" s="161"/>
      <c r="Q111" s="161"/>
      <c r="R111" s="161"/>
      <c r="S111" s="161"/>
      <c r="T111" s="161"/>
      <c r="U111" s="161"/>
      <c r="V111" s="161"/>
      <c r="W111" s="161"/>
      <c r="X111" s="161"/>
      <c r="Y111" s="161"/>
      <c r="Z111" s="161"/>
    </row>
    <row r="112">
      <c r="A112" s="511"/>
      <c r="B112" s="18"/>
      <c r="C112" s="18"/>
      <c r="D112" s="161"/>
      <c r="E112" s="161"/>
      <c r="F112" s="511"/>
      <c r="G112" s="161"/>
      <c r="H112" s="161"/>
      <c r="I112" s="161"/>
      <c r="J112" s="161"/>
      <c r="K112" s="161"/>
      <c r="L112" s="161"/>
      <c r="M112" s="161"/>
      <c r="N112" s="161"/>
      <c r="O112" s="161"/>
      <c r="P112" s="161"/>
      <c r="Q112" s="161"/>
      <c r="R112" s="161"/>
      <c r="S112" s="161"/>
      <c r="T112" s="161"/>
      <c r="U112" s="161"/>
      <c r="V112" s="161"/>
      <c r="W112" s="161"/>
      <c r="X112" s="161"/>
      <c r="Y112" s="161"/>
      <c r="Z112" s="161"/>
    </row>
    <row r="113">
      <c r="A113" s="511"/>
      <c r="B113" s="18"/>
      <c r="C113" s="18"/>
      <c r="D113" s="161"/>
      <c r="E113" s="161"/>
      <c r="F113" s="511"/>
      <c r="G113" s="161"/>
      <c r="H113" s="161"/>
      <c r="I113" s="161"/>
      <c r="J113" s="161"/>
      <c r="K113" s="161"/>
      <c r="L113" s="161"/>
      <c r="M113" s="161"/>
      <c r="N113" s="161"/>
      <c r="O113" s="161"/>
      <c r="P113" s="161"/>
      <c r="Q113" s="161"/>
      <c r="R113" s="161"/>
      <c r="S113" s="161"/>
      <c r="T113" s="161"/>
      <c r="U113" s="161"/>
      <c r="V113" s="161"/>
      <c r="W113" s="161"/>
      <c r="X113" s="161"/>
      <c r="Y113" s="161"/>
      <c r="Z113" s="161"/>
    </row>
    <row r="114">
      <c r="A114" s="511"/>
      <c r="B114" s="18"/>
      <c r="C114" s="18"/>
      <c r="D114" s="161"/>
      <c r="E114" s="161"/>
      <c r="F114" s="511"/>
      <c r="G114" s="161"/>
      <c r="H114" s="161"/>
      <c r="I114" s="161"/>
      <c r="J114" s="161"/>
      <c r="K114" s="161"/>
      <c r="L114" s="161"/>
      <c r="M114" s="161"/>
      <c r="N114" s="161"/>
      <c r="O114" s="161"/>
      <c r="P114" s="161"/>
      <c r="Q114" s="161"/>
      <c r="R114" s="161"/>
      <c r="S114" s="161"/>
      <c r="T114" s="161"/>
      <c r="U114" s="161"/>
      <c r="V114" s="161"/>
      <c r="W114" s="161"/>
      <c r="X114" s="161"/>
      <c r="Y114" s="161"/>
      <c r="Z114" s="161"/>
    </row>
    <row r="115">
      <c r="A115" s="511"/>
      <c r="B115" s="18"/>
      <c r="C115" s="18"/>
      <c r="D115" s="161"/>
      <c r="E115" s="161"/>
      <c r="F115" s="511"/>
      <c r="G115" s="161"/>
      <c r="H115" s="161"/>
      <c r="I115" s="161"/>
      <c r="J115" s="161"/>
      <c r="K115" s="161"/>
      <c r="L115" s="161"/>
      <c r="M115" s="161"/>
      <c r="N115" s="161"/>
      <c r="O115" s="161"/>
      <c r="P115" s="161"/>
      <c r="Q115" s="161"/>
      <c r="R115" s="161"/>
      <c r="S115" s="161"/>
      <c r="T115" s="161"/>
      <c r="U115" s="161"/>
      <c r="V115" s="161"/>
      <c r="W115" s="161"/>
      <c r="X115" s="161"/>
      <c r="Y115" s="161"/>
      <c r="Z115" s="161"/>
    </row>
    <row r="116">
      <c r="A116" s="511"/>
      <c r="B116" s="18"/>
      <c r="C116" s="18"/>
      <c r="D116" s="161"/>
      <c r="E116" s="161"/>
      <c r="F116" s="511"/>
      <c r="G116" s="161"/>
      <c r="H116" s="161"/>
      <c r="I116" s="161"/>
      <c r="J116" s="161"/>
      <c r="K116" s="161"/>
      <c r="L116" s="161"/>
      <c r="M116" s="161"/>
      <c r="N116" s="161"/>
      <c r="O116" s="161"/>
      <c r="P116" s="161"/>
      <c r="Q116" s="161"/>
      <c r="R116" s="161"/>
      <c r="S116" s="161"/>
      <c r="T116" s="161"/>
      <c r="U116" s="161"/>
      <c r="V116" s="161"/>
      <c r="W116" s="161"/>
      <c r="X116" s="161"/>
      <c r="Y116" s="161"/>
      <c r="Z116" s="161"/>
    </row>
    <row r="117">
      <c r="A117" s="511"/>
      <c r="B117" s="18"/>
      <c r="C117" s="18"/>
      <c r="D117" s="161"/>
      <c r="E117" s="161"/>
      <c r="F117" s="511"/>
      <c r="G117" s="161"/>
      <c r="H117" s="161"/>
      <c r="I117" s="161"/>
      <c r="J117" s="161"/>
      <c r="K117" s="161"/>
      <c r="L117" s="161"/>
      <c r="M117" s="161"/>
      <c r="N117" s="161"/>
      <c r="O117" s="161"/>
      <c r="P117" s="161"/>
      <c r="Q117" s="161"/>
      <c r="R117" s="161"/>
      <c r="S117" s="161"/>
      <c r="T117" s="161"/>
      <c r="U117" s="161"/>
      <c r="V117" s="161"/>
      <c r="W117" s="161"/>
      <c r="X117" s="161"/>
      <c r="Y117" s="161"/>
      <c r="Z117" s="161"/>
    </row>
    <row r="118">
      <c r="A118" s="511"/>
      <c r="B118" s="18"/>
      <c r="C118" s="18"/>
      <c r="D118" s="161"/>
      <c r="E118" s="161"/>
      <c r="F118" s="511"/>
      <c r="G118" s="161"/>
      <c r="H118" s="161"/>
      <c r="I118" s="161"/>
      <c r="J118" s="161"/>
      <c r="K118" s="161"/>
      <c r="L118" s="161"/>
      <c r="M118" s="161"/>
      <c r="N118" s="161"/>
      <c r="O118" s="161"/>
      <c r="P118" s="161"/>
      <c r="Q118" s="161"/>
      <c r="R118" s="161"/>
      <c r="S118" s="161"/>
      <c r="T118" s="161"/>
      <c r="U118" s="161"/>
      <c r="V118" s="161"/>
      <c r="W118" s="161"/>
      <c r="X118" s="161"/>
      <c r="Y118" s="161"/>
      <c r="Z118" s="161"/>
    </row>
    <row r="119">
      <c r="A119" s="511"/>
      <c r="B119" s="18"/>
      <c r="C119" s="18"/>
      <c r="D119" s="161"/>
      <c r="E119" s="161"/>
      <c r="F119" s="511"/>
      <c r="G119" s="161"/>
      <c r="H119" s="161"/>
      <c r="I119" s="161"/>
      <c r="J119" s="161"/>
      <c r="K119" s="161"/>
      <c r="L119" s="161"/>
      <c r="M119" s="161"/>
      <c r="N119" s="161"/>
      <c r="O119" s="161"/>
      <c r="P119" s="161"/>
      <c r="Q119" s="161"/>
      <c r="R119" s="161"/>
      <c r="S119" s="161"/>
      <c r="T119" s="161"/>
      <c r="U119" s="161"/>
      <c r="V119" s="161"/>
      <c r="W119" s="161"/>
      <c r="X119" s="161"/>
      <c r="Y119" s="161"/>
      <c r="Z119" s="161"/>
    </row>
    <row r="120">
      <c r="A120" s="511"/>
      <c r="B120" s="18"/>
      <c r="C120" s="18"/>
      <c r="D120" s="161"/>
      <c r="E120" s="161"/>
      <c r="F120" s="511"/>
      <c r="G120" s="161"/>
      <c r="H120" s="161"/>
      <c r="I120" s="161"/>
      <c r="J120" s="161"/>
      <c r="K120" s="161"/>
      <c r="L120" s="161"/>
      <c r="M120" s="161"/>
      <c r="N120" s="161"/>
      <c r="O120" s="161"/>
      <c r="P120" s="161"/>
      <c r="Q120" s="161"/>
      <c r="R120" s="161"/>
      <c r="S120" s="161"/>
      <c r="T120" s="161"/>
      <c r="U120" s="161"/>
      <c r="V120" s="161"/>
      <c r="W120" s="161"/>
      <c r="X120" s="161"/>
      <c r="Y120" s="161"/>
      <c r="Z120" s="161"/>
    </row>
    <row r="121">
      <c r="A121" s="511"/>
      <c r="B121" s="18"/>
      <c r="C121" s="18"/>
      <c r="D121" s="161"/>
      <c r="E121" s="161"/>
      <c r="F121" s="511"/>
      <c r="G121" s="161"/>
      <c r="H121" s="161"/>
      <c r="I121" s="161"/>
      <c r="J121" s="161"/>
      <c r="K121" s="161"/>
      <c r="L121" s="161"/>
      <c r="M121" s="161"/>
      <c r="N121" s="161"/>
      <c r="O121" s="161"/>
      <c r="P121" s="161"/>
      <c r="Q121" s="161"/>
      <c r="R121" s="161"/>
      <c r="S121" s="161"/>
      <c r="T121" s="161"/>
      <c r="U121" s="161"/>
      <c r="V121" s="161"/>
      <c r="W121" s="161"/>
      <c r="X121" s="161"/>
      <c r="Y121" s="161"/>
      <c r="Z121" s="161"/>
    </row>
    <row r="122">
      <c r="A122" s="511"/>
      <c r="B122" s="18"/>
      <c r="C122" s="18"/>
      <c r="D122" s="161"/>
      <c r="E122" s="161"/>
      <c r="F122" s="511"/>
      <c r="G122" s="161"/>
      <c r="H122" s="161"/>
      <c r="I122" s="161"/>
      <c r="J122" s="161"/>
      <c r="K122" s="161"/>
      <c r="L122" s="161"/>
      <c r="M122" s="161"/>
      <c r="N122" s="161"/>
      <c r="O122" s="161"/>
      <c r="P122" s="161"/>
      <c r="Q122" s="161"/>
      <c r="R122" s="161"/>
      <c r="S122" s="161"/>
      <c r="T122" s="161"/>
      <c r="U122" s="161"/>
      <c r="V122" s="161"/>
      <c r="W122" s="161"/>
      <c r="X122" s="161"/>
      <c r="Y122" s="161"/>
      <c r="Z122" s="161"/>
    </row>
    <row r="123">
      <c r="A123" s="511"/>
      <c r="B123" s="18"/>
      <c r="C123" s="18"/>
      <c r="D123" s="161"/>
      <c r="E123" s="161"/>
      <c r="F123" s="511"/>
      <c r="G123" s="161"/>
      <c r="H123" s="161"/>
      <c r="I123" s="161"/>
      <c r="J123" s="161"/>
      <c r="K123" s="161"/>
      <c r="L123" s="161"/>
      <c r="M123" s="161"/>
      <c r="N123" s="161"/>
      <c r="O123" s="161"/>
      <c r="P123" s="161"/>
      <c r="Q123" s="161"/>
      <c r="R123" s="161"/>
      <c r="S123" s="161"/>
      <c r="T123" s="161"/>
      <c r="U123" s="161"/>
      <c r="V123" s="161"/>
      <c r="W123" s="161"/>
      <c r="X123" s="161"/>
      <c r="Y123" s="161"/>
      <c r="Z123" s="161"/>
    </row>
    <row r="124">
      <c r="A124" s="511"/>
      <c r="B124" s="18"/>
      <c r="C124" s="18"/>
      <c r="D124" s="161"/>
      <c r="E124" s="161"/>
      <c r="F124" s="511"/>
      <c r="G124" s="161"/>
      <c r="H124" s="161"/>
      <c r="I124" s="161"/>
      <c r="J124" s="161"/>
      <c r="K124" s="161"/>
      <c r="L124" s="161"/>
      <c r="M124" s="161"/>
      <c r="N124" s="161"/>
      <c r="O124" s="161"/>
      <c r="P124" s="161"/>
      <c r="Q124" s="161"/>
      <c r="R124" s="161"/>
      <c r="S124" s="161"/>
      <c r="T124" s="161"/>
      <c r="U124" s="161"/>
      <c r="V124" s="161"/>
      <c r="W124" s="161"/>
      <c r="X124" s="161"/>
      <c r="Y124" s="161"/>
      <c r="Z124" s="161"/>
    </row>
    <row r="125">
      <c r="A125" s="511"/>
      <c r="B125" s="18"/>
      <c r="C125" s="18"/>
      <c r="D125" s="161"/>
      <c r="E125" s="161"/>
      <c r="F125" s="511"/>
      <c r="G125" s="161"/>
      <c r="H125" s="161"/>
      <c r="I125" s="161"/>
      <c r="J125" s="161"/>
      <c r="K125" s="161"/>
      <c r="L125" s="161"/>
      <c r="M125" s="161"/>
      <c r="N125" s="161"/>
      <c r="O125" s="161"/>
      <c r="P125" s="161"/>
      <c r="Q125" s="161"/>
      <c r="R125" s="161"/>
      <c r="S125" s="161"/>
      <c r="T125" s="161"/>
      <c r="U125" s="161"/>
      <c r="V125" s="161"/>
      <c r="W125" s="161"/>
      <c r="X125" s="161"/>
      <c r="Y125" s="161"/>
      <c r="Z125" s="161"/>
    </row>
    <row r="126">
      <c r="A126" s="511"/>
      <c r="B126" s="18"/>
      <c r="C126" s="18"/>
      <c r="D126" s="161"/>
      <c r="E126" s="161"/>
      <c r="F126" s="511"/>
      <c r="G126" s="161"/>
      <c r="H126" s="161"/>
      <c r="I126" s="161"/>
      <c r="J126" s="161"/>
      <c r="K126" s="161"/>
      <c r="L126" s="161"/>
      <c r="M126" s="161"/>
      <c r="N126" s="161"/>
      <c r="O126" s="161"/>
      <c r="P126" s="161"/>
      <c r="Q126" s="161"/>
      <c r="R126" s="161"/>
      <c r="S126" s="161"/>
      <c r="T126" s="161"/>
      <c r="U126" s="161"/>
      <c r="V126" s="161"/>
      <c r="W126" s="161"/>
      <c r="X126" s="161"/>
      <c r="Y126" s="161"/>
      <c r="Z126" s="161"/>
    </row>
    <row r="127">
      <c r="A127" s="511"/>
      <c r="B127" s="18"/>
      <c r="C127" s="18"/>
      <c r="D127" s="161"/>
      <c r="E127" s="161"/>
      <c r="F127" s="511"/>
      <c r="G127" s="161"/>
      <c r="H127" s="161"/>
      <c r="I127" s="161"/>
      <c r="J127" s="161"/>
      <c r="K127" s="161"/>
      <c r="L127" s="161"/>
      <c r="M127" s="161"/>
      <c r="N127" s="161"/>
      <c r="O127" s="161"/>
      <c r="P127" s="161"/>
      <c r="Q127" s="161"/>
      <c r="R127" s="161"/>
      <c r="S127" s="161"/>
      <c r="T127" s="161"/>
      <c r="U127" s="161"/>
      <c r="V127" s="161"/>
      <c r="W127" s="161"/>
      <c r="X127" s="161"/>
      <c r="Y127" s="161"/>
      <c r="Z127" s="161"/>
    </row>
    <row r="128">
      <c r="A128" s="511"/>
      <c r="B128" s="18"/>
      <c r="C128" s="18"/>
      <c r="D128" s="161"/>
      <c r="E128" s="161"/>
      <c r="F128" s="511"/>
      <c r="G128" s="161"/>
      <c r="H128" s="161"/>
      <c r="I128" s="161"/>
      <c r="J128" s="161"/>
      <c r="K128" s="161"/>
      <c r="L128" s="161"/>
      <c r="M128" s="161"/>
      <c r="N128" s="161"/>
      <c r="O128" s="161"/>
      <c r="P128" s="161"/>
      <c r="Q128" s="161"/>
      <c r="R128" s="161"/>
      <c r="S128" s="161"/>
      <c r="T128" s="161"/>
      <c r="U128" s="161"/>
      <c r="V128" s="161"/>
      <c r="W128" s="161"/>
      <c r="X128" s="161"/>
      <c r="Y128" s="161"/>
      <c r="Z128" s="161"/>
    </row>
    <row r="129">
      <c r="A129" s="511"/>
      <c r="B129" s="18"/>
      <c r="C129" s="18"/>
      <c r="D129" s="161"/>
      <c r="E129" s="161"/>
      <c r="F129" s="511"/>
      <c r="G129" s="161"/>
      <c r="H129" s="161"/>
      <c r="I129" s="161"/>
      <c r="J129" s="161"/>
      <c r="K129" s="161"/>
      <c r="L129" s="161"/>
      <c r="M129" s="161"/>
      <c r="N129" s="161"/>
      <c r="O129" s="161"/>
      <c r="P129" s="161"/>
      <c r="Q129" s="161"/>
      <c r="R129" s="161"/>
      <c r="S129" s="161"/>
      <c r="T129" s="161"/>
      <c r="U129" s="161"/>
      <c r="V129" s="161"/>
      <c r="W129" s="161"/>
      <c r="X129" s="161"/>
      <c r="Y129" s="161"/>
      <c r="Z129" s="161"/>
    </row>
    <row r="130">
      <c r="A130" s="511"/>
      <c r="B130" s="18"/>
      <c r="C130" s="18"/>
      <c r="D130" s="161"/>
      <c r="E130" s="161"/>
      <c r="F130" s="511"/>
      <c r="G130" s="161"/>
      <c r="H130" s="161"/>
      <c r="I130" s="161"/>
      <c r="J130" s="161"/>
      <c r="K130" s="161"/>
      <c r="L130" s="161"/>
      <c r="M130" s="161"/>
      <c r="N130" s="161"/>
      <c r="O130" s="161"/>
      <c r="P130" s="161"/>
      <c r="Q130" s="161"/>
      <c r="R130" s="161"/>
      <c r="S130" s="161"/>
      <c r="T130" s="161"/>
      <c r="U130" s="161"/>
      <c r="V130" s="161"/>
      <c r="W130" s="161"/>
      <c r="X130" s="161"/>
      <c r="Y130" s="161"/>
      <c r="Z130" s="161"/>
    </row>
    <row r="131">
      <c r="A131" s="511"/>
      <c r="B131" s="18"/>
      <c r="C131" s="18"/>
      <c r="D131" s="161"/>
      <c r="E131" s="161"/>
      <c r="F131" s="511"/>
      <c r="G131" s="161"/>
      <c r="H131" s="161"/>
      <c r="I131" s="161"/>
      <c r="J131" s="161"/>
      <c r="K131" s="161"/>
      <c r="L131" s="161"/>
      <c r="M131" s="161"/>
      <c r="N131" s="161"/>
      <c r="O131" s="161"/>
      <c r="P131" s="161"/>
      <c r="Q131" s="161"/>
      <c r="R131" s="161"/>
      <c r="S131" s="161"/>
      <c r="T131" s="161"/>
      <c r="U131" s="161"/>
      <c r="V131" s="161"/>
      <c r="W131" s="161"/>
      <c r="X131" s="161"/>
      <c r="Y131" s="161"/>
      <c r="Z131" s="161"/>
    </row>
    <row r="132">
      <c r="A132" s="511"/>
      <c r="B132" s="18"/>
      <c r="C132" s="18"/>
      <c r="D132" s="161"/>
      <c r="E132" s="161"/>
      <c r="F132" s="511"/>
      <c r="G132" s="161"/>
      <c r="H132" s="161"/>
      <c r="I132" s="161"/>
      <c r="J132" s="161"/>
      <c r="K132" s="161"/>
      <c r="L132" s="161"/>
      <c r="M132" s="161"/>
      <c r="N132" s="161"/>
      <c r="O132" s="161"/>
      <c r="P132" s="161"/>
      <c r="Q132" s="161"/>
      <c r="R132" s="161"/>
      <c r="S132" s="161"/>
      <c r="T132" s="161"/>
      <c r="U132" s="161"/>
      <c r="V132" s="161"/>
      <c r="W132" s="161"/>
      <c r="X132" s="161"/>
      <c r="Y132" s="161"/>
      <c r="Z132" s="161"/>
    </row>
    <row r="133">
      <c r="A133" s="511"/>
      <c r="B133" s="18"/>
      <c r="C133" s="18"/>
      <c r="D133" s="161"/>
      <c r="E133" s="161"/>
      <c r="F133" s="511"/>
      <c r="G133" s="161"/>
      <c r="H133" s="161"/>
      <c r="I133" s="161"/>
      <c r="J133" s="161"/>
      <c r="K133" s="161"/>
      <c r="L133" s="161"/>
      <c r="M133" s="161"/>
      <c r="N133" s="161"/>
      <c r="O133" s="161"/>
      <c r="P133" s="161"/>
      <c r="Q133" s="161"/>
      <c r="R133" s="161"/>
      <c r="S133" s="161"/>
      <c r="T133" s="161"/>
      <c r="U133" s="161"/>
      <c r="V133" s="161"/>
      <c r="W133" s="161"/>
      <c r="X133" s="161"/>
      <c r="Y133" s="161"/>
      <c r="Z133" s="161"/>
    </row>
    <row r="134">
      <c r="A134" s="511"/>
      <c r="B134" s="18"/>
      <c r="C134" s="18"/>
      <c r="D134" s="161"/>
      <c r="E134" s="161"/>
      <c r="F134" s="511"/>
      <c r="G134" s="161"/>
      <c r="H134" s="161"/>
      <c r="I134" s="161"/>
      <c r="J134" s="161"/>
      <c r="K134" s="161"/>
      <c r="L134" s="161"/>
      <c r="M134" s="161"/>
      <c r="N134" s="161"/>
      <c r="O134" s="161"/>
      <c r="P134" s="161"/>
      <c r="Q134" s="161"/>
      <c r="R134" s="161"/>
      <c r="S134" s="161"/>
      <c r="T134" s="161"/>
      <c r="U134" s="161"/>
      <c r="V134" s="161"/>
      <c r="W134" s="161"/>
      <c r="X134" s="161"/>
      <c r="Y134" s="161"/>
      <c r="Z134" s="161"/>
    </row>
    <row r="135">
      <c r="A135" s="511"/>
      <c r="B135" s="18"/>
      <c r="C135" s="18"/>
      <c r="D135" s="161"/>
      <c r="E135" s="161"/>
      <c r="F135" s="511"/>
      <c r="G135" s="161"/>
      <c r="H135" s="161"/>
      <c r="I135" s="161"/>
      <c r="J135" s="161"/>
      <c r="K135" s="161"/>
      <c r="L135" s="161"/>
      <c r="M135" s="161"/>
      <c r="N135" s="161"/>
      <c r="O135" s="161"/>
      <c r="P135" s="161"/>
      <c r="Q135" s="161"/>
      <c r="R135" s="161"/>
      <c r="S135" s="161"/>
      <c r="T135" s="161"/>
      <c r="U135" s="161"/>
      <c r="V135" s="161"/>
      <c r="W135" s="161"/>
      <c r="X135" s="161"/>
      <c r="Y135" s="161"/>
      <c r="Z135" s="161"/>
    </row>
    <row r="136">
      <c r="A136" s="511"/>
      <c r="B136" s="18"/>
      <c r="C136" s="18"/>
      <c r="D136" s="161"/>
      <c r="E136" s="161"/>
      <c r="F136" s="511"/>
      <c r="G136" s="161"/>
      <c r="H136" s="161"/>
      <c r="I136" s="161"/>
      <c r="J136" s="161"/>
      <c r="K136" s="161"/>
      <c r="L136" s="161"/>
      <c r="M136" s="161"/>
      <c r="N136" s="161"/>
      <c r="O136" s="161"/>
      <c r="P136" s="161"/>
      <c r="Q136" s="161"/>
      <c r="R136" s="161"/>
      <c r="S136" s="161"/>
      <c r="T136" s="161"/>
      <c r="U136" s="161"/>
      <c r="V136" s="161"/>
      <c r="W136" s="161"/>
      <c r="X136" s="161"/>
      <c r="Y136" s="161"/>
      <c r="Z136" s="161"/>
    </row>
    <row r="137">
      <c r="A137" s="511"/>
      <c r="B137" s="18"/>
      <c r="C137" s="18"/>
      <c r="D137" s="161"/>
      <c r="E137" s="161"/>
      <c r="F137" s="511"/>
      <c r="G137" s="161"/>
      <c r="H137" s="161"/>
      <c r="I137" s="161"/>
      <c r="J137" s="161"/>
      <c r="K137" s="161"/>
      <c r="L137" s="161"/>
      <c r="M137" s="161"/>
      <c r="N137" s="161"/>
      <c r="O137" s="161"/>
      <c r="P137" s="161"/>
      <c r="Q137" s="161"/>
      <c r="R137" s="161"/>
      <c r="S137" s="161"/>
      <c r="T137" s="161"/>
      <c r="U137" s="161"/>
      <c r="V137" s="161"/>
      <c r="W137" s="161"/>
      <c r="X137" s="161"/>
      <c r="Y137" s="161"/>
      <c r="Z137" s="161"/>
    </row>
    <row r="138">
      <c r="A138" s="511"/>
      <c r="B138" s="18"/>
      <c r="C138" s="18"/>
      <c r="D138" s="161"/>
      <c r="E138" s="161"/>
      <c r="F138" s="511"/>
      <c r="G138" s="161"/>
      <c r="H138" s="161"/>
      <c r="I138" s="161"/>
      <c r="J138" s="161"/>
      <c r="K138" s="161"/>
      <c r="L138" s="161"/>
      <c r="M138" s="161"/>
      <c r="N138" s="161"/>
      <c r="O138" s="161"/>
      <c r="P138" s="161"/>
      <c r="Q138" s="161"/>
      <c r="R138" s="161"/>
      <c r="S138" s="161"/>
      <c r="T138" s="161"/>
      <c r="U138" s="161"/>
      <c r="V138" s="161"/>
      <c r="W138" s="161"/>
      <c r="X138" s="161"/>
      <c r="Y138" s="161"/>
      <c r="Z138" s="161"/>
    </row>
    <row r="139">
      <c r="A139" s="511"/>
      <c r="B139" s="18"/>
      <c r="C139" s="18"/>
      <c r="D139" s="161"/>
      <c r="E139" s="161"/>
      <c r="F139" s="511"/>
      <c r="G139" s="161"/>
      <c r="H139" s="161"/>
      <c r="I139" s="161"/>
      <c r="J139" s="161"/>
      <c r="K139" s="161"/>
      <c r="L139" s="161"/>
      <c r="M139" s="161"/>
      <c r="N139" s="161"/>
      <c r="O139" s="161"/>
      <c r="P139" s="161"/>
      <c r="Q139" s="161"/>
      <c r="R139" s="161"/>
      <c r="S139" s="161"/>
      <c r="T139" s="161"/>
      <c r="U139" s="161"/>
      <c r="V139" s="161"/>
      <c r="W139" s="161"/>
      <c r="X139" s="161"/>
      <c r="Y139" s="161"/>
      <c r="Z139" s="161"/>
    </row>
    <row r="140">
      <c r="A140" s="511"/>
      <c r="B140" s="18"/>
      <c r="C140" s="18"/>
      <c r="D140" s="161"/>
      <c r="E140" s="161"/>
      <c r="F140" s="511"/>
      <c r="G140" s="161"/>
      <c r="H140" s="161"/>
      <c r="I140" s="161"/>
      <c r="J140" s="161"/>
      <c r="K140" s="161"/>
      <c r="L140" s="161"/>
      <c r="M140" s="161"/>
      <c r="N140" s="161"/>
      <c r="O140" s="161"/>
      <c r="P140" s="161"/>
      <c r="Q140" s="161"/>
      <c r="R140" s="161"/>
      <c r="S140" s="161"/>
      <c r="T140" s="161"/>
      <c r="U140" s="161"/>
      <c r="V140" s="161"/>
      <c r="W140" s="161"/>
      <c r="X140" s="161"/>
      <c r="Y140" s="161"/>
      <c r="Z140" s="161"/>
    </row>
    <row r="141">
      <c r="A141" s="511"/>
      <c r="B141" s="18"/>
      <c r="C141" s="18"/>
      <c r="D141" s="161"/>
      <c r="E141" s="161"/>
      <c r="F141" s="511"/>
      <c r="G141" s="161"/>
      <c r="H141" s="161"/>
      <c r="I141" s="161"/>
      <c r="J141" s="161"/>
      <c r="K141" s="161"/>
      <c r="L141" s="161"/>
      <c r="M141" s="161"/>
      <c r="N141" s="161"/>
      <c r="O141" s="161"/>
      <c r="P141" s="161"/>
      <c r="Q141" s="161"/>
      <c r="R141" s="161"/>
      <c r="S141" s="161"/>
      <c r="T141" s="161"/>
      <c r="U141" s="161"/>
      <c r="V141" s="161"/>
      <c r="W141" s="161"/>
      <c r="X141" s="161"/>
      <c r="Y141" s="161"/>
      <c r="Z141" s="161"/>
    </row>
    <row r="142">
      <c r="A142" s="511"/>
      <c r="B142" s="18"/>
      <c r="C142" s="18"/>
      <c r="D142" s="161"/>
      <c r="E142" s="161"/>
      <c r="F142" s="511"/>
      <c r="G142" s="161"/>
      <c r="H142" s="161"/>
      <c r="I142" s="161"/>
      <c r="J142" s="161"/>
      <c r="K142" s="161"/>
      <c r="L142" s="161"/>
      <c r="M142" s="161"/>
      <c r="N142" s="161"/>
      <c r="O142" s="161"/>
      <c r="P142" s="161"/>
      <c r="Q142" s="161"/>
      <c r="R142" s="161"/>
      <c r="S142" s="161"/>
      <c r="T142" s="161"/>
      <c r="U142" s="161"/>
      <c r="V142" s="161"/>
      <c r="W142" s="161"/>
      <c r="X142" s="161"/>
      <c r="Y142" s="161"/>
      <c r="Z142" s="161"/>
    </row>
    <row r="143">
      <c r="A143" s="511"/>
      <c r="B143" s="18"/>
      <c r="C143" s="18"/>
      <c r="D143" s="161"/>
      <c r="E143" s="161"/>
      <c r="F143" s="511"/>
      <c r="G143" s="161"/>
      <c r="H143" s="161"/>
      <c r="I143" s="161"/>
      <c r="J143" s="161"/>
      <c r="K143" s="161"/>
      <c r="L143" s="161"/>
      <c r="M143" s="161"/>
      <c r="N143" s="161"/>
      <c r="O143" s="161"/>
      <c r="P143" s="161"/>
      <c r="Q143" s="161"/>
      <c r="R143" s="161"/>
      <c r="S143" s="161"/>
      <c r="T143" s="161"/>
      <c r="U143" s="161"/>
      <c r="V143" s="161"/>
      <c r="W143" s="161"/>
      <c r="X143" s="161"/>
      <c r="Y143" s="161"/>
      <c r="Z143" s="161"/>
    </row>
    <row r="144">
      <c r="A144" s="511"/>
      <c r="B144" s="18"/>
      <c r="C144" s="18"/>
      <c r="D144" s="161"/>
      <c r="E144" s="161"/>
      <c r="F144" s="511"/>
      <c r="G144" s="161"/>
      <c r="H144" s="161"/>
      <c r="I144" s="161"/>
      <c r="J144" s="161"/>
      <c r="K144" s="161"/>
      <c r="L144" s="161"/>
      <c r="M144" s="161"/>
      <c r="N144" s="161"/>
      <c r="O144" s="161"/>
      <c r="P144" s="161"/>
      <c r="Q144" s="161"/>
      <c r="R144" s="161"/>
      <c r="S144" s="161"/>
      <c r="T144" s="161"/>
      <c r="U144" s="161"/>
      <c r="V144" s="161"/>
      <c r="W144" s="161"/>
      <c r="X144" s="161"/>
      <c r="Y144" s="161"/>
      <c r="Z144" s="161"/>
    </row>
    <row r="145">
      <c r="A145" s="511"/>
      <c r="B145" s="18"/>
      <c r="C145" s="18"/>
      <c r="D145" s="161"/>
      <c r="E145" s="161"/>
      <c r="F145" s="511"/>
      <c r="G145" s="161"/>
      <c r="H145" s="161"/>
      <c r="I145" s="161"/>
      <c r="J145" s="161"/>
      <c r="K145" s="161"/>
      <c r="L145" s="161"/>
      <c r="M145" s="161"/>
      <c r="N145" s="161"/>
      <c r="O145" s="161"/>
      <c r="P145" s="161"/>
      <c r="Q145" s="161"/>
      <c r="R145" s="161"/>
      <c r="S145" s="161"/>
      <c r="T145" s="161"/>
      <c r="U145" s="161"/>
      <c r="V145" s="161"/>
      <c r="W145" s="161"/>
      <c r="X145" s="161"/>
      <c r="Y145" s="161"/>
      <c r="Z145" s="161"/>
    </row>
    <row r="146">
      <c r="A146" s="511"/>
      <c r="B146" s="18"/>
      <c r="C146" s="18"/>
      <c r="D146" s="161"/>
      <c r="E146" s="161"/>
      <c r="F146" s="511"/>
      <c r="G146" s="161"/>
      <c r="H146" s="161"/>
      <c r="I146" s="161"/>
      <c r="J146" s="161"/>
      <c r="K146" s="161"/>
      <c r="L146" s="161"/>
      <c r="M146" s="161"/>
      <c r="N146" s="161"/>
      <c r="O146" s="161"/>
      <c r="P146" s="161"/>
      <c r="Q146" s="161"/>
      <c r="R146" s="161"/>
      <c r="S146" s="161"/>
      <c r="T146" s="161"/>
      <c r="U146" s="161"/>
      <c r="V146" s="161"/>
      <c r="W146" s="161"/>
      <c r="X146" s="161"/>
      <c r="Y146" s="161"/>
      <c r="Z146" s="161"/>
    </row>
    <row r="147">
      <c r="A147" s="511"/>
      <c r="B147" s="18"/>
      <c r="C147" s="18"/>
      <c r="D147" s="161"/>
      <c r="E147" s="161"/>
      <c r="F147" s="511"/>
      <c r="G147" s="161"/>
      <c r="H147" s="161"/>
      <c r="I147" s="161"/>
      <c r="J147" s="161"/>
      <c r="K147" s="161"/>
      <c r="L147" s="161"/>
      <c r="M147" s="161"/>
      <c r="N147" s="161"/>
      <c r="O147" s="161"/>
      <c r="P147" s="161"/>
      <c r="Q147" s="161"/>
      <c r="R147" s="161"/>
      <c r="S147" s="161"/>
      <c r="T147" s="161"/>
      <c r="U147" s="161"/>
      <c r="V147" s="161"/>
      <c r="W147" s="161"/>
      <c r="X147" s="161"/>
      <c r="Y147" s="161"/>
      <c r="Z147" s="161"/>
    </row>
    <row r="148">
      <c r="A148" s="511"/>
      <c r="B148" s="18"/>
      <c r="C148" s="18"/>
      <c r="D148" s="161"/>
      <c r="E148" s="161"/>
      <c r="F148" s="511"/>
      <c r="G148" s="161"/>
      <c r="H148" s="161"/>
      <c r="I148" s="161"/>
      <c r="J148" s="161"/>
      <c r="K148" s="161"/>
      <c r="L148" s="161"/>
      <c r="M148" s="161"/>
      <c r="N148" s="161"/>
      <c r="O148" s="161"/>
      <c r="P148" s="161"/>
      <c r="Q148" s="161"/>
      <c r="R148" s="161"/>
      <c r="S148" s="161"/>
      <c r="T148" s="161"/>
      <c r="U148" s="161"/>
      <c r="V148" s="161"/>
      <c r="W148" s="161"/>
      <c r="X148" s="161"/>
      <c r="Y148" s="161"/>
      <c r="Z148" s="161"/>
    </row>
    <row r="149">
      <c r="A149" s="511"/>
      <c r="B149" s="18"/>
      <c r="C149" s="18"/>
      <c r="D149" s="161"/>
      <c r="E149" s="161"/>
      <c r="F149" s="511"/>
      <c r="G149" s="161"/>
      <c r="H149" s="161"/>
      <c r="I149" s="161"/>
      <c r="J149" s="161"/>
      <c r="K149" s="161"/>
      <c r="L149" s="161"/>
      <c r="M149" s="161"/>
      <c r="N149" s="161"/>
      <c r="O149" s="161"/>
      <c r="P149" s="161"/>
      <c r="Q149" s="161"/>
      <c r="R149" s="161"/>
      <c r="S149" s="161"/>
      <c r="T149" s="161"/>
      <c r="U149" s="161"/>
      <c r="V149" s="161"/>
      <c r="W149" s="161"/>
      <c r="X149" s="161"/>
      <c r="Y149" s="161"/>
      <c r="Z149" s="161"/>
    </row>
    <row r="150">
      <c r="A150" s="511"/>
      <c r="B150" s="18"/>
      <c r="C150" s="18"/>
      <c r="D150" s="161"/>
      <c r="E150" s="161"/>
      <c r="F150" s="511"/>
      <c r="G150" s="161"/>
      <c r="H150" s="161"/>
      <c r="I150" s="161"/>
      <c r="J150" s="161"/>
      <c r="K150" s="161"/>
      <c r="L150" s="161"/>
      <c r="M150" s="161"/>
      <c r="N150" s="161"/>
      <c r="O150" s="161"/>
      <c r="P150" s="161"/>
      <c r="Q150" s="161"/>
      <c r="R150" s="161"/>
      <c r="S150" s="161"/>
      <c r="T150" s="161"/>
      <c r="U150" s="161"/>
      <c r="V150" s="161"/>
      <c r="W150" s="161"/>
      <c r="X150" s="161"/>
      <c r="Y150" s="161"/>
      <c r="Z150" s="161"/>
    </row>
    <row r="151">
      <c r="A151" s="511"/>
      <c r="B151" s="18"/>
      <c r="C151" s="18"/>
      <c r="D151" s="161"/>
      <c r="E151" s="161"/>
      <c r="F151" s="511"/>
      <c r="G151" s="161"/>
      <c r="H151" s="161"/>
      <c r="I151" s="161"/>
      <c r="J151" s="161"/>
      <c r="K151" s="161"/>
      <c r="L151" s="161"/>
      <c r="M151" s="161"/>
      <c r="N151" s="161"/>
      <c r="O151" s="161"/>
      <c r="P151" s="161"/>
      <c r="Q151" s="161"/>
      <c r="R151" s="161"/>
      <c r="S151" s="161"/>
      <c r="T151" s="161"/>
      <c r="U151" s="161"/>
      <c r="V151" s="161"/>
      <c r="W151" s="161"/>
      <c r="X151" s="161"/>
      <c r="Y151" s="161"/>
      <c r="Z151" s="161"/>
    </row>
    <row r="152">
      <c r="A152" s="511"/>
      <c r="B152" s="18"/>
      <c r="C152" s="18"/>
      <c r="D152" s="161"/>
      <c r="E152" s="161"/>
      <c r="F152" s="511"/>
      <c r="G152" s="161"/>
      <c r="H152" s="161"/>
      <c r="I152" s="161"/>
      <c r="J152" s="161"/>
      <c r="K152" s="161"/>
      <c r="L152" s="161"/>
      <c r="M152" s="161"/>
      <c r="N152" s="161"/>
      <c r="O152" s="161"/>
      <c r="P152" s="161"/>
      <c r="Q152" s="161"/>
      <c r="R152" s="161"/>
      <c r="S152" s="161"/>
      <c r="T152" s="161"/>
      <c r="U152" s="161"/>
      <c r="V152" s="161"/>
      <c r="W152" s="161"/>
      <c r="X152" s="161"/>
      <c r="Y152" s="161"/>
      <c r="Z152" s="161"/>
    </row>
    <row r="153">
      <c r="A153" s="511"/>
      <c r="B153" s="18"/>
      <c r="C153" s="18"/>
      <c r="D153" s="161"/>
      <c r="E153" s="161"/>
      <c r="F153" s="511"/>
      <c r="G153" s="161"/>
      <c r="H153" s="161"/>
      <c r="I153" s="161"/>
      <c r="J153" s="161"/>
      <c r="K153" s="161"/>
      <c r="L153" s="161"/>
      <c r="M153" s="161"/>
      <c r="N153" s="161"/>
      <c r="O153" s="161"/>
      <c r="P153" s="161"/>
      <c r="Q153" s="161"/>
      <c r="R153" s="161"/>
      <c r="S153" s="161"/>
      <c r="T153" s="161"/>
      <c r="U153" s="161"/>
      <c r="V153" s="161"/>
      <c r="W153" s="161"/>
      <c r="X153" s="161"/>
      <c r="Y153" s="161"/>
      <c r="Z153" s="161"/>
    </row>
    <row r="154">
      <c r="A154" s="511"/>
      <c r="B154" s="18"/>
      <c r="C154" s="18"/>
      <c r="D154" s="161"/>
      <c r="E154" s="161"/>
      <c r="F154" s="511"/>
      <c r="G154" s="161"/>
      <c r="H154" s="161"/>
      <c r="I154" s="161"/>
      <c r="J154" s="161"/>
      <c r="K154" s="161"/>
      <c r="L154" s="161"/>
      <c r="M154" s="161"/>
      <c r="N154" s="161"/>
      <c r="O154" s="161"/>
      <c r="P154" s="161"/>
      <c r="Q154" s="161"/>
      <c r="R154" s="161"/>
      <c r="S154" s="161"/>
      <c r="T154" s="161"/>
      <c r="U154" s="161"/>
      <c r="V154" s="161"/>
      <c r="W154" s="161"/>
      <c r="X154" s="161"/>
      <c r="Y154" s="161"/>
      <c r="Z154" s="161"/>
    </row>
    <row r="155">
      <c r="A155" s="511"/>
      <c r="B155" s="18"/>
      <c r="C155" s="18"/>
      <c r="D155" s="161"/>
      <c r="E155" s="161"/>
      <c r="F155" s="511"/>
      <c r="G155" s="161"/>
      <c r="H155" s="161"/>
      <c r="I155" s="161"/>
      <c r="J155" s="161"/>
      <c r="K155" s="161"/>
      <c r="L155" s="161"/>
      <c r="M155" s="161"/>
      <c r="N155" s="161"/>
      <c r="O155" s="161"/>
      <c r="P155" s="161"/>
      <c r="Q155" s="161"/>
      <c r="R155" s="161"/>
      <c r="S155" s="161"/>
      <c r="T155" s="161"/>
      <c r="U155" s="161"/>
      <c r="V155" s="161"/>
      <c r="W155" s="161"/>
      <c r="X155" s="161"/>
      <c r="Y155" s="161"/>
      <c r="Z155" s="161"/>
    </row>
    <row r="156">
      <c r="A156" s="511"/>
      <c r="B156" s="18"/>
      <c r="C156" s="18"/>
      <c r="D156" s="161"/>
      <c r="E156" s="161"/>
      <c r="F156" s="511"/>
      <c r="G156" s="161"/>
      <c r="H156" s="161"/>
      <c r="I156" s="161"/>
      <c r="J156" s="161"/>
      <c r="K156" s="161"/>
      <c r="L156" s="161"/>
      <c r="M156" s="161"/>
      <c r="N156" s="161"/>
      <c r="O156" s="161"/>
      <c r="P156" s="161"/>
      <c r="Q156" s="161"/>
      <c r="R156" s="161"/>
      <c r="S156" s="161"/>
      <c r="T156" s="161"/>
      <c r="U156" s="161"/>
      <c r="V156" s="161"/>
      <c r="W156" s="161"/>
      <c r="X156" s="161"/>
      <c r="Y156" s="161"/>
      <c r="Z156" s="161"/>
    </row>
    <row r="157">
      <c r="A157" s="511"/>
      <c r="B157" s="18"/>
      <c r="C157" s="18"/>
      <c r="D157" s="161"/>
      <c r="E157" s="161"/>
      <c r="F157" s="511"/>
      <c r="G157" s="161"/>
      <c r="H157" s="161"/>
      <c r="I157" s="161"/>
      <c r="J157" s="161"/>
      <c r="K157" s="161"/>
      <c r="L157" s="161"/>
      <c r="M157" s="161"/>
      <c r="N157" s="161"/>
      <c r="O157" s="161"/>
      <c r="P157" s="161"/>
      <c r="Q157" s="161"/>
      <c r="R157" s="161"/>
      <c r="S157" s="161"/>
      <c r="T157" s="161"/>
      <c r="U157" s="161"/>
      <c r="V157" s="161"/>
      <c r="W157" s="161"/>
      <c r="X157" s="161"/>
      <c r="Y157" s="161"/>
      <c r="Z157" s="161"/>
    </row>
    <row r="158">
      <c r="A158" s="511"/>
      <c r="B158" s="18"/>
      <c r="C158" s="18"/>
      <c r="D158" s="161"/>
      <c r="E158" s="161"/>
      <c r="F158" s="511"/>
      <c r="G158" s="161"/>
      <c r="H158" s="161"/>
      <c r="I158" s="161"/>
      <c r="J158" s="161"/>
      <c r="K158" s="161"/>
      <c r="L158" s="161"/>
      <c r="M158" s="161"/>
      <c r="N158" s="161"/>
      <c r="O158" s="161"/>
      <c r="P158" s="161"/>
      <c r="Q158" s="161"/>
      <c r="R158" s="161"/>
      <c r="S158" s="161"/>
      <c r="T158" s="161"/>
      <c r="U158" s="161"/>
      <c r="V158" s="161"/>
      <c r="W158" s="161"/>
      <c r="X158" s="161"/>
      <c r="Y158" s="161"/>
      <c r="Z158" s="161"/>
    </row>
    <row r="159">
      <c r="A159" s="511"/>
      <c r="B159" s="18"/>
      <c r="C159" s="18"/>
      <c r="D159" s="161"/>
      <c r="E159" s="161"/>
      <c r="F159" s="511"/>
      <c r="G159" s="161"/>
      <c r="H159" s="161"/>
      <c r="I159" s="161"/>
      <c r="J159" s="161"/>
      <c r="K159" s="161"/>
      <c r="L159" s="161"/>
      <c r="M159" s="161"/>
      <c r="N159" s="161"/>
      <c r="O159" s="161"/>
      <c r="P159" s="161"/>
      <c r="Q159" s="161"/>
      <c r="R159" s="161"/>
      <c r="S159" s="161"/>
      <c r="T159" s="161"/>
      <c r="U159" s="161"/>
      <c r="V159" s="161"/>
      <c r="W159" s="161"/>
      <c r="X159" s="161"/>
      <c r="Y159" s="161"/>
      <c r="Z159" s="161"/>
    </row>
    <row r="160">
      <c r="A160" s="511"/>
      <c r="B160" s="18"/>
      <c r="C160" s="18"/>
      <c r="D160" s="161"/>
      <c r="E160" s="161"/>
      <c r="F160" s="511"/>
      <c r="G160" s="161"/>
      <c r="H160" s="161"/>
      <c r="I160" s="161"/>
      <c r="J160" s="161"/>
      <c r="K160" s="161"/>
      <c r="L160" s="161"/>
      <c r="M160" s="161"/>
      <c r="N160" s="161"/>
      <c r="O160" s="161"/>
      <c r="P160" s="161"/>
      <c r="Q160" s="161"/>
      <c r="R160" s="161"/>
      <c r="S160" s="161"/>
      <c r="T160" s="161"/>
      <c r="U160" s="161"/>
      <c r="V160" s="161"/>
      <c r="W160" s="161"/>
      <c r="X160" s="161"/>
      <c r="Y160" s="161"/>
      <c r="Z160" s="161"/>
    </row>
    <row r="161">
      <c r="A161" s="511"/>
      <c r="B161" s="18"/>
      <c r="C161" s="18"/>
      <c r="D161" s="161"/>
      <c r="E161" s="161"/>
      <c r="F161" s="511"/>
      <c r="G161" s="161"/>
      <c r="H161" s="161"/>
      <c r="I161" s="161"/>
      <c r="J161" s="161"/>
      <c r="K161" s="161"/>
      <c r="L161" s="161"/>
      <c r="M161" s="161"/>
      <c r="N161" s="161"/>
      <c r="O161" s="161"/>
      <c r="P161" s="161"/>
      <c r="Q161" s="161"/>
      <c r="R161" s="161"/>
      <c r="S161" s="161"/>
      <c r="T161" s="161"/>
      <c r="U161" s="161"/>
      <c r="V161" s="161"/>
      <c r="W161" s="161"/>
      <c r="X161" s="161"/>
      <c r="Y161" s="161"/>
      <c r="Z161" s="161"/>
    </row>
    <row r="162">
      <c r="A162" s="511"/>
      <c r="B162" s="18"/>
      <c r="C162" s="18"/>
      <c r="D162" s="161"/>
      <c r="E162" s="161"/>
      <c r="F162" s="511"/>
      <c r="G162" s="161"/>
      <c r="H162" s="161"/>
      <c r="I162" s="161"/>
      <c r="J162" s="161"/>
      <c r="K162" s="161"/>
      <c r="L162" s="161"/>
      <c r="M162" s="161"/>
      <c r="N162" s="161"/>
      <c r="O162" s="161"/>
      <c r="P162" s="161"/>
      <c r="Q162" s="161"/>
      <c r="R162" s="161"/>
      <c r="S162" s="161"/>
      <c r="T162" s="161"/>
      <c r="U162" s="161"/>
      <c r="V162" s="161"/>
      <c r="W162" s="161"/>
      <c r="X162" s="161"/>
      <c r="Y162" s="161"/>
      <c r="Z162" s="161"/>
    </row>
    <row r="163">
      <c r="A163" s="511"/>
      <c r="B163" s="18"/>
      <c r="C163" s="18"/>
      <c r="D163" s="161"/>
      <c r="E163" s="161"/>
      <c r="F163" s="511"/>
      <c r="G163" s="161"/>
      <c r="H163" s="161"/>
      <c r="I163" s="161"/>
      <c r="J163" s="161"/>
      <c r="K163" s="161"/>
      <c r="L163" s="161"/>
      <c r="M163" s="161"/>
      <c r="N163" s="161"/>
      <c r="O163" s="161"/>
      <c r="P163" s="161"/>
      <c r="Q163" s="161"/>
      <c r="R163" s="161"/>
      <c r="S163" s="161"/>
      <c r="T163" s="161"/>
      <c r="U163" s="161"/>
      <c r="V163" s="161"/>
      <c r="W163" s="161"/>
      <c r="X163" s="161"/>
      <c r="Y163" s="161"/>
      <c r="Z163" s="161"/>
    </row>
    <row r="164">
      <c r="A164" s="511"/>
      <c r="B164" s="18"/>
      <c r="C164" s="18"/>
      <c r="D164" s="161"/>
      <c r="E164" s="161"/>
      <c r="F164" s="511"/>
      <c r="G164" s="161"/>
      <c r="H164" s="161"/>
      <c r="I164" s="161"/>
      <c r="J164" s="161"/>
      <c r="K164" s="161"/>
      <c r="L164" s="161"/>
      <c r="M164" s="161"/>
      <c r="N164" s="161"/>
      <c r="O164" s="161"/>
      <c r="P164" s="161"/>
      <c r="Q164" s="161"/>
      <c r="R164" s="161"/>
      <c r="S164" s="161"/>
      <c r="T164" s="161"/>
      <c r="U164" s="161"/>
      <c r="V164" s="161"/>
      <c r="W164" s="161"/>
      <c r="X164" s="161"/>
      <c r="Y164" s="161"/>
      <c r="Z164" s="161"/>
    </row>
    <row r="165">
      <c r="A165" s="511"/>
      <c r="B165" s="18"/>
      <c r="C165" s="18"/>
      <c r="D165" s="161"/>
      <c r="E165" s="161"/>
      <c r="F165" s="511"/>
      <c r="G165" s="161"/>
      <c r="H165" s="161"/>
      <c r="I165" s="161"/>
      <c r="J165" s="161"/>
      <c r="K165" s="161"/>
      <c r="L165" s="161"/>
      <c r="M165" s="161"/>
      <c r="N165" s="161"/>
      <c r="O165" s="161"/>
      <c r="P165" s="161"/>
      <c r="Q165" s="161"/>
      <c r="R165" s="161"/>
      <c r="S165" s="161"/>
      <c r="T165" s="161"/>
      <c r="U165" s="161"/>
      <c r="V165" s="161"/>
      <c r="W165" s="161"/>
      <c r="X165" s="161"/>
      <c r="Y165" s="161"/>
      <c r="Z165" s="161"/>
    </row>
    <row r="166">
      <c r="A166" s="511"/>
      <c r="B166" s="18"/>
      <c r="C166" s="18"/>
      <c r="D166" s="161"/>
      <c r="E166" s="161"/>
      <c r="F166" s="511"/>
      <c r="G166" s="161"/>
      <c r="H166" s="161"/>
      <c r="I166" s="161"/>
      <c r="J166" s="161"/>
      <c r="K166" s="161"/>
      <c r="L166" s="161"/>
      <c r="M166" s="161"/>
      <c r="N166" s="161"/>
      <c r="O166" s="161"/>
      <c r="P166" s="161"/>
      <c r="Q166" s="161"/>
      <c r="R166" s="161"/>
      <c r="S166" s="161"/>
      <c r="T166" s="161"/>
      <c r="U166" s="161"/>
      <c r="V166" s="161"/>
      <c r="W166" s="161"/>
      <c r="X166" s="161"/>
      <c r="Y166" s="161"/>
      <c r="Z166" s="161"/>
    </row>
    <row r="167">
      <c r="A167" s="511"/>
      <c r="B167" s="18"/>
      <c r="C167" s="18"/>
      <c r="D167" s="161"/>
      <c r="E167" s="161"/>
      <c r="F167" s="511"/>
      <c r="G167" s="161"/>
      <c r="H167" s="161"/>
      <c r="I167" s="161"/>
      <c r="J167" s="161"/>
      <c r="K167" s="161"/>
      <c r="L167" s="161"/>
      <c r="M167" s="161"/>
      <c r="N167" s="161"/>
      <c r="O167" s="161"/>
      <c r="P167" s="161"/>
      <c r="Q167" s="161"/>
      <c r="R167" s="161"/>
      <c r="S167" s="161"/>
      <c r="T167" s="161"/>
      <c r="U167" s="161"/>
      <c r="V167" s="161"/>
      <c r="W167" s="161"/>
      <c r="X167" s="161"/>
      <c r="Y167" s="161"/>
      <c r="Z167" s="161"/>
    </row>
    <row r="168">
      <c r="A168" s="511"/>
      <c r="B168" s="18"/>
      <c r="C168" s="18"/>
      <c r="D168" s="161"/>
      <c r="E168" s="161"/>
      <c r="F168" s="511"/>
      <c r="G168" s="161"/>
      <c r="H168" s="161"/>
      <c r="I168" s="161"/>
      <c r="J168" s="161"/>
      <c r="K168" s="161"/>
      <c r="L168" s="161"/>
      <c r="M168" s="161"/>
      <c r="N168" s="161"/>
      <c r="O168" s="161"/>
      <c r="P168" s="161"/>
      <c r="Q168" s="161"/>
      <c r="R168" s="161"/>
      <c r="S168" s="161"/>
      <c r="T168" s="161"/>
      <c r="U168" s="161"/>
      <c r="V168" s="161"/>
      <c r="W168" s="161"/>
      <c r="X168" s="161"/>
      <c r="Y168" s="161"/>
      <c r="Z168" s="161"/>
    </row>
    <row r="169">
      <c r="A169" s="511"/>
      <c r="B169" s="18"/>
      <c r="C169" s="18"/>
      <c r="D169" s="161"/>
      <c r="E169" s="161"/>
      <c r="F169" s="511"/>
      <c r="G169" s="161"/>
      <c r="H169" s="161"/>
      <c r="I169" s="161"/>
      <c r="J169" s="161"/>
      <c r="K169" s="161"/>
      <c r="L169" s="161"/>
      <c r="M169" s="161"/>
      <c r="N169" s="161"/>
      <c r="O169" s="161"/>
      <c r="P169" s="161"/>
      <c r="Q169" s="161"/>
      <c r="R169" s="161"/>
      <c r="S169" s="161"/>
      <c r="T169" s="161"/>
      <c r="U169" s="161"/>
      <c r="V169" s="161"/>
      <c r="W169" s="161"/>
      <c r="X169" s="161"/>
      <c r="Y169" s="161"/>
      <c r="Z169" s="161"/>
    </row>
    <row r="170">
      <c r="A170" s="511"/>
      <c r="B170" s="18"/>
      <c r="C170" s="18"/>
      <c r="D170" s="161"/>
      <c r="E170" s="161"/>
      <c r="F170" s="511"/>
      <c r="G170" s="161"/>
      <c r="H170" s="161"/>
      <c r="I170" s="161"/>
      <c r="J170" s="161"/>
      <c r="K170" s="161"/>
      <c r="L170" s="161"/>
      <c r="M170" s="161"/>
      <c r="N170" s="161"/>
      <c r="O170" s="161"/>
      <c r="P170" s="161"/>
      <c r="Q170" s="161"/>
      <c r="R170" s="161"/>
      <c r="S170" s="161"/>
      <c r="T170" s="161"/>
      <c r="U170" s="161"/>
      <c r="V170" s="161"/>
      <c r="W170" s="161"/>
      <c r="X170" s="161"/>
      <c r="Y170" s="161"/>
      <c r="Z170" s="161"/>
    </row>
    <row r="171">
      <c r="A171" s="511"/>
      <c r="B171" s="18"/>
      <c r="C171" s="18"/>
      <c r="D171" s="161"/>
      <c r="E171" s="161"/>
      <c r="F171" s="511"/>
      <c r="G171" s="161"/>
      <c r="H171" s="161"/>
      <c r="I171" s="161"/>
      <c r="J171" s="161"/>
      <c r="K171" s="161"/>
      <c r="L171" s="161"/>
      <c r="M171" s="161"/>
      <c r="N171" s="161"/>
      <c r="O171" s="161"/>
      <c r="P171" s="161"/>
      <c r="Q171" s="161"/>
      <c r="R171" s="161"/>
      <c r="S171" s="161"/>
      <c r="T171" s="161"/>
      <c r="U171" s="161"/>
      <c r="V171" s="161"/>
      <c r="W171" s="161"/>
      <c r="X171" s="161"/>
      <c r="Y171" s="161"/>
      <c r="Z171" s="161"/>
    </row>
    <row r="172">
      <c r="A172" s="511"/>
      <c r="B172" s="18"/>
      <c r="C172" s="18"/>
      <c r="D172" s="161"/>
      <c r="E172" s="161"/>
      <c r="F172" s="511"/>
      <c r="G172" s="161"/>
      <c r="H172" s="161"/>
      <c r="I172" s="161"/>
      <c r="J172" s="161"/>
      <c r="K172" s="161"/>
      <c r="L172" s="161"/>
      <c r="M172" s="161"/>
      <c r="N172" s="161"/>
      <c r="O172" s="161"/>
      <c r="P172" s="161"/>
      <c r="Q172" s="161"/>
      <c r="R172" s="161"/>
      <c r="S172" s="161"/>
      <c r="T172" s="161"/>
      <c r="U172" s="161"/>
      <c r="V172" s="161"/>
      <c r="W172" s="161"/>
      <c r="X172" s="161"/>
      <c r="Y172" s="161"/>
      <c r="Z172" s="161"/>
    </row>
    <row r="173">
      <c r="A173" s="511"/>
      <c r="B173" s="18"/>
      <c r="C173" s="18"/>
      <c r="D173" s="161"/>
      <c r="E173" s="161"/>
      <c r="F173" s="511"/>
      <c r="G173" s="161"/>
      <c r="H173" s="161"/>
      <c r="I173" s="161"/>
      <c r="J173" s="161"/>
      <c r="K173" s="161"/>
      <c r="L173" s="161"/>
      <c r="M173" s="161"/>
      <c r="N173" s="161"/>
      <c r="O173" s="161"/>
      <c r="P173" s="161"/>
      <c r="Q173" s="161"/>
      <c r="R173" s="161"/>
      <c r="S173" s="161"/>
      <c r="T173" s="161"/>
      <c r="U173" s="161"/>
      <c r="V173" s="161"/>
      <c r="W173" s="161"/>
      <c r="X173" s="161"/>
      <c r="Y173" s="161"/>
      <c r="Z173" s="161"/>
    </row>
    <row r="174">
      <c r="A174" s="511"/>
      <c r="B174" s="18"/>
      <c r="C174" s="18"/>
      <c r="D174" s="161"/>
      <c r="E174" s="161"/>
      <c r="F174" s="511"/>
      <c r="G174" s="161"/>
      <c r="H174" s="161"/>
      <c r="I174" s="161"/>
      <c r="J174" s="161"/>
      <c r="K174" s="161"/>
      <c r="L174" s="161"/>
      <c r="M174" s="161"/>
      <c r="N174" s="161"/>
      <c r="O174" s="161"/>
      <c r="P174" s="161"/>
      <c r="Q174" s="161"/>
      <c r="R174" s="161"/>
      <c r="S174" s="161"/>
      <c r="T174" s="161"/>
      <c r="U174" s="161"/>
      <c r="V174" s="161"/>
      <c r="W174" s="161"/>
      <c r="X174" s="161"/>
      <c r="Y174" s="161"/>
      <c r="Z174" s="161"/>
    </row>
    <row r="175">
      <c r="A175" s="511"/>
      <c r="B175" s="18"/>
      <c r="C175" s="18"/>
      <c r="D175" s="161"/>
      <c r="E175" s="161"/>
      <c r="F175" s="511"/>
      <c r="G175" s="161"/>
      <c r="H175" s="161"/>
      <c r="I175" s="161"/>
      <c r="J175" s="161"/>
      <c r="K175" s="161"/>
      <c r="L175" s="161"/>
      <c r="M175" s="161"/>
      <c r="N175" s="161"/>
      <c r="O175" s="161"/>
      <c r="P175" s="161"/>
      <c r="Q175" s="161"/>
      <c r="R175" s="161"/>
      <c r="S175" s="161"/>
      <c r="T175" s="161"/>
      <c r="U175" s="161"/>
      <c r="V175" s="161"/>
      <c r="W175" s="161"/>
      <c r="X175" s="161"/>
      <c r="Y175" s="161"/>
      <c r="Z175" s="161"/>
    </row>
    <row r="176">
      <c r="A176" s="511"/>
      <c r="B176" s="18"/>
      <c r="C176" s="18"/>
      <c r="D176" s="161"/>
      <c r="E176" s="161"/>
      <c r="F176" s="511"/>
      <c r="G176" s="161"/>
      <c r="H176" s="161"/>
      <c r="I176" s="161"/>
      <c r="J176" s="161"/>
      <c r="K176" s="161"/>
      <c r="L176" s="161"/>
      <c r="M176" s="161"/>
      <c r="N176" s="161"/>
      <c r="O176" s="161"/>
      <c r="P176" s="161"/>
      <c r="Q176" s="161"/>
      <c r="R176" s="161"/>
      <c r="S176" s="161"/>
      <c r="T176" s="161"/>
      <c r="U176" s="161"/>
      <c r="V176" s="161"/>
      <c r="W176" s="161"/>
      <c r="X176" s="161"/>
      <c r="Y176" s="161"/>
      <c r="Z176" s="161"/>
    </row>
    <row r="177">
      <c r="A177" s="511"/>
      <c r="B177" s="18"/>
      <c r="C177" s="18"/>
      <c r="D177" s="161"/>
      <c r="E177" s="161"/>
      <c r="F177" s="511"/>
      <c r="G177" s="161"/>
      <c r="H177" s="161"/>
      <c r="I177" s="161"/>
      <c r="J177" s="161"/>
      <c r="K177" s="161"/>
      <c r="L177" s="161"/>
      <c r="M177" s="161"/>
      <c r="N177" s="161"/>
      <c r="O177" s="161"/>
      <c r="P177" s="161"/>
      <c r="Q177" s="161"/>
      <c r="R177" s="161"/>
      <c r="S177" s="161"/>
      <c r="T177" s="161"/>
      <c r="U177" s="161"/>
      <c r="V177" s="161"/>
      <c r="W177" s="161"/>
      <c r="X177" s="161"/>
      <c r="Y177" s="161"/>
      <c r="Z177" s="161"/>
    </row>
    <row r="178">
      <c r="A178" s="511"/>
      <c r="B178" s="18"/>
      <c r="C178" s="18"/>
      <c r="D178" s="161"/>
      <c r="E178" s="161"/>
      <c r="F178" s="511"/>
      <c r="G178" s="161"/>
      <c r="H178" s="161"/>
      <c r="I178" s="161"/>
      <c r="J178" s="161"/>
      <c r="K178" s="161"/>
      <c r="L178" s="161"/>
      <c r="M178" s="161"/>
      <c r="N178" s="161"/>
      <c r="O178" s="161"/>
      <c r="P178" s="161"/>
      <c r="Q178" s="161"/>
      <c r="R178" s="161"/>
      <c r="S178" s="161"/>
      <c r="T178" s="161"/>
      <c r="U178" s="161"/>
      <c r="V178" s="161"/>
      <c r="W178" s="161"/>
      <c r="X178" s="161"/>
      <c r="Y178" s="161"/>
      <c r="Z178" s="161"/>
    </row>
    <row r="179">
      <c r="A179" s="511"/>
      <c r="B179" s="18"/>
      <c r="C179" s="18"/>
      <c r="D179" s="161"/>
      <c r="E179" s="161"/>
      <c r="F179" s="511"/>
      <c r="G179" s="161"/>
      <c r="H179" s="161"/>
      <c r="I179" s="161"/>
      <c r="J179" s="161"/>
      <c r="K179" s="161"/>
      <c r="L179" s="161"/>
      <c r="M179" s="161"/>
      <c r="N179" s="161"/>
      <c r="O179" s="161"/>
      <c r="P179" s="161"/>
      <c r="Q179" s="161"/>
      <c r="R179" s="161"/>
      <c r="S179" s="161"/>
      <c r="T179" s="161"/>
      <c r="U179" s="161"/>
      <c r="V179" s="161"/>
      <c r="W179" s="161"/>
      <c r="X179" s="161"/>
      <c r="Y179" s="161"/>
      <c r="Z179" s="161"/>
    </row>
    <row r="180">
      <c r="A180" s="511"/>
      <c r="B180" s="18"/>
      <c r="C180" s="18"/>
      <c r="D180" s="161"/>
      <c r="E180" s="161"/>
      <c r="F180" s="511"/>
      <c r="G180" s="161"/>
      <c r="H180" s="161"/>
      <c r="I180" s="161"/>
      <c r="J180" s="161"/>
      <c r="K180" s="161"/>
      <c r="L180" s="161"/>
      <c r="M180" s="161"/>
      <c r="N180" s="161"/>
      <c r="O180" s="161"/>
      <c r="P180" s="161"/>
      <c r="Q180" s="161"/>
      <c r="R180" s="161"/>
      <c r="S180" s="161"/>
      <c r="T180" s="161"/>
      <c r="U180" s="161"/>
      <c r="V180" s="161"/>
      <c r="W180" s="161"/>
      <c r="X180" s="161"/>
      <c r="Y180" s="161"/>
      <c r="Z180" s="161"/>
    </row>
    <row r="181">
      <c r="A181" s="511"/>
      <c r="B181" s="18"/>
      <c r="C181" s="18"/>
      <c r="D181" s="161"/>
      <c r="E181" s="161"/>
      <c r="F181" s="511"/>
      <c r="G181" s="161"/>
      <c r="H181" s="161"/>
      <c r="I181" s="161"/>
      <c r="J181" s="161"/>
      <c r="K181" s="161"/>
      <c r="L181" s="161"/>
      <c r="M181" s="161"/>
      <c r="N181" s="161"/>
      <c r="O181" s="161"/>
      <c r="P181" s="161"/>
      <c r="Q181" s="161"/>
      <c r="R181" s="161"/>
      <c r="S181" s="161"/>
      <c r="T181" s="161"/>
      <c r="U181" s="161"/>
      <c r="V181" s="161"/>
      <c r="W181" s="161"/>
      <c r="X181" s="161"/>
      <c r="Y181" s="161"/>
      <c r="Z181" s="161"/>
    </row>
    <row r="182">
      <c r="A182" s="511"/>
      <c r="B182" s="18"/>
      <c r="C182" s="18"/>
      <c r="D182" s="161"/>
      <c r="E182" s="161"/>
      <c r="F182" s="511"/>
      <c r="G182" s="161"/>
      <c r="H182" s="161"/>
      <c r="I182" s="161"/>
      <c r="J182" s="161"/>
      <c r="K182" s="161"/>
      <c r="L182" s="161"/>
      <c r="M182" s="161"/>
      <c r="N182" s="161"/>
      <c r="O182" s="161"/>
      <c r="P182" s="161"/>
      <c r="Q182" s="161"/>
      <c r="R182" s="161"/>
      <c r="S182" s="161"/>
      <c r="T182" s="161"/>
      <c r="U182" s="161"/>
      <c r="V182" s="161"/>
      <c r="W182" s="161"/>
      <c r="X182" s="161"/>
      <c r="Y182" s="161"/>
      <c r="Z182" s="161"/>
    </row>
    <row r="183">
      <c r="A183" s="511"/>
      <c r="B183" s="18"/>
      <c r="C183" s="18"/>
      <c r="D183" s="161"/>
      <c r="E183" s="161"/>
      <c r="F183" s="511"/>
      <c r="G183" s="161"/>
      <c r="H183" s="161"/>
      <c r="I183" s="161"/>
      <c r="J183" s="161"/>
      <c r="K183" s="161"/>
      <c r="L183" s="161"/>
      <c r="M183" s="161"/>
      <c r="N183" s="161"/>
      <c r="O183" s="161"/>
      <c r="P183" s="161"/>
      <c r="Q183" s="161"/>
      <c r="R183" s="161"/>
      <c r="S183" s="161"/>
      <c r="T183" s="161"/>
      <c r="U183" s="161"/>
      <c r="V183" s="161"/>
      <c r="W183" s="161"/>
      <c r="X183" s="161"/>
      <c r="Y183" s="161"/>
      <c r="Z183" s="161"/>
    </row>
    <row r="184">
      <c r="A184" s="511"/>
      <c r="B184" s="18"/>
      <c r="C184" s="18"/>
      <c r="D184" s="161"/>
      <c r="E184" s="161"/>
      <c r="F184" s="511"/>
      <c r="G184" s="161"/>
      <c r="H184" s="161"/>
      <c r="I184" s="161"/>
      <c r="J184" s="161"/>
      <c r="K184" s="161"/>
      <c r="L184" s="161"/>
      <c r="M184" s="161"/>
      <c r="N184" s="161"/>
      <c r="O184" s="161"/>
      <c r="P184" s="161"/>
      <c r="Q184" s="161"/>
      <c r="R184" s="161"/>
      <c r="S184" s="161"/>
      <c r="T184" s="161"/>
      <c r="U184" s="161"/>
      <c r="V184" s="161"/>
      <c r="W184" s="161"/>
      <c r="X184" s="161"/>
      <c r="Y184" s="161"/>
      <c r="Z184" s="161"/>
    </row>
    <row r="185">
      <c r="A185" s="511"/>
      <c r="B185" s="18"/>
      <c r="C185" s="18"/>
      <c r="D185" s="161"/>
      <c r="E185" s="161"/>
      <c r="F185" s="511"/>
      <c r="G185" s="161"/>
      <c r="H185" s="161"/>
      <c r="I185" s="161"/>
      <c r="J185" s="161"/>
      <c r="K185" s="161"/>
      <c r="L185" s="161"/>
      <c r="M185" s="161"/>
      <c r="N185" s="161"/>
      <c r="O185" s="161"/>
      <c r="P185" s="161"/>
      <c r="Q185" s="161"/>
      <c r="R185" s="161"/>
      <c r="S185" s="161"/>
      <c r="T185" s="161"/>
      <c r="U185" s="161"/>
      <c r="V185" s="161"/>
      <c r="W185" s="161"/>
      <c r="X185" s="161"/>
      <c r="Y185" s="161"/>
      <c r="Z185" s="161"/>
    </row>
    <row r="186">
      <c r="A186" s="511"/>
      <c r="B186" s="18"/>
      <c r="C186" s="18"/>
      <c r="D186" s="161"/>
      <c r="E186" s="161"/>
      <c r="F186" s="511"/>
      <c r="G186" s="161"/>
      <c r="H186" s="161"/>
      <c r="I186" s="161"/>
      <c r="J186" s="161"/>
      <c r="K186" s="161"/>
      <c r="L186" s="161"/>
      <c r="M186" s="161"/>
      <c r="N186" s="161"/>
      <c r="O186" s="161"/>
      <c r="P186" s="161"/>
      <c r="Q186" s="161"/>
      <c r="R186" s="161"/>
      <c r="S186" s="161"/>
      <c r="T186" s="161"/>
      <c r="U186" s="161"/>
      <c r="V186" s="161"/>
      <c r="W186" s="161"/>
      <c r="X186" s="161"/>
      <c r="Y186" s="161"/>
      <c r="Z186" s="161"/>
    </row>
    <row r="187">
      <c r="A187" s="511"/>
      <c r="B187" s="18"/>
      <c r="C187" s="18"/>
      <c r="D187" s="161"/>
      <c r="E187" s="161"/>
      <c r="F187" s="511"/>
      <c r="G187" s="161"/>
      <c r="H187" s="161"/>
      <c r="I187" s="161"/>
      <c r="J187" s="161"/>
      <c r="K187" s="161"/>
      <c r="L187" s="161"/>
      <c r="M187" s="161"/>
      <c r="N187" s="161"/>
      <c r="O187" s="161"/>
      <c r="P187" s="161"/>
      <c r="Q187" s="161"/>
      <c r="R187" s="161"/>
      <c r="S187" s="161"/>
      <c r="T187" s="161"/>
      <c r="U187" s="161"/>
      <c r="V187" s="161"/>
      <c r="W187" s="161"/>
      <c r="X187" s="161"/>
      <c r="Y187" s="161"/>
      <c r="Z187" s="161"/>
    </row>
    <row r="188">
      <c r="A188" s="511"/>
      <c r="B188" s="18"/>
      <c r="C188" s="18"/>
      <c r="D188" s="161"/>
      <c r="E188" s="161"/>
      <c r="F188" s="511"/>
      <c r="G188" s="161"/>
      <c r="H188" s="161"/>
      <c r="I188" s="161"/>
      <c r="J188" s="161"/>
      <c r="K188" s="161"/>
      <c r="L188" s="161"/>
      <c r="M188" s="161"/>
      <c r="N188" s="161"/>
      <c r="O188" s="161"/>
      <c r="P188" s="161"/>
      <c r="Q188" s="161"/>
      <c r="R188" s="161"/>
      <c r="S188" s="161"/>
      <c r="T188" s="161"/>
      <c r="U188" s="161"/>
      <c r="V188" s="161"/>
      <c r="W188" s="161"/>
      <c r="X188" s="161"/>
      <c r="Y188" s="161"/>
      <c r="Z188" s="161"/>
    </row>
    <row r="189">
      <c r="A189" s="511"/>
      <c r="B189" s="18"/>
      <c r="C189" s="18"/>
      <c r="D189" s="161"/>
      <c r="E189" s="161"/>
      <c r="F189" s="511"/>
      <c r="G189" s="161"/>
      <c r="H189" s="161"/>
      <c r="I189" s="161"/>
      <c r="J189" s="161"/>
      <c r="K189" s="161"/>
      <c r="L189" s="161"/>
      <c r="M189" s="161"/>
      <c r="N189" s="161"/>
      <c r="O189" s="161"/>
      <c r="P189" s="161"/>
      <c r="Q189" s="161"/>
      <c r="R189" s="161"/>
      <c r="S189" s="161"/>
      <c r="T189" s="161"/>
      <c r="U189" s="161"/>
      <c r="V189" s="161"/>
      <c r="W189" s="161"/>
      <c r="X189" s="161"/>
      <c r="Y189" s="161"/>
      <c r="Z189" s="161"/>
    </row>
    <row r="190">
      <c r="A190" s="511"/>
      <c r="B190" s="18"/>
      <c r="C190" s="18"/>
      <c r="D190" s="161"/>
      <c r="E190" s="161"/>
      <c r="F190" s="511"/>
      <c r="G190" s="161"/>
      <c r="H190" s="161"/>
      <c r="I190" s="161"/>
      <c r="J190" s="161"/>
      <c r="K190" s="161"/>
      <c r="L190" s="161"/>
      <c r="M190" s="161"/>
      <c r="N190" s="161"/>
      <c r="O190" s="161"/>
      <c r="P190" s="161"/>
      <c r="Q190" s="161"/>
      <c r="R190" s="161"/>
      <c r="S190" s="161"/>
      <c r="T190" s="161"/>
      <c r="U190" s="161"/>
      <c r="V190" s="161"/>
      <c r="W190" s="161"/>
      <c r="X190" s="161"/>
      <c r="Y190" s="161"/>
      <c r="Z190" s="161"/>
    </row>
    <row r="191">
      <c r="A191" s="511"/>
      <c r="B191" s="18"/>
      <c r="C191" s="18"/>
      <c r="D191" s="161"/>
      <c r="E191" s="161"/>
      <c r="F191" s="511"/>
      <c r="G191" s="161"/>
      <c r="H191" s="161"/>
      <c r="I191" s="161"/>
      <c r="J191" s="161"/>
      <c r="K191" s="161"/>
      <c r="L191" s="161"/>
      <c r="M191" s="161"/>
      <c r="N191" s="161"/>
      <c r="O191" s="161"/>
      <c r="P191" s="161"/>
      <c r="Q191" s="161"/>
      <c r="R191" s="161"/>
      <c r="S191" s="161"/>
      <c r="T191" s="161"/>
      <c r="U191" s="161"/>
      <c r="V191" s="161"/>
      <c r="W191" s="161"/>
      <c r="X191" s="161"/>
      <c r="Y191" s="161"/>
      <c r="Z191" s="161"/>
    </row>
    <row r="192">
      <c r="A192" s="511"/>
      <c r="B192" s="18"/>
      <c r="C192" s="18"/>
      <c r="D192" s="161"/>
      <c r="E192" s="161"/>
      <c r="F192" s="511"/>
      <c r="G192" s="161"/>
      <c r="H192" s="161"/>
      <c r="I192" s="161"/>
      <c r="J192" s="161"/>
      <c r="K192" s="161"/>
      <c r="L192" s="161"/>
      <c r="M192" s="161"/>
      <c r="N192" s="161"/>
      <c r="O192" s="161"/>
      <c r="P192" s="161"/>
      <c r="Q192" s="161"/>
      <c r="R192" s="161"/>
      <c r="S192" s="161"/>
      <c r="T192" s="161"/>
      <c r="U192" s="161"/>
      <c r="V192" s="161"/>
      <c r="W192" s="161"/>
      <c r="X192" s="161"/>
      <c r="Y192" s="161"/>
      <c r="Z192" s="161"/>
    </row>
    <row r="193">
      <c r="A193" s="511"/>
      <c r="B193" s="18"/>
      <c r="C193" s="18"/>
      <c r="D193" s="161"/>
      <c r="E193" s="161"/>
      <c r="F193" s="511"/>
      <c r="G193" s="161"/>
      <c r="H193" s="161"/>
      <c r="I193" s="161"/>
      <c r="J193" s="161"/>
      <c r="K193" s="161"/>
      <c r="L193" s="161"/>
      <c r="M193" s="161"/>
      <c r="N193" s="161"/>
      <c r="O193" s="161"/>
      <c r="P193" s="161"/>
      <c r="Q193" s="161"/>
      <c r="R193" s="161"/>
      <c r="S193" s="161"/>
      <c r="T193" s="161"/>
      <c r="U193" s="161"/>
      <c r="V193" s="161"/>
      <c r="W193" s="161"/>
      <c r="X193" s="161"/>
      <c r="Y193" s="161"/>
      <c r="Z193" s="161"/>
    </row>
    <row r="194">
      <c r="A194" s="511"/>
      <c r="B194" s="18"/>
      <c r="C194" s="18"/>
      <c r="D194" s="161"/>
      <c r="E194" s="161"/>
      <c r="F194" s="511"/>
      <c r="G194" s="161"/>
      <c r="H194" s="161"/>
      <c r="I194" s="161"/>
      <c r="J194" s="161"/>
      <c r="K194" s="161"/>
      <c r="L194" s="161"/>
      <c r="M194" s="161"/>
      <c r="N194" s="161"/>
      <c r="O194" s="161"/>
      <c r="P194" s="161"/>
      <c r="Q194" s="161"/>
      <c r="R194" s="161"/>
      <c r="S194" s="161"/>
      <c r="T194" s="161"/>
      <c r="U194" s="161"/>
      <c r="V194" s="161"/>
      <c r="W194" s="161"/>
      <c r="X194" s="161"/>
      <c r="Y194" s="161"/>
      <c r="Z194" s="161"/>
    </row>
    <row r="195">
      <c r="A195" s="511"/>
      <c r="B195" s="18"/>
      <c r="C195" s="18"/>
      <c r="D195" s="161"/>
      <c r="E195" s="161"/>
      <c r="F195" s="511"/>
      <c r="G195" s="161"/>
      <c r="H195" s="161"/>
      <c r="I195" s="161"/>
      <c r="J195" s="161"/>
      <c r="K195" s="161"/>
      <c r="L195" s="161"/>
      <c r="M195" s="161"/>
      <c r="N195" s="161"/>
      <c r="O195" s="161"/>
      <c r="P195" s="161"/>
      <c r="Q195" s="161"/>
      <c r="R195" s="161"/>
      <c r="S195" s="161"/>
      <c r="T195" s="161"/>
      <c r="U195" s="161"/>
      <c r="V195" s="161"/>
      <c r="W195" s="161"/>
      <c r="X195" s="161"/>
      <c r="Y195" s="161"/>
      <c r="Z195" s="161"/>
    </row>
    <row r="196">
      <c r="A196" s="511"/>
      <c r="B196" s="18"/>
      <c r="C196" s="18"/>
      <c r="D196" s="161"/>
      <c r="E196" s="161"/>
      <c r="F196" s="511"/>
      <c r="G196" s="161"/>
      <c r="H196" s="161"/>
      <c r="I196" s="161"/>
      <c r="J196" s="161"/>
      <c r="K196" s="161"/>
      <c r="L196" s="161"/>
      <c r="M196" s="161"/>
      <c r="N196" s="161"/>
      <c r="O196" s="161"/>
      <c r="P196" s="161"/>
      <c r="Q196" s="161"/>
      <c r="R196" s="161"/>
      <c r="S196" s="161"/>
      <c r="T196" s="161"/>
      <c r="U196" s="161"/>
      <c r="V196" s="161"/>
      <c r="W196" s="161"/>
      <c r="X196" s="161"/>
      <c r="Y196" s="161"/>
      <c r="Z196" s="161"/>
    </row>
    <row r="197">
      <c r="A197" s="511"/>
      <c r="B197" s="18"/>
      <c r="C197" s="18"/>
      <c r="D197" s="161"/>
      <c r="E197" s="161"/>
      <c r="F197" s="511"/>
      <c r="G197" s="161"/>
      <c r="H197" s="161"/>
      <c r="I197" s="161"/>
      <c r="J197" s="161"/>
      <c r="K197" s="161"/>
      <c r="L197" s="161"/>
      <c r="M197" s="161"/>
      <c r="N197" s="161"/>
      <c r="O197" s="161"/>
      <c r="P197" s="161"/>
      <c r="Q197" s="161"/>
      <c r="R197" s="161"/>
      <c r="S197" s="161"/>
      <c r="T197" s="161"/>
      <c r="U197" s="161"/>
      <c r="V197" s="161"/>
      <c r="W197" s="161"/>
      <c r="X197" s="161"/>
      <c r="Y197" s="161"/>
      <c r="Z197" s="161"/>
    </row>
    <row r="198">
      <c r="A198" s="511"/>
      <c r="B198" s="18"/>
      <c r="C198" s="18"/>
      <c r="D198" s="161"/>
      <c r="E198" s="161"/>
      <c r="F198" s="511"/>
      <c r="G198" s="161"/>
      <c r="H198" s="161"/>
      <c r="I198" s="161"/>
      <c r="J198" s="161"/>
      <c r="K198" s="161"/>
      <c r="L198" s="161"/>
      <c r="M198" s="161"/>
      <c r="N198" s="161"/>
      <c r="O198" s="161"/>
      <c r="P198" s="161"/>
      <c r="Q198" s="161"/>
      <c r="R198" s="161"/>
      <c r="S198" s="161"/>
      <c r="T198" s="161"/>
      <c r="U198" s="161"/>
      <c r="V198" s="161"/>
      <c r="W198" s="161"/>
      <c r="X198" s="161"/>
      <c r="Y198" s="161"/>
      <c r="Z198" s="161"/>
    </row>
    <row r="199">
      <c r="A199" s="511"/>
      <c r="B199" s="18"/>
      <c r="C199" s="18"/>
      <c r="D199" s="161"/>
      <c r="E199" s="161"/>
      <c r="F199" s="511"/>
      <c r="G199" s="161"/>
      <c r="H199" s="161"/>
      <c r="I199" s="161"/>
      <c r="J199" s="161"/>
      <c r="K199" s="161"/>
      <c r="L199" s="161"/>
      <c r="M199" s="161"/>
      <c r="N199" s="161"/>
      <c r="O199" s="161"/>
      <c r="P199" s="161"/>
      <c r="Q199" s="161"/>
      <c r="R199" s="161"/>
      <c r="S199" s="161"/>
      <c r="T199" s="161"/>
      <c r="U199" s="161"/>
      <c r="V199" s="161"/>
      <c r="W199" s="161"/>
      <c r="X199" s="161"/>
      <c r="Y199" s="161"/>
      <c r="Z199" s="161"/>
    </row>
    <row r="200">
      <c r="A200" s="511"/>
      <c r="B200" s="18"/>
      <c r="C200" s="18"/>
      <c r="D200" s="161"/>
      <c r="E200" s="161"/>
      <c r="F200" s="511"/>
      <c r="G200" s="161"/>
      <c r="H200" s="161"/>
      <c r="I200" s="161"/>
      <c r="J200" s="161"/>
      <c r="K200" s="161"/>
      <c r="L200" s="161"/>
      <c r="M200" s="161"/>
      <c r="N200" s="161"/>
      <c r="O200" s="161"/>
      <c r="P200" s="161"/>
      <c r="Q200" s="161"/>
      <c r="R200" s="161"/>
      <c r="S200" s="161"/>
      <c r="T200" s="161"/>
      <c r="U200" s="161"/>
      <c r="V200" s="161"/>
      <c r="W200" s="161"/>
      <c r="X200" s="161"/>
      <c r="Y200" s="161"/>
      <c r="Z200" s="161"/>
    </row>
    <row r="201">
      <c r="A201" s="511"/>
      <c r="B201" s="18"/>
      <c r="C201" s="18"/>
      <c r="D201" s="161"/>
      <c r="E201" s="161"/>
      <c r="F201" s="511"/>
      <c r="G201" s="161"/>
      <c r="H201" s="161"/>
      <c r="I201" s="161"/>
      <c r="J201" s="161"/>
      <c r="K201" s="161"/>
      <c r="L201" s="161"/>
      <c r="M201" s="161"/>
      <c r="N201" s="161"/>
      <c r="O201" s="161"/>
      <c r="P201" s="161"/>
      <c r="Q201" s="161"/>
      <c r="R201" s="161"/>
      <c r="S201" s="161"/>
      <c r="T201" s="161"/>
      <c r="U201" s="161"/>
      <c r="V201" s="161"/>
      <c r="W201" s="161"/>
      <c r="X201" s="161"/>
      <c r="Y201" s="161"/>
      <c r="Z201" s="161"/>
    </row>
    <row r="202">
      <c r="A202" s="511"/>
      <c r="B202" s="18"/>
      <c r="C202" s="18"/>
      <c r="D202" s="161"/>
      <c r="E202" s="161"/>
      <c r="F202" s="511"/>
      <c r="G202" s="161"/>
      <c r="H202" s="161"/>
      <c r="I202" s="161"/>
      <c r="J202" s="161"/>
      <c r="K202" s="161"/>
      <c r="L202" s="161"/>
      <c r="M202" s="161"/>
      <c r="N202" s="161"/>
      <c r="O202" s="161"/>
      <c r="P202" s="161"/>
      <c r="Q202" s="161"/>
      <c r="R202" s="161"/>
      <c r="S202" s="161"/>
      <c r="T202" s="161"/>
      <c r="U202" s="161"/>
      <c r="V202" s="161"/>
      <c r="W202" s="161"/>
      <c r="X202" s="161"/>
      <c r="Y202" s="161"/>
      <c r="Z202" s="161"/>
    </row>
    <row r="203">
      <c r="A203" s="511"/>
      <c r="B203" s="18"/>
      <c r="C203" s="18"/>
      <c r="D203" s="161"/>
      <c r="E203" s="161"/>
      <c r="F203" s="511"/>
      <c r="G203" s="161"/>
      <c r="H203" s="161"/>
      <c r="I203" s="161"/>
      <c r="J203" s="161"/>
      <c r="K203" s="161"/>
      <c r="L203" s="161"/>
      <c r="M203" s="161"/>
      <c r="N203" s="161"/>
      <c r="O203" s="161"/>
      <c r="P203" s="161"/>
      <c r="Q203" s="161"/>
      <c r="R203" s="161"/>
      <c r="S203" s="161"/>
      <c r="T203" s="161"/>
      <c r="U203" s="161"/>
      <c r="V203" s="161"/>
      <c r="W203" s="161"/>
      <c r="X203" s="161"/>
      <c r="Y203" s="161"/>
      <c r="Z203" s="161"/>
    </row>
    <row r="204">
      <c r="A204" s="511"/>
      <c r="B204" s="18"/>
      <c r="C204" s="18"/>
      <c r="D204" s="161"/>
      <c r="E204" s="161"/>
      <c r="F204" s="511"/>
      <c r="G204" s="161"/>
      <c r="H204" s="161"/>
      <c r="I204" s="161"/>
      <c r="J204" s="161"/>
      <c r="K204" s="161"/>
      <c r="L204" s="161"/>
      <c r="M204" s="161"/>
      <c r="N204" s="161"/>
      <c r="O204" s="161"/>
      <c r="P204" s="161"/>
      <c r="Q204" s="161"/>
      <c r="R204" s="161"/>
      <c r="S204" s="161"/>
      <c r="T204" s="161"/>
      <c r="U204" s="161"/>
      <c r="V204" s="161"/>
      <c r="W204" s="161"/>
      <c r="X204" s="161"/>
      <c r="Y204" s="161"/>
      <c r="Z204" s="161"/>
    </row>
    <row r="205">
      <c r="A205" s="511"/>
      <c r="B205" s="18"/>
      <c r="C205" s="18"/>
      <c r="D205" s="161"/>
      <c r="E205" s="161"/>
      <c r="F205" s="511"/>
      <c r="G205" s="161"/>
      <c r="H205" s="161"/>
      <c r="I205" s="161"/>
      <c r="J205" s="161"/>
      <c r="K205" s="161"/>
      <c r="L205" s="161"/>
      <c r="M205" s="161"/>
      <c r="N205" s="161"/>
      <c r="O205" s="161"/>
      <c r="P205" s="161"/>
      <c r="Q205" s="161"/>
      <c r="R205" s="161"/>
      <c r="S205" s="161"/>
      <c r="T205" s="161"/>
      <c r="U205" s="161"/>
      <c r="V205" s="161"/>
      <c r="W205" s="161"/>
      <c r="X205" s="161"/>
      <c r="Y205" s="161"/>
      <c r="Z205" s="161"/>
    </row>
    <row r="206">
      <c r="A206" s="511"/>
      <c r="B206" s="18"/>
      <c r="C206" s="18"/>
      <c r="D206" s="161"/>
      <c r="E206" s="161"/>
      <c r="F206" s="511"/>
      <c r="G206" s="161"/>
      <c r="H206" s="161"/>
      <c r="I206" s="161"/>
      <c r="J206" s="161"/>
      <c r="K206" s="161"/>
      <c r="L206" s="161"/>
      <c r="M206" s="161"/>
      <c r="N206" s="161"/>
      <c r="O206" s="161"/>
      <c r="P206" s="161"/>
      <c r="Q206" s="161"/>
      <c r="R206" s="161"/>
      <c r="S206" s="161"/>
      <c r="T206" s="161"/>
      <c r="U206" s="161"/>
      <c r="V206" s="161"/>
      <c r="W206" s="161"/>
      <c r="X206" s="161"/>
      <c r="Y206" s="161"/>
      <c r="Z206" s="161"/>
    </row>
    <row r="207">
      <c r="A207" s="511"/>
      <c r="B207" s="18"/>
      <c r="C207" s="18"/>
      <c r="D207" s="161"/>
      <c r="E207" s="161"/>
      <c r="F207" s="511"/>
      <c r="G207" s="161"/>
      <c r="H207" s="161"/>
      <c r="I207" s="161"/>
      <c r="J207" s="161"/>
      <c r="K207" s="161"/>
      <c r="L207" s="161"/>
      <c r="M207" s="161"/>
      <c r="N207" s="161"/>
      <c r="O207" s="161"/>
      <c r="P207" s="161"/>
      <c r="Q207" s="161"/>
      <c r="R207" s="161"/>
      <c r="S207" s="161"/>
      <c r="T207" s="161"/>
      <c r="U207" s="161"/>
      <c r="V207" s="161"/>
      <c r="W207" s="161"/>
      <c r="X207" s="161"/>
      <c r="Y207" s="161"/>
      <c r="Z207" s="161"/>
    </row>
    <row r="208">
      <c r="A208" s="511"/>
      <c r="B208" s="18"/>
      <c r="C208" s="18"/>
      <c r="D208" s="161"/>
      <c r="E208" s="161"/>
      <c r="F208" s="511"/>
      <c r="G208" s="161"/>
      <c r="H208" s="161"/>
      <c r="I208" s="161"/>
      <c r="J208" s="161"/>
      <c r="K208" s="161"/>
      <c r="L208" s="161"/>
      <c r="M208" s="161"/>
      <c r="N208" s="161"/>
      <c r="O208" s="161"/>
      <c r="P208" s="161"/>
      <c r="Q208" s="161"/>
      <c r="R208" s="161"/>
      <c r="S208" s="161"/>
      <c r="T208" s="161"/>
      <c r="U208" s="161"/>
      <c r="V208" s="161"/>
      <c r="W208" s="161"/>
      <c r="X208" s="161"/>
      <c r="Y208" s="161"/>
      <c r="Z208" s="161"/>
    </row>
    <row r="209">
      <c r="A209" s="511"/>
      <c r="B209" s="18"/>
      <c r="C209" s="18"/>
      <c r="D209" s="161"/>
      <c r="E209" s="161"/>
      <c r="F209" s="511"/>
      <c r="G209" s="161"/>
      <c r="H209" s="161"/>
      <c r="I209" s="161"/>
      <c r="J209" s="161"/>
      <c r="K209" s="161"/>
      <c r="L209" s="161"/>
      <c r="M209" s="161"/>
      <c r="N209" s="161"/>
      <c r="O209" s="161"/>
      <c r="P209" s="161"/>
      <c r="Q209" s="161"/>
      <c r="R209" s="161"/>
      <c r="S209" s="161"/>
      <c r="T209" s="161"/>
      <c r="U209" s="161"/>
      <c r="V209" s="161"/>
      <c r="W209" s="161"/>
      <c r="X209" s="161"/>
      <c r="Y209" s="161"/>
      <c r="Z209" s="161"/>
    </row>
    <row r="210">
      <c r="A210" s="511"/>
      <c r="B210" s="18"/>
      <c r="C210" s="18"/>
      <c r="D210" s="161"/>
      <c r="E210" s="161"/>
      <c r="F210" s="511"/>
      <c r="G210" s="161"/>
      <c r="H210" s="161"/>
      <c r="I210" s="161"/>
      <c r="J210" s="161"/>
      <c r="K210" s="161"/>
      <c r="L210" s="161"/>
      <c r="M210" s="161"/>
      <c r="N210" s="161"/>
      <c r="O210" s="161"/>
      <c r="P210" s="161"/>
      <c r="Q210" s="161"/>
      <c r="R210" s="161"/>
      <c r="S210" s="161"/>
      <c r="T210" s="161"/>
      <c r="U210" s="161"/>
      <c r="V210" s="161"/>
      <c r="W210" s="161"/>
      <c r="X210" s="161"/>
      <c r="Y210" s="161"/>
      <c r="Z210" s="161"/>
    </row>
    <row r="211">
      <c r="A211" s="511"/>
      <c r="B211" s="18"/>
      <c r="C211" s="18"/>
      <c r="D211" s="161"/>
      <c r="E211" s="161"/>
      <c r="F211" s="511"/>
      <c r="G211" s="161"/>
      <c r="H211" s="161"/>
      <c r="I211" s="161"/>
      <c r="J211" s="161"/>
      <c r="K211" s="161"/>
      <c r="L211" s="161"/>
      <c r="M211" s="161"/>
      <c r="N211" s="161"/>
      <c r="O211" s="161"/>
      <c r="P211" s="161"/>
      <c r="Q211" s="161"/>
      <c r="R211" s="161"/>
      <c r="S211" s="161"/>
      <c r="T211" s="161"/>
      <c r="U211" s="161"/>
      <c r="V211" s="161"/>
      <c r="W211" s="161"/>
      <c r="X211" s="161"/>
      <c r="Y211" s="161"/>
      <c r="Z211" s="161"/>
    </row>
    <row r="212">
      <c r="A212" s="511"/>
      <c r="B212" s="18"/>
      <c r="C212" s="18"/>
      <c r="D212" s="161"/>
      <c r="E212" s="161"/>
      <c r="F212" s="511"/>
      <c r="G212" s="161"/>
      <c r="H212" s="161"/>
      <c r="I212" s="161"/>
      <c r="J212" s="161"/>
      <c r="K212" s="161"/>
      <c r="L212" s="161"/>
      <c r="M212" s="161"/>
      <c r="N212" s="161"/>
      <c r="O212" s="161"/>
      <c r="P212" s="161"/>
      <c r="Q212" s="161"/>
      <c r="R212" s="161"/>
      <c r="S212" s="161"/>
      <c r="T212" s="161"/>
      <c r="U212" s="161"/>
      <c r="V212" s="161"/>
      <c r="W212" s="161"/>
      <c r="X212" s="161"/>
      <c r="Y212" s="161"/>
      <c r="Z212" s="161"/>
    </row>
    <row r="213">
      <c r="A213" s="511"/>
      <c r="B213" s="18"/>
      <c r="C213" s="18"/>
      <c r="D213" s="161"/>
      <c r="E213" s="161"/>
      <c r="F213" s="511"/>
      <c r="G213" s="161"/>
      <c r="H213" s="161"/>
      <c r="I213" s="161"/>
      <c r="J213" s="161"/>
      <c r="K213" s="161"/>
      <c r="L213" s="161"/>
      <c r="M213" s="161"/>
      <c r="N213" s="161"/>
      <c r="O213" s="161"/>
      <c r="P213" s="161"/>
      <c r="Q213" s="161"/>
      <c r="R213" s="161"/>
      <c r="S213" s="161"/>
      <c r="T213" s="161"/>
      <c r="U213" s="161"/>
      <c r="V213" s="161"/>
      <c r="W213" s="161"/>
      <c r="X213" s="161"/>
      <c r="Y213" s="161"/>
      <c r="Z213" s="161"/>
    </row>
    <row r="214">
      <c r="A214" s="511"/>
      <c r="B214" s="18"/>
      <c r="C214" s="18"/>
      <c r="D214" s="161"/>
      <c r="E214" s="161"/>
      <c r="F214" s="511"/>
      <c r="G214" s="161"/>
      <c r="H214" s="161"/>
      <c r="I214" s="161"/>
      <c r="J214" s="161"/>
      <c r="K214" s="161"/>
      <c r="L214" s="161"/>
      <c r="M214" s="161"/>
      <c r="N214" s="161"/>
      <c r="O214" s="161"/>
      <c r="P214" s="161"/>
      <c r="Q214" s="161"/>
      <c r="R214" s="161"/>
      <c r="S214" s="161"/>
      <c r="T214" s="161"/>
      <c r="U214" s="161"/>
      <c r="V214" s="161"/>
      <c r="W214" s="161"/>
      <c r="X214" s="161"/>
      <c r="Y214" s="161"/>
      <c r="Z214" s="161"/>
    </row>
    <row r="215">
      <c r="A215" s="511"/>
      <c r="B215" s="18"/>
      <c r="C215" s="18"/>
      <c r="D215" s="161"/>
      <c r="E215" s="161"/>
      <c r="F215" s="511"/>
      <c r="G215" s="161"/>
      <c r="H215" s="161"/>
      <c r="I215" s="161"/>
      <c r="J215" s="161"/>
      <c r="K215" s="161"/>
      <c r="L215" s="161"/>
      <c r="M215" s="161"/>
      <c r="N215" s="161"/>
      <c r="O215" s="161"/>
      <c r="P215" s="161"/>
      <c r="Q215" s="161"/>
      <c r="R215" s="161"/>
      <c r="S215" s="161"/>
      <c r="T215" s="161"/>
      <c r="U215" s="161"/>
      <c r="V215" s="161"/>
      <c r="W215" s="161"/>
      <c r="X215" s="161"/>
      <c r="Y215" s="161"/>
      <c r="Z215" s="161"/>
    </row>
    <row r="216">
      <c r="A216" s="511"/>
      <c r="B216" s="18"/>
      <c r="C216" s="18"/>
      <c r="D216" s="161"/>
      <c r="E216" s="161"/>
      <c r="F216" s="511"/>
      <c r="G216" s="161"/>
      <c r="H216" s="161"/>
      <c r="I216" s="161"/>
      <c r="J216" s="161"/>
      <c r="K216" s="161"/>
      <c r="L216" s="161"/>
      <c r="M216" s="161"/>
      <c r="N216" s="161"/>
      <c r="O216" s="161"/>
      <c r="P216" s="161"/>
      <c r="Q216" s="161"/>
      <c r="R216" s="161"/>
      <c r="S216" s="161"/>
      <c r="T216" s="161"/>
      <c r="U216" s="161"/>
      <c r="V216" s="161"/>
      <c r="W216" s="161"/>
      <c r="X216" s="161"/>
      <c r="Y216" s="161"/>
      <c r="Z216" s="161"/>
    </row>
    <row r="217">
      <c r="A217" s="511"/>
      <c r="B217" s="18"/>
      <c r="C217" s="18"/>
      <c r="D217" s="161"/>
      <c r="E217" s="161"/>
      <c r="F217" s="511"/>
      <c r="G217" s="161"/>
      <c r="H217" s="161"/>
      <c r="I217" s="161"/>
      <c r="J217" s="161"/>
      <c r="K217" s="161"/>
      <c r="L217" s="161"/>
      <c r="M217" s="161"/>
      <c r="N217" s="161"/>
      <c r="O217" s="161"/>
      <c r="P217" s="161"/>
      <c r="Q217" s="161"/>
      <c r="R217" s="161"/>
      <c r="S217" s="161"/>
      <c r="T217" s="161"/>
      <c r="U217" s="161"/>
      <c r="V217" s="161"/>
      <c r="W217" s="161"/>
      <c r="X217" s="161"/>
      <c r="Y217" s="161"/>
      <c r="Z217" s="161"/>
    </row>
    <row r="218">
      <c r="A218" s="511"/>
      <c r="B218" s="18"/>
      <c r="C218" s="18"/>
      <c r="D218" s="161"/>
      <c r="E218" s="161"/>
      <c r="F218" s="511"/>
      <c r="G218" s="161"/>
      <c r="H218" s="161"/>
      <c r="I218" s="161"/>
      <c r="J218" s="161"/>
      <c r="K218" s="161"/>
      <c r="L218" s="161"/>
      <c r="M218" s="161"/>
      <c r="N218" s="161"/>
      <c r="O218" s="161"/>
      <c r="P218" s="161"/>
      <c r="Q218" s="161"/>
      <c r="R218" s="161"/>
      <c r="S218" s="161"/>
      <c r="T218" s="161"/>
      <c r="U218" s="161"/>
      <c r="V218" s="161"/>
      <c r="W218" s="161"/>
      <c r="X218" s="161"/>
      <c r="Y218" s="161"/>
      <c r="Z218" s="161"/>
    </row>
    <row r="219">
      <c r="A219" s="511"/>
      <c r="B219" s="18"/>
      <c r="C219" s="18"/>
      <c r="D219" s="161"/>
      <c r="E219" s="161"/>
      <c r="F219" s="511"/>
      <c r="G219" s="161"/>
      <c r="H219" s="161"/>
      <c r="I219" s="161"/>
      <c r="J219" s="161"/>
      <c r="K219" s="161"/>
      <c r="L219" s="161"/>
      <c r="M219" s="161"/>
      <c r="N219" s="161"/>
      <c r="O219" s="161"/>
      <c r="P219" s="161"/>
      <c r="Q219" s="161"/>
      <c r="R219" s="161"/>
      <c r="S219" s="161"/>
      <c r="T219" s="161"/>
      <c r="U219" s="161"/>
      <c r="V219" s="161"/>
      <c r="W219" s="161"/>
      <c r="X219" s="161"/>
      <c r="Y219" s="161"/>
      <c r="Z219" s="161"/>
    </row>
    <row r="220">
      <c r="A220" s="511"/>
      <c r="B220" s="18"/>
      <c r="C220" s="18"/>
      <c r="D220" s="161"/>
      <c r="E220" s="161"/>
      <c r="F220" s="511"/>
      <c r="G220" s="161"/>
      <c r="H220" s="161"/>
      <c r="I220" s="161"/>
      <c r="J220" s="161"/>
      <c r="K220" s="161"/>
      <c r="L220" s="161"/>
      <c r="M220" s="161"/>
      <c r="N220" s="161"/>
      <c r="O220" s="161"/>
      <c r="P220" s="161"/>
      <c r="Q220" s="161"/>
      <c r="R220" s="161"/>
      <c r="S220" s="161"/>
      <c r="T220" s="161"/>
      <c r="U220" s="161"/>
      <c r="V220" s="161"/>
      <c r="W220" s="161"/>
      <c r="X220" s="161"/>
      <c r="Y220" s="161"/>
      <c r="Z220" s="161"/>
    </row>
    <row r="221">
      <c r="A221" s="511"/>
      <c r="B221" s="18"/>
      <c r="C221" s="18"/>
      <c r="D221" s="161"/>
      <c r="E221" s="161"/>
      <c r="F221" s="511"/>
      <c r="G221" s="161"/>
      <c r="H221" s="161"/>
      <c r="I221" s="161"/>
      <c r="J221" s="161"/>
      <c r="K221" s="161"/>
      <c r="L221" s="161"/>
      <c r="M221" s="161"/>
      <c r="N221" s="161"/>
      <c r="O221" s="161"/>
      <c r="P221" s="161"/>
      <c r="Q221" s="161"/>
      <c r="R221" s="161"/>
      <c r="S221" s="161"/>
      <c r="T221" s="161"/>
      <c r="U221" s="161"/>
      <c r="V221" s="161"/>
      <c r="W221" s="161"/>
      <c r="X221" s="161"/>
      <c r="Y221" s="161"/>
      <c r="Z221" s="161"/>
    </row>
    <row r="222">
      <c r="A222" s="511"/>
      <c r="B222" s="18"/>
      <c r="C222" s="18"/>
      <c r="D222" s="161"/>
      <c r="E222" s="161"/>
      <c r="F222" s="511"/>
      <c r="G222" s="161"/>
      <c r="H222" s="161"/>
      <c r="I222" s="161"/>
      <c r="J222" s="161"/>
      <c r="K222" s="161"/>
      <c r="L222" s="161"/>
      <c r="M222" s="161"/>
      <c r="N222" s="161"/>
      <c r="O222" s="161"/>
      <c r="P222" s="161"/>
      <c r="Q222" s="161"/>
      <c r="R222" s="161"/>
      <c r="S222" s="161"/>
      <c r="T222" s="161"/>
      <c r="U222" s="161"/>
      <c r="V222" s="161"/>
      <c r="W222" s="161"/>
      <c r="X222" s="161"/>
      <c r="Y222" s="161"/>
      <c r="Z222" s="161"/>
    </row>
    <row r="223">
      <c r="A223" s="511"/>
      <c r="B223" s="18"/>
      <c r="C223" s="18"/>
      <c r="D223" s="161"/>
      <c r="E223" s="161"/>
      <c r="F223" s="511"/>
      <c r="G223" s="161"/>
      <c r="H223" s="161"/>
      <c r="I223" s="161"/>
      <c r="J223" s="161"/>
      <c r="K223" s="161"/>
      <c r="L223" s="161"/>
      <c r="M223" s="161"/>
      <c r="N223" s="161"/>
      <c r="O223" s="161"/>
      <c r="P223" s="161"/>
      <c r="Q223" s="161"/>
      <c r="R223" s="161"/>
      <c r="S223" s="161"/>
      <c r="T223" s="161"/>
      <c r="U223" s="161"/>
      <c r="V223" s="161"/>
      <c r="W223" s="161"/>
      <c r="X223" s="161"/>
      <c r="Y223" s="161"/>
      <c r="Z223" s="161"/>
    </row>
    <row r="224">
      <c r="A224" s="511"/>
      <c r="B224" s="18"/>
      <c r="C224" s="18"/>
      <c r="D224" s="161"/>
      <c r="E224" s="161"/>
      <c r="F224" s="511"/>
      <c r="G224" s="161"/>
      <c r="H224" s="161"/>
      <c r="I224" s="161"/>
      <c r="J224" s="161"/>
      <c r="K224" s="161"/>
      <c r="L224" s="161"/>
      <c r="M224" s="161"/>
      <c r="N224" s="161"/>
      <c r="O224" s="161"/>
      <c r="P224" s="161"/>
      <c r="Q224" s="161"/>
      <c r="R224" s="161"/>
      <c r="S224" s="161"/>
      <c r="T224" s="161"/>
      <c r="U224" s="161"/>
      <c r="V224" s="161"/>
      <c r="W224" s="161"/>
      <c r="X224" s="161"/>
      <c r="Y224" s="161"/>
      <c r="Z224" s="161"/>
    </row>
    <row r="225">
      <c r="A225" s="511"/>
      <c r="B225" s="18"/>
      <c r="C225" s="18"/>
      <c r="D225" s="161"/>
      <c r="E225" s="161"/>
      <c r="F225" s="511"/>
      <c r="G225" s="161"/>
      <c r="H225" s="161"/>
      <c r="I225" s="161"/>
      <c r="J225" s="161"/>
      <c r="K225" s="161"/>
      <c r="L225" s="161"/>
      <c r="M225" s="161"/>
      <c r="N225" s="161"/>
      <c r="O225" s="161"/>
      <c r="P225" s="161"/>
      <c r="Q225" s="161"/>
      <c r="R225" s="161"/>
      <c r="S225" s="161"/>
      <c r="T225" s="161"/>
      <c r="U225" s="161"/>
      <c r="V225" s="161"/>
      <c r="W225" s="161"/>
      <c r="X225" s="161"/>
      <c r="Y225" s="161"/>
      <c r="Z225" s="161"/>
    </row>
    <row r="226">
      <c r="A226" s="511"/>
      <c r="B226" s="18"/>
      <c r="C226" s="18"/>
      <c r="D226" s="161"/>
      <c r="E226" s="161"/>
      <c r="F226" s="511"/>
      <c r="G226" s="161"/>
      <c r="H226" s="161"/>
      <c r="I226" s="161"/>
      <c r="J226" s="161"/>
      <c r="K226" s="161"/>
      <c r="L226" s="161"/>
      <c r="M226" s="161"/>
      <c r="N226" s="161"/>
      <c r="O226" s="161"/>
      <c r="P226" s="161"/>
      <c r="Q226" s="161"/>
      <c r="R226" s="161"/>
      <c r="S226" s="161"/>
      <c r="T226" s="161"/>
      <c r="U226" s="161"/>
      <c r="V226" s="161"/>
      <c r="W226" s="161"/>
      <c r="X226" s="161"/>
      <c r="Y226" s="161"/>
      <c r="Z226" s="161"/>
    </row>
    <row r="227">
      <c r="A227" s="511"/>
      <c r="B227" s="18"/>
      <c r="C227" s="18"/>
      <c r="D227" s="161"/>
      <c r="E227" s="161"/>
      <c r="F227" s="511"/>
      <c r="G227" s="161"/>
      <c r="H227" s="161"/>
      <c r="I227" s="161"/>
      <c r="J227" s="161"/>
      <c r="K227" s="161"/>
      <c r="L227" s="161"/>
      <c r="M227" s="161"/>
      <c r="N227" s="161"/>
      <c r="O227" s="161"/>
      <c r="P227" s="161"/>
      <c r="Q227" s="161"/>
      <c r="R227" s="161"/>
      <c r="S227" s="161"/>
      <c r="T227" s="161"/>
      <c r="U227" s="161"/>
      <c r="V227" s="161"/>
      <c r="W227" s="161"/>
      <c r="X227" s="161"/>
      <c r="Y227" s="161"/>
      <c r="Z227" s="161"/>
    </row>
    <row r="228">
      <c r="A228" s="511"/>
      <c r="B228" s="18"/>
      <c r="C228" s="18"/>
      <c r="D228" s="161"/>
      <c r="E228" s="161"/>
      <c r="F228" s="511"/>
      <c r="G228" s="161"/>
      <c r="H228" s="161"/>
      <c r="I228" s="161"/>
      <c r="J228" s="161"/>
      <c r="K228" s="161"/>
      <c r="L228" s="161"/>
      <c r="M228" s="161"/>
      <c r="N228" s="161"/>
      <c r="O228" s="161"/>
      <c r="P228" s="161"/>
      <c r="Q228" s="161"/>
      <c r="R228" s="161"/>
      <c r="S228" s="161"/>
      <c r="T228" s="161"/>
      <c r="U228" s="161"/>
      <c r="V228" s="161"/>
      <c r="W228" s="161"/>
      <c r="X228" s="161"/>
      <c r="Y228" s="161"/>
      <c r="Z228" s="161"/>
    </row>
    <row r="229">
      <c r="A229" s="511"/>
      <c r="B229" s="18"/>
      <c r="C229" s="18"/>
      <c r="D229" s="161"/>
      <c r="E229" s="161"/>
      <c r="F229" s="511"/>
      <c r="G229" s="161"/>
      <c r="H229" s="161"/>
      <c r="I229" s="161"/>
      <c r="J229" s="161"/>
      <c r="K229" s="161"/>
      <c r="L229" s="161"/>
      <c r="M229" s="161"/>
      <c r="N229" s="161"/>
      <c r="O229" s="161"/>
      <c r="P229" s="161"/>
      <c r="Q229" s="161"/>
      <c r="R229" s="161"/>
      <c r="S229" s="161"/>
      <c r="T229" s="161"/>
      <c r="U229" s="161"/>
      <c r="V229" s="161"/>
      <c r="W229" s="161"/>
      <c r="X229" s="161"/>
      <c r="Y229" s="161"/>
      <c r="Z229" s="161"/>
    </row>
    <row r="230">
      <c r="A230" s="511"/>
      <c r="B230" s="18"/>
      <c r="C230" s="18"/>
      <c r="D230" s="161"/>
      <c r="E230" s="161"/>
      <c r="F230" s="511"/>
      <c r="G230" s="161"/>
      <c r="H230" s="161"/>
      <c r="I230" s="161"/>
      <c r="J230" s="161"/>
      <c r="K230" s="161"/>
      <c r="L230" s="161"/>
      <c r="M230" s="161"/>
      <c r="N230" s="161"/>
      <c r="O230" s="161"/>
      <c r="P230" s="161"/>
      <c r="Q230" s="161"/>
      <c r="R230" s="161"/>
      <c r="S230" s="161"/>
      <c r="T230" s="161"/>
      <c r="U230" s="161"/>
      <c r="V230" s="161"/>
      <c r="W230" s="161"/>
      <c r="X230" s="161"/>
      <c r="Y230" s="161"/>
      <c r="Z230" s="161"/>
    </row>
    <row r="231">
      <c r="A231" s="511"/>
      <c r="B231" s="18"/>
      <c r="C231" s="18"/>
      <c r="D231" s="161"/>
      <c r="E231" s="161"/>
      <c r="F231" s="511"/>
      <c r="G231" s="161"/>
      <c r="H231" s="161"/>
      <c r="I231" s="161"/>
      <c r="J231" s="161"/>
      <c r="K231" s="161"/>
      <c r="L231" s="161"/>
      <c r="M231" s="161"/>
      <c r="N231" s="161"/>
      <c r="O231" s="161"/>
      <c r="P231" s="161"/>
      <c r="Q231" s="161"/>
      <c r="R231" s="161"/>
      <c r="S231" s="161"/>
      <c r="T231" s="161"/>
      <c r="U231" s="161"/>
      <c r="V231" s="161"/>
      <c r="W231" s="161"/>
      <c r="X231" s="161"/>
      <c r="Y231" s="161"/>
      <c r="Z231" s="161"/>
    </row>
    <row r="232">
      <c r="A232" s="511"/>
      <c r="B232" s="18"/>
      <c r="C232" s="18"/>
      <c r="D232" s="161"/>
      <c r="E232" s="161"/>
      <c r="F232" s="511"/>
      <c r="G232" s="161"/>
      <c r="H232" s="161"/>
      <c r="I232" s="161"/>
      <c r="J232" s="161"/>
      <c r="K232" s="161"/>
      <c r="L232" s="161"/>
      <c r="M232" s="161"/>
      <c r="N232" s="161"/>
      <c r="O232" s="161"/>
      <c r="P232" s="161"/>
      <c r="Q232" s="161"/>
      <c r="R232" s="161"/>
      <c r="S232" s="161"/>
      <c r="T232" s="161"/>
      <c r="U232" s="161"/>
      <c r="V232" s="161"/>
      <c r="W232" s="161"/>
      <c r="X232" s="161"/>
      <c r="Y232" s="161"/>
      <c r="Z232" s="161"/>
    </row>
    <row r="233">
      <c r="A233" s="511"/>
      <c r="B233" s="18"/>
      <c r="C233" s="18"/>
      <c r="D233" s="161"/>
      <c r="E233" s="161"/>
      <c r="F233" s="511"/>
      <c r="G233" s="161"/>
      <c r="H233" s="161"/>
      <c r="I233" s="161"/>
      <c r="J233" s="161"/>
      <c r="K233" s="161"/>
      <c r="L233" s="161"/>
      <c r="M233" s="161"/>
      <c r="N233" s="161"/>
      <c r="O233" s="161"/>
      <c r="P233" s="161"/>
      <c r="Q233" s="161"/>
      <c r="R233" s="161"/>
      <c r="S233" s="161"/>
      <c r="T233" s="161"/>
      <c r="U233" s="161"/>
      <c r="V233" s="161"/>
      <c r="W233" s="161"/>
      <c r="X233" s="161"/>
      <c r="Y233" s="161"/>
      <c r="Z233" s="161"/>
    </row>
    <row r="234">
      <c r="A234" s="511"/>
      <c r="B234" s="18"/>
      <c r="C234" s="18"/>
      <c r="D234" s="161"/>
      <c r="E234" s="161"/>
      <c r="F234" s="511"/>
      <c r="G234" s="161"/>
      <c r="H234" s="161"/>
      <c r="I234" s="161"/>
      <c r="J234" s="161"/>
      <c r="K234" s="161"/>
      <c r="L234" s="161"/>
      <c r="M234" s="161"/>
      <c r="N234" s="161"/>
      <c r="O234" s="161"/>
      <c r="P234" s="161"/>
      <c r="Q234" s="161"/>
      <c r="R234" s="161"/>
      <c r="S234" s="161"/>
      <c r="T234" s="161"/>
      <c r="U234" s="161"/>
      <c r="V234" s="161"/>
      <c r="W234" s="161"/>
      <c r="X234" s="161"/>
      <c r="Y234" s="161"/>
      <c r="Z234" s="161"/>
    </row>
    <row r="235">
      <c r="A235" s="511"/>
      <c r="B235" s="18"/>
      <c r="C235" s="18"/>
      <c r="D235" s="161"/>
      <c r="E235" s="161"/>
      <c r="F235" s="511"/>
      <c r="G235" s="161"/>
      <c r="H235" s="161"/>
      <c r="I235" s="161"/>
      <c r="J235" s="161"/>
      <c r="K235" s="161"/>
      <c r="L235" s="161"/>
      <c r="M235" s="161"/>
      <c r="N235" s="161"/>
      <c r="O235" s="161"/>
      <c r="P235" s="161"/>
      <c r="Q235" s="161"/>
      <c r="R235" s="161"/>
      <c r="S235" s="161"/>
      <c r="T235" s="161"/>
      <c r="U235" s="161"/>
      <c r="V235" s="161"/>
      <c r="W235" s="161"/>
      <c r="X235" s="161"/>
      <c r="Y235" s="161"/>
      <c r="Z235" s="161"/>
    </row>
    <row r="236">
      <c r="A236" s="511"/>
      <c r="B236" s="18"/>
      <c r="C236" s="18"/>
      <c r="D236" s="161"/>
      <c r="E236" s="161"/>
      <c r="F236" s="511"/>
      <c r="G236" s="161"/>
      <c r="H236" s="161"/>
      <c r="I236" s="161"/>
      <c r="J236" s="161"/>
      <c r="K236" s="161"/>
      <c r="L236" s="161"/>
      <c r="M236" s="161"/>
      <c r="N236" s="161"/>
      <c r="O236" s="161"/>
      <c r="P236" s="161"/>
      <c r="Q236" s="161"/>
      <c r="R236" s="161"/>
      <c r="S236" s="161"/>
      <c r="T236" s="161"/>
      <c r="U236" s="161"/>
      <c r="V236" s="161"/>
      <c r="W236" s="161"/>
      <c r="X236" s="161"/>
      <c r="Y236" s="161"/>
      <c r="Z236" s="161"/>
    </row>
    <row r="237">
      <c r="A237" s="511"/>
      <c r="B237" s="18"/>
      <c r="C237" s="18"/>
      <c r="D237" s="161"/>
      <c r="E237" s="161"/>
      <c r="F237" s="511"/>
      <c r="G237" s="161"/>
      <c r="H237" s="161"/>
      <c r="I237" s="161"/>
      <c r="J237" s="161"/>
      <c r="K237" s="161"/>
      <c r="L237" s="161"/>
      <c r="M237" s="161"/>
      <c r="N237" s="161"/>
      <c r="O237" s="161"/>
      <c r="P237" s="161"/>
      <c r="Q237" s="161"/>
      <c r="R237" s="161"/>
      <c r="S237" s="161"/>
      <c r="T237" s="161"/>
      <c r="U237" s="161"/>
      <c r="V237" s="161"/>
      <c r="W237" s="161"/>
      <c r="X237" s="161"/>
      <c r="Y237" s="161"/>
      <c r="Z237" s="161"/>
    </row>
    <row r="238">
      <c r="A238" s="511"/>
      <c r="B238" s="18"/>
      <c r="C238" s="18"/>
      <c r="D238" s="161"/>
      <c r="E238" s="161"/>
      <c r="F238" s="511"/>
      <c r="G238" s="161"/>
      <c r="H238" s="161"/>
      <c r="I238" s="161"/>
      <c r="J238" s="161"/>
      <c r="K238" s="161"/>
      <c r="L238" s="161"/>
      <c r="M238" s="161"/>
      <c r="N238" s="161"/>
      <c r="O238" s="161"/>
      <c r="P238" s="161"/>
      <c r="Q238" s="161"/>
      <c r="R238" s="161"/>
      <c r="S238" s="161"/>
      <c r="T238" s="161"/>
      <c r="U238" s="161"/>
      <c r="V238" s="161"/>
      <c r="W238" s="161"/>
      <c r="X238" s="161"/>
      <c r="Y238" s="161"/>
      <c r="Z238" s="161"/>
    </row>
    <row r="239">
      <c r="A239" s="511"/>
      <c r="B239" s="18"/>
      <c r="C239" s="18"/>
      <c r="D239" s="161"/>
      <c r="E239" s="161"/>
      <c r="F239" s="511"/>
      <c r="G239" s="161"/>
      <c r="H239" s="161"/>
      <c r="I239" s="161"/>
      <c r="J239" s="161"/>
      <c r="K239" s="161"/>
      <c r="L239" s="161"/>
      <c r="M239" s="161"/>
      <c r="N239" s="161"/>
      <c r="O239" s="161"/>
      <c r="P239" s="161"/>
      <c r="Q239" s="161"/>
      <c r="R239" s="161"/>
      <c r="S239" s="161"/>
      <c r="T239" s="161"/>
      <c r="U239" s="161"/>
      <c r="V239" s="161"/>
      <c r="W239" s="161"/>
      <c r="X239" s="161"/>
      <c r="Y239" s="161"/>
      <c r="Z239" s="161"/>
    </row>
    <row r="240">
      <c r="A240" s="511"/>
      <c r="B240" s="18"/>
      <c r="C240" s="18"/>
      <c r="D240" s="161"/>
      <c r="E240" s="161"/>
      <c r="F240" s="511"/>
      <c r="G240" s="161"/>
      <c r="H240" s="161"/>
      <c r="I240" s="161"/>
      <c r="J240" s="161"/>
      <c r="K240" s="161"/>
      <c r="L240" s="161"/>
      <c r="M240" s="161"/>
      <c r="N240" s="161"/>
      <c r="O240" s="161"/>
      <c r="P240" s="161"/>
      <c r="Q240" s="161"/>
      <c r="R240" s="161"/>
      <c r="S240" s="161"/>
      <c r="T240" s="161"/>
      <c r="U240" s="161"/>
      <c r="V240" s="161"/>
      <c r="W240" s="161"/>
      <c r="X240" s="161"/>
      <c r="Y240" s="161"/>
      <c r="Z240" s="161"/>
    </row>
    <row r="241">
      <c r="A241" s="511"/>
      <c r="B241" s="18"/>
      <c r="C241" s="18"/>
      <c r="D241" s="161"/>
      <c r="E241" s="161"/>
      <c r="F241" s="511"/>
      <c r="G241" s="161"/>
      <c r="H241" s="161"/>
      <c r="I241" s="161"/>
      <c r="J241" s="161"/>
      <c r="K241" s="161"/>
      <c r="L241" s="161"/>
      <c r="M241" s="161"/>
      <c r="N241" s="161"/>
      <c r="O241" s="161"/>
      <c r="P241" s="161"/>
      <c r="Q241" s="161"/>
      <c r="R241" s="161"/>
      <c r="S241" s="161"/>
      <c r="T241" s="161"/>
      <c r="U241" s="161"/>
      <c r="V241" s="161"/>
      <c r="W241" s="161"/>
      <c r="X241" s="161"/>
      <c r="Y241" s="161"/>
      <c r="Z241" s="161"/>
    </row>
    <row r="242">
      <c r="A242" s="511"/>
      <c r="B242" s="18"/>
      <c r="C242" s="18"/>
      <c r="D242" s="161"/>
      <c r="E242" s="161"/>
      <c r="F242" s="511"/>
      <c r="G242" s="161"/>
      <c r="H242" s="161"/>
      <c r="I242" s="161"/>
      <c r="J242" s="161"/>
      <c r="K242" s="161"/>
      <c r="L242" s="161"/>
      <c r="M242" s="161"/>
      <c r="N242" s="161"/>
      <c r="O242" s="161"/>
      <c r="P242" s="161"/>
      <c r="Q242" s="161"/>
      <c r="R242" s="161"/>
      <c r="S242" s="161"/>
      <c r="T242" s="161"/>
      <c r="U242" s="161"/>
      <c r="V242" s="161"/>
      <c r="W242" s="161"/>
      <c r="X242" s="161"/>
      <c r="Y242" s="161"/>
      <c r="Z242" s="161"/>
    </row>
    <row r="243">
      <c r="A243" s="511"/>
      <c r="B243" s="18"/>
      <c r="C243" s="18"/>
      <c r="D243" s="161"/>
      <c r="E243" s="161"/>
      <c r="F243" s="511"/>
      <c r="G243" s="161"/>
      <c r="H243" s="161"/>
      <c r="I243" s="161"/>
      <c r="J243" s="161"/>
      <c r="K243" s="161"/>
      <c r="L243" s="161"/>
      <c r="M243" s="161"/>
      <c r="N243" s="161"/>
      <c r="O243" s="161"/>
      <c r="P243" s="161"/>
      <c r="Q243" s="161"/>
      <c r="R243" s="161"/>
      <c r="S243" s="161"/>
      <c r="T243" s="161"/>
      <c r="U243" s="161"/>
      <c r="V243" s="161"/>
      <c r="W243" s="161"/>
      <c r="X243" s="161"/>
      <c r="Y243" s="161"/>
      <c r="Z243" s="161"/>
    </row>
    <row r="244">
      <c r="A244" s="511"/>
      <c r="B244" s="18"/>
      <c r="C244" s="18"/>
      <c r="D244" s="161"/>
      <c r="E244" s="161"/>
      <c r="F244" s="511"/>
      <c r="G244" s="161"/>
      <c r="H244" s="161"/>
      <c r="I244" s="161"/>
      <c r="J244" s="161"/>
      <c r="K244" s="161"/>
      <c r="L244" s="161"/>
      <c r="M244" s="161"/>
      <c r="N244" s="161"/>
      <c r="O244" s="161"/>
      <c r="P244" s="161"/>
      <c r="Q244" s="161"/>
      <c r="R244" s="161"/>
      <c r="S244" s="161"/>
      <c r="T244" s="161"/>
      <c r="U244" s="161"/>
      <c r="V244" s="161"/>
      <c r="W244" s="161"/>
      <c r="X244" s="161"/>
      <c r="Y244" s="161"/>
      <c r="Z244" s="161"/>
    </row>
    <row r="245">
      <c r="A245" s="511"/>
      <c r="B245" s="18"/>
      <c r="C245" s="18"/>
      <c r="D245" s="161"/>
      <c r="E245" s="161"/>
      <c r="F245" s="511"/>
      <c r="G245" s="161"/>
      <c r="H245" s="161"/>
      <c r="I245" s="161"/>
      <c r="J245" s="161"/>
      <c r="K245" s="161"/>
      <c r="L245" s="161"/>
      <c r="M245" s="161"/>
      <c r="N245" s="161"/>
      <c r="O245" s="161"/>
      <c r="P245" s="161"/>
      <c r="Q245" s="161"/>
      <c r="R245" s="161"/>
      <c r="S245" s="161"/>
      <c r="T245" s="161"/>
      <c r="U245" s="161"/>
      <c r="V245" s="161"/>
      <c r="W245" s="161"/>
      <c r="X245" s="161"/>
      <c r="Y245" s="161"/>
      <c r="Z245" s="161"/>
    </row>
    <row r="246">
      <c r="A246" s="511"/>
      <c r="B246" s="18"/>
      <c r="C246" s="18"/>
      <c r="D246" s="161"/>
      <c r="E246" s="161"/>
      <c r="F246" s="511"/>
      <c r="G246" s="161"/>
      <c r="H246" s="161"/>
      <c r="I246" s="161"/>
      <c r="J246" s="161"/>
      <c r="K246" s="161"/>
      <c r="L246" s="161"/>
      <c r="M246" s="161"/>
      <c r="N246" s="161"/>
      <c r="O246" s="161"/>
      <c r="P246" s="161"/>
      <c r="Q246" s="161"/>
      <c r="R246" s="161"/>
      <c r="S246" s="161"/>
      <c r="T246" s="161"/>
      <c r="U246" s="161"/>
      <c r="V246" s="161"/>
      <c r="W246" s="161"/>
      <c r="X246" s="161"/>
      <c r="Y246" s="161"/>
      <c r="Z246" s="161"/>
    </row>
    <row r="247">
      <c r="A247" s="511"/>
      <c r="B247" s="18"/>
      <c r="C247" s="18"/>
      <c r="D247" s="161"/>
      <c r="E247" s="161"/>
      <c r="F247" s="511"/>
      <c r="G247" s="161"/>
      <c r="H247" s="161"/>
      <c r="I247" s="161"/>
      <c r="J247" s="161"/>
      <c r="K247" s="161"/>
      <c r="L247" s="161"/>
      <c r="M247" s="161"/>
      <c r="N247" s="161"/>
      <c r="O247" s="161"/>
      <c r="P247" s="161"/>
      <c r="Q247" s="161"/>
      <c r="R247" s="161"/>
      <c r="S247" s="161"/>
      <c r="T247" s="161"/>
      <c r="U247" s="161"/>
      <c r="V247" s="161"/>
      <c r="W247" s="161"/>
      <c r="X247" s="161"/>
      <c r="Y247" s="161"/>
      <c r="Z247" s="161"/>
    </row>
    <row r="248">
      <c r="A248" s="511"/>
      <c r="B248" s="18"/>
      <c r="C248" s="18"/>
      <c r="D248" s="161"/>
      <c r="E248" s="161"/>
      <c r="F248" s="511"/>
      <c r="G248" s="161"/>
      <c r="H248" s="161"/>
      <c r="I248" s="161"/>
      <c r="J248" s="161"/>
      <c r="K248" s="161"/>
      <c r="L248" s="161"/>
      <c r="M248" s="161"/>
      <c r="N248" s="161"/>
      <c r="O248" s="161"/>
      <c r="P248" s="161"/>
      <c r="Q248" s="161"/>
      <c r="R248" s="161"/>
      <c r="S248" s="161"/>
      <c r="T248" s="161"/>
      <c r="U248" s="161"/>
      <c r="V248" s="161"/>
      <c r="W248" s="161"/>
      <c r="X248" s="161"/>
      <c r="Y248" s="161"/>
      <c r="Z248" s="161"/>
    </row>
    <row r="249">
      <c r="A249" s="511"/>
      <c r="B249" s="18"/>
      <c r="C249" s="18"/>
      <c r="D249" s="161"/>
      <c r="E249" s="161"/>
      <c r="F249" s="511"/>
      <c r="G249" s="161"/>
      <c r="H249" s="161"/>
      <c r="I249" s="161"/>
      <c r="J249" s="161"/>
      <c r="K249" s="161"/>
      <c r="L249" s="161"/>
      <c r="M249" s="161"/>
      <c r="N249" s="161"/>
      <c r="O249" s="161"/>
      <c r="P249" s="161"/>
      <c r="Q249" s="161"/>
      <c r="R249" s="161"/>
      <c r="S249" s="161"/>
      <c r="T249" s="161"/>
      <c r="U249" s="161"/>
      <c r="V249" s="161"/>
      <c r="W249" s="161"/>
      <c r="X249" s="161"/>
      <c r="Y249" s="161"/>
      <c r="Z249" s="161"/>
    </row>
    <row r="250">
      <c r="A250" s="511"/>
      <c r="B250" s="18"/>
      <c r="C250" s="18"/>
      <c r="D250" s="161"/>
      <c r="E250" s="161"/>
      <c r="F250" s="511"/>
      <c r="G250" s="161"/>
      <c r="H250" s="161"/>
      <c r="I250" s="161"/>
      <c r="J250" s="161"/>
      <c r="K250" s="161"/>
      <c r="L250" s="161"/>
      <c r="M250" s="161"/>
      <c r="N250" s="161"/>
      <c r="O250" s="161"/>
      <c r="P250" s="161"/>
      <c r="Q250" s="161"/>
      <c r="R250" s="161"/>
      <c r="S250" s="161"/>
      <c r="T250" s="161"/>
      <c r="U250" s="161"/>
      <c r="V250" s="161"/>
      <c r="W250" s="161"/>
      <c r="X250" s="161"/>
      <c r="Y250" s="161"/>
      <c r="Z250" s="161"/>
    </row>
    <row r="251">
      <c r="A251" s="511"/>
      <c r="B251" s="18"/>
      <c r="C251" s="18"/>
      <c r="D251" s="161"/>
      <c r="E251" s="161"/>
      <c r="F251" s="511"/>
      <c r="G251" s="161"/>
      <c r="H251" s="161"/>
      <c r="I251" s="161"/>
      <c r="J251" s="161"/>
      <c r="K251" s="161"/>
      <c r="L251" s="161"/>
      <c r="M251" s="161"/>
      <c r="N251" s="161"/>
      <c r="O251" s="161"/>
      <c r="P251" s="161"/>
      <c r="Q251" s="161"/>
      <c r="R251" s="161"/>
      <c r="S251" s="161"/>
      <c r="T251" s="161"/>
      <c r="U251" s="161"/>
      <c r="V251" s="161"/>
      <c r="W251" s="161"/>
      <c r="X251" s="161"/>
      <c r="Y251" s="161"/>
      <c r="Z251" s="161"/>
    </row>
    <row r="252">
      <c r="A252" s="511"/>
      <c r="B252" s="18"/>
      <c r="C252" s="18"/>
      <c r="D252" s="161"/>
      <c r="E252" s="161"/>
      <c r="F252" s="511"/>
      <c r="G252" s="161"/>
      <c r="H252" s="161"/>
      <c r="I252" s="161"/>
      <c r="J252" s="161"/>
      <c r="K252" s="161"/>
      <c r="L252" s="161"/>
      <c r="M252" s="161"/>
      <c r="N252" s="161"/>
      <c r="O252" s="161"/>
      <c r="P252" s="161"/>
      <c r="Q252" s="161"/>
      <c r="R252" s="161"/>
      <c r="S252" s="161"/>
      <c r="T252" s="161"/>
      <c r="U252" s="161"/>
      <c r="V252" s="161"/>
      <c r="W252" s="161"/>
      <c r="X252" s="161"/>
      <c r="Y252" s="161"/>
      <c r="Z252" s="161"/>
    </row>
    <row r="253">
      <c r="A253" s="511"/>
      <c r="B253" s="18"/>
      <c r="C253" s="18"/>
      <c r="D253" s="161"/>
      <c r="E253" s="161"/>
      <c r="F253" s="511"/>
      <c r="G253" s="161"/>
      <c r="H253" s="161"/>
      <c r="I253" s="161"/>
      <c r="J253" s="161"/>
      <c r="K253" s="161"/>
      <c r="L253" s="161"/>
      <c r="M253" s="161"/>
      <c r="N253" s="161"/>
      <c r="O253" s="161"/>
      <c r="P253" s="161"/>
      <c r="Q253" s="161"/>
      <c r="R253" s="161"/>
      <c r="S253" s="161"/>
      <c r="T253" s="161"/>
      <c r="U253" s="161"/>
      <c r="V253" s="161"/>
      <c r="W253" s="161"/>
      <c r="X253" s="161"/>
      <c r="Y253" s="161"/>
      <c r="Z253" s="161"/>
    </row>
    <row r="254">
      <c r="A254" s="511"/>
      <c r="B254" s="18"/>
      <c r="C254" s="18"/>
      <c r="D254" s="161"/>
      <c r="E254" s="161"/>
      <c r="F254" s="511"/>
      <c r="G254" s="161"/>
      <c r="H254" s="161"/>
      <c r="I254" s="161"/>
      <c r="J254" s="161"/>
      <c r="K254" s="161"/>
      <c r="L254" s="161"/>
      <c r="M254" s="161"/>
      <c r="N254" s="161"/>
      <c r="O254" s="161"/>
      <c r="P254" s="161"/>
      <c r="Q254" s="161"/>
      <c r="R254" s="161"/>
      <c r="S254" s="161"/>
      <c r="T254" s="161"/>
      <c r="U254" s="161"/>
      <c r="V254" s="161"/>
      <c r="W254" s="161"/>
      <c r="X254" s="161"/>
      <c r="Y254" s="161"/>
      <c r="Z254" s="161"/>
    </row>
    <row r="255">
      <c r="A255" s="511"/>
      <c r="B255" s="18"/>
      <c r="C255" s="18"/>
      <c r="D255" s="161"/>
      <c r="E255" s="161"/>
      <c r="F255" s="511"/>
      <c r="G255" s="161"/>
      <c r="H255" s="161"/>
      <c r="I255" s="161"/>
      <c r="J255" s="161"/>
      <c r="K255" s="161"/>
      <c r="L255" s="161"/>
      <c r="M255" s="161"/>
      <c r="N255" s="161"/>
      <c r="O255" s="161"/>
      <c r="P255" s="161"/>
      <c r="Q255" s="161"/>
      <c r="R255" s="161"/>
      <c r="S255" s="161"/>
      <c r="T255" s="161"/>
      <c r="U255" s="161"/>
      <c r="V255" s="161"/>
      <c r="W255" s="161"/>
      <c r="X255" s="161"/>
      <c r="Y255" s="161"/>
      <c r="Z255" s="161"/>
    </row>
    <row r="256">
      <c r="A256" s="511"/>
      <c r="B256" s="18"/>
      <c r="C256" s="18"/>
      <c r="D256" s="161"/>
      <c r="E256" s="161"/>
      <c r="F256" s="511"/>
      <c r="G256" s="161"/>
      <c r="H256" s="161"/>
      <c r="I256" s="161"/>
      <c r="J256" s="161"/>
      <c r="K256" s="161"/>
      <c r="L256" s="161"/>
      <c r="M256" s="161"/>
      <c r="N256" s="161"/>
      <c r="O256" s="161"/>
      <c r="P256" s="161"/>
      <c r="Q256" s="161"/>
      <c r="R256" s="161"/>
      <c r="S256" s="161"/>
      <c r="T256" s="161"/>
      <c r="U256" s="161"/>
      <c r="V256" s="161"/>
      <c r="W256" s="161"/>
      <c r="X256" s="161"/>
      <c r="Y256" s="161"/>
      <c r="Z256" s="161"/>
    </row>
    <row r="257">
      <c r="A257" s="511"/>
      <c r="B257" s="18"/>
      <c r="C257" s="18"/>
      <c r="D257" s="161"/>
      <c r="E257" s="161"/>
      <c r="F257" s="511"/>
      <c r="G257" s="161"/>
      <c r="H257" s="161"/>
      <c r="I257" s="161"/>
      <c r="J257" s="161"/>
      <c r="K257" s="161"/>
      <c r="L257" s="161"/>
      <c r="M257" s="161"/>
      <c r="N257" s="161"/>
      <c r="O257" s="161"/>
      <c r="P257" s="161"/>
      <c r="Q257" s="161"/>
      <c r="R257" s="161"/>
      <c r="S257" s="161"/>
      <c r="T257" s="161"/>
      <c r="U257" s="161"/>
      <c r="V257" s="161"/>
      <c r="W257" s="161"/>
      <c r="X257" s="161"/>
      <c r="Y257" s="161"/>
      <c r="Z257" s="161"/>
    </row>
    <row r="258">
      <c r="A258" s="511"/>
      <c r="B258" s="18"/>
      <c r="C258" s="18"/>
      <c r="D258" s="161"/>
      <c r="E258" s="161"/>
      <c r="F258" s="511"/>
      <c r="G258" s="161"/>
      <c r="H258" s="161"/>
      <c r="I258" s="161"/>
      <c r="J258" s="161"/>
      <c r="K258" s="161"/>
      <c r="L258" s="161"/>
      <c r="M258" s="161"/>
      <c r="N258" s="161"/>
      <c r="O258" s="161"/>
      <c r="P258" s="161"/>
      <c r="Q258" s="161"/>
      <c r="R258" s="161"/>
      <c r="S258" s="161"/>
      <c r="T258" s="161"/>
      <c r="U258" s="161"/>
      <c r="V258" s="161"/>
      <c r="W258" s="161"/>
      <c r="X258" s="161"/>
      <c r="Y258" s="161"/>
      <c r="Z258" s="161"/>
    </row>
    <row r="259">
      <c r="A259" s="511"/>
      <c r="B259" s="18"/>
      <c r="C259" s="18"/>
      <c r="D259" s="161"/>
      <c r="E259" s="161"/>
      <c r="F259" s="511"/>
      <c r="G259" s="161"/>
      <c r="H259" s="161"/>
      <c r="I259" s="161"/>
      <c r="J259" s="161"/>
      <c r="K259" s="161"/>
      <c r="L259" s="161"/>
      <c r="M259" s="161"/>
      <c r="N259" s="161"/>
      <c r="O259" s="161"/>
      <c r="P259" s="161"/>
      <c r="Q259" s="161"/>
      <c r="R259" s="161"/>
      <c r="S259" s="161"/>
      <c r="T259" s="161"/>
      <c r="U259" s="161"/>
      <c r="V259" s="161"/>
      <c r="W259" s="161"/>
      <c r="X259" s="161"/>
      <c r="Y259" s="161"/>
      <c r="Z259" s="161"/>
    </row>
    <row r="260">
      <c r="A260" s="511"/>
      <c r="B260" s="18"/>
      <c r="C260" s="18"/>
      <c r="D260" s="161"/>
      <c r="E260" s="161"/>
      <c r="F260" s="511"/>
      <c r="G260" s="161"/>
      <c r="H260" s="161"/>
      <c r="I260" s="161"/>
      <c r="J260" s="161"/>
      <c r="K260" s="161"/>
      <c r="L260" s="161"/>
      <c r="M260" s="161"/>
      <c r="N260" s="161"/>
      <c r="O260" s="161"/>
      <c r="P260" s="161"/>
      <c r="Q260" s="161"/>
      <c r="R260" s="161"/>
      <c r="S260" s="161"/>
      <c r="T260" s="161"/>
      <c r="U260" s="161"/>
      <c r="V260" s="161"/>
      <c r="W260" s="161"/>
      <c r="X260" s="161"/>
      <c r="Y260" s="161"/>
      <c r="Z260" s="161"/>
    </row>
    <row r="261">
      <c r="A261" s="511"/>
      <c r="B261" s="18"/>
      <c r="C261" s="18"/>
      <c r="D261" s="161"/>
      <c r="E261" s="161"/>
      <c r="F261" s="511"/>
      <c r="G261" s="161"/>
      <c r="H261" s="161"/>
      <c r="I261" s="161"/>
      <c r="J261" s="161"/>
      <c r="K261" s="161"/>
      <c r="L261" s="161"/>
      <c r="M261" s="161"/>
      <c r="N261" s="161"/>
      <c r="O261" s="161"/>
      <c r="P261" s="161"/>
      <c r="Q261" s="161"/>
      <c r="R261" s="161"/>
      <c r="S261" s="161"/>
      <c r="T261" s="161"/>
      <c r="U261" s="161"/>
      <c r="V261" s="161"/>
      <c r="W261" s="161"/>
      <c r="X261" s="161"/>
      <c r="Y261" s="161"/>
      <c r="Z261" s="161"/>
    </row>
    <row r="262">
      <c r="A262" s="511"/>
      <c r="B262" s="18"/>
      <c r="C262" s="18"/>
      <c r="D262" s="161"/>
      <c r="E262" s="161"/>
      <c r="F262" s="511"/>
      <c r="G262" s="161"/>
      <c r="H262" s="161"/>
      <c r="I262" s="161"/>
      <c r="J262" s="161"/>
      <c r="K262" s="161"/>
      <c r="L262" s="161"/>
      <c r="M262" s="161"/>
      <c r="N262" s="161"/>
      <c r="O262" s="161"/>
      <c r="P262" s="161"/>
      <c r="Q262" s="161"/>
      <c r="R262" s="161"/>
      <c r="S262" s="161"/>
      <c r="T262" s="161"/>
      <c r="U262" s="161"/>
      <c r="V262" s="161"/>
      <c r="W262" s="161"/>
      <c r="X262" s="161"/>
      <c r="Y262" s="161"/>
      <c r="Z262" s="161"/>
    </row>
    <row r="263">
      <c r="A263" s="511"/>
      <c r="B263" s="18"/>
      <c r="C263" s="18"/>
      <c r="D263" s="161"/>
      <c r="E263" s="161"/>
      <c r="F263" s="511"/>
      <c r="G263" s="161"/>
      <c r="H263" s="161"/>
      <c r="I263" s="161"/>
      <c r="J263" s="161"/>
      <c r="K263" s="161"/>
      <c r="L263" s="161"/>
      <c r="M263" s="161"/>
      <c r="N263" s="161"/>
      <c r="O263" s="161"/>
      <c r="P263" s="161"/>
      <c r="Q263" s="161"/>
      <c r="R263" s="161"/>
      <c r="S263" s="161"/>
      <c r="T263" s="161"/>
      <c r="U263" s="161"/>
      <c r="V263" s="161"/>
      <c r="W263" s="161"/>
      <c r="X263" s="161"/>
      <c r="Y263" s="161"/>
      <c r="Z263" s="161"/>
    </row>
    <row r="264">
      <c r="A264" s="511"/>
      <c r="B264" s="18"/>
      <c r="C264" s="18"/>
      <c r="D264" s="161"/>
      <c r="E264" s="161"/>
      <c r="F264" s="511"/>
      <c r="G264" s="161"/>
      <c r="H264" s="161"/>
      <c r="I264" s="161"/>
      <c r="J264" s="161"/>
      <c r="K264" s="161"/>
      <c r="L264" s="161"/>
      <c r="M264" s="161"/>
      <c r="N264" s="161"/>
      <c r="O264" s="161"/>
      <c r="P264" s="161"/>
      <c r="Q264" s="161"/>
      <c r="R264" s="161"/>
      <c r="S264" s="161"/>
      <c r="T264" s="161"/>
      <c r="U264" s="161"/>
      <c r="V264" s="161"/>
      <c r="W264" s="161"/>
      <c r="X264" s="161"/>
      <c r="Y264" s="161"/>
      <c r="Z264" s="161"/>
    </row>
    <row r="265">
      <c r="A265" s="511"/>
      <c r="B265" s="18"/>
      <c r="C265" s="18"/>
      <c r="D265" s="161"/>
      <c r="E265" s="161"/>
      <c r="F265" s="511"/>
      <c r="G265" s="161"/>
      <c r="H265" s="161"/>
      <c r="I265" s="161"/>
      <c r="J265" s="161"/>
      <c r="K265" s="161"/>
      <c r="L265" s="161"/>
      <c r="M265" s="161"/>
      <c r="N265" s="161"/>
      <c r="O265" s="161"/>
      <c r="P265" s="161"/>
      <c r="Q265" s="161"/>
      <c r="R265" s="161"/>
      <c r="S265" s="161"/>
      <c r="T265" s="161"/>
      <c r="U265" s="161"/>
      <c r="V265" s="161"/>
      <c r="W265" s="161"/>
      <c r="X265" s="161"/>
      <c r="Y265" s="161"/>
      <c r="Z265" s="161"/>
    </row>
    <row r="266">
      <c r="A266" s="511"/>
      <c r="B266" s="18"/>
      <c r="C266" s="18"/>
      <c r="D266" s="161"/>
      <c r="E266" s="161"/>
      <c r="F266" s="511"/>
      <c r="G266" s="161"/>
      <c r="H266" s="161"/>
      <c r="I266" s="161"/>
      <c r="J266" s="161"/>
      <c r="K266" s="161"/>
      <c r="L266" s="161"/>
      <c r="M266" s="161"/>
      <c r="N266" s="161"/>
      <c r="O266" s="161"/>
      <c r="P266" s="161"/>
      <c r="Q266" s="161"/>
      <c r="R266" s="161"/>
      <c r="S266" s="161"/>
      <c r="T266" s="161"/>
      <c r="U266" s="161"/>
      <c r="V266" s="161"/>
      <c r="W266" s="161"/>
      <c r="X266" s="161"/>
      <c r="Y266" s="161"/>
      <c r="Z266" s="161"/>
    </row>
    <row r="267">
      <c r="A267" s="511"/>
      <c r="B267" s="18"/>
      <c r="C267" s="18"/>
      <c r="D267" s="161"/>
      <c r="E267" s="161"/>
      <c r="F267" s="511"/>
      <c r="G267" s="161"/>
      <c r="H267" s="161"/>
      <c r="I267" s="161"/>
      <c r="J267" s="161"/>
      <c r="K267" s="161"/>
      <c r="L267" s="161"/>
      <c r="M267" s="161"/>
      <c r="N267" s="161"/>
      <c r="O267" s="161"/>
      <c r="P267" s="161"/>
      <c r="Q267" s="161"/>
      <c r="R267" s="161"/>
      <c r="S267" s="161"/>
      <c r="T267" s="161"/>
      <c r="U267" s="161"/>
      <c r="V267" s="161"/>
      <c r="W267" s="161"/>
      <c r="X267" s="161"/>
      <c r="Y267" s="161"/>
      <c r="Z267" s="161"/>
    </row>
    <row r="268">
      <c r="A268" s="511"/>
      <c r="B268" s="18"/>
      <c r="C268" s="18"/>
      <c r="D268" s="161"/>
      <c r="E268" s="161"/>
      <c r="F268" s="511"/>
      <c r="G268" s="161"/>
      <c r="H268" s="161"/>
      <c r="I268" s="161"/>
      <c r="J268" s="161"/>
      <c r="K268" s="161"/>
      <c r="L268" s="161"/>
      <c r="M268" s="161"/>
      <c r="N268" s="161"/>
      <c r="O268" s="161"/>
      <c r="P268" s="161"/>
      <c r="Q268" s="161"/>
      <c r="R268" s="161"/>
      <c r="S268" s="161"/>
      <c r="T268" s="161"/>
      <c r="U268" s="161"/>
      <c r="V268" s="161"/>
      <c r="W268" s="161"/>
      <c r="X268" s="161"/>
      <c r="Y268" s="161"/>
      <c r="Z268" s="161"/>
    </row>
    <row r="269">
      <c r="A269" s="511"/>
      <c r="B269" s="18"/>
      <c r="C269" s="18"/>
      <c r="D269" s="161"/>
      <c r="E269" s="161"/>
      <c r="F269" s="511"/>
      <c r="G269" s="161"/>
      <c r="H269" s="161"/>
      <c r="I269" s="161"/>
      <c r="J269" s="161"/>
      <c r="K269" s="161"/>
      <c r="L269" s="161"/>
      <c r="M269" s="161"/>
      <c r="N269" s="161"/>
      <c r="O269" s="161"/>
      <c r="P269" s="161"/>
      <c r="Q269" s="161"/>
      <c r="R269" s="161"/>
      <c r="S269" s="161"/>
      <c r="T269" s="161"/>
      <c r="U269" s="161"/>
      <c r="V269" s="161"/>
      <c r="W269" s="161"/>
      <c r="X269" s="161"/>
      <c r="Y269" s="161"/>
      <c r="Z269" s="161"/>
    </row>
    <row r="270">
      <c r="A270" s="511"/>
      <c r="B270" s="18"/>
      <c r="C270" s="18"/>
      <c r="D270" s="161"/>
      <c r="E270" s="161"/>
      <c r="F270" s="511"/>
      <c r="G270" s="161"/>
      <c r="H270" s="161"/>
      <c r="I270" s="161"/>
      <c r="J270" s="161"/>
      <c r="K270" s="161"/>
      <c r="L270" s="161"/>
      <c r="M270" s="161"/>
      <c r="N270" s="161"/>
      <c r="O270" s="161"/>
      <c r="P270" s="161"/>
      <c r="Q270" s="161"/>
      <c r="R270" s="161"/>
      <c r="S270" s="161"/>
      <c r="T270" s="161"/>
      <c r="U270" s="161"/>
      <c r="V270" s="161"/>
      <c r="W270" s="161"/>
      <c r="X270" s="161"/>
      <c r="Y270" s="161"/>
      <c r="Z270" s="161"/>
    </row>
    <row r="271">
      <c r="A271" s="511"/>
      <c r="B271" s="18"/>
      <c r="C271" s="18"/>
      <c r="D271" s="161"/>
      <c r="E271" s="161"/>
      <c r="F271" s="511"/>
      <c r="G271" s="161"/>
      <c r="H271" s="161"/>
      <c r="I271" s="161"/>
      <c r="J271" s="161"/>
      <c r="K271" s="161"/>
      <c r="L271" s="161"/>
      <c r="M271" s="161"/>
      <c r="N271" s="161"/>
      <c r="O271" s="161"/>
      <c r="P271" s="161"/>
      <c r="Q271" s="161"/>
      <c r="R271" s="161"/>
      <c r="S271" s="161"/>
      <c r="T271" s="161"/>
      <c r="U271" s="161"/>
      <c r="V271" s="161"/>
      <c r="W271" s="161"/>
      <c r="X271" s="161"/>
      <c r="Y271" s="161"/>
      <c r="Z271" s="161"/>
    </row>
    <row r="272">
      <c r="A272" s="511"/>
      <c r="B272" s="18"/>
      <c r="C272" s="18"/>
      <c r="D272" s="161"/>
      <c r="E272" s="161"/>
      <c r="F272" s="511"/>
      <c r="G272" s="161"/>
      <c r="H272" s="161"/>
      <c r="I272" s="161"/>
      <c r="J272" s="161"/>
      <c r="K272" s="161"/>
      <c r="L272" s="161"/>
      <c r="M272" s="161"/>
      <c r="N272" s="161"/>
      <c r="O272" s="161"/>
      <c r="P272" s="161"/>
      <c r="Q272" s="161"/>
      <c r="R272" s="161"/>
      <c r="S272" s="161"/>
      <c r="T272" s="161"/>
      <c r="U272" s="161"/>
      <c r="V272" s="161"/>
      <c r="W272" s="161"/>
      <c r="X272" s="161"/>
      <c r="Y272" s="161"/>
      <c r="Z272" s="161"/>
    </row>
    <row r="273">
      <c r="A273" s="511"/>
      <c r="B273" s="18"/>
      <c r="C273" s="18"/>
      <c r="D273" s="161"/>
      <c r="E273" s="161"/>
      <c r="F273" s="511"/>
      <c r="G273" s="161"/>
      <c r="H273" s="161"/>
      <c r="I273" s="161"/>
      <c r="J273" s="161"/>
      <c r="K273" s="161"/>
      <c r="L273" s="161"/>
      <c r="M273" s="161"/>
      <c r="N273" s="161"/>
      <c r="O273" s="161"/>
      <c r="P273" s="161"/>
      <c r="Q273" s="161"/>
      <c r="R273" s="161"/>
      <c r="S273" s="161"/>
      <c r="T273" s="161"/>
      <c r="U273" s="161"/>
      <c r="V273" s="161"/>
      <c r="W273" s="161"/>
      <c r="X273" s="161"/>
      <c r="Y273" s="161"/>
      <c r="Z273" s="161"/>
    </row>
    <row r="274">
      <c r="A274" s="511"/>
      <c r="B274" s="18"/>
      <c r="C274" s="18"/>
      <c r="D274" s="161"/>
      <c r="E274" s="161"/>
      <c r="F274" s="511"/>
      <c r="G274" s="161"/>
      <c r="H274" s="161"/>
      <c r="I274" s="161"/>
      <c r="J274" s="161"/>
      <c r="K274" s="161"/>
      <c r="L274" s="161"/>
      <c r="M274" s="161"/>
      <c r="N274" s="161"/>
      <c r="O274" s="161"/>
      <c r="P274" s="161"/>
      <c r="Q274" s="161"/>
      <c r="R274" s="161"/>
      <c r="S274" s="161"/>
      <c r="T274" s="161"/>
      <c r="U274" s="161"/>
      <c r="V274" s="161"/>
      <c r="W274" s="161"/>
      <c r="X274" s="161"/>
      <c r="Y274" s="161"/>
      <c r="Z274" s="161"/>
    </row>
    <row r="275">
      <c r="A275" s="511"/>
      <c r="B275" s="18"/>
      <c r="C275" s="18"/>
      <c r="D275" s="161"/>
      <c r="E275" s="161"/>
      <c r="F275" s="511"/>
      <c r="G275" s="161"/>
      <c r="H275" s="161"/>
      <c r="I275" s="161"/>
      <c r="J275" s="161"/>
      <c r="K275" s="161"/>
      <c r="L275" s="161"/>
      <c r="M275" s="161"/>
      <c r="N275" s="161"/>
      <c r="O275" s="161"/>
      <c r="P275" s="161"/>
      <c r="Q275" s="161"/>
      <c r="R275" s="161"/>
      <c r="S275" s="161"/>
      <c r="T275" s="161"/>
      <c r="U275" s="161"/>
      <c r="V275" s="161"/>
      <c r="W275" s="161"/>
      <c r="X275" s="161"/>
      <c r="Y275" s="161"/>
      <c r="Z275" s="161"/>
    </row>
    <row r="276">
      <c r="A276" s="511"/>
      <c r="B276" s="18"/>
      <c r="C276" s="18"/>
      <c r="D276" s="161"/>
      <c r="E276" s="161"/>
      <c r="F276" s="511"/>
      <c r="G276" s="161"/>
      <c r="H276" s="161"/>
      <c r="I276" s="161"/>
      <c r="J276" s="161"/>
      <c r="K276" s="161"/>
      <c r="L276" s="161"/>
      <c r="M276" s="161"/>
      <c r="N276" s="161"/>
      <c r="O276" s="161"/>
      <c r="P276" s="161"/>
      <c r="Q276" s="161"/>
      <c r="R276" s="161"/>
      <c r="S276" s="161"/>
      <c r="T276" s="161"/>
      <c r="U276" s="161"/>
      <c r="V276" s="161"/>
      <c r="W276" s="161"/>
      <c r="X276" s="161"/>
      <c r="Y276" s="161"/>
      <c r="Z276" s="161"/>
    </row>
    <row r="277">
      <c r="A277" s="511"/>
      <c r="B277" s="18"/>
      <c r="C277" s="18"/>
      <c r="D277" s="161"/>
      <c r="E277" s="161"/>
      <c r="F277" s="511"/>
      <c r="G277" s="161"/>
      <c r="H277" s="161"/>
      <c r="I277" s="161"/>
      <c r="J277" s="161"/>
      <c r="K277" s="161"/>
      <c r="L277" s="161"/>
      <c r="M277" s="161"/>
      <c r="N277" s="161"/>
      <c r="O277" s="161"/>
      <c r="P277" s="161"/>
      <c r="Q277" s="161"/>
      <c r="R277" s="161"/>
      <c r="S277" s="161"/>
      <c r="T277" s="161"/>
      <c r="U277" s="161"/>
      <c r="V277" s="161"/>
      <c r="W277" s="161"/>
      <c r="X277" s="161"/>
      <c r="Y277" s="161"/>
      <c r="Z277" s="161"/>
    </row>
    <row r="278">
      <c r="A278" s="511"/>
      <c r="B278" s="18"/>
      <c r="C278" s="18"/>
      <c r="D278" s="161"/>
      <c r="E278" s="161"/>
      <c r="F278" s="511"/>
      <c r="G278" s="161"/>
      <c r="H278" s="161"/>
      <c r="I278" s="161"/>
      <c r="J278" s="161"/>
      <c r="K278" s="161"/>
      <c r="L278" s="161"/>
      <c r="M278" s="161"/>
      <c r="N278" s="161"/>
      <c r="O278" s="161"/>
      <c r="P278" s="161"/>
      <c r="Q278" s="161"/>
      <c r="R278" s="161"/>
      <c r="S278" s="161"/>
      <c r="T278" s="161"/>
      <c r="U278" s="161"/>
      <c r="V278" s="161"/>
      <c r="W278" s="161"/>
      <c r="X278" s="161"/>
      <c r="Y278" s="161"/>
      <c r="Z278" s="161"/>
    </row>
    <row r="279">
      <c r="A279" s="511"/>
      <c r="B279" s="18"/>
      <c r="C279" s="18"/>
      <c r="D279" s="161"/>
      <c r="E279" s="161"/>
      <c r="F279" s="511"/>
      <c r="G279" s="161"/>
      <c r="H279" s="161"/>
      <c r="I279" s="161"/>
      <c r="J279" s="161"/>
      <c r="K279" s="161"/>
      <c r="L279" s="161"/>
      <c r="M279" s="161"/>
      <c r="N279" s="161"/>
      <c r="O279" s="161"/>
      <c r="P279" s="161"/>
      <c r="Q279" s="161"/>
      <c r="R279" s="161"/>
      <c r="S279" s="161"/>
      <c r="T279" s="161"/>
      <c r="U279" s="161"/>
      <c r="V279" s="161"/>
      <c r="W279" s="161"/>
      <c r="X279" s="161"/>
      <c r="Y279" s="161"/>
      <c r="Z279" s="161"/>
    </row>
    <row r="280">
      <c r="A280" s="511"/>
      <c r="B280" s="18"/>
      <c r="C280" s="18"/>
      <c r="D280" s="161"/>
      <c r="E280" s="161"/>
      <c r="F280" s="511"/>
      <c r="G280" s="161"/>
      <c r="H280" s="161"/>
      <c r="I280" s="161"/>
      <c r="J280" s="161"/>
      <c r="K280" s="161"/>
      <c r="L280" s="161"/>
      <c r="M280" s="161"/>
      <c r="N280" s="161"/>
      <c r="O280" s="161"/>
      <c r="P280" s="161"/>
      <c r="Q280" s="161"/>
      <c r="R280" s="161"/>
      <c r="S280" s="161"/>
      <c r="T280" s="161"/>
      <c r="U280" s="161"/>
      <c r="V280" s="161"/>
      <c r="W280" s="161"/>
      <c r="X280" s="161"/>
      <c r="Y280" s="161"/>
      <c r="Z280" s="161"/>
    </row>
    <row r="281">
      <c r="A281" s="511"/>
      <c r="B281" s="18"/>
      <c r="C281" s="18"/>
      <c r="D281" s="161"/>
      <c r="E281" s="161"/>
      <c r="F281" s="511"/>
      <c r="G281" s="161"/>
      <c r="H281" s="161"/>
      <c r="I281" s="161"/>
      <c r="J281" s="161"/>
      <c r="K281" s="161"/>
      <c r="L281" s="161"/>
      <c r="M281" s="161"/>
      <c r="N281" s="161"/>
      <c r="O281" s="161"/>
      <c r="P281" s="161"/>
      <c r="Q281" s="161"/>
      <c r="R281" s="161"/>
      <c r="S281" s="161"/>
      <c r="T281" s="161"/>
      <c r="U281" s="161"/>
      <c r="V281" s="161"/>
      <c r="W281" s="161"/>
      <c r="X281" s="161"/>
      <c r="Y281" s="161"/>
      <c r="Z281" s="161"/>
    </row>
    <row r="282">
      <c r="A282" s="511"/>
      <c r="B282" s="18"/>
      <c r="C282" s="18"/>
      <c r="D282" s="161"/>
      <c r="E282" s="161"/>
      <c r="F282" s="511"/>
      <c r="G282" s="161"/>
      <c r="H282" s="161"/>
      <c r="I282" s="161"/>
      <c r="J282" s="161"/>
      <c r="K282" s="161"/>
      <c r="L282" s="161"/>
      <c r="M282" s="161"/>
      <c r="N282" s="161"/>
      <c r="O282" s="161"/>
      <c r="P282" s="161"/>
      <c r="Q282" s="161"/>
      <c r="R282" s="161"/>
      <c r="S282" s="161"/>
      <c r="T282" s="161"/>
      <c r="U282" s="161"/>
      <c r="V282" s="161"/>
      <c r="W282" s="161"/>
      <c r="X282" s="161"/>
      <c r="Y282" s="161"/>
      <c r="Z282" s="161"/>
    </row>
    <row r="283">
      <c r="A283" s="511"/>
      <c r="B283" s="18"/>
      <c r="C283" s="18"/>
      <c r="D283" s="161"/>
      <c r="E283" s="161"/>
      <c r="F283" s="511"/>
      <c r="G283" s="161"/>
      <c r="H283" s="161"/>
      <c r="I283" s="161"/>
      <c r="J283" s="161"/>
      <c r="K283" s="161"/>
      <c r="L283" s="161"/>
      <c r="M283" s="161"/>
      <c r="N283" s="161"/>
      <c r="O283" s="161"/>
      <c r="P283" s="161"/>
      <c r="Q283" s="161"/>
      <c r="R283" s="161"/>
      <c r="S283" s="161"/>
      <c r="T283" s="161"/>
      <c r="U283" s="161"/>
      <c r="V283" s="161"/>
      <c r="W283" s="161"/>
      <c r="X283" s="161"/>
      <c r="Y283" s="161"/>
      <c r="Z283" s="161"/>
    </row>
    <row r="284">
      <c r="A284" s="511"/>
      <c r="B284" s="18"/>
      <c r="C284" s="18"/>
      <c r="D284" s="161"/>
      <c r="E284" s="161"/>
      <c r="F284" s="511"/>
      <c r="G284" s="161"/>
      <c r="H284" s="161"/>
      <c r="I284" s="161"/>
      <c r="J284" s="161"/>
      <c r="K284" s="161"/>
      <c r="L284" s="161"/>
      <c r="M284" s="161"/>
      <c r="N284" s="161"/>
      <c r="O284" s="161"/>
      <c r="P284" s="161"/>
      <c r="Q284" s="161"/>
      <c r="R284" s="161"/>
      <c r="S284" s="161"/>
      <c r="T284" s="161"/>
      <c r="U284" s="161"/>
      <c r="V284" s="161"/>
      <c r="W284" s="161"/>
      <c r="X284" s="161"/>
      <c r="Y284" s="161"/>
      <c r="Z284" s="161"/>
    </row>
    <row r="285">
      <c r="A285" s="511"/>
      <c r="B285" s="18"/>
      <c r="C285" s="18"/>
      <c r="D285" s="161"/>
      <c r="E285" s="161"/>
      <c r="F285" s="511"/>
      <c r="G285" s="161"/>
      <c r="H285" s="161"/>
      <c r="I285" s="161"/>
      <c r="J285" s="161"/>
      <c r="K285" s="161"/>
      <c r="L285" s="161"/>
      <c r="M285" s="161"/>
      <c r="N285" s="161"/>
      <c r="O285" s="161"/>
      <c r="P285" s="161"/>
      <c r="Q285" s="161"/>
      <c r="R285" s="161"/>
      <c r="S285" s="161"/>
      <c r="T285" s="161"/>
      <c r="U285" s="161"/>
      <c r="V285" s="161"/>
      <c r="W285" s="161"/>
      <c r="X285" s="161"/>
      <c r="Y285" s="161"/>
      <c r="Z285" s="161"/>
    </row>
    <row r="286">
      <c r="A286" s="511"/>
      <c r="B286" s="18"/>
      <c r="C286" s="18"/>
      <c r="D286" s="161"/>
      <c r="E286" s="161"/>
      <c r="F286" s="511"/>
      <c r="G286" s="161"/>
      <c r="H286" s="161"/>
      <c r="I286" s="161"/>
      <c r="J286" s="161"/>
      <c r="K286" s="161"/>
      <c r="L286" s="161"/>
      <c r="M286" s="161"/>
      <c r="N286" s="161"/>
      <c r="O286" s="161"/>
      <c r="P286" s="161"/>
      <c r="Q286" s="161"/>
      <c r="R286" s="161"/>
      <c r="S286" s="161"/>
      <c r="T286" s="161"/>
      <c r="U286" s="161"/>
      <c r="V286" s="161"/>
      <c r="W286" s="161"/>
      <c r="X286" s="161"/>
      <c r="Y286" s="161"/>
      <c r="Z286" s="161"/>
    </row>
    <row r="287">
      <c r="A287" s="511"/>
      <c r="B287" s="18"/>
      <c r="C287" s="18"/>
      <c r="D287" s="161"/>
      <c r="E287" s="161"/>
      <c r="F287" s="511"/>
      <c r="G287" s="161"/>
      <c r="H287" s="161"/>
      <c r="I287" s="161"/>
      <c r="J287" s="161"/>
      <c r="K287" s="161"/>
      <c r="L287" s="161"/>
      <c r="M287" s="161"/>
      <c r="N287" s="161"/>
      <c r="O287" s="161"/>
      <c r="P287" s="161"/>
      <c r="Q287" s="161"/>
      <c r="R287" s="161"/>
      <c r="S287" s="161"/>
      <c r="T287" s="161"/>
      <c r="U287" s="161"/>
      <c r="V287" s="161"/>
      <c r="W287" s="161"/>
      <c r="X287" s="161"/>
      <c r="Y287" s="161"/>
      <c r="Z287" s="161"/>
    </row>
    <row r="288">
      <c r="A288" s="511"/>
      <c r="B288" s="18"/>
      <c r="C288" s="18"/>
      <c r="D288" s="161"/>
      <c r="E288" s="161"/>
      <c r="F288" s="511"/>
      <c r="G288" s="161"/>
      <c r="H288" s="161"/>
      <c r="I288" s="161"/>
      <c r="J288" s="161"/>
      <c r="K288" s="161"/>
      <c r="L288" s="161"/>
      <c r="M288" s="161"/>
      <c r="N288" s="161"/>
      <c r="O288" s="161"/>
      <c r="P288" s="161"/>
      <c r="Q288" s="161"/>
      <c r="R288" s="161"/>
      <c r="S288" s="161"/>
      <c r="T288" s="161"/>
      <c r="U288" s="161"/>
      <c r="V288" s="161"/>
      <c r="W288" s="161"/>
      <c r="X288" s="161"/>
      <c r="Y288" s="161"/>
      <c r="Z288" s="161"/>
    </row>
    <row r="289">
      <c r="A289" s="511"/>
      <c r="B289" s="18"/>
      <c r="C289" s="18"/>
      <c r="D289" s="161"/>
      <c r="E289" s="161"/>
      <c r="F289" s="511"/>
      <c r="G289" s="161"/>
      <c r="H289" s="161"/>
      <c r="I289" s="161"/>
      <c r="J289" s="161"/>
      <c r="K289" s="161"/>
      <c r="L289" s="161"/>
      <c r="M289" s="161"/>
      <c r="N289" s="161"/>
      <c r="O289" s="161"/>
      <c r="P289" s="161"/>
      <c r="Q289" s="161"/>
      <c r="R289" s="161"/>
      <c r="S289" s="161"/>
      <c r="T289" s="161"/>
      <c r="U289" s="161"/>
      <c r="V289" s="161"/>
      <c r="W289" s="161"/>
      <c r="X289" s="161"/>
      <c r="Y289" s="161"/>
      <c r="Z289" s="161"/>
    </row>
    <row r="290">
      <c r="A290" s="511"/>
      <c r="B290" s="18"/>
      <c r="C290" s="18"/>
      <c r="D290" s="161"/>
      <c r="E290" s="161"/>
      <c r="F290" s="511"/>
      <c r="G290" s="161"/>
      <c r="H290" s="161"/>
      <c r="I290" s="161"/>
      <c r="J290" s="161"/>
      <c r="K290" s="161"/>
      <c r="L290" s="161"/>
      <c r="M290" s="161"/>
      <c r="N290" s="161"/>
      <c r="O290" s="161"/>
      <c r="P290" s="161"/>
      <c r="Q290" s="161"/>
      <c r="R290" s="161"/>
      <c r="S290" s="161"/>
      <c r="T290" s="161"/>
      <c r="U290" s="161"/>
      <c r="V290" s="161"/>
      <c r="W290" s="161"/>
      <c r="X290" s="161"/>
      <c r="Y290" s="161"/>
      <c r="Z290" s="161"/>
    </row>
    <row r="291">
      <c r="A291" s="511"/>
      <c r="B291" s="18"/>
      <c r="C291" s="18"/>
      <c r="D291" s="161"/>
      <c r="E291" s="161"/>
      <c r="F291" s="511"/>
      <c r="G291" s="161"/>
      <c r="H291" s="161"/>
      <c r="I291" s="161"/>
      <c r="J291" s="161"/>
      <c r="K291" s="161"/>
      <c r="L291" s="161"/>
      <c r="M291" s="161"/>
      <c r="N291" s="161"/>
      <c r="O291" s="161"/>
      <c r="P291" s="161"/>
      <c r="Q291" s="161"/>
      <c r="R291" s="161"/>
      <c r="S291" s="161"/>
      <c r="T291" s="161"/>
      <c r="U291" s="161"/>
      <c r="V291" s="161"/>
      <c r="W291" s="161"/>
      <c r="X291" s="161"/>
      <c r="Y291" s="161"/>
      <c r="Z291" s="161"/>
    </row>
    <row r="292">
      <c r="A292" s="511"/>
      <c r="B292" s="18"/>
      <c r="C292" s="18"/>
      <c r="D292" s="161"/>
      <c r="E292" s="161"/>
      <c r="F292" s="511"/>
      <c r="G292" s="161"/>
      <c r="H292" s="161"/>
      <c r="I292" s="161"/>
      <c r="J292" s="161"/>
      <c r="K292" s="161"/>
      <c r="L292" s="161"/>
      <c r="M292" s="161"/>
      <c r="N292" s="161"/>
      <c r="O292" s="161"/>
      <c r="P292" s="161"/>
      <c r="Q292" s="161"/>
      <c r="R292" s="161"/>
      <c r="S292" s="161"/>
      <c r="T292" s="161"/>
      <c r="U292" s="161"/>
      <c r="V292" s="161"/>
      <c r="W292" s="161"/>
      <c r="X292" s="161"/>
      <c r="Y292" s="161"/>
      <c r="Z292" s="161"/>
    </row>
    <row r="293">
      <c r="A293" s="511"/>
      <c r="B293" s="18"/>
      <c r="C293" s="18"/>
      <c r="D293" s="161"/>
      <c r="E293" s="161"/>
      <c r="F293" s="511"/>
      <c r="G293" s="161"/>
      <c r="H293" s="161"/>
      <c r="I293" s="161"/>
      <c r="J293" s="161"/>
      <c r="K293" s="161"/>
      <c r="L293" s="161"/>
      <c r="M293" s="161"/>
      <c r="N293" s="161"/>
      <c r="O293" s="161"/>
      <c r="P293" s="161"/>
      <c r="Q293" s="161"/>
      <c r="R293" s="161"/>
      <c r="S293" s="161"/>
      <c r="T293" s="161"/>
      <c r="U293" s="161"/>
      <c r="V293" s="161"/>
      <c r="W293" s="161"/>
      <c r="X293" s="161"/>
      <c r="Y293" s="161"/>
      <c r="Z293" s="161"/>
    </row>
    <row r="294">
      <c r="A294" s="511"/>
      <c r="B294" s="18"/>
      <c r="C294" s="18"/>
      <c r="D294" s="161"/>
      <c r="E294" s="161"/>
      <c r="F294" s="511"/>
      <c r="G294" s="161"/>
      <c r="H294" s="161"/>
      <c r="I294" s="161"/>
      <c r="J294" s="161"/>
      <c r="K294" s="161"/>
      <c r="L294" s="161"/>
      <c r="M294" s="161"/>
      <c r="N294" s="161"/>
      <c r="O294" s="161"/>
      <c r="P294" s="161"/>
      <c r="Q294" s="161"/>
      <c r="R294" s="161"/>
      <c r="S294" s="161"/>
      <c r="T294" s="161"/>
      <c r="U294" s="161"/>
      <c r="V294" s="161"/>
      <c r="W294" s="161"/>
      <c r="X294" s="161"/>
      <c r="Y294" s="161"/>
      <c r="Z294" s="161"/>
    </row>
    <row r="295">
      <c r="A295" s="511"/>
      <c r="B295" s="18"/>
      <c r="C295" s="18"/>
      <c r="D295" s="161"/>
      <c r="E295" s="161"/>
      <c r="F295" s="511"/>
      <c r="G295" s="161"/>
      <c r="H295" s="161"/>
      <c r="I295" s="161"/>
      <c r="J295" s="161"/>
      <c r="K295" s="161"/>
      <c r="L295" s="161"/>
      <c r="M295" s="161"/>
      <c r="N295" s="161"/>
      <c r="O295" s="161"/>
      <c r="P295" s="161"/>
      <c r="Q295" s="161"/>
      <c r="R295" s="161"/>
      <c r="S295" s="161"/>
      <c r="T295" s="161"/>
      <c r="U295" s="161"/>
      <c r="V295" s="161"/>
      <c r="W295" s="161"/>
      <c r="X295" s="161"/>
      <c r="Y295" s="161"/>
      <c r="Z295" s="161"/>
    </row>
    <row r="296">
      <c r="A296" s="511"/>
      <c r="B296" s="18"/>
      <c r="C296" s="18"/>
      <c r="D296" s="161"/>
      <c r="E296" s="161"/>
      <c r="F296" s="511"/>
      <c r="G296" s="161"/>
      <c r="H296" s="161"/>
      <c r="I296" s="161"/>
      <c r="J296" s="161"/>
      <c r="K296" s="161"/>
      <c r="L296" s="161"/>
      <c r="M296" s="161"/>
      <c r="N296" s="161"/>
      <c r="O296" s="161"/>
      <c r="P296" s="161"/>
      <c r="Q296" s="161"/>
      <c r="R296" s="161"/>
      <c r="S296" s="161"/>
      <c r="T296" s="161"/>
      <c r="U296" s="161"/>
      <c r="V296" s="161"/>
      <c r="W296" s="161"/>
      <c r="X296" s="161"/>
      <c r="Y296" s="161"/>
      <c r="Z296" s="161"/>
    </row>
    <row r="297">
      <c r="A297" s="511"/>
      <c r="B297" s="18"/>
      <c r="C297" s="18"/>
      <c r="D297" s="161"/>
      <c r="E297" s="161"/>
      <c r="F297" s="511"/>
      <c r="G297" s="161"/>
      <c r="H297" s="161"/>
      <c r="I297" s="161"/>
      <c r="J297" s="161"/>
      <c r="K297" s="161"/>
      <c r="L297" s="161"/>
      <c r="M297" s="161"/>
      <c r="N297" s="161"/>
      <c r="O297" s="161"/>
      <c r="P297" s="161"/>
      <c r="Q297" s="161"/>
      <c r="R297" s="161"/>
      <c r="S297" s="161"/>
      <c r="T297" s="161"/>
      <c r="U297" s="161"/>
      <c r="V297" s="161"/>
      <c r="W297" s="161"/>
      <c r="X297" s="161"/>
      <c r="Y297" s="161"/>
      <c r="Z297" s="161"/>
    </row>
    <row r="298">
      <c r="A298" s="511"/>
      <c r="B298" s="18"/>
      <c r="C298" s="18"/>
      <c r="D298" s="161"/>
      <c r="E298" s="161"/>
      <c r="F298" s="511"/>
      <c r="G298" s="161"/>
      <c r="H298" s="161"/>
      <c r="I298" s="161"/>
      <c r="J298" s="161"/>
      <c r="K298" s="161"/>
      <c r="L298" s="161"/>
      <c r="M298" s="161"/>
      <c r="N298" s="161"/>
      <c r="O298" s="161"/>
      <c r="P298" s="161"/>
      <c r="Q298" s="161"/>
      <c r="R298" s="161"/>
      <c r="S298" s="161"/>
      <c r="T298" s="161"/>
      <c r="U298" s="161"/>
      <c r="V298" s="161"/>
      <c r="W298" s="161"/>
      <c r="X298" s="161"/>
      <c r="Y298" s="161"/>
      <c r="Z298" s="161"/>
    </row>
    <row r="299">
      <c r="A299" s="511"/>
      <c r="B299" s="18"/>
      <c r="C299" s="18"/>
      <c r="D299" s="161"/>
      <c r="E299" s="161"/>
      <c r="F299" s="511"/>
      <c r="G299" s="161"/>
      <c r="H299" s="161"/>
      <c r="I299" s="161"/>
      <c r="J299" s="161"/>
      <c r="K299" s="161"/>
      <c r="L299" s="161"/>
      <c r="M299" s="161"/>
      <c r="N299" s="161"/>
      <c r="O299" s="161"/>
      <c r="P299" s="161"/>
      <c r="Q299" s="161"/>
      <c r="R299" s="161"/>
      <c r="S299" s="161"/>
      <c r="T299" s="161"/>
      <c r="U299" s="161"/>
      <c r="V299" s="161"/>
      <c r="W299" s="161"/>
      <c r="X299" s="161"/>
      <c r="Y299" s="161"/>
      <c r="Z299" s="161"/>
    </row>
    <row r="300">
      <c r="A300" s="511"/>
      <c r="B300" s="18"/>
      <c r="C300" s="18"/>
      <c r="D300" s="161"/>
      <c r="E300" s="161"/>
      <c r="F300" s="511"/>
      <c r="G300" s="161"/>
      <c r="H300" s="161"/>
      <c r="I300" s="161"/>
      <c r="J300" s="161"/>
      <c r="K300" s="161"/>
      <c r="L300" s="161"/>
      <c r="M300" s="161"/>
      <c r="N300" s="161"/>
      <c r="O300" s="161"/>
      <c r="P300" s="161"/>
      <c r="Q300" s="161"/>
      <c r="R300" s="161"/>
      <c r="S300" s="161"/>
      <c r="T300" s="161"/>
      <c r="U300" s="161"/>
      <c r="V300" s="161"/>
      <c r="W300" s="161"/>
      <c r="X300" s="161"/>
      <c r="Y300" s="161"/>
      <c r="Z300" s="161"/>
    </row>
    <row r="301">
      <c r="A301" s="511"/>
      <c r="B301" s="18"/>
      <c r="C301" s="18"/>
      <c r="D301" s="161"/>
      <c r="E301" s="161"/>
      <c r="F301" s="511"/>
      <c r="G301" s="161"/>
      <c r="H301" s="161"/>
      <c r="I301" s="161"/>
      <c r="J301" s="161"/>
      <c r="K301" s="161"/>
      <c r="L301" s="161"/>
      <c r="M301" s="161"/>
      <c r="N301" s="161"/>
      <c r="O301" s="161"/>
      <c r="P301" s="161"/>
      <c r="Q301" s="161"/>
      <c r="R301" s="161"/>
      <c r="S301" s="161"/>
      <c r="T301" s="161"/>
      <c r="U301" s="161"/>
      <c r="V301" s="161"/>
      <c r="W301" s="161"/>
      <c r="X301" s="161"/>
      <c r="Y301" s="161"/>
      <c r="Z301" s="161"/>
    </row>
    <row r="302">
      <c r="A302" s="511"/>
      <c r="B302" s="18"/>
      <c r="C302" s="18"/>
      <c r="D302" s="161"/>
      <c r="E302" s="161"/>
      <c r="F302" s="511"/>
      <c r="G302" s="161"/>
      <c r="H302" s="161"/>
      <c r="I302" s="161"/>
      <c r="J302" s="161"/>
      <c r="K302" s="161"/>
      <c r="L302" s="161"/>
      <c r="M302" s="161"/>
      <c r="N302" s="161"/>
      <c r="O302" s="161"/>
      <c r="P302" s="161"/>
      <c r="Q302" s="161"/>
      <c r="R302" s="161"/>
      <c r="S302" s="161"/>
      <c r="T302" s="161"/>
      <c r="U302" s="161"/>
      <c r="V302" s="161"/>
      <c r="W302" s="161"/>
      <c r="X302" s="161"/>
      <c r="Y302" s="161"/>
      <c r="Z302" s="161"/>
    </row>
    <row r="303">
      <c r="A303" s="511"/>
      <c r="B303" s="18"/>
      <c r="C303" s="18"/>
      <c r="D303" s="161"/>
      <c r="E303" s="161"/>
      <c r="F303" s="511"/>
      <c r="G303" s="161"/>
      <c r="H303" s="161"/>
      <c r="I303" s="161"/>
      <c r="J303" s="161"/>
      <c r="K303" s="161"/>
      <c r="L303" s="161"/>
      <c r="M303" s="161"/>
      <c r="N303" s="161"/>
      <c r="O303" s="161"/>
      <c r="P303" s="161"/>
      <c r="Q303" s="161"/>
      <c r="R303" s="161"/>
      <c r="S303" s="161"/>
      <c r="T303" s="161"/>
      <c r="U303" s="161"/>
      <c r="V303" s="161"/>
      <c r="W303" s="161"/>
      <c r="X303" s="161"/>
      <c r="Y303" s="161"/>
      <c r="Z303" s="161"/>
    </row>
    <row r="304">
      <c r="A304" s="511"/>
      <c r="B304" s="18"/>
      <c r="C304" s="18"/>
      <c r="D304" s="161"/>
      <c r="E304" s="161"/>
      <c r="F304" s="511"/>
      <c r="G304" s="161"/>
      <c r="H304" s="161"/>
      <c r="I304" s="161"/>
      <c r="J304" s="161"/>
      <c r="K304" s="161"/>
      <c r="L304" s="161"/>
      <c r="M304" s="161"/>
      <c r="N304" s="161"/>
      <c r="O304" s="161"/>
      <c r="P304" s="161"/>
      <c r="Q304" s="161"/>
      <c r="R304" s="161"/>
      <c r="S304" s="161"/>
      <c r="T304" s="161"/>
      <c r="U304" s="161"/>
      <c r="V304" s="161"/>
      <c r="W304" s="161"/>
      <c r="X304" s="161"/>
      <c r="Y304" s="161"/>
      <c r="Z304" s="161"/>
    </row>
    <row r="305">
      <c r="A305" s="511"/>
      <c r="B305" s="18"/>
      <c r="C305" s="18"/>
      <c r="D305" s="161"/>
      <c r="E305" s="161"/>
      <c r="F305" s="511"/>
      <c r="G305" s="161"/>
      <c r="H305" s="161"/>
      <c r="I305" s="161"/>
      <c r="J305" s="161"/>
      <c r="K305" s="161"/>
      <c r="L305" s="161"/>
      <c r="M305" s="161"/>
      <c r="N305" s="161"/>
      <c r="O305" s="161"/>
      <c r="P305" s="161"/>
      <c r="Q305" s="161"/>
      <c r="R305" s="161"/>
      <c r="S305" s="161"/>
      <c r="T305" s="161"/>
      <c r="U305" s="161"/>
      <c r="V305" s="161"/>
      <c r="W305" s="161"/>
      <c r="X305" s="161"/>
      <c r="Y305" s="161"/>
      <c r="Z305" s="161"/>
    </row>
    <row r="306">
      <c r="A306" s="511"/>
      <c r="B306" s="18"/>
      <c r="C306" s="18"/>
      <c r="D306" s="161"/>
      <c r="E306" s="161"/>
      <c r="F306" s="511"/>
      <c r="G306" s="161"/>
      <c r="H306" s="161"/>
      <c r="I306" s="161"/>
      <c r="J306" s="161"/>
      <c r="K306" s="161"/>
      <c r="L306" s="161"/>
      <c r="M306" s="161"/>
      <c r="N306" s="161"/>
      <c r="O306" s="161"/>
      <c r="P306" s="161"/>
      <c r="Q306" s="161"/>
      <c r="R306" s="161"/>
      <c r="S306" s="161"/>
      <c r="T306" s="161"/>
      <c r="U306" s="161"/>
      <c r="V306" s="161"/>
      <c r="W306" s="161"/>
      <c r="X306" s="161"/>
      <c r="Y306" s="161"/>
      <c r="Z306" s="161"/>
    </row>
    <row r="307">
      <c r="A307" s="511"/>
      <c r="B307" s="18"/>
      <c r="C307" s="18"/>
      <c r="D307" s="161"/>
      <c r="E307" s="161"/>
      <c r="F307" s="511"/>
      <c r="G307" s="161"/>
      <c r="H307" s="161"/>
      <c r="I307" s="161"/>
      <c r="J307" s="161"/>
      <c r="K307" s="161"/>
      <c r="L307" s="161"/>
      <c r="M307" s="161"/>
      <c r="N307" s="161"/>
      <c r="O307" s="161"/>
      <c r="P307" s="161"/>
      <c r="Q307" s="161"/>
      <c r="R307" s="161"/>
      <c r="S307" s="161"/>
      <c r="T307" s="161"/>
      <c r="U307" s="161"/>
      <c r="V307" s="161"/>
      <c r="W307" s="161"/>
      <c r="X307" s="161"/>
      <c r="Y307" s="161"/>
      <c r="Z307" s="161"/>
    </row>
    <row r="308">
      <c r="A308" s="511"/>
      <c r="B308" s="18"/>
      <c r="C308" s="18"/>
      <c r="D308" s="161"/>
      <c r="E308" s="161"/>
      <c r="F308" s="511"/>
      <c r="G308" s="161"/>
      <c r="H308" s="161"/>
      <c r="I308" s="161"/>
      <c r="J308" s="161"/>
      <c r="K308" s="161"/>
      <c r="L308" s="161"/>
      <c r="M308" s="161"/>
      <c r="N308" s="161"/>
      <c r="O308" s="161"/>
      <c r="P308" s="161"/>
      <c r="Q308" s="161"/>
      <c r="R308" s="161"/>
      <c r="S308" s="161"/>
      <c r="T308" s="161"/>
      <c r="U308" s="161"/>
      <c r="V308" s="161"/>
      <c r="W308" s="161"/>
      <c r="X308" s="161"/>
      <c r="Y308" s="161"/>
      <c r="Z308" s="161"/>
    </row>
    <row r="309">
      <c r="A309" s="511"/>
      <c r="B309" s="18"/>
      <c r="C309" s="18"/>
      <c r="D309" s="161"/>
      <c r="E309" s="161"/>
      <c r="F309" s="511"/>
      <c r="G309" s="161"/>
      <c r="H309" s="161"/>
      <c r="I309" s="161"/>
      <c r="J309" s="161"/>
      <c r="K309" s="161"/>
      <c r="L309" s="161"/>
      <c r="M309" s="161"/>
      <c r="N309" s="161"/>
      <c r="O309" s="161"/>
      <c r="P309" s="161"/>
      <c r="Q309" s="161"/>
      <c r="R309" s="161"/>
      <c r="S309" s="161"/>
      <c r="T309" s="161"/>
      <c r="U309" s="161"/>
      <c r="V309" s="161"/>
      <c r="W309" s="161"/>
      <c r="X309" s="161"/>
      <c r="Y309" s="161"/>
      <c r="Z309" s="161"/>
    </row>
    <row r="310">
      <c r="A310" s="511"/>
      <c r="B310" s="18"/>
      <c r="C310" s="18"/>
      <c r="D310" s="161"/>
      <c r="E310" s="161"/>
      <c r="F310" s="511"/>
      <c r="G310" s="161"/>
      <c r="H310" s="161"/>
      <c r="I310" s="161"/>
      <c r="J310" s="161"/>
      <c r="K310" s="161"/>
      <c r="L310" s="161"/>
      <c r="M310" s="161"/>
      <c r="N310" s="161"/>
      <c r="O310" s="161"/>
      <c r="P310" s="161"/>
      <c r="Q310" s="161"/>
      <c r="R310" s="161"/>
      <c r="S310" s="161"/>
      <c r="T310" s="161"/>
      <c r="U310" s="161"/>
      <c r="V310" s="161"/>
      <c r="W310" s="161"/>
      <c r="X310" s="161"/>
      <c r="Y310" s="161"/>
      <c r="Z310" s="161"/>
    </row>
    <row r="311">
      <c r="A311" s="511"/>
      <c r="B311" s="18"/>
      <c r="C311" s="18"/>
      <c r="D311" s="161"/>
      <c r="E311" s="161"/>
      <c r="F311" s="511"/>
      <c r="G311" s="161"/>
      <c r="H311" s="161"/>
      <c r="I311" s="161"/>
      <c r="J311" s="161"/>
      <c r="K311" s="161"/>
      <c r="L311" s="161"/>
      <c r="M311" s="161"/>
      <c r="N311" s="161"/>
      <c r="O311" s="161"/>
      <c r="P311" s="161"/>
      <c r="Q311" s="161"/>
      <c r="R311" s="161"/>
      <c r="S311" s="161"/>
      <c r="T311" s="161"/>
      <c r="U311" s="161"/>
      <c r="V311" s="161"/>
      <c r="W311" s="161"/>
      <c r="X311" s="161"/>
      <c r="Y311" s="161"/>
      <c r="Z311" s="161"/>
    </row>
    <row r="312">
      <c r="A312" s="511"/>
      <c r="B312" s="18"/>
      <c r="C312" s="18"/>
      <c r="D312" s="161"/>
      <c r="E312" s="161"/>
      <c r="F312" s="511"/>
      <c r="G312" s="161"/>
      <c r="H312" s="161"/>
      <c r="I312" s="161"/>
      <c r="J312" s="161"/>
      <c r="K312" s="161"/>
      <c r="L312" s="161"/>
      <c r="M312" s="161"/>
      <c r="N312" s="161"/>
      <c r="O312" s="161"/>
      <c r="P312" s="161"/>
      <c r="Q312" s="161"/>
      <c r="R312" s="161"/>
      <c r="S312" s="161"/>
      <c r="T312" s="161"/>
      <c r="U312" s="161"/>
      <c r="V312" s="161"/>
      <c r="W312" s="161"/>
      <c r="X312" s="161"/>
      <c r="Y312" s="161"/>
      <c r="Z312" s="161"/>
    </row>
    <row r="313">
      <c r="A313" s="511"/>
      <c r="B313" s="18"/>
      <c r="C313" s="18"/>
      <c r="D313" s="161"/>
      <c r="E313" s="161"/>
      <c r="F313" s="511"/>
      <c r="G313" s="161"/>
      <c r="H313" s="161"/>
      <c r="I313" s="161"/>
      <c r="J313" s="161"/>
      <c r="K313" s="161"/>
      <c r="L313" s="161"/>
      <c r="M313" s="161"/>
      <c r="N313" s="161"/>
      <c r="O313" s="161"/>
      <c r="P313" s="161"/>
      <c r="Q313" s="161"/>
      <c r="R313" s="161"/>
      <c r="S313" s="161"/>
      <c r="T313" s="161"/>
      <c r="U313" s="161"/>
      <c r="V313" s="161"/>
      <c r="W313" s="161"/>
      <c r="X313" s="161"/>
      <c r="Y313" s="161"/>
      <c r="Z313" s="161"/>
    </row>
    <row r="314">
      <c r="A314" s="511"/>
      <c r="B314" s="18"/>
      <c r="C314" s="18"/>
      <c r="D314" s="161"/>
      <c r="E314" s="161"/>
      <c r="F314" s="511"/>
      <c r="G314" s="161"/>
      <c r="H314" s="161"/>
      <c r="I314" s="161"/>
      <c r="J314" s="161"/>
      <c r="K314" s="161"/>
      <c r="L314" s="161"/>
      <c r="M314" s="161"/>
      <c r="N314" s="161"/>
      <c r="O314" s="161"/>
      <c r="P314" s="161"/>
      <c r="Q314" s="161"/>
      <c r="R314" s="161"/>
      <c r="S314" s="161"/>
      <c r="T314" s="161"/>
      <c r="U314" s="161"/>
      <c r="V314" s="161"/>
      <c r="W314" s="161"/>
      <c r="X314" s="161"/>
      <c r="Y314" s="161"/>
      <c r="Z314" s="161"/>
    </row>
    <row r="315">
      <c r="A315" s="511"/>
      <c r="B315" s="18"/>
      <c r="C315" s="18"/>
      <c r="D315" s="161"/>
      <c r="E315" s="161"/>
      <c r="F315" s="511"/>
      <c r="G315" s="161"/>
      <c r="H315" s="161"/>
      <c r="I315" s="161"/>
      <c r="J315" s="161"/>
      <c r="K315" s="161"/>
      <c r="L315" s="161"/>
      <c r="M315" s="161"/>
      <c r="N315" s="161"/>
      <c r="O315" s="161"/>
      <c r="P315" s="161"/>
      <c r="Q315" s="161"/>
      <c r="R315" s="161"/>
      <c r="S315" s="161"/>
      <c r="T315" s="161"/>
      <c r="U315" s="161"/>
      <c r="V315" s="161"/>
      <c r="W315" s="161"/>
      <c r="X315" s="161"/>
      <c r="Y315" s="161"/>
      <c r="Z315" s="161"/>
    </row>
    <row r="316">
      <c r="A316" s="511"/>
      <c r="B316" s="18"/>
      <c r="C316" s="18"/>
      <c r="D316" s="161"/>
      <c r="E316" s="161"/>
      <c r="F316" s="511"/>
      <c r="G316" s="161"/>
      <c r="H316" s="161"/>
      <c r="I316" s="161"/>
      <c r="J316" s="161"/>
      <c r="K316" s="161"/>
      <c r="L316" s="161"/>
      <c r="M316" s="161"/>
      <c r="N316" s="161"/>
      <c r="O316" s="161"/>
      <c r="P316" s="161"/>
      <c r="Q316" s="161"/>
      <c r="R316" s="161"/>
      <c r="S316" s="161"/>
      <c r="T316" s="161"/>
      <c r="U316" s="161"/>
      <c r="V316" s="161"/>
      <c r="W316" s="161"/>
      <c r="X316" s="161"/>
      <c r="Y316" s="161"/>
      <c r="Z316" s="161"/>
    </row>
    <row r="317">
      <c r="A317" s="511"/>
      <c r="B317" s="18"/>
      <c r="C317" s="18"/>
      <c r="D317" s="161"/>
      <c r="E317" s="161"/>
      <c r="F317" s="511"/>
      <c r="G317" s="161"/>
      <c r="H317" s="161"/>
      <c r="I317" s="161"/>
      <c r="J317" s="161"/>
      <c r="K317" s="161"/>
      <c r="L317" s="161"/>
      <c r="M317" s="161"/>
      <c r="N317" s="161"/>
      <c r="O317" s="161"/>
      <c r="P317" s="161"/>
      <c r="Q317" s="161"/>
      <c r="R317" s="161"/>
      <c r="S317" s="161"/>
      <c r="T317" s="161"/>
      <c r="U317" s="161"/>
      <c r="V317" s="161"/>
      <c r="W317" s="161"/>
      <c r="X317" s="161"/>
      <c r="Y317" s="161"/>
      <c r="Z317" s="161"/>
    </row>
    <row r="318">
      <c r="A318" s="511"/>
      <c r="B318" s="18"/>
      <c r="C318" s="18"/>
      <c r="D318" s="161"/>
      <c r="E318" s="161"/>
      <c r="F318" s="511"/>
      <c r="G318" s="161"/>
      <c r="H318" s="161"/>
      <c r="I318" s="161"/>
      <c r="J318" s="161"/>
      <c r="K318" s="161"/>
      <c r="L318" s="161"/>
      <c r="M318" s="161"/>
      <c r="N318" s="161"/>
      <c r="O318" s="161"/>
      <c r="P318" s="161"/>
      <c r="Q318" s="161"/>
      <c r="R318" s="161"/>
      <c r="S318" s="161"/>
      <c r="T318" s="161"/>
      <c r="U318" s="161"/>
      <c r="V318" s="161"/>
      <c r="W318" s="161"/>
      <c r="X318" s="161"/>
      <c r="Y318" s="161"/>
      <c r="Z318" s="161"/>
    </row>
    <row r="319">
      <c r="A319" s="511"/>
      <c r="B319" s="18"/>
      <c r="C319" s="18"/>
      <c r="D319" s="161"/>
      <c r="E319" s="161"/>
      <c r="F319" s="511"/>
      <c r="G319" s="161"/>
      <c r="H319" s="161"/>
      <c r="I319" s="161"/>
      <c r="J319" s="161"/>
      <c r="K319" s="161"/>
      <c r="L319" s="161"/>
      <c r="M319" s="161"/>
      <c r="N319" s="161"/>
      <c r="O319" s="161"/>
      <c r="P319" s="161"/>
      <c r="Q319" s="161"/>
      <c r="R319" s="161"/>
      <c r="S319" s="161"/>
      <c r="T319" s="161"/>
      <c r="U319" s="161"/>
      <c r="V319" s="161"/>
      <c r="W319" s="161"/>
      <c r="X319" s="161"/>
      <c r="Y319" s="161"/>
      <c r="Z319" s="161"/>
    </row>
    <row r="320">
      <c r="A320" s="511"/>
      <c r="B320" s="18"/>
      <c r="C320" s="18"/>
      <c r="D320" s="161"/>
      <c r="E320" s="161"/>
      <c r="F320" s="511"/>
      <c r="G320" s="161"/>
      <c r="H320" s="161"/>
      <c r="I320" s="161"/>
      <c r="J320" s="161"/>
      <c r="K320" s="161"/>
      <c r="L320" s="161"/>
      <c r="M320" s="161"/>
      <c r="N320" s="161"/>
      <c r="O320" s="161"/>
      <c r="P320" s="161"/>
      <c r="Q320" s="161"/>
      <c r="R320" s="161"/>
      <c r="S320" s="161"/>
      <c r="T320" s="161"/>
      <c r="U320" s="161"/>
      <c r="V320" s="161"/>
      <c r="W320" s="161"/>
      <c r="X320" s="161"/>
      <c r="Y320" s="161"/>
      <c r="Z320" s="161"/>
    </row>
    <row r="321">
      <c r="A321" s="511"/>
      <c r="B321" s="18"/>
      <c r="C321" s="18"/>
      <c r="D321" s="161"/>
      <c r="E321" s="161"/>
      <c r="F321" s="511"/>
      <c r="G321" s="161"/>
      <c r="H321" s="161"/>
      <c r="I321" s="161"/>
      <c r="J321" s="161"/>
      <c r="K321" s="161"/>
      <c r="L321" s="161"/>
      <c r="M321" s="161"/>
      <c r="N321" s="161"/>
      <c r="O321" s="161"/>
      <c r="P321" s="161"/>
      <c r="Q321" s="161"/>
      <c r="R321" s="161"/>
      <c r="S321" s="161"/>
      <c r="T321" s="161"/>
      <c r="U321" s="161"/>
      <c r="V321" s="161"/>
      <c r="W321" s="161"/>
      <c r="X321" s="161"/>
      <c r="Y321" s="161"/>
      <c r="Z321" s="161"/>
    </row>
    <row r="322">
      <c r="A322" s="511"/>
      <c r="B322" s="18"/>
      <c r="C322" s="18"/>
      <c r="D322" s="161"/>
      <c r="E322" s="161"/>
      <c r="F322" s="511"/>
      <c r="G322" s="161"/>
      <c r="H322" s="161"/>
      <c r="I322" s="161"/>
      <c r="J322" s="161"/>
      <c r="K322" s="161"/>
      <c r="L322" s="161"/>
      <c r="M322" s="161"/>
      <c r="N322" s="161"/>
      <c r="O322" s="161"/>
      <c r="P322" s="161"/>
      <c r="Q322" s="161"/>
      <c r="R322" s="161"/>
      <c r="S322" s="161"/>
      <c r="T322" s="161"/>
      <c r="U322" s="161"/>
      <c r="V322" s="161"/>
      <c r="W322" s="161"/>
      <c r="X322" s="161"/>
      <c r="Y322" s="161"/>
      <c r="Z322" s="161"/>
    </row>
    <row r="323">
      <c r="A323" s="511"/>
      <c r="B323" s="18"/>
      <c r="C323" s="18"/>
      <c r="D323" s="161"/>
      <c r="E323" s="161"/>
      <c r="F323" s="511"/>
      <c r="G323" s="161"/>
      <c r="H323" s="161"/>
      <c r="I323" s="161"/>
      <c r="J323" s="161"/>
      <c r="K323" s="161"/>
      <c r="L323" s="161"/>
      <c r="M323" s="161"/>
      <c r="N323" s="161"/>
      <c r="O323" s="161"/>
      <c r="P323" s="161"/>
      <c r="Q323" s="161"/>
      <c r="R323" s="161"/>
      <c r="S323" s="161"/>
      <c r="T323" s="161"/>
      <c r="U323" s="161"/>
      <c r="V323" s="161"/>
      <c r="W323" s="161"/>
      <c r="X323" s="161"/>
      <c r="Y323" s="161"/>
      <c r="Z323" s="161"/>
    </row>
    <row r="324">
      <c r="A324" s="511"/>
      <c r="B324" s="18"/>
      <c r="C324" s="18"/>
      <c r="D324" s="161"/>
      <c r="E324" s="161"/>
      <c r="F324" s="511"/>
      <c r="G324" s="161"/>
      <c r="H324" s="161"/>
      <c r="I324" s="161"/>
      <c r="J324" s="161"/>
      <c r="K324" s="161"/>
      <c r="L324" s="161"/>
      <c r="M324" s="161"/>
      <c r="N324" s="161"/>
      <c r="O324" s="161"/>
      <c r="P324" s="161"/>
      <c r="Q324" s="161"/>
      <c r="R324" s="161"/>
      <c r="S324" s="161"/>
      <c r="T324" s="161"/>
      <c r="U324" s="161"/>
      <c r="V324" s="161"/>
      <c r="W324" s="161"/>
      <c r="X324" s="161"/>
      <c r="Y324" s="161"/>
      <c r="Z324" s="161"/>
    </row>
    <row r="325">
      <c r="A325" s="511"/>
      <c r="B325" s="18"/>
      <c r="C325" s="18"/>
      <c r="D325" s="161"/>
      <c r="E325" s="161"/>
      <c r="F325" s="511"/>
      <c r="G325" s="161"/>
      <c r="H325" s="161"/>
      <c r="I325" s="161"/>
      <c r="J325" s="161"/>
      <c r="K325" s="161"/>
      <c r="L325" s="161"/>
      <c r="M325" s="161"/>
      <c r="N325" s="161"/>
      <c r="O325" s="161"/>
      <c r="P325" s="161"/>
      <c r="Q325" s="161"/>
      <c r="R325" s="161"/>
      <c r="S325" s="161"/>
      <c r="T325" s="161"/>
      <c r="U325" s="161"/>
      <c r="V325" s="161"/>
      <c r="W325" s="161"/>
      <c r="X325" s="161"/>
      <c r="Y325" s="161"/>
      <c r="Z325" s="161"/>
    </row>
    <row r="326">
      <c r="A326" s="511"/>
      <c r="B326" s="18"/>
      <c r="C326" s="18"/>
      <c r="D326" s="161"/>
      <c r="E326" s="161"/>
      <c r="F326" s="511"/>
      <c r="G326" s="161"/>
      <c r="H326" s="161"/>
      <c r="I326" s="161"/>
      <c r="J326" s="161"/>
      <c r="K326" s="161"/>
      <c r="L326" s="161"/>
      <c r="M326" s="161"/>
      <c r="N326" s="161"/>
      <c r="O326" s="161"/>
      <c r="P326" s="161"/>
      <c r="Q326" s="161"/>
      <c r="R326" s="161"/>
      <c r="S326" s="161"/>
      <c r="T326" s="161"/>
      <c r="U326" s="161"/>
      <c r="V326" s="161"/>
      <c r="W326" s="161"/>
      <c r="X326" s="161"/>
      <c r="Y326" s="161"/>
      <c r="Z326" s="161"/>
    </row>
    <row r="327">
      <c r="A327" s="511"/>
      <c r="B327" s="18"/>
      <c r="C327" s="18"/>
      <c r="D327" s="161"/>
      <c r="E327" s="161"/>
      <c r="F327" s="511"/>
      <c r="G327" s="161"/>
      <c r="H327" s="161"/>
      <c r="I327" s="161"/>
      <c r="J327" s="161"/>
      <c r="K327" s="161"/>
      <c r="L327" s="161"/>
      <c r="M327" s="161"/>
      <c r="N327" s="161"/>
      <c r="O327" s="161"/>
      <c r="P327" s="161"/>
      <c r="Q327" s="161"/>
      <c r="R327" s="161"/>
      <c r="S327" s="161"/>
      <c r="T327" s="161"/>
      <c r="U327" s="161"/>
      <c r="V327" s="161"/>
      <c r="W327" s="161"/>
      <c r="X327" s="161"/>
      <c r="Y327" s="161"/>
      <c r="Z327" s="161"/>
    </row>
    <row r="328">
      <c r="A328" s="511"/>
      <c r="B328" s="18"/>
      <c r="C328" s="18"/>
      <c r="D328" s="161"/>
      <c r="E328" s="161"/>
      <c r="F328" s="511"/>
      <c r="G328" s="161"/>
      <c r="H328" s="161"/>
      <c r="I328" s="161"/>
      <c r="J328" s="161"/>
      <c r="K328" s="161"/>
      <c r="L328" s="161"/>
      <c r="M328" s="161"/>
      <c r="N328" s="161"/>
      <c r="O328" s="161"/>
      <c r="P328" s="161"/>
      <c r="Q328" s="161"/>
      <c r="R328" s="161"/>
      <c r="S328" s="161"/>
      <c r="T328" s="161"/>
      <c r="U328" s="161"/>
      <c r="V328" s="161"/>
      <c r="W328" s="161"/>
      <c r="X328" s="161"/>
      <c r="Y328" s="161"/>
      <c r="Z328" s="161"/>
    </row>
    <row r="329">
      <c r="A329" s="511"/>
      <c r="B329" s="18"/>
      <c r="C329" s="18"/>
      <c r="D329" s="161"/>
      <c r="E329" s="161"/>
      <c r="F329" s="511"/>
      <c r="G329" s="161"/>
      <c r="H329" s="161"/>
      <c r="I329" s="161"/>
      <c r="J329" s="161"/>
      <c r="K329" s="161"/>
      <c r="L329" s="161"/>
      <c r="M329" s="161"/>
      <c r="N329" s="161"/>
      <c r="O329" s="161"/>
      <c r="P329" s="161"/>
      <c r="Q329" s="161"/>
      <c r="R329" s="161"/>
      <c r="S329" s="161"/>
      <c r="T329" s="161"/>
      <c r="U329" s="161"/>
      <c r="V329" s="161"/>
      <c r="W329" s="161"/>
      <c r="X329" s="161"/>
      <c r="Y329" s="161"/>
      <c r="Z329" s="161"/>
    </row>
    <row r="330">
      <c r="A330" s="511"/>
      <c r="B330" s="18"/>
      <c r="C330" s="18"/>
      <c r="D330" s="161"/>
      <c r="E330" s="161"/>
      <c r="F330" s="511"/>
      <c r="G330" s="161"/>
      <c r="H330" s="161"/>
      <c r="I330" s="161"/>
      <c r="J330" s="161"/>
      <c r="K330" s="161"/>
      <c r="L330" s="161"/>
      <c r="M330" s="161"/>
      <c r="N330" s="161"/>
      <c r="O330" s="161"/>
      <c r="P330" s="161"/>
      <c r="Q330" s="161"/>
      <c r="R330" s="161"/>
      <c r="S330" s="161"/>
      <c r="T330" s="161"/>
      <c r="U330" s="161"/>
      <c r="V330" s="161"/>
      <c r="W330" s="161"/>
      <c r="X330" s="161"/>
      <c r="Y330" s="161"/>
      <c r="Z330" s="161"/>
    </row>
    <row r="331">
      <c r="A331" s="511"/>
      <c r="B331" s="18"/>
      <c r="C331" s="18"/>
      <c r="D331" s="161"/>
      <c r="E331" s="161"/>
      <c r="F331" s="511"/>
      <c r="G331" s="161"/>
      <c r="H331" s="161"/>
      <c r="I331" s="161"/>
      <c r="J331" s="161"/>
      <c r="K331" s="161"/>
      <c r="L331" s="161"/>
      <c r="M331" s="161"/>
      <c r="N331" s="161"/>
      <c r="O331" s="161"/>
      <c r="P331" s="161"/>
      <c r="Q331" s="161"/>
      <c r="R331" s="161"/>
      <c r="S331" s="161"/>
      <c r="T331" s="161"/>
      <c r="U331" s="161"/>
      <c r="V331" s="161"/>
      <c r="W331" s="161"/>
      <c r="X331" s="161"/>
      <c r="Y331" s="161"/>
      <c r="Z331" s="161"/>
    </row>
    <row r="332">
      <c r="A332" s="511"/>
      <c r="B332" s="18"/>
      <c r="C332" s="18"/>
      <c r="D332" s="161"/>
      <c r="E332" s="161"/>
      <c r="F332" s="511"/>
      <c r="G332" s="161"/>
      <c r="H332" s="161"/>
      <c r="I332" s="161"/>
      <c r="J332" s="161"/>
      <c r="K332" s="161"/>
      <c r="L332" s="161"/>
      <c r="M332" s="161"/>
      <c r="N332" s="161"/>
      <c r="O332" s="161"/>
      <c r="P332" s="161"/>
      <c r="Q332" s="161"/>
      <c r="R332" s="161"/>
      <c r="S332" s="161"/>
      <c r="T332" s="161"/>
      <c r="U332" s="161"/>
      <c r="V332" s="161"/>
      <c r="W332" s="161"/>
      <c r="X332" s="161"/>
      <c r="Y332" s="161"/>
      <c r="Z332" s="161"/>
    </row>
    <row r="333">
      <c r="A333" s="511"/>
      <c r="B333" s="18"/>
      <c r="C333" s="18"/>
      <c r="D333" s="161"/>
      <c r="E333" s="161"/>
      <c r="F333" s="511"/>
      <c r="G333" s="161"/>
      <c r="H333" s="161"/>
      <c r="I333" s="161"/>
      <c r="J333" s="161"/>
      <c r="K333" s="161"/>
      <c r="L333" s="161"/>
      <c r="M333" s="161"/>
      <c r="N333" s="161"/>
      <c r="O333" s="161"/>
      <c r="P333" s="161"/>
      <c r="Q333" s="161"/>
      <c r="R333" s="161"/>
      <c r="S333" s="161"/>
      <c r="T333" s="161"/>
      <c r="U333" s="161"/>
      <c r="V333" s="161"/>
      <c r="W333" s="161"/>
      <c r="X333" s="161"/>
      <c r="Y333" s="161"/>
      <c r="Z333" s="161"/>
    </row>
    <row r="334">
      <c r="A334" s="511"/>
      <c r="B334" s="18"/>
      <c r="C334" s="18"/>
      <c r="D334" s="161"/>
      <c r="E334" s="161"/>
      <c r="F334" s="511"/>
      <c r="G334" s="161"/>
      <c r="H334" s="161"/>
      <c r="I334" s="161"/>
      <c r="J334" s="161"/>
      <c r="K334" s="161"/>
      <c r="L334" s="161"/>
      <c r="M334" s="161"/>
      <c r="N334" s="161"/>
      <c r="O334" s="161"/>
      <c r="P334" s="161"/>
      <c r="Q334" s="161"/>
      <c r="R334" s="161"/>
      <c r="S334" s="161"/>
      <c r="T334" s="161"/>
      <c r="U334" s="161"/>
      <c r="V334" s="161"/>
      <c r="W334" s="161"/>
      <c r="X334" s="161"/>
      <c r="Y334" s="161"/>
      <c r="Z334" s="161"/>
    </row>
    <row r="335">
      <c r="A335" s="511"/>
      <c r="B335" s="18"/>
      <c r="C335" s="18"/>
      <c r="D335" s="161"/>
      <c r="E335" s="161"/>
      <c r="F335" s="511"/>
      <c r="G335" s="161"/>
      <c r="H335" s="161"/>
      <c r="I335" s="161"/>
      <c r="J335" s="161"/>
      <c r="K335" s="161"/>
      <c r="L335" s="161"/>
      <c r="M335" s="161"/>
      <c r="N335" s="161"/>
      <c r="O335" s="161"/>
      <c r="P335" s="161"/>
      <c r="Q335" s="161"/>
      <c r="R335" s="161"/>
      <c r="S335" s="161"/>
      <c r="T335" s="161"/>
      <c r="U335" s="161"/>
      <c r="V335" s="161"/>
      <c r="W335" s="161"/>
      <c r="X335" s="161"/>
      <c r="Y335" s="161"/>
      <c r="Z335" s="161"/>
    </row>
    <row r="336">
      <c r="A336" s="511"/>
      <c r="B336" s="18"/>
      <c r="C336" s="18"/>
      <c r="D336" s="161"/>
      <c r="E336" s="161"/>
      <c r="F336" s="511"/>
      <c r="G336" s="161"/>
      <c r="H336" s="161"/>
      <c r="I336" s="161"/>
      <c r="J336" s="161"/>
      <c r="K336" s="161"/>
      <c r="L336" s="161"/>
      <c r="M336" s="161"/>
      <c r="N336" s="161"/>
      <c r="O336" s="161"/>
      <c r="P336" s="161"/>
      <c r="Q336" s="161"/>
      <c r="R336" s="161"/>
      <c r="S336" s="161"/>
      <c r="T336" s="161"/>
      <c r="U336" s="161"/>
      <c r="V336" s="161"/>
      <c r="W336" s="161"/>
      <c r="X336" s="161"/>
      <c r="Y336" s="161"/>
      <c r="Z336" s="161"/>
    </row>
    <row r="337">
      <c r="A337" s="511"/>
      <c r="B337" s="18"/>
      <c r="C337" s="18"/>
      <c r="D337" s="161"/>
      <c r="E337" s="161"/>
      <c r="F337" s="511"/>
      <c r="G337" s="161"/>
      <c r="H337" s="161"/>
      <c r="I337" s="161"/>
      <c r="J337" s="161"/>
      <c r="K337" s="161"/>
      <c r="L337" s="161"/>
      <c r="M337" s="161"/>
      <c r="N337" s="161"/>
      <c r="O337" s="161"/>
      <c r="P337" s="161"/>
      <c r="Q337" s="161"/>
      <c r="R337" s="161"/>
      <c r="S337" s="161"/>
      <c r="T337" s="161"/>
      <c r="U337" s="161"/>
      <c r="V337" s="161"/>
      <c r="W337" s="161"/>
      <c r="X337" s="161"/>
      <c r="Y337" s="161"/>
      <c r="Z337" s="161"/>
    </row>
    <row r="338">
      <c r="A338" s="511"/>
      <c r="B338" s="18"/>
      <c r="C338" s="18"/>
      <c r="D338" s="161"/>
      <c r="E338" s="161"/>
      <c r="F338" s="511"/>
      <c r="G338" s="161"/>
      <c r="H338" s="161"/>
      <c r="I338" s="161"/>
      <c r="J338" s="161"/>
      <c r="K338" s="161"/>
      <c r="L338" s="161"/>
      <c r="M338" s="161"/>
      <c r="N338" s="161"/>
      <c r="O338" s="161"/>
      <c r="P338" s="161"/>
      <c r="Q338" s="161"/>
      <c r="R338" s="161"/>
      <c r="S338" s="161"/>
      <c r="T338" s="161"/>
      <c r="U338" s="161"/>
      <c r="V338" s="161"/>
      <c r="W338" s="161"/>
      <c r="X338" s="161"/>
      <c r="Y338" s="161"/>
      <c r="Z338" s="161"/>
    </row>
    <row r="339">
      <c r="A339" s="511"/>
      <c r="B339" s="18"/>
      <c r="C339" s="18"/>
      <c r="D339" s="161"/>
      <c r="E339" s="161"/>
      <c r="F339" s="511"/>
      <c r="G339" s="161"/>
      <c r="H339" s="161"/>
      <c r="I339" s="161"/>
      <c r="J339" s="161"/>
      <c r="K339" s="161"/>
      <c r="L339" s="161"/>
      <c r="M339" s="161"/>
      <c r="N339" s="161"/>
      <c r="O339" s="161"/>
      <c r="P339" s="161"/>
      <c r="Q339" s="161"/>
      <c r="R339" s="161"/>
      <c r="S339" s="161"/>
      <c r="T339" s="161"/>
      <c r="U339" s="161"/>
      <c r="V339" s="161"/>
      <c r="W339" s="161"/>
      <c r="X339" s="161"/>
      <c r="Y339" s="161"/>
      <c r="Z339" s="161"/>
    </row>
    <row r="340">
      <c r="A340" s="511"/>
      <c r="B340" s="18"/>
      <c r="C340" s="18"/>
      <c r="D340" s="161"/>
      <c r="E340" s="161"/>
      <c r="F340" s="511"/>
      <c r="G340" s="161"/>
      <c r="H340" s="161"/>
      <c r="I340" s="161"/>
      <c r="J340" s="161"/>
      <c r="K340" s="161"/>
      <c r="L340" s="161"/>
      <c r="M340" s="161"/>
      <c r="N340" s="161"/>
      <c r="O340" s="161"/>
      <c r="P340" s="161"/>
      <c r="Q340" s="161"/>
      <c r="R340" s="161"/>
      <c r="S340" s="161"/>
      <c r="T340" s="161"/>
      <c r="U340" s="161"/>
      <c r="V340" s="161"/>
      <c r="W340" s="161"/>
      <c r="X340" s="161"/>
      <c r="Y340" s="161"/>
      <c r="Z340" s="161"/>
    </row>
    <row r="341">
      <c r="A341" s="511"/>
      <c r="B341" s="18"/>
      <c r="C341" s="18"/>
      <c r="D341" s="161"/>
      <c r="E341" s="161"/>
      <c r="F341" s="511"/>
      <c r="G341" s="161"/>
      <c r="H341" s="161"/>
      <c r="I341" s="161"/>
      <c r="J341" s="161"/>
      <c r="K341" s="161"/>
      <c r="L341" s="161"/>
      <c r="M341" s="161"/>
      <c r="N341" s="161"/>
      <c r="O341" s="161"/>
      <c r="P341" s="161"/>
      <c r="Q341" s="161"/>
      <c r="R341" s="161"/>
      <c r="S341" s="161"/>
      <c r="T341" s="161"/>
      <c r="U341" s="161"/>
      <c r="V341" s="161"/>
      <c r="W341" s="161"/>
      <c r="X341" s="161"/>
      <c r="Y341" s="161"/>
      <c r="Z341" s="161"/>
    </row>
    <row r="342">
      <c r="A342" s="511"/>
      <c r="B342" s="18"/>
      <c r="C342" s="18"/>
      <c r="D342" s="161"/>
      <c r="E342" s="161"/>
      <c r="F342" s="511"/>
      <c r="G342" s="161"/>
      <c r="H342" s="161"/>
      <c r="I342" s="161"/>
      <c r="J342" s="161"/>
      <c r="K342" s="161"/>
      <c r="L342" s="161"/>
      <c r="M342" s="161"/>
      <c r="N342" s="161"/>
      <c r="O342" s="161"/>
      <c r="P342" s="161"/>
      <c r="Q342" s="161"/>
      <c r="R342" s="161"/>
      <c r="S342" s="161"/>
      <c r="T342" s="161"/>
      <c r="U342" s="161"/>
      <c r="V342" s="161"/>
      <c r="W342" s="161"/>
      <c r="X342" s="161"/>
      <c r="Y342" s="161"/>
      <c r="Z342" s="161"/>
    </row>
    <row r="343">
      <c r="A343" s="511"/>
      <c r="B343" s="18"/>
      <c r="C343" s="18"/>
      <c r="D343" s="161"/>
      <c r="E343" s="161"/>
      <c r="F343" s="511"/>
      <c r="G343" s="161"/>
      <c r="H343" s="161"/>
      <c r="I343" s="161"/>
      <c r="J343" s="161"/>
      <c r="K343" s="161"/>
      <c r="L343" s="161"/>
      <c r="M343" s="161"/>
      <c r="N343" s="161"/>
      <c r="O343" s="161"/>
      <c r="P343" s="161"/>
      <c r="Q343" s="161"/>
      <c r="R343" s="161"/>
      <c r="S343" s="161"/>
      <c r="T343" s="161"/>
      <c r="U343" s="161"/>
      <c r="V343" s="161"/>
      <c r="W343" s="161"/>
      <c r="X343" s="161"/>
      <c r="Y343" s="161"/>
      <c r="Z343" s="161"/>
    </row>
    <row r="344">
      <c r="A344" s="511"/>
      <c r="B344" s="18"/>
      <c r="C344" s="18"/>
      <c r="D344" s="161"/>
      <c r="E344" s="161"/>
      <c r="F344" s="511"/>
      <c r="G344" s="161"/>
      <c r="H344" s="161"/>
      <c r="I344" s="161"/>
      <c r="J344" s="161"/>
      <c r="K344" s="161"/>
      <c r="L344" s="161"/>
      <c r="M344" s="161"/>
      <c r="N344" s="161"/>
      <c r="O344" s="161"/>
      <c r="P344" s="161"/>
      <c r="Q344" s="161"/>
      <c r="R344" s="161"/>
      <c r="S344" s="161"/>
      <c r="T344" s="161"/>
      <c r="U344" s="161"/>
      <c r="V344" s="161"/>
      <c r="W344" s="161"/>
      <c r="X344" s="161"/>
      <c r="Y344" s="161"/>
      <c r="Z344" s="161"/>
    </row>
    <row r="345">
      <c r="A345" s="511"/>
      <c r="B345" s="18"/>
      <c r="C345" s="18"/>
      <c r="D345" s="161"/>
      <c r="E345" s="161"/>
      <c r="F345" s="511"/>
      <c r="G345" s="161"/>
      <c r="H345" s="161"/>
      <c r="I345" s="161"/>
      <c r="J345" s="161"/>
      <c r="K345" s="161"/>
      <c r="L345" s="161"/>
      <c r="M345" s="161"/>
      <c r="N345" s="161"/>
      <c r="O345" s="161"/>
      <c r="P345" s="161"/>
      <c r="Q345" s="161"/>
      <c r="R345" s="161"/>
      <c r="S345" s="161"/>
      <c r="T345" s="161"/>
      <c r="U345" s="161"/>
      <c r="V345" s="161"/>
      <c r="W345" s="161"/>
      <c r="X345" s="161"/>
      <c r="Y345" s="161"/>
      <c r="Z345" s="161"/>
    </row>
    <row r="346">
      <c r="A346" s="511"/>
      <c r="B346" s="18"/>
      <c r="C346" s="18"/>
      <c r="D346" s="161"/>
      <c r="E346" s="161"/>
      <c r="F346" s="511"/>
      <c r="G346" s="161"/>
      <c r="H346" s="161"/>
      <c r="I346" s="161"/>
      <c r="J346" s="161"/>
      <c r="K346" s="161"/>
      <c r="L346" s="161"/>
      <c r="M346" s="161"/>
      <c r="N346" s="161"/>
      <c r="O346" s="161"/>
      <c r="P346" s="161"/>
      <c r="Q346" s="161"/>
      <c r="R346" s="161"/>
      <c r="S346" s="161"/>
      <c r="T346" s="161"/>
      <c r="U346" s="161"/>
      <c r="V346" s="161"/>
      <c r="W346" s="161"/>
      <c r="X346" s="161"/>
      <c r="Y346" s="161"/>
      <c r="Z346" s="161"/>
    </row>
    <row r="347">
      <c r="A347" s="511"/>
      <c r="B347" s="18"/>
      <c r="C347" s="18"/>
      <c r="D347" s="161"/>
      <c r="E347" s="161"/>
      <c r="F347" s="511"/>
      <c r="G347" s="161"/>
      <c r="H347" s="161"/>
      <c r="I347" s="161"/>
      <c r="J347" s="161"/>
      <c r="K347" s="161"/>
      <c r="L347" s="161"/>
      <c r="M347" s="161"/>
      <c r="N347" s="161"/>
      <c r="O347" s="161"/>
      <c r="P347" s="161"/>
      <c r="Q347" s="161"/>
      <c r="R347" s="161"/>
      <c r="S347" s="161"/>
      <c r="T347" s="161"/>
      <c r="U347" s="161"/>
      <c r="V347" s="161"/>
      <c r="W347" s="161"/>
      <c r="X347" s="161"/>
      <c r="Y347" s="161"/>
      <c r="Z347" s="161"/>
    </row>
    <row r="348">
      <c r="A348" s="511"/>
      <c r="B348" s="18"/>
      <c r="C348" s="18"/>
      <c r="D348" s="161"/>
      <c r="E348" s="161"/>
      <c r="F348" s="511"/>
      <c r="G348" s="161"/>
      <c r="H348" s="161"/>
      <c r="I348" s="161"/>
      <c r="J348" s="161"/>
      <c r="K348" s="161"/>
      <c r="L348" s="161"/>
      <c r="M348" s="161"/>
      <c r="N348" s="161"/>
      <c r="O348" s="161"/>
      <c r="P348" s="161"/>
      <c r="Q348" s="161"/>
      <c r="R348" s="161"/>
      <c r="S348" s="161"/>
      <c r="T348" s="161"/>
      <c r="U348" s="161"/>
      <c r="V348" s="161"/>
      <c r="W348" s="161"/>
      <c r="X348" s="161"/>
      <c r="Y348" s="161"/>
      <c r="Z348" s="161"/>
    </row>
    <row r="349">
      <c r="A349" s="511"/>
      <c r="B349" s="18"/>
      <c r="C349" s="18"/>
      <c r="D349" s="161"/>
      <c r="E349" s="161"/>
      <c r="F349" s="511"/>
      <c r="G349" s="161"/>
      <c r="H349" s="161"/>
      <c r="I349" s="161"/>
      <c r="J349" s="161"/>
      <c r="K349" s="161"/>
      <c r="L349" s="161"/>
      <c r="M349" s="161"/>
      <c r="N349" s="161"/>
      <c r="O349" s="161"/>
      <c r="P349" s="161"/>
      <c r="Q349" s="161"/>
      <c r="R349" s="161"/>
      <c r="S349" s="161"/>
      <c r="T349" s="161"/>
      <c r="U349" s="161"/>
      <c r="V349" s="161"/>
      <c r="W349" s="161"/>
      <c r="X349" s="161"/>
      <c r="Y349" s="161"/>
      <c r="Z349" s="161"/>
    </row>
    <row r="350">
      <c r="A350" s="511"/>
      <c r="B350" s="18"/>
      <c r="C350" s="18"/>
      <c r="D350" s="161"/>
      <c r="E350" s="161"/>
      <c r="F350" s="511"/>
      <c r="G350" s="161"/>
      <c r="H350" s="161"/>
      <c r="I350" s="161"/>
      <c r="J350" s="161"/>
      <c r="K350" s="161"/>
      <c r="L350" s="161"/>
      <c r="M350" s="161"/>
      <c r="N350" s="161"/>
      <c r="O350" s="161"/>
      <c r="P350" s="161"/>
      <c r="Q350" s="161"/>
      <c r="R350" s="161"/>
      <c r="S350" s="161"/>
      <c r="T350" s="161"/>
      <c r="U350" s="161"/>
      <c r="V350" s="161"/>
      <c r="W350" s="161"/>
      <c r="X350" s="161"/>
      <c r="Y350" s="161"/>
      <c r="Z350" s="161"/>
    </row>
    <row r="351">
      <c r="A351" s="511"/>
      <c r="B351" s="18"/>
      <c r="C351" s="18"/>
      <c r="D351" s="161"/>
      <c r="E351" s="161"/>
      <c r="F351" s="511"/>
      <c r="G351" s="161"/>
      <c r="H351" s="161"/>
      <c r="I351" s="161"/>
      <c r="J351" s="161"/>
      <c r="K351" s="161"/>
      <c r="L351" s="161"/>
      <c r="M351" s="161"/>
      <c r="N351" s="161"/>
      <c r="O351" s="161"/>
      <c r="P351" s="161"/>
      <c r="Q351" s="161"/>
      <c r="R351" s="161"/>
      <c r="S351" s="161"/>
      <c r="T351" s="161"/>
      <c r="U351" s="161"/>
      <c r="V351" s="161"/>
      <c r="W351" s="161"/>
      <c r="X351" s="161"/>
      <c r="Y351" s="161"/>
      <c r="Z351" s="161"/>
    </row>
    <row r="352">
      <c r="A352" s="511"/>
      <c r="B352" s="18"/>
      <c r="C352" s="18"/>
      <c r="D352" s="161"/>
      <c r="E352" s="161"/>
      <c r="F352" s="511"/>
      <c r="G352" s="161"/>
      <c r="H352" s="161"/>
      <c r="I352" s="161"/>
      <c r="J352" s="161"/>
      <c r="K352" s="161"/>
      <c r="L352" s="161"/>
      <c r="M352" s="161"/>
      <c r="N352" s="161"/>
      <c r="O352" s="161"/>
      <c r="P352" s="161"/>
      <c r="Q352" s="161"/>
      <c r="R352" s="161"/>
      <c r="S352" s="161"/>
      <c r="T352" s="161"/>
      <c r="U352" s="161"/>
      <c r="V352" s="161"/>
      <c r="W352" s="161"/>
      <c r="X352" s="161"/>
      <c r="Y352" s="161"/>
      <c r="Z352" s="161"/>
    </row>
    <row r="353">
      <c r="A353" s="511"/>
      <c r="B353" s="18"/>
      <c r="C353" s="18"/>
      <c r="D353" s="161"/>
      <c r="E353" s="161"/>
      <c r="F353" s="511"/>
      <c r="G353" s="161"/>
      <c r="H353" s="161"/>
      <c r="I353" s="161"/>
      <c r="J353" s="161"/>
      <c r="K353" s="161"/>
      <c r="L353" s="161"/>
      <c r="M353" s="161"/>
      <c r="N353" s="161"/>
      <c r="O353" s="161"/>
      <c r="P353" s="161"/>
      <c r="Q353" s="161"/>
      <c r="R353" s="161"/>
      <c r="S353" s="161"/>
      <c r="T353" s="161"/>
      <c r="U353" s="161"/>
      <c r="V353" s="161"/>
      <c r="W353" s="161"/>
      <c r="X353" s="161"/>
      <c r="Y353" s="161"/>
      <c r="Z353" s="161"/>
    </row>
    <row r="354">
      <c r="A354" s="511"/>
      <c r="B354" s="18"/>
      <c r="C354" s="18"/>
      <c r="D354" s="161"/>
      <c r="E354" s="161"/>
      <c r="F354" s="511"/>
      <c r="G354" s="161"/>
      <c r="H354" s="161"/>
      <c r="I354" s="161"/>
      <c r="J354" s="161"/>
      <c r="K354" s="161"/>
      <c r="L354" s="161"/>
      <c r="M354" s="161"/>
      <c r="N354" s="161"/>
      <c r="O354" s="161"/>
      <c r="P354" s="161"/>
      <c r="Q354" s="161"/>
      <c r="R354" s="161"/>
      <c r="S354" s="161"/>
      <c r="T354" s="161"/>
      <c r="U354" s="161"/>
      <c r="V354" s="161"/>
      <c r="W354" s="161"/>
      <c r="X354" s="161"/>
      <c r="Y354" s="161"/>
      <c r="Z354" s="161"/>
    </row>
    <row r="355">
      <c r="A355" s="511"/>
      <c r="B355" s="18"/>
      <c r="C355" s="18"/>
      <c r="D355" s="161"/>
      <c r="E355" s="161"/>
      <c r="F355" s="511"/>
      <c r="G355" s="161"/>
      <c r="H355" s="161"/>
      <c r="I355" s="161"/>
      <c r="J355" s="161"/>
      <c r="K355" s="161"/>
      <c r="L355" s="161"/>
      <c r="M355" s="161"/>
      <c r="N355" s="161"/>
      <c r="O355" s="161"/>
      <c r="P355" s="161"/>
      <c r="Q355" s="161"/>
      <c r="R355" s="161"/>
      <c r="S355" s="161"/>
      <c r="T355" s="161"/>
      <c r="U355" s="161"/>
      <c r="V355" s="161"/>
      <c r="W355" s="161"/>
      <c r="X355" s="161"/>
      <c r="Y355" s="161"/>
      <c r="Z355" s="161"/>
    </row>
    <row r="356">
      <c r="A356" s="511"/>
      <c r="B356" s="18"/>
      <c r="C356" s="18"/>
      <c r="D356" s="161"/>
      <c r="E356" s="161"/>
      <c r="F356" s="511"/>
      <c r="G356" s="161"/>
      <c r="H356" s="161"/>
      <c r="I356" s="161"/>
      <c r="J356" s="161"/>
      <c r="K356" s="161"/>
      <c r="L356" s="161"/>
      <c r="M356" s="161"/>
      <c r="N356" s="161"/>
      <c r="O356" s="161"/>
      <c r="P356" s="161"/>
      <c r="Q356" s="161"/>
      <c r="R356" s="161"/>
      <c r="S356" s="161"/>
      <c r="T356" s="161"/>
      <c r="U356" s="161"/>
      <c r="V356" s="161"/>
      <c r="W356" s="161"/>
      <c r="X356" s="161"/>
      <c r="Y356" s="161"/>
      <c r="Z356" s="161"/>
    </row>
    <row r="357">
      <c r="A357" s="511"/>
      <c r="B357" s="18"/>
      <c r="C357" s="18"/>
      <c r="D357" s="161"/>
      <c r="E357" s="161"/>
      <c r="F357" s="511"/>
      <c r="G357" s="161"/>
      <c r="H357" s="161"/>
      <c r="I357" s="161"/>
      <c r="J357" s="161"/>
      <c r="K357" s="161"/>
      <c r="L357" s="161"/>
      <c r="M357" s="161"/>
      <c r="N357" s="161"/>
      <c r="O357" s="161"/>
      <c r="P357" s="161"/>
      <c r="Q357" s="161"/>
      <c r="R357" s="161"/>
      <c r="S357" s="161"/>
      <c r="T357" s="161"/>
      <c r="U357" s="161"/>
      <c r="V357" s="161"/>
      <c r="W357" s="161"/>
      <c r="X357" s="161"/>
      <c r="Y357" s="161"/>
      <c r="Z357" s="161"/>
    </row>
    <row r="358">
      <c r="A358" s="511"/>
      <c r="B358" s="18"/>
      <c r="C358" s="18"/>
      <c r="D358" s="161"/>
      <c r="E358" s="161"/>
      <c r="F358" s="511"/>
      <c r="G358" s="161"/>
      <c r="H358" s="161"/>
      <c r="I358" s="161"/>
      <c r="J358" s="161"/>
      <c r="K358" s="161"/>
      <c r="L358" s="161"/>
      <c r="M358" s="161"/>
      <c r="N358" s="161"/>
      <c r="O358" s="161"/>
      <c r="P358" s="161"/>
      <c r="Q358" s="161"/>
      <c r="R358" s="161"/>
      <c r="S358" s="161"/>
      <c r="T358" s="161"/>
      <c r="U358" s="161"/>
      <c r="V358" s="161"/>
      <c r="W358" s="161"/>
      <c r="X358" s="161"/>
      <c r="Y358" s="161"/>
      <c r="Z358" s="161"/>
    </row>
    <row r="359">
      <c r="A359" s="511"/>
      <c r="B359" s="18"/>
      <c r="C359" s="18"/>
      <c r="D359" s="161"/>
      <c r="E359" s="161"/>
      <c r="F359" s="511"/>
      <c r="G359" s="161"/>
      <c r="H359" s="161"/>
      <c r="I359" s="161"/>
      <c r="J359" s="161"/>
      <c r="K359" s="161"/>
      <c r="L359" s="161"/>
      <c r="M359" s="161"/>
      <c r="N359" s="161"/>
      <c r="O359" s="161"/>
      <c r="P359" s="161"/>
      <c r="Q359" s="161"/>
      <c r="R359" s="161"/>
      <c r="S359" s="161"/>
      <c r="T359" s="161"/>
      <c r="U359" s="161"/>
      <c r="V359" s="161"/>
      <c r="W359" s="161"/>
      <c r="X359" s="161"/>
      <c r="Y359" s="161"/>
      <c r="Z359" s="161"/>
    </row>
    <row r="360">
      <c r="A360" s="511"/>
      <c r="B360" s="18"/>
      <c r="C360" s="18"/>
      <c r="D360" s="161"/>
      <c r="E360" s="161"/>
      <c r="F360" s="511"/>
      <c r="G360" s="161"/>
      <c r="H360" s="161"/>
      <c r="I360" s="161"/>
      <c r="J360" s="161"/>
      <c r="K360" s="161"/>
      <c r="L360" s="161"/>
      <c r="M360" s="161"/>
      <c r="N360" s="161"/>
      <c r="O360" s="161"/>
      <c r="P360" s="161"/>
      <c r="Q360" s="161"/>
      <c r="R360" s="161"/>
      <c r="S360" s="161"/>
      <c r="T360" s="161"/>
      <c r="U360" s="161"/>
      <c r="V360" s="161"/>
      <c r="W360" s="161"/>
      <c r="X360" s="161"/>
      <c r="Y360" s="161"/>
      <c r="Z360" s="161"/>
    </row>
    <row r="361">
      <c r="A361" s="511"/>
      <c r="B361" s="18"/>
      <c r="C361" s="18"/>
      <c r="D361" s="161"/>
      <c r="E361" s="161"/>
      <c r="F361" s="511"/>
      <c r="G361" s="161"/>
      <c r="H361" s="161"/>
      <c r="I361" s="161"/>
      <c r="J361" s="161"/>
      <c r="K361" s="161"/>
      <c r="L361" s="161"/>
      <c r="M361" s="161"/>
      <c r="N361" s="161"/>
      <c r="O361" s="161"/>
      <c r="P361" s="161"/>
      <c r="Q361" s="161"/>
      <c r="R361" s="161"/>
      <c r="S361" s="161"/>
      <c r="T361" s="161"/>
      <c r="U361" s="161"/>
      <c r="V361" s="161"/>
      <c r="W361" s="161"/>
      <c r="X361" s="161"/>
      <c r="Y361" s="161"/>
      <c r="Z361" s="161"/>
    </row>
    <row r="362">
      <c r="A362" s="511"/>
      <c r="B362" s="18"/>
      <c r="C362" s="18"/>
      <c r="D362" s="161"/>
      <c r="E362" s="161"/>
      <c r="F362" s="511"/>
      <c r="G362" s="161"/>
      <c r="H362" s="161"/>
      <c r="I362" s="161"/>
      <c r="J362" s="161"/>
      <c r="K362" s="161"/>
      <c r="L362" s="161"/>
      <c r="M362" s="161"/>
      <c r="N362" s="161"/>
      <c r="O362" s="161"/>
      <c r="P362" s="161"/>
      <c r="Q362" s="161"/>
      <c r="R362" s="161"/>
      <c r="S362" s="161"/>
      <c r="T362" s="161"/>
      <c r="U362" s="161"/>
      <c r="V362" s="161"/>
      <c r="W362" s="161"/>
      <c r="X362" s="161"/>
      <c r="Y362" s="161"/>
      <c r="Z362" s="161"/>
    </row>
    <row r="363">
      <c r="A363" s="511"/>
      <c r="B363" s="18"/>
      <c r="C363" s="18"/>
      <c r="D363" s="161"/>
      <c r="E363" s="161"/>
      <c r="F363" s="511"/>
      <c r="G363" s="161"/>
      <c r="H363" s="161"/>
      <c r="I363" s="161"/>
      <c r="J363" s="161"/>
      <c r="K363" s="161"/>
      <c r="L363" s="161"/>
      <c r="M363" s="161"/>
      <c r="N363" s="161"/>
      <c r="O363" s="161"/>
      <c r="P363" s="161"/>
      <c r="Q363" s="161"/>
      <c r="R363" s="161"/>
      <c r="S363" s="161"/>
      <c r="T363" s="161"/>
      <c r="U363" s="161"/>
      <c r="V363" s="161"/>
      <c r="W363" s="161"/>
      <c r="X363" s="161"/>
      <c r="Y363" s="161"/>
      <c r="Z363" s="161"/>
    </row>
    <row r="364">
      <c r="A364" s="511"/>
      <c r="B364" s="18"/>
      <c r="C364" s="18"/>
      <c r="D364" s="161"/>
      <c r="E364" s="161"/>
      <c r="F364" s="511"/>
      <c r="G364" s="161"/>
      <c r="H364" s="161"/>
      <c r="I364" s="161"/>
      <c r="J364" s="161"/>
      <c r="K364" s="161"/>
      <c r="L364" s="161"/>
      <c r="M364" s="161"/>
      <c r="N364" s="161"/>
      <c r="O364" s="161"/>
      <c r="P364" s="161"/>
      <c r="Q364" s="161"/>
      <c r="R364" s="161"/>
      <c r="S364" s="161"/>
      <c r="T364" s="161"/>
      <c r="U364" s="161"/>
      <c r="V364" s="161"/>
      <c r="W364" s="161"/>
      <c r="X364" s="161"/>
      <c r="Y364" s="161"/>
      <c r="Z364" s="161"/>
    </row>
    <row r="365">
      <c r="A365" s="511"/>
      <c r="B365" s="18"/>
      <c r="C365" s="18"/>
      <c r="D365" s="161"/>
      <c r="E365" s="161"/>
      <c r="F365" s="511"/>
      <c r="G365" s="161"/>
      <c r="H365" s="161"/>
      <c r="I365" s="161"/>
      <c r="J365" s="161"/>
      <c r="K365" s="161"/>
      <c r="L365" s="161"/>
      <c r="M365" s="161"/>
      <c r="N365" s="161"/>
      <c r="O365" s="161"/>
      <c r="P365" s="161"/>
      <c r="Q365" s="161"/>
      <c r="R365" s="161"/>
      <c r="S365" s="161"/>
      <c r="T365" s="161"/>
      <c r="U365" s="161"/>
      <c r="V365" s="161"/>
      <c r="W365" s="161"/>
      <c r="X365" s="161"/>
      <c r="Y365" s="161"/>
      <c r="Z365" s="161"/>
    </row>
    <row r="366">
      <c r="A366" s="511"/>
      <c r="B366" s="18"/>
      <c r="C366" s="18"/>
      <c r="D366" s="161"/>
      <c r="E366" s="161"/>
      <c r="F366" s="511"/>
      <c r="G366" s="161"/>
      <c r="H366" s="161"/>
      <c r="I366" s="161"/>
      <c r="J366" s="161"/>
      <c r="K366" s="161"/>
      <c r="L366" s="161"/>
      <c r="M366" s="161"/>
      <c r="N366" s="161"/>
      <c r="O366" s="161"/>
      <c r="P366" s="161"/>
      <c r="Q366" s="161"/>
      <c r="R366" s="161"/>
      <c r="S366" s="161"/>
      <c r="T366" s="161"/>
      <c r="U366" s="161"/>
      <c r="V366" s="161"/>
      <c r="W366" s="161"/>
      <c r="X366" s="161"/>
      <c r="Y366" s="161"/>
      <c r="Z366" s="161"/>
    </row>
    <row r="367">
      <c r="A367" s="511"/>
      <c r="B367" s="18"/>
      <c r="C367" s="18"/>
      <c r="D367" s="161"/>
      <c r="E367" s="161"/>
      <c r="F367" s="511"/>
      <c r="G367" s="161"/>
      <c r="H367" s="161"/>
      <c r="I367" s="161"/>
      <c r="J367" s="161"/>
      <c r="K367" s="161"/>
      <c r="L367" s="161"/>
      <c r="M367" s="161"/>
      <c r="N367" s="161"/>
      <c r="O367" s="161"/>
      <c r="P367" s="161"/>
      <c r="Q367" s="161"/>
      <c r="R367" s="161"/>
      <c r="S367" s="161"/>
      <c r="T367" s="161"/>
      <c r="U367" s="161"/>
      <c r="V367" s="161"/>
      <c r="W367" s="161"/>
      <c r="X367" s="161"/>
      <c r="Y367" s="161"/>
      <c r="Z367" s="161"/>
    </row>
    <row r="368">
      <c r="A368" s="511"/>
      <c r="B368" s="18"/>
      <c r="C368" s="18"/>
      <c r="D368" s="161"/>
      <c r="E368" s="161"/>
      <c r="F368" s="511"/>
      <c r="G368" s="161"/>
      <c r="H368" s="161"/>
      <c r="I368" s="161"/>
      <c r="J368" s="161"/>
      <c r="K368" s="161"/>
      <c r="L368" s="161"/>
      <c r="M368" s="161"/>
      <c r="N368" s="161"/>
      <c r="O368" s="161"/>
      <c r="P368" s="161"/>
      <c r="Q368" s="161"/>
      <c r="R368" s="161"/>
      <c r="S368" s="161"/>
      <c r="T368" s="161"/>
      <c r="U368" s="161"/>
      <c r="V368" s="161"/>
      <c r="W368" s="161"/>
      <c r="X368" s="161"/>
      <c r="Y368" s="161"/>
      <c r="Z368" s="161"/>
    </row>
    <row r="369">
      <c r="A369" s="511"/>
      <c r="B369" s="18"/>
      <c r="C369" s="18"/>
      <c r="D369" s="161"/>
      <c r="E369" s="161"/>
      <c r="F369" s="511"/>
      <c r="G369" s="161"/>
      <c r="H369" s="161"/>
      <c r="I369" s="161"/>
      <c r="J369" s="161"/>
      <c r="K369" s="161"/>
      <c r="L369" s="161"/>
      <c r="M369" s="161"/>
      <c r="N369" s="161"/>
      <c r="O369" s="161"/>
      <c r="P369" s="161"/>
      <c r="Q369" s="161"/>
      <c r="R369" s="161"/>
      <c r="S369" s="161"/>
      <c r="T369" s="161"/>
      <c r="U369" s="161"/>
      <c r="V369" s="161"/>
      <c r="W369" s="161"/>
      <c r="X369" s="161"/>
      <c r="Y369" s="161"/>
      <c r="Z369" s="161"/>
    </row>
    <row r="370">
      <c r="A370" s="511"/>
      <c r="B370" s="18"/>
      <c r="C370" s="18"/>
      <c r="D370" s="161"/>
      <c r="E370" s="161"/>
      <c r="F370" s="511"/>
      <c r="G370" s="161"/>
      <c r="H370" s="161"/>
      <c r="I370" s="161"/>
      <c r="J370" s="161"/>
      <c r="K370" s="161"/>
      <c r="L370" s="161"/>
      <c r="M370" s="161"/>
      <c r="N370" s="161"/>
      <c r="O370" s="161"/>
      <c r="P370" s="161"/>
      <c r="Q370" s="161"/>
      <c r="R370" s="161"/>
      <c r="S370" s="161"/>
      <c r="T370" s="161"/>
      <c r="U370" s="161"/>
      <c r="V370" s="161"/>
      <c r="W370" s="161"/>
      <c r="X370" s="161"/>
      <c r="Y370" s="161"/>
      <c r="Z370" s="161"/>
    </row>
    <row r="371">
      <c r="A371" s="511"/>
      <c r="B371" s="18"/>
      <c r="C371" s="18"/>
      <c r="D371" s="161"/>
      <c r="E371" s="161"/>
      <c r="F371" s="511"/>
      <c r="G371" s="161"/>
      <c r="H371" s="161"/>
      <c r="I371" s="161"/>
      <c r="J371" s="161"/>
      <c r="K371" s="161"/>
      <c r="L371" s="161"/>
      <c r="M371" s="161"/>
      <c r="N371" s="161"/>
      <c r="O371" s="161"/>
      <c r="P371" s="161"/>
      <c r="Q371" s="161"/>
      <c r="R371" s="161"/>
      <c r="S371" s="161"/>
      <c r="T371" s="161"/>
      <c r="U371" s="161"/>
      <c r="V371" s="161"/>
      <c r="W371" s="161"/>
      <c r="X371" s="161"/>
      <c r="Y371" s="161"/>
      <c r="Z371" s="161"/>
    </row>
    <row r="372">
      <c r="A372" s="511"/>
      <c r="B372" s="18"/>
      <c r="C372" s="18"/>
      <c r="D372" s="161"/>
      <c r="E372" s="161"/>
      <c r="F372" s="511"/>
      <c r="G372" s="161"/>
      <c r="H372" s="161"/>
      <c r="I372" s="161"/>
      <c r="J372" s="161"/>
      <c r="K372" s="161"/>
      <c r="L372" s="161"/>
      <c r="M372" s="161"/>
      <c r="N372" s="161"/>
      <c r="O372" s="161"/>
      <c r="P372" s="161"/>
      <c r="Q372" s="161"/>
      <c r="R372" s="161"/>
      <c r="S372" s="161"/>
      <c r="T372" s="161"/>
      <c r="U372" s="161"/>
      <c r="V372" s="161"/>
      <c r="W372" s="161"/>
      <c r="X372" s="161"/>
      <c r="Y372" s="161"/>
      <c r="Z372" s="161"/>
    </row>
    <row r="373">
      <c r="A373" s="511"/>
      <c r="B373" s="18"/>
      <c r="C373" s="18"/>
      <c r="D373" s="161"/>
      <c r="E373" s="161"/>
      <c r="F373" s="511"/>
      <c r="G373" s="161"/>
      <c r="H373" s="161"/>
      <c r="I373" s="161"/>
      <c r="J373" s="161"/>
      <c r="K373" s="161"/>
      <c r="L373" s="161"/>
      <c r="M373" s="161"/>
      <c r="N373" s="161"/>
      <c r="O373" s="161"/>
      <c r="P373" s="161"/>
      <c r="Q373" s="161"/>
      <c r="R373" s="161"/>
      <c r="S373" s="161"/>
      <c r="T373" s="161"/>
      <c r="U373" s="161"/>
      <c r="V373" s="161"/>
      <c r="W373" s="161"/>
      <c r="X373" s="161"/>
      <c r="Y373" s="161"/>
      <c r="Z373" s="161"/>
    </row>
    <row r="374">
      <c r="A374" s="511"/>
      <c r="B374" s="18"/>
      <c r="C374" s="18"/>
      <c r="D374" s="161"/>
      <c r="E374" s="161"/>
      <c r="F374" s="511"/>
      <c r="G374" s="161"/>
      <c r="H374" s="161"/>
      <c r="I374" s="161"/>
      <c r="J374" s="161"/>
      <c r="K374" s="161"/>
      <c r="L374" s="161"/>
      <c r="M374" s="161"/>
      <c r="N374" s="161"/>
      <c r="O374" s="161"/>
      <c r="P374" s="161"/>
      <c r="Q374" s="161"/>
      <c r="R374" s="161"/>
      <c r="S374" s="161"/>
      <c r="T374" s="161"/>
      <c r="U374" s="161"/>
      <c r="V374" s="161"/>
      <c r="W374" s="161"/>
      <c r="X374" s="161"/>
      <c r="Y374" s="161"/>
      <c r="Z374" s="161"/>
    </row>
    <row r="375">
      <c r="A375" s="511"/>
      <c r="B375" s="18"/>
      <c r="C375" s="18"/>
      <c r="D375" s="161"/>
      <c r="E375" s="161"/>
      <c r="F375" s="511"/>
      <c r="G375" s="161"/>
      <c r="H375" s="161"/>
      <c r="I375" s="161"/>
      <c r="J375" s="161"/>
      <c r="K375" s="161"/>
      <c r="L375" s="161"/>
      <c r="M375" s="161"/>
      <c r="N375" s="161"/>
      <c r="O375" s="161"/>
      <c r="P375" s="161"/>
      <c r="Q375" s="161"/>
      <c r="R375" s="161"/>
      <c r="S375" s="161"/>
      <c r="T375" s="161"/>
      <c r="U375" s="161"/>
      <c r="V375" s="161"/>
      <c r="W375" s="161"/>
      <c r="X375" s="161"/>
      <c r="Y375" s="161"/>
      <c r="Z375" s="161"/>
    </row>
    <row r="376">
      <c r="A376" s="511"/>
      <c r="B376" s="18"/>
      <c r="C376" s="18"/>
      <c r="D376" s="161"/>
      <c r="E376" s="161"/>
      <c r="F376" s="511"/>
      <c r="G376" s="161"/>
      <c r="H376" s="161"/>
      <c r="I376" s="161"/>
      <c r="J376" s="161"/>
      <c r="K376" s="161"/>
      <c r="L376" s="161"/>
      <c r="M376" s="161"/>
      <c r="N376" s="161"/>
      <c r="O376" s="161"/>
      <c r="P376" s="161"/>
      <c r="Q376" s="161"/>
      <c r="R376" s="161"/>
      <c r="S376" s="161"/>
      <c r="T376" s="161"/>
      <c r="U376" s="161"/>
      <c r="V376" s="161"/>
      <c r="W376" s="161"/>
      <c r="X376" s="161"/>
      <c r="Y376" s="161"/>
      <c r="Z376" s="161"/>
    </row>
    <row r="377">
      <c r="A377" s="511"/>
      <c r="B377" s="18"/>
      <c r="C377" s="18"/>
      <c r="D377" s="161"/>
      <c r="E377" s="161"/>
      <c r="F377" s="511"/>
      <c r="G377" s="161"/>
      <c r="H377" s="161"/>
      <c r="I377" s="161"/>
      <c r="J377" s="161"/>
      <c r="K377" s="161"/>
      <c r="L377" s="161"/>
      <c r="M377" s="161"/>
      <c r="N377" s="161"/>
      <c r="O377" s="161"/>
      <c r="P377" s="161"/>
      <c r="Q377" s="161"/>
      <c r="R377" s="161"/>
      <c r="S377" s="161"/>
      <c r="T377" s="161"/>
      <c r="U377" s="161"/>
      <c r="V377" s="161"/>
      <c r="W377" s="161"/>
      <c r="X377" s="161"/>
      <c r="Y377" s="161"/>
      <c r="Z377" s="161"/>
    </row>
    <row r="378">
      <c r="A378" s="511"/>
      <c r="B378" s="18"/>
      <c r="C378" s="18"/>
      <c r="D378" s="161"/>
      <c r="E378" s="161"/>
      <c r="F378" s="511"/>
      <c r="G378" s="161"/>
      <c r="H378" s="161"/>
      <c r="I378" s="161"/>
      <c r="J378" s="161"/>
      <c r="K378" s="161"/>
      <c r="L378" s="161"/>
      <c r="M378" s="161"/>
      <c r="N378" s="161"/>
      <c r="O378" s="161"/>
      <c r="P378" s="161"/>
      <c r="Q378" s="161"/>
      <c r="R378" s="161"/>
      <c r="S378" s="161"/>
      <c r="T378" s="161"/>
      <c r="U378" s="161"/>
      <c r="V378" s="161"/>
      <c r="W378" s="161"/>
      <c r="X378" s="161"/>
      <c r="Y378" s="161"/>
      <c r="Z378" s="161"/>
    </row>
    <row r="379">
      <c r="A379" s="511"/>
      <c r="B379" s="18"/>
      <c r="C379" s="18"/>
      <c r="D379" s="161"/>
      <c r="E379" s="161"/>
      <c r="F379" s="511"/>
      <c r="G379" s="161"/>
      <c r="H379" s="161"/>
      <c r="I379" s="161"/>
      <c r="J379" s="161"/>
      <c r="K379" s="161"/>
      <c r="L379" s="161"/>
      <c r="M379" s="161"/>
      <c r="N379" s="161"/>
      <c r="O379" s="161"/>
      <c r="P379" s="161"/>
      <c r="Q379" s="161"/>
      <c r="R379" s="161"/>
      <c r="S379" s="161"/>
      <c r="T379" s="161"/>
      <c r="U379" s="161"/>
      <c r="V379" s="161"/>
      <c r="W379" s="161"/>
      <c r="X379" s="161"/>
      <c r="Y379" s="161"/>
      <c r="Z379" s="161"/>
    </row>
    <row r="380">
      <c r="A380" s="511"/>
      <c r="B380" s="18"/>
      <c r="C380" s="18"/>
      <c r="D380" s="161"/>
      <c r="E380" s="161"/>
      <c r="F380" s="511"/>
      <c r="G380" s="161"/>
      <c r="H380" s="161"/>
      <c r="I380" s="161"/>
      <c r="J380" s="161"/>
      <c r="K380" s="161"/>
      <c r="L380" s="161"/>
      <c r="M380" s="161"/>
      <c r="N380" s="161"/>
      <c r="O380" s="161"/>
      <c r="P380" s="161"/>
      <c r="Q380" s="161"/>
      <c r="R380" s="161"/>
      <c r="S380" s="161"/>
      <c r="T380" s="161"/>
      <c r="U380" s="161"/>
      <c r="V380" s="161"/>
      <c r="W380" s="161"/>
      <c r="X380" s="161"/>
      <c r="Y380" s="161"/>
      <c r="Z380" s="161"/>
    </row>
    <row r="381">
      <c r="A381" s="511"/>
      <c r="B381" s="18"/>
      <c r="C381" s="18"/>
      <c r="D381" s="161"/>
      <c r="E381" s="161"/>
      <c r="F381" s="511"/>
      <c r="G381" s="161"/>
      <c r="H381" s="161"/>
      <c r="I381" s="161"/>
      <c r="J381" s="161"/>
      <c r="K381" s="161"/>
      <c r="L381" s="161"/>
      <c r="M381" s="161"/>
      <c r="N381" s="161"/>
      <c r="O381" s="161"/>
      <c r="P381" s="161"/>
      <c r="Q381" s="161"/>
      <c r="R381" s="161"/>
      <c r="S381" s="161"/>
      <c r="T381" s="161"/>
      <c r="U381" s="161"/>
      <c r="V381" s="161"/>
      <c r="W381" s="161"/>
      <c r="X381" s="161"/>
      <c r="Y381" s="161"/>
      <c r="Z381" s="161"/>
    </row>
    <row r="382">
      <c r="A382" s="511"/>
      <c r="B382" s="18"/>
      <c r="C382" s="18"/>
      <c r="D382" s="161"/>
      <c r="E382" s="161"/>
      <c r="F382" s="511"/>
      <c r="G382" s="161"/>
      <c r="H382" s="161"/>
      <c r="I382" s="161"/>
      <c r="J382" s="161"/>
      <c r="K382" s="161"/>
      <c r="L382" s="161"/>
      <c r="M382" s="161"/>
      <c r="N382" s="161"/>
      <c r="O382" s="161"/>
      <c r="P382" s="161"/>
      <c r="Q382" s="161"/>
      <c r="R382" s="161"/>
      <c r="S382" s="161"/>
      <c r="T382" s="161"/>
      <c r="U382" s="161"/>
      <c r="V382" s="161"/>
      <c r="W382" s="161"/>
      <c r="X382" s="161"/>
      <c r="Y382" s="161"/>
      <c r="Z382" s="161"/>
    </row>
    <row r="383">
      <c r="A383" s="511"/>
      <c r="B383" s="18"/>
      <c r="C383" s="18"/>
      <c r="D383" s="161"/>
      <c r="E383" s="161"/>
      <c r="F383" s="511"/>
      <c r="G383" s="161"/>
      <c r="H383" s="161"/>
      <c r="I383" s="161"/>
      <c r="J383" s="161"/>
      <c r="K383" s="161"/>
      <c r="L383" s="161"/>
      <c r="M383" s="161"/>
      <c r="N383" s="161"/>
      <c r="O383" s="161"/>
      <c r="P383" s="161"/>
      <c r="Q383" s="161"/>
      <c r="R383" s="161"/>
      <c r="S383" s="161"/>
      <c r="T383" s="161"/>
      <c r="U383" s="161"/>
      <c r="V383" s="161"/>
      <c r="W383" s="161"/>
      <c r="X383" s="161"/>
      <c r="Y383" s="161"/>
      <c r="Z383" s="161"/>
    </row>
    <row r="384">
      <c r="A384" s="511"/>
      <c r="B384" s="18"/>
      <c r="C384" s="18"/>
      <c r="D384" s="161"/>
      <c r="E384" s="161"/>
      <c r="F384" s="511"/>
      <c r="G384" s="161"/>
      <c r="H384" s="161"/>
      <c r="I384" s="161"/>
      <c r="J384" s="161"/>
      <c r="K384" s="161"/>
      <c r="L384" s="161"/>
      <c r="M384" s="161"/>
      <c r="N384" s="161"/>
      <c r="O384" s="161"/>
      <c r="P384" s="161"/>
      <c r="Q384" s="161"/>
      <c r="R384" s="161"/>
      <c r="S384" s="161"/>
      <c r="T384" s="161"/>
      <c r="U384" s="161"/>
      <c r="V384" s="161"/>
      <c r="W384" s="161"/>
      <c r="X384" s="161"/>
      <c r="Y384" s="161"/>
      <c r="Z384" s="161"/>
    </row>
    <row r="385">
      <c r="A385" s="511"/>
      <c r="B385" s="18"/>
      <c r="C385" s="18"/>
      <c r="D385" s="161"/>
      <c r="E385" s="161"/>
      <c r="F385" s="511"/>
      <c r="G385" s="161"/>
      <c r="H385" s="161"/>
      <c r="I385" s="161"/>
      <c r="J385" s="161"/>
      <c r="K385" s="161"/>
      <c r="L385" s="161"/>
      <c r="M385" s="161"/>
      <c r="N385" s="161"/>
      <c r="O385" s="161"/>
      <c r="P385" s="161"/>
      <c r="Q385" s="161"/>
      <c r="R385" s="161"/>
      <c r="S385" s="161"/>
      <c r="T385" s="161"/>
      <c r="U385" s="161"/>
      <c r="V385" s="161"/>
      <c r="W385" s="161"/>
      <c r="X385" s="161"/>
      <c r="Y385" s="161"/>
      <c r="Z385" s="161"/>
    </row>
    <row r="386">
      <c r="A386" s="511"/>
      <c r="B386" s="18"/>
      <c r="C386" s="18"/>
      <c r="D386" s="161"/>
      <c r="E386" s="161"/>
      <c r="F386" s="511"/>
      <c r="G386" s="161"/>
      <c r="H386" s="161"/>
      <c r="I386" s="161"/>
      <c r="J386" s="161"/>
      <c r="K386" s="161"/>
      <c r="L386" s="161"/>
      <c r="M386" s="161"/>
      <c r="N386" s="161"/>
      <c r="O386" s="161"/>
      <c r="P386" s="161"/>
      <c r="Q386" s="161"/>
      <c r="R386" s="161"/>
      <c r="S386" s="161"/>
      <c r="T386" s="161"/>
      <c r="U386" s="161"/>
      <c r="V386" s="161"/>
      <c r="W386" s="161"/>
      <c r="X386" s="161"/>
      <c r="Y386" s="161"/>
      <c r="Z386" s="161"/>
    </row>
    <row r="387">
      <c r="A387" s="511"/>
      <c r="B387" s="18"/>
      <c r="C387" s="18"/>
      <c r="D387" s="161"/>
      <c r="E387" s="161"/>
      <c r="F387" s="511"/>
      <c r="G387" s="161"/>
      <c r="H387" s="161"/>
      <c r="I387" s="161"/>
      <c r="J387" s="161"/>
      <c r="K387" s="161"/>
      <c r="L387" s="161"/>
      <c r="M387" s="161"/>
      <c r="N387" s="161"/>
      <c r="O387" s="161"/>
      <c r="P387" s="161"/>
      <c r="Q387" s="161"/>
      <c r="R387" s="161"/>
      <c r="S387" s="161"/>
      <c r="T387" s="161"/>
      <c r="U387" s="161"/>
      <c r="V387" s="161"/>
      <c r="W387" s="161"/>
      <c r="X387" s="161"/>
      <c r="Y387" s="161"/>
      <c r="Z387" s="161"/>
    </row>
    <row r="388">
      <c r="A388" s="511"/>
      <c r="B388" s="18"/>
      <c r="C388" s="18"/>
      <c r="D388" s="161"/>
      <c r="E388" s="161"/>
      <c r="F388" s="511"/>
      <c r="G388" s="161"/>
      <c r="H388" s="161"/>
      <c r="I388" s="161"/>
      <c r="J388" s="161"/>
      <c r="K388" s="161"/>
      <c r="L388" s="161"/>
      <c r="M388" s="161"/>
      <c r="N388" s="161"/>
      <c r="O388" s="161"/>
      <c r="P388" s="161"/>
      <c r="Q388" s="161"/>
      <c r="R388" s="161"/>
      <c r="S388" s="161"/>
      <c r="T388" s="161"/>
      <c r="U388" s="161"/>
      <c r="V388" s="161"/>
      <c r="W388" s="161"/>
      <c r="X388" s="161"/>
      <c r="Y388" s="161"/>
      <c r="Z388" s="161"/>
    </row>
    <row r="389">
      <c r="A389" s="511"/>
      <c r="B389" s="18"/>
      <c r="C389" s="18"/>
      <c r="D389" s="161"/>
      <c r="E389" s="161"/>
      <c r="F389" s="511"/>
      <c r="G389" s="161"/>
      <c r="H389" s="161"/>
      <c r="I389" s="161"/>
      <c r="J389" s="161"/>
      <c r="K389" s="161"/>
      <c r="L389" s="161"/>
      <c r="M389" s="161"/>
      <c r="N389" s="161"/>
      <c r="O389" s="161"/>
      <c r="P389" s="161"/>
      <c r="Q389" s="161"/>
      <c r="R389" s="161"/>
      <c r="S389" s="161"/>
      <c r="T389" s="161"/>
      <c r="U389" s="161"/>
      <c r="V389" s="161"/>
      <c r="W389" s="161"/>
      <c r="X389" s="161"/>
      <c r="Y389" s="161"/>
      <c r="Z389" s="161"/>
    </row>
    <row r="390">
      <c r="A390" s="511"/>
      <c r="B390" s="18"/>
      <c r="C390" s="18"/>
      <c r="D390" s="161"/>
      <c r="E390" s="161"/>
      <c r="F390" s="511"/>
      <c r="G390" s="161"/>
      <c r="H390" s="161"/>
      <c r="I390" s="161"/>
      <c r="J390" s="161"/>
      <c r="K390" s="161"/>
      <c r="L390" s="161"/>
      <c r="M390" s="161"/>
      <c r="N390" s="161"/>
      <c r="O390" s="161"/>
      <c r="P390" s="161"/>
      <c r="Q390" s="161"/>
      <c r="R390" s="161"/>
      <c r="S390" s="161"/>
      <c r="T390" s="161"/>
      <c r="U390" s="161"/>
      <c r="V390" s="161"/>
      <c r="W390" s="161"/>
      <c r="X390" s="161"/>
      <c r="Y390" s="161"/>
      <c r="Z390" s="161"/>
    </row>
    <row r="391">
      <c r="A391" s="511"/>
      <c r="B391" s="18"/>
      <c r="C391" s="18"/>
      <c r="D391" s="161"/>
      <c r="E391" s="161"/>
      <c r="F391" s="511"/>
      <c r="G391" s="161"/>
      <c r="H391" s="161"/>
      <c r="I391" s="161"/>
      <c r="J391" s="161"/>
      <c r="K391" s="161"/>
      <c r="L391" s="161"/>
      <c r="M391" s="161"/>
      <c r="N391" s="161"/>
      <c r="O391" s="161"/>
      <c r="P391" s="161"/>
      <c r="Q391" s="161"/>
      <c r="R391" s="161"/>
      <c r="S391" s="161"/>
      <c r="T391" s="161"/>
      <c r="U391" s="161"/>
      <c r="V391" s="161"/>
      <c r="W391" s="161"/>
      <c r="X391" s="161"/>
      <c r="Y391" s="161"/>
      <c r="Z391" s="161"/>
    </row>
    <row r="392">
      <c r="A392" s="511"/>
      <c r="B392" s="18"/>
      <c r="C392" s="18"/>
      <c r="D392" s="161"/>
      <c r="E392" s="161"/>
      <c r="F392" s="511"/>
      <c r="G392" s="161"/>
      <c r="H392" s="161"/>
      <c r="I392" s="161"/>
      <c r="J392" s="161"/>
      <c r="K392" s="161"/>
      <c r="L392" s="161"/>
      <c r="M392" s="161"/>
      <c r="N392" s="161"/>
      <c r="O392" s="161"/>
      <c r="P392" s="161"/>
      <c r="Q392" s="161"/>
      <c r="R392" s="161"/>
      <c r="S392" s="161"/>
      <c r="T392" s="161"/>
      <c r="U392" s="161"/>
      <c r="V392" s="161"/>
      <c r="W392" s="161"/>
      <c r="X392" s="161"/>
      <c r="Y392" s="161"/>
      <c r="Z392" s="161"/>
    </row>
    <row r="393">
      <c r="A393" s="511"/>
      <c r="B393" s="18"/>
      <c r="C393" s="18"/>
      <c r="D393" s="161"/>
      <c r="E393" s="161"/>
      <c r="F393" s="511"/>
      <c r="G393" s="161"/>
      <c r="H393" s="161"/>
      <c r="I393" s="161"/>
      <c r="J393" s="161"/>
      <c r="K393" s="161"/>
      <c r="L393" s="161"/>
      <c r="M393" s="161"/>
      <c r="N393" s="161"/>
      <c r="O393" s="161"/>
      <c r="P393" s="161"/>
      <c r="Q393" s="161"/>
      <c r="R393" s="161"/>
      <c r="S393" s="161"/>
      <c r="T393" s="161"/>
      <c r="U393" s="161"/>
      <c r="V393" s="161"/>
      <c r="W393" s="161"/>
      <c r="X393" s="161"/>
      <c r="Y393" s="161"/>
      <c r="Z393" s="161"/>
    </row>
    <row r="394">
      <c r="A394" s="511"/>
      <c r="B394" s="18"/>
      <c r="C394" s="18"/>
      <c r="D394" s="161"/>
      <c r="E394" s="161"/>
      <c r="F394" s="511"/>
      <c r="G394" s="161"/>
      <c r="H394" s="161"/>
      <c r="I394" s="161"/>
      <c r="J394" s="161"/>
      <c r="K394" s="161"/>
      <c r="L394" s="161"/>
      <c r="M394" s="161"/>
      <c r="N394" s="161"/>
      <c r="O394" s="161"/>
      <c r="P394" s="161"/>
      <c r="Q394" s="161"/>
      <c r="R394" s="161"/>
      <c r="S394" s="161"/>
      <c r="T394" s="161"/>
      <c r="U394" s="161"/>
      <c r="V394" s="161"/>
      <c r="W394" s="161"/>
      <c r="X394" s="161"/>
      <c r="Y394" s="161"/>
      <c r="Z394" s="161"/>
    </row>
    <row r="395">
      <c r="A395" s="511"/>
      <c r="B395" s="18"/>
      <c r="C395" s="18"/>
      <c r="D395" s="161"/>
      <c r="E395" s="161"/>
      <c r="F395" s="511"/>
      <c r="G395" s="161"/>
      <c r="H395" s="161"/>
      <c r="I395" s="161"/>
      <c r="J395" s="161"/>
      <c r="K395" s="161"/>
      <c r="L395" s="161"/>
      <c r="M395" s="161"/>
      <c r="N395" s="161"/>
      <c r="O395" s="161"/>
      <c r="P395" s="161"/>
      <c r="Q395" s="161"/>
      <c r="R395" s="161"/>
      <c r="S395" s="161"/>
      <c r="T395" s="161"/>
      <c r="U395" s="161"/>
      <c r="V395" s="161"/>
      <c r="W395" s="161"/>
      <c r="X395" s="161"/>
      <c r="Y395" s="161"/>
      <c r="Z395" s="161"/>
    </row>
    <row r="396">
      <c r="A396" s="511"/>
      <c r="B396" s="18"/>
      <c r="C396" s="18"/>
      <c r="D396" s="161"/>
      <c r="E396" s="161"/>
      <c r="F396" s="511"/>
      <c r="G396" s="161"/>
      <c r="H396" s="161"/>
      <c r="I396" s="161"/>
      <c r="J396" s="161"/>
      <c r="K396" s="161"/>
      <c r="L396" s="161"/>
      <c r="M396" s="161"/>
      <c r="N396" s="161"/>
      <c r="O396" s="161"/>
      <c r="P396" s="161"/>
      <c r="Q396" s="161"/>
      <c r="R396" s="161"/>
      <c r="S396" s="161"/>
      <c r="T396" s="161"/>
      <c r="U396" s="161"/>
      <c r="V396" s="161"/>
      <c r="W396" s="161"/>
      <c r="X396" s="161"/>
      <c r="Y396" s="161"/>
      <c r="Z396" s="161"/>
    </row>
    <row r="397">
      <c r="A397" s="511"/>
      <c r="B397" s="18"/>
      <c r="C397" s="18"/>
      <c r="D397" s="161"/>
      <c r="E397" s="161"/>
      <c r="F397" s="511"/>
      <c r="G397" s="161"/>
      <c r="H397" s="161"/>
      <c r="I397" s="161"/>
      <c r="J397" s="161"/>
      <c r="K397" s="161"/>
      <c r="L397" s="161"/>
      <c r="M397" s="161"/>
      <c r="N397" s="161"/>
      <c r="O397" s="161"/>
      <c r="P397" s="161"/>
      <c r="Q397" s="161"/>
      <c r="R397" s="161"/>
      <c r="S397" s="161"/>
      <c r="T397" s="161"/>
      <c r="U397" s="161"/>
      <c r="V397" s="161"/>
      <c r="W397" s="161"/>
      <c r="X397" s="161"/>
      <c r="Y397" s="161"/>
      <c r="Z397" s="161"/>
    </row>
    <row r="398">
      <c r="A398" s="511"/>
      <c r="B398" s="18"/>
      <c r="C398" s="18"/>
      <c r="D398" s="161"/>
      <c r="E398" s="161"/>
      <c r="F398" s="511"/>
      <c r="G398" s="161"/>
      <c r="H398" s="161"/>
      <c r="I398" s="161"/>
      <c r="J398" s="161"/>
      <c r="K398" s="161"/>
      <c r="L398" s="161"/>
      <c r="M398" s="161"/>
      <c r="N398" s="161"/>
      <c r="O398" s="161"/>
      <c r="P398" s="161"/>
      <c r="Q398" s="161"/>
      <c r="R398" s="161"/>
      <c r="S398" s="161"/>
      <c r="T398" s="161"/>
      <c r="U398" s="161"/>
      <c r="V398" s="161"/>
      <c r="W398" s="161"/>
      <c r="X398" s="161"/>
      <c r="Y398" s="161"/>
      <c r="Z398" s="161"/>
    </row>
    <row r="399">
      <c r="A399" s="511"/>
      <c r="B399" s="18"/>
      <c r="C399" s="18"/>
      <c r="D399" s="161"/>
      <c r="E399" s="161"/>
      <c r="F399" s="511"/>
      <c r="G399" s="161"/>
      <c r="H399" s="161"/>
      <c r="I399" s="161"/>
      <c r="J399" s="161"/>
      <c r="K399" s="161"/>
      <c r="L399" s="161"/>
      <c r="M399" s="161"/>
      <c r="N399" s="161"/>
      <c r="O399" s="161"/>
      <c r="P399" s="161"/>
      <c r="Q399" s="161"/>
      <c r="R399" s="161"/>
      <c r="S399" s="161"/>
      <c r="T399" s="161"/>
      <c r="U399" s="161"/>
      <c r="V399" s="161"/>
      <c r="W399" s="161"/>
      <c r="X399" s="161"/>
      <c r="Y399" s="161"/>
      <c r="Z399" s="161"/>
    </row>
    <row r="400">
      <c r="A400" s="511"/>
      <c r="B400" s="18"/>
      <c r="C400" s="18"/>
      <c r="D400" s="161"/>
      <c r="E400" s="161"/>
      <c r="F400" s="511"/>
      <c r="G400" s="161"/>
      <c r="H400" s="161"/>
      <c r="I400" s="161"/>
      <c r="J400" s="161"/>
      <c r="K400" s="161"/>
      <c r="L400" s="161"/>
      <c r="M400" s="161"/>
      <c r="N400" s="161"/>
      <c r="O400" s="161"/>
      <c r="P400" s="161"/>
      <c r="Q400" s="161"/>
      <c r="R400" s="161"/>
      <c r="S400" s="161"/>
      <c r="T400" s="161"/>
      <c r="U400" s="161"/>
      <c r="V400" s="161"/>
      <c r="W400" s="161"/>
      <c r="X400" s="161"/>
      <c r="Y400" s="161"/>
      <c r="Z400" s="161"/>
    </row>
    <row r="401">
      <c r="A401" s="511"/>
      <c r="B401" s="18"/>
      <c r="C401" s="18"/>
      <c r="D401" s="161"/>
      <c r="E401" s="161"/>
      <c r="F401" s="511"/>
      <c r="G401" s="161"/>
      <c r="H401" s="161"/>
      <c r="I401" s="161"/>
      <c r="J401" s="161"/>
      <c r="K401" s="161"/>
      <c r="L401" s="161"/>
      <c r="M401" s="161"/>
      <c r="N401" s="161"/>
      <c r="O401" s="161"/>
      <c r="P401" s="161"/>
      <c r="Q401" s="161"/>
      <c r="R401" s="161"/>
      <c r="S401" s="161"/>
      <c r="T401" s="161"/>
      <c r="U401" s="161"/>
      <c r="V401" s="161"/>
      <c r="W401" s="161"/>
      <c r="X401" s="161"/>
      <c r="Y401" s="161"/>
      <c r="Z401" s="161"/>
    </row>
    <row r="402">
      <c r="A402" s="511"/>
      <c r="B402" s="18"/>
      <c r="C402" s="18"/>
      <c r="D402" s="161"/>
      <c r="E402" s="161"/>
      <c r="F402" s="511"/>
      <c r="G402" s="161"/>
      <c r="H402" s="161"/>
      <c r="I402" s="161"/>
      <c r="J402" s="161"/>
      <c r="K402" s="161"/>
      <c r="L402" s="161"/>
      <c r="M402" s="161"/>
      <c r="N402" s="161"/>
      <c r="O402" s="161"/>
      <c r="P402" s="161"/>
      <c r="Q402" s="161"/>
      <c r="R402" s="161"/>
      <c r="S402" s="161"/>
      <c r="T402" s="161"/>
      <c r="U402" s="161"/>
      <c r="V402" s="161"/>
      <c r="W402" s="161"/>
      <c r="X402" s="161"/>
      <c r="Y402" s="161"/>
      <c r="Z402" s="161"/>
    </row>
    <row r="403">
      <c r="A403" s="511"/>
      <c r="B403" s="18"/>
      <c r="C403" s="18"/>
      <c r="D403" s="161"/>
      <c r="E403" s="161"/>
      <c r="F403" s="511"/>
      <c r="G403" s="161"/>
      <c r="H403" s="161"/>
      <c r="I403" s="161"/>
      <c r="J403" s="161"/>
      <c r="K403" s="161"/>
      <c r="L403" s="161"/>
      <c r="M403" s="161"/>
      <c r="N403" s="161"/>
      <c r="O403" s="161"/>
      <c r="P403" s="161"/>
      <c r="Q403" s="161"/>
      <c r="R403" s="161"/>
      <c r="S403" s="161"/>
      <c r="T403" s="161"/>
      <c r="U403" s="161"/>
      <c r="V403" s="161"/>
      <c r="W403" s="161"/>
      <c r="X403" s="161"/>
      <c r="Y403" s="161"/>
      <c r="Z403" s="161"/>
    </row>
    <row r="404">
      <c r="A404" s="511"/>
      <c r="B404" s="18"/>
      <c r="C404" s="18"/>
      <c r="D404" s="161"/>
      <c r="E404" s="161"/>
      <c r="F404" s="511"/>
      <c r="G404" s="161"/>
      <c r="H404" s="161"/>
      <c r="I404" s="161"/>
      <c r="J404" s="161"/>
      <c r="K404" s="161"/>
      <c r="L404" s="161"/>
      <c r="M404" s="161"/>
      <c r="N404" s="161"/>
      <c r="O404" s="161"/>
      <c r="P404" s="161"/>
      <c r="Q404" s="161"/>
      <c r="R404" s="161"/>
      <c r="S404" s="161"/>
      <c r="T404" s="161"/>
      <c r="U404" s="161"/>
      <c r="V404" s="161"/>
      <c r="W404" s="161"/>
      <c r="X404" s="161"/>
      <c r="Y404" s="161"/>
      <c r="Z404" s="161"/>
    </row>
    <row r="405">
      <c r="A405" s="511"/>
      <c r="B405" s="18"/>
      <c r="C405" s="18"/>
      <c r="D405" s="161"/>
      <c r="E405" s="161"/>
      <c r="F405" s="511"/>
      <c r="G405" s="161"/>
      <c r="H405" s="161"/>
      <c r="I405" s="161"/>
      <c r="J405" s="161"/>
      <c r="K405" s="161"/>
      <c r="L405" s="161"/>
      <c r="M405" s="161"/>
      <c r="N405" s="161"/>
      <c r="O405" s="161"/>
      <c r="P405" s="161"/>
      <c r="Q405" s="161"/>
      <c r="R405" s="161"/>
      <c r="S405" s="161"/>
      <c r="T405" s="161"/>
      <c r="U405" s="161"/>
      <c r="V405" s="161"/>
      <c r="W405" s="161"/>
      <c r="X405" s="161"/>
      <c r="Y405" s="161"/>
      <c r="Z405" s="161"/>
    </row>
    <row r="406">
      <c r="A406" s="511"/>
      <c r="B406" s="18"/>
      <c r="C406" s="18"/>
      <c r="D406" s="161"/>
      <c r="E406" s="161"/>
      <c r="F406" s="511"/>
      <c r="G406" s="161"/>
      <c r="H406" s="161"/>
      <c r="I406" s="161"/>
      <c r="J406" s="161"/>
      <c r="K406" s="161"/>
      <c r="L406" s="161"/>
      <c r="M406" s="161"/>
      <c r="N406" s="161"/>
      <c r="O406" s="161"/>
      <c r="P406" s="161"/>
      <c r="Q406" s="161"/>
      <c r="R406" s="161"/>
      <c r="S406" s="161"/>
      <c r="T406" s="161"/>
      <c r="U406" s="161"/>
      <c r="V406" s="161"/>
      <c r="W406" s="161"/>
      <c r="X406" s="161"/>
      <c r="Y406" s="161"/>
      <c r="Z406" s="161"/>
    </row>
    <row r="407">
      <c r="A407" s="511"/>
      <c r="B407" s="18"/>
      <c r="C407" s="18"/>
      <c r="D407" s="161"/>
      <c r="E407" s="161"/>
      <c r="F407" s="511"/>
      <c r="G407" s="161"/>
      <c r="H407" s="161"/>
      <c r="I407" s="161"/>
      <c r="J407" s="161"/>
      <c r="K407" s="161"/>
      <c r="L407" s="161"/>
      <c r="M407" s="161"/>
      <c r="N407" s="161"/>
      <c r="O407" s="161"/>
      <c r="P407" s="161"/>
      <c r="Q407" s="161"/>
      <c r="R407" s="161"/>
      <c r="S407" s="161"/>
      <c r="T407" s="161"/>
      <c r="U407" s="161"/>
      <c r="V407" s="161"/>
      <c r="W407" s="161"/>
      <c r="X407" s="161"/>
      <c r="Y407" s="161"/>
      <c r="Z407" s="161"/>
    </row>
    <row r="408">
      <c r="A408" s="511"/>
      <c r="B408" s="18"/>
      <c r="C408" s="18"/>
      <c r="D408" s="161"/>
      <c r="E408" s="161"/>
      <c r="F408" s="511"/>
      <c r="G408" s="161"/>
      <c r="H408" s="161"/>
      <c r="I408" s="161"/>
      <c r="J408" s="161"/>
      <c r="K408" s="161"/>
      <c r="L408" s="161"/>
      <c r="M408" s="161"/>
      <c r="N408" s="161"/>
      <c r="O408" s="161"/>
      <c r="P408" s="161"/>
      <c r="Q408" s="161"/>
      <c r="R408" s="161"/>
      <c r="S408" s="161"/>
      <c r="T408" s="161"/>
      <c r="U408" s="161"/>
      <c r="V408" s="161"/>
      <c r="W408" s="161"/>
      <c r="X408" s="161"/>
      <c r="Y408" s="161"/>
      <c r="Z408" s="161"/>
    </row>
    <row r="409">
      <c r="A409" s="511"/>
      <c r="B409" s="18"/>
      <c r="C409" s="18"/>
      <c r="D409" s="161"/>
      <c r="E409" s="161"/>
      <c r="F409" s="511"/>
      <c r="G409" s="161"/>
      <c r="H409" s="161"/>
      <c r="I409" s="161"/>
      <c r="J409" s="161"/>
      <c r="K409" s="161"/>
      <c r="L409" s="161"/>
      <c r="M409" s="161"/>
      <c r="N409" s="161"/>
      <c r="O409" s="161"/>
      <c r="P409" s="161"/>
      <c r="Q409" s="161"/>
      <c r="R409" s="161"/>
      <c r="S409" s="161"/>
      <c r="T409" s="161"/>
      <c r="U409" s="161"/>
      <c r="V409" s="161"/>
      <c r="W409" s="161"/>
      <c r="X409" s="161"/>
      <c r="Y409" s="161"/>
      <c r="Z409" s="161"/>
    </row>
    <row r="410">
      <c r="A410" s="511"/>
      <c r="B410" s="18"/>
      <c r="C410" s="18"/>
      <c r="D410" s="161"/>
      <c r="E410" s="161"/>
      <c r="F410" s="511"/>
      <c r="G410" s="161"/>
      <c r="H410" s="161"/>
      <c r="I410" s="161"/>
      <c r="J410" s="161"/>
      <c r="K410" s="161"/>
      <c r="L410" s="161"/>
      <c r="M410" s="161"/>
      <c r="N410" s="161"/>
      <c r="O410" s="161"/>
      <c r="P410" s="161"/>
      <c r="Q410" s="161"/>
      <c r="R410" s="161"/>
      <c r="S410" s="161"/>
      <c r="T410" s="161"/>
      <c r="U410" s="161"/>
      <c r="V410" s="161"/>
      <c r="W410" s="161"/>
      <c r="X410" s="161"/>
      <c r="Y410" s="161"/>
      <c r="Z410" s="161"/>
    </row>
    <row r="411">
      <c r="A411" s="511"/>
      <c r="B411" s="18"/>
      <c r="C411" s="18"/>
      <c r="D411" s="161"/>
      <c r="E411" s="161"/>
      <c r="F411" s="511"/>
      <c r="G411" s="161"/>
      <c r="H411" s="161"/>
      <c r="I411" s="161"/>
      <c r="J411" s="161"/>
      <c r="K411" s="161"/>
      <c r="L411" s="161"/>
      <c r="M411" s="161"/>
      <c r="N411" s="161"/>
      <c r="O411" s="161"/>
      <c r="P411" s="161"/>
      <c r="Q411" s="161"/>
      <c r="R411" s="161"/>
      <c r="S411" s="161"/>
      <c r="T411" s="161"/>
      <c r="U411" s="161"/>
      <c r="V411" s="161"/>
      <c r="W411" s="161"/>
      <c r="X411" s="161"/>
      <c r="Y411" s="161"/>
      <c r="Z411" s="161"/>
    </row>
    <row r="412">
      <c r="A412" s="511"/>
      <c r="B412" s="18"/>
      <c r="C412" s="18"/>
      <c r="D412" s="161"/>
      <c r="E412" s="161"/>
      <c r="F412" s="511"/>
      <c r="G412" s="161"/>
      <c r="H412" s="161"/>
      <c r="I412" s="161"/>
      <c r="J412" s="161"/>
      <c r="K412" s="161"/>
      <c r="L412" s="161"/>
      <c r="M412" s="161"/>
      <c r="N412" s="161"/>
      <c r="O412" s="161"/>
      <c r="P412" s="161"/>
      <c r="Q412" s="161"/>
      <c r="R412" s="161"/>
      <c r="S412" s="161"/>
      <c r="T412" s="161"/>
      <c r="U412" s="161"/>
      <c r="V412" s="161"/>
      <c r="W412" s="161"/>
      <c r="X412" s="161"/>
      <c r="Y412" s="161"/>
      <c r="Z412" s="161"/>
    </row>
    <row r="413">
      <c r="A413" s="511"/>
      <c r="B413" s="18"/>
      <c r="C413" s="18"/>
      <c r="D413" s="161"/>
      <c r="E413" s="161"/>
      <c r="F413" s="511"/>
      <c r="G413" s="161"/>
      <c r="H413" s="161"/>
      <c r="I413" s="161"/>
      <c r="J413" s="161"/>
      <c r="K413" s="161"/>
      <c r="L413" s="161"/>
      <c r="M413" s="161"/>
      <c r="N413" s="161"/>
      <c r="O413" s="161"/>
      <c r="P413" s="161"/>
      <c r="Q413" s="161"/>
      <c r="R413" s="161"/>
      <c r="S413" s="161"/>
      <c r="T413" s="161"/>
      <c r="U413" s="161"/>
      <c r="V413" s="161"/>
      <c r="W413" s="161"/>
      <c r="X413" s="161"/>
      <c r="Y413" s="161"/>
      <c r="Z413" s="161"/>
    </row>
    <row r="414">
      <c r="A414" s="511"/>
      <c r="B414" s="18"/>
      <c r="C414" s="18"/>
      <c r="D414" s="161"/>
      <c r="E414" s="161"/>
      <c r="F414" s="511"/>
      <c r="G414" s="161"/>
      <c r="H414" s="161"/>
      <c r="I414" s="161"/>
      <c r="J414" s="161"/>
      <c r="K414" s="161"/>
      <c r="L414" s="161"/>
      <c r="M414" s="161"/>
      <c r="N414" s="161"/>
      <c r="O414" s="161"/>
      <c r="P414" s="161"/>
      <c r="Q414" s="161"/>
      <c r="R414" s="161"/>
      <c r="S414" s="161"/>
      <c r="T414" s="161"/>
      <c r="U414" s="161"/>
      <c r="V414" s="161"/>
      <c r="W414" s="161"/>
      <c r="X414" s="161"/>
      <c r="Y414" s="161"/>
      <c r="Z414" s="161"/>
    </row>
    <row r="415">
      <c r="A415" s="511"/>
      <c r="B415" s="18"/>
      <c r="C415" s="18"/>
      <c r="D415" s="161"/>
      <c r="E415" s="161"/>
      <c r="F415" s="511"/>
      <c r="G415" s="161"/>
      <c r="H415" s="161"/>
      <c r="I415" s="161"/>
      <c r="J415" s="161"/>
      <c r="K415" s="161"/>
      <c r="L415" s="161"/>
      <c r="M415" s="161"/>
      <c r="N415" s="161"/>
      <c r="O415" s="161"/>
      <c r="P415" s="161"/>
      <c r="Q415" s="161"/>
      <c r="R415" s="161"/>
      <c r="S415" s="161"/>
      <c r="T415" s="161"/>
      <c r="U415" s="161"/>
      <c r="V415" s="161"/>
      <c r="W415" s="161"/>
      <c r="X415" s="161"/>
      <c r="Y415" s="161"/>
      <c r="Z415" s="161"/>
    </row>
    <row r="416">
      <c r="A416" s="511"/>
      <c r="B416" s="18"/>
      <c r="C416" s="18"/>
      <c r="D416" s="161"/>
      <c r="E416" s="161"/>
      <c r="F416" s="511"/>
      <c r="G416" s="161"/>
      <c r="H416" s="161"/>
      <c r="I416" s="161"/>
      <c r="J416" s="161"/>
      <c r="K416" s="161"/>
      <c r="L416" s="161"/>
      <c r="M416" s="161"/>
      <c r="N416" s="161"/>
      <c r="O416" s="161"/>
      <c r="P416" s="161"/>
      <c r="Q416" s="161"/>
      <c r="R416" s="161"/>
      <c r="S416" s="161"/>
      <c r="T416" s="161"/>
      <c r="U416" s="161"/>
      <c r="V416" s="161"/>
      <c r="W416" s="161"/>
      <c r="X416" s="161"/>
      <c r="Y416" s="161"/>
      <c r="Z416" s="161"/>
    </row>
    <row r="417">
      <c r="A417" s="511"/>
      <c r="B417" s="18"/>
      <c r="C417" s="18"/>
      <c r="D417" s="161"/>
      <c r="E417" s="161"/>
      <c r="F417" s="511"/>
      <c r="G417" s="161"/>
      <c r="H417" s="161"/>
      <c r="I417" s="161"/>
      <c r="J417" s="161"/>
      <c r="K417" s="161"/>
      <c r="L417" s="161"/>
      <c r="M417" s="161"/>
      <c r="N417" s="161"/>
      <c r="O417" s="161"/>
      <c r="P417" s="161"/>
      <c r="Q417" s="161"/>
      <c r="R417" s="161"/>
      <c r="S417" s="161"/>
      <c r="T417" s="161"/>
      <c r="U417" s="161"/>
      <c r="V417" s="161"/>
      <c r="W417" s="161"/>
      <c r="X417" s="161"/>
      <c r="Y417" s="161"/>
      <c r="Z417" s="161"/>
    </row>
    <row r="418">
      <c r="A418" s="511"/>
      <c r="B418" s="18"/>
      <c r="C418" s="18"/>
      <c r="D418" s="161"/>
      <c r="E418" s="161"/>
      <c r="F418" s="511"/>
      <c r="G418" s="161"/>
      <c r="H418" s="161"/>
      <c r="I418" s="161"/>
      <c r="J418" s="161"/>
      <c r="K418" s="161"/>
      <c r="L418" s="161"/>
      <c r="M418" s="161"/>
      <c r="N418" s="161"/>
      <c r="O418" s="161"/>
      <c r="P418" s="161"/>
      <c r="Q418" s="161"/>
      <c r="R418" s="161"/>
      <c r="S418" s="161"/>
      <c r="T418" s="161"/>
      <c r="U418" s="161"/>
      <c r="V418" s="161"/>
      <c r="W418" s="161"/>
      <c r="X418" s="161"/>
      <c r="Y418" s="161"/>
      <c r="Z418" s="161"/>
    </row>
    <row r="419">
      <c r="A419" s="511"/>
      <c r="B419" s="18"/>
      <c r="C419" s="18"/>
      <c r="D419" s="161"/>
      <c r="E419" s="161"/>
      <c r="F419" s="511"/>
      <c r="G419" s="161"/>
      <c r="H419" s="161"/>
      <c r="I419" s="161"/>
      <c r="J419" s="161"/>
      <c r="K419" s="161"/>
      <c r="L419" s="161"/>
      <c r="M419" s="161"/>
      <c r="N419" s="161"/>
      <c r="O419" s="161"/>
      <c r="P419" s="161"/>
      <c r="Q419" s="161"/>
      <c r="R419" s="161"/>
      <c r="S419" s="161"/>
      <c r="T419" s="161"/>
      <c r="U419" s="161"/>
      <c r="V419" s="161"/>
      <c r="W419" s="161"/>
      <c r="X419" s="161"/>
      <c r="Y419" s="161"/>
      <c r="Z419" s="161"/>
    </row>
    <row r="420">
      <c r="A420" s="511"/>
      <c r="B420" s="18"/>
      <c r="C420" s="18"/>
      <c r="D420" s="161"/>
      <c r="E420" s="161"/>
      <c r="F420" s="511"/>
      <c r="G420" s="161"/>
      <c r="H420" s="161"/>
      <c r="I420" s="161"/>
      <c r="J420" s="161"/>
      <c r="K420" s="161"/>
      <c r="L420" s="161"/>
      <c r="M420" s="161"/>
      <c r="N420" s="161"/>
      <c r="O420" s="161"/>
      <c r="P420" s="161"/>
      <c r="Q420" s="161"/>
      <c r="R420" s="161"/>
      <c r="S420" s="161"/>
      <c r="T420" s="161"/>
      <c r="U420" s="161"/>
      <c r="V420" s="161"/>
      <c r="W420" s="161"/>
      <c r="X420" s="161"/>
      <c r="Y420" s="161"/>
      <c r="Z420" s="161"/>
    </row>
    <row r="421">
      <c r="A421" s="511"/>
      <c r="B421" s="18"/>
      <c r="C421" s="18"/>
      <c r="D421" s="161"/>
      <c r="E421" s="161"/>
      <c r="F421" s="511"/>
      <c r="G421" s="161"/>
      <c r="H421" s="161"/>
      <c r="I421" s="161"/>
      <c r="J421" s="161"/>
      <c r="K421" s="161"/>
      <c r="L421" s="161"/>
      <c r="M421" s="161"/>
      <c r="N421" s="161"/>
      <c r="O421" s="161"/>
      <c r="P421" s="161"/>
      <c r="Q421" s="161"/>
      <c r="R421" s="161"/>
      <c r="S421" s="161"/>
      <c r="T421" s="161"/>
      <c r="U421" s="161"/>
      <c r="V421" s="161"/>
      <c r="W421" s="161"/>
      <c r="X421" s="161"/>
      <c r="Y421" s="161"/>
      <c r="Z421" s="161"/>
    </row>
    <row r="422">
      <c r="A422" s="511"/>
      <c r="B422" s="18"/>
      <c r="C422" s="18"/>
      <c r="D422" s="161"/>
      <c r="E422" s="161"/>
      <c r="F422" s="511"/>
      <c r="G422" s="161"/>
      <c r="H422" s="161"/>
      <c r="I422" s="161"/>
      <c r="J422" s="161"/>
      <c r="K422" s="161"/>
      <c r="L422" s="161"/>
      <c r="M422" s="161"/>
      <c r="N422" s="161"/>
      <c r="O422" s="161"/>
      <c r="P422" s="161"/>
      <c r="Q422" s="161"/>
      <c r="R422" s="161"/>
      <c r="S422" s="161"/>
      <c r="T422" s="161"/>
      <c r="U422" s="161"/>
      <c r="V422" s="161"/>
      <c r="W422" s="161"/>
      <c r="X422" s="161"/>
      <c r="Y422" s="161"/>
      <c r="Z422" s="161"/>
    </row>
    <row r="423">
      <c r="A423" s="511"/>
      <c r="B423" s="18"/>
      <c r="C423" s="18"/>
      <c r="D423" s="161"/>
      <c r="E423" s="161"/>
      <c r="F423" s="511"/>
      <c r="G423" s="161"/>
      <c r="H423" s="161"/>
      <c r="I423" s="161"/>
      <c r="J423" s="161"/>
      <c r="K423" s="161"/>
      <c r="L423" s="161"/>
      <c r="M423" s="161"/>
      <c r="N423" s="161"/>
      <c r="O423" s="161"/>
      <c r="P423" s="161"/>
      <c r="Q423" s="161"/>
      <c r="R423" s="161"/>
      <c r="S423" s="161"/>
      <c r="T423" s="161"/>
      <c r="U423" s="161"/>
      <c r="V423" s="161"/>
      <c r="W423" s="161"/>
      <c r="X423" s="161"/>
      <c r="Y423" s="161"/>
      <c r="Z423" s="161"/>
    </row>
    <row r="424">
      <c r="A424" s="511"/>
      <c r="B424" s="18"/>
      <c r="C424" s="18"/>
      <c r="D424" s="161"/>
      <c r="E424" s="161"/>
      <c r="F424" s="511"/>
      <c r="G424" s="161"/>
      <c r="H424" s="161"/>
      <c r="I424" s="161"/>
      <c r="J424" s="161"/>
      <c r="K424" s="161"/>
      <c r="L424" s="161"/>
      <c r="M424" s="161"/>
      <c r="N424" s="161"/>
      <c r="O424" s="161"/>
      <c r="P424" s="161"/>
      <c r="Q424" s="161"/>
      <c r="R424" s="161"/>
      <c r="S424" s="161"/>
      <c r="T424" s="161"/>
      <c r="U424" s="161"/>
      <c r="V424" s="161"/>
      <c r="W424" s="161"/>
      <c r="X424" s="161"/>
      <c r="Y424" s="161"/>
      <c r="Z424" s="161"/>
    </row>
    <row r="425">
      <c r="A425" s="511"/>
      <c r="B425" s="18"/>
      <c r="C425" s="18"/>
      <c r="D425" s="161"/>
      <c r="E425" s="161"/>
      <c r="F425" s="511"/>
      <c r="G425" s="161"/>
      <c r="H425" s="161"/>
      <c r="I425" s="161"/>
      <c r="J425" s="161"/>
      <c r="K425" s="161"/>
      <c r="L425" s="161"/>
      <c r="M425" s="161"/>
      <c r="N425" s="161"/>
      <c r="O425" s="161"/>
      <c r="P425" s="161"/>
      <c r="Q425" s="161"/>
      <c r="R425" s="161"/>
      <c r="S425" s="161"/>
      <c r="T425" s="161"/>
      <c r="U425" s="161"/>
      <c r="V425" s="161"/>
      <c r="W425" s="161"/>
      <c r="X425" s="161"/>
      <c r="Y425" s="161"/>
      <c r="Z425" s="161"/>
    </row>
    <row r="426">
      <c r="A426" s="511"/>
      <c r="B426" s="18"/>
      <c r="C426" s="18"/>
      <c r="D426" s="161"/>
      <c r="E426" s="161"/>
      <c r="F426" s="511"/>
      <c r="G426" s="161"/>
      <c r="H426" s="161"/>
      <c r="I426" s="161"/>
      <c r="J426" s="161"/>
      <c r="K426" s="161"/>
      <c r="L426" s="161"/>
      <c r="M426" s="161"/>
      <c r="N426" s="161"/>
      <c r="O426" s="161"/>
      <c r="P426" s="161"/>
      <c r="Q426" s="161"/>
      <c r="R426" s="161"/>
      <c r="S426" s="161"/>
      <c r="T426" s="161"/>
      <c r="U426" s="161"/>
      <c r="V426" s="161"/>
      <c r="W426" s="161"/>
      <c r="X426" s="161"/>
      <c r="Y426" s="161"/>
      <c r="Z426" s="161"/>
    </row>
    <row r="427">
      <c r="A427" s="511"/>
      <c r="B427" s="18"/>
      <c r="C427" s="18"/>
      <c r="D427" s="161"/>
      <c r="E427" s="161"/>
      <c r="F427" s="511"/>
      <c r="G427" s="161"/>
      <c r="H427" s="161"/>
      <c r="I427" s="161"/>
      <c r="J427" s="161"/>
      <c r="K427" s="161"/>
      <c r="L427" s="161"/>
      <c r="M427" s="161"/>
      <c r="N427" s="161"/>
      <c r="O427" s="161"/>
      <c r="P427" s="161"/>
      <c r="Q427" s="161"/>
      <c r="R427" s="161"/>
      <c r="S427" s="161"/>
      <c r="T427" s="161"/>
      <c r="U427" s="161"/>
      <c r="V427" s="161"/>
      <c r="W427" s="161"/>
      <c r="X427" s="161"/>
      <c r="Y427" s="161"/>
      <c r="Z427" s="161"/>
    </row>
    <row r="428">
      <c r="A428" s="511"/>
      <c r="B428" s="18"/>
      <c r="C428" s="18"/>
      <c r="D428" s="161"/>
      <c r="E428" s="161"/>
      <c r="F428" s="511"/>
      <c r="G428" s="161"/>
      <c r="H428" s="161"/>
      <c r="I428" s="161"/>
      <c r="J428" s="161"/>
      <c r="K428" s="161"/>
      <c r="L428" s="161"/>
      <c r="M428" s="161"/>
      <c r="N428" s="161"/>
      <c r="O428" s="161"/>
      <c r="P428" s="161"/>
      <c r="Q428" s="161"/>
      <c r="R428" s="161"/>
      <c r="S428" s="161"/>
      <c r="T428" s="161"/>
      <c r="U428" s="161"/>
      <c r="V428" s="161"/>
      <c r="W428" s="161"/>
      <c r="X428" s="161"/>
      <c r="Y428" s="161"/>
      <c r="Z428" s="161"/>
    </row>
    <row r="429">
      <c r="A429" s="511"/>
      <c r="B429" s="18"/>
      <c r="C429" s="18"/>
      <c r="D429" s="161"/>
      <c r="E429" s="161"/>
      <c r="F429" s="511"/>
      <c r="G429" s="161"/>
      <c r="H429" s="161"/>
      <c r="I429" s="161"/>
      <c r="J429" s="161"/>
      <c r="K429" s="161"/>
      <c r="L429" s="161"/>
      <c r="M429" s="161"/>
      <c r="N429" s="161"/>
      <c r="O429" s="161"/>
      <c r="P429" s="161"/>
      <c r="Q429" s="161"/>
      <c r="R429" s="161"/>
      <c r="S429" s="161"/>
      <c r="T429" s="161"/>
      <c r="U429" s="161"/>
      <c r="V429" s="161"/>
      <c r="W429" s="161"/>
      <c r="X429" s="161"/>
      <c r="Y429" s="161"/>
      <c r="Z429" s="161"/>
    </row>
    <row r="430">
      <c r="A430" s="511"/>
      <c r="B430" s="18"/>
      <c r="C430" s="18"/>
      <c r="D430" s="161"/>
      <c r="E430" s="161"/>
      <c r="F430" s="511"/>
      <c r="G430" s="161"/>
      <c r="H430" s="161"/>
      <c r="I430" s="161"/>
      <c r="J430" s="161"/>
      <c r="K430" s="161"/>
      <c r="L430" s="161"/>
      <c r="M430" s="161"/>
      <c r="N430" s="161"/>
      <c r="O430" s="161"/>
      <c r="P430" s="161"/>
      <c r="Q430" s="161"/>
      <c r="R430" s="161"/>
      <c r="S430" s="161"/>
      <c r="T430" s="161"/>
      <c r="U430" s="161"/>
      <c r="V430" s="161"/>
      <c r="W430" s="161"/>
      <c r="X430" s="161"/>
      <c r="Y430" s="161"/>
      <c r="Z430" s="161"/>
    </row>
    <row r="431">
      <c r="A431" s="511"/>
      <c r="B431" s="18"/>
      <c r="C431" s="18"/>
      <c r="D431" s="161"/>
      <c r="E431" s="161"/>
      <c r="F431" s="511"/>
      <c r="G431" s="161"/>
      <c r="H431" s="161"/>
      <c r="I431" s="161"/>
      <c r="J431" s="161"/>
      <c r="K431" s="161"/>
      <c r="L431" s="161"/>
      <c r="M431" s="161"/>
      <c r="N431" s="161"/>
      <c r="O431" s="161"/>
      <c r="P431" s="161"/>
      <c r="Q431" s="161"/>
      <c r="R431" s="161"/>
      <c r="S431" s="161"/>
      <c r="T431" s="161"/>
      <c r="U431" s="161"/>
      <c r="V431" s="161"/>
      <c r="W431" s="161"/>
      <c r="X431" s="161"/>
      <c r="Y431" s="161"/>
      <c r="Z431" s="161"/>
    </row>
    <row r="432">
      <c r="A432" s="511"/>
      <c r="B432" s="18"/>
      <c r="C432" s="18"/>
      <c r="D432" s="161"/>
      <c r="E432" s="161"/>
      <c r="F432" s="511"/>
      <c r="G432" s="161"/>
      <c r="H432" s="161"/>
      <c r="I432" s="161"/>
      <c r="J432" s="161"/>
      <c r="K432" s="161"/>
      <c r="L432" s="161"/>
      <c r="M432" s="161"/>
      <c r="N432" s="161"/>
      <c r="O432" s="161"/>
      <c r="P432" s="161"/>
      <c r="Q432" s="161"/>
      <c r="R432" s="161"/>
      <c r="S432" s="161"/>
      <c r="T432" s="161"/>
      <c r="U432" s="161"/>
      <c r="V432" s="161"/>
      <c r="W432" s="161"/>
      <c r="X432" s="161"/>
      <c r="Y432" s="161"/>
      <c r="Z432" s="161"/>
    </row>
    <row r="433">
      <c r="A433" s="511"/>
      <c r="B433" s="18"/>
      <c r="C433" s="18"/>
      <c r="D433" s="161"/>
      <c r="E433" s="161"/>
      <c r="F433" s="511"/>
      <c r="G433" s="161"/>
      <c r="H433" s="161"/>
      <c r="I433" s="161"/>
      <c r="J433" s="161"/>
      <c r="K433" s="161"/>
      <c r="L433" s="161"/>
      <c r="M433" s="161"/>
      <c r="N433" s="161"/>
      <c r="O433" s="161"/>
      <c r="P433" s="161"/>
      <c r="Q433" s="161"/>
      <c r="R433" s="161"/>
      <c r="S433" s="161"/>
      <c r="T433" s="161"/>
      <c r="U433" s="161"/>
      <c r="V433" s="161"/>
      <c r="W433" s="161"/>
      <c r="X433" s="161"/>
      <c r="Y433" s="161"/>
      <c r="Z433" s="161"/>
    </row>
    <row r="434">
      <c r="A434" s="511"/>
      <c r="B434" s="18"/>
      <c r="C434" s="18"/>
      <c r="D434" s="161"/>
      <c r="E434" s="161"/>
      <c r="F434" s="511"/>
      <c r="G434" s="161"/>
      <c r="H434" s="161"/>
      <c r="I434" s="161"/>
      <c r="J434" s="161"/>
      <c r="K434" s="161"/>
      <c r="L434" s="161"/>
      <c r="M434" s="161"/>
      <c r="N434" s="161"/>
      <c r="O434" s="161"/>
      <c r="P434" s="161"/>
      <c r="Q434" s="161"/>
      <c r="R434" s="161"/>
      <c r="S434" s="161"/>
      <c r="T434" s="161"/>
      <c r="U434" s="161"/>
      <c r="V434" s="161"/>
      <c r="W434" s="161"/>
      <c r="X434" s="161"/>
      <c r="Y434" s="161"/>
      <c r="Z434" s="161"/>
    </row>
    <row r="435">
      <c r="A435" s="511"/>
      <c r="B435" s="18"/>
      <c r="C435" s="18"/>
      <c r="D435" s="161"/>
      <c r="E435" s="161"/>
      <c r="F435" s="511"/>
      <c r="G435" s="161"/>
      <c r="H435" s="161"/>
      <c r="I435" s="161"/>
      <c r="J435" s="161"/>
      <c r="K435" s="161"/>
      <c r="L435" s="161"/>
      <c r="M435" s="161"/>
      <c r="N435" s="161"/>
      <c r="O435" s="161"/>
      <c r="P435" s="161"/>
      <c r="Q435" s="161"/>
      <c r="R435" s="161"/>
      <c r="S435" s="161"/>
      <c r="T435" s="161"/>
      <c r="U435" s="161"/>
      <c r="V435" s="161"/>
      <c r="W435" s="161"/>
      <c r="X435" s="161"/>
      <c r="Y435" s="161"/>
      <c r="Z435" s="161"/>
    </row>
    <row r="436">
      <c r="A436" s="511"/>
      <c r="B436" s="18"/>
      <c r="C436" s="18"/>
      <c r="D436" s="161"/>
      <c r="E436" s="161"/>
      <c r="F436" s="511"/>
      <c r="G436" s="161"/>
      <c r="H436" s="161"/>
      <c r="I436" s="161"/>
      <c r="J436" s="161"/>
      <c r="K436" s="161"/>
      <c r="L436" s="161"/>
      <c r="M436" s="161"/>
      <c r="N436" s="161"/>
      <c r="O436" s="161"/>
      <c r="P436" s="161"/>
      <c r="Q436" s="161"/>
      <c r="R436" s="161"/>
      <c r="S436" s="161"/>
      <c r="T436" s="161"/>
      <c r="U436" s="161"/>
      <c r="V436" s="161"/>
      <c r="W436" s="161"/>
      <c r="X436" s="161"/>
      <c r="Y436" s="161"/>
      <c r="Z436" s="161"/>
    </row>
    <row r="437">
      <c r="A437" s="511"/>
      <c r="B437" s="18"/>
      <c r="C437" s="18"/>
      <c r="D437" s="161"/>
      <c r="E437" s="161"/>
      <c r="F437" s="511"/>
      <c r="G437" s="161"/>
      <c r="H437" s="161"/>
      <c r="I437" s="161"/>
      <c r="J437" s="161"/>
      <c r="K437" s="161"/>
      <c r="L437" s="161"/>
      <c r="M437" s="161"/>
      <c r="N437" s="161"/>
      <c r="O437" s="161"/>
      <c r="P437" s="161"/>
      <c r="Q437" s="161"/>
      <c r="R437" s="161"/>
      <c r="S437" s="161"/>
      <c r="T437" s="161"/>
      <c r="U437" s="161"/>
      <c r="V437" s="161"/>
      <c r="W437" s="161"/>
      <c r="X437" s="161"/>
      <c r="Y437" s="161"/>
      <c r="Z437" s="161"/>
    </row>
    <row r="438">
      <c r="A438" s="511"/>
      <c r="B438" s="18"/>
      <c r="C438" s="18"/>
      <c r="D438" s="161"/>
      <c r="E438" s="161"/>
      <c r="F438" s="511"/>
      <c r="G438" s="161"/>
      <c r="H438" s="161"/>
      <c r="I438" s="161"/>
      <c r="J438" s="161"/>
      <c r="K438" s="161"/>
      <c r="L438" s="161"/>
      <c r="M438" s="161"/>
      <c r="N438" s="161"/>
      <c r="O438" s="161"/>
      <c r="P438" s="161"/>
      <c r="Q438" s="161"/>
      <c r="R438" s="161"/>
      <c r="S438" s="161"/>
      <c r="T438" s="161"/>
      <c r="U438" s="161"/>
      <c r="V438" s="161"/>
      <c r="W438" s="161"/>
      <c r="X438" s="161"/>
      <c r="Y438" s="161"/>
      <c r="Z438" s="161"/>
    </row>
    <row r="439">
      <c r="A439" s="511"/>
      <c r="B439" s="18"/>
      <c r="C439" s="18"/>
      <c r="D439" s="161"/>
      <c r="E439" s="161"/>
      <c r="F439" s="511"/>
      <c r="G439" s="161"/>
      <c r="H439" s="161"/>
      <c r="I439" s="161"/>
      <c r="J439" s="161"/>
      <c r="K439" s="161"/>
      <c r="L439" s="161"/>
      <c r="M439" s="161"/>
      <c r="N439" s="161"/>
      <c r="O439" s="161"/>
      <c r="P439" s="161"/>
      <c r="Q439" s="161"/>
      <c r="R439" s="161"/>
      <c r="S439" s="161"/>
      <c r="T439" s="161"/>
      <c r="U439" s="161"/>
      <c r="V439" s="161"/>
      <c r="W439" s="161"/>
      <c r="X439" s="161"/>
      <c r="Y439" s="161"/>
      <c r="Z439" s="161"/>
    </row>
    <row r="440">
      <c r="A440" s="511"/>
      <c r="B440" s="18"/>
      <c r="C440" s="18"/>
      <c r="D440" s="161"/>
      <c r="E440" s="161"/>
      <c r="F440" s="511"/>
      <c r="G440" s="161"/>
      <c r="H440" s="161"/>
      <c r="I440" s="161"/>
      <c r="J440" s="161"/>
      <c r="K440" s="161"/>
      <c r="L440" s="161"/>
      <c r="M440" s="161"/>
      <c r="N440" s="161"/>
      <c r="O440" s="161"/>
      <c r="P440" s="161"/>
      <c r="Q440" s="161"/>
      <c r="R440" s="161"/>
      <c r="S440" s="161"/>
      <c r="T440" s="161"/>
      <c r="U440" s="161"/>
      <c r="V440" s="161"/>
      <c r="W440" s="161"/>
      <c r="X440" s="161"/>
      <c r="Y440" s="161"/>
      <c r="Z440" s="161"/>
    </row>
    <row r="441">
      <c r="A441" s="511"/>
      <c r="B441" s="18"/>
      <c r="C441" s="18"/>
      <c r="D441" s="161"/>
      <c r="E441" s="161"/>
      <c r="F441" s="511"/>
      <c r="G441" s="161"/>
      <c r="H441" s="161"/>
      <c r="I441" s="161"/>
      <c r="J441" s="161"/>
      <c r="K441" s="161"/>
      <c r="L441" s="161"/>
      <c r="M441" s="161"/>
      <c r="N441" s="161"/>
      <c r="O441" s="161"/>
      <c r="P441" s="161"/>
      <c r="Q441" s="161"/>
      <c r="R441" s="161"/>
      <c r="S441" s="161"/>
      <c r="T441" s="161"/>
      <c r="U441" s="161"/>
      <c r="V441" s="161"/>
      <c r="W441" s="161"/>
      <c r="X441" s="161"/>
      <c r="Y441" s="161"/>
      <c r="Z441" s="161"/>
    </row>
    <row r="442">
      <c r="A442" s="511"/>
      <c r="B442" s="18"/>
      <c r="C442" s="18"/>
      <c r="D442" s="161"/>
      <c r="E442" s="161"/>
      <c r="F442" s="511"/>
      <c r="G442" s="161"/>
      <c r="H442" s="161"/>
      <c r="I442" s="161"/>
      <c r="J442" s="161"/>
      <c r="K442" s="161"/>
      <c r="L442" s="161"/>
      <c r="M442" s="161"/>
      <c r="N442" s="161"/>
      <c r="O442" s="161"/>
      <c r="P442" s="161"/>
      <c r="Q442" s="161"/>
      <c r="R442" s="161"/>
      <c r="S442" s="161"/>
      <c r="T442" s="161"/>
      <c r="U442" s="161"/>
      <c r="V442" s="161"/>
      <c r="W442" s="161"/>
      <c r="X442" s="161"/>
      <c r="Y442" s="161"/>
      <c r="Z442" s="161"/>
    </row>
    <row r="443">
      <c r="A443" s="511"/>
      <c r="B443" s="18"/>
      <c r="C443" s="18"/>
      <c r="D443" s="161"/>
      <c r="E443" s="161"/>
      <c r="F443" s="511"/>
      <c r="G443" s="161"/>
      <c r="H443" s="161"/>
      <c r="I443" s="161"/>
      <c r="J443" s="161"/>
      <c r="K443" s="161"/>
      <c r="L443" s="161"/>
      <c r="M443" s="161"/>
      <c r="N443" s="161"/>
      <c r="O443" s="161"/>
      <c r="P443" s="161"/>
      <c r="Q443" s="161"/>
      <c r="R443" s="161"/>
      <c r="S443" s="161"/>
      <c r="T443" s="161"/>
      <c r="U443" s="161"/>
      <c r="V443" s="161"/>
      <c r="W443" s="161"/>
      <c r="X443" s="161"/>
      <c r="Y443" s="161"/>
      <c r="Z443" s="161"/>
    </row>
    <row r="444">
      <c r="A444" s="511"/>
      <c r="B444" s="18"/>
      <c r="C444" s="18"/>
      <c r="D444" s="161"/>
      <c r="E444" s="161"/>
      <c r="F444" s="511"/>
      <c r="G444" s="161"/>
      <c r="H444" s="161"/>
      <c r="I444" s="161"/>
      <c r="J444" s="161"/>
      <c r="K444" s="161"/>
      <c r="L444" s="161"/>
      <c r="M444" s="161"/>
      <c r="N444" s="161"/>
      <c r="O444" s="161"/>
      <c r="P444" s="161"/>
      <c r="Q444" s="161"/>
      <c r="R444" s="161"/>
      <c r="S444" s="161"/>
      <c r="T444" s="161"/>
      <c r="U444" s="161"/>
      <c r="V444" s="161"/>
      <c r="W444" s="161"/>
      <c r="X444" s="161"/>
      <c r="Y444" s="161"/>
      <c r="Z444" s="161"/>
    </row>
    <row r="445">
      <c r="A445" s="511"/>
      <c r="B445" s="18"/>
      <c r="C445" s="18"/>
      <c r="D445" s="161"/>
      <c r="E445" s="161"/>
      <c r="F445" s="511"/>
      <c r="G445" s="161"/>
      <c r="H445" s="161"/>
      <c r="I445" s="161"/>
      <c r="J445" s="161"/>
      <c r="K445" s="161"/>
      <c r="L445" s="161"/>
      <c r="M445" s="161"/>
      <c r="N445" s="161"/>
      <c r="O445" s="161"/>
      <c r="P445" s="161"/>
      <c r="Q445" s="161"/>
      <c r="R445" s="161"/>
      <c r="S445" s="161"/>
      <c r="T445" s="161"/>
      <c r="U445" s="161"/>
      <c r="V445" s="161"/>
      <c r="W445" s="161"/>
      <c r="X445" s="161"/>
      <c r="Y445" s="161"/>
      <c r="Z445" s="161"/>
    </row>
    <row r="446">
      <c r="A446" s="511"/>
      <c r="B446" s="18"/>
      <c r="C446" s="18"/>
      <c r="D446" s="161"/>
      <c r="E446" s="161"/>
      <c r="F446" s="511"/>
      <c r="G446" s="161"/>
      <c r="H446" s="161"/>
      <c r="I446" s="161"/>
      <c r="J446" s="161"/>
      <c r="K446" s="161"/>
      <c r="L446" s="161"/>
      <c r="M446" s="161"/>
      <c r="N446" s="161"/>
      <c r="O446" s="161"/>
      <c r="P446" s="161"/>
      <c r="Q446" s="161"/>
      <c r="R446" s="161"/>
      <c r="S446" s="161"/>
      <c r="T446" s="161"/>
      <c r="U446" s="161"/>
      <c r="V446" s="161"/>
      <c r="W446" s="161"/>
      <c r="X446" s="161"/>
      <c r="Y446" s="161"/>
      <c r="Z446" s="161"/>
    </row>
    <row r="447">
      <c r="A447" s="511"/>
      <c r="B447" s="18"/>
      <c r="C447" s="18"/>
      <c r="D447" s="161"/>
      <c r="E447" s="161"/>
      <c r="F447" s="511"/>
      <c r="G447" s="161"/>
      <c r="H447" s="161"/>
      <c r="I447" s="161"/>
      <c r="J447" s="161"/>
      <c r="K447" s="161"/>
      <c r="L447" s="161"/>
      <c r="M447" s="161"/>
      <c r="N447" s="161"/>
      <c r="O447" s="161"/>
      <c r="P447" s="161"/>
      <c r="Q447" s="161"/>
      <c r="R447" s="161"/>
      <c r="S447" s="161"/>
      <c r="T447" s="161"/>
      <c r="U447" s="161"/>
      <c r="V447" s="161"/>
      <c r="W447" s="161"/>
      <c r="X447" s="161"/>
      <c r="Y447" s="161"/>
      <c r="Z447" s="161"/>
    </row>
    <row r="448">
      <c r="A448" s="511"/>
      <c r="B448" s="18"/>
      <c r="C448" s="18"/>
      <c r="D448" s="161"/>
      <c r="E448" s="161"/>
      <c r="F448" s="511"/>
      <c r="G448" s="161"/>
      <c r="H448" s="161"/>
      <c r="I448" s="161"/>
      <c r="J448" s="161"/>
      <c r="K448" s="161"/>
      <c r="L448" s="161"/>
      <c r="M448" s="161"/>
      <c r="N448" s="161"/>
      <c r="O448" s="161"/>
      <c r="P448" s="161"/>
      <c r="Q448" s="161"/>
      <c r="R448" s="161"/>
      <c r="S448" s="161"/>
      <c r="T448" s="161"/>
      <c r="U448" s="161"/>
      <c r="V448" s="161"/>
      <c r="W448" s="161"/>
      <c r="X448" s="161"/>
      <c r="Y448" s="161"/>
      <c r="Z448" s="161"/>
    </row>
    <row r="449">
      <c r="A449" s="511"/>
      <c r="B449" s="18"/>
      <c r="C449" s="18"/>
      <c r="D449" s="161"/>
      <c r="E449" s="161"/>
      <c r="F449" s="511"/>
      <c r="G449" s="161"/>
      <c r="H449" s="161"/>
      <c r="I449" s="161"/>
      <c r="J449" s="161"/>
      <c r="K449" s="161"/>
      <c r="L449" s="161"/>
      <c r="M449" s="161"/>
      <c r="N449" s="161"/>
      <c r="O449" s="161"/>
      <c r="P449" s="161"/>
      <c r="Q449" s="161"/>
      <c r="R449" s="161"/>
      <c r="S449" s="161"/>
      <c r="T449" s="161"/>
      <c r="U449" s="161"/>
      <c r="V449" s="161"/>
      <c r="W449" s="161"/>
      <c r="X449" s="161"/>
      <c r="Y449" s="161"/>
      <c r="Z449" s="161"/>
    </row>
    <row r="450">
      <c r="A450" s="511"/>
      <c r="B450" s="18"/>
      <c r="C450" s="18"/>
      <c r="D450" s="161"/>
      <c r="E450" s="161"/>
      <c r="F450" s="511"/>
      <c r="G450" s="161"/>
      <c r="H450" s="161"/>
      <c r="I450" s="161"/>
      <c r="J450" s="161"/>
      <c r="K450" s="161"/>
      <c r="L450" s="161"/>
      <c r="M450" s="161"/>
      <c r="N450" s="161"/>
      <c r="O450" s="161"/>
      <c r="P450" s="161"/>
      <c r="Q450" s="161"/>
      <c r="R450" s="161"/>
      <c r="S450" s="161"/>
      <c r="T450" s="161"/>
      <c r="U450" s="161"/>
      <c r="V450" s="161"/>
      <c r="W450" s="161"/>
      <c r="X450" s="161"/>
      <c r="Y450" s="161"/>
      <c r="Z450" s="161"/>
    </row>
    <row r="451">
      <c r="A451" s="511"/>
      <c r="B451" s="18"/>
      <c r="C451" s="18"/>
      <c r="D451" s="161"/>
      <c r="E451" s="161"/>
      <c r="F451" s="511"/>
      <c r="G451" s="161"/>
      <c r="H451" s="161"/>
      <c r="I451" s="161"/>
      <c r="J451" s="161"/>
      <c r="K451" s="161"/>
      <c r="L451" s="161"/>
      <c r="M451" s="161"/>
      <c r="N451" s="161"/>
      <c r="O451" s="161"/>
      <c r="P451" s="161"/>
      <c r="Q451" s="161"/>
      <c r="R451" s="161"/>
      <c r="S451" s="161"/>
      <c r="T451" s="161"/>
      <c r="U451" s="161"/>
      <c r="V451" s="161"/>
      <c r="W451" s="161"/>
      <c r="X451" s="161"/>
      <c r="Y451" s="161"/>
      <c r="Z451" s="161"/>
    </row>
    <row r="452">
      <c r="A452" s="511"/>
      <c r="B452" s="18"/>
      <c r="C452" s="18"/>
      <c r="D452" s="161"/>
      <c r="E452" s="161"/>
      <c r="F452" s="511"/>
      <c r="G452" s="161"/>
      <c r="H452" s="161"/>
      <c r="I452" s="161"/>
      <c r="J452" s="161"/>
      <c r="K452" s="161"/>
      <c r="L452" s="161"/>
      <c r="M452" s="161"/>
      <c r="N452" s="161"/>
      <c r="O452" s="161"/>
      <c r="P452" s="161"/>
      <c r="Q452" s="161"/>
      <c r="R452" s="161"/>
      <c r="S452" s="161"/>
      <c r="T452" s="161"/>
      <c r="U452" s="161"/>
      <c r="V452" s="161"/>
      <c r="W452" s="161"/>
      <c r="X452" s="161"/>
      <c r="Y452" s="161"/>
      <c r="Z452" s="161"/>
    </row>
    <row r="453">
      <c r="A453" s="511"/>
      <c r="B453" s="18"/>
      <c r="C453" s="18"/>
      <c r="D453" s="161"/>
      <c r="E453" s="161"/>
      <c r="F453" s="511"/>
      <c r="G453" s="161"/>
      <c r="H453" s="161"/>
      <c r="I453" s="161"/>
      <c r="J453" s="161"/>
      <c r="K453" s="161"/>
      <c r="L453" s="161"/>
      <c r="M453" s="161"/>
      <c r="N453" s="161"/>
      <c r="O453" s="161"/>
      <c r="P453" s="161"/>
      <c r="Q453" s="161"/>
      <c r="R453" s="161"/>
      <c r="S453" s="161"/>
      <c r="T453" s="161"/>
      <c r="U453" s="161"/>
      <c r="V453" s="161"/>
      <c r="W453" s="161"/>
      <c r="X453" s="161"/>
      <c r="Y453" s="161"/>
      <c r="Z453" s="161"/>
    </row>
    <row r="454">
      <c r="A454" s="511"/>
      <c r="B454" s="18"/>
      <c r="C454" s="18"/>
      <c r="D454" s="161"/>
      <c r="E454" s="161"/>
      <c r="F454" s="511"/>
      <c r="G454" s="161"/>
      <c r="H454" s="161"/>
      <c r="I454" s="161"/>
      <c r="J454" s="161"/>
      <c r="K454" s="161"/>
      <c r="L454" s="161"/>
      <c r="M454" s="161"/>
      <c r="N454" s="161"/>
      <c r="O454" s="161"/>
      <c r="P454" s="161"/>
      <c r="Q454" s="161"/>
      <c r="R454" s="161"/>
      <c r="S454" s="161"/>
      <c r="T454" s="161"/>
      <c r="U454" s="161"/>
      <c r="V454" s="161"/>
      <c r="W454" s="161"/>
      <c r="X454" s="161"/>
      <c r="Y454" s="161"/>
      <c r="Z454" s="161"/>
    </row>
    <row r="455">
      <c r="A455" s="511"/>
      <c r="B455" s="18"/>
      <c r="C455" s="18"/>
      <c r="D455" s="161"/>
      <c r="E455" s="161"/>
      <c r="F455" s="511"/>
      <c r="G455" s="161"/>
      <c r="H455" s="161"/>
      <c r="I455" s="161"/>
      <c r="J455" s="161"/>
      <c r="K455" s="161"/>
      <c r="L455" s="161"/>
      <c r="M455" s="161"/>
      <c r="N455" s="161"/>
      <c r="O455" s="161"/>
      <c r="P455" s="161"/>
      <c r="Q455" s="161"/>
      <c r="R455" s="161"/>
      <c r="S455" s="161"/>
      <c r="T455" s="161"/>
      <c r="U455" s="161"/>
      <c r="V455" s="161"/>
      <c r="W455" s="161"/>
      <c r="X455" s="161"/>
      <c r="Y455" s="161"/>
      <c r="Z455" s="161"/>
    </row>
    <row r="456">
      <c r="A456" s="511"/>
      <c r="B456" s="18"/>
      <c r="C456" s="18"/>
      <c r="D456" s="161"/>
      <c r="E456" s="161"/>
      <c r="F456" s="511"/>
      <c r="G456" s="161"/>
      <c r="H456" s="161"/>
      <c r="I456" s="161"/>
      <c r="J456" s="161"/>
      <c r="K456" s="161"/>
      <c r="L456" s="161"/>
      <c r="M456" s="161"/>
      <c r="N456" s="161"/>
      <c r="O456" s="161"/>
      <c r="P456" s="161"/>
      <c r="Q456" s="161"/>
      <c r="R456" s="161"/>
      <c r="S456" s="161"/>
      <c r="T456" s="161"/>
      <c r="U456" s="161"/>
      <c r="V456" s="161"/>
      <c r="W456" s="161"/>
      <c r="X456" s="161"/>
      <c r="Y456" s="161"/>
      <c r="Z456" s="161"/>
    </row>
    <row r="457">
      <c r="A457" s="511"/>
      <c r="B457" s="18"/>
      <c r="C457" s="18"/>
      <c r="D457" s="161"/>
      <c r="E457" s="161"/>
      <c r="F457" s="511"/>
      <c r="G457" s="161"/>
      <c r="H457" s="161"/>
      <c r="I457" s="161"/>
      <c r="J457" s="161"/>
      <c r="K457" s="161"/>
      <c r="L457" s="161"/>
      <c r="M457" s="161"/>
      <c r="N457" s="161"/>
      <c r="O457" s="161"/>
      <c r="P457" s="161"/>
      <c r="Q457" s="161"/>
      <c r="R457" s="161"/>
      <c r="S457" s="161"/>
      <c r="T457" s="161"/>
      <c r="U457" s="161"/>
      <c r="V457" s="161"/>
      <c r="W457" s="161"/>
      <c r="X457" s="161"/>
      <c r="Y457" s="161"/>
      <c r="Z457" s="161"/>
    </row>
    <row r="458">
      <c r="A458" s="511"/>
      <c r="B458" s="18"/>
      <c r="C458" s="18"/>
      <c r="D458" s="161"/>
      <c r="E458" s="161"/>
      <c r="F458" s="511"/>
      <c r="G458" s="161"/>
      <c r="H458" s="161"/>
      <c r="I458" s="161"/>
      <c r="J458" s="161"/>
      <c r="K458" s="161"/>
      <c r="L458" s="161"/>
      <c r="M458" s="161"/>
      <c r="N458" s="161"/>
      <c r="O458" s="161"/>
      <c r="P458" s="161"/>
      <c r="Q458" s="161"/>
      <c r="R458" s="161"/>
      <c r="S458" s="161"/>
      <c r="T458" s="161"/>
      <c r="U458" s="161"/>
      <c r="V458" s="161"/>
      <c r="W458" s="161"/>
      <c r="X458" s="161"/>
      <c r="Y458" s="161"/>
      <c r="Z458" s="161"/>
    </row>
    <row r="459">
      <c r="A459" s="511"/>
      <c r="B459" s="18"/>
      <c r="C459" s="18"/>
      <c r="D459" s="161"/>
      <c r="E459" s="161"/>
      <c r="F459" s="511"/>
      <c r="G459" s="161"/>
      <c r="H459" s="161"/>
      <c r="I459" s="161"/>
      <c r="J459" s="161"/>
      <c r="K459" s="161"/>
      <c r="L459" s="161"/>
      <c r="M459" s="161"/>
      <c r="N459" s="161"/>
      <c r="O459" s="161"/>
      <c r="P459" s="161"/>
      <c r="Q459" s="161"/>
      <c r="R459" s="161"/>
      <c r="S459" s="161"/>
      <c r="T459" s="161"/>
      <c r="U459" s="161"/>
      <c r="V459" s="161"/>
      <c r="W459" s="161"/>
      <c r="X459" s="161"/>
      <c r="Y459" s="161"/>
      <c r="Z459" s="161"/>
    </row>
    <row r="460">
      <c r="A460" s="511"/>
      <c r="B460" s="18"/>
      <c r="C460" s="18"/>
      <c r="D460" s="161"/>
      <c r="E460" s="161"/>
      <c r="F460" s="511"/>
      <c r="G460" s="161"/>
      <c r="H460" s="161"/>
      <c r="I460" s="161"/>
      <c r="J460" s="161"/>
      <c r="K460" s="161"/>
      <c r="L460" s="161"/>
      <c r="M460" s="161"/>
      <c r="N460" s="161"/>
      <c r="O460" s="161"/>
      <c r="P460" s="161"/>
      <c r="Q460" s="161"/>
      <c r="R460" s="161"/>
      <c r="S460" s="161"/>
      <c r="T460" s="161"/>
      <c r="U460" s="161"/>
      <c r="V460" s="161"/>
      <c r="W460" s="161"/>
      <c r="X460" s="161"/>
      <c r="Y460" s="161"/>
      <c r="Z460" s="161"/>
    </row>
    <row r="461">
      <c r="A461" s="511"/>
      <c r="B461" s="18"/>
      <c r="C461" s="18"/>
      <c r="D461" s="161"/>
      <c r="E461" s="161"/>
      <c r="F461" s="511"/>
      <c r="G461" s="161"/>
      <c r="H461" s="161"/>
      <c r="I461" s="161"/>
      <c r="J461" s="161"/>
      <c r="K461" s="161"/>
      <c r="L461" s="161"/>
      <c r="M461" s="161"/>
      <c r="N461" s="161"/>
      <c r="O461" s="161"/>
      <c r="P461" s="161"/>
      <c r="Q461" s="161"/>
      <c r="R461" s="161"/>
      <c r="S461" s="161"/>
      <c r="T461" s="161"/>
      <c r="U461" s="161"/>
      <c r="V461" s="161"/>
      <c r="W461" s="161"/>
      <c r="X461" s="161"/>
      <c r="Y461" s="161"/>
      <c r="Z461" s="161"/>
    </row>
    <row r="462">
      <c r="A462" s="511"/>
      <c r="B462" s="18"/>
      <c r="C462" s="18"/>
      <c r="D462" s="161"/>
      <c r="E462" s="161"/>
      <c r="F462" s="511"/>
      <c r="G462" s="161"/>
      <c r="H462" s="161"/>
      <c r="I462" s="161"/>
      <c r="J462" s="161"/>
      <c r="K462" s="161"/>
      <c r="L462" s="161"/>
      <c r="M462" s="161"/>
      <c r="N462" s="161"/>
      <c r="O462" s="161"/>
      <c r="P462" s="161"/>
      <c r="Q462" s="161"/>
      <c r="R462" s="161"/>
      <c r="S462" s="161"/>
      <c r="T462" s="161"/>
      <c r="U462" s="161"/>
      <c r="V462" s="161"/>
      <c r="W462" s="161"/>
      <c r="X462" s="161"/>
      <c r="Y462" s="161"/>
      <c r="Z462" s="161"/>
    </row>
    <row r="463">
      <c r="A463" s="511"/>
      <c r="B463" s="18"/>
      <c r="C463" s="18"/>
      <c r="D463" s="161"/>
      <c r="E463" s="161"/>
      <c r="F463" s="511"/>
      <c r="G463" s="161"/>
      <c r="H463" s="161"/>
      <c r="I463" s="161"/>
      <c r="J463" s="161"/>
      <c r="K463" s="161"/>
      <c r="L463" s="161"/>
      <c r="M463" s="161"/>
      <c r="N463" s="161"/>
      <c r="O463" s="161"/>
      <c r="P463" s="161"/>
      <c r="Q463" s="161"/>
      <c r="R463" s="161"/>
      <c r="S463" s="161"/>
      <c r="T463" s="161"/>
      <c r="U463" s="161"/>
      <c r="V463" s="161"/>
      <c r="W463" s="161"/>
      <c r="X463" s="161"/>
      <c r="Y463" s="161"/>
      <c r="Z463" s="161"/>
    </row>
    <row r="464">
      <c r="A464" s="511"/>
      <c r="B464" s="18"/>
      <c r="C464" s="18"/>
      <c r="D464" s="161"/>
      <c r="E464" s="161"/>
      <c r="F464" s="511"/>
      <c r="G464" s="161"/>
      <c r="H464" s="161"/>
      <c r="I464" s="161"/>
      <c r="J464" s="161"/>
      <c r="K464" s="161"/>
      <c r="L464" s="161"/>
      <c r="M464" s="161"/>
      <c r="N464" s="161"/>
      <c r="O464" s="161"/>
      <c r="P464" s="161"/>
      <c r="Q464" s="161"/>
      <c r="R464" s="161"/>
      <c r="S464" s="161"/>
      <c r="T464" s="161"/>
      <c r="U464" s="161"/>
      <c r="V464" s="161"/>
      <c r="W464" s="161"/>
      <c r="X464" s="161"/>
      <c r="Y464" s="161"/>
      <c r="Z464" s="161"/>
    </row>
    <row r="465">
      <c r="A465" s="511"/>
      <c r="B465" s="18"/>
      <c r="C465" s="18"/>
      <c r="D465" s="161"/>
      <c r="E465" s="161"/>
      <c r="F465" s="511"/>
      <c r="G465" s="161"/>
      <c r="H465" s="161"/>
      <c r="I465" s="161"/>
      <c r="J465" s="161"/>
      <c r="K465" s="161"/>
      <c r="L465" s="161"/>
      <c r="M465" s="161"/>
      <c r="N465" s="161"/>
      <c r="O465" s="161"/>
      <c r="P465" s="161"/>
      <c r="Q465" s="161"/>
      <c r="R465" s="161"/>
      <c r="S465" s="161"/>
      <c r="T465" s="161"/>
      <c r="U465" s="161"/>
      <c r="V465" s="161"/>
      <c r="W465" s="161"/>
      <c r="X465" s="161"/>
      <c r="Y465" s="161"/>
      <c r="Z465" s="161"/>
    </row>
    <row r="466">
      <c r="A466" s="511"/>
      <c r="B466" s="18"/>
      <c r="C466" s="18"/>
      <c r="D466" s="161"/>
      <c r="E466" s="161"/>
      <c r="F466" s="511"/>
      <c r="G466" s="161"/>
      <c r="H466" s="161"/>
      <c r="I466" s="161"/>
      <c r="J466" s="161"/>
      <c r="K466" s="161"/>
      <c r="L466" s="161"/>
      <c r="M466" s="161"/>
      <c r="N466" s="161"/>
      <c r="O466" s="161"/>
      <c r="P466" s="161"/>
      <c r="Q466" s="161"/>
      <c r="R466" s="161"/>
      <c r="S466" s="161"/>
      <c r="T466" s="161"/>
      <c r="U466" s="161"/>
      <c r="V466" s="161"/>
      <c r="W466" s="161"/>
      <c r="X466" s="161"/>
      <c r="Y466" s="161"/>
      <c r="Z466" s="161"/>
    </row>
    <row r="467">
      <c r="A467" s="511"/>
      <c r="B467" s="18"/>
      <c r="C467" s="18"/>
      <c r="D467" s="161"/>
      <c r="E467" s="161"/>
      <c r="F467" s="511"/>
      <c r="G467" s="161"/>
      <c r="H467" s="161"/>
      <c r="I467" s="161"/>
      <c r="J467" s="161"/>
      <c r="K467" s="161"/>
      <c r="L467" s="161"/>
      <c r="M467" s="161"/>
      <c r="N467" s="161"/>
      <c r="O467" s="161"/>
      <c r="P467" s="161"/>
      <c r="Q467" s="161"/>
      <c r="R467" s="161"/>
      <c r="S467" s="161"/>
      <c r="T467" s="161"/>
      <c r="U467" s="161"/>
      <c r="V467" s="161"/>
      <c r="W467" s="161"/>
      <c r="X467" s="161"/>
      <c r="Y467" s="161"/>
      <c r="Z467" s="161"/>
    </row>
    <row r="468">
      <c r="A468" s="511"/>
      <c r="B468" s="18"/>
      <c r="C468" s="18"/>
      <c r="D468" s="161"/>
      <c r="E468" s="161"/>
      <c r="F468" s="511"/>
      <c r="G468" s="161"/>
      <c r="H468" s="161"/>
      <c r="I468" s="161"/>
      <c r="J468" s="161"/>
      <c r="K468" s="161"/>
      <c r="L468" s="161"/>
      <c r="M468" s="161"/>
      <c r="N468" s="161"/>
      <c r="O468" s="161"/>
      <c r="P468" s="161"/>
      <c r="Q468" s="161"/>
      <c r="R468" s="161"/>
      <c r="S468" s="161"/>
      <c r="T468" s="161"/>
      <c r="U468" s="161"/>
      <c r="V468" s="161"/>
      <c r="W468" s="161"/>
      <c r="X468" s="161"/>
      <c r="Y468" s="161"/>
      <c r="Z468" s="161"/>
    </row>
    <row r="469">
      <c r="A469" s="511"/>
      <c r="B469" s="18"/>
      <c r="C469" s="18"/>
      <c r="D469" s="161"/>
      <c r="E469" s="161"/>
      <c r="F469" s="511"/>
      <c r="G469" s="161"/>
      <c r="H469" s="161"/>
      <c r="I469" s="161"/>
      <c r="J469" s="161"/>
      <c r="K469" s="161"/>
      <c r="L469" s="161"/>
      <c r="M469" s="161"/>
      <c r="N469" s="161"/>
      <c r="O469" s="161"/>
      <c r="P469" s="161"/>
      <c r="Q469" s="161"/>
      <c r="R469" s="161"/>
      <c r="S469" s="161"/>
      <c r="T469" s="161"/>
      <c r="U469" s="161"/>
      <c r="V469" s="161"/>
      <c r="W469" s="161"/>
      <c r="X469" s="161"/>
      <c r="Y469" s="161"/>
      <c r="Z469" s="161"/>
    </row>
    <row r="470">
      <c r="A470" s="511"/>
      <c r="B470" s="18"/>
      <c r="C470" s="18"/>
      <c r="D470" s="161"/>
      <c r="E470" s="161"/>
      <c r="F470" s="511"/>
      <c r="G470" s="161"/>
      <c r="H470" s="161"/>
      <c r="I470" s="161"/>
      <c r="J470" s="161"/>
      <c r="K470" s="161"/>
      <c r="L470" s="161"/>
      <c r="M470" s="161"/>
      <c r="N470" s="161"/>
      <c r="O470" s="161"/>
      <c r="P470" s="161"/>
      <c r="Q470" s="161"/>
      <c r="R470" s="161"/>
      <c r="S470" s="161"/>
      <c r="T470" s="161"/>
      <c r="U470" s="161"/>
      <c r="V470" s="161"/>
      <c r="W470" s="161"/>
      <c r="X470" s="161"/>
      <c r="Y470" s="161"/>
      <c r="Z470" s="161"/>
    </row>
    <row r="471">
      <c r="A471" s="511"/>
      <c r="B471" s="18"/>
      <c r="C471" s="18"/>
      <c r="D471" s="161"/>
      <c r="E471" s="161"/>
      <c r="F471" s="511"/>
      <c r="G471" s="161"/>
      <c r="H471" s="161"/>
      <c r="I471" s="161"/>
      <c r="J471" s="161"/>
      <c r="K471" s="161"/>
      <c r="L471" s="161"/>
      <c r="M471" s="161"/>
      <c r="N471" s="161"/>
      <c r="O471" s="161"/>
      <c r="P471" s="161"/>
      <c r="Q471" s="161"/>
      <c r="R471" s="161"/>
      <c r="S471" s="161"/>
      <c r="T471" s="161"/>
      <c r="U471" s="161"/>
      <c r="V471" s="161"/>
      <c r="W471" s="161"/>
      <c r="X471" s="161"/>
      <c r="Y471" s="161"/>
      <c r="Z471" s="161"/>
    </row>
    <row r="472">
      <c r="A472" s="511"/>
      <c r="B472" s="18"/>
      <c r="C472" s="18"/>
      <c r="D472" s="161"/>
      <c r="E472" s="161"/>
      <c r="F472" s="511"/>
      <c r="G472" s="161"/>
      <c r="H472" s="161"/>
      <c r="I472" s="161"/>
      <c r="J472" s="161"/>
      <c r="K472" s="161"/>
      <c r="L472" s="161"/>
      <c r="M472" s="161"/>
      <c r="N472" s="161"/>
      <c r="O472" s="161"/>
      <c r="P472" s="161"/>
      <c r="Q472" s="161"/>
      <c r="R472" s="161"/>
      <c r="S472" s="161"/>
      <c r="T472" s="161"/>
      <c r="U472" s="161"/>
      <c r="V472" s="161"/>
      <c r="W472" s="161"/>
      <c r="X472" s="161"/>
      <c r="Y472" s="161"/>
      <c r="Z472" s="161"/>
    </row>
    <row r="473">
      <c r="A473" s="511"/>
      <c r="B473" s="18"/>
      <c r="C473" s="18"/>
      <c r="D473" s="161"/>
      <c r="E473" s="161"/>
      <c r="F473" s="511"/>
      <c r="G473" s="161"/>
      <c r="H473" s="161"/>
      <c r="I473" s="161"/>
      <c r="J473" s="161"/>
      <c r="K473" s="161"/>
      <c r="L473" s="161"/>
      <c r="M473" s="161"/>
      <c r="N473" s="161"/>
      <c r="O473" s="161"/>
      <c r="P473" s="161"/>
      <c r="Q473" s="161"/>
      <c r="R473" s="161"/>
      <c r="S473" s="161"/>
      <c r="T473" s="161"/>
      <c r="U473" s="161"/>
      <c r="V473" s="161"/>
      <c r="W473" s="161"/>
      <c r="X473" s="161"/>
      <c r="Y473" s="161"/>
      <c r="Z473" s="161"/>
    </row>
    <row r="474">
      <c r="A474" s="511"/>
      <c r="B474" s="18"/>
      <c r="C474" s="18"/>
      <c r="D474" s="161"/>
      <c r="E474" s="161"/>
      <c r="F474" s="511"/>
      <c r="G474" s="161"/>
      <c r="H474" s="161"/>
      <c r="I474" s="161"/>
      <c r="J474" s="161"/>
      <c r="K474" s="161"/>
      <c r="L474" s="161"/>
      <c r="M474" s="161"/>
      <c r="N474" s="161"/>
      <c r="O474" s="161"/>
      <c r="P474" s="161"/>
      <c r="Q474" s="161"/>
      <c r="R474" s="161"/>
      <c r="S474" s="161"/>
      <c r="T474" s="161"/>
      <c r="U474" s="161"/>
      <c r="V474" s="161"/>
      <c r="W474" s="161"/>
      <c r="X474" s="161"/>
      <c r="Y474" s="161"/>
      <c r="Z474" s="161"/>
    </row>
    <row r="475">
      <c r="A475" s="511"/>
      <c r="B475" s="18"/>
      <c r="C475" s="18"/>
      <c r="D475" s="161"/>
      <c r="E475" s="161"/>
      <c r="F475" s="511"/>
      <c r="G475" s="161"/>
      <c r="H475" s="161"/>
      <c r="I475" s="161"/>
      <c r="J475" s="161"/>
      <c r="K475" s="161"/>
      <c r="L475" s="161"/>
      <c r="M475" s="161"/>
      <c r="N475" s="161"/>
      <c r="O475" s="161"/>
      <c r="P475" s="161"/>
      <c r="Q475" s="161"/>
      <c r="R475" s="161"/>
      <c r="S475" s="161"/>
      <c r="T475" s="161"/>
      <c r="U475" s="161"/>
      <c r="V475" s="161"/>
      <c r="W475" s="161"/>
      <c r="X475" s="161"/>
      <c r="Y475" s="161"/>
      <c r="Z475" s="161"/>
    </row>
    <row r="476">
      <c r="A476" s="511"/>
      <c r="B476" s="18"/>
      <c r="C476" s="18"/>
      <c r="D476" s="161"/>
      <c r="E476" s="161"/>
      <c r="F476" s="511"/>
      <c r="G476" s="161"/>
      <c r="H476" s="161"/>
      <c r="I476" s="161"/>
      <c r="J476" s="161"/>
      <c r="K476" s="161"/>
      <c r="L476" s="161"/>
      <c r="M476" s="161"/>
      <c r="N476" s="161"/>
      <c r="O476" s="161"/>
      <c r="P476" s="161"/>
      <c r="Q476" s="161"/>
      <c r="R476" s="161"/>
      <c r="S476" s="161"/>
      <c r="T476" s="161"/>
      <c r="U476" s="161"/>
      <c r="V476" s="161"/>
      <c r="W476" s="161"/>
      <c r="X476" s="161"/>
      <c r="Y476" s="161"/>
      <c r="Z476" s="161"/>
    </row>
    <row r="477">
      <c r="A477" s="511"/>
      <c r="B477" s="18"/>
      <c r="C477" s="18"/>
      <c r="D477" s="161"/>
      <c r="E477" s="161"/>
      <c r="F477" s="511"/>
      <c r="G477" s="161"/>
      <c r="H477" s="161"/>
      <c r="I477" s="161"/>
      <c r="J477" s="161"/>
      <c r="K477" s="161"/>
      <c r="L477" s="161"/>
      <c r="M477" s="161"/>
      <c r="N477" s="161"/>
      <c r="O477" s="161"/>
      <c r="P477" s="161"/>
      <c r="Q477" s="161"/>
      <c r="R477" s="161"/>
      <c r="S477" s="161"/>
      <c r="T477" s="161"/>
      <c r="U477" s="161"/>
      <c r="V477" s="161"/>
      <c r="W477" s="161"/>
      <c r="X477" s="161"/>
      <c r="Y477" s="161"/>
      <c r="Z477" s="161"/>
    </row>
    <row r="478">
      <c r="A478" s="511"/>
      <c r="B478" s="18"/>
      <c r="C478" s="18"/>
      <c r="D478" s="161"/>
      <c r="E478" s="161"/>
      <c r="F478" s="511"/>
      <c r="G478" s="161"/>
      <c r="H478" s="161"/>
      <c r="I478" s="161"/>
      <c r="J478" s="161"/>
      <c r="K478" s="161"/>
      <c r="L478" s="161"/>
      <c r="M478" s="161"/>
      <c r="N478" s="161"/>
      <c r="O478" s="161"/>
      <c r="P478" s="161"/>
      <c r="Q478" s="161"/>
      <c r="R478" s="161"/>
      <c r="S478" s="161"/>
      <c r="T478" s="161"/>
      <c r="U478" s="161"/>
      <c r="V478" s="161"/>
      <c r="W478" s="161"/>
      <c r="X478" s="161"/>
      <c r="Y478" s="161"/>
      <c r="Z478" s="161"/>
    </row>
    <row r="479">
      <c r="A479" s="511"/>
      <c r="B479" s="18"/>
      <c r="C479" s="18"/>
      <c r="D479" s="161"/>
      <c r="E479" s="161"/>
      <c r="F479" s="511"/>
      <c r="G479" s="161"/>
      <c r="H479" s="161"/>
      <c r="I479" s="161"/>
      <c r="J479" s="161"/>
      <c r="K479" s="161"/>
      <c r="L479" s="161"/>
      <c r="M479" s="161"/>
      <c r="N479" s="161"/>
      <c r="O479" s="161"/>
      <c r="P479" s="161"/>
      <c r="Q479" s="161"/>
      <c r="R479" s="161"/>
      <c r="S479" s="161"/>
      <c r="T479" s="161"/>
      <c r="U479" s="161"/>
      <c r="V479" s="161"/>
      <c r="W479" s="161"/>
      <c r="X479" s="161"/>
      <c r="Y479" s="161"/>
      <c r="Z479" s="161"/>
    </row>
    <row r="480">
      <c r="A480" s="511"/>
      <c r="B480" s="18"/>
      <c r="C480" s="18"/>
      <c r="D480" s="161"/>
      <c r="E480" s="161"/>
      <c r="F480" s="511"/>
      <c r="G480" s="161"/>
      <c r="H480" s="161"/>
      <c r="I480" s="161"/>
      <c r="J480" s="161"/>
      <c r="K480" s="161"/>
      <c r="L480" s="161"/>
      <c r="M480" s="161"/>
      <c r="N480" s="161"/>
      <c r="O480" s="161"/>
      <c r="P480" s="161"/>
      <c r="Q480" s="161"/>
      <c r="R480" s="161"/>
      <c r="S480" s="161"/>
      <c r="T480" s="161"/>
      <c r="U480" s="161"/>
      <c r="V480" s="161"/>
      <c r="W480" s="161"/>
      <c r="X480" s="161"/>
      <c r="Y480" s="161"/>
      <c r="Z480" s="161"/>
    </row>
    <row r="481">
      <c r="A481" s="511"/>
      <c r="B481" s="18"/>
      <c r="C481" s="18"/>
      <c r="D481" s="161"/>
      <c r="E481" s="161"/>
      <c r="F481" s="511"/>
      <c r="G481" s="161"/>
      <c r="H481" s="161"/>
      <c r="I481" s="161"/>
      <c r="J481" s="161"/>
      <c r="K481" s="161"/>
      <c r="L481" s="161"/>
      <c r="M481" s="161"/>
      <c r="N481" s="161"/>
      <c r="O481" s="161"/>
      <c r="P481" s="161"/>
      <c r="Q481" s="161"/>
      <c r="R481" s="161"/>
      <c r="S481" s="161"/>
      <c r="T481" s="161"/>
      <c r="U481" s="161"/>
      <c r="V481" s="161"/>
      <c r="W481" s="161"/>
      <c r="X481" s="161"/>
      <c r="Y481" s="161"/>
      <c r="Z481" s="161"/>
    </row>
    <row r="482">
      <c r="A482" s="511"/>
      <c r="B482" s="18"/>
      <c r="C482" s="18"/>
      <c r="D482" s="161"/>
      <c r="E482" s="161"/>
      <c r="F482" s="511"/>
      <c r="G482" s="161"/>
      <c r="H482" s="161"/>
      <c r="I482" s="161"/>
      <c r="J482" s="161"/>
      <c r="K482" s="161"/>
      <c r="L482" s="161"/>
      <c r="M482" s="161"/>
      <c r="N482" s="161"/>
      <c r="O482" s="161"/>
      <c r="P482" s="161"/>
      <c r="Q482" s="161"/>
      <c r="R482" s="161"/>
      <c r="S482" s="161"/>
      <c r="T482" s="161"/>
      <c r="U482" s="161"/>
      <c r="V482" s="161"/>
      <c r="W482" s="161"/>
      <c r="X482" s="161"/>
      <c r="Y482" s="161"/>
      <c r="Z482" s="161"/>
    </row>
    <row r="483">
      <c r="A483" s="511"/>
      <c r="B483" s="18"/>
      <c r="C483" s="18"/>
      <c r="D483" s="161"/>
      <c r="E483" s="161"/>
      <c r="F483" s="511"/>
      <c r="G483" s="161"/>
      <c r="H483" s="161"/>
      <c r="I483" s="161"/>
      <c r="J483" s="161"/>
      <c r="K483" s="161"/>
      <c r="L483" s="161"/>
      <c r="M483" s="161"/>
      <c r="N483" s="161"/>
      <c r="O483" s="161"/>
      <c r="P483" s="161"/>
      <c r="Q483" s="161"/>
      <c r="R483" s="161"/>
      <c r="S483" s="161"/>
      <c r="T483" s="161"/>
      <c r="U483" s="161"/>
      <c r="V483" s="161"/>
      <c r="W483" s="161"/>
      <c r="X483" s="161"/>
      <c r="Y483" s="161"/>
      <c r="Z483" s="161"/>
    </row>
    <row r="484">
      <c r="A484" s="511"/>
      <c r="B484" s="18"/>
      <c r="C484" s="18"/>
      <c r="D484" s="161"/>
      <c r="E484" s="161"/>
      <c r="F484" s="511"/>
      <c r="G484" s="161"/>
      <c r="H484" s="161"/>
      <c r="I484" s="161"/>
      <c r="J484" s="161"/>
      <c r="K484" s="161"/>
      <c r="L484" s="161"/>
      <c r="M484" s="161"/>
      <c r="N484" s="161"/>
      <c r="O484" s="161"/>
      <c r="P484" s="161"/>
      <c r="Q484" s="161"/>
      <c r="R484" s="161"/>
      <c r="S484" s="161"/>
      <c r="T484" s="161"/>
      <c r="U484" s="161"/>
      <c r="V484" s="161"/>
      <c r="W484" s="161"/>
      <c r="X484" s="161"/>
      <c r="Y484" s="161"/>
      <c r="Z484" s="161"/>
    </row>
    <row r="485">
      <c r="A485" s="511"/>
      <c r="B485" s="18"/>
      <c r="C485" s="18"/>
      <c r="D485" s="161"/>
      <c r="E485" s="161"/>
      <c r="F485" s="511"/>
      <c r="G485" s="161"/>
      <c r="H485" s="161"/>
      <c r="I485" s="161"/>
      <c r="J485" s="161"/>
      <c r="K485" s="161"/>
      <c r="L485" s="161"/>
      <c r="M485" s="161"/>
      <c r="N485" s="161"/>
      <c r="O485" s="161"/>
      <c r="P485" s="161"/>
      <c r="Q485" s="161"/>
      <c r="R485" s="161"/>
      <c r="S485" s="161"/>
      <c r="T485" s="161"/>
      <c r="U485" s="161"/>
      <c r="V485" s="161"/>
      <c r="W485" s="161"/>
      <c r="X485" s="161"/>
      <c r="Y485" s="161"/>
      <c r="Z485" s="161"/>
    </row>
    <row r="486">
      <c r="A486" s="511"/>
      <c r="B486" s="18"/>
      <c r="C486" s="18"/>
      <c r="D486" s="161"/>
      <c r="E486" s="161"/>
      <c r="F486" s="511"/>
      <c r="G486" s="161"/>
      <c r="H486" s="161"/>
      <c r="I486" s="161"/>
      <c r="J486" s="161"/>
      <c r="K486" s="161"/>
      <c r="L486" s="161"/>
      <c r="M486" s="161"/>
      <c r="N486" s="161"/>
      <c r="O486" s="161"/>
      <c r="P486" s="161"/>
      <c r="Q486" s="161"/>
      <c r="R486" s="161"/>
      <c r="S486" s="161"/>
      <c r="T486" s="161"/>
      <c r="U486" s="161"/>
      <c r="V486" s="161"/>
      <c r="W486" s="161"/>
      <c r="X486" s="161"/>
      <c r="Y486" s="161"/>
      <c r="Z486" s="161"/>
    </row>
    <row r="487">
      <c r="A487" s="511"/>
      <c r="B487" s="18"/>
      <c r="C487" s="18"/>
      <c r="D487" s="161"/>
      <c r="E487" s="161"/>
      <c r="F487" s="511"/>
      <c r="G487" s="161"/>
      <c r="H487" s="161"/>
      <c r="I487" s="161"/>
      <c r="J487" s="161"/>
      <c r="K487" s="161"/>
      <c r="L487" s="161"/>
      <c r="M487" s="161"/>
      <c r="N487" s="161"/>
      <c r="O487" s="161"/>
      <c r="P487" s="161"/>
      <c r="Q487" s="161"/>
      <c r="R487" s="161"/>
      <c r="S487" s="161"/>
      <c r="T487" s="161"/>
      <c r="U487" s="161"/>
      <c r="V487" s="161"/>
      <c r="W487" s="161"/>
      <c r="X487" s="161"/>
      <c r="Y487" s="161"/>
      <c r="Z487" s="161"/>
    </row>
    <row r="488">
      <c r="A488" s="511"/>
      <c r="B488" s="18"/>
      <c r="C488" s="18"/>
      <c r="D488" s="161"/>
      <c r="E488" s="161"/>
      <c r="F488" s="511"/>
      <c r="G488" s="161"/>
      <c r="H488" s="161"/>
      <c r="I488" s="161"/>
      <c r="J488" s="161"/>
      <c r="K488" s="161"/>
      <c r="L488" s="161"/>
      <c r="M488" s="161"/>
      <c r="N488" s="161"/>
      <c r="O488" s="161"/>
      <c r="P488" s="161"/>
      <c r="Q488" s="161"/>
      <c r="R488" s="161"/>
      <c r="S488" s="161"/>
      <c r="T488" s="161"/>
      <c r="U488" s="161"/>
      <c r="V488" s="161"/>
      <c r="W488" s="161"/>
      <c r="X488" s="161"/>
      <c r="Y488" s="161"/>
      <c r="Z488" s="161"/>
    </row>
    <row r="489">
      <c r="A489" s="511"/>
      <c r="B489" s="18"/>
      <c r="C489" s="18"/>
      <c r="D489" s="161"/>
      <c r="E489" s="161"/>
      <c r="F489" s="511"/>
      <c r="G489" s="161"/>
      <c r="H489" s="161"/>
      <c r="I489" s="161"/>
      <c r="J489" s="161"/>
      <c r="K489" s="161"/>
      <c r="L489" s="161"/>
      <c r="M489" s="161"/>
      <c r="N489" s="161"/>
      <c r="O489" s="161"/>
      <c r="P489" s="161"/>
      <c r="Q489" s="161"/>
      <c r="R489" s="161"/>
      <c r="S489" s="161"/>
      <c r="T489" s="161"/>
      <c r="U489" s="161"/>
      <c r="V489" s="161"/>
      <c r="W489" s="161"/>
      <c r="X489" s="161"/>
      <c r="Y489" s="161"/>
      <c r="Z489" s="161"/>
    </row>
    <row r="490">
      <c r="A490" s="511"/>
      <c r="B490" s="18"/>
      <c r="C490" s="18"/>
      <c r="D490" s="161"/>
      <c r="E490" s="161"/>
      <c r="F490" s="511"/>
      <c r="G490" s="161"/>
      <c r="H490" s="161"/>
      <c r="I490" s="161"/>
      <c r="J490" s="161"/>
      <c r="K490" s="161"/>
      <c r="L490" s="161"/>
      <c r="M490" s="161"/>
      <c r="N490" s="161"/>
      <c r="O490" s="161"/>
      <c r="P490" s="161"/>
      <c r="Q490" s="161"/>
      <c r="R490" s="161"/>
      <c r="S490" s="161"/>
      <c r="T490" s="161"/>
      <c r="U490" s="161"/>
      <c r="V490" s="161"/>
      <c r="W490" s="161"/>
      <c r="X490" s="161"/>
      <c r="Y490" s="161"/>
      <c r="Z490" s="161"/>
    </row>
    <row r="491">
      <c r="A491" s="511"/>
      <c r="B491" s="18"/>
      <c r="C491" s="18"/>
      <c r="D491" s="161"/>
      <c r="E491" s="161"/>
      <c r="F491" s="511"/>
      <c r="G491" s="161"/>
      <c r="H491" s="161"/>
      <c r="I491" s="161"/>
      <c r="J491" s="161"/>
      <c r="K491" s="161"/>
      <c r="L491" s="161"/>
      <c r="M491" s="161"/>
      <c r="N491" s="161"/>
      <c r="O491" s="161"/>
      <c r="P491" s="161"/>
      <c r="Q491" s="161"/>
      <c r="R491" s="161"/>
      <c r="S491" s="161"/>
      <c r="T491" s="161"/>
      <c r="U491" s="161"/>
      <c r="V491" s="161"/>
      <c r="W491" s="161"/>
      <c r="X491" s="161"/>
      <c r="Y491" s="161"/>
      <c r="Z491" s="161"/>
    </row>
    <row r="492">
      <c r="A492" s="511"/>
      <c r="B492" s="18"/>
      <c r="C492" s="18"/>
      <c r="D492" s="161"/>
      <c r="E492" s="161"/>
      <c r="F492" s="511"/>
      <c r="G492" s="161"/>
      <c r="H492" s="161"/>
      <c r="I492" s="161"/>
      <c r="J492" s="161"/>
      <c r="K492" s="161"/>
      <c r="L492" s="161"/>
      <c r="M492" s="161"/>
      <c r="N492" s="161"/>
      <c r="O492" s="161"/>
      <c r="P492" s="161"/>
      <c r="Q492" s="161"/>
      <c r="R492" s="161"/>
      <c r="S492" s="161"/>
      <c r="T492" s="161"/>
      <c r="U492" s="161"/>
      <c r="V492" s="161"/>
      <c r="W492" s="161"/>
      <c r="X492" s="161"/>
      <c r="Y492" s="161"/>
      <c r="Z492" s="161"/>
    </row>
    <row r="493">
      <c r="A493" s="511"/>
      <c r="B493" s="18"/>
      <c r="C493" s="18"/>
      <c r="D493" s="161"/>
      <c r="E493" s="161"/>
      <c r="F493" s="511"/>
      <c r="G493" s="161"/>
      <c r="H493" s="161"/>
      <c r="I493" s="161"/>
      <c r="J493" s="161"/>
      <c r="K493" s="161"/>
      <c r="L493" s="161"/>
      <c r="M493" s="161"/>
      <c r="N493" s="161"/>
      <c r="O493" s="161"/>
      <c r="P493" s="161"/>
      <c r="Q493" s="161"/>
      <c r="R493" s="161"/>
      <c r="S493" s="161"/>
      <c r="T493" s="161"/>
      <c r="U493" s="161"/>
      <c r="V493" s="161"/>
      <c r="W493" s="161"/>
      <c r="X493" s="161"/>
      <c r="Y493" s="161"/>
      <c r="Z493" s="161"/>
    </row>
    <row r="494">
      <c r="A494" s="511"/>
      <c r="B494" s="18"/>
      <c r="C494" s="18"/>
      <c r="D494" s="161"/>
      <c r="E494" s="161"/>
      <c r="F494" s="511"/>
      <c r="G494" s="161"/>
      <c r="H494" s="161"/>
      <c r="I494" s="161"/>
      <c r="J494" s="161"/>
      <c r="K494" s="161"/>
      <c r="L494" s="161"/>
      <c r="M494" s="161"/>
      <c r="N494" s="161"/>
      <c r="O494" s="161"/>
      <c r="P494" s="161"/>
      <c r="Q494" s="161"/>
      <c r="R494" s="161"/>
      <c r="S494" s="161"/>
      <c r="T494" s="161"/>
      <c r="U494" s="161"/>
      <c r="V494" s="161"/>
      <c r="W494" s="161"/>
      <c r="X494" s="161"/>
      <c r="Y494" s="161"/>
      <c r="Z494" s="161"/>
    </row>
    <row r="495">
      <c r="A495" s="511"/>
      <c r="B495" s="18"/>
      <c r="C495" s="18"/>
      <c r="D495" s="161"/>
      <c r="E495" s="161"/>
      <c r="F495" s="511"/>
      <c r="G495" s="161"/>
      <c r="H495" s="161"/>
      <c r="I495" s="161"/>
      <c r="J495" s="161"/>
      <c r="K495" s="161"/>
      <c r="L495" s="161"/>
      <c r="M495" s="161"/>
      <c r="N495" s="161"/>
      <c r="O495" s="161"/>
      <c r="P495" s="161"/>
      <c r="Q495" s="161"/>
      <c r="R495" s="161"/>
      <c r="S495" s="161"/>
      <c r="T495" s="161"/>
      <c r="U495" s="161"/>
      <c r="V495" s="161"/>
      <c r="W495" s="161"/>
      <c r="X495" s="161"/>
      <c r="Y495" s="161"/>
      <c r="Z495" s="161"/>
    </row>
    <row r="496">
      <c r="A496" s="511"/>
      <c r="B496" s="18"/>
      <c r="C496" s="18"/>
      <c r="D496" s="161"/>
      <c r="E496" s="161"/>
      <c r="F496" s="511"/>
      <c r="G496" s="161"/>
      <c r="H496" s="161"/>
      <c r="I496" s="161"/>
      <c r="J496" s="161"/>
      <c r="K496" s="161"/>
      <c r="L496" s="161"/>
      <c r="M496" s="161"/>
      <c r="N496" s="161"/>
      <c r="O496" s="161"/>
      <c r="P496" s="161"/>
      <c r="Q496" s="161"/>
      <c r="R496" s="161"/>
      <c r="S496" s="161"/>
      <c r="T496" s="161"/>
      <c r="U496" s="161"/>
      <c r="V496" s="161"/>
      <c r="W496" s="161"/>
      <c r="X496" s="161"/>
      <c r="Y496" s="161"/>
      <c r="Z496" s="161"/>
    </row>
    <row r="497">
      <c r="A497" s="511"/>
      <c r="B497" s="18"/>
      <c r="C497" s="18"/>
      <c r="D497" s="161"/>
      <c r="E497" s="161"/>
      <c r="F497" s="511"/>
      <c r="G497" s="161"/>
      <c r="H497" s="161"/>
      <c r="I497" s="161"/>
      <c r="J497" s="161"/>
      <c r="K497" s="161"/>
      <c r="L497" s="161"/>
      <c r="M497" s="161"/>
      <c r="N497" s="161"/>
      <c r="O497" s="161"/>
      <c r="P497" s="161"/>
      <c r="Q497" s="161"/>
      <c r="R497" s="161"/>
      <c r="S497" s="161"/>
      <c r="T497" s="161"/>
      <c r="U497" s="161"/>
      <c r="V497" s="161"/>
      <c r="W497" s="161"/>
      <c r="X497" s="161"/>
      <c r="Y497" s="161"/>
      <c r="Z497" s="161"/>
    </row>
    <row r="498">
      <c r="A498" s="511"/>
      <c r="B498" s="18"/>
      <c r="C498" s="18"/>
      <c r="D498" s="161"/>
      <c r="E498" s="161"/>
      <c r="F498" s="511"/>
      <c r="G498" s="161"/>
      <c r="H498" s="161"/>
      <c r="I498" s="161"/>
      <c r="J498" s="161"/>
      <c r="K498" s="161"/>
      <c r="L498" s="161"/>
      <c r="M498" s="161"/>
      <c r="N498" s="161"/>
      <c r="O498" s="161"/>
      <c r="P498" s="161"/>
      <c r="Q498" s="161"/>
      <c r="R498" s="161"/>
      <c r="S498" s="161"/>
      <c r="T498" s="161"/>
      <c r="U498" s="161"/>
      <c r="V498" s="161"/>
      <c r="W498" s="161"/>
      <c r="X498" s="161"/>
      <c r="Y498" s="161"/>
      <c r="Z498" s="161"/>
    </row>
    <row r="499">
      <c r="A499" s="511"/>
      <c r="B499" s="18"/>
      <c r="C499" s="18"/>
      <c r="D499" s="161"/>
      <c r="E499" s="161"/>
      <c r="F499" s="511"/>
      <c r="G499" s="161"/>
      <c r="H499" s="161"/>
      <c r="I499" s="161"/>
      <c r="J499" s="161"/>
      <c r="K499" s="161"/>
      <c r="L499" s="161"/>
      <c r="M499" s="161"/>
      <c r="N499" s="161"/>
      <c r="O499" s="161"/>
      <c r="P499" s="161"/>
      <c r="Q499" s="161"/>
      <c r="R499" s="161"/>
      <c r="S499" s="161"/>
      <c r="T499" s="161"/>
      <c r="U499" s="161"/>
      <c r="V499" s="161"/>
      <c r="W499" s="161"/>
      <c r="X499" s="161"/>
      <c r="Y499" s="161"/>
      <c r="Z499" s="161"/>
    </row>
    <row r="500">
      <c r="A500" s="511"/>
      <c r="B500" s="18"/>
      <c r="C500" s="18"/>
      <c r="D500" s="161"/>
      <c r="E500" s="161"/>
      <c r="F500" s="511"/>
      <c r="G500" s="161"/>
      <c r="H500" s="161"/>
      <c r="I500" s="161"/>
      <c r="J500" s="161"/>
      <c r="K500" s="161"/>
      <c r="L500" s="161"/>
      <c r="M500" s="161"/>
      <c r="N500" s="161"/>
      <c r="O500" s="161"/>
      <c r="P500" s="161"/>
      <c r="Q500" s="161"/>
      <c r="R500" s="161"/>
      <c r="S500" s="161"/>
      <c r="T500" s="161"/>
      <c r="U500" s="161"/>
      <c r="V500" s="161"/>
      <c r="W500" s="161"/>
      <c r="X500" s="161"/>
      <c r="Y500" s="161"/>
      <c r="Z500" s="161"/>
    </row>
    <row r="501">
      <c r="A501" s="511"/>
      <c r="B501" s="18"/>
      <c r="C501" s="18"/>
      <c r="D501" s="161"/>
      <c r="E501" s="161"/>
      <c r="F501" s="511"/>
      <c r="G501" s="161"/>
      <c r="H501" s="161"/>
      <c r="I501" s="161"/>
      <c r="J501" s="161"/>
      <c r="K501" s="161"/>
      <c r="L501" s="161"/>
      <c r="M501" s="161"/>
      <c r="N501" s="161"/>
      <c r="O501" s="161"/>
      <c r="P501" s="161"/>
      <c r="Q501" s="161"/>
      <c r="R501" s="161"/>
      <c r="S501" s="161"/>
      <c r="T501" s="161"/>
      <c r="U501" s="161"/>
      <c r="V501" s="161"/>
      <c r="W501" s="161"/>
      <c r="X501" s="161"/>
      <c r="Y501" s="161"/>
      <c r="Z501" s="161"/>
    </row>
    <row r="502">
      <c r="A502" s="511"/>
      <c r="B502" s="18"/>
      <c r="C502" s="18"/>
      <c r="D502" s="161"/>
      <c r="E502" s="161"/>
      <c r="F502" s="511"/>
      <c r="G502" s="161"/>
      <c r="H502" s="161"/>
      <c r="I502" s="161"/>
      <c r="J502" s="161"/>
      <c r="K502" s="161"/>
      <c r="L502" s="161"/>
      <c r="M502" s="161"/>
      <c r="N502" s="161"/>
      <c r="O502" s="161"/>
      <c r="P502" s="161"/>
      <c r="Q502" s="161"/>
      <c r="R502" s="161"/>
      <c r="S502" s="161"/>
      <c r="T502" s="161"/>
      <c r="U502" s="161"/>
      <c r="V502" s="161"/>
      <c r="W502" s="161"/>
      <c r="X502" s="161"/>
      <c r="Y502" s="161"/>
      <c r="Z502" s="161"/>
    </row>
    <row r="503">
      <c r="A503" s="511"/>
      <c r="B503" s="18"/>
      <c r="C503" s="18"/>
      <c r="D503" s="161"/>
      <c r="E503" s="161"/>
      <c r="F503" s="511"/>
      <c r="G503" s="161"/>
      <c r="H503" s="161"/>
      <c r="I503" s="161"/>
      <c r="J503" s="161"/>
      <c r="K503" s="161"/>
      <c r="L503" s="161"/>
      <c r="M503" s="161"/>
      <c r="N503" s="161"/>
      <c r="O503" s="161"/>
      <c r="P503" s="161"/>
      <c r="Q503" s="161"/>
      <c r="R503" s="161"/>
      <c r="S503" s="161"/>
      <c r="T503" s="161"/>
      <c r="U503" s="161"/>
      <c r="V503" s="161"/>
      <c r="W503" s="161"/>
      <c r="X503" s="161"/>
      <c r="Y503" s="161"/>
      <c r="Z503" s="161"/>
    </row>
    <row r="504">
      <c r="A504" s="511"/>
      <c r="B504" s="18"/>
      <c r="C504" s="18"/>
      <c r="D504" s="161"/>
      <c r="E504" s="161"/>
      <c r="F504" s="511"/>
      <c r="G504" s="161"/>
      <c r="H504" s="161"/>
      <c r="I504" s="161"/>
      <c r="J504" s="161"/>
      <c r="K504" s="161"/>
      <c r="L504" s="161"/>
      <c r="M504" s="161"/>
      <c r="N504" s="161"/>
      <c r="O504" s="161"/>
      <c r="P504" s="161"/>
      <c r="Q504" s="161"/>
      <c r="R504" s="161"/>
      <c r="S504" s="161"/>
      <c r="T504" s="161"/>
      <c r="U504" s="161"/>
      <c r="V504" s="161"/>
      <c r="W504" s="161"/>
      <c r="X504" s="161"/>
      <c r="Y504" s="161"/>
      <c r="Z504" s="161"/>
    </row>
    <row r="505">
      <c r="A505" s="511"/>
      <c r="B505" s="18"/>
      <c r="C505" s="18"/>
      <c r="D505" s="161"/>
      <c r="E505" s="161"/>
      <c r="F505" s="511"/>
      <c r="G505" s="161"/>
      <c r="H505" s="161"/>
      <c r="I505" s="161"/>
      <c r="J505" s="161"/>
      <c r="K505" s="161"/>
      <c r="L505" s="161"/>
      <c r="M505" s="161"/>
      <c r="N505" s="161"/>
      <c r="O505" s="161"/>
      <c r="P505" s="161"/>
      <c r="Q505" s="161"/>
      <c r="R505" s="161"/>
      <c r="S505" s="161"/>
      <c r="T505" s="161"/>
      <c r="U505" s="161"/>
      <c r="V505" s="161"/>
      <c r="W505" s="161"/>
      <c r="X505" s="161"/>
      <c r="Y505" s="161"/>
      <c r="Z505" s="161"/>
    </row>
    <row r="506">
      <c r="A506" s="511"/>
      <c r="B506" s="18"/>
      <c r="C506" s="18"/>
      <c r="D506" s="161"/>
      <c r="E506" s="161"/>
      <c r="F506" s="511"/>
      <c r="G506" s="161"/>
      <c r="H506" s="161"/>
      <c r="I506" s="161"/>
      <c r="J506" s="161"/>
      <c r="K506" s="161"/>
      <c r="L506" s="161"/>
      <c r="M506" s="161"/>
      <c r="N506" s="161"/>
      <c r="O506" s="161"/>
      <c r="P506" s="161"/>
      <c r="Q506" s="161"/>
      <c r="R506" s="161"/>
      <c r="S506" s="161"/>
      <c r="T506" s="161"/>
      <c r="U506" s="161"/>
      <c r="V506" s="161"/>
      <c r="W506" s="161"/>
      <c r="X506" s="161"/>
      <c r="Y506" s="161"/>
      <c r="Z506" s="161"/>
    </row>
    <row r="507">
      <c r="A507" s="511"/>
      <c r="B507" s="18"/>
      <c r="C507" s="18"/>
      <c r="D507" s="161"/>
      <c r="E507" s="161"/>
      <c r="F507" s="511"/>
      <c r="G507" s="161"/>
      <c r="H507" s="161"/>
      <c r="I507" s="161"/>
      <c r="J507" s="161"/>
      <c r="K507" s="161"/>
      <c r="L507" s="161"/>
      <c r="M507" s="161"/>
      <c r="N507" s="161"/>
      <c r="O507" s="161"/>
      <c r="P507" s="161"/>
      <c r="Q507" s="161"/>
      <c r="R507" s="161"/>
      <c r="S507" s="161"/>
      <c r="T507" s="161"/>
      <c r="U507" s="161"/>
      <c r="V507" s="161"/>
      <c r="W507" s="161"/>
      <c r="X507" s="161"/>
      <c r="Y507" s="161"/>
      <c r="Z507" s="161"/>
    </row>
    <row r="508">
      <c r="A508" s="511"/>
      <c r="B508" s="18"/>
      <c r="C508" s="18"/>
      <c r="D508" s="161"/>
      <c r="E508" s="161"/>
      <c r="F508" s="511"/>
      <c r="G508" s="161"/>
      <c r="H508" s="161"/>
      <c r="I508" s="161"/>
      <c r="J508" s="161"/>
      <c r="K508" s="161"/>
      <c r="L508" s="161"/>
      <c r="M508" s="161"/>
      <c r="N508" s="161"/>
      <c r="O508" s="161"/>
      <c r="P508" s="161"/>
      <c r="Q508" s="161"/>
      <c r="R508" s="161"/>
      <c r="S508" s="161"/>
      <c r="T508" s="161"/>
      <c r="U508" s="161"/>
      <c r="V508" s="161"/>
      <c r="W508" s="161"/>
      <c r="X508" s="161"/>
      <c r="Y508" s="161"/>
      <c r="Z508" s="161"/>
    </row>
    <row r="509">
      <c r="A509" s="511"/>
      <c r="B509" s="18"/>
      <c r="C509" s="18"/>
      <c r="D509" s="161"/>
      <c r="E509" s="161"/>
      <c r="F509" s="511"/>
      <c r="G509" s="161"/>
      <c r="H509" s="161"/>
      <c r="I509" s="161"/>
      <c r="J509" s="161"/>
      <c r="K509" s="161"/>
      <c r="L509" s="161"/>
      <c r="M509" s="161"/>
      <c r="N509" s="161"/>
      <c r="O509" s="161"/>
      <c r="P509" s="161"/>
      <c r="Q509" s="161"/>
      <c r="R509" s="161"/>
      <c r="S509" s="161"/>
      <c r="T509" s="161"/>
      <c r="U509" s="161"/>
      <c r="V509" s="161"/>
      <c r="W509" s="161"/>
      <c r="X509" s="161"/>
      <c r="Y509" s="161"/>
      <c r="Z509" s="161"/>
    </row>
    <row r="510">
      <c r="A510" s="511"/>
      <c r="B510" s="18"/>
      <c r="C510" s="18"/>
      <c r="D510" s="161"/>
      <c r="E510" s="161"/>
      <c r="F510" s="511"/>
      <c r="G510" s="161"/>
      <c r="H510" s="161"/>
      <c r="I510" s="161"/>
      <c r="J510" s="161"/>
      <c r="K510" s="161"/>
      <c r="L510" s="161"/>
      <c r="M510" s="161"/>
      <c r="N510" s="161"/>
      <c r="O510" s="161"/>
      <c r="P510" s="161"/>
      <c r="Q510" s="161"/>
      <c r="R510" s="161"/>
      <c r="S510" s="161"/>
      <c r="T510" s="161"/>
      <c r="U510" s="161"/>
      <c r="V510" s="161"/>
      <c r="W510" s="161"/>
      <c r="X510" s="161"/>
      <c r="Y510" s="161"/>
      <c r="Z510" s="161"/>
    </row>
    <row r="511">
      <c r="A511" s="511"/>
      <c r="B511" s="18"/>
      <c r="C511" s="18"/>
      <c r="D511" s="161"/>
      <c r="E511" s="161"/>
      <c r="F511" s="511"/>
      <c r="G511" s="161"/>
      <c r="H511" s="161"/>
      <c r="I511" s="161"/>
      <c r="J511" s="161"/>
      <c r="K511" s="161"/>
      <c r="L511" s="161"/>
      <c r="M511" s="161"/>
      <c r="N511" s="161"/>
      <c r="O511" s="161"/>
      <c r="P511" s="161"/>
      <c r="Q511" s="161"/>
      <c r="R511" s="161"/>
      <c r="S511" s="161"/>
      <c r="T511" s="161"/>
      <c r="U511" s="161"/>
      <c r="V511" s="161"/>
      <c r="W511" s="161"/>
      <c r="X511" s="161"/>
      <c r="Y511" s="161"/>
      <c r="Z511" s="161"/>
    </row>
    <row r="512">
      <c r="A512" s="511"/>
      <c r="B512" s="18"/>
      <c r="C512" s="18"/>
      <c r="D512" s="161"/>
      <c r="E512" s="161"/>
      <c r="F512" s="511"/>
      <c r="G512" s="161"/>
      <c r="H512" s="161"/>
      <c r="I512" s="161"/>
      <c r="J512" s="161"/>
      <c r="K512" s="161"/>
      <c r="L512" s="161"/>
      <c r="M512" s="161"/>
      <c r="N512" s="161"/>
      <c r="O512" s="161"/>
      <c r="P512" s="161"/>
      <c r="Q512" s="161"/>
      <c r="R512" s="161"/>
      <c r="S512" s="161"/>
      <c r="T512" s="161"/>
      <c r="U512" s="161"/>
      <c r="V512" s="161"/>
      <c r="W512" s="161"/>
      <c r="X512" s="161"/>
      <c r="Y512" s="161"/>
      <c r="Z512" s="161"/>
    </row>
    <row r="513">
      <c r="A513" s="511"/>
      <c r="B513" s="18"/>
      <c r="C513" s="18"/>
      <c r="D513" s="161"/>
      <c r="E513" s="161"/>
      <c r="F513" s="511"/>
      <c r="G513" s="161"/>
      <c r="H513" s="161"/>
      <c r="I513" s="161"/>
      <c r="J513" s="161"/>
      <c r="K513" s="161"/>
      <c r="L513" s="161"/>
      <c r="M513" s="161"/>
      <c r="N513" s="161"/>
      <c r="O513" s="161"/>
      <c r="P513" s="161"/>
      <c r="Q513" s="161"/>
      <c r="R513" s="161"/>
      <c r="S513" s="161"/>
      <c r="T513" s="161"/>
      <c r="U513" s="161"/>
      <c r="V513" s="161"/>
      <c r="W513" s="161"/>
      <c r="X513" s="161"/>
      <c r="Y513" s="161"/>
      <c r="Z513" s="161"/>
    </row>
    <row r="514">
      <c r="A514" s="511"/>
      <c r="B514" s="18"/>
      <c r="C514" s="18"/>
      <c r="D514" s="161"/>
      <c r="E514" s="161"/>
      <c r="F514" s="511"/>
      <c r="G514" s="161"/>
      <c r="H514" s="161"/>
      <c r="I514" s="161"/>
      <c r="J514" s="161"/>
      <c r="K514" s="161"/>
      <c r="L514" s="161"/>
      <c r="M514" s="161"/>
      <c r="N514" s="161"/>
      <c r="O514" s="161"/>
      <c r="P514" s="161"/>
      <c r="Q514" s="161"/>
      <c r="R514" s="161"/>
      <c r="S514" s="161"/>
      <c r="T514" s="161"/>
      <c r="U514" s="161"/>
      <c r="V514" s="161"/>
      <c r="W514" s="161"/>
      <c r="X514" s="161"/>
      <c r="Y514" s="161"/>
      <c r="Z514" s="161"/>
    </row>
    <row r="515">
      <c r="A515" s="511"/>
      <c r="B515" s="18"/>
      <c r="C515" s="18"/>
      <c r="D515" s="161"/>
      <c r="E515" s="161"/>
      <c r="F515" s="511"/>
      <c r="G515" s="161"/>
      <c r="H515" s="161"/>
      <c r="I515" s="161"/>
      <c r="J515" s="161"/>
      <c r="K515" s="161"/>
      <c r="L515" s="161"/>
      <c r="M515" s="161"/>
      <c r="N515" s="161"/>
      <c r="O515" s="161"/>
      <c r="P515" s="161"/>
      <c r="Q515" s="161"/>
      <c r="R515" s="161"/>
      <c r="S515" s="161"/>
      <c r="T515" s="161"/>
      <c r="U515" s="161"/>
      <c r="V515" s="161"/>
      <c r="W515" s="161"/>
      <c r="X515" s="161"/>
      <c r="Y515" s="161"/>
      <c r="Z515" s="161"/>
    </row>
    <row r="516">
      <c r="A516" s="511"/>
      <c r="B516" s="18"/>
      <c r="C516" s="18"/>
      <c r="D516" s="161"/>
      <c r="E516" s="161"/>
      <c r="F516" s="511"/>
      <c r="G516" s="161"/>
      <c r="H516" s="161"/>
      <c r="I516" s="161"/>
      <c r="J516" s="161"/>
      <c r="K516" s="161"/>
      <c r="L516" s="161"/>
      <c r="M516" s="161"/>
      <c r="N516" s="161"/>
      <c r="O516" s="161"/>
      <c r="P516" s="161"/>
      <c r="Q516" s="161"/>
      <c r="R516" s="161"/>
      <c r="S516" s="161"/>
      <c r="T516" s="161"/>
      <c r="U516" s="161"/>
      <c r="V516" s="161"/>
      <c r="W516" s="161"/>
      <c r="X516" s="161"/>
      <c r="Y516" s="161"/>
      <c r="Z516" s="161"/>
    </row>
    <row r="517">
      <c r="A517" s="511"/>
      <c r="B517" s="18"/>
      <c r="C517" s="18"/>
      <c r="D517" s="161"/>
      <c r="E517" s="161"/>
      <c r="F517" s="511"/>
      <c r="G517" s="161"/>
      <c r="H517" s="161"/>
      <c r="I517" s="161"/>
      <c r="J517" s="161"/>
      <c r="K517" s="161"/>
      <c r="L517" s="161"/>
      <c r="M517" s="161"/>
      <c r="N517" s="161"/>
      <c r="O517" s="161"/>
      <c r="P517" s="161"/>
      <c r="Q517" s="161"/>
      <c r="R517" s="161"/>
      <c r="S517" s="161"/>
      <c r="T517" s="161"/>
      <c r="U517" s="161"/>
      <c r="V517" s="161"/>
      <c r="W517" s="161"/>
      <c r="X517" s="161"/>
      <c r="Y517" s="161"/>
      <c r="Z517" s="161"/>
    </row>
    <row r="518">
      <c r="A518" s="511"/>
      <c r="B518" s="18"/>
      <c r="C518" s="18"/>
      <c r="D518" s="161"/>
      <c r="E518" s="161"/>
      <c r="F518" s="511"/>
      <c r="G518" s="161"/>
      <c r="H518" s="161"/>
      <c r="I518" s="161"/>
      <c r="J518" s="161"/>
      <c r="K518" s="161"/>
      <c r="L518" s="161"/>
      <c r="M518" s="161"/>
      <c r="N518" s="161"/>
      <c r="O518" s="161"/>
      <c r="P518" s="161"/>
      <c r="Q518" s="161"/>
      <c r="R518" s="161"/>
      <c r="S518" s="161"/>
      <c r="T518" s="161"/>
      <c r="U518" s="161"/>
      <c r="V518" s="161"/>
      <c r="W518" s="161"/>
      <c r="X518" s="161"/>
      <c r="Y518" s="161"/>
      <c r="Z518" s="161"/>
    </row>
    <row r="519">
      <c r="A519" s="511"/>
      <c r="B519" s="18"/>
      <c r="C519" s="18"/>
      <c r="D519" s="161"/>
      <c r="E519" s="161"/>
      <c r="F519" s="511"/>
      <c r="G519" s="161"/>
      <c r="H519" s="161"/>
      <c r="I519" s="161"/>
      <c r="J519" s="161"/>
      <c r="K519" s="161"/>
      <c r="L519" s="161"/>
      <c r="M519" s="161"/>
      <c r="N519" s="161"/>
      <c r="O519" s="161"/>
      <c r="P519" s="161"/>
      <c r="Q519" s="161"/>
      <c r="R519" s="161"/>
      <c r="S519" s="161"/>
      <c r="T519" s="161"/>
      <c r="U519" s="161"/>
      <c r="V519" s="161"/>
      <c r="W519" s="161"/>
      <c r="X519" s="161"/>
      <c r="Y519" s="161"/>
      <c r="Z519" s="161"/>
    </row>
    <row r="520">
      <c r="A520" s="511"/>
      <c r="B520" s="18"/>
      <c r="C520" s="18"/>
      <c r="D520" s="161"/>
      <c r="E520" s="161"/>
      <c r="F520" s="511"/>
      <c r="G520" s="161"/>
      <c r="H520" s="161"/>
      <c r="I520" s="161"/>
      <c r="J520" s="161"/>
      <c r="K520" s="161"/>
      <c r="L520" s="161"/>
      <c r="M520" s="161"/>
      <c r="N520" s="161"/>
      <c r="O520" s="161"/>
      <c r="P520" s="161"/>
      <c r="Q520" s="161"/>
      <c r="R520" s="161"/>
      <c r="S520" s="161"/>
      <c r="T520" s="161"/>
      <c r="U520" s="161"/>
      <c r="V520" s="161"/>
      <c r="W520" s="161"/>
      <c r="X520" s="161"/>
      <c r="Y520" s="161"/>
      <c r="Z520" s="161"/>
    </row>
    <row r="521">
      <c r="A521" s="511"/>
      <c r="B521" s="18"/>
      <c r="C521" s="18"/>
      <c r="D521" s="161"/>
      <c r="E521" s="161"/>
      <c r="F521" s="511"/>
      <c r="G521" s="161"/>
      <c r="H521" s="161"/>
      <c r="I521" s="161"/>
      <c r="J521" s="161"/>
      <c r="K521" s="161"/>
      <c r="L521" s="161"/>
      <c r="M521" s="161"/>
      <c r="N521" s="161"/>
      <c r="O521" s="161"/>
      <c r="P521" s="161"/>
      <c r="Q521" s="161"/>
      <c r="R521" s="161"/>
      <c r="S521" s="161"/>
      <c r="T521" s="161"/>
      <c r="U521" s="161"/>
      <c r="V521" s="161"/>
      <c r="W521" s="161"/>
      <c r="X521" s="161"/>
      <c r="Y521" s="161"/>
      <c r="Z521" s="161"/>
    </row>
    <row r="522">
      <c r="A522" s="511"/>
      <c r="B522" s="18"/>
      <c r="C522" s="18"/>
      <c r="D522" s="161"/>
      <c r="E522" s="161"/>
      <c r="F522" s="511"/>
      <c r="G522" s="161"/>
      <c r="H522" s="161"/>
      <c r="I522" s="161"/>
      <c r="J522" s="161"/>
      <c r="K522" s="161"/>
      <c r="L522" s="161"/>
      <c r="M522" s="161"/>
      <c r="N522" s="161"/>
      <c r="O522" s="161"/>
      <c r="P522" s="161"/>
      <c r="Q522" s="161"/>
      <c r="R522" s="161"/>
      <c r="S522" s="161"/>
      <c r="T522" s="161"/>
      <c r="U522" s="161"/>
      <c r="V522" s="161"/>
      <c r="W522" s="161"/>
      <c r="X522" s="161"/>
      <c r="Y522" s="161"/>
      <c r="Z522" s="161"/>
    </row>
    <row r="523">
      <c r="A523" s="511"/>
      <c r="B523" s="18"/>
      <c r="C523" s="18"/>
      <c r="D523" s="161"/>
      <c r="E523" s="161"/>
      <c r="F523" s="511"/>
      <c r="G523" s="161"/>
      <c r="H523" s="161"/>
      <c r="I523" s="161"/>
      <c r="J523" s="161"/>
      <c r="K523" s="161"/>
      <c r="L523" s="161"/>
      <c r="M523" s="161"/>
      <c r="N523" s="161"/>
      <c r="O523" s="161"/>
      <c r="P523" s="161"/>
      <c r="Q523" s="161"/>
      <c r="R523" s="161"/>
      <c r="S523" s="161"/>
      <c r="T523" s="161"/>
      <c r="U523" s="161"/>
      <c r="V523" s="161"/>
      <c r="W523" s="161"/>
      <c r="X523" s="161"/>
      <c r="Y523" s="161"/>
      <c r="Z523" s="161"/>
    </row>
    <row r="524">
      <c r="A524" s="511"/>
      <c r="B524" s="18"/>
      <c r="C524" s="18"/>
      <c r="D524" s="161"/>
      <c r="E524" s="161"/>
      <c r="F524" s="511"/>
      <c r="G524" s="161"/>
      <c r="H524" s="161"/>
      <c r="I524" s="161"/>
      <c r="J524" s="161"/>
      <c r="K524" s="161"/>
      <c r="L524" s="161"/>
      <c r="M524" s="161"/>
      <c r="N524" s="161"/>
      <c r="O524" s="161"/>
      <c r="P524" s="161"/>
      <c r="Q524" s="161"/>
      <c r="R524" s="161"/>
      <c r="S524" s="161"/>
      <c r="T524" s="161"/>
      <c r="U524" s="161"/>
      <c r="V524" s="161"/>
      <c r="W524" s="161"/>
      <c r="X524" s="161"/>
      <c r="Y524" s="161"/>
      <c r="Z524" s="161"/>
    </row>
    <row r="525">
      <c r="A525" s="511"/>
      <c r="B525" s="18"/>
      <c r="C525" s="18"/>
      <c r="D525" s="161"/>
      <c r="E525" s="161"/>
      <c r="F525" s="511"/>
      <c r="G525" s="161"/>
      <c r="H525" s="161"/>
      <c r="I525" s="161"/>
      <c r="J525" s="161"/>
      <c r="K525" s="161"/>
      <c r="L525" s="161"/>
      <c r="M525" s="161"/>
      <c r="N525" s="161"/>
      <c r="O525" s="161"/>
      <c r="P525" s="161"/>
      <c r="Q525" s="161"/>
      <c r="R525" s="161"/>
      <c r="S525" s="161"/>
      <c r="T525" s="161"/>
      <c r="U525" s="161"/>
      <c r="V525" s="161"/>
      <c r="W525" s="161"/>
      <c r="X525" s="161"/>
      <c r="Y525" s="161"/>
      <c r="Z525" s="161"/>
    </row>
    <row r="526">
      <c r="A526" s="511"/>
      <c r="B526" s="18"/>
      <c r="C526" s="18"/>
      <c r="D526" s="161"/>
      <c r="E526" s="161"/>
      <c r="F526" s="511"/>
      <c r="G526" s="161"/>
      <c r="H526" s="161"/>
      <c r="I526" s="161"/>
      <c r="J526" s="161"/>
      <c r="K526" s="161"/>
      <c r="L526" s="161"/>
      <c r="M526" s="161"/>
      <c r="N526" s="161"/>
      <c r="O526" s="161"/>
      <c r="P526" s="161"/>
      <c r="Q526" s="161"/>
      <c r="R526" s="161"/>
      <c r="S526" s="161"/>
      <c r="T526" s="161"/>
      <c r="U526" s="161"/>
      <c r="V526" s="161"/>
      <c r="W526" s="161"/>
      <c r="X526" s="161"/>
      <c r="Y526" s="161"/>
      <c r="Z526" s="161"/>
    </row>
    <row r="527">
      <c r="A527" s="511"/>
      <c r="B527" s="18"/>
      <c r="C527" s="18"/>
      <c r="D527" s="161"/>
      <c r="E527" s="161"/>
      <c r="F527" s="511"/>
      <c r="G527" s="161"/>
      <c r="H527" s="161"/>
      <c r="I527" s="161"/>
      <c r="J527" s="161"/>
      <c r="K527" s="161"/>
      <c r="L527" s="161"/>
      <c r="M527" s="161"/>
      <c r="N527" s="161"/>
      <c r="O527" s="161"/>
      <c r="P527" s="161"/>
      <c r="Q527" s="161"/>
      <c r="R527" s="161"/>
      <c r="S527" s="161"/>
      <c r="T527" s="161"/>
      <c r="U527" s="161"/>
      <c r="V527" s="161"/>
      <c r="W527" s="161"/>
      <c r="X527" s="161"/>
      <c r="Y527" s="161"/>
      <c r="Z527" s="161"/>
    </row>
    <row r="528">
      <c r="A528" s="511"/>
      <c r="B528" s="18"/>
      <c r="C528" s="18"/>
      <c r="D528" s="161"/>
      <c r="E528" s="161"/>
      <c r="F528" s="511"/>
      <c r="G528" s="161"/>
      <c r="H528" s="161"/>
      <c r="I528" s="161"/>
      <c r="J528" s="161"/>
      <c r="K528" s="161"/>
      <c r="L528" s="161"/>
      <c r="M528" s="161"/>
      <c r="N528" s="161"/>
      <c r="O528" s="161"/>
      <c r="P528" s="161"/>
      <c r="Q528" s="161"/>
      <c r="R528" s="161"/>
      <c r="S528" s="161"/>
      <c r="T528" s="161"/>
      <c r="U528" s="161"/>
      <c r="V528" s="161"/>
      <c r="W528" s="161"/>
      <c r="X528" s="161"/>
      <c r="Y528" s="161"/>
      <c r="Z528" s="161"/>
    </row>
    <row r="529">
      <c r="A529" s="511"/>
      <c r="B529" s="18"/>
      <c r="C529" s="18"/>
      <c r="D529" s="161"/>
      <c r="E529" s="161"/>
      <c r="F529" s="511"/>
      <c r="G529" s="161"/>
      <c r="H529" s="161"/>
      <c r="I529" s="161"/>
      <c r="J529" s="161"/>
      <c r="K529" s="161"/>
      <c r="L529" s="161"/>
      <c r="M529" s="161"/>
      <c r="N529" s="161"/>
      <c r="O529" s="161"/>
      <c r="P529" s="161"/>
      <c r="Q529" s="161"/>
      <c r="R529" s="161"/>
      <c r="S529" s="161"/>
      <c r="T529" s="161"/>
      <c r="U529" s="161"/>
      <c r="V529" s="161"/>
      <c r="W529" s="161"/>
      <c r="X529" s="161"/>
      <c r="Y529" s="161"/>
      <c r="Z529" s="161"/>
    </row>
    <row r="530">
      <c r="A530" s="511"/>
      <c r="B530" s="18"/>
      <c r="C530" s="18"/>
      <c r="D530" s="161"/>
      <c r="E530" s="161"/>
      <c r="F530" s="511"/>
      <c r="G530" s="161"/>
      <c r="H530" s="161"/>
      <c r="I530" s="161"/>
      <c r="J530" s="161"/>
      <c r="K530" s="161"/>
      <c r="L530" s="161"/>
      <c r="M530" s="161"/>
      <c r="N530" s="161"/>
      <c r="O530" s="161"/>
      <c r="P530" s="161"/>
      <c r="Q530" s="161"/>
      <c r="R530" s="161"/>
      <c r="S530" s="161"/>
      <c r="T530" s="161"/>
      <c r="U530" s="161"/>
      <c r="V530" s="161"/>
      <c r="W530" s="161"/>
      <c r="X530" s="161"/>
      <c r="Y530" s="161"/>
      <c r="Z530" s="161"/>
    </row>
    <row r="531">
      <c r="A531" s="511"/>
      <c r="B531" s="18"/>
      <c r="C531" s="18"/>
      <c r="D531" s="161"/>
      <c r="E531" s="161"/>
      <c r="F531" s="511"/>
      <c r="G531" s="161"/>
      <c r="H531" s="161"/>
      <c r="I531" s="161"/>
      <c r="J531" s="161"/>
      <c r="K531" s="161"/>
      <c r="L531" s="161"/>
      <c r="M531" s="161"/>
      <c r="N531" s="161"/>
      <c r="O531" s="161"/>
      <c r="P531" s="161"/>
      <c r="Q531" s="161"/>
      <c r="R531" s="161"/>
      <c r="S531" s="161"/>
      <c r="T531" s="161"/>
      <c r="U531" s="161"/>
      <c r="V531" s="161"/>
      <c r="W531" s="161"/>
      <c r="X531" s="161"/>
      <c r="Y531" s="161"/>
      <c r="Z531" s="161"/>
    </row>
    <row r="532">
      <c r="A532" s="511"/>
      <c r="B532" s="18"/>
      <c r="C532" s="18"/>
      <c r="D532" s="161"/>
      <c r="E532" s="161"/>
      <c r="F532" s="511"/>
      <c r="G532" s="161"/>
      <c r="H532" s="161"/>
      <c r="I532" s="161"/>
      <c r="J532" s="161"/>
      <c r="K532" s="161"/>
      <c r="L532" s="161"/>
      <c r="M532" s="161"/>
      <c r="N532" s="161"/>
      <c r="O532" s="161"/>
      <c r="P532" s="161"/>
      <c r="Q532" s="161"/>
      <c r="R532" s="161"/>
      <c r="S532" s="161"/>
      <c r="T532" s="161"/>
      <c r="U532" s="161"/>
      <c r="V532" s="161"/>
      <c r="W532" s="161"/>
      <c r="X532" s="161"/>
      <c r="Y532" s="161"/>
      <c r="Z532" s="161"/>
    </row>
    <row r="533">
      <c r="A533" s="511"/>
      <c r="B533" s="18"/>
      <c r="C533" s="18"/>
      <c r="D533" s="161"/>
      <c r="E533" s="161"/>
      <c r="F533" s="511"/>
      <c r="G533" s="161"/>
      <c r="H533" s="161"/>
      <c r="I533" s="161"/>
      <c r="J533" s="161"/>
      <c r="K533" s="161"/>
      <c r="L533" s="161"/>
      <c r="M533" s="161"/>
      <c r="N533" s="161"/>
      <c r="O533" s="161"/>
      <c r="P533" s="161"/>
      <c r="Q533" s="161"/>
      <c r="R533" s="161"/>
      <c r="S533" s="161"/>
      <c r="T533" s="161"/>
      <c r="U533" s="161"/>
      <c r="V533" s="161"/>
      <c r="W533" s="161"/>
      <c r="X533" s="161"/>
      <c r="Y533" s="161"/>
      <c r="Z533" s="161"/>
    </row>
    <row r="534">
      <c r="A534" s="511"/>
      <c r="B534" s="18"/>
      <c r="C534" s="18"/>
      <c r="D534" s="161"/>
      <c r="E534" s="161"/>
      <c r="F534" s="511"/>
      <c r="G534" s="161"/>
      <c r="H534" s="161"/>
      <c r="I534" s="161"/>
      <c r="J534" s="161"/>
      <c r="K534" s="161"/>
      <c r="L534" s="161"/>
      <c r="M534" s="161"/>
      <c r="N534" s="161"/>
      <c r="O534" s="161"/>
      <c r="P534" s="161"/>
      <c r="Q534" s="161"/>
      <c r="R534" s="161"/>
      <c r="S534" s="161"/>
      <c r="T534" s="161"/>
      <c r="U534" s="161"/>
      <c r="V534" s="161"/>
      <c r="W534" s="161"/>
      <c r="X534" s="161"/>
      <c r="Y534" s="161"/>
      <c r="Z534" s="161"/>
    </row>
    <row r="535">
      <c r="A535" s="511"/>
      <c r="B535" s="18"/>
      <c r="C535" s="18"/>
      <c r="D535" s="161"/>
      <c r="E535" s="161"/>
      <c r="F535" s="511"/>
      <c r="G535" s="161"/>
      <c r="H535" s="161"/>
      <c r="I535" s="161"/>
      <c r="J535" s="161"/>
      <c r="K535" s="161"/>
      <c r="L535" s="161"/>
      <c r="M535" s="161"/>
      <c r="N535" s="161"/>
      <c r="O535" s="161"/>
      <c r="P535" s="161"/>
      <c r="Q535" s="161"/>
      <c r="R535" s="161"/>
      <c r="S535" s="161"/>
      <c r="T535" s="161"/>
      <c r="U535" s="161"/>
      <c r="V535" s="161"/>
      <c r="W535" s="161"/>
      <c r="X535" s="161"/>
      <c r="Y535" s="161"/>
      <c r="Z535" s="161"/>
    </row>
    <row r="536">
      <c r="A536" s="511"/>
      <c r="B536" s="18"/>
      <c r="C536" s="18"/>
      <c r="D536" s="161"/>
      <c r="E536" s="161"/>
      <c r="F536" s="511"/>
      <c r="G536" s="161"/>
      <c r="H536" s="161"/>
      <c r="I536" s="161"/>
      <c r="J536" s="161"/>
      <c r="K536" s="161"/>
      <c r="L536" s="161"/>
      <c r="M536" s="161"/>
      <c r="N536" s="161"/>
      <c r="O536" s="161"/>
      <c r="P536" s="161"/>
      <c r="Q536" s="161"/>
      <c r="R536" s="161"/>
      <c r="S536" s="161"/>
      <c r="T536" s="161"/>
      <c r="U536" s="161"/>
      <c r="V536" s="161"/>
      <c r="W536" s="161"/>
      <c r="X536" s="161"/>
      <c r="Y536" s="161"/>
      <c r="Z536" s="161"/>
    </row>
    <row r="537">
      <c r="A537" s="511"/>
      <c r="B537" s="18"/>
      <c r="C537" s="18"/>
      <c r="D537" s="161"/>
      <c r="E537" s="161"/>
      <c r="F537" s="511"/>
      <c r="G537" s="161"/>
      <c r="H537" s="161"/>
      <c r="I537" s="161"/>
      <c r="J537" s="161"/>
      <c r="K537" s="161"/>
      <c r="L537" s="161"/>
      <c r="M537" s="161"/>
      <c r="N537" s="161"/>
      <c r="O537" s="161"/>
      <c r="P537" s="161"/>
      <c r="Q537" s="161"/>
      <c r="R537" s="161"/>
      <c r="S537" s="161"/>
      <c r="T537" s="161"/>
      <c r="U537" s="161"/>
      <c r="V537" s="161"/>
      <c r="W537" s="161"/>
      <c r="X537" s="161"/>
      <c r="Y537" s="161"/>
      <c r="Z537" s="161"/>
    </row>
    <row r="538">
      <c r="A538" s="511"/>
      <c r="B538" s="18"/>
      <c r="C538" s="18"/>
      <c r="D538" s="161"/>
      <c r="E538" s="161"/>
      <c r="F538" s="511"/>
      <c r="G538" s="161"/>
      <c r="H538" s="161"/>
      <c r="I538" s="161"/>
      <c r="J538" s="161"/>
      <c r="K538" s="161"/>
      <c r="L538" s="161"/>
      <c r="M538" s="161"/>
      <c r="N538" s="161"/>
      <c r="O538" s="161"/>
      <c r="P538" s="161"/>
      <c r="Q538" s="161"/>
      <c r="R538" s="161"/>
      <c r="S538" s="161"/>
      <c r="T538" s="161"/>
      <c r="U538" s="161"/>
      <c r="V538" s="161"/>
      <c r="W538" s="161"/>
      <c r="X538" s="161"/>
      <c r="Y538" s="161"/>
      <c r="Z538" s="161"/>
    </row>
    <row r="539">
      <c r="A539" s="511"/>
      <c r="B539" s="18"/>
      <c r="C539" s="18"/>
      <c r="D539" s="161"/>
      <c r="E539" s="161"/>
      <c r="F539" s="511"/>
      <c r="G539" s="161"/>
      <c r="H539" s="161"/>
      <c r="I539" s="161"/>
      <c r="J539" s="161"/>
      <c r="K539" s="161"/>
      <c r="L539" s="161"/>
      <c r="M539" s="161"/>
      <c r="N539" s="161"/>
      <c r="O539" s="161"/>
      <c r="P539" s="161"/>
      <c r="Q539" s="161"/>
      <c r="R539" s="161"/>
      <c r="S539" s="161"/>
      <c r="T539" s="161"/>
      <c r="U539" s="161"/>
      <c r="V539" s="161"/>
      <c r="W539" s="161"/>
      <c r="X539" s="161"/>
      <c r="Y539" s="161"/>
      <c r="Z539" s="161"/>
    </row>
    <row r="540">
      <c r="A540" s="511"/>
      <c r="B540" s="18"/>
      <c r="C540" s="18"/>
      <c r="D540" s="161"/>
      <c r="E540" s="161"/>
      <c r="F540" s="511"/>
      <c r="G540" s="161"/>
      <c r="H540" s="161"/>
      <c r="I540" s="161"/>
      <c r="J540" s="161"/>
      <c r="K540" s="161"/>
      <c r="L540" s="161"/>
      <c r="M540" s="161"/>
      <c r="N540" s="161"/>
      <c r="O540" s="161"/>
      <c r="P540" s="161"/>
      <c r="Q540" s="161"/>
      <c r="R540" s="161"/>
      <c r="S540" s="161"/>
      <c r="T540" s="161"/>
      <c r="U540" s="161"/>
      <c r="V540" s="161"/>
      <c r="W540" s="161"/>
      <c r="X540" s="161"/>
      <c r="Y540" s="161"/>
      <c r="Z540" s="161"/>
    </row>
    <row r="541">
      <c r="A541" s="511"/>
      <c r="B541" s="18"/>
      <c r="C541" s="18"/>
      <c r="D541" s="161"/>
      <c r="E541" s="161"/>
      <c r="F541" s="511"/>
      <c r="G541" s="161"/>
      <c r="H541" s="161"/>
      <c r="I541" s="161"/>
      <c r="J541" s="161"/>
      <c r="K541" s="161"/>
      <c r="L541" s="161"/>
      <c r="M541" s="161"/>
      <c r="N541" s="161"/>
      <c r="O541" s="161"/>
      <c r="P541" s="161"/>
      <c r="Q541" s="161"/>
      <c r="R541" s="161"/>
      <c r="S541" s="161"/>
      <c r="T541" s="161"/>
      <c r="U541" s="161"/>
      <c r="V541" s="161"/>
      <c r="W541" s="161"/>
      <c r="X541" s="161"/>
      <c r="Y541" s="161"/>
      <c r="Z541" s="161"/>
    </row>
    <row r="542">
      <c r="A542" s="511"/>
      <c r="B542" s="18"/>
      <c r="C542" s="18"/>
      <c r="D542" s="161"/>
      <c r="E542" s="161"/>
      <c r="F542" s="511"/>
      <c r="G542" s="161"/>
      <c r="H542" s="161"/>
      <c r="I542" s="161"/>
      <c r="J542" s="161"/>
      <c r="K542" s="161"/>
      <c r="L542" s="161"/>
      <c r="M542" s="161"/>
      <c r="N542" s="161"/>
      <c r="O542" s="161"/>
      <c r="P542" s="161"/>
      <c r="Q542" s="161"/>
      <c r="R542" s="161"/>
      <c r="S542" s="161"/>
      <c r="T542" s="161"/>
      <c r="U542" s="161"/>
      <c r="V542" s="161"/>
      <c r="W542" s="161"/>
      <c r="X542" s="161"/>
      <c r="Y542" s="161"/>
      <c r="Z542" s="161"/>
    </row>
    <row r="543">
      <c r="A543" s="511"/>
      <c r="B543" s="18"/>
      <c r="C543" s="18"/>
      <c r="D543" s="161"/>
      <c r="E543" s="161"/>
      <c r="F543" s="511"/>
      <c r="G543" s="161"/>
      <c r="H543" s="161"/>
      <c r="I543" s="161"/>
      <c r="J543" s="161"/>
      <c r="K543" s="161"/>
      <c r="L543" s="161"/>
      <c r="M543" s="161"/>
      <c r="N543" s="161"/>
      <c r="O543" s="161"/>
      <c r="P543" s="161"/>
      <c r="Q543" s="161"/>
      <c r="R543" s="161"/>
      <c r="S543" s="161"/>
      <c r="T543" s="161"/>
      <c r="U543" s="161"/>
      <c r="V543" s="161"/>
      <c r="W543" s="161"/>
      <c r="X543" s="161"/>
      <c r="Y543" s="161"/>
      <c r="Z543" s="161"/>
    </row>
    <row r="544">
      <c r="A544" s="511"/>
      <c r="B544" s="18"/>
      <c r="C544" s="18"/>
      <c r="D544" s="161"/>
      <c r="E544" s="161"/>
      <c r="F544" s="511"/>
      <c r="G544" s="161"/>
      <c r="H544" s="161"/>
      <c r="I544" s="161"/>
      <c r="J544" s="161"/>
      <c r="K544" s="161"/>
      <c r="L544" s="161"/>
      <c r="M544" s="161"/>
      <c r="N544" s="161"/>
      <c r="O544" s="161"/>
      <c r="P544" s="161"/>
      <c r="Q544" s="161"/>
      <c r="R544" s="161"/>
      <c r="S544" s="161"/>
      <c r="T544" s="161"/>
      <c r="U544" s="161"/>
      <c r="V544" s="161"/>
      <c r="W544" s="161"/>
      <c r="X544" s="161"/>
      <c r="Y544" s="161"/>
      <c r="Z544" s="161"/>
    </row>
    <row r="545">
      <c r="A545" s="511"/>
      <c r="B545" s="18"/>
      <c r="C545" s="18"/>
      <c r="D545" s="161"/>
      <c r="E545" s="161"/>
      <c r="F545" s="511"/>
      <c r="G545" s="161"/>
      <c r="H545" s="161"/>
      <c r="I545" s="161"/>
      <c r="J545" s="161"/>
      <c r="K545" s="161"/>
      <c r="L545" s="161"/>
      <c r="M545" s="161"/>
      <c r="N545" s="161"/>
      <c r="O545" s="161"/>
      <c r="P545" s="161"/>
      <c r="Q545" s="161"/>
      <c r="R545" s="161"/>
      <c r="S545" s="161"/>
      <c r="T545" s="161"/>
      <c r="U545" s="161"/>
      <c r="V545" s="161"/>
      <c r="W545" s="161"/>
      <c r="X545" s="161"/>
      <c r="Y545" s="161"/>
      <c r="Z545" s="161"/>
    </row>
    <row r="546">
      <c r="A546" s="511"/>
      <c r="B546" s="18"/>
      <c r="C546" s="18"/>
      <c r="D546" s="161"/>
      <c r="E546" s="161"/>
      <c r="F546" s="511"/>
      <c r="G546" s="161"/>
      <c r="H546" s="161"/>
      <c r="I546" s="161"/>
      <c r="J546" s="161"/>
      <c r="K546" s="161"/>
      <c r="L546" s="161"/>
      <c r="M546" s="161"/>
      <c r="N546" s="161"/>
      <c r="O546" s="161"/>
      <c r="P546" s="161"/>
      <c r="Q546" s="161"/>
      <c r="R546" s="161"/>
      <c r="S546" s="161"/>
      <c r="T546" s="161"/>
      <c r="U546" s="161"/>
      <c r="V546" s="161"/>
      <c r="W546" s="161"/>
      <c r="X546" s="161"/>
      <c r="Y546" s="161"/>
      <c r="Z546" s="161"/>
    </row>
    <row r="547">
      <c r="A547" s="511"/>
      <c r="B547" s="18"/>
      <c r="C547" s="18"/>
      <c r="D547" s="161"/>
      <c r="E547" s="161"/>
      <c r="F547" s="511"/>
      <c r="G547" s="161"/>
      <c r="H547" s="161"/>
      <c r="I547" s="161"/>
      <c r="J547" s="161"/>
      <c r="K547" s="161"/>
      <c r="L547" s="161"/>
      <c r="M547" s="161"/>
      <c r="N547" s="161"/>
      <c r="O547" s="161"/>
      <c r="P547" s="161"/>
      <c r="Q547" s="161"/>
      <c r="R547" s="161"/>
      <c r="S547" s="161"/>
      <c r="T547" s="161"/>
      <c r="U547" s="161"/>
      <c r="V547" s="161"/>
      <c r="W547" s="161"/>
      <c r="X547" s="161"/>
      <c r="Y547" s="161"/>
      <c r="Z547" s="161"/>
    </row>
    <row r="548">
      <c r="A548" s="511"/>
      <c r="B548" s="18"/>
      <c r="C548" s="18"/>
      <c r="D548" s="161"/>
      <c r="E548" s="161"/>
      <c r="F548" s="511"/>
      <c r="G548" s="161"/>
      <c r="H548" s="161"/>
      <c r="I548" s="161"/>
      <c r="J548" s="161"/>
      <c r="K548" s="161"/>
      <c r="L548" s="161"/>
      <c r="M548" s="161"/>
      <c r="N548" s="161"/>
      <c r="O548" s="161"/>
      <c r="P548" s="161"/>
      <c r="Q548" s="161"/>
      <c r="R548" s="161"/>
      <c r="S548" s="161"/>
      <c r="T548" s="161"/>
      <c r="U548" s="161"/>
      <c r="V548" s="161"/>
      <c r="W548" s="161"/>
      <c r="X548" s="161"/>
      <c r="Y548" s="161"/>
      <c r="Z548" s="161"/>
    </row>
    <row r="549">
      <c r="A549" s="511"/>
      <c r="B549" s="18"/>
      <c r="C549" s="18"/>
      <c r="D549" s="161"/>
      <c r="E549" s="161"/>
      <c r="F549" s="511"/>
      <c r="G549" s="161"/>
      <c r="H549" s="161"/>
      <c r="I549" s="161"/>
      <c r="J549" s="161"/>
      <c r="K549" s="161"/>
      <c r="L549" s="161"/>
      <c r="M549" s="161"/>
      <c r="N549" s="161"/>
      <c r="O549" s="161"/>
      <c r="P549" s="161"/>
      <c r="Q549" s="161"/>
      <c r="R549" s="161"/>
      <c r="S549" s="161"/>
      <c r="T549" s="161"/>
      <c r="U549" s="161"/>
      <c r="V549" s="161"/>
      <c r="W549" s="161"/>
      <c r="X549" s="161"/>
      <c r="Y549" s="161"/>
      <c r="Z549" s="161"/>
    </row>
    <row r="550">
      <c r="A550" s="511"/>
      <c r="B550" s="18"/>
      <c r="C550" s="18"/>
      <c r="D550" s="161"/>
      <c r="E550" s="161"/>
      <c r="F550" s="511"/>
      <c r="G550" s="161"/>
      <c r="H550" s="161"/>
      <c r="I550" s="161"/>
      <c r="J550" s="161"/>
      <c r="K550" s="161"/>
      <c r="L550" s="161"/>
      <c r="M550" s="161"/>
      <c r="N550" s="161"/>
      <c r="O550" s="161"/>
      <c r="P550" s="161"/>
      <c r="Q550" s="161"/>
      <c r="R550" s="161"/>
      <c r="S550" s="161"/>
      <c r="T550" s="161"/>
      <c r="U550" s="161"/>
      <c r="V550" s="161"/>
      <c r="W550" s="161"/>
      <c r="X550" s="161"/>
      <c r="Y550" s="161"/>
      <c r="Z550" s="161"/>
    </row>
    <row r="551">
      <c r="A551" s="511"/>
      <c r="B551" s="18"/>
      <c r="C551" s="18"/>
      <c r="D551" s="161"/>
      <c r="E551" s="161"/>
      <c r="F551" s="511"/>
      <c r="G551" s="161"/>
      <c r="H551" s="161"/>
      <c r="I551" s="161"/>
      <c r="J551" s="161"/>
      <c r="K551" s="161"/>
      <c r="L551" s="161"/>
      <c r="M551" s="161"/>
      <c r="N551" s="161"/>
      <c r="O551" s="161"/>
      <c r="P551" s="161"/>
      <c r="Q551" s="161"/>
      <c r="R551" s="161"/>
      <c r="S551" s="161"/>
      <c r="T551" s="161"/>
      <c r="U551" s="161"/>
      <c r="V551" s="161"/>
      <c r="W551" s="161"/>
      <c r="X551" s="161"/>
      <c r="Y551" s="161"/>
      <c r="Z551" s="161"/>
    </row>
    <row r="552">
      <c r="A552" s="511"/>
      <c r="B552" s="18"/>
      <c r="C552" s="18"/>
      <c r="D552" s="161"/>
      <c r="E552" s="161"/>
      <c r="F552" s="511"/>
      <c r="G552" s="161"/>
      <c r="H552" s="161"/>
      <c r="I552" s="161"/>
      <c r="J552" s="161"/>
      <c r="K552" s="161"/>
      <c r="L552" s="161"/>
      <c r="M552" s="161"/>
      <c r="N552" s="161"/>
      <c r="O552" s="161"/>
      <c r="P552" s="161"/>
      <c r="Q552" s="161"/>
      <c r="R552" s="161"/>
      <c r="S552" s="161"/>
      <c r="T552" s="161"/>
      <c r="U552" s="161"/>
      <c r="V552" s="161"/>
      <c r="W552" s="161"/>
      <c r="X552" s="161"/>
      <c r="Y552" s="161"/>
      <c r="Z552" s="161"/>
    </row>
    <row r="553">
      <c r="A553" s="511"/>
      <c r="B553" s="18"/>
      <c r="C553" s="18"/>
      <c r="D553" s="161"/>
      <c r="E553" s="161"/>
      <c r="F553" s="511"/>
      <c r="G553" s="161"/>
      <c r="H553" s="161"/>
      <c r="I553" s="161"/>
      <c r="J553" s="161"/>
      <c r="K553" s="161"/>
      <c r="L553" s="161"/>
      <c r="M553" s="161"/>
      <c r="N553" s="161"/>
      <c r="O553" s="161"/>
      <c r="P553" s="161"/>
      <c r="Q553" s="161"/>
      <c r="R553" s="161"/>
      <c r="S553" s="161"/>
      <c r="T553" s="161"/>
      <c r="U553" s="161"/>
      <c r="V553" s="161"/>
      <c r="W553" s="161"/>
      <c r="X553" s="161"/>
      <c r="Y553" s="161"/>
      <c r="Z553" s="161"/>
    </row>
    <row r="554">
      <c r="A554" s="511"/>
      <c r="B554" s="18"/>
      <c r="C554" s="18"/>
      <c r="D554" s="161"/>
      <c r="E554" s="161"/>
      <c r="F554" s="511"/>
      <c r="G554" s="161"/>
      <c r="H554" s="161"/>
      <c r="I554" s="161"/>
      <c r="J554" s="161"/>
      <c r="K554" s="161"/>
      <c r="L554" s="161"/>
      <c r="M554" s="161"/>
      <c r="N554" s="161"/>
      <c r="O554" s="161"/>
      <c r="P554" s="161"/>
      <c r="Q554" s="161"/>
      <c r="R554" s="161"/>
      <c r="S554" s="161"/>
      <c r="T554" s="161"/>
      <c r="U554" s="161"/>
      <c r="V554" s="161"/>
      <c r="W554" s="161"/>
      <c r="X554" s="161"/>
      <c r="Y554" s="161"/>
      <c r="Z554" s="161"/>
    </row>
    <row r="555">
      <c r="A555" s="511"/>
      <c r="B555" s="18"/>
      <c r="C555" s="18"/>
      <c r="D555" s="161"/>
      <c r="E555" s="161"/>
      <c r="F555" s="511"/>
      <c r="G555" s="161"/>
      <c r="H555" s="161"/>
      <c r="I555" s="161"/>
      <c r="J555" s="161"/>
      <c r="K555" s="161"/>
      <c r="L555" s="161"/>
      <c r="M555" s="161"/>
      <c r="N555" s="161"/>
      <c r="O555" s="161"/>
      <c r="P555" s="161"/>
      <c r="Q555" s="161"/>
      <c r="R555" s="161"/>
      <c r="S555" s="161"/>
      <c r="T555" s="161"/>
      <c r="U555" s="161"/>
      <c r="V555" s="161"/>
      <c r="W555" s="161"/>
      <c r="X555" s="161"/>
      <c r="Y555" s="161"/>
      <c r="Z555" s="161"/>
    </row>
    <row r="556">
      <c r="A556" s="511"/>
      <c r="B556" s="18"/>
      <c r="C556" s="18"/>
      <c r="D556" s="161"/>
      <c r="E556" s="161"/>
      <c r="F556" s="511"/>
      <c r="G556" s="161"/>
      <c r="H556" s="161"/>
      <c r="I556" s="161"/>
      <c r="J556" s="161"/>
      <c r="K556" s="161"/>
      <c r="L556" s="161"/>
      <c r="M556" s="161"/>
      <c r="N556" s="161"/>
      <c r="O556" s="161"/>
      <c r="P556" s="161"/>
      <c r="Q556" s="161"/>
      <c r="R556" s="161"/>
      <c r="S556" s="161"/>
      <c r="T556" s="161"/>
      <c r="U556" s="161"/>
      <c r="V556" s="161"/>
      <c r="W556" s="161"/>
      <c r="X556" s="161"/>
      <c r="Y556" s="161"/>
      <c r="Z556" s="161"/>
    </row>
    <row r="557">
      <c r="A557" s="511"/>
      <c r="B557" s="18"/>
      <c r="C557" s="18"/>
      <c r="D557" s="161"/>
      <c r="E557" s="161"/>
      <c r="F557" s="511"/>
      <c r="G557" s="161"/>
      <c r="H557" s="161"/>
      <c r="I557" s="161"/>
      <c r="J557" s="161"/>
      <c r="K557" s="161"/>
      <c r="L557" s="161"/>
      <c r="M557" s="161"/>
      <c r="N557" s="161"/>
      <c r="O557" s="161"/>
      <c r="P557" s="161"/>
      <c r="Q557" s="161"/>
      <c r="R557" s="161"/>
      <c r="S557" s="161"/>
      <c r="T557" s="161"/>
      <c r="U557" s="161"/>
      <c r="V557" s="161"/>
      <c r="W557" s="161"/>
      <c r="X557" s="161"/>
      <c r="Y557" s="161"/>
      <c r="Z557" s="161"/>
    </row>
    <row r="558">
      <c r="A558" s="511"/>
      <c r="B558" s="18"/>
      <c r="C558" s="18"/>
      <c r="D558" s="161"/>
      <c r="E558" s="161"/>
      <c r="F558" s="511"/>
      <c r="G558" s="161"/>
      <c r="H558" s="161"/>
      <c r="I558" s="161"/>
      <c r="J558" s="161"/>
      <c r="K558" s="161"/>
      <c r="L558" s="161"/>
      <c r="M558" s="161"/>
      <c r="N558" s="161"/>
      <c r="O558" s="161"/>
      <c r="P558" s="161"/>
      <c r="Q558" s="161"/>
      <c r="R558" s="161"/>
      <c r="S558" s="161"/>
      <c r="T558" s="161"/>
      <c r="U558" s="161"/>
      <c r="V558" s="161"/>
      <c r="W558" s="161"/>
      <c r="X558" s="161"/>
      <c r="Y558" s="161"/>
      <c r="Z558" s="161"/>
    </row>
    <row r="559">
      <c r="A559" s="511"/>
      <c r="B559" s="18"/>
      <c r="C559" s="18"/>
      <c r="D559" s="161"/>
      <c r="E559" s="161"/>
      <c r="F559" s="511"/>
      <c r="G559" s="161"/>
      <c r="H559" s="161"/>
      <c r="I559" s="161"/>
      <c r="J559" s="161"/>
      <c r="K559" s="161"/>
      <c r="L559" s="161"/>
      <c r="M559" s="161"/>
      <c r="N559" s="161"/>
      <c r="O559" s="161"/>
      <c r="P559" s="161"/>
      <c r="Q559" s="161"/>
      <c r="R559" s="161"/>
      <c r="S559" s="161"/>
      <c r="T559" s="161"/>
      <c r="U559" s="161"/>
      <c r="V559" s="161"/>
      <c r="W559" s="161"/>
      <c r="X559" s="161"/>
      <c r="Y559" s="161"/>
      <c r="Z559" s="161"/>
    </row>
    <row r="560">
      <c r="A560" s="511"/>
      <c r="B560" s="18"/>
      <c r="C560" s="18"/>
      <c r="D560" s="161"/>
      <c r="E560" s="161"/>
      <c r="F560" s="511"/>
      <c r="G560" s="161"/>
      <c r="H560" s="161"/>
      <c r="I560" s="161"/>
      <c r="J560" s="161"/>
      <c r="K560" s="161"/>
      <c r="L560" s="161"/>
      <c r="M560" s="161"/>
      <c r="N560" s="161"/>
      <c r="O560" s="161"/>
      <c r="P560" s="161"/>
      <c r="Q560" s="161"/>
      <c r="R560" s="161"/>
      <c r="S560" s="161"/>
      <c r="T560" s="161"/>
      <c r="U560" s="161"/>
      <c r="V560" s="161"/>
      <c r="W560" s="161"/>
      <c r="X560" s="161"/>
      <c r="Y560" s="161"/>
      <c r="Z560" s="161"/>
    </row>
    <row r="561">
      <c r="A561" s="511"/>
      <c r="B561" s="18"/>
      <c r="C561" s="18"/>
      <c r="D561" s="161"/>
      <c r="E561" s="161"/>
      <c r="F561" s="511"/>
      <c r="G561" s="161"/>
      <c r="H561" s="161"/>
      <c r="I561" s="161"/>
      <c r="J561" s="161"/>
      <c r="K561" s="161"/>
      <c r="L561" s="161"/>
      <c r="M561" s="161"/>
      <c r="N561" s="161"/>
      <c r="O561" s="161"/>
      <c r="P561" s="161"/>
      <c r="Q561" s="161"/>
      <c r="R561" s="161"/>
      <c r="S561" s="161"/>
      <c r="T561" s="161"/>
      <c r="U561" s="161"/>
      <c r="V561" s="161"/>
      <c r="W561" s="161"/>
      <c r="X561" s="161"/>
      <c r="Y561" s="161"/>
      <c r="Z561" s="161"/>
    </row>
    <row r="562">
      <c r="A562" s="511"/>
      <c r="B562" s="18"/>
      <c r="C562" s="18"/>
      <c r="D562" s="161"/>
      <c r="E562" s="161"/>
      <c r="F562" s="511"/>
      <c r="G562" s="161"/>
      <c r="H562" s="161"/>
      <c r="I562" s="161"/>
      <c r="J562" s="161"/>
      <c r="K562" s="161"/>
      <c r="L562" s="161"/>
      <c r="M562" s="161"/>
      <c r="N562" s="161"/>
      <c r="O562" s="161"/>
      <c r="P562" s="161"/>
      <c r="Q562" s="161"/>
      <c r="R562" s="161"/>
      <c r="S562" s="161"/>
      <c r="T562" s="161"/>
      <c r="U562" s="161"/>
      <c r="V562" s="161"/>
      <c r="W562" s="161"/>
      <c r="X562" s="161"/>
      <c r="Y562" s="161"/>
      <c r="Z562" s="161"/>
    </row>
    <row r="563">
      <c r="A563" s="511"/>
      <c r="B563" s="18"/>
      <c r="C563" s="18"/>
      <c r="D563" s="161"/>
      <c r="E563" s="161"/>
      <c r="F563" s="511"/>
      <c r="G563" s="161"/>
      <c r="H563" s="161"/>
      <c r="I563" s="161"/>
      <c r="J563" s="161"/>
      <c r="K563" s="161"/>
      <c r="L563" s="161"/>
      <c r="M563" s="161"/>
      <c r="N563" s="161"/>
      <c r="O563" s="161"/>
      <c r="P563" s="161"/>
      <c r="Q563" s="161"/>
      <c r="R563" s="161"/>
      <c r="S563" s="161"/>
      <c r="T563" s="161"/>
      <c r="U563" s="161"/>
      <c r="V563" s="161"/>
      <c r="W563" s="161"/>
      <c r="X563" s="161"/>
      <c r="Y563" s="161"/>
      <c r="Z563" s="161"/>
    </row>
    <row r="564">
      <c r="A564" s="511"/>
      <c r="B564" s="18"/>
      <c r="C564" s="18"/>
      <c r="D564" s="161"/>
      <c r="E564" s="161"/>
      <c r="F564" s="511"/>
      <c r="G564" s="161"/>
      <c r="H564" s="161"/>
      <c r="I564" s="161"/>
      <c r="J564" s="161"/>
      <c r="K564" s="161"/>
      <c r="L564" s="161"/>
      <c r="M564" s="161"/>
      <c r="N564" s="161"/>
      <c r="O564" s="161"/>
      <c r="P564" s="161"/>
      <c r="Q564" s="161"/>
      <c r="R564" s="161"/>
      <c r="S564" s="161"/>
      <c r="T564" s="161"/>
      <c r="U564" s="161"/>
      <c r="V564" s="161"/>
      <c r="W564" s="161"/>
      <c r="X564" s="161"/>
      <c r="Y564" s="161"/>
      <c r="Z564" s="161"/>
    </row>
    <row r="565">
      <c r="A565" s="511"/>
      <c r="B565" s="18"/>
      <c r="C565" s="18"/>
      <c r="D565" s="161"/>
      <c r="E565" s="161"/>
      <c r="F565" s="511"/>
      <c r="G565" s="161"/>
      <c r="H565" s="161"/>
      <c r="I565" s="161"/>
      <c r="J565" s="161"/>
      <c r="K565" s="161"/>
      <c r="L565" s="161"/>
      <c r="M565" s="161"/>
      <c r="N565" s="161"/>
      <c r="O565" s="161"/>
      <c r="P565" s="161"/>
      <c r="Q565" s="161"/>
      <c r="R565" s="161"/>
      <c r="S565" s="161"/>
      <c r="T565" s="161"/>
      <c r="U565" s="161"/>
      <c r="V565" s="161"/>
      <c r="W565" s="161"/>
      <c r="X565" s="161"/>
      <c r="Y565" s="161"/>
      <c r="Z565" s="161"/>
    </row>
    <row r="566">
      <c r="A566" s="511"/>
      <c r="B566" s="18"/>
      <c r="C566" s="18"/>
      <c r="D566" s="161"/>
      <c r="E566" s="161"/>
      <c r="F566" s="511"/>
      <c r="G566" s="161"/>
      <c r="H566" s="161"/>
      <c r="I566" s="161"/>
      <c r="J566" s="161"/>
      <c r="K566" s="161"/>
      <c r="L566" s="161"/>
      <c r="M566" s="161"/>
      <c r="N566" s="161"/>
      <c r="O566" s="161"/>
      <c r="P566" s="161"/>
      <c r="Q566" s="161"/>
      <c r="R566" s="161"/>
      <c r="S566" s="161"/>
      <c r="T566" s="161"/>
      <c r="U566" s="161"/>
      <c r="V566" s="161"/>
      <c r="W566" s="161"/>
      <c r="X566" s="161"/>
      <c r="Y566" s="161"/>
      <c r="Z566" s="161"/>
    </row>
    <row r="567">
      <c r="A567" s="511"/>
      <c r="B567" s="18"/>
      <c r="C567" s="18"/>
      <c r="D567" s="161"/>
      <c r="E567" s="161"/>
      <c r="F567" s="511"/>
      <c r="G567" s="161"/>
      <c r="H567" s="161"/>
      <c r="I567" s="161"/>
      <c r="J567" s="161"/>
      <c r="K567" s="161"/>
      <c r="L567" s="161"/>
      <c r="M567" s="161"/>
      <c r="N567" s="161"/>
      <c r="O567" s="161"/>
      <c r="P567" s="161"/>
      <c r="Q567" s="161"/>
      <c r="R567" s="161"/>
      <c r="S567" s="161"/>
      <c r="T567" s="161"/>
      <c r="U567" s="161"/>
      <c r="V567" s="161"/>
      <c r="W567" s="161"/>
      <c r="X567" s="161"/>
      <c r="Y567" s="161"/>
      <c r="Z567" s="161"/>
    </row>
    <row r="568">
      <c r="A568" s="511"/>
      <c r="B568" s="18"/>
      <c r="C568" s="18"/>
      <c r="D568" s="161"/>
      <c r="E568" s="161"/>
      <c r="F568" s="511"/>
      <c r="G568" s="161"/>
      <c r="H568" s="161"/>
      <c r="I568" s="161"/>
      <c r="J568" s="161"/>
      <c r="K568" s="161"/>
      <c r="L568" s="161"/>
      <c r="M568" s="161"/>
      <c r="N568" s="161"/>
      <c r="O568" s="161"/>
      <c r="P568" s="161"/>
      <c r="Q568" s="161"/>
      <c r="R568" s="161"/>
      <c r="S568" s="161"/>
      <c r="T568" s="161"/>
      <c r="U568" s="161"/>
      <c r="V568" s="161"/>
      <c r="W568" s="161"/>
      <c r="X568" s="161"/>
      <c r="Y568" s="161"/>
      <c r="Z568" s="161"/>
    </row>
    <row r="569">
      <c r="A569" s="511"/>
      <c r="B569" s="18"/>
      <c r="C569" s="18"/>
      <c r="D569" s="161"/>
      <c r="E569" s="161"/>
      <c r="F569" s="511"/>
      <c r="G569" s="161"/>
      <c r="H569" s="161"/>
      <c r="I569" s="161"/>
      <c r="J569" s="161"/>
      <c r="K569" s="161"/>
      <c r="L569" s="161"/>
      <c r="M569" s="161"/>
      <c r="N569" s="161"/>
      <c r="O569" s="161"/>
      <c r="P569" s="161"/>
      <c r="Q569" s="161"/>
      <c r="R569" s="161"/>
      <c r="S569" s="161"/>
      <c r="T569" s="161"/>
      <c r="U569" s="161"/>
      <c r="V569" s="161"/>
      <c r="W569" s="161"/>
      <c r="X569" s="161"/>
      <c r="Y569" s="161"/>
      <c r="Z569" s="161"/>
    </row>
    <row r="570">
      <c r="A570" s="511"/>
      <c r="B570" s="18"/>
      <c r="C570" s="18"/>
      <c r="D570" s="161"/>
      <c r="E570" s="161"/>
      <c r="F570" s="511"/>
      <c r="G570" s="161"/>
      <c r="H570" s="161"/>
      <c r="I570" s="161"/>
      <c r="J570" s="161"/>
      <c r="K570" s="161"/>
      <c r="L570" s="161"/>
      <c r="M570" s="161"/>
      <c r="N570" s="161"/>
      <c r="O570" s="161"/>
      <c r="P570" s="161"/>
      <c r="Q570" s="161"/>
      <c r="R570" s="161"/>
      <c r="S570" s="161"/>
      <c r="T570" s="161"/>
      <c r="U570" s="161"/>
      <c r="V570" s="161"/>
      <c r="W570" s="161"/>
      <c r="X570" s="161"/>
      <c r="Y570" s="161"/>
      <c r="Z570" s="161"/>
    </row>
    <row r="571">
      <c r="A571" s="511"/>
      <c r="B571" s="18"/>
      <c r="C571" s="18"/>
      <c r="D571" s="161"/>
      <c r="E571" s="161"/>
      <c r="F571" s="511"/>
      <c r="G571" s="161"/>
      <c r="H571" s="161"/>
      <c r="I571" s="161"/>
      <c r="J571" s="161"/>
      <c r="K571" s="161"/>
      <c r="L571" s="161"/>
      <c r="M571" s="161"/>
      <c r="N571" s="161"/>
      <c r="O571" s="161"/>
      <c r="P571" s="161"/>
      <c r="Q571" s="161"/>
      <c r="R571" s="161"/>
      <c r="S571" s="161"/>
      <c r="T571" s="161"/>
      <c r="U571" s="161"/>
      <c r="V571" s="161"/>
      <c r="W571" s="161"/>
      <c r="X571" s="161"/>
      <c r="Y571" s="161"/>
      <c r="Z571" s="161"/>
    </row>
    <row r="572">
      <c r="A572" s="511"/>
      <c r="B572" s="18"/>
      <c r="C572" s="18"/>
      <c r="D572" s="161"/>
      <c r="E572" s="161"/>
      <c r="F572" s="511"/>
      <c r="G572" s="161"/>
      <c r="H572" s="161"/>
      <c r="I572" s="161"/>
      <c r="J572" s="161"/>
      <c r="K572" s="161"/>
      <c r="L572" s="161"/>
      <c r="M572" s="161"/>
      <c r="N572" s="161"/>
      <c r="O572" s="161"/>
      <c r="P572" s="161"/>
      <c r="Q572" s="161"/>
      <c r="R572" s="161"/>
      <c r="S572" s="161"/>
      <c r="T572" s="161"/>
      <c r="U572" s="161"/>
      <c r="V572" s="161"/>
      <c r="W572" s="161"/>
      <c r="X572" s="161"/>
      <c r="Y572" s="161"/>
      <c r="Z572" s="161"/>
    </row>
    <row r="573">
      <c r="A573" s="511"/>
      <c r="B573" s="18"/>
      <c r="C573" s="18"/>
      <c r="D573" s="161"/>
      <c r="E573" s="161"/>
      <c r="F573" s="511"/>
      <c r="G573" s="161"/>
      <c r="H573" s="161"/>
      <c r="I573" s="161"/>
      <c r="J573" s="161"/>
      <c r="K573" s="161"/>
      <c r="L573" s="161"/>
      <c r="M573" s="161"/>
      <c r="N573" s="161"/>
      <c r="O573" s="161"/>
      <c r="P573" s="161"/>
      <c r="Q573" s="161"/>
      <c r="R573" s="161"/>
      <c r="S573" s="161"/>
      <c r="T573" s="161"/>
      <c r="U573" s="161"/>
      <c r="V573" s="161"/>
      <c r="W573" s="161"/>
      <c r="X573" s="161"/>
      <c r="Y573" s="161"/>
      <c r="Z573" s="161"/>
    </row>
    <row r="574">
      <c r="A574" s="511"/>
      <c r="B574" s="18"/>
      <c r="C574" s="18"/>
      <c r="D574" s="161"/>
      <c r="E574" s="161"/>
      <c r="F574" s="511"/>
      <c r="G574" s="161"/>
      <c r="H574" s="161"/>
      <c r="I574" s="161"/>
      <c r="J574" s="161"/>
      <c r="K574" s="161"/>
      <c r="L574" s="161"/>
      <c r="M574" s="161"/>
      <c r="N574" s="161"/>
      <c r="O574" s="161"/>
      <c r="P574" s="161"/>
      <c r="Q574" s="161"/>
      <c r="R574" s="161"/>
      <c r="S574" s="161"/>
      <c r="T574" s="161"/>
      <c r="U574" s="161"/>
      <c r="V574" s="161"/>
      <c r="W574" s="161"/>
      <c r="X574" s="161"/>
      <c r="Y574" s="161"/>
      <c r="Z574" s="161"/>
    </row>
    <row r="575">
      <c r="A575" s="511"/>
      <c r="B575" s="18"/>
      <c r="C575" s="18"/>
      <c r="D575" s="161"/>
      <c r="E575" s="161"/>
      <c r="F575" s="511"/>
      <c r="G575" s="161"/>
      <c r="H575" s="161"/>
      <c r="I575" s="161"/>
      <c r="J575" s="161"/>
      <c r="K575" s="161"/>
      <c r="L575" s="161"/>
      <c r="M575" s="161"/>
      <c r="N575" s="161"/>
      <c r="O575" s="161"/>
      <c r="P575" s="161"/>
      <c r="Q575" s="161"/>
      <c r="R575" s="161"/>
      <c r="S575" s="161"/>
      <c r="T575" s="161"/>
      <c r="U575" s="161"/>
      <c r="V575" s="161"/>
      <c r="W575" s="161"/>
      <c r="X575" s="161"/>
      <c r="Y575" s="161"/>
      <c r="Z575" s="161"/>
    </row>
    <row r="576">
      <c r="A576" s="511"/>
      <c r="B576" s="18"/>
      <c r="C576" s="18"/>
      <c r="D576" s="161"/>
      <c r="E576" s="161"/>
      <c r="F576" s="511"/>
      <c r="G576" s="161"/>
      <c r="H576" s="161"/>
      <c r="I576" s="161"/>
      <c r="J576" s="161"/>
      <c r="K576" s="161"/>
      <c r="L576" s="161"/>
      <c r="M576" s="161"/>
      <c r="N576" s="161"/>
      <c r="O576" s="161"/>
      <c r="P576" s="161"/>
      <c r="Q576" s="161"/>
      <c r="R576" s="161"/>
      <c r="S576" s="161"/>
      <c r="T576" s="161"/>
      <c r="U576" s="161"/>
      <c r="V576" s="161"/>
      <c r="W576" s="161"/>
      <c r="X576" s="161"/>
      <c r="Y576" s="161"/>
      <c r="Z576" s="161"/>
    </row>
    <row r="577">
      <c r="A577" s="511"/>
      <c r="B577" s="18"/>
      <c r="C577" s="18"/>
      <c r="D577" s="161"/>
      <c r="E577" s="161"/>
      <c r="F577" s="511"/>
      <c r="G577" s="161"/>
      <c r="H577" s="161"/>
      <c r="I577" s="161"/>
      <c r="J577" s="161"/>
      <c r="K577" s="161"/>
      <c r="L577" s="161"/>
      <c r="M577" s="161"/>
      <c r="N577" s="161"/>
      <c r="O577" s="161"/>
      <c r="P577" s="161"/>
      <c r="Q577" s="161"/>
      <c r="R577" s="161"/>
      <c r="S577" s="161"/>
      <c r="T577" s="161"/>
      <c r="U577" s="161"/>
      <c r="V577" s="161"/>
      <c r="W577" s="161"/>
      <c r="X577" s="161"/>
      <c r="Y577" s="161"/>
      <c r="Z577" s="161"/>
    </row>
    <row r="578">
      <c r="A578" s="511"/>
      <c r="B578" s="18"/>
      <c r="C578" s="18"/>
      <c r="D578" s="161"/>
      <c r="E578" s="161"/>
      <c r="F578" s="511"/>
      <c r="G578" s="161"/>
      <c r="H578" s="161"/>
      <c r="I578" s="161"/>
      <c r="J578" s="161"/>
      <c r="K578" s="161"/>
      <c r="L578" s="161"/>
      <c r="M578" s="161"/>
      <c r="N578" s="161"/>
      <c r="O578" s="161"/>
      <c r="P578" s="161"/>
      <c r="Q578" s="161"/>
      <c r="R578" s="161"/>
      <c r="S578" s="161"/>
      <c r="T578" s="161"/>
      <c r="U578" s="161"/>
      <c r="V578" s="161"/>
      <c r="W578" s="161"/>
      <c r="X578" s="161"/>
      <c r="Y578" s="161"/>
      <c r="Z578" s="161"/>
    </row>
    <row r="579">
      <c r="A579" s="511"/>
      <c r="B579" s="18"/>
      <c r="C579" s="18"/>
      <c r="D579" s="161"/>
      <c r="E579" s="161"/>
      <c r="F579" s="511"/>
      <c r="G579" s="161"/>
      <c r="H579" s="161"/>
      <c r="I579" s="161"/>
      <c r="J579" s="161"/>
      <c r="K579" s="161"/>
      <c r="L579" s="161"/>
      <c r="M579" s="161"/>
      <c r="N579" s="161"/>
      <c r="O579" s="161"/>
      <c r="P579" s="161"/>
      <c r="Q579" s="161"/>
      <c r="R579" s="161"/>
      <c r="S579" s="161"/>
      <c r="T579" s="161"/>
      <c r="U579" s="161"/>
      <c r="V579" s="161"/>
      <c r="W579" s="161"/>
      <c r="X579" s="161"/>
      <c r="Y579" s="161"/>
      <c r="Z579" s="161"/>
    </row>
    <row r="580">
      <c r="A580" s="511"/>
      <c r="B580" s="18"/>
      <c r="C580" s="18"/>
      <c r="D580" s="161"/>
      <c r="E580" s="161"/>
      <c r="F580" s="511"/>
      <c r="G580" s="161"/>
      <c r="H580" s="161"/>
      <c r="I580" s="161"/>
      <c r="J580" s="161"/>
      <c r="K580" s="161"/>
      <c r="L580" s="161"/>
      <c r="M580" s="161"/>
      <c r="N580" s="161"/>
      <c r="O580" s="161"/>
      <c r="P580" s="161"/>
      <c r="Q580" s="161"/>
      <c r="R580" s="161"/>
      <c r="S580" s="161"/>
      <c r="T580" s="161"/>
      <c r="U580" s="161"/>
      <c r="V580" s="161"/>
      <c r="W580" s="161"/>
      <c r="X580" s="161"/>
      <c r="Y580" s="161"/>
      <c r="Z580" s="161"/>
    </row>
    <row r="581">
      <c r="A581" s="511"/>
      <c r="B581" s="18"/>
      <c r="C581" s="18"/>
      <c r="D581" s="161"/>
      <c r="E581" s="161"/>
      <c r="F581" s="511"/>
      <c r="G581" s="161"/>
      <c r="H581" s="161"/>
      <c r="I581" s="161"/>
      <c r="J581" s="161"/>
      <c r="K581" s="161"/>
      <c r="L581" s="161"/>
      <c r="M581" s="161"/>
      <c r="N581" s="161"/>
      <c r="O581" s="161"/>
      <c r="P581" s="161"/>
      <c r="Q581" s="161"/>
      <c r="R581" s="161"/>
      <c r="S581" s="161"/>
      <c r="T581" s="161"/>
      <c r="U581" s="161"/>
      <c r="V581" s="161"/>
      <c r="W581" s="161"/>
      <c r="X581" s="161"/>
      <c r="Y581" s="161"/>
      <c r="Z581" s="161"/>
    </row>
    <row r="582">
      <c r="A582" s="511"/>
      <c r="B582" s="18"/>
      <c r="C582" s="18"/>
      <c r="D582" s="161"/>
      <c r="E582" s="161"/>
      <c r="F582" s="511"/>
      <c r="G582" s="161"/>
      <c r="H582" s="161"/>
      <c r="I582" s="161"/>
      <c r="J582" s="161"/>
      <c r="K582" s="161"/>
      <c r="L582" s="161"/>
      <c r="M582" s="161"/>
      <c r="N582" s="161"/>
      <c r="O582" s="161"/>
      <c r="P582" s="161"/>
      <c r="Q582" s="161"/>
      <c r="R582" s="161"/>
      <c r="S582" s="161"/>
      <c r="T582" s="161"/>
      <c r="U582" s="161"/>
      <c r="V582" s="161"/>
      <c r="W582" s="161"/>
      <c r="X582" s="161"/>
      <c r="Y582" s="161"/>
      <c r="Z582" s="161"/>
    </row>
    <row r="583">
      <c r="A583" s="511"/>
      <c r="B583" s="18"/>
      <c r="C583" s="18"/>
      <c r="D583" s="161"/>
      <c r="E583" s="161"/>
      <c r="F583" s="511"/>
      <c r="G583" s="161"/>
      <c r="H583" s="161"/>
      <c r="I583" s="161"/>
      <c r="J583" s="161"/>
      <c r="K583" s="161"/>
      <c r="L583" s="161"/>
      <c r="M583" s="161"/>
      <c r="N583" s="161"/>
      <c r="O583" s="161"/>
      <c r="P583" s="161"/>
      <c r="Q583" s="161"/>
      <c r="R583" s="161"/>
      <c r="S583" s="161"/>
      <c r="T583" s="161"/>
      <c r="U583" s="161"/>
      <c r="V583" s="161"/>
      <c r="W583" s="161"/>
      <c r="X583" s="161"/>
      <c r="Y583" s="161"/>
      <c r="Z583" s="161"/>
    </row>
    <row r="584">
      <c r="A584" s="511"/>
      <c r="B584" s="18"/>
      <c r="C584" s="18"/>
      <c r="D584" s="161"/>
      <c r="E584" s="161"/>
      <c r="F584" s="511"/>
      <c r="G584" s="161"/>
      <c r="H584" s="161"/>
      <c r="I584" s="161"/>
      <c r="J584" s="161"/>
      <c r="K584" s="161"/>
      <c r="L584" s="161"/>
      <c r="M584" s="161"/>
      <c r="N584" s="161"/>
      <c r="O584" s="161"/>
      <c r="P584" s="161"/>
      <c r="Q584" s="161"/>
      <c r="R584" s="161"/>
      <c r="S584" s="161"/>
      <c r="T584" s="161"/>
      <c r="U584" s="161"/>
      <c r="V584" s="161"/>
      <c r="W584" s="161"/>
      <c r="X584" s="161"/>
      <c r="Y584" s="161"/>
      <c r="Z584" s="161"/>
    </row>
    <row r="585">
      <c r="A585" s="511"/>
      <c r="B585" s="18"/>
      <c r="C585" s="18"/>
      <c r="D585" s="161"/>
      <c r="E585" s="161"/>
      <c r="F585" s="511"/>
      <c r="G585" s="161"/>
      <c r="H585" s="161"/>
      <c r="I585" s="161"/>
      <c r="J585" s="161"/>
      <c r="K585" s="161"/>
      <c r="L585" s="161"/>
      <c r="M585" s="161"/>
      <c r="N585" s="161"/>
      <c r="O585" s="161"/>
      <c r="P585" s="161"/>
      <c r="Q585" s="161"/>
      <c r="R585" s="161"/>
      <c r="S585" s="161"/>
      <c r="T585" s="161"/>
      <c r="U585" s="161"/>
      <c r="V585" s="161"/>
      <c r="W585" s="161"/>
      <c r="X585" s="161"/>
      <c r="Y585" s="161"/>
      <c r="Z585" s="161"/>
    </row>
    <row r="586">
      <c r="A586" s="511"/>
      <c r="B586" s="18"/>
      <c r="C586" s="18"/>
      <c r="D586" s="161"/>
      <c r="E586" s="161"/>
      <c r="F586" s="511"/>
      <c r="G586" s="161"/>
      <c r="H586" s="161"/>
      <c r="I586" s="161"/>
      <c r="J586" s="161"/>
      <c r="K586" s="161"/>
      <c r="L586" s="161"/>
      <c r="M586" s="161"/>
      <c r="N586" s="161"/>
      <c r="O586" s="161"/>
      <c r="P586" s="161"/>
      <c r="Q586" s="161"/>
      <c r="R586" s="161"/>
      <c r="S586" s="161"/>
      <c r="T586" s="161"/>
      <c r="U586" s="161"/>
      <c r="V586" s="161"/>
      <c r="W586" s="161"/>
      <c r="X586" s="161"/>
      <c r="Y586" s="161"/>
      <c r="Z586" s="161"/>
    </row>
    <row r="587">
      <c r="A587" s="511"/>
      <c r="B587" s="18"/>
      <c r="C587" s="18"/>
      <c r="D587" s="161"/>
      <c r="E587" s="161"/>
      <c r="F587" s="511"/>
      <c r="G587" s="161"/>
      <c r="H587" s="161"/>
      <c r="I587" s="161"/>
      <c r="J587" s="161"/>
      <c r="K587" s="161"/>
      <c r="L587" s="161"/>
      <c r="M587" s="161"/>
      <c r="N587" s="161"/>
      <c r="O587" s="161"/>
      <c r="P587" s="161"/>
      <c r="Q587" s="161"/>
      <c r="R587" s="161"/>
      <c r="S587" s="161"/>
      <c r="T587" s="161"/>
      <c r="U587" s="161"/>
      <c r="V587" s="161"/>
      <c r="W587" s="161"/>
      <c r="X587" s="161"/>
      <c r="Y587" s="161"/>
      <c r="Z587" s="161"/>
    </row>
    <row r="588">
      <c r="A588" s="511"/>
      <c r="B588" s="18"/>
      <c r="C588" s="18"/>
      <c r="D588" s="161"/>
      <c r="E588" s="161"/>
      <c r="F588" s="511"/>
      <c r="G588" s="161"/>
      <c r="H588" s="161"/>
      <c r="I588" s="161"/>
      <c r="J588" s="161"/>
      <c r="K588" s="161"/>
      <c r="L588" s="161"/>
      <c r="M588" s="161"/>
      <c r="N588" s="161"/>
      <c r="O588" s="161"/>
      <c r="P588" s="161"/>
      <c r="Q588" s="161"/>
      <c r="R588" s="161"/>
      <c r="S588" s="161"/>
      <c r="T588" s="161"/>
      <c r="U588" s="161"/>
      <c r="V588" s="161"/>
      <c r="W588" s="161"/>
      <c r="X588" s="161"/>
      <c r="Y588" s="161"/>
      <c r="Z588" s="161"/>
    </row>
    <row r="589">
      <c r="A589" s="511"/>
      <c r="B589" s="18"/>
      <c r="C589" s="18"/>
      <c r="D589" s="161"/>
      <c r="E589" s="161"/>
      <c r="F589" s="511"/>
      <c r="G589" s="161"/>
      <c r="H589" s="161"/>
      <c r="I589" s="161"/>
      <c r="J589" s="161"/>
      <c r="K589" s="161"/>
      <c r="L589" s="161"/>
      <c r="M589" s="161"/>
      <c r="N589" s="161"/>
      <c r="O589" s="161"/>
      <c r="P589" s="161"/>
      <c r="Q589" s="161"/>
      <c r="R589" s="161"/>
      <c r="S589" s="161"/>
      <c r="T589" s="161"/>
      <c r="U589" s="161"/>
      <c r="V589" s="161"/>
      <c r="W589" s="161"/>
      <c r="X589" s="161"/>
      <c r="Y589" s="161"/>
      <c r="Z589" s="161"/>
    </row>
    <row r="590">
      <c r="A590" s="511"/>
      <c r="B590" s="18"/>
      <c r="C590" s="18"/>
      <c r="D590" s="161"/>
      <c r="E590" s="161"/>
      <c r="F590" s="511"/>
      <c r="G590" s="161"/>
      <c r="H590" s="161"/>
      <c r="I590" s="161"/>
      <c r="J590" s="161"/>
      <c r="K590" s="161"/>
      <c r="L590" s="161"/>
      <c r="M590" s="161"/>
      <c r="N590" s="161"/>
      <c r="O590" s="161"/>
      <c r="P590" s="161"/>
      <c r="Q590" s="161"/>
      <c r="R590" s="161"/>
      <c r="S590" s="161"/>
      <c r="T590" s="161"/>
      <c r="U590" s="161"/>
      <c r="V590" s="161"/>
      <c r="W590" s="161"/>
      <c r="X590" s="161"/>
      <c r="Y590" s="161"/>
      <c r="Z590" s="161"/>
    </row>
    <row r="591">
      <c r="A591" s="511"/>
      <c r="B591" s="18"/>
      <c r="C591" s="18"/>
      <c r="D591" s="161"/>
      <c r="E591" s="161"/>
      <c r="F591" s="511"/>
      <c r="G591" s="161"/>
      <c r="H591" s="161"/>
      <c r="I591" s="161"/>
      <c r="J591" s="161"/>
      <c r="K591" s="161"/>
      <c r="L591" s="161"/>
      <c r="M591" s="161"/>
      <c r="N591" s="161"/>
      <c r="O591" s="161"/>
      <c r="P591" s="161"/>
      <c r="Q591" s="161"/>
      <c r="R591" s="161"/>
      <c r="S591" s="161"/>
      <c r="T591" s="161"/>
      <c r="U591" s="161"/>
      <c r="V591" s="161"/>
      <c r="W591" s="161"/>
      <c r="X591" s="161"/>
      <c r="Y591" s="161"/>
      <c r="Z591" s="161"/>
    </row>
    <row r="592">
      <c r="A592" s="511"/>
      <c r="B592" s="18"/>
      <c r="C592" s="18"/>
      <c r="D592" s="161"/>
      <c r="E592" s="161"/>
      <c r="F592" s="511"/>
      <c r="G592" s="161"/>
      <c r="H592" s="161"/>
      <c r="I592" s="161"/>
      <c r="J592" s="161"/>
      <c r="K592" s="161"/>
      <c r="L592" s="161"/>
      <c r="M592" s="161"/>
      <c r="N592" s="161"/>
      <c r="O592" s="161"/>
      <c r="P592" s="161"/>
      <c r="Q592" s="161"/>
      <c r="R592" s="161"/>
      <c r="S592" s="161"/>
      <c r="T592" s="161"/>
      <c r="U592" s="161"/>
      <c r="V592" s="161"/>
      <c r="W592" s="161"/>
      <c r="X592" s="161"/>
      <c r="Y592" s="161"/>
      <c r="Z592" s="161"/>
    </row>
    <row r="593">
      <c r="A593" s="511"/>
      <c r="B593" s="18"/>
      <c r="C593" s="18"/>
      <c r="D593" s="161"/>
      <c r="E593" s="161"/>
      <c r="F593" s="511"/>
      <c r="G593" s="161"/>
      <c r="H593" s="161"/>
      <c r="I593" s="161"/>
      <c r="J593" s="161"/>
      <c r="K593" s="161"/>
      <c r="L593" s="161"/>
      <c r="M593" s="161"/>
      <c r="N593" s="161"/>
      <c r="O593" s="161"/>
      <c r="P593" s="161"/>
      <c r="Q593" s="161"/>
      <c r="R593" s="161"/>
      <c r="S593" s="161"/>
      <c r="T593" s="161"/>
      <c r="U593" s="161"/>
      <c r="V593" s="161"/>
      <c r="W593" s="161"/>
      <c r="X593" s="161"/>
      <c r="Y593" s="161"/>
      <c r="Z593" s="161"/>
    </row>
    <row r="594">
      <c r="A594" s="511"/>
      <c r="B594" s="18"/>
      <c r="C594" s="18"/>
      <c r="D594" s="161"/>
      <c r="E594" s="161"/>
      <c r="F594" s="511"/>
      <c r="G594" s="161"/>
      <c r="H594" s="161"/>
      <c r="I594" s="161"/>
      <c r="J594" s="161"/>
      <c r="K594" s="161"/>
      <c r="L594" s="161"/>
      <c r="M594" s="161"/>
      <c r="N594" s="161"/>
      <c r="O594" s="161"/>
      <c r="P594" s="161"/>
      <c r="Q594" s="161"/>
      <c r="R594" s="161"/>
      <c r="S594" s="161"/>
      <c r="T594" s="161"/>
      <c r="U594" s="161"/>
      <c r="V594" s="161"/>
      <c r="W594" s="161"/>
      <c r="X594" s="161"/>
      <c r="Y594" s="161"/>
      <c r="Z594" s="161"/>
    </row>
    <row r="595">
      <c r="A595" s="511"/>
      <c r="B595" s="18"/>
      <c r="C595" s="18"/>
      <c r="D595" s="161"/>
      <c r="E595" s="161"/>
      <c r="F595" s="511"/>
      <c r="G595" s="161"/>
      <c r="H595" s="161"/>
      <c r="I595" s="161"/>
      <c r="J595" s="161"/>
      <c r="K595" s="161"/>
      <c r="L595" s="161"/>
      <c r="M595" s="161"/>
      <c r="N595" s="161"/>
      <c r="O595" s="161"/>
      <c r="P595" s="161"/>
      <c r="Q595" s="161"/>
      <c r="R595" s="161"/>
      <c r="S595" s="161"/>
      <c r="T595" s="161"/>
      <c r="U595" s="161"/>
      <c r="V595" s="161"/>
      <c r="W595" s="161"/>
      <c r="X595" s="161"/>
      <c r="Y595" s="161"/>
      <c r="Z595" s="161"/>
    </row>
    <row r="596">
      <c r="A596" s="511"/>
      <c r="B596" s="18"/>
      <c r="C596" s="18"/>
      <c r="D596" s="161"/>
      <c r="E596" s="161"/>
      <c r="F596" s="511"/>
      <c r="G596" s="161"/>
      <c r="H596" s="161"/>
      <c r="I596" s="161"/>
      <c r="J596" s="161"/>
      <c r="K596" s="161"/>
      <c r="L596" s="161"/>
      <c r="M596" s="161"/>
      <c r="N596" s="161"/>
      <c r="O596" s="161"/>
      <c r="P596" s="161"/>
      <c r="Q596" s="161"/>
      <c r="R596" s="161"/>
      <c r="S596" s="161"/>
      <c r="T596" s="161"/>
      <c r="U596" s="161"/>
      <c r="V596" s="161"/>
      <c r="W596" s="161"/>
      <c r="X596" s="161"/>
      <c r="Y596" s="161"/>
      <c r="Z596" s="161"/>
    </row>
    <row r="597">
      <c r="A597" s="511"/>
      <c r="B597" s="18"/>
      <c r="C597" s="18"/>
      <c r="D597" s="161"/>
      <c r="E597" s="161"/>
      <c r="F597" s="511"/>
      <c r="G597" s="161"/>
      <c r="H597" s="161"/>
      <c r="I597" s="161"/>
      <c r="J597" s="161"/>
      <c r="K597" s="161"/>
      <c r="L597" s="161"/>
      <c r="M597" s="161"/>
      <c r="N597" s="161"/>
      <c r="O597" s="161"/>
      <c r="P597" s="161"/>
      <c r="Q597" s="161"/>
      <c r="R597" s="161"/>
      <c r="S597" s="161"/>
      <c r="T597" s="161"/>
      <c r="U597" s="161"/>
      <c r="V597" s="161"/>
      <c r="W597" s="161"/>
      <c r="X597" s="161"/>
      <c r="Y597" s="161"/>
      <c r="Z597" s="161"/>
    </row>
    <row r="598">
      <c r="A598" s="511"/>
      <c r="B598" s="18"/>
      <c r="C598" s="18"/>
      <c r="D598" s="161"/>
      <c r="E598" s="161"/>
      <c r="F598" s="511"/>
      <c r="G598" s="161"/>
      <c r="H598" s="161"/>
      <c r="I598" s="161"/>
      <c r="J598" s="161"/>
      <c r="K598" s="161"/>
      <c r="L598" s="161"/>
      <c r="M598" s="161"/>
      <c r="N598" s="161"/>
      <c r="O598" s="161"/>
      <c r="P598" s="161"/>
      <c r="Q598" s="161"/>
      <c r="R598" s="161"/>
      <c r="S598" s="161"/>
      <c r="T598" s="161"/>
      <c r="U598" s="161"/>
      <c r="V598" s="161"/>
      <c r="W598" s="161"/>
      <c r="X598" s="161"/>
      <c r="Y598" s="161"/>
      <c r="Z598" s="161"/>
    </row>
    <row r="599">
      <c r="A599" s="511"/>
      <c r="B599" s="18"/>
      <c r="C599" s="18"/>
      <c r="D599" s="161"/>
      <c r="E599" s="161"/>
      <c r="F599" s="511"/>
      <c r="G599" s="161"/>
      <c r="H599" s="161"/>
      <c r="I599" s="161"/>
      <c r="J599" s="161"/>
      <c r="K599" s="161"/>
      <c r="L599" s="161"/>
      <c r="M599" s="161"/>
      <c r="N599" s="161"/>
      <c r="O599" s="161"/>
      <c r="P599" s="161"/>
      <c r="Q599" s="161"/>
      <c r="R599" s="161"/>
      <c r="S599" s="161"/>
      <c r="T599" s="161"/>
      <c r="U599" s="161"/>
      <c r="V599" s="161"/>
      <c r="W599" s="161"/>
      <c r="X599" s="161"/>
      <c r="Y599" s="161"/>
      <c r="Z599" s="161"/>
    </row>
    <row r="600">
      <c r="A600" s="511"/>
      <c r="B600" s="18"/>
      <c r="C600" s="18"/>
      <c r="D600" s="161"/>
      <c r="E600" s="161"/>
      <c r="F600" s="511"/>
      <c r="G600" s="161"/>
      <c r="H600" s="161"/>
      <c r="I600" s="161"/>
      <c r="J600" s="161"/>
      <c r="K600" s="161"/>
      <c r="L600" s="161"/>
      <c r="M600" s="161"/>
      <c r="N600" s="161"/>
      <c r="O600" s="161"/>
      <c r="P600" s="161"/>
      <c r="Q600" s="161"/>
      <c r="R600" s="161"/>
      <c r="S600" s="161"/>
      <c r="T600" s="161"/>
      <c r="U600" s="161"/>
      <c r="V600" s="161"/>
      <c r="W600" s="161"/>
      <c r="X600" s="161"/>
      <c r="Y600" s="161"/>
      <c r="Z600" s="161"/>
    </row>
    <row r="601">
      <c r="A601" s="511"/>
      <c r="B601" s="18"/>
      <c r="C601" s="18"/>
      <c r="D601" s="161"/>
      <c r="E601" s="161"/>
      <c r="F601" s="511"/>
      <c r="G601" s="161"/>
      <c r="H601" s="161"/>
      <c r="I601" s="161"/>
      <c r="J601" s="161"/>
      <c r="K601" s="161"/>
      <c r="L601" s="161"/>
      <c r="M601" s="161"/>
      <c r="N601" s="161"/>
      <c r="O601" s="161"/>
      <c r="P601" s="161"/>
      <c r="Q601" s="161"/>
      <c r="R601" s="161"/>
      <c r="S601" s="161"/>
      <c r="T601" s="161"/>
      <c r="U601" s="161"/>
      <c r="V601" s="161"/>
      <c r="W601" s="161"/>
      <c r="X601" s="161"/>
      <c r="Y601" s="161"/>
      <c r="Z601" s="161"/>
    </row>
    <row r="602">
      <c r="A602" s="511"/>
      <c r="B602" s="18"/>
      <c r="C602" s="18"/>
      <c r="D602" s="161"/>
      <c r="E602" s="161"/>
      <c r="F602" s="511"/>
      <c r="G602" s="161"/>
      <c r="H602" s="161"/>
      <c r="I602" s="161"/>
      <c r="J602" s="161"/>
      <c r="K602" s="161"/>
      <c r="L602" s="161"/>
      <c r="M602" s="161"/>
      <c r="N602" s="161"/>
      <c r="O602" s="161"/>
      <c r="P602" s="161"/>
      <c r="Q602" s="161"/>
      <c r="R602" s="161"/>
      <c r="S602" s="161"/>
      <c r="T602" s="161"/>
      <c r="U602" s="161"/>
      <c r="V602" s="161"/>
      <c r="W602" s="161"/>
      <c r="X602" s="161"/>
      <c r="Y602" s="161"/>
      <c r="Z602" s="161"/>
    </row>
    <row r="603">
      <c r="A603" s="511"/>
      <c r="B603" s="18"/>
      <c r="C603" s="18"/>
      <c r="D603" s="161"/>
      <c r="E603" s="161"/>
      <c r="F603" s="511"/>
      <c r="G603" s="161"/>
      <c r="H603" s="161"/>
      <c r="I603" s="161"/>
      <c r="J603" s="161"/>
      <c r="K603" s="161"/>
      <c r="L603" s="161"/>
      <c r="M603" s="161"/>
      <c r="N603" s="161"/>
      <c r="O603" s="161"/>
      <c r="P603" s="161"/>
      <c r="Q603" s="161"/>
      <c r="R603" s="161"/>
      <c r="S603" s="161"/>
      <c r="T603" s="161"/>
      <c r="U603" s="161"/>
      <c r="V603" s="161"/>
      <c r="W603" s="161"/>
      <c r="X603" s="161"/>
      <c r="Y603" s="161"/>
      <c r="Z603" s="161"/>
    </row>
    <row r="604">
      <c r="A604" s="511"/>
      <c r="B604" s="18"/>
      <c r="C604" s="18"/>
      <c r="D604" s="161"/>
      <c r="E604" s="161"/>
      <c r="F604" s="511"/>
      <c r="G604" s="161"/>
      <c r="H604" s="161"/>
      <c r="I604" s="161"/>
      <c r="J604" s="161"/>
      <c r="K604" s="161"/>
      <c r="L604" s="161"/>
      <c r="M604" s="161"/>
      <c r="N604" s="161"/>
      <c r="O604" s="161"/>
      <c r="P604" s="161"/>
      <c r="Q604" s="161"/>
      <c r="R604" s="161"/>
      <c r="S604" s="161"/>
      <c r="T604" s="161"/>
      <c r="U604" s="161"/>
      <c r="V604" s="161"/>
      <c r="W604" s="161"/>
      <c r="X604" s="161"/>
      <c r="Y604" s="161"/>
      <c r="Z604" s="161"/>
    </row>
    <row r="605">
      <c r="A605" s="511"/>
      <c r="B605" s="18"/>
      <c r="C605" s="18"/>
      <c r="D605" s="161"/>
      <c r="E605" s="161"/>
      <c r="F605" s="511"/>
      <c r="G605" s="161"/>
      <c r="H605" s="161"/>
      <c r="I605" s="161"/>
      <c r="J605" s="161"/>
      <c r="K605" s="161"/>
      <c r="L605" s="161"/>
      <c r="M605" s="161"/>
      <c r="N605" s="161"/>
      <c r="O605" s="161"/>
      <c r="P605" s="161"/>
      <c r="Q605" s="161"/>
      <c r="R605" s="161"/>
      <c r="S605" s="161"/>
      <c r="T605" s="161"/>
      <c r="U605" s="161"/>
      <c r="V605" s="161"/>
      <c r="W605" s="161"/>
      <c r="X605" s="161"/>
      <c r="Y605" s="161"/>
      <c r="Z605" s="161"/>
    </row>
    <row r="606">
      <c r="A606" s="511"/>
      <c r="B606" s="18"/>
      <c r="C606" s="18"/>
      <c r="D606" s="161"/>
      <c r="E606" s="161"/>
      <c r="F606" s="511"/>
      <c r="G606" s="161"/>
      <c r="H606" s="161"/>
      <c r="I606" s="161"/>
      <c r="J606" s="161"/>
      <c r="K606" s="161"/>
      <c r="L606" s="161"/>
      <c r="M606" s="161"/>
      <c r="N606" s="161"/>
      <c r="O606" s="161"/>
      <c r="P606" s="161"/>
      <c r="Q606" s="161"/>
      <c r="R606" s="161"/>
      <c r="S606" s="161"/>
      <c r="T606" s="161"/>
      <c r="U606" s="161"/>
      <c r="V606" s="161"/>
      <c r="W606" s="161"/>
      <c r="X606" s="161"/>
      <c r="Y606" s="161"/>
      <c r="Z606" s="161"/>
    </row>
    <row r="607">
      <c r="A607" s="511"/>
      <c r="B607" s="18"/>
      <c r="C607" s="18"/>
      <c r="D607" s="161"/>
      <c r="E607" s="161"/>
      <c r="F607" s="511"/>
      <c r="G607" s="161"/>
      <c r="H607" s="161"/>
      <c r="I607" s="161"/>
      <c r="J607" s="161"/>
      <c r="K607" s="161"/>
      <c r="L607" s="161"/>
      <c r="M607" s="161"/>
      <c r="N607" s="161"/>
      <c r="O607" s="161"/>
      <c r="P607" s="161"/>
      <c r="Q607" s="161"/>
      <c r="R607" s="161"/>
      <c r="S607" s="161"/>
      <c r="T607" s="161"/>
      <c r="U607" s="161"/>
      <c r="V607" s="161"/>
      <c r="W607" s="161"/>
      <c r="X607" s="161"/>
      <c r="Y607" s="161"/>
      <c r="Z607" s="161"/>
    </row>
    <row r="608">
      <c r="A608" s="511"/>
      <c r="B608" s="18"/>
      <c r="C608" s="18"/>
      <c r="D608" s="161"/>
      <c r="E608" s="161"/>
      <c r="F608" s="511"/>
      <c r="G608" s="161"/>
      <c r="H608" s="161"/>
      <c r="I608" s="161"/>
      <c r="J608" s="161"/>
      <c r="K608" s="161"/>
      <c r="L608" s="161"/>
      <c r="M608" s="161"/>
      <c r="N608" s="161"/>
      <c r="O608" s="161"/>
      <c r="P608" s="161"/>
      <c r="Q608" s="161"/>
      <c r="R608" s="161"/>
      <c r="S608" s="161"/>
      <c r="T608" s="161"/>
      <c r="U608" s="161"/>
      <c r="V608" s="161"/>
      <c r="W608" s="161"/>
      <c r="X608" s="161"/>
      <c r="Y608" s="161"/>
      <c r="Z608" s="161"/>
    </row>
    <row r="609">
      <c r="A609" s="511"/>
      <c r="B609" s="18"/>
      <c r="C609" s="18"/>
      <c r="D609" s="161"/>
      <c r="E609" s="161"/>
      <c r="F609" s="511"/>
      <c r="G609" s="161"/>
      <c r="H609" s="161"/>
      <c r="I609" s="161"/>
      <c r="J609" s="161"/>
      <c r="K609" s="161"/>
      <c r="L609" s="161"/>
      <c r="M609" s="161"/>
      <c r="N609" s="161"/>
      <c r="O609" s="161"/>
      <c r="P609" s="161"/>
      <c r="Q609" s="161"/>
      <c r="R609" s="161"/>
      <c r="S609" s="161"/>
      <c r="T609" s="161"/>
      <c r="U609" s="161"/>
      <c r="V609" s="161"/>
      <c r="W609" s="161"/>
      <c r="X609" s="161"/>
      <c r="Y609" s="161"/>
      <c r="Z609" s="161"/>
    </row>
    <row r="610">
      <c r="A610" s="511"/>
      <c r="B610" s="18"/>
      <c r="C610" s="18"/>
      <c r="D610" s="161"/>
      <c r="E610" s="161"/>
      <c r="F610" s="511"/>
      <c r="G610" s="161"/>
      <c r="H610" s="161"/>
      <c r="I610" s="161"/>
      <c r="J610" s="161"/>
      <c r="K610" s="161"/>
      <c r="L610" s="161"/>
      <c r="M610" s="161"/>
      <c r="N610" s="161"/>
      <c r="O610" s="161"/>
      <c r="P610" s="161"/>
      <c r="Q610" s="161"/>
      <c r="R610" s="161"/>
      <c r="S610" s="161"/>
      <c r="T610" s="161"/>
      <c r="U610" s="161"/>
      <c r="V610" s="161"/>
      <c r="W610" s="161"/>
      <c r="X610" s="161"/>
      <c r="Y610" s="161"/>
      <c r="Z610" s="161"/>
    </row>
    <row r="611">
      <c r="A611" s="511"/>
      <c r="B611" s="18"/>
      <c r="C611" s="18"/>
      <c r="D611" s="161"/>
      <c r="E611" s="161"/>
      <c r="F611" s="511"/>
      <c r="G611" s="161"/>
      <c r="H611" s="161"/>
      <c r="I611" s="161"/>
      <c r="J611" s="161"/>
      <c r="K611" s="161"/>
      <c r="L611" s="161"/>
      <c r="M611" s="161"/>
      <c r="N611" s="161"/>
      <c r="O611" s="161"/>
      <c r="P611" s="161"/>
      <c r="Q611" s="161"/>
      <c r="R611" s="161"/>
      <c r="S611" s="161"/>
      <c r="T611" s="161"/>
      <c r="U611" s="161"/>
      <c r="V611" s="161"/>
      <c r="W611" s="161"/>
      <c r="X611" s="161"/>
      <c r="Y611" s="161"/>
      <c r="Z611" s="161"/>
    </row>
    <row r="612">
      <c r="A612" s="511"/>
      <c r="B612" s="18"/>
      <c r="C612" s="18"/>
      <c r="D612" s="161"/>
      <c r="E612" s="161"/>
      <c r="F612" s="511"/>
      <c r="G612" s="161"/>
      <c r="H612" s="161"/>
      <c r="I612" s="161"/>
      <c r="J612" s="161"/>
      <c r="K612" s="161"/>
      <c r="L612" s="161"/>
      <c r="M612" s="161"/>
      <c r="N612" s="161"/>
      <c r="O612" s="161"/>
      <c r="P612" s="161"/>
      <c r="Q612" s="161"/>
      <c r="R612" s="161"/>
      <c r="S612" s="161"/>
      <c r="T612" s="161"/>
      <c r="U612" s="161"/>
      <c r="V612" s="161"/>
      <c r="W612" s="161"/>
      <c r="X612" s="161"/>
      <c r="Y612" s="161"/>
      <c r="Z612" s="161"/>
    </row>
    <row r="613">
      <c r="A613" s="511"/>
      <c r="B613" s="18"/>
      <c r="C613" s="18"/>
      <c r="D613" s="161"/>
      <c r="E613" s="161"/>
      <c r="F613" s="511"/>
      <c r="G613" s="161"/>
      <c r="H613" s="161"/>
      <c r="I613" s="161"/>
      <c r="J613" s="161"/>
      <c r="K613" s="161"/>
      <c r="L613" s="161"/>
      <c r="M613" s="161"/>
      <c r="N613" s="161"/>
      <c r="O613" s="161"/>
      <c r="P613" s="161"/>
      <c r="Q613" s="161"/>
      <c r="R613" s="161"/>
      <c r="S613" s="161"/>
      <c r="T613" s="161"/>
      <c r="U613" s="161"/>
      <c r="V613" s="161"/>
      <c r="W613" s="161"/>
      <c r="X613" s="161"/>
      <c r="Y613" s="161"/>
      <c r="Z613" s="161"/>
    </row>
    <row r="614">
      <c r="A614" s="511"/>
      <c r="B614" s="18"/>
      <c r="C614" s="18"/>
      <c r="D614" s="161"/>
      <c r="E614" s="161"/>
      <c r="F614" s="511"/>
      <c r="G614" s="161"/>
      <c r="H614" s="161"/>
      <c r="I614" s="161"/>
      <c r="J614" s="161"/>
      <c r="K614" s="161"/>
      <c r="L614" s="161"/>
      <c r="M614" s="161"/>
      <c r="N614" s="161"/>
      <c r="O614" s="161"/>
      <c r="P614" s="161"/>
      <c r="Q614" s="161"/>
      <c r="R614" s="161"/>
      <c r="S614" s="161"/>
      <c r="T614" s="161"/>
      <c r="U614" s="161"/>
      <c r="V614" s="161"/>
      <c r="W614" s="161"/>
      <c r="X614" s="161"/>
      <c r="Y614" s="161"/>
      <c r="Z614" s="161"/>
    </row>
    <row r="615">
      <c r="A615" s="511"/>
      <c r="B615" s="18"/>
      <c r="C615" s="18"/>
      <c r="D615" s="161"/>
      <c r="E615" s="161"/>
      <c r="F615" s="511"/>
      <c r="G615" s="161"/>
      <c r="H615" s="161"/>
      <c r="I615" s="161"/>
      <c r="J615" s="161"/>
      <c r="K615" s="161"/>
      <c r="L615" s="161"/>
      <c r="M615" s="161"/>
      <c r="N615" s="161"/>
      <c r="O615" s="161"/>
      <c r="P615" s="161"/>
      <c r="Q615" s="161"/>
      <c r="R615" s="161"/>
      <c r="S615" s="161"/>
      <c r="T615" s="161"/>
      <c r="U615" s="161"/>
      <c r="V615" s="161"/>
      <c r="W615" s="161"/>
      <c r="X615" s="161"/>
      <c r="Y615" s="161"/>
      <c r="Z615" s="161"/>
    </row>
    <row r="616">
      <c r="A616" s="511"/>
      <c r="B616" s="18"/>
      <c r="C616" s="18"/>
      <c r="D616" s="161"/>
      <c r="E616" s="161"/>
      <c r="F616" s="511"/>
      <c r="G616" s="161"/>
      <c r="H616" s="161"/>
      <c r="I616" s="161"/>
      <c r="J616" s="161"/>
      <c r="K616" s="161"/>
      <c r="L616" s="161"/>
      <c r="M616" s="161"/>
      <c r="N616" s="161"/>
      <c r="O616" s="161"/>
      <c r="P616" s="161"/>
      <c r="Q616" s="161"/>
      <c r="R616" s="161"/>
      <c r="S616" s="161"/>
      <c r="T616" s="161"/>
      <c r="U616" s="161"/>
      <c r="V616" s="161"/>
      <c r="W616" s="161"/>
      <c r="X616" s="161"/>
      <c r="Y616" s="161"/>
      <c r="Z616" s="161"/>
    </row>
    <row r="617">
      <c r="A617" s="511"/>
      <c r="B617" s="18"/>
      <c r="C617" s="18"/>
      <c r="D617" s="161"/>
      <c r="E617" s="161"/>
      <c r="F617" s="511"/>
      <c r="G617" s="161"/>
      <c r="H617" s="161"/>
      <c r="I617" s="161"/>
      <c r="J617" s="161"/>
      <c r="K617" s="161"/>
      <c r="L617" s="161"/>
      <c r="M617" s="161"/>
      <c r="N617" s="161"/>
      <c r="O617" s="161"/>
      <c r="P617" s="161"/>
      <c r="Q617" s="161"/>
      <c r="R617" s="161"/>
      <c r="S617" s="161"/>
      <c r="T617" s="161"/>
      <c r="U617" s="161"/>
      <c r="V617" s="161"/>
      <c r="W617" s="161"/>
      <c r="X617" s="161"/>
      <c r="Y617" s="161"/>
      <c r="Z617" s="161"/>
    </row>
    <row r="618">
      <c r="A618" s="511"/>
      <c r="B618" s="18"/>
      <c r="C618" s="18"/>
      <c r="D618" s="161"/>
      <c r="E618" s="161"/>
      <c r="F618" s="511"/>
      <c r="G618" s="161"/>
      <c r="H618" s="161"/>
      <c r="I618" s="161"/>
      <c r="J618" s="161"/>
      <c r="K618" s="161"/>
      <c r="L618" s="161"/>
      <c r="M618" s="161"/>
      <c r="N618" s="161"/>
      <c r="O618" s="161"/>
      <c r="P618" s="161"/>
      <c r="Q618" s="161"/>
      <c r="R618" s="161"/>
      <c r="S618" s="161"/>
      <c r="T618" s="161"/>
      <c r="U618" s="161"/>
      <c r="V618" s="161"/>
      <c r="W618" s="161"/>
      <c r="X618" s="161"/>
      <c r="Y618" s="161"/>
      <c r="Z618" s="161"/>
    </row>
    <row r="619">
      <c r="A619" s="511"/>
      <c r="B619" s="18"/>
      <c r="C619" s="18"/>
      <c r="D619" s="161"/>
      <c r="E619" s="161"/>
      <c r="F619" s="511"/>
      <c r="G619" s="161"/>
      <c r="H619" s="161"/>
      <c r="I619" s="161"/>
      <c r="J619" s="161"/>
      <c r="K619" s="161"/>
      <c r="L619" s="161"/>
      <c r="M619" s="161"/>
      <c r="N619" s="161"/>
      <c r="O619" s="161"/>
      <c r="P619" s="161"/>
      <c r="Q619" s="161"/>
      <c r="R619" s="161"/>
      <c r="S619" s="161"/>
      <c r="T619" s="161"/>
      <c r="U619" s="161"/>
      <c r="V619" s="161"/>
      <c r="W619" s="161"/>
      <c r="X619" s="161"/>
      <c r="Y619" s="161"/>
      <c r="Z619" s="161"/>
    </row>
    <row r="620">
      <c r="A620" s="511"/>
      <c r="B620" s="18"/>
      <c r="C620" s="18"/>
      <c r="D620" s="161"/>
      <c r="E620" s="161"/>
      <c r="F620" s="511"/>
      <c r="G620" s="161"/>
      <c r="H620" s="161"/>
      <c r="I620" s="161"/>
      <c r="J620" s="161"/>
      <c r="K620" s="161"/>
      <c r="L620" s="161"/>
      <c r="M620" s="161"/>
      <c r="N620" s="161"/>
      <c r="O620" s="161"/>
      <c r="P620" s="161"/>
      <c r="Q620" s="161"/>
      <c r="R620" s="161"/>
      <c r="S620" s="161"/>
      <c r="T620" s="161"/>
      <c r="U620" s="161"/>
      <c r="V620" s="161"/>
      <c r="W620" s="161"/>
      <c r="X620" s="161"/>
      <c r="Y620" s="161"/>
      <c r="Z620" s="161"/>
    </row>
    <row r="621">
      <c r="A621" s="511"/>
      <c r="B621" s="18"/>
      <c r="C621" s="18"/>
      <c r="D621" s="161"/>
      <c r="E621" s="161"/>
      <c r="F621" s="511"/>
      <c r="G621" s="161"/>
      <c r="H621" s="161"/>
      <c r="I621" s="161"/>
      <c r="J621" s="161"/>
      <c r="K621" s="161"/>
      <c r="L621" s="161"/>
      <c r="M621" s="161"/>
      <c r="N621" s="161"/>
      <c r="O621" s="161"/>
      <c r="P621" s="161"/>
      <c r="Q621" s="161"/>
      <c r="R621" s="161"/>
      <c r="S621" s="161"/>
      <c r="T621" s="161"/>
      <c r="U621" s="161"/>
      <c r="V621" s="161"/>
      <c r="W621" s="161"/>
      <c r="X621" s="161"/>
      <c r="Y621" s="161"/>
      <c r="Z621" s="161"/>
    </row>
    <row r="622">
      <c r="A622" s="511"/>
      <c r="B622" s="18"/>
      <c r="C622" s="18"/>
      <c r="D622" s="161"/>
      <c r="E622" s="161"/>
      <c r="F622" s="511"/>
      <c r="G622" s="161"/>
      <c r="H622" s="161"/>
      <c r="I622" s="161"/>
      <c r="J622" s="161"/>
      <c r="K622" s="161"/>
      <c r="L622" s="161"/>
      <c r="M622" s="161"/>
      <c r="N622" s="161"/>
      <c r="O622" s="161"/>
      <c r="P622" s="161"/>
      <c r="Q622" s="161"/>
      <c r="R622" s="161"/>
      <c r="S622" s="161"/>
      <c r="T622" s="161"/>
      <c r="U622" s="161"/>
      <c r="V622" s="161"/>
      <c r="W622" s="161"/>
      <c r="X622" s="161"/>
      <c r="Y622" s="161"/>
      <c r="Z622" s="161"/>
    </row>
    <row r="623">
      <c r="A623" s="511"/>
      <c r="B623" s="18"/>
      <c r="C623" s="18"/>
      <c r="D623" s="161"/>
      <c r="E623" s="161"/>
      <c r="F623" s="511"/>
      <c r="G623" s="161"/>
      <c r="H623" s="161"/>
      <c r="I623" s="161"/>
      <c r="J623" s="161"/>
      <c r="K623" s="161"/>
      <c r="L623" s="161"/>
      <c r="M623" s="161"/>
      <c r="N623" s="161"/>
      <c r="O623" s="161"/>
      <c r="P623" s="161"/>
      <c r="Q623" s="161"/>
      <c r="R623" s="161"/>
      <c r="S623" s="161"/>
      <c r="T623" s="161"/>
      <c r="U623" s="161"/>
      <c r="V623" s="161"/>
      <c r="W623" s="161"/>
      <c r="X623" s="161"/>
      <c r="Y623" s="161"/>
      <c r="Z623" s="161"/>
    </row>
    <row r="624">
      <c r="A624" s="511"/>
      <c r="B624" s="18"/>
      <c r="C624" s="18"/>
      <c r="D624" s="161"/>
      <c r="E624" s="161"/>
      <c r="F624" s="511"/>
      <c r="G624" s="161"/>
      <c r="H624" s="161"/>
      <c r="I624" s="161"/>
      <c r="J624" s="161"/>
      <c r="K624" s="161"/>
      <c r="L624" s="161"/>
      <c r="M624" s="161"/>
      <c r="N624" s="161"/>
      <c r="O624" s="161"/>
      <c r="P624" s="161"/>
      <c r="Q624" s="161"/>
      <c r="R624" s="161"/>
      <c r="S624" s="161"/>
      <c r="T624" s="161"/>
      <c r="U624" s="161"/>
      <c r="V624" s="161"/>
      <c r="W624" s="161"/>
      <c r="X624" s="161"/>
      <c r="Y624" s="161"/>
      <c r="Z624" s="161"/>
    </row>
    <row r="625">
      <c r="A625" s="511"/>
      <c r="B625" s="18"/>
      <c r="C625" s="18"/>
      <c r="D625" s="161"/>
      <c r="E625" s="161"/>
      <c r="F625" s="511"/>
      <c r="G625" s="161"/>
      <c r="H625" s="161"/>
      <c r="I625" s="161"/>
      <c r="J625" s="161"/>
      <c r="K625" s="161"/>
      <c r="L625" s="161"/>
      <c r="M625" s="161"/>
      <c r="N625" s="161"/>
      <c r="O625" s="161"/>
      <c r="P625" s="161"/>
      <c r="Q625" s="161"/>
      <c r="R625" s="161"/>
      <c r="S625" s="161"/>
      <c r="T625" s="161"/>
      <c r="U625" s="161"/>
      <c r="V625" s="161"/>
      <c r="W625" s="161"/>
      <c r="X625" s="161"/>
      <c r="Y625" s="161"/>
      <c r="Z625" s="161"/>
    </row>
    <row r="626">
      <c r="A626" s="511"/>
      <c r="B626" s="18"/>
      <c r="C626" s="18"/>
      <c r="D626" s="161"/>
      <c r="E626" s="161"/>
      <c r="F626" s="511"/>
      <c r="G626" s="161"/>
      <c r="H626" s="161"/>
      <c r="I626" s="161"/>
      <c r="J626" s="161"/>
      <c r="K626" s="161"/>
      <c r="L626" s="161"/>
      <c r="M626" s="161"/>
      <c r="N626" s="161"/>
      <c r="O626" s="161"/>
      <c r="P626" s="161"/>
      <c r="Q626" s="161"/>
      <c r="R626" s="161"/>
      <c r="S626" s="161"/>
      <c r="T626" s="161"/>
      <c r="U626" s="161"/>
      <c r="V626" s="161"/>
      <c r="W626" s="161"/>
      <c r="X626" s="161"/>
      <c r="Y626" s="161"/>
      <c r="Z626" s="161"/>
    </row>
    <row r="627">
      <c r="A627" s="511"/>
      <c r="B627" s="18"/>
      <c r="C627" s="18"/>
      <c r="D627" s="161"/>
      <c r="E627" s="161"/>
      <c r="F627" s="511"/>
      <c r="G627" s="161"/>
      <c r="H627" s="161"/>
      <c r="I627" s="161"/>
      <c r="J627" s="161"/>
      <c r="K627" s="161"/>
      <c r="L627" s="161"/>
      <c r="M627" s="161"/>
      <c r="N627" s="161"/>
      <c r="O627" s="161"/>
      <c r="P627" s="161"/>
      <c r="Q627" s="161"/>
      <c r="R627" s="161"/>
      <c r="S627" s="161"/>
      <c r="T627" s="161"/>
      <c r="U627" s="161"/>
      <c r="V627" s="161"/>
      <c r="W627" s="161"/>
      <c r="X627" s="161"/>
      <c r="Y627" s="161"/>
      <c r="Z627" s="161"/>
    </row>
    <row r="628">
      <c r="A628" s="511"/>
      <c r="B628" s="18"/>
      <c r="C628" s="18"/>
      <c r="D628" s="161"/>
      <c r="E628" s="161"/>
      <c r="F628" s="511"/>
      <c r="G628" s="161"/>
      <c r="H628" s="161"/>
      <c r="I628" s="161"/>
      <c r="J628" s="161"/>
      <c r="K628" s="161"/>
      <c r="L628" s="161"/>
      <c r="M628" s="161"/>
      <c r="N628" s="161"/>
      <c r="O628" s="161"/>
      <c r="P628" s="161"/>
      <c r="Q628" s="161"/>
      <c r="R628" s="161"/>
      <c r="S628" s="161"/>
      <c r="T628" s="161"/>
      <c r="U628" s="161"/>
      <c r="V628" s="161"/>
      <c r="W628" s="161"/>
      <c r="X628" s="161"/>
      <c r="Y628" s="161"/>
      <c r="Z628" s="161"/>
    </row>
    <row r="629">
      <c r="A629" s="511"/>
      <c r="B629" s="18"/>
      <c r="C629" s="18"/>
      <c r="D629" s="161"/>
      <c r="E629" s="161"/>
      <c r="F629" s="511"/>
      <c r="G629" s="161"/>
      <c r="H629" s="161"/>
      <c r="I629" s="161"/>
      <c r="J629" s="161"/>
      <c r="K629" s="161"/>
      <c r="L629" s="161"/>
      <c r="M629" s="161"/>
      <c r="N629" s="161"/>
      <c r="O629" s="161"/>
      <c r="P629" s="161"/>
      <c r="Q629" s="161"/>
      <c r="R629" s="161"/>
      <c r="S629" s="161"/>
      <c r="T629" s="161"/>
      <c r="U629" s="161"/>
      <c r="V629" s="161"/>
      <c r="W629" s="161"/>
      <c r="X629" s="161"/>
      <c r="Y629" s="161"/>
      <c r="Z629" s="161"/>
    </row>
    <row r="630">
      <c r="A630" s="511"/>
      <c r="B630" s="18"/>
      <c r="C630" s="18"/>
      <c r="D630" s="161"/>
      <c r="E630" s="161"/>
      <c r="F630" s="511"/>
      <c r="G630" s="161"/>
      <c r="H630" s="161"/>
      <c r="I630" s="161"/>
      <c r="J630" s="161"/>
      <c r="K630" s="161"/>
      <c r="L630" s="161"/>
      <c r="M630" s="161"/>
      <c r="N630" s="161"/>
      <c r="O630" s="161"/>
      <c r="P630" s="161"/>
      <c r="Q630" s="161"/>
      <c r="R630" s="161"/>
      <c r="S630" s="161"/>
      <c r="T630" s="161"/>
      <c r="U630" s="161"/>
      <c r="V630" s="161"/>
      <c r="W630" s="161"/>
      <c r="X630" s="161"/>
      <c r="Y630" s="161"/>
      <c r="Z630" s="161"/>
    </row>
    <row r="631">
      <c r="A631" s="511"/>
      <c r="B631" s="18"/>
      <c r="C631" s="18"/>
      <c r="D631" s="161"/>
      <c r="E631" s="161"/>
      <c r="F631" s="511"/>
      <c r="G631" s="161"/>
      <c r="H631" s="161"/>
      <c r="I631" s="161"/>
      <c r="J631" s="161"/>
      <c r="K631" s="161"/>
      <c r="L631" s="161"/>
      <c r="M631" s="161"/>
      <c r="N631" s="161"/>
      <c r="O631" s="161"/>
      <c r="P631" s="161"/>
      <c r="Q631" s="161"/>
      <c r="R631" s="161"/>
      <c r="S631" s="161"/>
      <c r="T631" s="161"/>
      <c r="U631" s="161"/>
      <c r="V631" s="161"/>
      <c r="W631" s="161"/>
      <c r="X631" s="161"/>
      <c r="Y631" s="161"/>
      <c r="Z631" s="161"/>
    </row>
    <row r="632">
      <c r="A632" s="511"/>
      <c r="B632" s="18"/>
      <c r="C632" s="18"/>
      <c r="D632" s="161"/>
      <c r="E632" s="161"/>
      <c r="F632" s="511"/>
      <c r="G632" s="161"/>
      <c r="H632" s="161"/>
      <c r="I632" s="161"/>
      <c r="J632" s="161"/>
      <c r="K632" s="161"/>
      <c r="L632" s="161"/>
      <c r="M632" s="161"/>
      <c r="N632" s="161"/>
      <c r="O632" s="161"/>
      <c r="P632" s="161"/>
      <c r="Q632" s="161"/>
      <c r="R632" s="161"/>
      <c r="S632" s="161"/>
      <c r="T632" s="161"/>
      <c r="U632" s="161"/>
      <c r="V632" s="161"/>
      <c r="W632" s="161"/>
      <c r="X632" s="161"/>
      <c r="Y632" s="161"/>
      <c r="Z632" s="161"/>
    </row>
    <row r="633">
      <c r="A633" s="511"/>
      <c r="B633" s="18"/>
      <c r="C633" s="18"/>
      <c r="D633" s="161"/>
      <c r="E633" s="161"/>
      <c r="F633" s="511"/>
      <c r="G633" s="161"/>
      <c r="H633" s="161"/>
      <c r="I633" s="161"/>
      <c r="J633" s="161"/>
      <c r="K633" s="161"/>
      <c r="L633" s="161"/>
      <c r="M633" s="161"/>
      <c r="N633" s="161"/>
      <c r="O633" s="161"/>
      <c r="P633" s="161"/>
      <c r="Q633" s="161"/>
      <c r="R633" s="161"/>
      <c r="S633" s="161"/>
      <c r="T633" s="161"/>
      <c r="U633" s="161"/>
      <c r="V633" s="161"/>
      <c r="W633" s="161"/>
      <c r="X633" s="161"/>
      <c r="Y633" s="161"/>
      <c r="Z633" s="161"/>
    </row>
    <row r="634">
      <c r="A634" s="511"/>
      <c r="B634" s="18"/>
      <c r="C634" s="18"/>
      <c r="D634" s="161"/>
      <c r="E634" s="161"/>
      <c r="F634" s="511"/>
      <c r="G634" s="161"/>
      <c r="H634" s="161"/>
      <c r="I634" s="161"/>
      <c r="J634" s="161"/>
      <c r="K634" s="161"/>
      <c r="L634" s="161"/>
      <c r="M634" s="161"/>
      <c r="N634" s="161"/>
      <c r="O634" s="161"/>
      <c r="P634" s="161"/>
      <c r="Q634" s="161"/>
      <c r="R634" s="161"/>
      <c r="S634" s="161"/>
      <c r="T634" s="161"/>
      <c r="U634" s="161"/>
      <c r="V634" s="161"/>
      <c r="W634" s="161"/>
      <c r="X634" s="161"/>
      <c r="Y634" s="161"/>
      <c r="Z634" s="161"/>
    </row>
    <row r="635">
      <c r="A635" s="511"/>
      <c r="B635" s="18"/>
      <c r="C635" s="18"/>
      <c r="D635" s="161"/>
      <c r="E635" s="161"/>
      <c r="F635" s="511"/>
      <c r="G635" s="161"/>
      <c r="H635" s="161"/>
      <c r="I635" s="161"/>
      <c r="J635" s="161"/>
      <c r="K635" s="161"/>
      <c r="L635" s="161"/>
      <c r="M635" s="161"/>
      <c r="N635" s="161"/>
      <c r="O635" s="161"/>
      <c r="P635" s="161"/>
      <c r="Q635" s="161"/>
      <c r="R635" s="161"/>
      <c r="S635" s="161"/>
      <c r="T635" s="161"/>
      <c r="U635" s="161"/>
      <c r="V635" s="161"/>
      <c r="W635" s="161"/>
      <c r="X635" s="161"/>
      <c r="Y635" s="161"/>
      <c r="Z635" s="161"/>
    </row>
    <row r="636">
      <c r="A636" s="511"/>
      <c r="B636" s="18"/>
      <c r="C636" s="18"/>
      <c r="D636" s="161"/>
      <c r="E636" s="161"/>
      <c r="F636" s="511"/>
      <c r="G636" s="161"/>
      <c r="H636" s="161"/>
      <c r="I636" s="161"/>
      <c r="J636" s="161"/>
      <c r="K636" s="161"/>
      <c r="L636" s="161"/>
      <c r="M636" s="161"/>
      <c r="N636" s="161"/>
      <c r="O636" s="161"/>
      <c r="P636" s="161"/>
      <c r="Q636" s="161"/>
      <c r="R636" s="161"/>
      <c r="S636" s="161"/>
      <c r="T636" s="161"/>
      <c r="U636" s="161"/>
      <c r="V636" s="161"/>
      <c r="W636" s="161"/>
      <c r="X636" s="161"/>
      <c r="Y636" s="161"/>
      <c r="Z636" s="161"/>
    </row>
    <row r="637">
      <c r="A637" s="511"/>
      <c r="B637" s="18"/>
      <c r="C637" s="18"/>
      <c r="D637" s="161"/>
      <c r="E637" s="161"/>
      <c r="F637" s="511"/>
      <c r="G637" s="161"/>
      <c r="H637" s="161"/>
      <c r="I637" s="161"/>
      <c r="J637" s="161"/>
      <c r="K637" s="161"/>
      <c r="L637" s="161"/>
      <c r="M637" s="161"/>
      <c r="N637" s="161"/>
      <c r="O637" s="161"/>
      <c r="P637" s="161"/>
      <c r="Q637" s="161"/>
      <c r="R637" s="161"/>
      <c r="S637" s="161"/>
      <c r="T637" s="161"/>
      <c r="U637" s="161"/>
      <c r="V637" s="161"/>
      <c r="W637" s="161"/>
      <c r="X637" s="161"/>
      <c r="Y637" s="161"/>
      <c r="Z637" s="161"/>
    </row>
    <row r="638">
      <c r="A638" s="511"/>
      <c r="B638" s="18"/>
      <c r="C638" s="18"/>
      <c r="D638" s="161"/>
      <c r="E638" s="161"/>
      <c r="F638" s="511"/>
      <c r="G638" s="161"/>
      <c r="H638" s="161"/>
      <c r="I638" s="161"/>
      <c r="J638" s="161"/>
      <c r="K638" s="161"/>
      <c r="L638" s="161"/>
      <c r="M638" s="161"/>
      <c r="N638" s="161"/>
      <c r="O638" s="161"/>
      <c r="P638" s="161"/>
      <c r="Q638" s="161"/>
      <c r="R638" s="161"/>
      <c r="S638" s="161"/>
      <c r="T638" s="161"/>
      <c r="U638" s="161"/>
      <c r="V638" s="161"/>
      <c r="W638" s="161"/>
      <c r="X638" s="161"/>
      <c r="Y638" s="161"/>
      <c r="Z638" s="161"/>
    </row>
    <row r="639">
      <c r="A639" s="511"/>
      <c r="B639" s="18"/>
      <c r="C639" s="18"/>
      <c r="D639" s="161"/>
      <c r="E639" s="161"/>
      <c r="F639" s="511"/>
      <c r="G639" s="161"/>
      <c r="H639" s="161"/>
      <c r="I639" s="161"/>
      <c r="J639" s="161"/>
      <c r="K639" s="161"/>
      <c r="L639" s="161"/>
      <c r="M639" s="161"/>
      <c r="N639" s="161"/>
      <c r="O639" s="161"/>
      <c r="P639" s="161"/>
      <c r="Q639" s="161"/>
      <c r="R639" s="161"/>
      <c r="S639" s="161"/>
      <c r="T639" s="161"/>
      <c r="U639" s="161"/>
      <c r="V639" s="161"/>
      <c r="W639" s="161"/>
      <c r="X639" s="161"/>
      <c r="Y639" s="161"/>
      <c r="Z639" s="161"/>
    </row>
    <row r="640">
      <c r="A640" s="511"/>
      <c r="B640" s="18"/>
      <c r="C640" s="18"/>
      <c r="D640" s="161"/>
      <c r="E640" s="161"/>
      <c r="F640" s="511"/>
      <c r="G640" s="161"/>
      <c r="H640" s="161"/>
      <c r="I640" s="161"/>
      <c r="J640" s="161"/>
      <c r="K640" s="161"/>
      <c r="L640" s="161"/>
      <c r="M640" s="161"/>
      <c r="N640" s="161"/>
      <c r="O640" s="161"/>
      <c r="P640" s="161"/>
      <c r="Q640" s="161"/>
      <c r="R640" s="161"/>
      <c r="S640" s="161"/>
      <c r="T640" s="161"/>
      <c r="U640" s="161"/>
      <c r="V640" s="161"/>
      <c r="W640" s="161"/>
      <c r="X640" s="161"/>
      <c r="Y640" s="161"/>
      <c r="Z640" s="161"/>
    </row>
    <row r="641">
      <c r="A641" s="511"/>
      <c r="B641" s="18"/>
      <c r="C641" s="18"/>
      <c r="D641" s="161"/>
      <c r="E641" s="161"/>
      <c r="F641" s="511"/>
      <c r="G641" s="161"/>
      <c r="H641" s="161"/>
      <c r="I641" s="161"/>
      <c r="J641" s="161"/>
      <c r="K641" s="161"/>
      <c r="L641" s="161"/>
      <c r="M641" s="161"/>
      <c r="N641" s="161"/>
      <c r="O641" s="161"/>
      <c r="P641" s="161"/>
      <c r="Q641" s="161"/>
      <c r="R641" s="161"/>
      <c r="S641" s="161"/>
      <c r="T641" s="161"/>
      <c r="U641" s="161"/>
      <c r="V641" s="161"/>
      <c r="W641" s="161"/>
      <c r="X641" s="161"/>
      <c r="Y641" s="161"/>
      <c r="Z641" s="161"/>
    </row>
    <row r="642">
      <c r="A642" s="511"/>
      <c r="B642" s="18"/>
      <c r="C642" s="18"/>
      <c r="D642" s="161"/>
      <c r="E642" s="161"/>
      <c r="F642" s="511"/>
      <c r="G642" s="161"/>
      <c r="H642" s="161"/>
      <c r="I642" s="161"/>
      <c r="J642" s="161"/>
      <c r="K642" s="161"/>
      <c r="L642" s="161"/>
      <c r="M642" s="161"/>
      <c r="N642" s="161"/>
      <c r="O642" s="161"/>
      <c r="P642" s="161"/>
      <c r="Q642" s="161"/>
      <c r="R642" s="161"/>
      <c r="S642" s="161"/>
      <c r="T642" s="161"/>
      <c r="U642" s="161"/>
      <c r="V642" s="161"/>
      <c r="W642" s="161"/>
      <c r="X642" s="161"/>
      <c r="Y642" s="161"/>
      <c r="Z642" s="161"/>
    </row>
    <row r="643">
      <c r="A643" s="511"/>
      <c r="B643" s="18"/>
      <c r="C643" s="18"/>
      <c r="D643" s="161"/>
      <c r="E643" s="161"/>
      <c r="F643" s="511"/>
      <c r="G643" s="161"/>
      <c r="H643" s="161"/>
      <c r="I643" s="161"/>
      <c r="J643" s="161"/>
      <c r="K643" s="161"/>
      <c r="L643" s="161"/>
      <c r="M643" s="161"/>
      <c r="N643" s="161"/>
      <c r="O643" s="161"/>
      <c r="P643" s="161"/>
      <c r="Q643" s="161"/>
      <c r="R643" s="161"/>
      <c r="S643" s="161"/>
      <c r="T643" s="161"/>
      <c r="U643" s="161"/>
      <c r="V643" s="161"/>
      <c r="W643" s="161"/>
      <c r="X643" s="161"/>
      <c r="Y643" s="161"/>
      <c r="Z643" s="161"/>
    </row>
    <row r="644">
      <c r="A644" s="511"/>
      <c r="B644" s="18"/>
      <c r="C644" s="18"/>
      <c r="D644" s="161"/>
      <c r="E644" s="161"/>
      <c r="F644" s="511"/>
      <c r="G644" s="161"/>
      <c r="H644" s="161"/>
      <c r="I644" s="161"/>
      <c r="J644" s="161"/>
      <c r="K644" s="161"/>
      <c r="L644" s="161"/>
      <c r="M644" s="161"/>
      <c r="N644" s="161"/>
      <c r="O644" s="161"/>
      <c r="P644" s="161"/>
      <c r="Q644" s="161"/>
      <c r="R644" s="161"/>
      <c r="S644" s="161"/>
      <c r="T644" s="161"/>
      <c r="U644" s="161"/>
      <c r="V644" s="161"/>
      <c r="W644" s="161"/>
      <c r="X644" s="161"/>
      <c r="Y644" s="161"/>
      <c r="Z644" s="161"/>
    </row>
    <row r="645">
      <c r="A645" s="511"/>
      <c r="B645" s="18"/>
      <c r="C645" s="18"/>
      <c r="D645" s="161"/>
      <c r="E645" s="161"/>
      <c r="F645" s="511"/>
      <c r="G645" s="161"/>
      <c r="H645" s="161"/>
      <c r="I645" s="161"/>
      <c r="J645" s="161"/>
      <c r="K645" s="161"/>
      <c r="L645" s="161"/>
      <c r="M645" s="161"/>
      <c r="N645" s="161"/>
      <c r="O645" s="161"/>
      <c r="P645" s="161"/>
      <c r="Q645" s="161"/>
      <c r="R645" s="161"/>
      <c r="S645" s="161"/>
      <c r="T645" s="161"/>
      <c r="U645" s="161"/>
      <c r="V645" s="161"/>
      <c r="W645" s="161"/>
      <c r="X645" s="161"/>
      <c r="Y645" s="161"/>
      <c r="Z645" s="161"/>
    </row>
    <row r="646">
      <c r="A646" s="511"/>
      <c r="B646" s="18"/>
      <c r="C646" s="18"/>
      <c r="D646" s="161"/>
      <c r="E646" s="161"/>
      <c r="F646" s="511"/>
      <c r="G646" s="161"/>
      <c r="H646" s="161"/>
      <c r="I646" s="161"/>
      <c r="J646" s="161"/>
      <c r="K646" s="161"/>
      <c r="L646" s="161"/>
      <c r="M646" s="161"/>
      <c r="N646" s="161"/>
      <c r="O646" s="161"/>
      <c r="P646" s="161"/>
      <c r="Q646" s="161"/>
      <c r="R646" s="161"/>
      <c r="S646" s="161"/>
      <c r="T646" s="161"/>
      <c r="U646" s="161"/>
      <c r="V646" s="161"/>
      <c r="W646" s="161"/>
      <c r="X646" s="161"/>
      <c r="Y646" s="161"/>
      <c r="Z646" s="161"/>
    </row>
    <row r="647">
      <c r="A647" s="511"/>
      <c r="B647" s="18"/>
      <c r="C647" s="18"/>
      <c r="D647" s="161"/>
      <c r="E647" s="161"/>
      <c r="F647" s="511"/>
      <c r="G647" s="161"/>
      <c r="H647" s="161"/>
      <c r="I647" s="161"/>
      <c r="J647" s="161"/>
      <c r="K647" s="161"/>
      <c r="L647" s="161"/>
      <c r="M647" s="161"/>
      <c r="N647" s="161"/>
      <c r="O647" s="161"/>
      <c r="P647" s="161"/>
      <c r="Q647" s="161"/>
      <c r="R647" s="161"/>
      <c r="S647" s="161"/>
      <c r="T647" s="161"/>
      <c r="U647" s="161"/>
      <c r="V647" s="161"/>
      <c r="W647" s="161"/>
      <c r="X647" s="161"/>
      <c r="Y647" s="161"/>
      <c r="Z647" s="161"/>
    </row>
    <row r="648">
      <c r="A648" s="511"/>
      <c r="B648" s="18"/>
      <c r="C648" s="18"/>
      <c r="D648" s="161"/>
      <c r="E648" s="161"/>
      <c r="F648" s="511"/>
      <c r="G648" s="161"/>
      <c r="H648" s="161"/>
      <c r="I648" s="161"/>
      <c r="J648" s="161"/>
      <c r="K648" s="161"/>
      <c r="L648" s="161"/>
      <c r="M648" s="161"/>
      <c r="N648" s="161"/>
      <c r="O648" s="161"/>
      <c r="P648" s="161"/>
      <c r="Q648" s="161"/>
      <c r="R648" s="161"/>
      <c r="S648" s="161"/>
      <c r="T648" s="161"/>
      <c r="U648" s="161"/>
      <c r="V648" s="161"/>
      <c r="W648" s="161"/>
      <c r="X648" s="161"/>
      <c r="Y648" s="161"/>
      <c r="Z648" s="161"/>
    </row>
    <row r="649">
      <c r="A649" s="511"/>
      <c r="B649" s="18"/>
      <c r="C649" s="18"/>
      <c r="D649" s="161"/>
      <c r="E649" s="161"/>
      <c r="F649" s="511"/>
      <c r="G649" s="161"/>
      <c r="H649" s="161"/>
      <c r="I649" s="161"/>
      <c r="J649" s="161"/>
      <c r="K649" s="161"/>
      <c r="L649" s="161"/>
      <c r="M649" s="161"/>
      <c r="N649" s="161"/>
      <c r="O649" s="161"/>
      <c r="P649" s="161"/>
      <c r="Q649" s="161"/>
      <c r="R649" s="161"/>
      <c r="S649" s="161"/>
      <c r="T649" s="161"/>
      <c r="U649" s="161"/>
      <c r="V649" s="161"/>
      <c r="W649" s="161"/>
      <c r="X649" s="161"/>
      <c r="Y649" s="161"/>
      <c r="Z649" s="161"/>
    </row>
    <row r="650">
      <c r="A650" s="511"/>
      <c r="B650" s="18"/>
      <c r="C650" s="18"/>
      <c r="D650" s="161"/>
      <c r="E650" s="161"/>
      <c r="F650" s="511"/>
      <c r="G650" s="161"/>
      <c r="H650" s="161"/>
      <c r="I650" s="161"/>
      <c r="J650" s="161"/>
      <c r="K650" s="161"/>
      <c r="L650" s="161"/>
      <c r="M650" s="161"/>
      <c r="N650" s="161"/>
      <c r="O650" s="161"/>
      <c r="P650" s="161"/>
      <c r="Q650" s="161"/>
      <c r="R650" s="161"/>
      <c r="S650" s="161"/>
      <c r="T650" s="161"/>
      <c r="U650" s="161"/>
      <c r="V650" s="161"/>
      <c r="W650" s="161"/>
      <c r="X650" s="161"/>
      <c r="Y650" s="161"/>
      <c r="Z650" s="161"/>
    </row>
    <row r="651">
      <c r="A651" s="511"/>
      <c r="B651" s="18"/>
      <c r="C651" s="18"/>
      <c r="D651" s="161"/>
      <c r="E651" s="161"/>
      <c r="F651" s="511"/>
      <c r="G651" s="161"/>
      <c r="H651" s="161"/>
      <c r="I651" s="161"/>
      <c r="J651" s="161"/>
      <c r="K651" s="161"/>
      <c r="L651" s="161"/>
      <c r="M651" s="161"/>
      <c r="N651" s="161"/>
      <c r="O651" s="161"/>
      <c r="P651" s="161"/>
      <c r="Q651" s="161"/>
      <c r="R651" s="161"/>
      <c r="S651" s="161"/>
      <c r="T651" s="161"/>
      <c r="U651" s="161"/>
      <c r="V651" s="161"/>
      <c r="W651" s="161"/>
      <c r="X651" s="161"/>
      <c r="Y651" s="161"/>
      <c r="Z651" s="161"/>
    </row>
    <row r="652">
      <c r="A652" s="511"/>
      <c r="B652" s="18"/>
      <c r="C652" s="18"/>
      <c r="D652" s="161"/>
      <c r="E652" s="161"/>
      <c r="F652" s="511"/>
      <c r="G652" s="161"/>
      <c r="H652" s="161"/>
      <c r="I652" s="161"/>
      <c r="J652" s="161"/>
      <c r="K652" s="161"/>
      <c r="L652" s="161"/>
      <c r="M652" s="161"/>
      <c r="N652" s="161"/>
      <c r="O652" s="161"/>
      <c r="P652" s="161"/>
      <c r="Q652" s="161"/>
      <c r="R652" s="161"/>
      <c r="S652" s="161"/>
      <c r="T652" s="161"/>
      <c r="U652" s="161"/>
      <c r="V652" s="161"/>
      <c r="W652" s="161"/>
      <c r="X652" s="161"/>
      <c r="Y652" s="161"/>
      <c r="Z652" s="161"/>
    </row>
    <row r="653">
      <c r="A653" s="511"/>
      <c r="B653" s="18"/>
      <c r="C653" s="18"/>
      <c r="D653" s="161"/>
      <c r="E653" s="161"/>
      <c r="F653" s="511"/>
      <c r="G653" s="161"/>
      <c r="H653" s="161"/>
      <c r="I653" s="161"/>
      <c r="J653" s="161"/>
      <c r="K653" s="161"/>
      <c r="L653" s="161"/>
      <c r="M653" s="161"/>
      <c r="N653" s="161"/>
      <c r="O653" s="161"/>
      <c r="P653" s="161"/>
      <c r="Q653" s="161"/>
      <c r="R653" s="161"/>
      <c r="S653" s="161"/>
      <c r="T653" s="161"/>
      <c r="U653" s="161"/>
      <c r="V653" s="161"/>
      <c r="W653" s="161"/>
      <c r="X653" s="161"/>
      <c r="Y653" s="161"/>
      <c r="Z653" s="161"/>
    </row>
    <row r="654">
      <c r="A654" s="511"/>
      <c r="B654" s="18"/>
      <c r="C654" s="18"/>
      <c r="D654" s="161"/>
      <c r="E654" s="161"/>
      <c r="F654" s="511"/>
      <c r="G654" s="161"/>
      <c r="H654" s="161"/>
      <c r="I654" s="161"/>
      <c r="J654" s="161"/>
      <c r="K654" s="161"/>
      <c r="L654" s="161"/>
      <c r="M654" s="161"/>
      <c r="N654" s="161"/>
      <c r="O654" s="161"/>
      <c r="P654" s="161"/>
      <c r="Q654" s="161"/>
      <c r="R654" s="161"/>
      <c r="S654" s="161"/>
      <c r="T654" s="161"/>
      <c r="U654" s="161"/>
      <c r="V654" s="161"/>
      <c r="W654" s="161"/>
      <c r="X654" s="161"/>
      <c r="Y654" s="161"/>
      <c r="Z654" s="161"/>
    </row>
    <row r="655">
      <c r="A655" s="511"/>
      <c r="B655" s="18"/>
      <c r="C655" s="18"/>
      <c r="D655" s="161"/>
      <c r="E655" s="161"/>
      <c r="F655" s="511"/>
      <c r="G655" s="161"/>
      <c r="H655" s="161"/>
      <c r="I655" s="161"/>
      <c r="J655" s="161"/>
      <c r="K655" s="161"/>
      <c r="L655" s="161"/>
      <c r="M655" s="161"/>
      <c r="N655" s="161"/>
      <c r="O655" s="161"/>
      <c r="P655" s="161"/>
      <c r="Q655" s="161"/>
      <c r="R655" s="161"/>
      <c r="S655" s="161"/>
      <c r="T655" s="161"/>
      <c r="U655" s="161"/>
      <c r="V655" s="161"/>
      <c r="W655" s="161"/>
      <c r="X655" s="161"/>
      <c r="Y655" s="161"/>
      <c r="Z655" s="161"/>
    </row>
    <row r="656">
      <c r="A656" s="511"/>
      <c r="B656" s="18"/>
      <c r="C656" s="18"/>
      <c r="D656" s="161"/>
      <c r="E656" s="161"/>
      <c r="F656" s="511"/>
      <c r="G656" s="161"/>
      <c r="H656" s="161"/>
      <c r="I656" s="161"/>
      <c r="J656" s="161"/>
      <c r="K656" s="161"/>
      <c r="L656" s="161"/>
      <c r="M656" s="161"/>
      <c r="N656" s="161"/>
      <c r="O656" s="161"/>
      <c r="P656" s="161"/>
      <c r="Q656" s="161"/>
      <c r="R656" s="161"/>
      <c r="S656" s="161"/>
      <c r="T656" s="161"/>
      <c r="U656" s="161"/>
      <c r="V656" s="161"/>
      <c r="W656" s="161"/>
      <c r="X656" s="161"/>
      <c r="Y656" s="161"/>
      <c r="Z656" s="161"/>
    </row>
    <row r="657">
      <c r="A657" s="511"/>
      <c r="B657" s="18"/>
      <c r="C657" s="18"/>
      <c r="D657" s="161"/>
      <c r="E657" s="161"/>
      <c r="F657" s="511"/>
      <c r="G657" s="161"/>
      <c r="H657" s="161"/>
      <c r="I657" s="161"/>
      <c r="J657" s="161"/>
      <c r="K657" s="161"/>
      <c r="L657" s="161"/>
      <c r="M657" s="161"/>
      <c r="N657" s="161"/>
      <c r="O657" s="161"/>
      <c r="P657" s="161"/>
      <c r="Q657" s="161"/>
      <c r="R657" s="161"/>
      <c r="S657" s="161"/>
      <c r="T657" s="161"/>
      <c r="U657" s="161"/>
      <c r="V657" s="161"/>
      <c r="W657" s="161"/>
      <c r="X657" s="161"/>
      <c r="Y657" s="161"/>
      <c r="Z657" s="161"/>
    </row>
    <row r="658">
      <c r="A658" s="511"/>
      <c r="B658" s="18"/>
      <c r="C658" s="18"/>
      <c r="D658" s="161"/>
      <c r="E658" s="161"/>
      <c r="F658" s="511"/>
      <c r="G658" s="161"/>
      <c r="H658" s="161"/>
      <c r="I658" s="161"/>
      <c r="J658" s="161"/>
      <c r="K658" s="161"/>
      <c r="L658" s="161"/>
      <c r="M658" s="161"/>
      <c r="N658" s="161"/>
      <c r="O658" s="161"/>
      <c r="P658" s="161"/>
      <c r="Q658" s="161"/>
      <c r="R658" s="161"/>
      <c r="S658" s="161"/>
      <c r="T658" s="161"/>
      <c r="U658" s="161"/>
      <c r="V658" s="161"/>
      <c r="W658" s="161"/>
      <c r="X658" s="161"/>
      <c r="Y658" s="161"/>
      <c r="Z658" s="161"/>
    </row>
    <row r="659">
      <c r="A659" s="511"/>
      <c r="B659" s="18"/>
      <c r="C659" s="18"/>
      <c r="D659" s="161"/>
      <c r="E659" s="161"/>
      <c r="F659" s="511"/>
      <c r="G659" s="161"/>
      <c r="H659" s="161"/>
      <c r="I659" s="161"/>
      <c r="J659" s="161"/>
      <c r="K659" s="161"/>
      <c r="L659" s="161"/>
      <c r="M659" s="161"/>
      <c r="N659" s="161"/>
      <c r="O659" s="161"/>
      <c r="P659" s="161"/>
      <c r="Q659" s="161"/>
      <c r="R659" s="161"/>
      <c r="S659" s="161"/>
      <c r="T659" s="161"/>
      <c r="U659" s="161"/>
      <c r="V659" s="161"/>
      <c r="W659" s="161"/>
      <c r="X659" s="161"/>
      <c r="Y659" s="161"/>
      <c r="Z659" s="161"/>
    </row>
    <row r="660">
      <c r="A660" s="511"/>
      <c r="B660" s="18"/>
      <c r="C660" s="18"/>
      <c r="D660" s="161"/>
      <c r="E660" s="161"/>
      <c r="F660" s="511"/>
      <c r="G660" s="161"/>
      <c r="H660" s="161"/>
      <c r="I660" s="161"/>
      <c r="J660" s="161"/>
      <c r="K660" s="161"/>
      <c r="L660" s="161"/>
      <c r="M660" s="161"/>
      <c r="N660" s="161"/>
      <c r="O660" s="161"/>
      <c r="P660" s="161"/>
      <c r="Q660" s="161"/>
      <c r="R660" s="161"/>
      <c r="S660" s="161"/>
      <c r="T660" s="161"/>
      <c r="U660" s="161"/>
      <c r="V660" s="161"/>
      <c r="W660" s="161"/>
      <c r="X660" s="161"/>
      <c r="Y660" s="161"/>
      <c r="Z660" s="161"/>
    </row>
    <row r="661">
      <c r="A661" s="511"/>
      <c r="B661" s="18"/>
      <c r="C661" s="18"/>
      <c r="D661" s="161"/>
      <c r="E661" s="161"/>
      <c r="F661" s="511"/>
      <c r="G661" s="161"/>
      <c r="H661" s="161"/>
      <c r="I661" s="161"/>
      <c r="J661" s="161"/>
      <c r="K661" s="161"/>
      <c r="L661" s="161"/>
      <c r="M661" s="161"/>
      <c r="N661" s="161"/>
      <c r="O661" s="161"/>
      <c r="P661" s="161"/>
      <c r="Q661" s="161"/>
      <c r="R661" s="161"/>
      <c r="S661" s="161"/>
      <c r="T661" s="161"/>
      <c r="U661" s="161"/>
      <c r="V661" s="161"/>
      <c r="W661" s="161"/>
      <c r="X661" s="161"/>
      <c r="Y661" s="161"/>
      <c r="Z661" s="161"/>
    </row>
    <row r="662">
      <c r="A662" s="511"/>
      <c r="B662" s="18"/>
      <c r="C662" s="18"/>
      <c r="D662" s="161"/>
      <c r="E662" s="161"/>
      <c r="F662" s="511"/>
      <c r="G662" s="161"/>
      <c r="H662" s="161"/>
      <c r="I662" s="161"/>
      <c r="J662" s="161"/>
      <c r="K662" s="161"/>
      <c r="L662" s="161"/>
      <c r="M662" s="161"/>
      <c r="N662" s="161"/>
      <c r="O662" s="161"/>
      <c r="P662" s="161"/>
      <c r="Q662" s="161"/>
      <c r="R662" s="161"/>
      <c r="S662" s="161"/>
      <c r="T662" s="161"/>
      <c r="U662" s="161"/>
      <c r="V662" s="161"/>
      <c r="W662" s="161"/>
      <c r="X662" s="161"/>
      <c r="Y662" s="161"/>
      <c r="Z662" s="161"/>
    </row>
    <row r="663">
      <c r="A663" s="511"/>
      <c r="B663" s="18"/>
      <c r="C663" s="18"/>
      <c r="D663" s="161"/>
      <c r="E663" s="161"/>
      <c r="F663" s="511"/>
      <c r="G663" s="161"/>
      <c r="H663" s="161"/>
      <c r="I663" s="161"/>
      <c r="J663" s="161"/>
      <c r="K663" s="161"/>
      <c r="L663" s="161"/>
      <c r="M663" s="161"/>
      <c r="N663" s="161"/>
      <c r="O663" s="161"/>
      <c r="P663" s="161"/>
      <c r="Q663" s="161"/>
      <c r="R663" s="161"/>
      <c r="S663" s="161"/>
      <c r="T663" s="161"/>
      <c r="U663" s="161"/>
      <c r="V663" s="161"/>
      <c r="W663" s="161"/>
      <c r="X663" s="161"/>
      <c r="Y663" s="161"/>
      <c r="Z663" s="161"/>
    </row>
    <row r="664">
      <c r="A664" s="511"/>
      <c r="B664" s="18"/>
      <c r="C664" s="18"/>
      <c r="D664" s="161"/>
      <c r="E664" s="161"/>
      <c r="F664" s="511"/>
      <c r="G664" s="161"/>
      <c r="H664" s="161"/>
      <c r="I664" s="161"/>
      <c r="J664" s="161"/>
      <c r="K664" s="161"/>
      <c r="L664" s="161"/>
      <c r="M664" s="161"/>
      <c r="N664" s="161"/>
      <c r="O664" s="161"/>
      <c r="P664" s="161"/>
      <c r="Q664" s="161"/>
      <c r="R664" s="161"/>
      <c r="S664" s="161"/>
      <c r="T664" s="161"/>
      <c r="U664" s="161"/>
      <c r="V664" s="161"/>
      <c r="W664" s="161"/>
      <c r="X664" s="161"/>
      <c r="Y664" s="161"/>
      <c r="Z664" s="161"/>
    </row>
    <row r="665">
      <c r="A665" s="511"/>
      <c r="B665" s="18"/>
      <c r="C665" s="18"/>
      <c r="D665" s="161"/>
      <c r="E665" s="161"/>
      <c r="F665" s="511"/>
      <c r="G665" s="161"/>
      <c r="H665" s="161"/>
      <c r="I665" s="161"/>
      <c r="J665" s="161"/>
      <c r="K665" s="161"/>
      <c r="L665" s="161"/>
      <c r="M665" s="161"/>
      <c r="N665" s="161"/>
      <c r="O665" s="161"/>
      <c r="P665" s="161"/>
      <c r="Q665" s="161"/>
      <c r="R665" s="161"/>
      <c r="S665" s="161"/>
      <c r="T665" s="161"/>
      <c r="U665" s="161"/>
      <c r="V665" s="161"/>
      <c r="W665" s="161"/>
      <c r="X665" s="161"/>
      <c r="Y665" s="161"/>
      <c r="Z665" s="161"/>
    </row>
    <row r="666">
      <c r="A666" s="511"/>
      <c r="B666" s="18"/>
      <c r="C666" s="18"/>
      <c r="D666" s="161"/>
      <c r="E666" s="161"/>
      <c r="F666" s="511"/>
      <c r="G666" s="161"/>
      <c r="H666" s="161"/>
      <c r="I666" s="161"/>
      <c r="J666" s="161"/>
      <c r="K666" s="161"/>
      <c r="L666" s="161"/>
      <c r="M666" s="161"/>
      <c r="N666" s="161"/>
      <c r="O666" s="161"/>
      <c r="P666" s="161"/>
      <c r="Q666" s="161"/>
      <c r="R666" s="161"/>
      <c r="S666" s="161"/>
      <c r="T666" s="161"/>
      <c r="U666" s="161"/>
      <c r="V666" s="161"/>
      <c r="W666" s="161"/>
      <c r="X666" s="161"/>
      <c r="Y666" s="161"/>
      <c r="Z666" s="161"/>
    </row>
    <row r="667">
      <c r="A667" s="511"/>
      <c r="B667" s="18"/>
      <c r="C667" s="18"/>
      <c r="D667" s="161"/>
      <c r="E667" s="161"/>
      <c r="F667" s="511"/>
      <c r="G667" s="161"/>
      <c r="H667" s="161"/>
      <c r="I667" s="161"/>
      <c r="J667" s="161"/>
      <c r="K667" s="161"/>
      <c r="L667" s="161"/>
      <c r="M667" s="161"/>
      <c r="N667" s="161"/>
      <c r="O667" s="161"/>
      <c r="P667" s="161"/>
      <c r="Q667" s="161"/>
      <c r="R667" s="161"/>
      <c r="S667" s="161"/>
      <c r="T667" s="161"/>
      <c r="U667" s="161"/>
      <c r="V667" s="161"/>
      <c r="W667" s="161"/>
      <c r="X667" s="161"/>
      <c r="Y667" s="161"/>
      <c r="Z667" s="161"/>
    </row>
    <row r="668">
      <c r="A668" s="511"/>
      <c r="B668" s="18"/>
      <c r="C668" s="18"/>
      <c r="D668" s="161"/>
      <c r="E668" s="161"/>
      <c r="F668" s="511"/>
      <c r="G668" s="161"/>
      <c r="H668" s="161"/>
      <c r="I668" s="161"/>
      <c r="J668" s="161"/>
      <c r="K668" s="161"/>
      <c r="L668" s="161"/>
      <c r="M668" s="161"/>
      <c r="N668" s="161"/>
      <c r="O668" s="161"/>
      <c r="P668" s="161"/>
      <c r="Q668" s="161"/>
      <c r="R668" s="161"/>
      <c r="S668" s="161"/>
      <c r="T668" s="161"/>
      <c r="U668" s="161"/>
      <c r="V668" s="161"/>
      <c r="W668" s="161"/>
      <c r="X668" s="161"/>
      <c r="Y668" s="161"/>
      <c r="Z668" s="161"/>
    </row>
    <row r="669">
      <c r="A669" s="511"/>
      <c r="B669" s="18"/>
      <c r="C669" s="18"/>
      <c r="D669" s="161"/>
      <c r="E669" s="161"/>
      <c r="F669" s="511"/>
      <c r="G669" s="161"/>
      <c r="H669" s="161"/>
      <c r="I669" s="161"/>
      <c r="J669" s="161"/>
      <c r="K669" s="161"/>
      <c r="L669" s="161"/>
      <c r="M669" s="161"/>
      <c r="N669" s="161"/>
      <c r="O669" s="161"/>
      <c r="P669" s="161"/>
      <c r="Q669" s="161"/>
      <c r="R669" s="161"/>
      <c r="S669" s="161"/>
      <c r="T669" s="161"/>
      <c r="U669" s="161"/>
      <c r="V669" s="161"/>
      <c r="W669" s="161"/>
      <c r="X669" s="161"/>
      <c r="Y669" s="161"/>
      <c r="Z669" s="161"/>
    </row>
    <row r="670">
      <c r="A670" s="511"/>
      <c r="B670" s="18"/>
      <c r="C670" s="18"/>
      <c r="D670" s="161"/>
      <c r="E670" s="161"/>
      <c r="F670" s="511"/>
      <c r="G670" s="161"/>
      <c r="H670" s="161"/>
      <c r="I670" s="161"/>
      <c r="J670" s="161"/>
      <c r="K670" s="161"/>
      <c r="L670" s="161"/>
      <c r="M670" s="161"/>
      <c r="N670" s="161"/>
      <c r="O670" s="161"/>
      <c r="P670" s="161"/>
      <c r="Q670" s="161"/>
      <c r="R670" s="161"/>
      <c r="S670" s="161"/>
      <c r="T670" s="161"/>
      <c r="U670" s="161"/>
      <c r="V670" s="161"/>
      <c r="W670" s="161"/>
      <c r="X670" s="161"/>
      <c r="Y670" s="161"/>
      <c r="Z670" s="161"/>
    </row>
    <row r="671">
      <c r="A671" s="511"/>
      <c r="B671" s="18"/>
      <c r="C671" s="18"/>
      <c r="D671" s="161"/>
      <c r="E671" s="161"/>
      <c r="F671" s="511"/>
      <c r="G671" s="161"/>
      <c r="H671" s="161"/>
      <c r="I671" s="161"/>
      <c r="J671" s="161"/>
      <c r="K671" s="161"/>
      <c r="L671" s="161"/>
      <c r="M671" s="161"/>
      <c r="N671" s="161"/>
      <c r="O671" s="161"/>
      <c r="P671" s="161"/>
      <c r="Q671" s="161"/>
      <c r="R671" s="161"/>
      <c r="S671" s="161"/>
      <c r="T671" s="161"/>
      <c r="U671" s="161"/>
      <c r="V671" s="161"/>
      <c r="W671" s="161"/>
      <c r="X671" s="161"/>
      <c r="Y671" s="161"/>
      <c r="Z671" s="161"/>
    </row>
    <row r="672">
      <c r="A672" s="511"/>
      <c r="B672" s="18"/>
      <c r="C672" s="18"/>
      <c r="D672" s="161"/>
      <c r="E672" s="161"/>
      <c r="F672" s="511"/>
      <c r="G672" s="161"/>
      <c r="H672" s="161"/>
      <c r="I672" s="161"/>
      <c r="J672" s="161"/>
      <c r="K672" s="161"/>
      <c r="L672" s="161"/>
      <c r="M672" s="161"/>
      <c r="N672" s="161"/>
      <c r="O672" s="161"/>
      <c r="P672" s="161"/>
      <c r="Q672" s="161"/>
      <c r="R672" s="161"/>
      <c r="S672" s="161"/>
      <c r="T672" s="161"/>
      <c r="U672" s="161"/>
      <c r="V672" s="161"/>
      <c r="W672" s="161"/>
      <c r="X672" s="161"/>
      <c r="Y672" s="161"/>
      <c r="Z672" s="161"/>
    </row>
    <row r="673">
      <c r="A673" s="511"/>
      <c r="B673" s="18"/>
      <c r="C673" s="18"/>
      <c r="D673" s="161"/>
      <c r="E673" s="161"/>
      <c r="F673" s="511"/>
      <c r="G673" s="161"/>
      <c r="H673" s="161"/>
      <c r="I673" s="161"/>
      <c r="J673" s="161"/>
      <c r="K673" s="161"/>
      <c r="L673" s="161"/>
      <c r="M673" s="161"/>
      <c r="N673" s="161"/>
      <c r="O673" s="161"/>
      <c r="P673" s="161"/>
      <c r="Q673" s="161"/>
      <c r="R673" s="161"/>
      <c r="S673" s="161"/>
      <c r="T673" s="161"/>
      <c r="U673" s="161"/>
      <c r="V673" s="161"/>
      <c r="W673" s="161"/>
      <c r="X673" s="161"/>
      <c r="Y673" s="161"/>
      <c r="Z673" s="161"/>
    </row>
    <row r="674">
      <c r="A674" s="511"/>
      <c r="B674" s="18"/>
      <c r="C674" s="18"/>
      <c r="D674" s="161"/>
      <c r="E674" s="161"/>
      <c r="F674" s="511"/>
      <c r="G674" s="161"/>
      <c r="H674" s="161"/>
      <c r="I674" s="161"/>
      <c r="J674" s="161"/>
      <c r="K674" s="161"/>
      <c r="L674" s="161"/>
      <c r="M674" s="161"/>
      <c r="N674" s="161"/>
      <c r="O674" s="161"/>
      <c r="P674" s="161"/>
      <c r="Q674" s="161"/>
      <c r="R674" s="161"/>
      <c r="S674" s="161"/>
      <c r="T674" s="161"/>
      <c r="U674" s="161"/>
      <c r="V674" s="161"/>
      <c r="W674" s="161"/>
      <c r="X674" s="161"/>
      <c r="Y674" s="161"/>
      <c r="Z674" s="161"/>
    </row>
    <row r="675">
      <c r="A675" s="511"/>
      <c r="B675" s="18"/>
      <c r="C675" s="18"/>
      <c r="D675" s="161"/>
      <c r="E675" s="161"/>
      <c r="F675" s="511"/>
      <c r="G675" s="161"/>
      <c r="H675" s="161"/>
      <c r="I675" s="161"/>
      <c r="J675" s="161"/>
      <c r="K675" s="161"/>
      <c r="L675" s="161"/>
      <c r="M675" s="161"/>
      <c r="N675" s="161"/>
      <c r="O675" s="161"/>
      <c r="P675" s="161"/>
      <c r="Q675" s="161"/>
      <c r="R675" s="161"/>
      <c r="S675" s="161"/>
      <c r="T675" s="161"/>
      <c r="U675" s="161"/>
      <c r="V675" s="161"/>
      <c r="W675" s="161"/>
      <c r="X675" s="161"/>
      <c r="Y675" s="161"/>
      <c r="Z675" s="161"/>
    </row>
    <row r="676">
      <c r="A676" s="511"/>
      <c r="B676" s="18"/>
      <c r="C676" s="18"/>
      <c r="D676" s="161"/>
      <c r="E676" s="161"/>
      <c r="F676" s="511"/>
      <c r="G676" s="161"/>
      <c r="H676" s="161"/>
      <c r="I676" s="161"/>
      <c r="J676" s="161"/>
      <c r="K676" s="161"/>
      <c r="L676" s="161"/>
      <c r="M676" s="161"/>
      <c r="N676" s="161"/>
      <c r="O676" s="161"/>
      <c r="P676" s="161"/>
      <c r="Q676" s="161"/>
      <c r="R676" s="161"/>
      <c r="S676" s="161"/>
      <c r="T676" s="161"/>
      <c r="U676" s="161"/>
      <c r="V676" s="161"/>
      <c r="W676" s="161"/>
      <c r="X676" s="161"/>
      <c r="Y676" s="161"/>
      <c r="Z676" s="161"/>
    </row>
    <row r="677">
      <c r="A677" s="511"/>
      <c r="B677" s="18"/>
      <c r="C677" s="18"/>
      <c r="D677" s="161"/>
      <c r="E677" s="161"/>
      <c r="F677" s="511"/>
      <c r="G677" s="161"/>
      <c r="H677" s="161"/>
      <c r="I677" s="161"/>
      <c r="J677" s="161"/>
      <c r="K677" s="161"/>
      <c r="L677" s="161"/>
      <c r="M677" s="161"/>
      <c r="N677" s="161"/>
      <c r="O677" s="161"/>
      <c r="P677" s="161"/>
      <c r="Q677" s="161"/>
      <c r="R677" s="161"/>
      <c r="S677" s="161"/>
      <c r="T677" s="161"/>
      <c r="U677" s="161"/>
      <c r="V677" s="161"/>
      <c r="W677" s="161"/>
      <c r="X677" s="161"/>
      <c r="Y677" s="161"/>
      <c r="Z677" s="161"/>
    </row>
    <row r="678">
      <c r="A678" s="511"/>
      <c r="B678" s="18"/>
      <c r="C678" s="18"/>
      <c r="D678" s="161"/>
      <c r="E678" s="161"/>
      <c r="F678" s="511"/>
      <c r="G678" s="161"/>
      <c r="H678" s="161"/>
      <c r="I678" s="161"/>
      <c r="J678" s="161"/>
      <c r="K678" s="161"/>
      <c r="L678" s="161"/>
      <c r="M678" s="161"/>
      <c r="N678" s="161"/>
      <c r="O678" s="161"/>
      <c r="P678" s="161"/>
      <c r="Q678" s="161"/>
      <c r="R678" s="161"/>
      <c r="S678" s="161"/>
      <c r="T678" s="161"/>
      <c r="U678" s="161"/>
      <c r="V678" s="161"/>
      <c r="W678" s="161"/>
      <c r="X678" s="161"/>
      <c r="Y678" s="161"/>
      <c r="Z678" s="161"/>
    </row>
    <row r="679">
      <c r="A679" s="511"/>
      <c r="B679" s="18"/>
      <c r="C679" s="18"/>
      <c r="D679" s="161"/>
      <c r="E679" s="161"/>
      <c r="F679" s="511"/>
      <c r="G679" s="161"/>
      <c r="H679" s="161"/>
      <c r="I679" s="161"/>
      <c r="J679" s="161"/>
      <c r="K679" s="161"/>
      <c r="L679" s="161"/>
      <c r="M679" s="161"/>
      <c r="N679" s="161"/>
      <c r="O679" s="161"/>
      <c r="P679" s="161"/>
      <c r="Q679" s="161"/>
      <c r="R679" s="161"/>
      <c r="S679" s="161"/>
      <c r="T679" s="161"/>
      <c r="U679" s="161"/>
      <c r="V679" s="161"/>
      <c r="W679" s="161"/>
      <c r="X679" s="161"/>
      <c r="Y679" s="161"/>
      <c r="Z679" s="161"/>
    </row>
    <row r="680">
      <c r="A680" s="511"/>
      <c r="B680" s="18"/>
      <c r="C680" s="18"/>
      <c r="D680" s="161"/>
      <c r="E680" s="161"/>
      <c r="F680" s="511"/>
      <c r="G680" s="161"/>
      <c r="H680" s="161"/>
      <c r="I680" s="161"/>
      <c r="J680" s="161"/>
      <c r="K680" s="161"/>
      <c r="L680" s="161"/>
      <c r="M680" s="161"/>
      <c r="N680" s="161"/>
      <c r="O680" s="161"/>
      <c r="P680" s="161"/>
      <c r="Q680" s="161"/>
      <c r="R680" s="161"/>
      <c r="S680" s="161"/>
      <c r="T680" s="161"/>
      <c r="U680" s="161"/>
      <c r="V680" s="161"/>
      <c r="W680" s="161"/>
      <c r="X680" s="161"/>
      <c r="Y680" s="161"/>
      <c r="Z680" s="161"/>
    </row>
    <row r="681">
      <c r="A681" s="511"/>
      <c r="B681" s="18"/>
      <c r="C681" s="18"/>
      <c r="D681" s="161"/>
      <c r="E681" s="161"/>
      <c r="F681" s="511"/>
      <c r="G681" s="161"/>
      <c r="H681" s="161"/>
      <c r="I681" s="161"/>
      <c r="J681" s="161"/>
      <c r="K681" s="161"/>
      <c r="L681" s="161"/>
      <c r="M681" s="161"/>
      <c r="N681" s="161"/>
      <c r="O681" s="161"/>
      <c r="P681" s="161"/>
      <c r="Q681" s="161"/>
      <c r="R681" s="161"/>
      <c r="S681" s="161"/>
      <c r="T681" s="161"/>
      <c r="U681" s="161"/>
      <c r="V681" s="161"/>
      <c r="W681" s="161"/>
      <c r="X681" s="161"/>
      <c r="Y681" s="161"/>
      <c r="Z681" s="161"/>
    </row>
    <row r="682">
      <c r="A682" s="511"/>
      <c r="B682" s="18"/>
      <c r="C682" s="18"/>
      <c r="D682" s="161"/>
      <c r="E682" s="161"/>
      <c r="F682" s="511"/>
      <c r="G682" s="161"/>
      <c r="H682" s="161"/>
      <c r="I682" s="161"/>
      <c r="J682" s="161"/>
      <c r="K682" s="161"/>
      <c r="L682" s="161"/>
      <c r="M682" s="161"/>
      <c r="N682" s="161"/>
      <c r="O682" s="161"/>
      <c r="P682" s="161"/>
      <c r="Q682" s="161"/>
      <c r="R682" s="161"/>
      <c r="S682" s="161"/>
      <c r="T682" s="161"/>
      <c r="U682" s="161"/>
      <c r="V682" s="161"/>
      <c r="W682" s="161"/>
      <c r="X682" s="161"/>
      <c r="Y682" s="161"/>
      <c r="Z682" s="161"/>
    </row>
    <row r="683">
      <c r="A683" s="511"/>
      <c r="B683" s="18"/>
      <c r="C683" s="18"/>
      <c r="D683" s="161"/>
      <c r="E683" s="161"/>
      <c r="F683" s="511"/>
      <c r="G683" s="161"/>
      <c r="H683" s="161"/>
      <c r="I683" s="161"/>
      <c r="J683" s="161"/>
      <c r="K683" s="161"/>
      <c r="L683" s="161"/>
      <c r="M683" s="161"/>
      <c r="N683" s="161"/>
      <c r="O683" s="161"/>
      <c r="P683" s="161"/>
      <c r="Q683" s="161"/>
      <c r="R683" s="161"/>
      <c r="S683" s="161"/>
      <c r="T683" s="161"/>
      <c r="U683" s="161"/>
      <c r="V683" s="161"/>
      <c r="W683" s="161"/>
      <c r="X683" s="161"/>
      <c r="Y683" s="161"/>
      <c r="Z683" s="161"/>
    </row>
    <row r="684">
      <c r="A684" s="511"/>
      <c r="B684" s="18"/>
      <c r="C684" s="18"/>
      <c r="D684" s="161"/>
      <c r="E684" s="161"/>
      <c r="F684" s="511"/>
      <c r="G684" s="161"/>
      <c r="H684" s="161"/>
      <c r="I684" s="161"/>
      <c r="J684" s="161"/>
      <c r="K684" s="161"/>
      <c r="L684" s="161"/>
      <c r="M684" s="161"/>
      <c r="N684" s="161"/>
      <c r="O684" s="161"/>
      <c r="P684" s="161"/>
      <c r="Q684" s="161"/>
      <c r="R684" s="161"/>
      <c r="S684" s="161"/>
      <c r="T684" s="161"/>
      <c r="U684" s="161"/>
      <c r="V684" s="161"/>
      <c r="W684" s="161"/>
      <c r="X684" s="161"/>
      <c r="Y684" s="161"/>
      <c r="Z684" s="161"/>
    </row>
    <row r="685">
      <c r="A685" s="511"/>
      <c r="B685" s="18"/>
      <c r="C685" s="18"/>
      <c r="D685" s="161"/>
      <c r="E685" s="161"/>
      <c r="F685" s="511"/>
      <c r="G685" s="161"/>
      <c r="H685" s="161"/>
      <c r="I685" s="161"/>
      <c r="J685" s="161"/>
      <c r="K685" s="161"/>
      <c r="L685" s="161"/>
      <c r="M685" s="161"/>
      <c r="N685" s="161"/>
      <c r="O685" s="161"/>
      <c r="P685" s="161"/>
      <c r="Q685" s="161"/>
      <c r="R685" s="161"/>
      <c r="S685" s="161"/>
      <c r="T685" s="161"/>
      <c r="U685" s="161"/>
      <c r="V685" s="161"/>
      <c r="W685" s="161"/>
      <c r="X685" s="161"/>
      <c r="Y685" s="161"/>
      <c r="Z685" s="161"/>
    </row>
    <row r="686">
      <c r="A686" s="511"/>
      <c r="B686" s="18"/>
      <c r="C686" s="18"/>
      <c r="D686" s="161"/>
      <c r="E686" s="161"/>
      <c r="F686" s="511"/>
      <c r="G686" s="161"/>
      <c r="H686" s="161"/>
      <c r="I686" s="161"/>
      <c r="J686" s="161"/>
      <c r="K686" s="161"/>
      <c r="L686" s="161"/>
      <c r="M686" s="161"/>
      <c r="N686" s="161"/>
      <c r="O686" s="161"/>
      <c r="P686" s="161"/>
      <c r="Q686" s="161"/>
      <c r="R686" s="161"/>
      <c r="S686" s="161"/>
      <c r="T686" s="161"/>
      <c r="U686" s="161"/>
      <c r="V686" s="161"/>
      <c r="W686" s="161"/>
      <c r="X686" s="161"/>
      <c r="Y686" s="161"/>
      <c r="Z686" s="161"/>
    </row>
    <row r="687">
      <c r="A687" s="511"/>
      <c r="B687" s="18"/>
      <c r="C687" s="18"/>
      <c r="D687" s="161"/>
      <c r="E687" s="161"/>
      <c r="F687" s="511"/>
      <c r="G687" s="161"/>
      <c r="H687" s="161"/>
      <c r="I687" s="161"/>
      <c r="J687" s="161"/>
      <c r="K687" s="161"/>
      <c r="L687" s="161"/>
      <c r="M687" s="161"/>
      <c r="N687" s="161"/>
      <c r="O687" s="161"/>
      <c r="P687" s="161"/>
      <c r="Q687" s="161"/>
      <c r="R687" s="161"/>
      <c r="S687" s="161"/>
      <c r="T687" s="161"/>
      <c r="U687" s="161"/>
      <c r="V687" s="161"/>
      <c r="W687" s="161"/>
      <c r="X687" s="161"/>
      <c r="Y687" s="161"/>
      <c r="Z687" s="161"/>
    </row>
    <row r="688">
      <c r="A688" s="511"/>
      <c r="B688" s="18"/>
      <c r="C688" s="18"/>
      <c r="D688" s="161"/>
      <c r="E688" s="161"/>
      <c r="F688" s="511"/>
      <c r="G688" s="161"/>
      <c r="H688" s="161"/>
      <c r="I688" s="161"/>
      <c r="J688" s="161"/>
      <c r="K688" s="161"/>
      <c r="L688" s="161"/>
      <c r="M688" s="161"/>
      <c r="N688" s="161"/>
      <c r="O688" s="161"/>
      <c r="P688" s="161"/>
      <c r="Q688" s="161"/>
      <c r="R688" s="161"/>
      <c r="S688" s="161"/>
      <c r="T688" s="161"/>
      <c r="U688" s="161"/>
      <c r="V688" s="161"/>
      <c r="W688" s="161"/>
      <c r="X688" s="161"/>
      <c r="Y688" s="161"/>
      <c r="Z688" s="161"/>
    </row>
    <row r="689">
      <c r="A689" s="511"/>
      <c r="B689" s="18"/>
      <c r="C689" s="18"/>
      <c r="D689" s="161"/>
      <c r="E689" s="161"/>
      <c r="F689" s="511"/>
      <c r="G689" s="161"/>
      <c r="H689" s="161"/>
      <c r="I689" s="161"/>
      <c r="J689" s="161"/>
      <c r="K689" s="161"/>
      <c r="L689" s="161"/>
      <c r="M689" s="161"/>
      <c r="N689" s="161"/>
      <c r="O689" s="161"/>
      <c r="P689" s="161"/>
      <c r="Q689" s="161"/>
      <c r="R689" s="161"/>
      <c r="S689" s="161"/>
      <c r="T689" s="161"/>
      <c r="U689" s="161"/>
      <c r="V689" s="161"/>
      <c r="W689" s="161"/>
      <c r="X689" s="161"/>
      <c r="Y689" s="161"/>
      <c r="Z689" s="161"/>
    </row>
    <row r="690">
      <c r="A690" s="511"/>
      <c r="B690" s="18"/>
      <c r="C690" s="18"/>
      <c r="D690" s="161"/>
      <c r="E690" s="161"/>
      <c r="F690" s="511"/>
      <c r="G690" s="161"/>
      <c r="H690" s="161"/>
      <c r="I690" s="161"/>
      <c r="J690" s="161"/>
      <c r="K690" s="161"/>
      <c r="L690" s="161"/>
      <c r="M690" s="161"/>
      <c r="N690" s="161"/>
      <c r="O690" s="161"/>
      <c r="P690" s="161"/>
      <c r="Q690" s="161"/>
      <c r="R690" s="161"/>
      <c r="S690" s="161"/>
      <c r="T690" s="161"/>
      <c r="U690" s="161"/>
      <c r="V690" s="161"/>
      <c r="W690" s="161"/>
      <c r="X690" s="161"/>
      <c r="Y690" s="161"/>
      <c r="Z690" s="161"/>
    </row>
    <row r="691">
      <c r="A691" s="511"/>
      <c r="B691" s="18"/>
      <c r="C691" s="18"/>
      <c r="D691" s="161"/>
      <c r="E691" s="161"/>
      <c r="F691" s="511"/>
      <c r="G691" s="161"/>
      <c r="H691" s="161"/>
      <c r="I691" s="161"/>
      <c r="J691" s="161"/>
      <c r="K691" s="161"/>
      <c r="L691" s="161"/>
      <c r="M691" s="161"/>
      <c r="N691" s="161"/>
      <c r="O691" s="161"/>
      <c r="P691" s="161"/>
      <c r="Q691" s="161"/>
      <c r="R691" s="161"/>
      <c r="S691" s="161"/>
      <c r="T691" s="161"/>
      <c r="U691" s="161"/>
      <c r="V691" s="161"/>
      <c r="W691" s="161"/>
      <c r="X691" s="161"/>
      <c r="Y691" s="161"/>
      <c r="Z691" s="161"/>
    </row>
    <row r="692">
      <c r="A692" s="511"/>
      <c r="B692" s="18"/>
      <c r="C692" s="18"/>
      <c r="D692" s="161"/>
      <c r="E692" s="161"/>
      <c r="F692" s="511"/>
      <c r="G692" s="161"/>
      <c r="H692" s="161"/>
      <c r="I692" s="161"/>
      <c r="J692" s="161"/>
      <c r="K692" s="161"/>
      <c r="L692" s="161"/>
      <c r="M692" s="161"/>
      <c r="N692" s="161"/>
      <c r="O692" s="161"/>
      <c r="P692" s="161"/>
      <c r="Q692" s="161"/>
      <c r="R692" s="161"/>
      <c r="S692" s="161"/>
      <c r="T692" s="161"/>
      <c r="U692" s="161"/>
      <c r="V692" s="161"/>
      <c r="W692" s="161"/>
      <c r="X692" s="161"/>
      <c r="Y692" s="161"/>
      <c r="Z692" s="161"/>
    </row>
    <row r="693">
      <c r="A693" s="511"/>
      <c r="B693" s="18"/>
      <c r="C693" s="18"/>
      <c r="D693" s="161"/>
      <c r="E693" s="161"/>
      <c r="F693" s="511"/>
      <c r="G693" s="161"/>
      <c r="H693" s="161"/>
      <c r="I693" s="161"/>
      <c r="J693" s="161"/>
      <c r="K693" s="161"/>
      <c r="L693" s="161"/>
      <c r="M693" s="161"/>
      <c r="N693" s="161"/>
      <c r="O693" s="161"/>
      <c r="P693" s="161"/>
      <c r="Q693" s="161"/>
      <c r="R693" s="161"/>
      <c r="S693" s="161"/>
      <c r="T693" s="161"/>
      <c r="U693" s="161"/>
      <c r="V693" s="161"/>
      <c r="W693" s="161"/>
      <c r="X693" s="161"/>
      <c r="Y693" s="161"/>
      <c r="Z693" s="161"/>
    </row>
    <row r="694">
      <c r="A694" s="511"/>
      <c r="B694" s="18"/>
      <c r="C694" s="18"/>
      <c r="D694" s="161"/>
      <c r="E694" s="161"/>
      <c r="F694" s="511"/>
      <c r="G694" s="161"/>
      <c r="H694" s="161"/>
      <c r="I694" s="161"/>
      <c r="J694" s="161"/>
      <c r="K694" s="161"/>
      <c r="L694" s="161"/>
      <c r="M694" s="161"/>
      <c r="N694" s="161"/>
      <c r="O694" s="161"/>
      <c r="P694" s="161"/>
      <c r="Q694" s="161"/>
      <c r="R694" s="161"/>
      <c r="S694" s="161"/>
      <c r="T694" s="161"/>
      <c r="U694" s="161"/>
      <c r="V694" s="161"/>
      <c r="W694" s="161"/>
      <c r="X694" s="161"/>
      <c r="Y694" s="161"/>
      <c r="Z694" s="161"/>
    </row>
    <row r="695">
      <c r="A695" s="511"/>
      <c r="B695" s="18"/>
      <c r="C695" s="18"/>
      <c r="D695" s="161"/>
      <c r="E695" s="161"/>
      <c r="F695" s="511"/>
      <c r="G695" s="161"/>
      <c r="H695" s="161"/>
      <c r="I695" s="161"/>
      <c r="J695" s="161"/>
      <c r="K695" s="161"/>
      <c r="L695" s="161"/>
      <c r="M695" s="161"/>
      <c r="N695" s="161"/>
      <c r="O695" s="161"/>
      <c r="P695" s="161"/>
      <c r="Q695" s="161"/>
      <c r="R695" s="161"/>
      <c r="S695" s="161"/>
      <c r="T695" s="161"/>
      <c r="U695" s="161"/>
      <c r="V695" s="161"/>
      <c r="W695" s="161"/>
      <c r="X695" s="161"/>
      <c r="Y695" s="161"/>
      <c r="Z695" s="161"/>
    </row>
    <row r="696">
      <c r="A696" s="511"/>
      <c r="B696" s="18"/>
      <c r="C696" s="18"/>
      <c r="D696" s="161"/>
      <c r="E696" s="161"/>
      <c r="F696" s="511"/>
      <c r="G696" s="161"/>
      <c r="H696" s="161"/>
      <c r="I696" s="161"/>
      <c r="J696" s="161"/>
      <c r="K696" s="161"/>
      <c r="L696" s="161"/>
      <c r="M696" s="161"/>
      <c r="N696" s="161"/>
      <c r="O696" s="161"/>
      <c r="P696" s="161"/>
      <c r="Q696" s="161"/>
      <c r="R696" s="161"/>
      <c r="S696" s="161"/>
      <c r="T696" s="161"/>
      <c r="U696" s="161"/>
      <c r="V696" s="161"/>
      <c r="W696" s="161"/>
      <c r="X696" s="161"/>
      <c r="Y696" s="161"/>
      <c r="Z696" s="161"/>
    </row>
    <row r="697">
      <c r="A697" s="511"/>
      <c r="B697" s="18"/>
      <c r="C697" s="18"/>
      <c r="D697" s="161"/>
      <c r="E697" s="161"/>
      <c r="F697" s="511"/>
      <c r="G697" s="161"/>
      <c r="H697" s="161"/>
      <c r="I697" s="161"/>
      <c r="J697" s="161"/>
      <c r="K697" s="161"/>
      <c r="L697" s="161"/>
      <c r="M697" s="161"/>
      <c r="N697" s="161"/>
      <c r="O697" s="161"/>
      <c r="P697" s="161"/>
      <c r="Q697" s="161"/>
      <c r="R697" s="161"/>
      <c r="S697" s="161"/>
      <c r="T697" s="161"/>
      <c r="U697" s="161"/>
      <c r="V697" s="161"/>
      <c r="W697" s="161"/>
      <c r="X697" s="161"/>
      <c r="Y697" s="161"/>
      <c r="Z697" s="161"/>
    </row>
    <row r="698">
      <c r="A698" s="511"/>
      <c r="B698" s="18"/>
      <c r="C698" s="18"/>
      <c r="D698" s="161"/>
      <c r="E698" s="161"/>
      <c r="F698" s="511"/>
      <c r="G698" s="161"/>
      <c r="H698" s="161"/>
      <c r="I698" s="161"/>
      <c r="J698" s="161"/>
      <c r="K698" s="161"/>
      <c r="L698" s="161"/>
      <c r="M698" s="161"/>
      <c r="N698" s="161"/>
      <c r="O698" s="161"/>
      <c r="P698" s="161"/>
      <c r="Q698" s="161"/>
      <c r="R698" s="161"/>
      <c r="S698" s="161"/>
      <c r="T698" s="161"/>
      <c r="U698" s="161"/>
      <c r="V698" s="161"/>
      <c r="W698" s="161"/>
      <c r="X698" s="161"/>
      <c r="Y698" s="161"/>
      <c r="Z698" s="161"/>
    </row>
    <row r="699">
      <c r="A699" s="511"/>
      <c r="B699" s="18"/>
      <c r="C699" s="18"/>
      <c r="D699" s="161"/>
      <c r="E699" s="161"/>
      <c r="F699" s="511"/>
      <c r="G699" s="161"/>
      <c r="H699" s="161"/>
      <c r="I699" s="161"/>
      <c r="J699" s="161"/>
      <c r="K699" s="161"/>
      <c r="L699" s="161"/>
      <c r="M699" s="161"/>
      <c r="N699" s="161"/>
      <c r="O699" s="161"/>
      <c r="P699" s="161"/>
      <c r="Q699" s="161"/>
      <c r="R699" s="161"/>
      <c r="S699" s="161"/>
      <c r="T699" s="161"/>
      <c r="U699" s="161"/>
      <c r="V699" s="161"/>
      <c r="W699" s="161"/>
      <c r="X699" s="161"/>
      <c r="Y699" s="161"/>
      <c r="Z699" s="161"/>
    </row>
    <row r="700">
      <c r="A700" s="511"/>
      <c r="B700" s="18"/>
      <c r="C700" s="18"/>
      <c r="D700" s="161"/>
      <c r="E700" s="161"/>
      <c r="F700" s="511"/>
      <c r="G700" s="161"/>
      <c r="H700" s="161"/>
      <c r="I700" s="161"/>
      <c r="J700" s="161"/>
      <c r="K700" s="161"/>
      <c r="L700" s="161"/>
      <c r="M700" s="161"/>
      <c r="N700" s="161"/>
      <c r="O700" s="161"/>
      <c r="P700" s="161"/>
      <c r="Q700" s="161"/>
      <c r="R700" s="161"/>
      <c r="S700" s="161"/>
      <c r="T700" s="161"/>
      <c r="U700" s="161"/>
      <c r="V700" s="161"/>
      <c r="W700" s="161"/>
      <c r="X700" s="161"/>
      <c r="Y700" s="161"/>
      <c r="Z700" s="161"/>
    </row>
    <row r="701">
      <c r="A701" s="511"/>
      <c r="B701" s="18"/>
      <c r="C701" s="18"/>
      <c r="D701" s="161"/>
      <c r="E701" s="161"/>
      <c r="F701" s="511"/>
      <c r="G701" s="161"/>
      <c r="H701" s="161"/>
      <c r="I701" s="161"/>
      <c r="J701" s="161"/>
      <c r="K701" s="161"/>
      <c r="L701" s="161"/>
      <c r="M701" s="161"/>
      <c r="N701" s="161"/>
      <c r="O701" s="161"/>
      <c r="P701" s="161"/>
      <c r="Q701" s="161"/>
      <c r="R701" s="161"/>
      <c r="S701" s="161"/>
      <c r="T701" s="161"/>
      <c r="U701" s="161"/>
      <c r="V701" s="161"/>
      <c r="W701" s="161"/>
      <c r="X701" s="161"/>
      <c r="Y701" s="161"/>
      <c r="Z701" s="161"/>
    </row>
    <row r="702">
      <c r="A702" s="511"/>
      <c r="B702" s="18"/>
      <c r="C702" s="18"/>
      <c r="D702" s="161"/>
      <c r="E702" s="161"/>
      <c r="F702" s="511"/>
      <c r="G702" s="161"/>
      <c r="H702" s="161"/>
      <c r="I702" s="161"/>
      <c r="J702" s="161"/>
      <c r="K702" s="161"/>
      <c r="L702" s="161"/>
      <c r="M702" s="161"/>
      <c r="N702" s="161"/>
      <c r="O702" s="161"/>
      <c r="P702" s="161"/>
      <c r="Q702" s="161"/>
      <c r="R702" s="161"/>
      <c r="S702" s="161"/>
      <c r="T702" s="161"/>
      <c r="U702" s="161"/>
      <c r="V702" s="161"/>
      <c r="W702" s="161"/>
      <c r="X702" s="161"/>
      <c r="Y702" s="161"/>
      <c r="Z702" s="161"/>
    </row>
    <row r="703">
      <c r="A703" s="511"/>
      <c r="B703" s="18"/>
      <c r="C703" s="18"/>
      <c r="D703" s="161"/>
      <c r="E703" s="161"/>
      <c r="F703" s="511"/>
      <c r="G703" s="161"/>
      <c r="H703" s="161"/>
      <c r="I703" s="161"/>
      <c r="J703" s="161"/>
      <c r="K703" s="161"/>
      <c r="L703" s="161"/>
      <c r="M703" s="161"/>
      <c r="N703" s="161"/>
      <c r="O703" s="161"/>
      <c r="P703" s="161"/>
      <c r="Q703" s="161"/>
      <c r="R703" s="161"/>
      <c r="S703" s="161"/>
      <c r="T703" s="161"/>
      <c r="U703" s="161"/>
      <c r="V703" s="161"/>
      <c r="W703" s="161"/>
      <c r="X703" s="161"/>
      <c r="Y703" s="161"/>
      <c r="Z703" s="161"/>
    </row>
    <row r="704">
      <c r="A704" s="511"/>
      <c r="B704" s="18"/>
      <c r="C704" s="18"/>
      <c r="D704" s="161"/>
      <c r="E704" s="161"/>
      <c r="F704" s="511"/>
      <c r="G704" s="161"/>
      <c r="H704" s="161"/>
      <c r="I704" s="161"/>
      <c r="J704" s="161"/>
      <c r="K704" s="161"/>
      <c r="L704" s="161"/>
      <c r="M704" s="161"/>
      <c r="N704" s="161"/>
      <c r="O704" s="161"/>
      <c r="P704" s="161"/>
      <c r="Q704" s="161"/>
      <c r="R704" s="161"/>
      <c r="S704" s="161"/>
      <c r="T704" s="161"/>
      <c r="U704" s="161"/>
      <c r="V704" s="161"/>
      <c r="W704" s="161"/>
      <c r="X704" s="161"/>
      <c r="Y704" s="161"/>
      <c r="Z704" s="161"/>
    </row>
    <row r="705">
      <c r="A705" s="511"/>
      <c r="B705" s="18"/>
      <c r="C705" s="18"/>
      <c r="D705" s="161"/>
      <c r="E705" s="161"/>
      <c r="F705" s="511"/>
      <c r="G705" s="161"/>
      <c r="H705" s="161"/>
      <c r="I705" s="161"/>
      <c r="J705" s="161"/>
      <c r="K705" s="161"/>
      <c r="L705" s="161"/>
      <c r="M705" s="161"/>
      <c r="N705" s="161"/>
      <c r="O705" s="161"/>
      <c r="P705" s="161"/>
      <c r="Q705" s="161"/>
      <c r="R705" s="161"/>
      <c r="S705" s="161"/>
      <c r="T705" s="161"/>
      <c r="U705" s="161"/>
      <c r="V705" s="161"/>
      <c r="W705" s="161"/>
      <c r="X705" s="161"/>
      <c r="Y705" s="161"/>
      <c r="Z705" s="161"/>
    </row>
    <row r="706">
      <c r="A706" s="511"/>
      <c r="B706" s="18"/>
      <c r="C706" s="18"/>
      <c r="D706" s="161"/>
      <c r="E706" s="161"/>
      <c r="F706" s="511"/>
      <c r="G706" s="161"/>
      <c r="H706" s="161"/>
      <c r="I706" s="161"/>
      <c r="J706" s="161"/>
      <c r="K706" s="161"/>
      <c r="L706" s="161"/>
      <c r="M706" s="161"/>
      <c r="N706" s="161"/>
      <c r="O706" s="161"/>
      <c r="P706" s="161"/>
      <c r="Q706" s="161"/>
      <c r="R706" s="161"/>
      <c r="S706" s="161"/>
      <c r="T706" s="161"/>
      <c r="U706" s="161"/>
      <c r="V706" s="161"/>
      <c r="W706" s="161"/>
      <c r="X706" s="161"/>
      <c r="Y706" s="161"/>
      <c r="Z706" s="161"/>
    </row>
    <row r="707">
      <c r="A707" s="511"/>
      <c r="B707" s="18"/>
      <c r="C707" s="18"/>
      <c r="D707" s="161"/>
      <c r="E707" s="161"/>
      <c r="F707" s="511"/>
      <c r="G707" s="161"/>
      <c r="H707" s="161"/>
      <c r="I707" s="161"/>
      <c r="J707" s="161"/>
      <c r="K707" s="161"/>
      <c r="L707" s="161"/>
      <c r="M707" s="161"/>
      <c r="N707" s="161"/>
      <c r="O707" s="161"/>
      <c r="P707" s="161"/>
      <c r="Q707" s="161"/>
      <c r="R707" s="161"/>
      <c r="S707" s="161"/>
      <c r="T707" s="161"/>
      <c r="U707" s="161"/>
      <c r="V707" s="161"/>
      <c r="W707" s="161"/>
      <c r="X707" s="161"/>
      <c r="Y707" s="161"/>
      <c r="Z707" s="161"/>
    </row>
    <row r="708">
      <c r="A708" s="511"/>
      <c r="B708" s="18"/>
      <c r="C708" s="18"/>
      <c r="D708" s="161"/>
      <c r="E708" s="161"/>
      <c r="F708" s="511"/>
      <c r="G708" s="161"/>
      <c r="H708" s="161"/>
      <c r="I708" s="161"/>
      <c r="J708" s="161"/>
      <c r="K708" s="161"/>
      <c r="L708" s="161"/>
      <c r="M708" s="161"/>
      <c r="N708" s="161"/>
      <c r="O708" s="161"/>
      <c r="P708" s="161"/>
      <c r="Q708" s="161"/>
      <c r="R708" s="161"/>
      <c r="S708" s="161"/>
      <c r="T708" s="161"/>
      <c r="U708" s="161"/>
      <c r="V708" s="161"/>
      <c r="W708" s="161"/>
      <c r="X708" s="161"/>
      <c r="Y708" s="161"/>
      <c r="Z708" s="161"/>
    </row>
    <row r="709">
      <c r="A709" s="511"/>
      <c r="B709" s="18"/>
      <c r="C709" s="18"/>
      <c r="D709" s="161"/>
      <c r="E709" s="161"/>
      <c r="F709" s="511"/>
      <c r="G709" s="161"/>
      <c r="H709" s="161"/>
      <c r="I709" s="161"/>
      <c r="J709" s="161"/>
      <c r="K709" s="161"/>
      <c r="L709" s="161"/>
      <c r="M709" s="161"/>
      <c r="N709" s="161"/>
      <c r="O709" s="161"/>
      <c r="P709" s="161"/>
      <c r="Q709" s="161"/>
      <c r="R709" s="161"/>
      <c r="S709" s="161"/>
      <c r="T709" s="161"/>
      <c r="U709" s="161"/>
      <c r="V709" s="161"/>
      <c r="W709" s="161"/>
      <c r="X709" s="161"/>
      <c r="Y709" s="161"/>
      <c r="Z709" s="161"/>
    </row>
    <row r="710">
      <c r="A710" s="511"/>
      <c r="B710" s="18"/>
      <c r="C710" s="18"/>
      <c r="D710" s="161"/>
      <c r="E710" s="161"/>
      <c r="F710" s="511"/>
      <c r="G710" s="161"/>
      <c r="H710" s="161"/>
      <c r="I710" s="161"/>
      <c r="J710" s="161"/>
      <c r="K710" s="161"/>
      <c r="L710" s="161"/>
      <c r="M710" s="161"/>
      <c r="N710" s="161"/>
      <c r="O710" s="161"/>
      <c r="P710" s="161"/>
      <c r="Q710" s="161"/>
      <c r="R710" s="161"/>
      <c r="S710" s="161"/>
      <c r="T710" s="161"/>
      <c r="U710" s="161"/>
      <c r="V710" s="161"/>
      <c r="W710" s="161"/>
      <c r="X710" s="161"/>
      <c r="Y710" s="161"/>
      <c r="Z710" s="161"/>
    </row>
    <row r="711">
      <c r="A711" s="511"/>
      <c r="B711" s="18"/>
      <c r="C711" s="18"/>
      <c r="D711" s="161"/>
      <c r="E711" s="161"/>
      <c r="F711" s="511"/>
      <c r="G711" s="161"/>
      <c r="H711" s="161"/>
      <c r="I711" s="161"/>
      <c r="J711" s="161"/>
      <c r="K711" s="161"/>
      <c r="L711" s="161"/>
      <c r="M711" s="161"/>
      <c r="N711" s="161"/>
      <c r="O711" s="161"/>
      <c r="P711" s="161"/>
      <c r="Q711" s="161"/>
      <c r="R711" s="161"/>
      <c r="S711" s="161"/>
      <c r="T711" s="161"/>
      <c r="U711" s="161"/>
      <c r="V711" s="161"/>
      <c r="W711" s="161"/>
      <c r="X711" s="161"/>
      <c r="Y711" s="161"/>
      <c r="Z711" s="161"/>
    </row>
    <row r="712">
      <c r="A712" s="511"/>
      <c r="B712" s="18"/>
      <c r="C712" s="18"/>
      <c r="D712" s="161"/>
      <c r="E712" s="161"/>
      <c r="F712" s="511"/>
      <c r="G712" s="161"/>
      <c r="H712" s="161"/>
      <c r="I712" s="161"/>
      <c r="J712" s="161"/>
      <c r="K712" s="161"/>
      <c r="L712" s="161"/>
      <c r="M712" s="161"/>
      <c r="N712" s="161"/>
      <c r="O712" s="161"/>
      <c r="P712" s="161"/>
      <c r="Q712" s="161"/>
      <c r="R712" s="161"/>
      <c r="S712" s="161"/>
      <c r="T712" s="161"/>
      <c r="U712" s="161"/>
      <c r="V712" s="161"/>
      <c r="W712" s="161"/>
      <c r="X712" s="161"/>
      <c r="Y712" s="161"/>
      <c r="Z712" s="161"/>
    </row>
    <row r="713">
      <c r="A713" s="511"/>
      <c r="B713" s="18"/>
      <c r="C713" s="18"/>
      <c r="D713" s="161"/>
      <c r="E713" s="161"/>
      <c r="F713" s="511"/>
      <c r="G713" s="161"/>
      <c r="H713" s="161"/>
      <c r="I713" s="161"/>
      <c r="J713" s="161"/>
      <c r="K713" s="161"/>
      <c r="L713" s="161"/>
      <c r="M713" s="161"/>
      <c r="N713" s="161"/>
      <c r="O713" s="161"/>
      <c r="P713" s="161"/>
      <c r="Q713" s="161"/>
      <c r="R713" s="161"/>
      <c r="S713" s="161"/>
      <c r="T713" s="161"/>
      <c r="U713" s="161"/>
      <c r="V713" s="161"/>
      <c r="W713" s="161"/>
      <c r="X713" s="161"/>
      <c r="Y713" s="161"/>
      <c r="Z713" s="161"/>
    </row>
    <row r="714">
      <c r="A714" s="511"/>
      <c r="B714" s="18"/>
      <c r="C714" s="18"/>
      <c r="D714" s="161"/>
      <c r="E714" s="161"/>
      <c r="F714" s="511"/>
      <c r="G714" s="161"/>
      <c r="H714" s="161"/>
      <c r="I714" s="161"/>
      <c r="J714" s="161"/>
      <c r="K714" s="161"/>
      <c r="L714" s="161"/>
      <c r="M714" s="161"/>
      <c r="N714" s="161"/>
      <c r="O714" s="161"/>
      <c r="P714" s="161"/>
      <c r="Q714" s="161"/>
      <c r="R714" s="161"/>
      <c r="S714" s="161"/>
      <c r="T714" s="161"/>
      <c r="U714" s="161"/>
      <c r="V714" s="161"/>
      <c r="W714" s="161"/>
      <c r="X714" s="161"/>
      <c r="Y714" s="161"/>
      <c r="Z714" s="161"/>
    </row>
    <row r="715">
      <c r="A715" s="511"/>
      <c r="B715" s="18"/>
      <c r="C715" s="18"/>
      <c r="D715" s="161"/>
      <c r="E715" s="161"/>
      <c r="F715" s="511"/>
      <c r="G715" s="161"/>
      <c r="H715" s="161"/>
      <c r="I715" s="161"/>
      <c r="J715" s="161"/>
      <c r="K715" s="161"/>
      <c r="L715" s="161"/>
      <c r="M715" s="161"/>
      <c r="N715" s="161"/>
      <c r="O715" s="161"/>
      <c r="P715" s="161"/>
      <c r="Q715" s="161"/>
      <c r="R715" s="161"/>
      <c r="S715" s="161"/>
      <c r="T715" s="161"/>
      <c r="U715" s="161"/>
      <c r="V715" s="161"/>
      <c r="W715" s="161"/>
      <c r="X715" s="161"/>
      <c r="Y715" s="161"/>
      <c r="Z715" s="161"/>
    </row>
    <row r="716">
      <c r="A716" s="511"/>
      <c r="B716" s="18"/>
      <c r="C716" s="18"/>
      <c r="D716" s="161"/>
      <c r="E716" s="161"/>
      <c r="F716" s="511"/>
      <c r="G716" s="161"/>
      <c r="H716" s="161"/>
      <c r="I716" s="161"/>
      <c r="J716" s="161"/>
      <c r="K716" s="161"/>
      <c r="L716" s="161"/>
      <c r="M716" s="161"/>
      <c r="N716" s="161"/>
      <c r="O716" s="161"/>
      <c r="P716" s="161"/>
      <c r="Q716" s="161"/>
      <c r="R716" s="161"/>
      <c r="S716" s="161"/>
      <c r="T716" s="161"/>
      <c r="U716" s="161"/>
      <c r="V716" s="161"/>
      <c r="W716" s="161"/>
      <c r="X716" s="161"/>
      <c r="Y716" s="161"/>
      <c r="Z716" s="161"/>
    </row>
    <row r="717">
      <c r="A717" s="511"/>
      <c r="B717" s="18"/>
      <c r="C717" s="18"/>
      <c r="D717" s="161"/>
      <c r="E717" s="161"/>
      <c r="F717" s="511"/>
      <c r="G717" s="161"/>
      <c r="H717" s="161"/>
      <c r="I717" s="161"/>
      <c r="J717" s="161"/>
      <c r="K717" s="161"/>
      <c r="L717" s="161"/>
      <c r="M717" s="161"/>
      <c r="N717" s="161"/>
      <c r="O717" s="161"/>
      <c r="P717" s="161"/>
      <c r="Q717" s="161"/>
      <c r="R717" s="161"/>
      <c r="S717" s="161"/>
      <c r="T717" s="161"/>
      <c r="U717" s="161"/>
      <c r="V717" s="161"/>
      <c r="W717" s="161"/>
      <c r="X717" s="161"/>
      <c r="Y717" s="161"/>
      <c r="Z717" s="161"/>
    </row>
    <row r="718">
      <c r="A718" s="511"/>
      <c r="B718" s="18"/>
      <c r="C718" s="18"/>
      <c r="D718" s="161"/>
      <c r="E718" s="161"/>
      <c r="F718" s="511"/>
      <c r="G718" s="161"/>
      <c r="H718" s="161"/>
      <c r="I718" s="161"/>
      <c r="J718" s="161"/>
      <c r="K718" s="161"/>
      <c r="L718" s="161"/>
      <c r="M718" s="161"/>
      <c r="N718" s="161"/>
      <c r="O718" s="161"/>
      <c r="P718" s="161"/>
      <c r="Q718" s="161"/>
      <c r="R718" s="161"/>
      <c r="S718" s="161"/>
      <c r="T718" s="161"/>
      <c r="U718" s="161"/>
      <c r="V718" s="161"/>
      <c r="W718" s="161"/>
      <c r="X718" s="161"/>
      <c r="Y718" s="161"/>
      <c r="Z718" s="161"/>
    </row>
    <row r="719">
      <c r="A719" s="511"/>
      <c r="B719" s="18"/>
      <c r="C719" s="18"/>
      <c r="D719" s="161"/>
      <c r="E719" s="161"/>
      <c r="F719" s="511"/>
      <c r="G719" s="161"/>
      <c r="H719" s="161"/>
      <c r="I719" s="161"/>
      <c r="J719" s="161"/>
      <c r="K719" s="161"/>
      <c r="L719" s="161"/>
      <c r="M719" s="161"/>
      <c r="N719" s="161"/>
      <c r="O719" s="161"/>
      <c r="P719" s="161"/>
      <c r="Q719" s="161"/>
      <c r="R719" s="161"/>
      <c r="S719" s="161"/>
      <c r="T719" s="161"/>
      <c r="U719" s="161"/>
      <c r="V719" s="161"/>
      <c r="W719" s="161"/>
      <c r="X719" s="161"/>
      <c r="Y719" s="161"/>
      <c r="Z719" s="161"/>
    </row>
    <row r="720">
      <c r="A720" s="511"/>
      <c r="B720" s="18"/>
      <c r="C720" s="18"/>
      <c r="D720" s="161"/>
      <c r="E720" s="161"/>
      <c r="F720" s="511"/>
      <c r="G720" s="161"/>
      <c r="H720" s="161"/>
      <c r="I720" s="161"/>
      <c r="J720" s="161"/>
      <c r="K720" s="161"/>
      <c r="L720" s="161"/>
      <c r="M720" s="161"/>
      <c r="N720" s="161"/>
      <c r="O720" s="161"/>
      <c r="P720" s="161"/>
      <c r="Q720" s="161"/>
      <c r="R720" s="161"/>
      <c r="S720" s="161"/>
      <c r="T720" s="161"/>
      <c r="U720" s="161"/>
      <c r="V720" s="161"/>
      <c r="W720" s="161"/>
      <c r="X720" s="161"/>
      <c r="Y720" s="161"/>
      <c r="Z720" s="161"/>
    </row>
    <row r="721">
      <c r="A721" s="511"/>
      <c r="B721" s="18"/>
      <c r="C721" s="18"/>
      <c r="D721" s="161"/>
      <c r="E721" s="161"/>
      <c r="F721" s="511"/>
      <c r="G721" s="161"/>
      <c r="H721" s="161"/>
      <c r="I721" s="161"/>
      <c r="J721" s="161"/>
      <c r="K721" s="161"/>
      <c r="L721" s="161"/>
      <c r="M721" s="161"/>
      <c r="N721" s="161"/>
      <c r="O721" s="161"/>
      <c r="P721" s="161"/>
      <c r="Q721" s="161"/>
      <c r="R721" s="161"/>
      <c r="S721" s="161"/>
      <c r="T721" s="161"/>
      <c r="U721" s="161"/>
      <c r="V721" s="161"/>
      <c r="W721" s="161"/>
      <c r="X721" s="161"/>
      <c r="Y721" s="161"/>
      <c r="Z721" s="161"/>
    </row>
    <row r="722">
      <c r="A722" s="511"/>
      <c r="B722" s="18"/>
      <c r="C722" s="18"/>
      <c r="D722" s="161"/>
      <c r="E722" s="161"/>
      <c r="F722" s="511"/>
      <c r="G722" s="161"/>
      <c r="H722" s="161"/>
      <c r="I722" s="161"/>
      <c r="J722" s="161"/>
      <c r="K722" s="161"/>
      <c r="L722" s="161"/>
      <c r="M722" s="161"/>
      <c r="N722" s="161"/>
      <c r="O722" s="161"/>
      <c r="P722" s="161"/>
      <c r="Q722" s="161"/>
      <c r="R722" s="161"/>
      <c r="S722" s="161"/>
      <c r="T722" s="161"/>
      <c r="U722" s="161"/>
      <c r="V722" s="161"/>
      <c r="W722" s="161"/>
      <c r="X722" s="161"/>
      <c r="Y722" s="161"/>
      <c r="Z722" s="161"/>
    </row>
    <row r="723">
      <c r="A723" s="511"/>
      <c r="B723" s="18"/>
      <c r="C723" s="18"/>
      <c r="D723" s="161"/>
      <c r="E723" s="161"/>
      <c r="F723" s="511"/>
      <c r="G723" s="161"/>
      <c r="H723" s="161"/>
      <c r="I723" s="161"/>
      <c r="J723" s="161"/>
      <c r="K723" s="161"/>
      <c r="L723" s="161"/>
      <c r="M723" s="161"/>
      <c r="N723" s="161"/>
      <c r="O723" s="161"/>
      <c r="P723" s="161"/>
      <c r="Q723" s="161"/>
      <c r="R723" s="161"/>
      <c r="S723" s="161"/>
      <c r="T723" s="161"/>
      <c r="U723" s="161"/>
      <c r="V723" s="161"/>
      <c r="W723" s="161"/>
      <c r="X723" s="161"/>
      <c r="Y723" s="161"/>
      <c r="Z723" s="161"/>
    </row>
    <row r="724">
      <c r="A724" s="511"/>
      <c r="B724" s="18"/>
      <c r="C724" s="18"/>
      <c r="D724" s="161"/>
      <c r="E724" s="161"/>
      <c r="F724" s="511"/>
      <c r="G724" s="161"/>
      <c r="H724" s="161"/>
      <c r="I724" s="161"/>
      <c r="J724" s="161"/>
      <c r="K724" s="161"/>
      <c r="L724" s="161"/>
      <c r="M724" s="161"/>
      <c r="N724" s="161"/>
      <c r="O724" s="161"/>
      <c r="P724" s="161"/>
      <c r="Q724" s="161"/>
      <c r="R724" s="161"/>
      <c r="S724" s="161"/>
      <c r="T724" s="161"/>
      <c r="U724" s="161"/>
      <c r="V724" s="161"/>
      <c r="W724" s="161"/>
      <c r="X724" s="161"/>
      <c r="Y724" s="161"/>
      <c r="Z724" s="161"/>
    </row>
    <row r="725">
      <c r="A725" s="511"/>
      <c r="B725" s="18"/>
      <c r="C725" s="18"/>
      <c r="D725" s="161"/>
      <c r="E725" s="161"/>
      <c r="F725" s="511"/>
      <c r="G725" s="161"/>
      <c r="H725" s="161"/>
      <c r="I725" s="161"/>
      <c r="J725" s="161"/>
      <c r="K725" s="161"/>
      <c r="L725" s="161"/>
      <c r="M725" s="161"/>
      <c r="N725" s="161"/>
      <c r="O725" s="161"/>
      <c r="P725" s="161"/>
      <c r="Q725" s="161"/>
      <c r="R725" s="161"/>
      <c r="S725" s="161"/>
      <c r="T725" s="161"/>
      <c r="U725" s="161"/>
      <c r="V725" s="161"/>
      <c r="W725" s="161"/>
      <c r="X725" s="161"/>
      <c r="Y725" s="161"/>
      <c r="Z725" s="161"/>
    </row>
    <row r="726">
      <c r="A726" s="511"/>
      <c r="B726" s="18"/>
      <c r="C726" s="18"/>
      <c r="D726" s="161"/>
      <c r="E726" s="161"/>
      <c r="F726" s="511"/>
      <c r="G726" s="161"/>
      <c r="H726" s="161"/>
      <c r="I726" s="161"/>
      <c r="J726" s="161"/>
      <c r="K726" s="161"/>
      <c r="L726" s="161"/>
      <c r="M726" s="161"/>
      <c r="N726" s="161"/>
      <c r="O726" s="161"/>
      <c r="P726" s="161"/>
      <c r="Q726" s="161"/>
      <c r="R726" s="161"/>
      <c r="S726" s="161"/>
      <c r="T726" s="161"/>
      <c r="U726" s="161"/>
      <c r="V726" s="161"/>
      <c r="W726" s="161"/>
      <c r="X726" s="161"/>
      <c r="Y726" s="161"/>
      <c r="Z726" s="161"/>
    </row>
    <row r="727">
      <c r="A727" s="511"/>
      <c r="B727" s="18"/>
      <c r="C727" s="18"/>
      <c r="D727" s="161"/>
      <c r="E727" s="161"/>
      <c r="F727" s="511"/>
      <c r="G727" s="161"/>
      <c r="H727" s="161"/>
      <c r="I727" s="161"/>
      <c r="J727" s="161"/>
      <c r="K727" s="161"/>
      <c r="L727" s="161"/>
      <c r="M727" s="161"/>
      <c r="N727" s="161"/>
      <c r="O727" s="161"/>
      <c r="P727" s="161"/>
      <c r="Q727" s="161"/>
      <c r="R727" s="161"/>
      <c r="S727" s="161"/>
      <c r="T727" s="161"/>
      <c r="U727" s="161"/>
      <c r="V727" s="161"/>
      <c r="W727" s="161"/>
      <c r="X727" s="161"/>
      <c r="Y727" s="161"/>
      <c r="Z727" s="161"/>
    </row>
    <row r="728">
      <c r="A728" s="511"/>
      <c r="B728" s="18"/>
      <c r="C728" s="18"/>
      <c r="D728" s="161"/>
      <c r="E728" s="161"/>
      <c r="F728" s="511"/>
      <c r="G728" s="161"/>
      <c r="H728" s="161"/>
      <c r="I728" s="161"/>
      <c r="J728" s="161"/>
      <c r="K728" s="161"/>
      <c r="L728" s="161"/>
      <c r="M728" s="161"/>
      <c r="N728" s="161"/>
      <c r="O728" s="161"/>
      <c r="P728" s="161"/>
      <c r="Q728" s="161"/>
      <c r="R728" s="161"/>
      <c r="S728" s="161"/>
      <c r="T728" s="161"/>
      <c r="U728" s="161"/>
      <c r="V728" s="161"/>
      <c r="W728" s="161"/>
      <c r="X728" s="161"/>
      <c r="Y728" s="161"/>
      <c r="Z728" s="161"/>
    </row>
    <row r="729">
      <c r="A729" s="511"/>
      <c r="B729" s="18"/>
      <c r="C729" s="18"/>
      <c r="D729" s="161"/>
      <c r="E729" s="161"/>
      <c r="F729" s="511"/>
      <c r="G729" s="161"/>
      <c r="H729" s="161"/>
      <c r="I729" s="161"/>
      <c r="J729" s="161"/>
      <c r="K729" s="161"/>
      <c r="L729" s="161"/>
      <c r="M729" s="161"/>
      <c r="N729" s="161"/>
      <c r="O729" s="161"/>
      <c r="P729" s="161"/>
      <c r="Q729" s="161"/>
      <c r="R729" s="161"/>
      <c r="S729" s="161"/>
      <c r="T729" s="161"/>
      <c r="U729" s="161"/>
      <c r="V729" s="161"/>
      <c r="W729" s="161"/>
      <c r="X729" s="161"/>
      <c r="Y729" s="161"/>
      <c r="Z729" s="161"/>
    </row>
    <row r="730">
      <c r="A730" s="511"/>
      <c r="B730" s="18"/>
      <c r="C730" s="18"/>
      <c r="D730" s="161"/>
      <c r="E730" s="161"/>
      <c r="F730" s="511"/>
      <c r="G730" s="161"/>
      <c r="H730" s="161"/>
      <c r="I730" s="161"/>
      <c r="J730" s="161"/>
      <c r="K730" s="161"/>
      <c r="L730" s="161"/>
      <c r="M730" s="161"/>
      <c r="N730" s="161"/>
      <c r="O730" s="161"/>
      <c r="P730" s="161"/>
      <c r="Q730" s="161"/>
      <c r="R730" s="161"/>
      <c r="S730" s="161"/>
      <c r="T730" s="161"/>
      <c r="U730" s="161"/>
      <c r="V730" s="161"/>
      <c r="W730" s="161"/>
      <c r="X730" s="161"/>
      <c r="Y730" s="161"/>
      <c r="Z730" s="161"/>
    </row>
    <row r="731">
      <c r="A731" s="511"/>
      <c r="B731" s="18"/>
      <c r="C731" s="18"/>
      <c r="D731" s="161"/>
      <c r="E731" s="161"/>
      <c r="F731" s="511"/>
      <c r="G731" s="161"/>
      <c r="H731" s="161"/>
      <c r="I731" s="161"/>
      <c r="J731" s="161"/>
      <c r="K731" s="161"/>
      <c r="L731" s="161"/>
      <c r="M731" s="161"/>
      <c r="N731" s="161"/>
      <c r="O731" s="161"/>
      <c r="P731" s="161"/>
      <c r="Q731" s="161"/>
      <c r="R731" s="161"/>
      <c r="S731" s="161"/>
      <c r="T731" s="161"/>
      <c r="U731" s="161"/>
      <c r="V731" s="161"/>
      <c r="W731" s="161"/>
      <c r="X731" s="161"/>
      <c r="Y731" s="161"/>
      <c r="Z731" s="161"/>
    </row>
    <row r="732">
      <c r="A732" s="511"/>
      <c r="B732" s="18"/>
      <c r="C732" s="18"/>
      <c r="D732" s="161"/>
      <c r="E732" s="161"/>
      <c r="F732" s="511"/>
      <c r="G732" s="161"/>
      <c r="H732" s="161"/>
      <c r="I732" s="161"/>
      <c r="J732" s="161"/>
      <c r="K732" s="161"/>
      <c r="L732" s="161"/>
      <c r="M732" s="161"/>
      <c r="N732" s="161"/>
      <c r="O732" s="161"/>
      <c r="P732" s="161"/>
      <c r="Q732" s="161"/>
      <c r="R732" s="161"/>
      <c r="S732" s="161"/>
      <c r="T732" s="161"/>
      <c r="U732" s="161"/>
      <c r="V732" s="161"/>
      <c r="W732" s="161"/>
      <c r="X732" s="161"/>
      <c r="Y732" s="161"/>
      <c r="Z732" s="161"/>
    </row>
    <row r="733">
      <c r="A733" s="511"/>
      <c r="B733" s="18"/>
      <c r="C733" s="18"/>
      <c r="D733" s="161"/>
      <c r="E733" s="161"/>
      <c r="F733" s="511"/>
      <c r="G733" s="161"/>
      <c r="H733" s="161"/>
      <c r="I733" s="161"/>
      <c r="J733" s="161"/>
      <c r="K733" s="161"/>
      <c r="L733" s="161"/>
      <c r="M733" s="161"/>
      <c r="N733" s="161"/>
      <c r="O733" s="161"/>
      <c r="P733" s="161"/>
      <c r="Q733" s="161"/>
      <c r="R733" s="161"/>
      <c r="S733" s="161"/>
      <c r="T733" s="161"/>
      <c r="U733" s="161"/>
      <c r="V733" s="161"/>
      <c r="W733" s="161"/>
      <c r="X733" s="161"/>
      <c r="Y733" s="161"/>
      <c r="Z733" s="161"/>
    </row>
    <row r="734">
      <c r="A734" s="511"/>
      <c r="B734" s="18"/>
      <c r="C734" s="18"/>
      <c r="D734" s="161"/>
      <c r="E734" s="161"/>
      <c r="F734" s="511"/>
      <c r="G734" s="161"/>
      <c r="H734" s="161"/>
      <c r="I734" s="161"/>
      <c r="J734" s="161"/>
      <c r="K734" s="161"/>
      <c r="L734" s="161"/>
      <c r="M734" s="161"/>
      <c r="N734" s="161"/>
      <c r="O734" s="161"/>
      <c r="P734" s="161"/>
      <c r="Q734" s="161"/>
      <c r="R734" s="161"/>
      <c r="S734" s="161"/>
      <c r="T734" s="161"/>
      <c r="U734" s="161"/>
      <c r="V734" s="161"/>
      <c r="W734" s="161"/>
      <c r="X734" s="161"/>
      <c r="Y734" s="161"/>
      <c r="Z734" s="161"/>
    </row>
    <row r="735">
      <c r="A735" s="511"/>
      <c r="B735" s="18"/>
      <c r="C735" s="18"/>
      <c r="D735" s="161"/>
      <c r="E735" s="161"/>
      <c r="F735" s="511"/>
      <c r="G735" s="161"/>
      <c r="H735" s="161"/>
      <c r="I735" s="161"/>
      <c r="J735" s="161"/>
      <c r="K735" s="161"/>
      <c r="L735" s="161"/>
      <c r="M735" s="161"/>
      <c r="N735" s="161"/>
      <c r="O735" s="161"/>
      <c r="P735" s="161"/>
      <c r="Q735" s="161"/>
      <c r="R735" s="161"/>
      <c r="S735" s="161"/>
      <c r="T735" s="161"/>
      <c r="U735" s="161"/>
      <c r="V735" s="161"/>
      <c r="W735" s="161"/>
      <c r="X735" s="161"/>
      <c r="Y735" s="161"/>
      <c r="Z735" s="161"/>
    </row>
    <row r="736">
      <c r="A736" s="511"/>
      <c r="B736" s="18"/>
      <c r="C736" s="18"/>
      <c r="D736" s="161"/>
      <c r="E736" s="161"/>
      <c r="F736" s="511"/>
      <c r="G736" s="161"/>
      <c r="H736" s="161"/>
      <c r="I736" s="161"/>
      <c r="J736" s="161"/>
      <c r="K736" s="161"/>
      <c r="L736" s="161"/>
      <c r="M736" s="161"/>
      <c r="N736" s="161"/>
      <c r="O736" s="161"/>
      <c r="P736" s="161"/>
      <c r="Q736" s="161"/>
      <c r="R736" s="161"/>
      <c r="S736" s="161"/>
      <c r="T736" s="161"/>
      <c r="U736" s="161"/>
      <c r="V736" s="161"/>
      <c r="W736" s="161"/>
      <c r="X736" s="161"/>
      <c r="Y736" s="161"/>
      <c r="Z736" s="161"/>
    </row>
    <row r="737">
      <c r="A737" s="511"/>
      <c r="B737" s="18"/>
      <c r="C737" s="18"/>
      <c r="D737" s="161"/>
      <c r="E737" s="161"/>
      <c r="F737" s="511"/>
      <c r="G737" s="161"/>
      <c r="H737" s="161"/>
      <c r="I737" s="161"/>
      <c r="J737" s="161"/>
      <c r="K737" s="161"/>
      <c r="L737" s="161"/>
      <c r="M737" s="161"/>
      <c r="N737" s="161"/>
      <c r="O737" s="161"/>
      <c r="P737" s="161"/>
      <c r="Q737" s="161"/>
      <c r="R737" s="161"/>
      <c r="S737" s="161"/>
      <c r="T737" s="161"/>
      <c r="U737" s="161"/>
      <c r="V737" s="161"/>
      <c r="W737" s="161"/>
      <c r="X737" s="161"/>
      <c r="Y737" s="161"/>
      <c r="Z737" s="161"/>
    </row>
    <row r="738">
      <c r="A738" s="511"/>
      <c r="B738" s="18"/>
      <c r="C738" s="18"/>
      <c r="D738" s="161"/>
      <c r="E738" s="161"/>
      <c r="F738" s="511"/>
      <c r="G738" s="161"/>
      <c r="H738" s="161"/>
      <c r="I738" s="161"/>
      <c r="J738" s="161"/>
      <c r="K738" s="161"/>
      <c r="L738" s="161"/>
      <c r="M738" s="161"/>
      <c r="N738" s="161"/>
      <c r="O738" s="161"/>
      <c r="P738" s="161"/>
      <c r="Q738" s="161"/>
      <c r="R738" s="161"/>
      <c r="S738" s="161"/>
      <c r="T738" s="161"/>
      <c r="U738" s="161"/>
      <c r="V738" s="161"/>
      <c r="W738" s="161"/>
      <c r="X738" s="161"/>
      <c r="Y738" s="161"/>
      <c r="Z738" s="161"/>
    </row>
    <row r="739">
      <c r="A739" s="511"/>
      <c r="B739" s="18"/>
      <c r="C739" s="18"/>
      <c r="D739" s="161"/>
      <c r="E739" s="161"/>
      <c r="F739" s="511"/>
      <c r="G739" s="161"/>
      <c r="H739" s="161"/>
      <c r="I739" s="161"/>
      <c r="J739" s="161"/>
      <c r="K739" s="161"/>
      <c r="L739" s="161"/>
      <c r="M739" s="161"/>
      <c r="N739" s="161"/>
      <c r="O739" s="161"/>
      <c r="P739" s="161"/>
      <c r="Q739" s="161"/>
      <c r="R739" s="161"/>
      <c r="S739" s="161"/>
      <c r="T739" s="161"/>
      <c r="U739" s="161"/>
      <c r="V739" s="161"/>
      <c r="W739" s="161"/>
      <c r="X739" s="161"/>
      <c r="Y739" s="161"/>
      <c r="Z739" s="161"/>
    </row>
    <row r="740">
      <c r="A740" s="511"/>
      <c r="B740" s="18"/>
      <c r="C740" s="18"/>
      <c r="D740" s="161"/>
      <c r="E740" s="161"/>
      <c r="F740" s="511"/>
      <c r="G740" s="161"/>
      <c r="H740" s="161"/>
      <c r="I740" s="161"/>
      <c r="J740" s="161"/>
      <c r="K740" s="161"/>
      <c r="L740" s="161"/>
      <c r="M740" s="161"/>
      <c r="N740" s="161"/>
      <c r="O740" s="161"/>
      <c r="P740" s="161"/>
      <c r="Q740" s="161"/>
      <c r="R740" s="161"/>
      <c r="S740" s="161"/>
      <c r="T740" s="161"/>
      <c r="U740" s="161"/>
      <c r="V740" s="161"/>
      <c r="W740" s="161"/>
      <c r="X740" s="161"/>
      <c r="Y740" s="161"/>
      <c r="Z740" s="161"/>
    </row>
    <row r="741">
      <c r="A741" s="511"/>
      <c r="B741" s="18"/>
      <c r="C741" s="18"/>
      <c r="D741" s="161"/>
      <c r="E741" s="161"/>
      <c r="F741" s="511"/>
      <c r="G741" s="161"/>
      <c r="H741" s="161"/>
      <c r="I741" s="161"/>
      <c r="J741" s="161"/>
      <c r="K741" s="161"/>
      <c r="L741" s="161"/>
      <c r="M741" s="161"/>
      <c r="N741" s="161"/>
      <c r="O741" s="161"/>
      <c r="P741" s="161"/>
      <c r="Q741" s="161"/>
      <c r="R741" s="161"/>
      <c r="S741" s="161"/>
      <c r="T741" s="161"/>
      <c r="U741" s="161"/>
      <c r="V741" s="161"/>
      <c r="W741" s="161"/>
      <c r="X741" s="161"/>
      <c r="Y741" s="161"/>
      <c r="Z741" s="161"/>
    </row>
    <row r="742">
      <c r="A742" s="511"/>
      <c r="B742" s="18"/>
      <c r="C742" s="18"/>
      <c r="D742" s="161"/>
      <c r="E742" s="161"/>
      <c r="F742" s="511"/>
      <c r="G742" s="161"/>
      <c r="H742" s="161"/>
      <c r="I742" s="161"/>
      <c r="J742" s="161"/>
      <c r="K742" s="161"/>
      <c r="L742" s="161"/>
      <c r="M742" s="161"/>
      <c r="N742" s="161"/>
      <c r="O742" s="161"/>
      <c r="P742" s="161"/>
      <c r="Q742" s="161"/>
      <c r="R742" s="161"/>
      <c r="S742" s="161"/>
      <c r="T742" s="161"/>
      <c r="U742" s="161"/>
      <c r="V742" s="161"/>
      <c r="W742" s="161"/>
      <c r="X742" s="161"/>
      <c r="Y742" s="161"/>
      <c r="Z742" s="161"/>
    </row>
    <row r="743">
      <c r="A743" s="511"/>
      <c r="B743" s="18"/>
      <c r="C743" s="18"/>
      <c r="D743" s="161"/>
      <c r="E743" s="161"/>
      <c r="F743" s="511"/>
      <c r="G743" s="161"/>
      <c r="H743" s="161"/>
      <c r="I743" s="161"/>
      <c r="J743" s="161"/>
      <c r="K743" s="161"/>
      <c r="L743" s="161"/>
      <c r="M743" s="161"/>
      <c r="N743" s="161"/>
      <c r="O743" s="161"/>
      <c r="P743" s="161"/>
      <c r="Q743" s="161"/>
      <c r="R743" s="161"/>
      <c r="S743" s="161"/>
      <c r="T743" s="161"/>
      <c r="U743" s="161"/>
      <c r="V743" s="161"/>
      <c r="W743" s="161"/>
      <c r="X743" s="161"/>
      <c r="Y743" s="161"/>
      <c r="Z743" s="161"/>
    </row>
    <row r="744">
      <c r="A744" s="511"/>
      <c r="B744" s="18"/>
      <c r="C744" s="18"/>
      <c r="D744" s="161"/>
      <c r="E744" s="161"/>
      <c r="F744" s="511"/>
      <c r="G744" s="161"/>
      <c r="H744" s="161"/>
      <c r="I744" s="161"/>
      <c r="J744" s="161"/>
      <c r="K744" s="161"/>
      <c r="L744" s="161"/>
      <c r="M744" s="161"/>
      <c r="N744" s="161"/>
      <c r="O744" s="161"/>
      <c r="P744" s="161"/>
      <c r="Q744" s="161"/>
      <c r="R744" s="161"/>
      <c r="S744" s="161"/>
      <c r="T744" s="161"/>
      <c r="U744" s="161"/>
      <c r="V744" s="161"/>
      <c r="W744" s="161"/>
      <c r="X744" s="161"/>
      <c r="Y744" s="161"/>
      <c r="Z744" s="161"/>
    </row>
    <row r="745">
      <c r="A745" s="511"/>
      <c r="B745" s="18"/>
      <c r="C745" s="18"/>
      <c r="D745" s="161"/>
      <c r="E745" s="161"/>
      <c r="F745" s="511"/>
      <c r="G745" s="161"/>
      <c r="H745" s="161"/>
      <c r="I745" s="161"/>
      <c r="J745" s="161"/>
      <c r="K745" s="161"/>
      <c r="L745" s="161"/>
      <c r="M745" s="161"/>
      <c r="N745" s="161"/>
      <c r="O745" s="161"/>
      <c r="P745" s="161"/>
      <c r="Q745" s="161"/>
      <c r="R745" s="161"/>
      <c r="S745" s="161"/>
      <c r="T745" s="161"/>
      <c r="U745" s="161"/>
      <c r="V745" s="161"/>
      <c r="W745" s="161"/>
      <c r="X745" s="161"/>
      <c r="Y745" s="161"/>
      <c r="Z745" s="161"/>
    </row>
    <row r="746">
      <c r="A746" s="511"/>
      <c r="B746" s="18"/>
      <c r="C746" s="18"/>
      <c r="D746" s="161"/>
      <c r="E746" s="161"/>
      <c r="F746" s="511"/>
      <c r="G746" s="161"/>
      <c r="H746" s="161"/>
      <c r="I746" s="161"/>
      <c r="J746" s="161"/>
      <c r="K746" s="161"/>
      <c r="L746" s="161"/>
      <c r="M746" s="161"/>
      <c r="N746" s="161"/>
      <c r="O746" s="161"/>
      <c r="P746" s="161"/>
      <c r="Q746" s="161"/>
      <c r="R746" s="161"/>
      <c r="S746" s="161"/>
      <c r="T746" s="161"/>
      <c r="U746" s="161"/>
      <c r="V746" s="161"/>
      <c r="W746" s="161"/>
      <c r="X746" s="161"/>
      <c r="Y746" s="161"/>
      <c r="Z746" s="161"/>
    </row>
    <row r="747">
      <c r="A747" s="511"/>
      <c r="B747" s="18"/>
      <c r="C747" s="18"/>
      <c r="D747" s="161"/>
      <c r="E747" s="161"/>
      <c r="F747" s="511"/>
      <c r="G747" s="161"/>
      <c r="H747" s="161"/>
      <c r="I747" s="161"/>
      <c r="J747" s="161"/>
      <c r="K747" s="161"/>
      <c r="L747" s="161"/>
      <c r="M747" s="161"/>
      <c r="N747" s="161"/>
      <c r="O747" s="161"/>
      <c r="P747" s="161"/>
      <c r="Q747" s="161"/>
      <c r="R747" s="161"/>
      <c r="S747" s="161"/>
      <c r="T747" s="161"/>
      <c r="U747" s="161"/>
      <c r="V747" s="161"/>
      <c r="W747" s="161"/>
      <c r="X747" s="161"/>
      <c r="Y747" s="161"/>
      <c r="Z747" s="161"/>
    </row>
    <row r="748">
      <c r="A748" s="511"/>
      <c r="B748" s="18"/>
      <c r="C748" s="18"/>
      <c r="D748" s="161"/>
      <c r="E748" s="161"/>
      <c r="F748" s="511"/>
      <c r="G748" s="161"/>
      <c r="H748" s="161"/>
      <c r="I748" s="161"/>
      <c r="J748" s="161"/>
      <c r="K748" s="161"/>
      <c r="L748" s="161"/>
      <c r="M748" s="161"/>
      <c r="N748" s="161"/>
      <c r="O748" s="161"/>
      <c r="P748" s="161"/>
      <c r="Q748" s="161"/>
      <c r="R748" s="161"/>
      <c r="S748" s="161"/>
      <c r="T748" s="161"/>
      <c r="U748" s="161"/>
      <c r="V748" s="161"/>
      <c r="W748" s="161"/>
      <c r="X748" s="161"/>
      <c r="Y748" s="161"/>
      <c r="Z748" s="161"/>
    </row>
    <row r="749">
      <c r="A749" s="511"/>
      <c r="B749" s="18"/>
      <c r="C749" s="18"/>
      <c r="D749" s="161"/>
      <c r="E749" s="161"/>
      <c r="F749" s="511"/>
      <c r="G749" s="161"/>
      <c r="H749" s="161"/>
      <c r="I749" s="161"/>
      <c r="J749" s="161"/>
      <c r="K749" s="161"/>
      <c r="L749" s="161"/>
      <c r="M749" s="161"/>
      <c r="N749" s="161"/>
      <c r="O749" s="161"/>
      <c r="P749" s="161"/>
      <c r="Q749" s="161"/>
      <c r="R749" s="161"/>
      <c r="S749" s="161"/>
      <c r="T749" s="161"/>
      <c r="U749" s="161"/>
      <c r="V749" s="161"/>
      <c r="W749" s="161"/>
      <c r="X749" s="161"/>
      <c r="Y749" s="161"/>
      <c r="Z749" s="161"/>
    </row>
    <row r="750">
      <c r="A750" s="511"/>
      <c r="B750" s="18"/>
      <c r="C750" s="18"/>
      <c r="D750" s="161"/>
      <c r="E750" s="161"/>
      <c r="F750" s="511"/>
      <c r="G750" s="161"/>
      <c r="H750" s="161"/>
      <c r="I750" s="161"/>
      <c r="J750" s="161"/>
      <c r="K750" s="161"/>
      <c r="L750" s="161"/>
      <c r="M750" s="161"/>
      <c r="N750" s="161"/>
      <c r="O750" s="161"/>
      <c r="P750" s="161"/>
      <c r="Q750" s="161"/>
      <c r="R750" s="161"/>
      <c r="S750" s="161"/>
      <c r="T750" s="161"/>
      <c r="U750" s="161"/>
      <c r="V750" s="161"/>
      <c r="W750" s="161"/>
      <c r="X750" s="161"/>
      <c r="Y750" s="161"/>
      <c r="Z750" s="161"/>
    </row>
    <row r="751">
      <c r="A751" s="511"/>
      <c r="B751" s="18"/>
      <c r="C751" s="18"/>
      <c r="D751" s="161"/>
      <c r="E751" s="161"/>
      <c r="F751" s="511"/>
      <c r="G751" s="161"/>
      <c r="H751" s="161"/>
      <c r="I751" s="161"/>
      <c r="J751" s="161"/>
      <c r="K751" s="161"/>
      <c r="L751" s="161"/>
      <c r="M751" s="161"/>
      <c r="N751" s="161"/>
      <c r="O751" s="161"/>
      <c r="P751" s="161"/>
      <c r="Q751" s="161"/>
      <c r="R751" s="161"/>
      <c r="S751" s="161"/>
      <c r="T751" s="161"/>
      <c r="U751" s="161"/>
      <c r="V751" s="161"/>
      <c r="W751" s="161"/>
      <c r="X751" s="161"/>
      <c r="Y751" s="161"/>
      <c r="Z751" s="161"/>
    </row>
    <row r="752">
      <c r="A752" s="511"/>
      <c r="B752" s="18"/>
      <c r="C752" s="18"/>
      <c r="D752" s="161"/>
      <c r="E752" s="161"/>
      <c r="F752" s="511"/>
      <c r="G752" s="161"/>
      <c r="H752" s="161"/>
      <c r="I752" s="161"/>
      <c r="J752" s="161"/>
      <c r="K752" s="161"/>
      <c r="L752" s="161"/>
      <c r="M752" s="161"/>
      <c r="N752" s="161"/>
      <c r="O752" s="161"/>
      <c r="P752" s="161"/>
      <c r="Q752" s="161"/>
      <c r="R752" s="161"/>
      <c r="S752" s="161"/>
      <c r="T752" s="161"/>
      <c r="U752" s="161"/>
      <c r="V752" s="161"/>
      <c r="W752" s="161"/>
      <c r="X752" s="161"/>
      <c r="Y752" s="161"/>
      <c r="Z752" s="161"/>
    </row>
    <row r="753">
      <c r="A753" s="511"/>
      <c r="B753" s="18"/>
      <c r="C753" s="18"/>
      <c r="D753" s="161"/>
      <c r="E753" s="161"/>
      <c r="F753" s="511"/>
      <c r="G753" s="161"/>
      <c r="H753" s="161"/>
      <c r="I753" s="161"/>
      <c r="J753" s="161"/>
      <c r="K753" s="161"/>
      <c r="L753" s="161"/>
      <c r="M753" s="161"/>
      <c r="N753" s="161"/>
      <c r="O753" s="161"/>
      <c r="P753" s="161"/>
      <c r="Q753" s="161"/>
      <c r="R753" s="161"/>
      <c r="S753" s="161"/>
      <c r="T753" s="161"/>
      <c r="U753" s="161"/>
      <c r="V753" s="161"/>
      <c r="W753" s="161"/>
      <c r="X753" s="161"/>
      <c r="Y753" s="161"/>
      <c r="Z753" s="161"/>
    </row>
    <row r="754">
      <c r="A754" s="511"/>
      <c r="B754" s="18"/>
      <c r="C754" s="18"/>
      <c r="D754" s="161"/>
      <c r="E754" s="161"/>
      <c r="F754" s="511"/>
      <c r="G754" s="161"/>
      <c r="H754" s="161"/>
      <c r="I754" s="161"/>
      <c r="J754" s="161"/>
      <c r="K754" s="161"/>
      <c r="L754" s="161"/>
      <c r="M754" s="161"/>
      <c r="N754" s="161"/>
      <c r="O754" s="161"/>
      <c r="P754" s="161"/>
      <c r="Q754" s="161"/>
      <c r="R754" s="161"/>
      <c r="S754" s="161"/>
      <c r="T754" s="161"/>
      <c r="U754" s="161"/>
      <c r="V754" s="161"/>
      <c r="W754" s="161"/>
      <c r="X754" s="161"/>
      <c r="Y754" s="161"/>
      <c r="Z754" s="161"/>
    </row>
    <row r="755">
      <c r="A755" s="511"/>
      <c r="B755" s="18"/>
      <c r="C755" s="18"/>
      <c r="D755" s="161"/>
      <c r="E755" s="161"/>
      <c r="F755" s="511"/>
      <c r="G755" s="161"/>
      <c r="H755" s="161"/>
      <c r="I755" s="161"/>
      <c r="J755" s="161"/>
      <c r="K755" s="161"/>
      <c r="L755" s="161"/>
      <c r="M755" s="161"/>
      <c r="N755" s="161"/>
      <c r="O755" s="161"/>
      <c r="P755" s="161"/>
      <c r="Q755" s="161"/>
      <c r="R755" s="161"/>
      <c r="S755" s="161"/>
      <c r="T755" s="161"/>
      <c r="U755" s="161"/>
      <c r="V755" s="161"/>
      <c r="W755" s="161"/>
      <c r="X755" s="161"/>
      <c r="Y755" s="161"/>
      <c r="Z755" s="161"/>
    </row>
    <row r="756">
      <c r="A756" s="511"/>
      <c r="B756" s="18"/>
      <c r="C756" s="18"/>
      <c r="D756" s="161"/>
      <c r="E756" s="161"/>
      <c r="F756" s="511"/>
      <c r="G756" s="161"/>
      <c r="H756" s="161"/>
      <c r="I756" s="161"/>
      <c r="J756" s="161"/>
      <c r="K756" s="161"/>
      <c r="L756" s="161"/>
      <c r="M756" s="161"/>
      <c r="N756" s="161"/>
      <c r="O756" s="161"/>
      <c r="P756" s="161"/>
      <c r="Q756" s="161"/>
      <c r="R756" s="161"/>
      <c r="S756" s="161"/>
      <c r="T756" s="161"/>
      <c r="U756" s="161"/>
      <c r="V756" s="161"/>
      <c r="W756" s="161"/>
      <c r="X756" s="161"/>
      <c r="Y756" s="161"/>
      <c r="Z756" s="161"/>
    </row>
    <row r="757">
      <c r="A757" s="511"/>
      <c r="B757" s="18"/>
      <c r="C757" s="18"/>
      <c r="D757" s="161"/>
      <c r="E757" s="161"/>
      <c r="F757" s="511"/>
      <c r="G757" s="161"/>
      <c r="H757" s="161"/>
      <c r="I757" s="161"/>
      <c r="J757" s="161"/>
      <c r="K757" s="161"/>
      <c r="L757" s="161"/>
      <c r="M757" s="161"/>
      <c r="N757" s="161"/>
      <c r="O757" s="161"/>
      <c r="P757" s="161"/>
      <c r="Q757" s="161"/>
      <c r="R757" s="161"/>
      <c r="S757" s="161"/>
      <c r="T757" s="161"/>
      <c r="U757" s="161"/>
      <c r="V757" s="161"/>
      <c r="W757" s="161"/>
      <c r="X757" s="161"/>
      <c r="Y757" s="161"/>
      <c r="Z757" s="161"/>
    </row>
    <row r="758">
      <c r="A758" s="511"/>
      <c r="B758" s="18"/>
      <c r="C758" s="18"/>
      <c r="D758" s="161"/>
      <c r="E758" s="161"/>
      <c r="F758" s="511"/>
      <c r="G758" s="161"/>
      <c r="H758" s="161"/>
      <c r="I758" s="161"/>
      <c r="J758" s="161"/>
      <c r="K758" s="161"/>
      <c r="L758" s="161"/>
      <c r="M758" s="161"/>
      <c r="N758" s="161"/>
      <c r="O758" s="161"/>
      <c r="P758" s="161"/>
      <c r="Q758" s="161"/>
      <c r="R758" s="161"/>
      <c r="S758" s="161"/>
      <c r="T758" s="161"/>
      <c r="U758" s="161"/>
      <c r="V758" s="161"/>
      <c r="W758" s="161"/>
      <c r="X758" s="161"/>
      <c r="Y758" s="161"/>
      <c r="Z758" s="161"/>
    </row>
    <row r="759">
      <c r="A759" s="511"/>
      <c r="B759" s="18"/>
      <c r="C759" s="18"/>
      <c r="D759" s="161"/>
      <c r="E759" s="161"/>
      <c r="F759" s="511"/>
      <c r="G759" s="161"/>
      <c r="H759" s="161"/>
      <c r="I759" s="161"/>
      <c r="J759" s="161"/>
      <c r="K759" s="161"/>
      <c r="L759" s="161"/>
      <c r="M759" s="161"/>
      <c r="N759" s="161"/>
      <c r="O759" s="161"/>
      <c r="P759" s="161"/>
      <c r="Q759" s="161"/>
      <c r="R759" s="161"/>
      <c r="S759" s="161"/>
      <c r="T759" s="161"/>
      <c r="U759" s="161"/>
      <c r="V759" s="161"/>
      <c r="W759" s="161"/>
      <c r="X759" s="161"/>
      <c r="Y759" s="161"/>
      <c r="Z759" s="161"/>
    </row>
    <row r="760">
      <c r="A760" s="511"/>
      <c r="B760" s="18"/>
      <c r="C760" s="18"/>
      <c r="D760" s="161"/>
      <c r="E760" s="161"/>
      <c r="F760" s="511"/>
      <c r="G760" s="161"/>
      <c r="H760" s="161"/>
      <c r="I760" s="161"/>
      <c r="J760" s="161"/>
      <c r="K760" s="161"/>
      <c r="L760" s="161"/>
      <c r="M760" s="161"/>
      <c r="N760" s="161"/>
      <c r="O760" s="161"/>
      <c r="P760" s="161"/>
      <c r="Q760" s="161"/>
      <c r="R760" s="161"/>
      <c r="S760" s="161"/>
      <c r="T760" s="161"/>
      <c r="U760" s="161"/>
      <c r="V760" s="161"/>
      <c r="W760" s="161"/>
      <c r="X760" s="161"/>
      <c r="Y760" s="161"/>
      <c r="Z760" s="161"/>
    </row>
    <row r="761">
      <c r="A761" s="511"/>
      <c r="B761" s="18"/>
      <c r="C761" s="18"/>
      <c r="D761" s="161"/>
      <c r="E761" s="161"/>
      <c r="F761" s="511"/>
      <c r="G761" s="161"/>
      <c r="H761" s="161"/>
      <c r="I761" s="161"/>
      <c r="J761" s="161"/>
      <c r="K761" s="161"/>
      <c r="L761" s="161"/>
      <c r="M761" s="161"/>
      <c r="N761" s="161"/>
      <c r="O761" s="161"/>
      <c r="P761" s="161"/>
      <c r="Q761" s="161"/>
      <c r="R761" s="161"/>
      <c r="S761" s="161"/>
      <c r="T761" s="161"/>
      <c r="U761" s="161"/>
      <c r="V761" s="161"/>
      <c r="W761" s="161"/>
      <c r="X761" s="161"/>
      <c r="Y761" s="161"/>
      <c r="Z761" s="161"/>
    </row>
    <row r="762">
      <c r="A762" s="511"/>
      <c r="B762" s="18"/>
      <c r="C762" s="18"/>
      <c r="D762" s="161"/>
      <c r="E762" s="161"/>
      <c r="F762" s="511"/>
      <c r="G762" s="161"/>
      <c r="H762" s="161"/>
      <c r="I762" s="161"/>
      <c r="J762" s="161"/>
      <c r="K762" s="161"/>
      <c r="L762" s="161"/>
      <c r="M762" s="161"/>
      <c r="N762" s="161"/>
      <c r="O762" s="161"/>
      <c r="P762" s="161"/>
      <c r="Q762" s="161"/>
      <c r="R762" s="161"/>
      <c r="S762" s="161"/>
      <c r="T762" s="161"/>
      <c r="U762" s="161"/>
      <c r="V762" s="161"/>
      <c r="W762" s="161"/>
      <c r="X762" s="161"/>
      <c r="Y762" s="161"/>
      <c r="Z762" s="161"/>
    </row>
    <row r="763">
      <c r="A763" s="511"/>
      <c r="B763" s="18"/>
      <c r="C763" s="18"/>
      <c r="D763" s="161"/>
      <c r="E763" s="161"/>
      <c r="F763" s="511"/>
      <c r="G763" s="161"/>
      <c r="H763" s="161"/>
      <c r="I763" s="161"/>
      <c r="J763" s="161"/>
      <c r="K763" s="161"/>
      <c r="L763" s="161"/>
      <c r="M763" s="161"/>
      <c r="N763" s="161"/>
      <c r="O763" s="161"/>
      <c r="P763" s="161"/>
      <c r="Q763" s="161"/>
      <c r="R763" s="161"/>
      <c r="S763" s="161"/>
      <c r="T763" s="161"/>
      <c r="U763" s="161"/>
      <c r="V763" s="161"/>
      <c r="W763" s="161"/>
      <c r="X763" s="161"/>
      <c r="Y763" s="161"/>
      <c r="Z763" s="161"/>
    </row>
    <row r="764">
      <c r="A764" s="511"/>
      <c r="B764" s="18"/>
      <c r="C764" s="18"/>
      <c r="D764" s="161"/>
      <c r="E764" s="161"/>
      <c r="F764" s="511"/>
      <c r="G764" s="161"/>
      <c r="H764" s="161"/>
      <c r="I764" s="161"/>
      <c r="J764" s="161"/>
      <c r="K764" s="161"/>
      <c r="L764" s="161"/>
      <c r="M764" s="161"/>
      <c r="N764" s="161"/>
      <c r="O764" s="161"/>
      <c r="P764" s="161"/>
      <c r="Q764" s="161"/>
      <c r="R764" s="161"/>
      <c r="S764" s="161"/>
      <c r="T764" s="161"/>
      <c r="U764" s="161"/>
      <c r="V764" s="161"/>
      <c r="W764" s="161"/>
      <c r="X764" s="161"/>
      <c r="Y764" s="161"/>
      <c r="Z764" s="161"/>
    </row>
    <row r="765">
      <c r="A765" s="511"/>
      <c r="B765" s="18"/>
      <c r="C765" s="18"/>
      <c r="D765" s="161"/>
      <c r="E765" s="161"/>
      <c r="F765" s="511"/>
      <c r="G765" s="161"/>
      <c r="H765" s="161"/>
      <c r="I765" s="161"/>
      <c r="J765" s="161"/>
      <c r="K765" s="161"/>
      <c r="L765" s="161"/>
      <c r="M765" s="161"/>
      <c r="N765" s="161"/>
      <c r="O765" s="161"/>
      <c r="P765" s="161"/>
      <c r="Q765" s="161"/>
      <c r="R765" s="161"/>
      <c r="S765" s="161"/>
      <c r="T765" s="161"/>
      <c r="U765" s="161"/>
      <c r="V765" s="161"/>
      <c r="W765" s="161"/>
      <c r="X765" s="161"/>
      <c r="Y765" s="161"/>
      <c r="Z765" s="161"/>
    </row>
    <row r="766">
      <c r="A766" s="511"/>
      <c r="B766" s="18"/>
      <c r="C766" s="18"/>
      <c r="D766" s="161"/>
      <c r="E766" s="161"/>
      <c r="F766" s="511"/>
      <c r="G766" s="161"/>
      <c r="H766" s="161"/>
      <c r="I766" s="161"/>
      <c r="J766" s="161"/>
      <c r="K766" s="161"/>
      <c r="L766" s="161"/>
      <c r="M766" s="161"/>
      <c r="N766" s="161"/>
      <c r="O766" s="161"/>
      <c r="P766" s="161"/>
      <c r="Q766" s="161"/>
      <c r="R766" s="161"/>
      <c r="S766" s="161"/>
      <c r="T766" s="161"/>
      <c r="U766" s="161"/>
      <c r="V766" s="161"/>
      <c r="W766" s="161"/>
      <c r="X766" s="161"/>
      <c r="Y766" s="161"/>
      <c r="Z766" s="161"/>
    </row>
    <row r="767">
      <c r="A767" s="511"/>
      <c r="B767" s="18"/>
      <c r="C767" s="18"/>
      <c r="D767" s="161"/>
      <c r="E767" s="161"/>
      <c r="F767" s="511"/>
      <c r="G767" s="161"/>
      <c r="H767" s="161"/>
      <c r="I767" s="161"/>
      <c r="J767" s="161"/>
      <c r="K767" s="161"/>
      <c r="L767" s="161"/>
      <c r="M767" s="161"/>
      <c r="N767" s="161"/>
      <c r="O767" s="161"/>
      <c r="P767" s="161"/>
      <c r="Q767" s="161"/>
      <c r="R767" s="161"/>
      <c r="S767" s="161"/>
      <c r="T767" s="161"/>
      <c r="U767" s="161"/>
      <c r="V767" s="161"/>
      <c r="W767" s="161"/>
      <c r="X767" s="161"/>
      <c r="Y767" s="161"/>
      <c r="Z767" s="161"/>
    </row>
    <row r="768">
      <c r="A768" s="511"/>
      <c r="B768" s="18"/>
      <c r="C768" s="18"/>
      <c r="D768" s="161"/>
      <c r="E768" s="161"/>
      <c r="F768" s="511"/>
      <c r="G768" s="161"/>
      <c r="H768" s="161"/>
      <c r="I768" s="161"/>
      <c r="J768" s="161"/>
      <c r="K768" s="161"/>
      <c r="L768" s="161"/>
      <c r="M768" s="161"/>
      <c r="N768" s="161"/>
      <c r="O768" s="161"/>
      <c r="P768" s="161"/>
      <c r="Q768" s="161"/>
      <c r="R768" s="161"/>
      <c r="S768" s="161"/>
      <c r="T768" s="161"/>
      <c r="U768" s="161"/>
      <c r="V768" s="161"/>
      <c r="W768" s="161"/>
      <c r="X768" s="161"/>
      <c r="Y768" s="161"/>
      <c r="Z768" s="161"/>
    </row>
    <row r="769">
      <c r="A769" s="511"/>
      <c r="B769" s="18"/>
      <c r="C769" s="18"/>
      <c r="D769" s="161"/>
      <c r="E769" s="161"/>
      <c r="F769" s="511"/>
      <c r="G769" s="161"/>
      <c r="H769" s="161"/>
      <c r="I769" s="161"/>
      <c r="J769" s="161"/>
      <c r="K769" s="161"/>
      <c r="L769" s="161"/>
      <c r="M769" s="161"/>
      <c r="N769" s="161"/>
      <c r="O769" s="161"/>
      <c r="P769" s="161"/>
      <c r="Q769" s="161"/>
      <c r="R769" s="161"/>
      <c r="S769" s="161"/>
      <c r="T769" s="161"/>
      <c r="U769" s="161"/>
      <c r="V769" s="161"/>
      <c r="W769" s="161"/>
      <c r="X769" s="161"/>
      <c r="Y769" s="161"/>
      <c r="Z769" s="161"/>
    </row>
    <row r="770">
      <c r="A770" s="511"/>
      <c r="B770" s="18"/>
      <c r="C770" s="18"/>
      <c r="D770" s="161"/>
      <c r="E770" s="161"/>
      <c r="F770" s="511"/>
      <c r="G770" s="161"/>
      <c r="H770" s="161"/>
      <c r="I770" s="161"/>
      <c r="J770" s="161"/>
      <c r="K770" s="161"/>
      <c r="L770" s="161"/>
      <c r="M770" s="161"/>
      <c r="N770" s="161"/>
      <c r="O770" s="161"/>
      <c r="P770" s="161"/>
      <c r="Q770" s="161"/>
      <c r="R770" s="161"/>
      <c r="S770" s="161"/>
      <c r="T770" s="161"/>
      <c r="U770" s="161"/>
      <c r="V770" s="161"/>
      <c r="W770" s="161"/>
      <c r="X770" s="161"/>
      <c r="Y770" s="161"/>
      <c r="Z770" s="161"/>
    </row>
    <row r="771">
      <c r="A771" s="511"/>
      <c r="B771" s="18"/>
      <c r="C771" s="18"/>
      <c r="D771" s="161"/>
      <c r="E771" s="161"/>
      <c r="F771" s="511"/>
      <c r="G771" s="161"/>
      <c r="H771" s="161"/>
      <c r="I771" s="161"/>
      <c r="J771" s="161"/>
      <c r="K771" s="161"/>
      <c r="L771" s="161"/>
      <c r="M771" s="161"/>
      <c r="N771" s="161"/>
      <c r="O771" s="161"/>
      <c r="P771" s="161"/>
      <c r="Q771" s="161"/>
      <c r="R771" s="161"/>
      <c r="S771" s="161"/>
      <c r="T771" s="161"/>
      <c r="U771" s="161"/>
      <c r="V771" s="161"/>
      <c r="W771" s="161"/>
      <c r="X771" s="161"/>
      <c r="Y771" s="161"/>
      <c r="Z771" s="161"/>
    </row>
    <row r="772">
      <c r="A772" s="511"/>
      <c r="B772" s="18"/>
      <c r="C772" s="18"/>
      <c r="D772" s="161"/>
      <c r="E772" s="161"/>
      <c r="F772" s="511"/>
      <c r="G772" s="161"/>
      <c r="H772" s="161"/>
      <c r="I772" s="161"/>
      <c r="J772" s="161"/>
      <c r="K772" s="161"/>
      <c r="L772" s="161"/>
      <c r="M772" s="161"/>
      <c r="N772" s="161"/>
      <c r="O772" s="161"/>
      <c r="P772" s="161"/>
      <c r="Q772" s="161"/>
      <c r="R772" s="161"/>
      <c r="S772" s="161"/>
      <c r="T772" s="161"/>
      <c r="U772" s="161"/>
      <c r="V772" s="161"/>
      <c r="W772" s="161"/>
      <c r="X772" s="161"/>
      <c r="Y772" s="161"/>
      <c r="Z772" s="161"/>
    </row>
    <row r="773">
      <c r="A773" s="511"/>
      <c r="B773" s="18"/>
      <c r="C773" s="18"/>
      <c r="D773" s="161"/>
      <c r="E773" s="161"/>
      <c r="F773" s="511"/>
      <c r="G773" s="161"/>
      <c r="H773" s="161"/>
      <c r="I773" s="161"/>
      <c r="J773" s="161"/>
      <c r="K773" s="161"/>
      <c r="L773" s="161"/>
      <c r="M773" s="161"/>
      <c r="N773" s="161"/>
      <c r="O773" s="161"/>
      <c r="P773" s="161"/>
      <c r="Q773" s="161"/>
      <c r="R773" s="161"/>
      <c r="S773" s="161"/>
      <c r="T773" s="161"/>
      <c r="U773" s="161"/>
      <c r="V773" s="161"/>
      <c r="W773" s="161"/>
      <c r="X773" s="161"/>
      <c r="Y773" s="161"/>
      <c r="Z773" s="161"/>
    </row>
    <row r="774">
      <c r="A774" s="511"/>
      <c r="B774" s="18"/>
      <c r="C774" s="18"/>
      <c r="D774" s="161"/>
      <c r="E774" s="161"/>
      <c r="F774" s="511"/>
      <c r="G774" s="161"/>
      <c r="H774" s="161"/>
      <c r="I774" s="161"/>
      <c r="J774" s="161"/>
      <c r="K774" s="161"/>
      <c r="L774" s="161"/>
      <c r="M774" s="161"/>
      <c r="N774" s="161"/>
      <c r="O774" s="161"/>
      <c r="P774" s="161"/>
      <c r="Q774" s="161"/>
      <c r="R774" s="161"/>
      <c r="S774" s="161"/>
      <c r="T774" s="161"/>
      <c r="U774" s="161"/>
      <c r="V774" s="161"/>
      <c r="W774" s="161"/>
      <c r="X774" s="161"/>
      <c r="Y774" s="161"/>
      <c r="Z774" s="161"/>
    </row>
    <row r="775">
      <c r="A775" s="511"/>
      <c r="B775" s="18"/>
      <c r="C775" s="18"/>
      <c r="D775" s="161"/>
      <c r="E775" s="161"/>
      <c r="F775" s="511"/>
      <c r="G775" s="161"/>
      <c r="H775" s="161"/>
      <c r="I775" s="161"/>
      <c r="J775" s="161"/>
      <c r="K775" s="161"/>
      <c r="L775" s="161"/>
      <c r="M775" s="161"/>
      <c r="N775" s="161"/>
      <c r="O775" s="161"/>
      <c r="P775" s="161"/>
      <c r="Q775" s="161"/>
      <c r="R775" s="161"/>
      <c r="S775" s="161"/>
      <c r="T775" s="161"/>
      <c r="U775" s="161"/>
      <c r="V775" s="161"/>
      <c r="W775" s="161"/>
      <c r="X775" s="161"/>
      <c r="Y775" s="161"/>
      <c r="Z775" s="161"/>
    </row>
    <row r="776">
      <c r="A776" s="511"/>
      <c r="B776" s="18"/>
      <c r="C776" s="18"/>
      <c r="D776" s="161"/>
      <c r="E776" s="161"/>
      <c r="F776" s="511"/>
      <c r="G776" s="161"/>
      <c r="H776" s="161"/>
      <c r="I776" s="161"/>
      <c r="J776" s="161"/>
      <c r="K776" s="161"/>
      <c r="L776" s="161"/>
      <c r="M776" s="161"/>
      <c r="N776" s="161"/>
      <c r="O776" s="161"/>
      <c r="P776" s="161"/>
      <c r="Q776" s="161"/>
      <c r="R776" s="161"/>
      <c r="S776" s="161"/>
      <c r="T776" s="161"/>
      <c r="U776" s="161"/>
      <c r="V776" s="161"/>
      <c r="W776" s="161"/>
      <c r="X776" s="161"/>
      <c r="Y776" s="161"/>
      <c r="Z776" s="161"/>
    </row>
    <row r="777">
      <c r="A777" s="511"/>
      <c r="B777" s="18"/>
      <c r="C777" s="18"/>
      <c r="D777" s="161"/>
      <c r="E777" s="161"/>
      <c r="F777" s="511"/>
      <c r="G777" s="161"/>
      <c r="H777" s="161"/>
      <c r="I777" s="161"/>
      <c r="J777" s="161"/>
      <c r="K777" s="161"/>
      <c r="L777" s="161"/>
      <c r="M777" s="161"/>
      <c r="N777" s="161"/>
      <c r="O777" s="161"/>
      <c r="P777" s="161"/>
      <c r="Q777" s="161"/>
      <c r="R777" s="161"/>
      <c r="S777" s="161"/>
      <c r="T777" s="161"/>
      <c r="U777" s="161"/>
      <c r="V777" s="161"/>
      <c r="W777" s="161"/>
      <c r="X777" s="161"/>
      <c r="Y777" s="161"/>
      <c r="Z777" s="161"/>
    </row>
    <row r="778">
      <c r="A778" s="511"/>
      <c r="B778" s="18"/>
      <c r="C778" s="18"/>
      <c r="D778" s="161"/>
      <c r="E778" s="161"/>
      <c r="F778" s="511"/>
      <c r="G778" s="161"/>
      <c r="H778" s="161"/>
      <c r="I778" s="161"/>
      <c r="J778" s="161"/>
      <c r="K778" s="161"/>
      <c r="L778" s="161"/>
      <c r="M778" s="161"/>
      <c r="N778" s="161"/>
      <c r="O778" s="161"/>
      <c r="P778" s="161"/>
      <c r="Q778" s="161"/>
      <c r="R778" s="161"/>
      <c r="S778" s="161"/>
      <c r="T778" s="161"/>
      <c r="U778" s="161"/>
      <c r="V778" s="161"/>
      <c r="W778" s="161"/>
      <c r="X778" s="161"/>
      <c r="Y778" s="161"/>
      <c r="Z778" s="161"/>
    </row>
    <row r="779">
      <c r="A779" s="511"/>
      <c r="B779" s="18"/>
      <c r="C779" s="18"/>
      <c r="D779" s="161"/>
      <c r="E779" s="161"/>
      <c r="F779" s="511"/>
      <c r="G779" s="161"/>
      <c r="H779" s="161"/>
      <c r="I779" s="161"/>
      <c r="J779" s="161"/>
      <c r="K779" s="161"/>
      <c r="L779" s="161"/>
      <c r="M779" s="161"/>
      <c r="N779" s="161"/>
      <c r="O779" s="161"/>
      <c r="P779" s="161"/>
      <c r="Q779" s="161"/>
      <c r="R779" s="161"/>
      <c r="S779" s="161"/>
      <c r="T779" s="161"/>
      <c r="U779" s="161"/>
      <c r="V779" s="161"/>
      <c r="W779" s="161"/>
      <c r="X779" s="161"/>
      <c r="Y779" s="161"/>
      <c r="Z779" s="161"/>
    </row>
    <row r="780">
      <c r="A780" s="511"/>
      <c r="B780" s="18"/>
      <c r="C780" s="18"/>
      <c r="D780" s="161"/>
      <c r="E780" s="161"/>
      <c r="F780" s="511"/>
      <c r="G780" s="161"/>
      <c r="H780" s="161"/>
      <c r="I780" s="161"/>
      <c r="J780" s="161"/>
      <c r="K780" s="161"/>
      <c r="L780" s="161"/>
      <c r="M780" s="161"/>
      <c r="N780" s="161"/>
      <c r="O780" s="161"/>
      <c r="P780" s="161"/>
      <c r="Q780" s="161"/>
      <c r="R780" s="161"/>
      <c r="S780" s="161"/>
      <c r="T780" s="161"/>
      <c r="U780" s="161"/>
      <c r="V780" s="161"/>
      <c r="W780" s="161"/>
      <c r="X780" s="161"/>
      <c r="Y780" s="161"/>
      <c r="Z780" s="161"/>
    </row>
    <row r="781">
      <c r="A781" s="511"/>
      <c r="B781" s="18"/>
      <c r="C781" s="18"/>
      <c r="D781" s="161"/>
      <c r="E781" s="161"/>
      <c r="F781" s="511"/>
      <c r="G781" s="161"/>
      <c r="H781" s="161"/>
      <c r="I781" s="161"/>
      <c r="J781" s="161"/>
      <c r="K781" s="161"/>
      <c r="L781" s="161"/>
      <c r="M781" s="161"/>
      <c r="N781" s="161"/>
      <c r="O781" s="161"/>
      <c r="P781" s="161"/>
      <c r="Q781" s="161"/>
      <c r="R781" s="161"/>
      <c r="S781" s="161"/>
      <c r="T781" s="161"/>
      <c r="U781" s="161"/>
      <c r="V781" s="161"/>
      <c r="W781" s="161"/>
      <c r="X781" s="161"/>
      <c r="Y781" s="161"/>
      <c r="Z781" s="161"/>
    </row>
    <row r="782">
      <c r="A782" s="511"/>
      <c r="B782" s="18"/>
      <c r="C782" s="18"/>
      <c r="D782" s="161"/>
      <c r="E782" s="161"/>
      <c r="F782" s="511"/>
      <c r="G782" s="161"/>
      <c r="H782" s="161"/>
      <c r="I782" s="161"/>
      <c r="J782" s="161"/>
      <c r="K782" s="161"/>
      <c r="L782" s="161"/>
      <c r="M782" s="161"/>
      <c r="N782" s="161"/>
      <c r="O782" s="161"/>
      <c r="P782" s="161"/>
      <c r="Q782" s="161"/>
      <c r="R782" s="161"/>
      <c r="S782" s="161"/>
      <c r="T782" s="161"/>
      <c r="U782" s="161"/>
      <c r="V782" s="161"/>
      <c r="W782" s="161"/>
      <c r="X782" s="161"/>
      <c r="Y782" s="161"/>
      <c r="Z782" s="161"/>
    </row>
    <row r="783">
      <c r="A783" s="511"/>
      <c r="B783" s="18"/>
      <c r="C783" s="18"/>
      <c r="D783" s="161"/>
      <c r="E783" s="161"/>
      <c r="F783" s="511"/>
      <c r="G783" s="161"/>
      <c r="H783" s="161"/>
      <c r="I783" s="161"/>
      <c r="J783" s="161"/>
      <c r="K783" s="161"/>
      <c r="L783" s="161"/>
      <c r="M783" s="161"/>
      <c r="N783" s="161"/>
      <c r="O783" s="161"/>
      <c r="P783" s="161"/>
      <c r="Q783" s="161"/>
      <c r="R783" s="161"/>
      <c r="S783" s="161"/>
      <c r="T783" s="161"/>
      <c r="U783" s="161"/>
      <c r="V783" s="161"/>
      <c r="W783" s="161"/>
      <c r="X783" s="161"/>
      <c r="Y783" s="161"/>
      <c r="Z783" s="161"/>
    </row>
    <row r="784">
      <c r="A784" s="511"/>
      <c r="B784" s="18"/>
      <c r="C784" s="18"/>
      <c r="D784" s="161"/>
      <c r="E784" s="161"/>
      <c r="F784" s="511"/>
      <c r="G784" s="161"/>
      <c r="H784" s="161"/>
      <c r="I784" s="161"/>
      <c r="J784" s="161"/>
      <c r="K784" s="161"/>
      <c r="L784" s="161"/>
      <c r="M784" s="161"/>
      <c r="N784" s="161"/>
      <c r="O784" s="161"/>
      <c r="P784" s="161"/>
      <c r="Q784" s="161"/>
      <c r="R784" s="161"/>
      <c r="S784" s="161"/>
      <c r="T784" s="161"/>
      <c r="U784" s="161"/>
      <c r="V784" s="161"/>
      <c r="W784" s="161"/>
      <c r="X784" s="161"/>
      <c r="Y784" s="161"/>
      <c r="Z784" s="161"/>
    </row>
    <row r="785">
      <c r="A785" s="511"/>
      <c r="B785" s="18"/>
      <c r="C785" s="18"/>
      <c r="D785" s="161"/>
      <c r="E785" s="161"/>
      <c r="F785" s="511"/>
      <c r="G785" s="161"/>
      <c r="H785" s="161"/>
      <c r="I785" s="161"/>
      <c r="J785" s="161"/>
      <c r="K785" s="161"/>
      <c r="L785" s="161"/>
      <c r="M785" s="161"/>
      <c r="N785" s="161"/>
      <c r="O785" s="161"/>
      <c r="P785" s="161"/>
      <c r="Q785" s="161"/>
      <c r="R785" s="161"/>
      <c r="S785" s="161"/>
      <c r="T785" s="161"/>
      <c r="U785" s="161"/>
      <c r="V785" s="161"/>
      <c r="W785" s="161"/>
      <c r="X785" s="161"/>
      <c r="Y785" s="161"/>
      <c r="Z785" s="161"/>
    </row>
    <row r="786">
      <c r="A786" s="511"/>
      <c r="B786" s="18"/>
      <c r="C786" s="18"/>
      <c r="D786" s="161"/>
      <c r="E786" s="161"/>
      <c r="F786" s="511"/>
      <c r="G786" s="161"/>
      <c r="H786" s="161"/>
      <c r="I786" s="161"/>
      <c r="J786" s="161"/>
      <c r="K786" s="161"/>
      <c r="L786" s="161"/>
      <c r="M786" s="161"/>
      <c r="N786" s="161"/>
      <c r="O786" s="161"/>
      <c r="P786" s="161"/>
      <c r="Q786" s="161"/>
      <c r="R786" s="161"/>
      <c r="S786" s="161"/>
      <c r="T786" s="161"/>
      <c r="U786" s="161"/>
      <c r="V786" s="161"/>
      <c r="W786" s="161"/>
      <c r="X786" s="161"/>
      <c r="Y786" s="161"/>
      <c r="Z786" s="161"/>
    </row>
    <row r="787">
      <c r="A787" s="511"/>
      <c r="B787" s="18"/>
      <c r="C787" s="18"/>
      <c r="D787" s="161"/>
      <c r="E787" s="161"/>
      <c r="F787" s="511"/>
      <c r="G787" s="161"/>
      <c r="H787" s="161"/>
      <c r="I787" s="161"/>
      <c r="J787" s="161"/>
      <c r="K787" s="161"/>
      <c r="L787" s="161"/>
      <c r="M787" s="161"/>
      <c r="N787" s="161"/>
      <c r="O787" s="161"/>
      <c r="P787" s="161"/>
      <c r="Q787" s="161"/>
      <c r="R787" s="161"/>
      <c r="S787" s="161"/>
      <c r="T787" s="161"/>
      <c r="U787" s="161"/>
      <c r="V787" s="161"/>
      <c r="W787" s="161"/>
      <c r="X787" s="161"/>
      <c r="Y787" s="161"/>
      <c r="Z787" s="161"/>
    </row>
    <row r="788">
      <c r="A788" s="511"/>
      <c r="B788" s="18"/>
      <c r="C788" s="18"/>
      <c r="D788" s="161"/>
      <c r="E788" s="161"/>
      <c r="F788" s="511"/>
      <c r="G788" s="161"/>
      <c r="H788" s="161"/>
      <c r="I788" s="161"/>
      <c r="J788" s="161"/>
      <c r="K788" s="161"/>
      <c r="L788" s="161"/>
      <c r="M788" s="161"/>
      <c r="N788" s="161"/>
      <c r="O788" s="161"/>
      <c r="P788" s="161"/>
      <c r="Q788" s="161"/>
      <c r="R788" s="161"/>
      <c r="S788" s="161"/>
      <c r="T788" s="161"/>
      <c r="U788" s="161"/>
      <c r="V788" s="161"/>
      <c r="W788" s="161"/>
      <c r="X788" s="161"/>
      <c r="Y788" s="161"/>
      <c r="Z788" s="161"/>
    </row>
    <row r="789">
      <c r="A789" s="511"/>
      <c r="B789" s="18"/>
      <c r="C789" s="18"/>
      <c r="D789" s="161"/>
      <c r="E789" s="161"/>
      <c r="F789" s="511"/>
      <c r="G789" s="161"/>
      <c r="H789" s="161"/>
      <c r="I789" s="161"/>
      <c r="J789" s="161"/>
      <c r="K789" s="161"/>
      <c r="L789" s="161"/>
      <c r="M789" s="161"/>
      <c r="N789" s="161"/>
      <c r="O789" s="161"/>
      <c r="P789" s="161"/>
      <c r="Q789" s="161"/>
      <c r="R789" s="161"/>
      <c r="S789" s="161"/>
      <c r="T789" s="161"/>
      <c r="U789" s="161"/>
      <c r="V789" s="161"/>
      <c r="W789" s="161"/>
      <c r="X789" s="161"/>
      <c r="Y789" s="161"/>
      <c r="Z789" s="161"/>
    </row>
    <row r="790">
      <c r="A790" s="511"/>
      <c r="B790" s="18"/>
      <c r="C790" s="18"/>
      <c r="D790" s="161"/>
      <c r="E790" s="161"/>
      <c r="F790" s="511"/>
      <c r="G790" s="161"/>
      <c r="H790" s="161"/>
      <c r="I790" s="161"/>
      <c r="J790" s="161"/>
      <c r="K790" s="161"/>
      <c r="L790" s="161"/>
      <c r="M790" s="161"/>
      <c r="N790" s="161"/>
      <c r="O790" s="161"/>
      <c r="P790" s="161"/>
      <c r="Q790" s="161"/>
      <c r="R790" s="161"/>
      <c r="S790" s="161"/>
      <c r="T790" s="161"/>
      <c r="U790" s="161"/>
      <c r="V790" s="161"/>
      <c r="W790" s="161"/>
      <c r="X790" s="161"/>
      <c r="Y790" s="161"/>
      <c r="Z790" s="161"/>
    </row>
    <row r="791">
      <c r="A791" s="511"/>
      <c r="B791" s="18"/>
      <c r="C791" s="18"/>
      <c r="D791" s="161"/>
      <c r="E791" s="161"/>
      <c r="F791" s="511"/>
      <c r="G791" s="161"/>
      <c r="H791" s="161"/>
      <c r="I791" s="161"/>
      <c r="J791" s="161"/>
      <c r="K791" s="161"/>
      <c r="L791" s="161"/>
      <c r="M791" s="161"/>
      <c r="N791" s="161"/>
      <c r="O791" s="161"/>
      <c r="P791" s="161"/>
      <c r="Q791" s="161"/>
      <c r="R791" s="161"/>
      <c r="S791" s="161"/>
      <c r="T791" s="161"/>
      <c r="U791" s="161"/>
      <c r="V791" s="161"/>
      <c r="W791" s="161"/>
      <c r="X791" s="161"/>
      <c r="Y791" s="161"/>
      <c r="Z791" s="161"/>
    </row>
    <row r="792">
      <c r="A792" s="511"/>
      <c r="B792" s="18"/>
      <c r="C792" s="18"/>
      <c r="D792" s="161"/>
      <c r="E792" s="161"/>
      <c r="F792" s="511"/>
      <c r="G792" s="161"/>
      <c r="H792" s="161"/>
      <c r="I792" s="161"/>
      <c r="J792" s="161"/>
      <c r="K792" s="161"/>
      <c r="L792" s="161"/>
      <c r="M792" s="161"/>
      <c r="N792" s="161"/>
      <c r="O792" s="161"/>
      <c r="P792" s="161"/>
      <c r="Q792" s="161"/>
      <c r="R792" s="161"/>
      <c r="S792" s="161"/>
      <c r="T792" s="161"/>
      <c r="U792" s="161"/>
      <c r="V792" s="161"/>
      <c r="W792" s="161"/>
      <c r="X792" s="161"/>
      <c r="Y792" s="161"/>
      <c r="Z792" s="161"/>
    </row>
    <row r="793">
      <c r="A793" s="511"/>
      <c r="B793" s="18"/>
      <c r="C793" s="18"/>
      <c r="D793" s="161"/>
      <c r="E793" s="161"/>
      <c r="F793" s="511"/>
      <c r="G793" s="161"/>
      <c r="H793" s="161"/>
      <c r="I793" s="161"/>
      <c r="J793" s="161"/>
      <c r="K793" s="161"/>
      <c r="L793" s="161"/>
      <c r="M793" s="161"/>
      <c r="N793" s="161"/>
      <c r="O793" s="161"/>
      <c r="P793" s="161"/>
      <c r="Q793" s="161"/>
      <c r="R793" s="161"/>
      <c r="S793" s="161"/>
      <c r="T793" s="161"/>
      <c r="U793" s="161"/>
      <c r="V793" s="161"/>
      <c r="W793" s="161"/>
      <c r="X793" s="161"/>
      <c r="Y793" s="161"/>
      <c r="Z793" s="161"/>
    </row>
    <row r="794">
      <c r="A794" s="511"/>
      <c r="B794" s="18"/>
      <c r="C794" s="18"/>
      <c r="D794" s="161"/>
      <c r="E794" s="161"/>
      <c r="F794" s="511"/>
      <c r="G794" s="161"/>
      <c r="H794" s="161"/>
      <c r="I794" s="161"/>
      <c r="J794" s="161"/>
      <c r="K794" s="161"/>
      <c r="L794" s="161"/>
      <c r="M794" s="161"/>
      <c r="N794" s="161"/>
      <c r="O794" s="161"/>
      <c r="P794" s="161"/>
      <c r="Q794" s="161"/>
      <c r="R794" s="161"/>
      <c r="S794" s="161"/>
      <c r="T794" s="161"/>
      <c r="U794" s="161"/>
      <c r="V794" s="161"/>
      <c r="W794" s="161"/>
      <c r="X794" s="161"/>
      <c r="Y794" s="161"/>
      <c r="Z794" s="161"/>
    </row>
    <row r="795">
      <c r="A795" s="511"/>
      <c r="B795" s="18"/>
      <c r="C795" s="18"/>
      <c r="D795" s="161"/>
      <c r="E795" s="161"/>
      <c r="F795" s="511"/>
      <c r="G795" s="161"/>
      <c r="H795" s="161"/>
      <c r="I795" s="161"/>
      <c r="J795" s="161"/>
      <c r="K795" s="161"/>
      <c r="L795" s="161"/>
      <c r="M795" s="161"/>
      <c r="N795" s="161"/>
      <c r="O795" s="161"/>
      <c r="P795" s="161"/>
      <c r="Q795" s="161"/>
      <c r="R795" s="161"/>
      <c r="S795" s="161"/>
      <c r="T795" s="161"/>
      <c r="U795" s="161"/>
      <c r="V795" s="161"/>
      <c r="W795" s="161"/>
      <c r="X795" s="161"/>
      <c r="Y795" s="161"/>
      <c r="Z795" s="161"/>
    </row>
    <row r="796">
      <c r="A796" s="511"/>
      <c r="B796" s="18"/>
      <c r="C796" s="18"/>
      <c r="D796" s="161"/>
      <c r="E796" s="161"/>
      <c r="F796" s="511"/>
      <c r="G796" s="161"/>
      <c r="H796" s="161"/>
      <c r="I796" s="161"/>
      <c r="J796" s="161"/>
      <c r="K796" s="161"/>
      <c r="L796" s="161"/>
      <c r="M796" s="161"/>
      <c r="N796" s="161"/>
      <c r="O796" s="161"/>
      <c r="P796" s="161"/>
      <c r="Q796" s="161"/>
      <c r="R796" s="161"/>
      <c r="S796" s="161"/>
      <c r="T796" s="161"/>
      <c r="U796" s="161"/>
      <c r="V796" s="161"/>
      <c r="W796" s="161"/>
      <c r="X796" s="161"/>
      <c r="Y796" s="161"/>
      <c r="Z796" s="161"/>
    </row>
    <row r="797">
      <c r="A797" s="511"/>
      <c r="B797" s="18"/>
      <c r="C797" s="18"/>
      <c r="D797" s="161"/>
      <c r="E797" s="161"/>
      <c r="F797" s="511"/>
      <c r="G797" s="161"/>
      <c r="H797" s="161"/>
      <c r="I797" s="161"/>
      <c r="J797" s="161"/>
      <c r="K797" s="161"/>
      <c r="L797" s="161"/>
      <c r="M797" s="161"/>
      <c r="N797" s="161"/>
      <c r="O797" s="161"/>
      <c r="P797" s="161"/>
      <c r="Q797" s="161"/>
      <c r="R797" s="161"/>
      <c r="S797" s="161"/>
      <c r="T797" s="161"/>
      <c r="U797" s="161"/>
      <c r="V797" s="161"/>
      <c r="W797" s="161"/>
      <c r="X797" s="161"/>
      <c r="Y797" s="161"/>
      <c r="Z797" s="161"/>
    </row>
    <row r="798">
      <c r="A798" s="511"/>
      <c r="B798" s="18"/>
      <c r="C798" s="18"/>
      <c r="D798" s="161"/>
      <c r="E798" s="161"/>
      <c r="F798" s="511"/>
      <c r="G798" s="161"/>
      <c r="H798" s="161"/>
      <c r="I798" s="161"/>
      <c r="J798" s="161"/>
      <c r="K798" s="161"/>
      <c r="L798" s="161"/>
      <c r="M798" s="161"/>
      <c r="N798" s="161"/>
      <c r="O798" s="161"/>
      <c r="P798" s="161"/>
      <c r="Q798" s="161"/>
      <c r="R798" s="161"/>
      <c r="S798" s="161"/>
      <c r="T798" s="161"/>
      <c r="U798" s="161"/>
      <c r="V798" s="161"/>
      <c r="W798" s="161"/>
      <c r="X798" s="161"/>
      <c r="Y798" s="161"/>
      <c r="Z798" s="161"/>
    </row>
    <row r="799">
      <c r="A799" s="511"/>
      <c r="B799" s="18"/>
      <c r="C799" s="18"/>
      <c r="D799" s="161"/>
      <c r="E799" s="161"/>
      <c r="F799" s="511"/>
      <c r="G799" s="161"/>
      <c r="H799" s="161"/>
      <c r="I799" s="161"/>
      <c r="J799" s="161"/>
      <c r="K799" s="161"/>
      <c r="L799" s="161"/>
      <c r="M799" s="161"/>
      <c r="N799" s="161"/>
      <c r="O799" s="161"/>
      <c r="P799" s="161"/>
      <c r="Q799" s="161"/>
      <c r="R799" s="161"/>
      <c r="S799" s="161"/>
      <c r="T799" s="161"/>
      <c r="U799" s="161"/>
      <c r="V799" s="161"/>
      <c r="W799" s="161"/>
      <c r="X799" s="161"/>
      <c r="Y799" s="161"/>
      <c r="Z799" s="161"/>
    </row>
    <row r="800">
      <c r="A800" s="511"/>
      <c r="B800" s="18"/>
      <c r="C800" s="18"/>
      <c r="D800" s="161"/>
      <c r="E800" s="161"/>
      <c r="F800" s="511"/>
      <c r="G800" s="161"/>
      <c r="H800" s="161"/>
      <c r="I800" s="161"/>
      <c r="J800" s="161"/>
      <c r="K800" s="161"/>
      <c r="L800" s="161"/>
      <c r="M800" s="161"/>
      <c r="N800" s="161"/>
      <c r="O800" s="161"/>
      <c r="P800" s="161"/>
      <c r="Q800" s="161"/>
      <c r="R800" s="161"/>
      <c r="S800" s="161"/>
      <c r="T800" s="161"/>
      <c r="U800" s="161"/>
      <c r="V800" s="161"/>
      <c r="W800" s="161"/>
      <c r="X800" s="161"/>
      <c r="Y800" s="161"/>
      <c r="Z800" s="161"/>
    </row>
    <row r="801">
      <c r="A801" s="511"/>
      <c r="B801" s="18"/>
      <c r="C801" s="18"/>
      <c r="D801" s="161"/>
      <c r="E801" s="161"/>
      <c r="F801" s="511"/>
      <c r="G801" s="161"/>
      <c r="H801" s="161"/>
      <c r="I801" s="161"/>
      <c r="J801" s="161"/>
      <c r="K801" s="161"/>
      <c r="L801" s="161"/>
      <c r="M801" s="161"/>
      <c r="N801" s="161"/>
      <c r="O801" s="161"/>
      <c r="P801" s="161"/>
      <c r="Q801" s="161"/>
      <c r="R801" s="161"/>
      <c r="S801" s="161"/>
      <c r="T801" s="161"/>
      <c r="U801" s="161"/>
      <c r="V801" s="161"/>
      <c r="W801" s="161"/>
      <c r="X801" s="161"/>
      <c r="Y801" s="161"/>
      <c r="Z801" s="161"/>
    </row>
    <row r="802">
      <c r="A802" s="511"/>
      <c r="B802" s="18"/>
      <c r="C802" s="18"/>
      <c r="D802" s="161"/>
      <c r="E802" s="161"/>
      <c r="F802" s="511"/>
      <c r="G802" s="161"/>
      <c r="H802" s="161"/>
      <c r="I802" s="161"/>
      <c r="J802" s="161"/>
      <c r="K802" s="161"/>
      <c r="L802" s="161"/>
      <c r="M802" s="161"/>
      <c r="N802" s="161"/>
      <c r="O802" s="161"/>
      <c r="P802" s="161"/>
      <c r="Q802" s="161"/>
      <c r="R802" s="161"/>
      <c r="S802" s="161"/>
      <c r="T802" s="161"/>
      <c r="U802" s="161"/>
      <c r="V802" s="161"/>
      <c r="W802" s="161"/>
      <c r="X802" s="161"/>
      <c r="Y802" s="161"/>
      <c r="Z802" s="161"/>
    </row>
    <row r="803">
      <c r="A803" s="511"/>
      <c r="B803" s="18"/>
      <c r="C803" s="18"/>
      <c r="D803" s="161"/>
      <c r="E803" s="161"/>
      <c r="F803" s="511"/>
      <c r="G803" s="161"/>
      <c r="H803" s="161"/>
      <c r="I803" s="161"/>
      <c r="J803" s="161"/>
      <c r="K803" s="161"/>
      <c r="L803" s="161"/>
      <c r="M803" s="161"/>
      <c r="N803" s="161"/>
      <c r="O803" s="161"/>
      <c r="P803" s="161"/>
      <c r="Q803" s="161"/>
      <c r="R803" s="161"/>
      <c r="S803" s="161"/>
      <c r="T803" s="161"/>
      <c r="U803" s="161"/>
      <c r="V803" s="161"/>
      <c r="W803" s="161"/>
      <c r="X803" s="161"/>
      <c r="Y803" s="161"/>
      <c r="Z803" s="161"/>
    </row>
    <row r="804">
      <c r="A804" s="511"/>
      <c r="B804" s="18"/>
      <c r="C804" s="18"/>
      <c r="D804" s="161"/>
      <c r="E804" s="161"/>
      <c r="F804" s="511"/>
      <c r="G804" s="161"/>
      <c r="H804" s="161"/>
      <c r="I804" s="161"/>
      <c r="J804" s="161"/>
      <c r="K804" s="161"/>
      <c r="L804" s="161"/>
      <c r="M804" s="161"/>
      <c r="N804" s="161"/>
      <c r="O804" s="161"/>
      <c r="P804" s="161"/>
      <c r="Q804" s="161"/>
      <c r="R804" s="161"/>
      <c r="S804" s="161"/>
      <c r="T804" s="161"/>
      <c r="U804" s="161"/>
      <c r="V804" s="161"/>
      <c r="W804" s="161"/>
      <c r="X804" s="161"/>
      <c r="Y804" s="161"/>
      <c r="Z804" s="161"/>
    </row>
    <row r="805">
      <c r="A805" s="511"/>
      <c r="B805" s="18"/>
      <c r="C805" s="18"/>
      <c r="D805" s="161"/>
      <c r="E805" s="161"/>
      <c r="F805" s="511"/>
      <c r="G805" s="161"/>
      <c r="H805" s="161"/>
      <c r="I805" s="161"/>
      <c r="J805" s="161"/>
      <c r="K805" s="161"/>
      <c r="L805" s="161"/>
      <c r="M805" s="161"/>
      <c r="N805" s="161"/>
      <c r="O805" s="161"/>
      <c r="P805" s="161"/>
      <c r="Q805" s="161"/>
      <c r="R805" s="161"/>
      <c r="S805" s="161"/>
      <c r="T805" s="161"/>
      <c r="U805" s="161"/>
      <c r="V805" s="161"/>
      <c r="W805" s="161"/>
      <c r="X805" s="161"/>
      <c r="Y805" s="161"/>
      <c r="Z805" s="161"/>
    </row>
    <row r="806">
      <c r="A806" s="511"/>
      <c r="B806" s="18"/>
      <c r="C806" s="18"/>
      <c r="D806" s="161"/>
      <c r="E806" s="161"/>
      <c r="F806" s="511"/>
      <c r="G806" s="161"/>
      <c r="H806" s="161"/>
      <c r="I806" s="161"/>
      <c r="J806" s="161"/>
      <c r="K806" s="161"/>
      <c r="L806" s="161"/>
      <c r="M806" s="161"/>
      <c r="N806" s="161"/>
      <c r="O806" s="161"/>
      <c r="P806" s="161"/>
      <c r="Q806" s="161"/>
      <c r="R806" s="161"/>
      <c r="S806" s="161"/>
      <c r="T806" s="161"/>
      <c r="U806" s="161"/>
      <c r="V806" s="161"/>
      <c r="W806" s="161"/>
      <c r="X806" s="161"/>
      <c r="Y806" s="161"/>
      <c r="Z806" s="161"/>
    </row>
    <row r="807">
      <c r="A807" s="511"/>
      <c r="B807" s="18"/>
      <c r="C807" s="18"/>
      <c r="D807" s="161"/>
      <c r="E807" s="161"/>
      <c r="F807" s="511"/>
      <c r="G807" s="161"/>
      <c r="H807" s="161"/>
      <c r="I807" s="161"/>
      <c r="J807" s="161"/>
      <c r="K807" s="161"/>
      <c r="L807" s="161"/>
      <c r="M807" s="161"/>
      <c r="N807" s="161"/>
      <c r="O807" s="161"/>
      <c r="P807" s="161"/>
      <c r="Q807" s="161"/>
      <c r="R807" s="161"/>
      <c r="S807" s="161"/>
      <c r="T807" s="161"/>
      <c r="U807" s="161"/>
      <c r="V807" s="161"/>
      <c r="W807" s="161"/>
      <c r="X807" s="161"/>
      <c r="Y807" s="161"/>
      <c r="Z807" s="161"/>
    </row>
    <row r="808">
      <c r="A808" s="511"/>
      <c r="B808" s="18"/>
      <c r="C808" s="18"/>
      <c r="D808" s="161"/>
      <c r="E808" s="161"/>
      <c r="F808" s="511"/>
      <c r="G808" s="161"/>
      <c r="H808" s="161"/>
      <c r="I808" s="161"/>
      <c r="J808" s="161"/>
      <c r="K808" s="161"/>
      <c r="L808" s="161"/>
      <c r="M808" s="161"/>
      <c r="N808" s="161"/>
      <c r="O808" s="161"/>
      <c r="P808" s="161"/>
      <c r="Q808" s="161"/>
      <c r="R808" s="161"/>
      <c r="S808" s="161"/>
      <c r="T808" s="161"/>
      <c r="U808" s="161"/>
      <c r="V808" s="161"/>
      <c r="W808" s="161"/>
      <c r="X808" s="161"/>
      <c r="Y808" s="161"/>
      <c r="Z808" s="161"/>
    </row>
    <row r="809">
      <c r="A809" s="511"/>
      <c r="B809" s="18"/>
      <c r="C809" s="18"/>
      <c r="D809" s="161"/>
      <c r="E809" s="161"/>
      <c r="F809" s="511"/>
      <c r="G809" s="161"/>
      <c r="H809" s="161"/>
      <c r="I809" s="161"/>
      <c r="J809" s="161"/>
      <c r="K809" s="161"/>
      <c r="L809" s="161"/>
      <c r="M809" s="161"/>
      <c r="N809" s="161"/>
      <c r="O809" s="161"/>
      <c r="P809" s="161"/>
      <c r="Q809" s="161"/>
      <c r="R809" s="161"/>
      <c r="S809" s="161"/>
      <c r="T809" s="161"/>
      <c r="U809" s="161"/>
      <c r="V809" s="161"/>
      <c r="W809" s="161"/>
      <c r="X809" s="161"/>
      <c r="Y809" s="161"/>
      <c r="Z809" s="161"/>
    </row>
    <row r="810">
      <c r="A810" s="511"/>
      <c r="B810" s="18"/>
      <c r="C810" s="18"/>
      <c r="D810" s="161"/>
      <c r="E810" s="161"/>
      <c r="F810" s="511"/>
      <c r="G810" s="161"/>
      <c r="H810" s="161"/>
      <c r="I810" s="161"/>
      <c r="J810" s="161"/>
      <c r="K810" s="161"/>
      <c r="L810" s="161"/>
      <c r="M810" s="161"/>
      <c r="N810" s="161"/>
      <c r="O810" s="161"/>
      <c r="P810" s="161"/>
      <c r="Q810" s="161"/>
      <c r="R810" s="161"/>
      <c r="S810" s="161"/>
      <c r="T810" s="161"/>
      <c r="U810" s="161"/>
      <c r="V810" s="161"/>
      <c r="W810" s="161"/>
      <c r="X810" s="161"/>
      <c r="Y810" s="161"/>
      <c r="Z810" s="161"/>
    </row>
    <row r="811">
      <c r="A811" s="511"/>
      <c r="B811" s="18"/>
      <c r="C811" s="18"/>
      <c r="D811" s="161"/>
      <c r="E811" s="161"/>
      <c r="F811" s="511"/>
      <c r="G811" s="161"/>
      <c r="H811" s="161"/>
      <c r="I811" s="161"/>
      <c r="J811" s="161"/>
      <c r="K811" s="161"/>
      <c r="L811" s="161"/>
      <c r="M811" s="161"/>
      <c r="N811" s="161"/>
      <c r="O811" s="161"/>
      <c r="P811" s="161"/>
      <c r="Q811" s="161"/>
      <c r="R811" s="161"/>
      <c r="S811" s="161"/>
      <c r="T811" s="161"/>
      <c r="U811" s="161"/>
      <c r="V811" s="161"/>
      <c r="W811" s="161"/>
      <c r="X811" s="161"/>
      <c r="Y811" s="161"/>
      <c r="Z811" s="161"/>
    </row>
    <row r="812">
      <c r="A812" s="511"/>
      <c r="B812" s="18"/>
      <c r="C812" s="18"/>
      <c r="D812" s="161"/>
      <c r="E812" s="161"/>
      <c r="F812" s="511"/>
      <c r="G812" s="161"/>
      <c r="H812" s="161"/>
      <c r="I812" s="161"/>
      <c r="J812" s="161"/>
      <c r="K812" s="161"/>
      <c r="L812" s="161"/>
      <c r="M812" s="161"/>
      <c r="N812" s="161"/>
      <c r="O812" s="161"/>
      <c r="P812" s="161"/>
      <c r="Q812" s="161"/>
      <c r="R812" s="161"/>
      <c r="S812" s="161"/>
      <c r="T812" s="161"/>
      <c r="U812" s="161"/>
      <c r="V812" s="161"/>
      <c r="W812" s="161"/>
      <c r="X812" s="161"/>
      <c r="Y812" s="161"/>
      <c r="Z812" s="161"/>
    </row>
    <row r="813">
      <c r="A813" s="511"/>
      <c r="B813" s="18"/>
      <c r="C813" s="18"/>
      <c r="D813" s="161"/>
      <c r="E813" s="161"/>
      <c r="F813" s="511"/>
      <c r="G813" s="161"/>
      <c r="H813" s="161"/>
      <c r="I813" s="161"/>
      <c r="J813" s="161"/>
      <c r="K813" s="161"/>
      <c r="L813" s="161"/>
      <c r="M813" s="161"/>
      <c r="N813" s="161"/>
      <c r="O813" s="161"/>
      <c r="P813" s="161"/>
      <c r="Q813" s="161"/>
      <c r="R813" s="161"/>
      <c r="S813" s="161"/>
      <c r="T813" s="161"/>
      <c r="U813" s="161"/>
      <c r="V813" s="161"/>
      <c r="W813" s="161"/>
      <c r="X813" s="161"/>
      <c r="Y813" s="161"/>
      <c r="Z813" s="161"/>
    </row>
    <row r="814">
      <c r="A814" s="511"/>
      <c r="B814" s="18"/>
      <c r="C814" s="18"/>
      <c r="D814" s="161"/>
      <c r="E814" s="161"/>
      <c r="F814" s="511"/>
      <c r="G814" s="161"/>
      <c r="H814" s="161"/>
      <c r="I814" s="161"/>
      <c r="J814" s="161"/>
      <c r="K814" s="161"/>
      <c r="L814" s="161"/>
      <c r="M814" s="161"/>
      <c r="N814" s="161"/>
      <c r="O814" s="161"/>
      <c r="P814" s="161"/>
      <c r="Q814" s="161"/>
      <c r="R814" s="161"/>
      <c r="S814" s="161"/>
      <c r="T814" s="161"/>
      <c r="U814" s="161"/>
      <c r="V814" s="161"/>
      <c r="W814" s="161"/>
      <c r="X814" s="161"/>
      <c r="Y814" s="161"/>
      <c r="Z814" s="161"/>
    </row>
    <row r="815">
      <c r="A815" s="511"/>
      <c r="B815" s="18"/>
      <c r="C815" s="18"/>
      <c r="D815" s="161"/>
      <c r="E815" s="161"/>
      <c r="F815" s="511"/>
      <c r="G815" s="161"/>
      <c r="H815" s="161"/>
      <c r="I815" s="161"/>
      <c r="J815" s="161"/>
      <c r="K815" s="161"/>
      <c r="L815" s="161"/>
      <c r="M815" s="161"/>
      <c r="N815" s="161"/>
      <c r="O815" s="161"/>
      <c r="P815" s="161"/>
      <c r="Q815" s="161"/>
      <c r="R815" s="161"/>
      <c r="S815" s="161"/>
      <c r="T815" s="161"/>
      <c r="U815" s="161"/>
      <c r="V815" s="161"/>
      <c r="W815" s="161"/>
      <c r="X815" s="161"/>
      <c r="Y815" s="161"/>
      <c r="Z815" s="161"/>
    </row>
    <row r="816">
      <c r="A816" s="511"/>
      <c r="B816" s="18"/>
      <c r="C816" s="18"/>
      <c r="D816" s="161"/>
      <c r="E816" s="161"/>
      <c r="F816" s="511"/>
      <c r="G816" s="161"/>
      <c r="H816" s="161"/>
      <c r="I816" s="161"/>
      <c r="J816" s="161"/>
      <c r="K816" s="161"/>
      <c r="L816" s="161"/>
      <c r="M816" s="161"/>
      <c r="N816" s="161"/>
      <c r="O816" s="161"/>
      <c r="P816" s="161"/>
      <c r="Q816" s="161"/>
      <c r="R816" s="161"/>
      <c r="S816" s="161"/>
      <c r="T816" s="161"/>
      <c r="U816" s="161"/>
      <c r="V816" s="161"/>
      <c r="W816" s="161"/>
      <c r="X816" s="161"/>
      <c r="Y816" s="161"/>
      <c r="Z816" s="161"/>
    </row>
    <row r="817">
      <c r="A817" s="511"/>
      <c r="B817" s="18"/>
      <c r="C817" s="18"/>
      <c r="D817" s="161"/>
      <c r="E817" s="161"/>
      <c r="F817" s="511"/>
      <c r="G817" s="161"/>
      <c r="H817" s="161"/>
      <c r="I817" s="161"/>
      <c r="J817" s="161"/>
      <c r="K817" s="161"/>
      <c r="L817" s="161"/>
      <c r="M817" s="161"/>
      <c r="N817" s="161"/>
      <c r="O817" s="161"/>
      <c r="P817" s="161"/>
      <c r="Q817" s="161"/>
      <c r="R817" s="161"/>
      <c r="S817" s="161"/>
      <c r="T817" s="161"/>
      <c r="U817" s="161"/>
      <c r="V817" s="161"/>
      <c r="W817" s="161"/>
      <c r="X817" s="161"/>
      <c r="Y817" s="161"/>
      <c r="Z817" s="161"/>
    </row>
    <row r="818">
      <c r="A818" s="511"/>
      <c r="B818" s="18"/>
      <c r="C818" s="18"/>
      <c r="D818" s="161"/>
      <c r="E818" s="161"/>
      <c r="F818" s="511"/>
      <c r="G818" s="161"/>
      <c r="H818" s="161"/>
      <c r="I818" s="161"/>
      <c r="J818" s="161"/>
      <c r="K818" s="161"/>
      <c r="L818" s="161"/>
      <c r="M818" s="161"/>
      <c r="N818" s="161"/>
      <c r="O818" s="161"/>
      <c r="P818" s="161"/>
      <c r="Q818" s="161"/>
      <c r="R818" s="161"/>
      <c r="S818" s="161"/>
      <c r="T818" s="161"/>
      <c r="U818" s="161"/>
      <c r="V818" s="161"/>
      <c r="W818" s="161"/>
      <c r="X818" s="161"/>
      <c r="Y818" s="161"/>
      <c r="Z818" s="161"/>
    </row>
    <row r="819">
      <c r="A819" s="511"/>
      <c r="B819" s="18"/>
      <c r="C819" s="18"/>
      <c r="D819" s="161"/>
      <c r="E819" s="161"/>
      <c r="F819" s="511"/>
      <c r="G819" s="161"/>
      <c r="H819" s="161"/>
      <c r="I819" s="161"/>
      <c r="J819" s="161"/>
      <c r="K819" s="161"/>
      <c r="L819" s="161"/>
      <c r="M819" s="161"/>
      <c r="N819" s="161"/>
      <c r="O819" s="161"/>
      <c r="P819" s="161"/>
      <c r="Q819" s="161"/>
      <c r="R819" s="161"/>
      <c r="S819" s="161"/>
      <c r="T819" s="161"/>
      <c r="U819" s="161"/>
      <c r="V819" s="161"/>
      <c r="W819" s="161"/>
      <c r="X819" s="161"/>
      <c r="Y819" s="161"/>
      <c r="Z819" s="161"/>
    </row>
    <row r="820">
      <c r="A820" s="511"/>
      <c r="B820" s="18"/>
      <c r="C820" s="18"/>
      <c r="D820" s="161"/>
      <c r="E820" s="161"/>
      <c r="F820" s="511"/>
      <c r="G820" s="161"/>
      <c r="H820" s="161"/>
      <c r="I820" s="161"/>
      <c r="J820" s="161"/>
      <c r="K820" s="161"/>
      <c r="L820" s="161"/>
      <c r="M820" s="161"/>
      <c r="N820" s="161"/>
      <c r="O820" s="161"/>
      <c r="P820" s="161"/>
      <c r="Q820" s="161"/>
      <c r="R820" s="161"/>
      <c r="S820" s="161"/>
      <c r="T820" s="161"/>
      <c r="U820" s="161"/>
      <c r="V820" s="161"/>
      <c r="W820" s="161"/>
      <c r="X820" s="161"/>
      <c r="Y820" s="161"/>
      <c r="Z820" s="161"/>
    </row>
    <row r="821">
      <c r="A821" s="511"/>
      <c r="B821" s="18"/>
      <c r="C821" s="18"/>
      <c r="D821" s="161"/>
      <c r="E821" s="161"/>
      <c r="F821" s="511"/>
      <c r="G821" s="161"/>
      <c r="H821" s="161"/>
      <c r="I821" s="161"/>
      <c r="J821" s="161"/>
      <c r="K821" s="161"/>
      <c r="L821" s="161"/>
      <c r="M821" s="161"/>
      <c r="N821" s="161"/>
      <c r="O821" s="161"/>
      <c r="P821" s="161"/>
      <c r="Q821" s="161"/>
      <c r="R821" s="161"/>
      <c r="S821" s="161"/>
      <c r="T821" s="161"/>
      <c r="U821" s="161"/>
      <c r="V821" s="161"/>
      <c r="W821" s="161"/>
      <c r="X821" s="161"/>
      <c r="Y821" s="161"/>
      <c r="Z821" s="161"/>
    </row>
    <row r="822">
      <c r="A822" s="511"/>
      <c r="B822" s="18"/>
      <c r="C822" s="18"/>
      <c r="D822" s="161"/>
      <c r="E822" s="161"/>
      <c r="F822" s="511"/>
      <c r="G822" s="161"/>
      <c r="H822" s="161"/>
      <c r="I822" s="161"/>
      <c r="J822" s="161"/>
      <c r="K822" s="161"/>
      <c r="L822" s="161"/>
      <c r="M822" s="161"/>
      <c r="N822" s="161"/>
      <c r="O822" s="161"/>
      <c r="P822" s="161"/>
      <c r="Q822" s="161"/>
      <c r="R822" s="161"/>
      <c r="S822" s="161"/>
      <c r="T822" s="161"/>
      <c r="U822" s="161"/>
      <c r="V822" s="161"/>
      <c r="W822" s="161"/>
      <c r="X822" s="161"/>
      <c r="Y822" s="161"/>
      <c r="Z822" s="161"/>
    </row>
    <row r="823">
      <c r="A823" s="511"/>
      <c r="B823" s="18"/>
      <c r="C823" s="18"/>
      <c r="D823" s="161"/>
      <c r="E823" s="161"/>
      <c r="F823" s="511"/>
      <c r="G823" s="161"/>
      <c r="H823" s="161"/>
      <c r="I823" s="161"/>
      <c r="J823" s="161"/>
      <c r="K823" s="161"/>
      <c r="L823" s="161"/>
      <c r="M823" s="161"/>
      <c r="N823" s="161"/>
      <c r="O823" s="161"/>
      <c r="P823" s="161"/>
      <c r="Q823" s="161"/>
      <c r="R823" s="161"/>
      <c r="S823" s="161"/>
      <c r="T823" s="161"/>
      <c r="U823" s="161"/>
      <c r="V823" s="161"/>
      <c r="W823" s="161"/>
      <c r="X823" s="161"/>
      <c r="Y823" s="161"/>
      <c r="Z823" s="161"/>
    </row>
    <row r="824">
      <c r="A824" s="511"/>
      <c r="B824" s="18"/>
      <c r="C824" s="18"/>
      <c r="D824" s="161"/>
      <c r="E824" s="161"/>
      <c r="F824" s="511"/>
      <c r="G824" s="161"/>
      <c r="H824" s="161"/>
      <c r="I824" s="161"/>
      <c r="J824" s="161"/>
      <c r="K824" s="161"/>
      <c r="L824" s="161"/>
      <c r="M824" s="161"/>
      <c r="N824" s="161"/>
      <c r="O824" s="161"/>
      <c r="P824" s="161"/>
      <c r="Q824" s="161"/>
      <c r="R824" s="161"/>
      <c r="S824" s="161"/>
      <c r="T824" s="161"/>
      <c r="U824" s="161"/>
      <c r="V824" s="161"/>
      <c r="W824" s="161"/>
      <c r="X824" s="161"/>
      <c r="Y824" s="161"/>
      <c r="Z824" s="161"/>
    </row>
    <row r="825">
      <c r="A825" s="511"/>
      <c r="B825" s="18"/>
      <c r="C825" s="18"/>
      <c r="D825" s="161"/>
      <c r="E825" s="161"/>
      <c r="F825" s="511"/>
      <c r="G825" s="161"/>
      <c r="H825" s="161"/>
      <c r="I825" s="161"/>
      <c r="J825" s="161"/>
      <c r="K825" s="161"/>
      <c r="L825" s="161"/>
      <c r="M825" s="161"/>
      <c r="N825" s="161"/>
      <c r="O825" s="161"/>
      <c r="P825" s="161"/>
      <c r="Q825" s="161"/>
      <c r="R825" s="161"/>
      <c r="S825" s="161"/>
      <c r="T825" s="161"/>
      <c r="U825" s="161"/>
      <c r="V825" s="161"/>
      <c r="W825" s="161"/>
      <c r="X825" s="161"/>
      <c r="Y825" s="161"/>
      <c r="Z825" s="161"/>
    </row>
    <row r="826">
      <c r="A826" s="511"/>
      <c r="B826" s="18"/>
      <c r="C826" s="18"/>
      <c r="D826" s="161"/>
      <c r="E826" s="161"/>
      <c r="F826" s="511"/>
      <c r="G826" s="161"/>
      <c r="H826" s="161"/>
      <c r="I826" s="161"/>
      <c r="J826" s="161"/>
      <c r="K826" s="161"/>
      <c r="L826" s="161"/>
      <c r="M826" s="161"/>
      <c r="N826" s="161"/>
      <c r="O826" s="161"/>
      <c r="P826" s="161"/>
      <c r="Q826" s="161"/>
      <c r="R826" s="161"/>
      <c r="S826" s="161"/>
      <c r="T826" s="161"/>
      <c r="U826" s="161"/>
      <c r="V826" s="161"/>
      <c r="W826" s="161"/>
      <c r="X826" s="161"/>
      <c r="Y826" s="161"/>
      <c r="Z826" s="161"/>
    </row>
    <row r="827">
      <c r="A827" s="511"/>
      <c r="B827" s="18"/>
      <c r="C827" s="18"/>
      <c r="D827" s="161"/>
      <c r="E827" s="161"/>
      <c r="F827" s="511"/>
      <c r="G827" s="161"/>
      <c r="H827" s="161"/>
      <c r="I827" s="161"/>
      <c r="J827" s="161"/>
      <c r="K827" s="161"/>
      <c r="L827" s="161"/>
      <c r="M827" s="161"/>
      <c r="N827" s="161"/>
      <c r="O827" s="161"/>
      <c r="P827" s="161"/>
      <c r="Q827" s="161"/>
      <c r="R827" s="161"/>
      <c r="S827" s="161"/>
      <c r="T827" s="161"/>
      <c r="U827" s="161"/>
      <c r="V827" s="161"/>
      <c r="W827" s="161"/>
      <c r="X827" s="161"/>
      <c r="Y827" s="161"/>
      <c r="Z827" s="161"/>
    </row>
    <row r="828">
      <c r="A828" s="511"/>
      <c r="B828" s="18"/>
      <c r="C828" s="18"/>
      <c r="D828" s="161"/>
      <c r="E828" s="161"/>
      <c r="F828" s="511"/>
      <c r="G828" s="161"/>
      <c r="H828" s="161"/>
      <c r="I828" s="161"/>
      <c r="J828" s="161"/>
      <c r="K828" s="161"/>
      <c r="L828" s="161"/>
      <c r="M828" s="161"/>
      <c r="N828" s="161"/>
      <c r="O828" s="161"/>
      <c r="P828" s="161"/>
      <c r="Q828" s="161"/>
      <c r="R828" s="161"/>
      <c r="S828" s="161"/>
      <c r="T828" s="161"/>
      <c r="U828" s="161"/>
      <c r="V828" s="161"/>
      <c r="W828" s="161"/>
      <c r="X828" s="161"/>
      <c r="Y828" s="161"/>
      <c r="Z828" s="161"/>
    </row>
    <row r="829">
      <c r="A829" s="511"/>
      <c r="B829" s="18"/>
      <c r="C829" s="18"/>
      <c r="D829" s="161"/>
      <c r="E829" s="161"/>
      <c r="F829" s="511"/>
      <c r="G829" s="161"/>
      <c r="H829" s="161"/>
      <c r="I829" s="161"/>
      <c r="J829" s="161"/>
      <c r="K829" s="161"/>
      <c r="L829" s="161"/>
      <c r="M829" s="161"/>
      <c r="N829" s="161"/>
      <c r="O829" s="161"/>
      <c r="P829" s="161"/>
      <c r="Q829" s="161"/>
      <c r="R829" s="161"/>
      <c r="S829" s="161"/>
      <c r="T829" s="161"/>
      <c r="U829" s="161"/>
      <c r="V829" s="161"/>
      <c r="W829" s="161"/>
      <c r="X829" s="161"/>
      <c r="Y829" s="161"/>
      <c r="Z829" s="161"/>
    </row>
    <row r="830">
      <c r="A830" s="511"/>
      <c r="B830" s="18"/>
      <c r="C830" s="18"/>
      <c r="D830" s="161"/>
      <c r="E830" s="161"/>
      <c r="F830" s="511"/>
      <c r="G830" s="161"/>
      <c r="H830" s="161"/>
      <c r="I830" s="161"/>
      <c r="J830" s="161"/>
      <c r="K830" s="161"/>
      <c r="L830" s="161"/>
      <c r="M830" s="161"/>
      <c r="N830" s="161"/>
      <c r="O830" s="161"/>
      <c r="P830" s="161"/>
      <c r="Q830" s="161"/>
      <c r="R830" s="161"/>
      <c r="S830" s="161"/>
      <c r="T830" s="161"/>
      <c r="U830" s="161"/>
      <c r="V830" s="161"/>
      <c r="W830" s="161"/>
      <c r="X830" s="161"/>
      <c r="Y830" s="161"/>
      <c r="Z830" s="161"/>
    </row>
    <row r="831">
      <c r="A831" s="511"/>
      <c r="B831" s="18"/>
      <c r="C831" s="18"/>
      <c r="D831" s="161"/>
      <c r="E831" s="161"/>
      <c r="F831" s="511"/>
      <c r="G831" s="161"/>
      <c r="H831" s="161"/>
      <c r="I831" s="161"/>
      <c r="J831" s="161"/>
      <c r="K831" s="161"/>
      <c r="L831" s="161"/>
      <c r="M831" s="161"/>
      <c r="N831" s="161"/>
      <c r="O831" s="161"/>
      <c r="P831" s="161"/>
      <c r="Q831" s="161"/>
      <c r="R831" s="161"/>
      <c r="S831" s="161"/>
      <c r="T831" s="161"/>
      <c r="U831" s="161"/>
      <c r="V831" s="161"/>
      <c r="W831" s="161"/>
      <c r="X831" s="161"/>
      <c r="Y831" s="161"/>
      <c r="Z831" s="161"/>
    </row>
    <row r="832">
      <c r="A832" s="511"/>
      <c r="B832" s="18"/>
      <c r="C832" s="18"/>
      <c r="D832" s="161"/>
      <c r="E832" s="161"/>
      <c r="F832" s="511"/>
      <c r="G832" s="161"/>
      <c r="H832" s="161"/>
      <c r="I832" s="161"/>
      <c r="J832" s="161"/>
      <c r="K832" s="161"/>
      <c r="L832" s="161"/>
      <c r="M832" s="161"/>
      <c r="N832" s="161"/>
      <c r="O832" s="161"/>
      <c r="P832" s="161"/>
      <c r="Q832" s="161"/>
      <c r="R832" s="161"/>
      <c r="S832" s="161"/>
      <c r="T832" s="161"/>
      <c r="U832" s="161"/>
      <c r="V832" s="161"/>
      <c r="W832" s="161"/>
      <c r="X832" s="161"/>
      <c r="Y832" s="161"/>
      <c r="Z832" s="161"/>
    </row>
    <row r="833">
      <c r="A833" s="511"/>
      <c r="B833" s="18"/>
      <c r="C833" s="18"/>
      <c r="D833" s="161"/>
      <c r="E833" s="161"/>
      <c r="F833" s="511"/>
      <c r="G833" s="161"/>
      <c r="H833" s="161"/>
      <c r="I833" s="161"/>
      <c r="J833" s="161"/>
      <c r="K833" s="161"/>
      <c r="L833" s="161"/>
      <c r="M833" s="161"/>
      <c r="N833" s="161"/>
      <c r="O833" s="161"/>
      <c r="P833" s="161"/>
      <c r="Q833" s="161"/>
      <c r="R833" s="161"/>
      <c r="S833" s="161"/>
      <c r="T833" s="161"/>
      <c r="U833" s="161"/>
      <c r="V833" s="161"/>
      <c r="W833" s="161"/>
      <c r="X833" s="161"/>
      <c r="Y833" s="161"/>
      <c r="Z833" s="161"/>
    </row>
    <row r="834">
      <c r="A834" s="511"/>
      <c r="B834" s="18"/>
      <c r="C834" s="18"/>
      <c r="D834" s="161"/>
      <c r="E834" s="161"/>
      <c r="F834" s="511"/>
      <c r="G834" s="161"/>
      <c r="H834" s="161"/>
      <c r="I834" s="161"/>
      <c r="J834" s="161"/>
      <c r="K834" s="161"/>
      <c r="L834" s="161"/>
      <c r="M834" s="161"/>
      <c r="N834" s="161"/>
      <c r="O834" s="161"/>
      <c r="P834" s="161"/>
      <c r="Q834" s="161"/>
      <c r="R834" s="161"/>
      <c r="S834" s="161"/>
      <c r="T834" s="161"/>
      <c r="U834" s="161"/>
      <c r="V834" s="161"/>
      <c r="W834" s="161"/>
      <c r="X834" s="161"/>
      <c r="Y834" s="161"/>
      <c r="Z834" s="161"/>
    </row>
    <row r="835">
      <c r="A835" s="511"/>
      <c r="B835" s="18"/>
      <c r="C835" s="18"/>
      <c r="D835" s="161"/>
      <c r="E835" s="161"/>
      <c r="F835" s="511"/>
      <c r="G835" s="161"/>
      <c r="H835" s="161"/>
      <c r="I835" s="161"/>
      <c r="J835" s="161"/>
      <c r="K835" s="161"/>
      <c r="L835" s="161"/>
      <c r="M835" s="161"/>
      <c r="N835" s="161"/>
      <c r="O835" s="161"/>
      <c r="P835" s="161"/>
      <c r="Q835" s="161"/>
      <c r="R835" s="161"/>
      <c r="S835" s="161"/>
      <c r="T835" s="161"/>
      <c r="U835" s="161"/>
      <c r="V835" s="161"/>
      <c r="W835" s="161"/>
      <c r="X835" s="161"/>
      <c r="Y835" s="161"/>
      <c r="Z835" s="161"/>
    </row>
    <row r="836">
      <c r="A836" s="511"/>
      <c r="B836" s="18"/>
      <c r="C836" s="18"/>
      <c r="D836" s="161"/>
      <c r="E836" s="161"/>
      <c r="F836" s="511"/>
      <c r="G836" s="161"/>
      <c r="H836" s="161"/>
      <c r="I836" s="161"/>
      <c r="J836" s="161"/>
      <c r="K836" s="161"/>
      <c r="L836" s="161"/>
      <c r="M836" s="161"/>
      <c r="N836" s="161"/>
      <c r="O836" s="161"/>
      <c r="P836" s="161"/>
      <c r="Q836" s="161"/>
      <c r="R836" s="161"/>
      <c r="S836" s="161"/>
      <c r="T836" s="161"/>
      <c r="U836" s="161"/>
      <c r="V836" s="161"/>
      <c r="W836" s="161"/>
      <c r="X836" s="161"/>
      <c r="Y836" s="161"/>
      <c r="Z836" s="161"/>
    </row>
    <row r="837">
      <c r="A837" s="511"/>
      <c r="B837" s="18"/>
      <c r="C837" s="18"/>
      <c r="D837" s="161"/>
      <c r="E837" s="161"/>
      <c r="F837" s="511"/>
      <c r="G837" s="161"/>
      <c r="H837" s="161"/>
      <c r="I837" s="161"/>
      <c r="J837" s="161"/>
      <c r="K837" s="161"/>
      <c r="L837" s="161"/>
      <c r="M837" s="161"/>
      <c r="N837" s="161"/>
      <c r="O837" s="161"/>
      <c r="P837" s="161"/>
      <c r="Q837" s="161"/>
      <c r="R837" s="161"/>
      <c r="S837" s="161"/>
      <c r="T837" s="161"/>
      <c r="U837" s="161"/>
      <c r="V837" s="161"/>
      <c r="W837" s="161"/>
      <c r="X837" s="161"/>
      <c r="Y837" s="161"/>
      <c r="Z837" s="161"/>
    </row>
    <row r="838">
      <c r="A838" s="511"/>
      <c r="B838" s="18"/>
      <c r="C838" s="18"/>
      <c r="D838" s="161"/>
      <c r="E838" s="161"/>
      <c r="F838" s="511"/>
      <c r="G838" s="161"/>
      <c r="H838" s="161"/>
      <c r="I838" s="161"/>
      <c r="J838" s="161"/>
      <c r="K838" s="161"/>
      <c r="L838" s="161"/>
      <c r="M838" s="161"/>
      <c r="N838" s="161"/>
      <c r="O838" s="161"/>
      <c r="P838" s="161"/>
      <c r="Q838" s="161"/>
      <c r="R838" s="161"/>
      <c r="S838" s="161"/>
      <c r="T838" s="161"/>
      <c r="U838" s="161"/>
      <c r="V838" s="161"/>
      <c r="W838" s="161"/>
      <c r="X838" s="161"/>
      <c r="Y838" s="161"/>
      <c r="Z838" s="161"/>
    </row>
    <row r="839">
      <c r="A839" s="511"/>
      <c r="B839" s="18"/>
      <c r="C839" s="18"/>
      <c r="D839" s="161"/>
      <c r="E839" s="161"/>
      <c r="F839" s="511"/>
      <c r="G839" s="161"/>
      <c r="H839" s="161"/>
      <c r="I839" s="161"/>
      <c r="J839" s="161"/>
      <c r="K839" s="161"/>
      <c r="L839" s="161"/>
      <c r="M839" s="161"/>
      <c r="N839" s="161"/>
      <c r="O839" s="161"/>
      <c r="P839" s="161"/>
      <c r="Q839" s="161"/>
      <c r="R839" s="161"/>
      <c r="S839" s="161"/>
      <c r="T839" s="161"/>
      <c r="U839" s="161"/>
      <c r="V839" s="161"/>
      <c r="W839" s="161"/>
      <c r="X839" s="161"/>
      <c r="Y839" s="161"/>
      <c r="Z839" s="161"/>
    </row>
    <row r="840">
      <c r="A840" s="511"/>
      <c r="B840" s="18"/>
      <c r="C840" s="18"/>
      <c r="D840" s="161"/>
      <c r="E840" s="161"/>
      <c r="F840" s="511"/>
      <c r="G840" s="161"/>
      <c r="H840" s="161"/>
      <c r="I840" s="161"/>
      <c r="J840" s="161"/>
      <c r="K840" s="161"/>
      <c r="L840" s="161"/>
      <c r="M840" s="161"/>
      <c r="N840" s="161"/>
      <c r="O840" s="161"/>
      <c r="P840" s="161"/>
      <c r="Q840" s="161"/>
      <c r="R840" s="161"/>
      <c r="S840" s="161"/>
      <c r="T840" s="161"/>
      <c r="U840" s="161"/>
      <c r="V840" s="161"/>
      <c r="W840" s="161"/>
      <c r="X840" s="161"/>
      <c r="Y840" s="161"/>
      <c r="Z840" s="161"/>
    </row>
    <row r="841">
      <c r="A841" s="511"/>
      <c r="B841" s="18"/>
      <c r="C841" s="18"/>
      <c r="D841" s="161"/>
      <c r="E841" s="161"/>
      <c r="F841" s="511"/>
      <c r="G841" s="161"/>
      <c r="H841" s="161"/>
      <c r="I841" s="161"/>
      <c r="J841" s="161"/>
      <c r="K841" s="161"/>
      <c r="L841" s="161"/>
      <c r="M841" s="161"/>
      <c r="N841" s="161"/>
      <c r="O841" s="161"/>
      <c r="P841" s="161"/>
      <c r="Q841" s="161"/>
      <c r="R841" s="161"/>
      <c r="S841" s="161"/>
      <c r="T841" s="161"/>
      <c r="U841" s="161"/>
      <c r="V841" s="161"/>
      <c r="W841" s="161"/>
      <c r="X841" s="161"/>
      <c r="Y841" s="161"/>
      <c r="Z841" s="161"/>
    </row>
    <row r="842">
      <c r="A842" s="511"/>
      <c r="B842" s="18"/>
      <c r="C842" s="18"/>
      <c r="D842" s="161"/>
      <c r="E842" s="161"/>
      <c r="F842" s="511"/>
      <c r="G842" s="161"/>
      <c r="H842" s="161"/>
      <c r="I842" s="161"/>
      <c r="J842" s="161"/>
      <c r="K842" s="161"/>
      <c r="L842" s="161"/>
      <c r="M842" s="161"/>
      <c r="N842" s="161"/>
      <c r="O842" s="161"/>
      <c r="P842" s="161"/>
      <c r="Q842" s="161"/>
      <c r="R842" s="161"/>
      <c r="S842" s="161"/>
      <c r="T842" s="161"/>
      <c r="U842" s="161"/>
      <c r="V842" s="161"/>
      <c r="W842" s="161"/>
      <c r="X842" s="161"/>
      <c r="Y842" s="161"/>
      <c r="Z842" s="161"/>
    </row>
    <row r="843">
      <c r="A843" s="511"/>
      <c r="B843" s="18"/>
      <c r="C843" s="18"/>
      <c r="D843" s="161"/>
      <c r="E843" s="161"/>
      <c r="F843" s="511"/>
      <c r="G843" s="161"/>
      <c r="H843" s="161"/>
      <c r="I843" s="161"/>
      <c r="J843" s="161"/>
      <c r="K843" s="161"/>
      <c r="L843" s="161"/>
      <c r="M843" s="161"/>
      <c r="N843" s="161"/>
      <c r="O843" s="161"/>
      <c r="P843" s="161"/>
      <c r="Q843" s="161"/>
      <c r="R843" s="161"/>
      <c r="S843" s="161"/>
      <c r="T843" s="161"/>
      <c r="U843" s="161"/>
      <c r="V843" s="161"/>
      <c r="W843" s="161"/>
      <c r="X843" s="161"/>
      <c r="Y843" s="161"/>
      <c r="Z843" s="161"/>
    </row>
    <row r="844">
      <c r="A844" s="511"/>
      <c r="B844" s="18"/>
      <c r="C844" s="18"/>
      <c r="D844" s="161"/>
      <c r="E844" s="161"/>
      <c r="F844" s="511"/>
      <c r="G844" s="161"/>
      <c r="H844" s="161"/>
      <c r="I844" s="161"/>
      <c r="J844" s="161"/>
      <c r="K844" s="161"/>
      <c r="L844" s="161"/>
      <c r="M844" s="161"/>
      <c r="N844" s="161"/>
      <c r="O844" s="161"/>
      <c r="P844" s="161"/>
      <c r="Q844" s="161"/>
      <c r="R844" s="161"/>
      <c r="S844" s="161"/>
      <c r="T844" s="161"/>
      <c r="U844" s="161"/>
      <c r="V844" s="161"/>
      <c r="W844" s="161"/>
      <c r="X844" s="161"/>
      <c r="Y844" s="161"/>
      <c r="Z844" s="161"/>
    </row>
    <row r="845">
      <c r="A845" s="511"/>
      <c r="B845" s="18"/>
      <c r="C845" s="18"/>
      <c r="D845" s="161"/>
      <c r="E845" s="161"/>
      <c r="F845" s="511"/>
      <c r="G845" s="161"/>
      <c r="H845" s="161"/>
      <c r="I845" s="161"/>
      <c r="J845" s="161"/>
      <c r="K845" s="161"/>
      <c r="L845" s="161"/>
      <c r="M845" s="161"/>
      <c r="N845" s="161"/>
      <c r="O845" s="161"/>
      <c r="P845" s="161"/>
      <c r="Q845" s="161"/>
      <c r="R845" s="161"/>
      <c r="S845" s="161"/>
      <c r="T845" s="161"/>
      <c r="U845" s="161"/>
      <c r="V845" s="161"/>
      <c r="W845" s="161"/>
      <c r="X845" s="161"/>
      <c r="Y845" s="161"/>
      <c r="Z845" s="161"/>
    </row>
    <row r="846">
      <c r="A846" s="511"/>
      <c r="B846" s="18"/>
      <c r="C846" s="18"/>
      <c r="D846" s="161"/>
      <c r="E846" s="161"/>
      <c r="F846" s="511"/>
      <c r="G846" s="161"/>
      <c r="H846" s="161"/>
      <c r="I846" s="161"/>
      <c r="J846" s="161"/>
      <c r="K846" s="161"/>
      <c r="L846" s="161"/>
      <c r="M846" s="161"/>
      <c r="N846" s="161"/>
      <c r="O846" s="161"/>
      <c r="P846" s="161"/>
      <c r="Q846" s="161"/>
      <c r="R846" s="161"/>
      <c r="S846" s="161"/>
      <c r="T846" s="161"/>
      <c r="U846" s="161"/>
      <c r="V846" s="161"/>
      <c r="W846" s="161"/>
      <c r="X846" s="161"/>
      <c r="Y846" s="161"/>
      <c r="Z846" s="161"/>
    </row>
    <row r="847">
      <c r="A847" s="511"/>
      <c r="B847" s="18"/>
      <c r="C847" s="18"/>
      <c r="D847" s="161"/>
      <c r="E847" s="161"/>
      <c r="F847" s="511"/>
      <c r="G847" s="161"/>
      <c r="H847" s="161"/>
      <c r="I847" s="161"/>
      <c r="J847" s="161"/>
      <c r="K847" s="161"/>
      <c r="L847" s="161"/>
      <c r="M847" s="161"/>
      <c r="N847" s="161"/>
      <c r="O847" s="161"/>
      <c r="P847" s="161"/>
      <c r="Q847" s="161"/>
      <c r="R847" s="161"/>
      <c r="S847" s="161"/>
      <c r="T847" s="161"/>
      <c r="U847" s="161"/>
      <c r="V847" s="161"/>
      <c r="W847" s="161"/>
      <c r="X847" s="161"/>
      <c r="Y847" s="161"/>
      <c r="Z847" s="161"/>
    </row>
    <row r="848">
      <c r="A848" s="511"/>
      <c r="B848" s="18"/>
      <c r="C848" s="18"/>
      <c r="D848" s="161"/>
      <c r="E848" s="161"/>
      <c r="F848" s="511"/>
      <c r="G848" s="161"/>
      <c r="H848" s="161"/>
      <c r="I848" s="161"/>
      <c r="J848" s="161"/>
      <c r="K848" s="161"/>
      <c r="L848" s="161"/>
      <c r="M848" s="161"/>
      <c r="N848" s="161"/>
      <c r="O848" s="161"/>
      <c r="P848" s="161"/>
      <c r="Q848" s="161"/>
      <c r="R848" s="161"/>
      <c r="S848" s="161"/>
      <c r="T848" s="161"/>
      <c r="U848" s="161"/>
      <c r="V848" s="161"/>
      <c r="W848" s="161"/>
      <c r="X848" s="161"/>
      <c r="Y848" s="161"/>
      <c r="Z848" s="161"/>
    </row>
    <row r="849">
      <c r="A849" s="511"/>
      <c r="B849" s="18"/>
      <c r="C849" s="18"/>
      <c r="D849" s="161"/>
      <c r="E849" s="161"/>
      <c r="F849" s="511"/>
      <c r="G849" s="161"/>
      <c r="H849" s="161"/>
      <c r="I849" s="161"/>
      <c r="J849" s="161"/>
      <c r="K849" s="161"/>
      <c r="L849" s="161"/>
      <c r="M849" s="161"/>
      <c r="N849" s="161"/>
      <c r="O849" s="161"/>
      <c r="P849" s="161"/>
      <c r="Q849" s="161"/>
      <c r="R849" s="161"/>
      <c r="S849" s="161"/>
      <c r="T849" s="161"/>
      <c r="U849" s="161"/>
      <c r="V849" s="161"/>
      <c r="W849" s="161"/>
      <c r="X849" s="161"/>
      <c r="Y849" s="161"/>
      <c r="Z849" s="161"/>
    </row>
    <row r="850">
      <c r="A850" s="511"/>
      <c r="B850" s="18"/>
      <c r="C850" s="18"/>
      <c r="D850" s="161"/>
      <c r="E850" s="161"/>
      <c r="F850" s="511"/>
      <c r="G850" s="161"/>
      <c r="H850" s="161"/>
      <c r="I850" s="161"/>
      <c r="J850" s="161"/>
      <c r="K850" s="161"/>
      <c r="L850" s="161"/>
      <c r="M850" s="161"/>
      <c r="N850" s="161"/>
      <c r="O850" s="161"/>
      <c r="P850" s="161"/>
      <c r="Q850" s="161"/>
      <c r="R850" s="161"/>
      <c r="S850" s="161"/>
      <c r="T850" s="161"/>
      <c r="U850" s="161"/>
      <c r="V850" s="161"/>
      <c r="W850" s="161"/>
      <c r="X850" s="161"/>
      <c r="Y850" s="161"/>
      <c r="Z850" s="161"/>
    </row>
    <row r="851">
      <c r="A851" s="511"/>
      <c r="B851" s="18"/>
      <c r="C851" s="18"/>
      <c r="D851" s="161"/>
      <c r="E851" s="161"/>
      <c r="F851" s="511"/>
      <c r="G851" s="161"/>
      <c r="H851" s="161"/>
      <c r="I851" s="161"/>
      <c r="J851" s="161"/>
      <c r="K851" s="161"/>
      <c r="L851" s="161"/>
      <c r="M851" s="161"/>
      <c r="N851" s="161"/>
      <c r="O851" s="161"/>
      <c r="P851" s="161"/>
      <c r="Q851" s="161"/>
      <c r="R851" s="161"/>
      <c r="S851" s="161"/>
      <c r="T851" s="161"/>
      <c r="U851" s="161"/>
      <c r="V851" s="161"/>
      <c r="W851" s="161"/>
      <c r="X851" s="161"/>
      <c r="Y851" s="161"/>
      <c r="Z851" s="161"/>
    </row>
    <row r="852">
      <c r="A852" s="511"/>
      <c r="B852" s="18"/>
      <c r="C852" s="18"/>
      <c r="D852" s="161"/>
      <c r="E852" s="161"/>
      <c r="F852" s="511"/>
      <c r="G852" s="161"/>
      <c r="H852" s="161"/>
      <c r="I852" s="161"/>
      <c r="J852" s="161"/>
      <c r="K852" s="161"/>
      <c r="L852" s="161"/>
      <c r="M852" s="161"/>
      <c r="N852" s="161"/>
      <c r="O852" s="161"/>
      <c r="P852" s="161"/>
      <c r="Q852" s="161"/>
      <c r="R852" s="161"/>
      <c r="S852" s="161"/>
      <c r="T852" s="161"/>
      <c r="U852" s="161"/>
      <c r="V852" s="161"/>
      <c r="W852" s="161"/>
      <c r="X852" s="161"/>
      <c r="Y852" s="161"/>
      <c r="Z852" s="161"/>
    </row>
    <row r="853">
      <c r="A853" s="511"/>
      <c r="B853" s="18"/>
      <c r="C853" s="18"/>
      <c r="D853" s="161"/>
      <c r="E853" s="161"/>
      <c r="F853" s="511"/>
      <c r="G853" s="161"/>
      <c r="H853" s="161"/>
      <c r="I853" s="161"/>
      <c r="J853" s="161"/>
      <c r="K853" s="161"/>
      <c r="L853" s="161"/>
      <c r="M853" s="161"/>
      <c r="N853" s="161"/>
      <c r="O853" s="161"/>
      <c r="P853" s="161"/>
      <c r="Q853" s="161"/>
      <c r="R853" s="161"/>
      <c r="S853" s="161"/>
      <c r="T853" s="161"/>
      <c r="U853" s="161"/>
      <c r="V853" s="161"/>
      <c r="W853" s="161"/>
      <c r="X853" s="161"/>
      <c r="Y853" s="161"/>
      <c r="Z853" s="161"/>
    </row>
    <row r="854">
      <c r="A854" s="511"/>
      <c r="B854" s="18"/>
      <c r="C854" s="18"/>
      <c r="D854" s="161"/>
      <c r="E854" s="161"/>
      <c r="F854" s="511"/>
      <c r="G854" s="161"/>
      <c r="H854" s="161"/>
      <c r="I854" s="161"/>
      <c r="J854" s="161"/>
      <c r="K854" s="161"/>
      <c r="L854" s="161"/>
      <c r="M854" s="161"/>
      <c r="N854" s="161"/>
      <c r="O854" s="161"/>
      <c r="P854" s="161"/>
      <c r="Q854" s="161"/>
      <c r="R854" s="161"/>
      <c r="S854" s="161"/>
      <c r="T854" s="161"/>
      <c r="U854" s="161"/>
      <c r="V854" s="161"/>
      <c r="W854" s="161"/>
      <c r="X854" s="161"/>
      <c r="Y854" s="161"/>
      <c r="Z854" s="161"/>
    </row>
    <row r="855">
      <c r="A855" s="511"/>
      <c r="B855" s="18"/>
      <c r="C855" s="18"/>
      <c r="D855" s="161"/>
      <c r="E855" s="161"/>
      <c r="F855" s="511"/>
      <c r="G855" s="161"/>
      <c r="H855" s="161"/>
      <c r="I855" s="161"/>
      <c r="J855" s="161"/>
      <c r="K855" s="161"/>
      <c r="L855" s="161"/>
      <c r="M855" s="161"/>
      <c r="N855" s="161"/>
      <c r="O855" s="161"/>
      <c r="P855" s="161"/>
      <c r="Q855" s="161"/>
      <c r="R855" s="161"/>
      <c r="S855" s="161"/>
      <c r="T855" s="161"/>
      <c r="U855" s="161"/>
      <c r="V855" s="161"/>
      <c r="W855" s="161"/>
      <c r="X855" s="161"/>
      <c r="Y855" s="161"/>
      <c r="Z855" s="161"/>
    </row>
    <row r="856">
      <c r="A856" s="511"/>
      <c r="B856" s="18"/>
      <c r="C856" s="18"/>
      <c r="D856" s="161"/>
      <c r="E856" s="161"/>
      <c r="F856" s="511"/>
      <c r="G856" s="161"/>
      <c r="H856" s="161"/>
      <c r="I856" s="161"/>
      <c r="J856" s="161"/>
      <c r="K856" s="161"/>
      <c r="L856" s="161"/>
      <c r="M856" s="161"/>
      <c r="N856" s="161"/>
      <c r="O856" s="161"/>
      <c r="P856" s="161"/>
      <c r="Q856" s="161"/>
      <c r="R856" s="161"/>
      <c r="S856" s="161"/>
      <c r="T856" s="161"/>
      <c r="U856" s="161"/>
      <c r="V856" s="161"/>
      <c r="W856" s="161"/>
      <c r="X856" s="161"/>
      <c r="Y856" s="161"/>
      <c r="Z856" s="161"/>
    </row>
    <row r="857">
      <c r="A857" s="511"/>
      <c r="B857" s="18"/>
      <c r="C857" s="18"/>
      <c r="D857" s="161"/>
      <c r="E857" s="161"/>
      <c r="F857" s="511"/>
      <c r="G857" s="161"/>
      <c r="H857" s="161"/>
      <c r="I857" s="161"/>
      <c r="J857" s="161"/>
      <c r="K857" s="161"/>
      <c r="L857" s="161"/>
      <c r="M857" s="161"/>
      <c r="N857" s="161"/>
      <c r="O857" s="161"/>
      <c r="P857" s="161"/>
      <c r="Q857" s="161"/>
      <c r="R857" s="161"/>
      <c r="S857" s="161"/>
      <c r="T857" s="161"/>
      <c r="U857" s="161"/>
      <c r="V857" s="161"/>
      <c r="W857" s="161"/>
      <c r="X857" s="161"/>
      <c r="Y857" s="161"/>
      <c r="Z857" s="161"/>
    </row>
    <row r="858">
      <c r="A858" s="511"/>
      <c r="B858" s="18"/>
      <c r="C858" s="18"/>
      <c r="D858" s="161"/>
      <c r="E858" s="161"/>
      <c r="F858" s="511"/>
      <c r="G858" s="161"/>
      <c r="H858" s="161"/>
      <c r="I858" s="161"/>
      <c r="J858" s="161"/>
      <c r="K858" s="161"/>
      <c r="L858" s="161"/>
      <c r="M858" s="161"/>
      <c r="N858" s="161"/>
      <c r="O858" s="161"/>
      <c r="P858" s="161"/>
      <c r="Q858" s="161"/>
      <c r="R858" s="161"/>
      <c r="S858" s="161"/>
      <c r="T858" s="161"/>
      <c r="U858" s="161"/>
      <c r="V858" s="161"/>
      <c r="W858" s="161"/>
      <c r="X858" s="161"/>
      <c r="Y858" s="161"/>
      <c r="Z858" s="161"/>
    </row>
    <row r="859">
      <c r="A859" s="511"/>
      <c r="B859" s="18"/>
      <c r="C859" s="18"/>
      <c r="D859" s="161"/>
      <c r="E859" s="161"/>
      <c r="F859" s="511"/>
      <c r="G859" s="161"/>
      <c r="H859" s="161"/>
      <c r="I859" s="161"/>
      <c r="J859" s="161"/>
      <c r="K859" s="161"/>
      <c r="L859" s="161"/>
      <c r="M859" s="161"/>
      <c r="N859" s="161"/>
      <c r="O859" s="161"/>
      <c r="P859" s="161"/>
      <c r="Q859" s="161"/>
      <c r="R859" s="161"/>
      <c r="S859" s="161"/>
      <c r="T859" s="161"/>
      <c r="U859" s="161"/>
      <c r="V859" s="161"/>
      <c r="W859" s="161"/>
      <c r="X859" s="161"/>
      <c r="Y859" s="161"/>
      <c r="Z859" s="161"/>
    </row>
    <row r="860">
      <c r="A860" s="511"/>
      <c r="B860" s="18"/>
      <c r="C860" s="18"/>
      <c r="D860" s="161"/>
      <c r="E860" s="161"/>
      <c r="F860" s="511"/>
      <c r="G860" s="161"/>
      <c r="H860" s="161"/>
      <c r="I860" s="161"/>
      <c r="J860" s="161"/>
      <c r="K860" s="161"/>
      <c r="L860" s="161"/>
      <c r="M860" s="161"/>
      <c r="N860" s="161"/>
      <c r="O860" s="161"/>
      <c r="P860" s="161"/>
      <c r="Q860" s="161"/>
      <c r="R860" s="161"/>
      <c r="S860" s="161"/>
      <c r="T860" s="161"/>
      <c r="U860" s="161"/>
      <c r="V860" s="161"/>
      <c r="W860" s="161"/>
      <c r="X860" s="161"/>
      <c r="Y860" s="161"/>
      <c r="Z860" s="161"/>
    </row>
    <row r="861">
      <c r="A861" s="511"/>
      <c r="B861" s="18"/>
      <c r="C861" s="18"/>
      <c r="D861" s="161"/>
      <c r="E861" s="161"/>
      <c r="F861" s="511"/>
      <c r="G861" s="161"/>
      <c r="H861" s="161"/>
      <c r="I861" s="161"/>
      <c r="J861" s="161"/>
      <c r="K861" s="161"/>
      <c r="L861" s="161"/>
      <c r="M861" s="161"/>
      <c r="N861" s="161"/>
      <c r="O861" s="161"/>
      <c r="P861" s="161"/>
      <c r="Q861" s="161"/>
      <c r="R861" s="161"/>
      <c r="S861" s="161"/>
      <c r="T861" s="161"/>
      <c r="U861" s="161"/>
      <c r="V861" s="161"/>
      <c r="W861" s="161"/>
      <c r="X861" s="161"/>
      <c r="Y861" s="161"/>
      <c r="Z861" s="161"/>
    </row>
    <row r="862">
      <c r="A862" s="511"/>
      <c r="B862" s="18"/>
      <c r="C862" s="18"/>
      <c r="D862" s="161"/>
      <c r="E862" s="161"/>
      <c r="F862" s="511"/>
      <c r="G862" s="161"/>
      <c r="H862" s="161"/>
      <c r="I862" s="161"/>
      <c r="J862" s="161"/>
      <c r="K862" s="161"/>
      <c r="L862" s="161"/>
      <c r="M862" s="161"/>
      <c r="N862" s="161"/>
      <c r="O862" s="161"/>
      <c r="P862" s="161"/>
      <c r="Q862" s="161"/>
      <c r="R862" s="161"/>
      <c r="S862" s="161"/>
      <c r="T862" s="161"/>
      <c r="U862" s="161"/>
      <c r="V862" s="161"/>
      <c r="W862" s="161"/>
      <c r="X862" s="161"/>
      <c r="Y862" s="161"/>
      <c r="Z862" s="161"/>
    </row>
    <row r="863">
      <c r="A863" s="511"/>
      <c r="B863" s="18"/>
      <c r="C863" s="18"/>
      <c r="D863" s="161"/>
      <c r="E863" s="161"/>
      <c r="F863" s="511"/>
      <c r="G863" s="161"/>
      <c r="H863" s="161"/>
      <c r="I863" s="161"/>
      <c r="J863" s="161"/>
      <c r="K863" s="161"/>
      <c r="L863" s="161"/>
      <c r="M863" s="161"/>
      <c r="N863" s="161"/>
      <c r="O863" s="161"/>
      <c r="P863" s="161"/>
      <c r="Q863" s="161"/>
      <c r="R863" s="161"/>
      <c r="S863" s="161"/>
      <c r="T863" s="161"/>
      <c r="U863" s="161"/>
      <c r="V863" s="161"/>
      <c r="W863" s="161"/>
      <c r="X863" s="161"/>
      <c r="Y863" s="161"/>
      <c r="Z863" s="161"/>
    </row>
    <row r="864">
      <c r="A864" s="511"/>
      <c r="B864" s="18"/>
      <c r="C864" s="18"/>
      <c r="D864" s="161"/>
      <c r="E864" s="161"/>
      <c r="F864" s="511"/>
      <c r="G864" s="161"/>
      <c r="H864" s="161"/>
      <c r="I864" s="161"/>
      <c r="J864" s="161"/>
      <c r="K864" s="161"/>
      <c r="L864" s="161"/>
      <c r="M864" s="161"/>
      <c r="N864" s="161"/>
      <c r="O864" s="161"/>
      <c r="P864" s="161"/>
      <c r="Q864" s="161"/>
      <c r="R864" s="161"/>
      <c r="S864" s="161"/>
      <c r="T864" s="161"/>
      <c r="U864" s="161"/>
      <c r="V864" s="161"/>
      <c r="W864" s="161"/>
      <c r="X864" s="161"/>
      <c r="Y864" s="161"/>
      <c r="Z864" s="161"/>
    </row>
    <row r="865">
      <c r="A865" s="511"/>
      <c r="B865" s="18"/>
      <c r="C865" s="18"/>
      <c r="D865" s="161"/>
      <c r="E865" s="161"/>
      <c r="F865" s="511"/>
      <c r="G865" s="161"/>
      <c r="H865" s="161"/>
      <c r="I865" s="161"/>
      <c r="J865" s="161"/>
      <c r="K865" s="161"/>
      <c r="L865" s="161"/>
      <c r="M865" s="161"/>
      <c r="N865" s="161"/>
      <c r="O865" s="161"/>
      <c r="P865" s="161"/>
      <c r="Q865" s="161"/>
      <c r="R865" s="161"/>
      <c r="S865" s="161"/>
      <c r="T865" s="161"/>
      <c r="U865" s="161"/>
      <c r="V865" s="161"/>
      <c r="W865" s="161"/>
      <c r="X865" s="161"/>
      <c r="Y865" s="161"/>
      <c r="Z865" s="161"/>
    </row>
    <row r="866">
      <c r="A866" s="511"/>
      <c r="B866" s="18"/>
      <c r="C866" s="18"/>
      <c r="D866" s="161"/>
      <c r="E866" s="161"/>
      <c r="F866" s="511"/>
      <c r="G866" s="161"/>
      <c r="H866" s="161"/>
      <c r="I866" s="161"/>
      <c r="J866" s="161"/>
      <c r="K866" s="161"/>
      <c r="L866" s="161"/>
      <c r="M866" s="161"/>
      <c r="N866" s="161"/>
      <c r="O866" s="161"/>
      <c r="P866" s="161"/>
      <c r="Q866" s="161"/>
      <c r="R866" s="161"/>
      <c r="S866" s="161"/>
      <c r="T866" s="161"/>
      <c r="U866" s="161"/>
      <c r="V866" s="161"/>
      <c r="W866" s="161"/>
      <c r="X866" s="161"/>
      <c r="Y866" s="161"/>
      <c r="Z866" s="161"/>
    </row>
    <row r="867">
      <c r="A867" s="511"/>
      <c r="B867" s="18"/>
      <c r="C867" s="18"/>
      <c r="D867" s="161"/>
      <c r="E867" s="161"/>
      <c r="F867" s="511"/>
      <c r="G867" s="161"/>
      <c r="H867" s="161"/>
      <c r="I867" s="161"/>
      <c r="J867" s="161"/>
      <c r="K867" s="161"/>
      <c r="L867" s="161"/>
      <c r="M867" s="161"/>
      <c r="N867" s="161"/>
      <c r="O867" s="161"/>
      <c r="P867" s="161"/>
      <c r="Q867" s="161"/>
      <c r="R867" s="161"/>
      <c r="S867" s="161"/>
      <c r="T867" s="161"/>
      <c r="U867" s="161"/>
      <c r="V867" s="161"/>
      <c r="W867" s="161"/>
      <c r="X867" s="161"/>
      <c r="Y867" s="161"/>
      <c r="Z867" s="161"/>
    </row>
    <row r="868">
      <c r="A868" s="511"/>
      <c r="B868" s="18"/>
      <c r="C868" s="18"/>
      <c r="D868" s="161"/>
      <c r="E868" s="161"/>
      <c r="F868" s="511"/>
      <c r="G868" s="161"/>
      <c r="H868" s="161"/>
      <c r="I868" s="161"/>
      <c r="J868" s="161"/>
      <c r="K868" s="161"/>
      <c r="L868" s="161"/>
      <c r="M868" s="161"/>
      <c r="N868" s="161"/>
      <c r="O868" s="161"/>
      <c r="P868" s="161"/>
      <c r="Q868" s="161"/>
      <c r="R868" s="161"/>
      <c r="S868" s="161"/>
      <c r="T868" s="161"/>
      <c r="U868" s="161"/>
      <c r="V868" s="161"/>
      <c r="W868" s="161"/>
      <c r="X868" s="161"/>
      <c r="Y868" s="161"/>
      <c r="Z868" s="161"/>
    </row>
    <row r="869">
      <c r="A869" s="511"/>
      <c r="B869" s="18"/>
      <c r="C869" s="18"/>
      <c r="D869" s="161"/>
      <c r="E869" s="161"/>
      <c r="F869" s="511"/>
      <c r="G869" s="161"/>
      <c r="H869" s="161"/>
      <c r="I869" s="161"/>
      <c r="J869" s="161"/>
      <c r="K869" s="161"/>
      <c r="L869" s="161"/>
      <c r="M869" s="161"/>
      <c r="N869" s="161"/>
      <c r="O869" s="161"/>
      <c r="P869" s="161"/>
      <c r="Q869" s="161"/>
      <c r="R869" s="161"/>
      <c r="S869" s="161"/>
      <c r="T869" s="161"/>
      <c r="U869" s="161"/>
      <c r="V869" s="161"/>
      <c r="W869" s="161"/>
      <c r="X869" s="161"/>
      <c r="Y869" s="161"/>
      <c r="Z869" s="161"/>
    </row>
    <row r="870">
      <c r="A870" s="511"/>
      <c r="B870" s="18"/>
      <c r="C870" s="18"/>
      <c r="D870" s="161"/>
      <c r="E870" s="161"/>
      <c r="F870" s="511"/>
      <c r="G870" s="161"/>
      <c r="H870" s="161"/>
      <c r="I870" s="161"/>
      <c r="J870" s="161"/>
      <c r="K870" s="161"/>
      <c r="L870" s="161"/>
      <c r="M870" s="161"/>
      <c r="N870" s="161"/>
      <c r="O870" s="161"/>
      <c r="P870" s="161"/>
      <c r="Q870" s="161"/>
      <c r="R870" s="161"/>
      <c r="S870" s="161"/>
      <c r="T870" s="161"/>
      <c r="U870" s="161"/>
      <c r="V870" s="161"/>
      <c r="W870" s="161"/>
      <c r="X870" s="161"/>
      <c r="Y870" s="161"/>
      <c r="Z870" s="161"/>
    </row>
    <row r="871">
      <c r="A871" s="511"/>
      <c r="B871" s="18"/>
      <c r="C871" s="18"/>
      <c r="D871" s="161"/>
      <c r="E871" s="161"/>
      <c r="F871" s="511"/>
      <c r="G871" s="161"/>
      <c r="H871" s="161"/>
      <c r="I871" s="161"/>
      <c r="J871" s="161"/>
      <c r="K871" s="161"/>
      <c r="L871" s="161"/>
      <c r="M871" s="161"/>
      <c r="N871" s="161"/>
      <c r="O871" s="161"/>
      <c r="P871" s="161"/>
      <c r="Q871" s="161"/>
      <c r="R871" s="161"/>
      <c r="S871" s="161"/>
      <c r="T871" s="161"/>
      <c r="U871" s="161"/>
      <c r="V871" s="161"/>
      <c r="W871" s="161"/>
      <c r="X871" s="161"/>
      <c r="Y871" s="161"/>
      <c r="Z871" s="161"/>
    </row>
    <row r="872">
      <c r="A872" s="511"/>
      <c r="B872" s="18"/>
      <c r="C872" s="18"/>
      <c r="D872" s="161"/>
      <c r="E872" s="161"/>
      <c r="F872" s="511"/>
      <c r="G872" s="161"/>
      <c r="H872" s="161"/>
      <c r="I872" s="161"/>
      <c r="J872" s="161"/>
      <c r="K872" s="161"/>
      <c r="L872" s="161"/>
      <c r="M872" s="161"/>
      <c r="N872" s="161"/>
      <c r="O872" s="161"/>
      <c r="P872" s="161"/>
      <c r="Q872" s="161"/>
      <c r="R872" s="161"/>
      <c r="S872" s="161"/>
      <c r="T872" s="161"/>
      <c r="U872" s="161"/>
      <c r="V872" s="161"/>
      <c r="W872" s="161"/>
      <c r="X872" s="161"/>
      <c r="Y872" s="161"/>
      <c r="Z872" s="161"/>
    </row>
    <row r="873">
      <c r="A873" s="511"/>
      <c r="B873" s="18"/>
      <c r="C873" s="18"/>
      <c r="D873" s="161"/>
      <c r="E873" s="161"/>
      <c r="F873" s="511"/>
      <c r="G873" s="161"/>
      <c r="H873" s="161"/>
      <c r="I873" s="161"/>
      <c r="J873" s="161"/>
      <c r="K873" s="161"/>
      <c r="L873" s="161"/>
      <c r="M873" s="161"/>
      <c r="N873" s="161"/>
      <c r="O873" s="161"/>
      <c r="P873" s="161"/>
      <c r="Q873" s="161"/>
      <c r="R873" s="161"/>
      <c r="S873" s="161"/>
      <c r="T873" s="161"/>
      <c r="U873" s="161"/>
      <c r="V873" s="161"/>
      <c r="W873" s="161"/>
      <c r="X873" s="161"/>
      <c r="Y873" s="161"/>
      <c r="Z873" s="161"/>
    </row>
    <row r="874">
      <c r="A874" s="511"/>
      <c r="B874" s="18"/>
      <c r="C874" s="18"/>
      <c r="D874" s="161"/>
      <c r="E874" s="161"/>
      <c r="F874" s="511"/>
      <c r="G874" s="161"/>
      <c r="H874" s="161"/>
      <c r="I874" s="161"/>
      <c r="J874" s="161"/>
      <c r="K874" s="161"/>
      <c r="L874" s="161"/>
      <c r="M874" s="161"/>
      <c r="N874" s="161"/>
      <c r="O874" s="161"/>
      <c r="P874" s="161"/>
      <c r="Q874" s="161"/>
      <c r="R874" s="161"/>
      <c r="S874" s="161"/>
      <c r="T874" s="161"/>
      <c r="U874" s="161"/>
      <c r="V874" s="161"/>
      <c r="W874" s="161"/>
      <c r="X874" s="161"/>
      <c r="Y874" s="161"/>
      <c r="Z874" s="161"/>
    </row>
    <row r="875">
      <c r="A875" s="511"/>
      <c r="B875" s="18"/>
      <c r="C875" s="18"/>
      <c r="D875" s="161"/>
      <c r="E875" s="161"/>
      <c r="F875" s="511"/>
      <c r="G875" s="161"/>
      <c r="H875" s="161"/>
      <c r="I875" s="161"/>
      <c r="J875" s="161"/>
      <c r="K875" s="161"/>
      <c r="L875" s="161"/>
      <c r="M875" s="161"/>
      <c r="N875" s="161"/>
      <c r="O875" s="161"/>
      <c r="P875" s="161"/>
      <c r="Q875" s="161"/>
      <c r="R875" s="161"/>
      <c r="S875" s="161"/>
      <c r="T875" s="161"/>
      <c r="U875" s="161"/>
      <c r="V875" s="161"/>
      <c r="W875" s="161"/>
      <c r="X875" s="161"/>
      <c r="Y875" s="161"/>
      <c r="Z875" s="161"/>
    </row>
    <row r="876">
      <c r="A876" s="511"/>
      <c r="B876" s="18"/>
      <c r="C876" s="18"/>
      <c r="D876" s="161"/>
      <c r="E876" s="161"/>
      <c r="F876" s="511"/>
      <c r="G876" s="161"/>
      <c r="H876" s="161"/>
      <c r="I876" s="161"/>
      <c r="J876" s="161"/>
      <c r="K876" s="161"/>
      <c r="L876" s="161"/>
      <c r="M876" s="161"/>
      <c r="N876" s="161"/>
      <c r="O876" s="161"/>
      <c r="P876" s="161"/>
      <c r="Q876" s="161"/>
      <c r="R876" s="161"/>
      <c r="S876" s="161"/>
      <c r="T876" s="161"/>
      <c r="U876" s="161"/>
      <c r="V876" s="161"/>
      <c r="W876" s="161"/>
      <c r="X876" s="161"/>
      <c r="Y876" s="161"/>
      <c r="Z876" s="161"/>
    </row>
    <row r="877">
      <c r="A877" s="511"/>
      <c r="B877" s="18"/>
      <c r="C877" s="18"/>
      <c r="D877" s="161"/>
      <c r="E877" s="161"/>
      <c r="F877" s="511"/>
      <c r="G877" s="161"/>
      <c r="H877" s="161"/>
      <c r="I877" s="161"/>
      <c r="J877" s="161"/>
      <c r="K877" s="161"/>
      <c r="L877" s="161"/>
      <c r="M877" s="161"/>
      <c r="N877" s="161"/>
      <c r="O877" s="161"/>
      <c r="P877" s="161"/>
      <c r="Q877" s="161"/>
      <c r="R877" s="161"/>
      <c r="S877" s="161"/>
      <c r="T877" s="161"/>
      <c r="U877" s="161"/>
      <c r="V877" s="161"/>
      <c r="W877" s="161"/>
      <c r="X877" s="161"/>
      <c r="Y877" s="161"/>
      <c r="Z877" s="161"/>
    </row>
    <row r="878">
      <c r="A878" s="511"/>
      <c r="B878" s="18"/>
      <c r="C878" s="18"/>
      <c r="D878" s="161"/>
      <c r="E878" s="161"/>
      <c r="F878" s="511"/>
      <c r="G878" s="161"/>
      <c r="H878" s="161"/>
      <c r="I878" s="161"/>
      <c r="J878" s="161"/>
      <c r="K878" s="161"/>
      <c r="L878" s="161"/>
      <c r="M878" s="161"/>
      <c r="N878" s="161"/>
      <c r="O878" s="161"/>
      <c r="P878" s="161"/>
      <c r="Q878" s="161"/>
      <c r="R878" s="161"/>
      <c r="S878" s="161"/>
      <c r="T878" s="161"/>
      <c r="U878" s="161"/>
      <c r="V878" s="161"/>
      <c r="W878" s="161"/>
      <c r="X878" s="161"/>
      <c r="Y878" s="161"/>
      <c r="Z878" s="161"/>
    </row>
    <row r="879">
      <c r="A879" s="511"/>
      <c r="B879" s="18"/>
      <c r="C879" s="18"/>
      <c r="D879" s="161"/>
      <c r="E879" s="161"/>
      <c r="F879" s="511"/>
      <c r="G879" s="161"/>
      <c r="H879" s="161"/>
      <c r="I879" s="161"/>
      <c r="J879" s="161"/>
      <c r="K879" s="161"/>
      <c r="L879" s="161"/>
      <c r="M879" s="161"/>
      <c r="N879" s="161"/>
      <c r="O879" s="161"/>
      <c r="P879" s="161"/>
      <c r="Q879" s="161"/>
      <c r="R879" s="161"/>
      <c r="S879" s="161"/>
      <c r="T879" s="161"/>
      <c r="U879" s="161"/>
      <c r="V879" s="161"/>
      <c r="W879" s="161"/>
      <c r="X879" s="161"/>
      <c r="Y879" s="161"/>
      <c r="Z879" s="161"/>
    </row>
    <row r="880">
      <c r="A880" s="511"/>
      <c r="B880" s="18"/>
      <c r="C880" s="18"/>
      <c r="D880" s="161"/>
      <c r="E880" s="161"/>
      <c r="F880" s="511"/>
      <c r="G880" s="161"/>
      <c r="H880" s="161"/>
      <c r="I880" s="161"/>
      <c r="J880" s="161"/>
      <c r="K880" s="161"/>
      <c r="L880" s="161"/>
      <c r="M880" s="161"/>
      <c r="N880" s="161"/>
      <c r="O880" s="161"/>
      <c r="P880" s="161"/>
      <c r="Q880" s="161"/>
      <c r="R880" s="161"/>
      <c r="S880" s="161"/>
      <c r="T880" s="161"/>
      <c r="U880" s="161"/>
      <c r="V880" s="161"/>
      <c r="W880" s="161"/>
      <c r="X880" s="161"/>
      <c r="Y880" s="161"/>
      <c r="Z880" s="161"/>
    </row>
    <row r="881">
      <c r="A881" s="511"/>
      <c r="B881" s="18"/>
      <c r="C881" s="18"/>
      <c r="D881" s="161"/>
      <c r="E881" s="161"/>
      <c r="F881" s="511"/>
      <c r="G881" s="161"/>
      <c r="H881" s="161"/>
      <c r="I881" s="161"/>
      <c r="J881" s="161"/>
      <c r="K881" s="161"/>
      <c r="L881" s="161"/>
      <c r="M881" s="161"/>
      <c r="N881" s="161"/>
      <c r="O881" s="161"/>
      <c r="P881" s="161"/>
      <c r="Q881" s="161"/>
      <c r="R881" s="161"/>
      <c r="S881" s="161"/>
      <c r="T881" s="161"/>
      <c r="U881" s="161"/>
      <c r="V881" s="161"/>
      <c r="W881" s="161"/>
      <c r="X881" s="161"/>
      <c r="Y881" s="161"/>
      <c r="Z881" s="161"/>
    </row>
    <row r="882">
      <c r="A882" s="511"/>
      <c r="B882" s="18"/>
      <c r="C882" s="18"/>
      <c r="D882" s="161"/>
      <c r="E882" s="161"/>
      <c r="F882" s="511"/>
      <c r="G882" s="161"/>
      <c r="H882" s="161"/>
      <c r="I882" s="161"/>
      <c r="J882" s="161"/>
      <c r="K882" s="161"/>
      <c r="L882" s="161"/>
      <c r="M882" s="161"/>
      <c r="N882" s="161"/>
      <c r="O882" s="161"/>
      <c r="P882" s="161"/>
      <c r="Q882" s="161"/>
      <c r="R882" s="161"/>
      <c r="S882" s="161"/>
      <c r="T882" s="161"/>
      <c r="U882" s="161"/>
      <c r="V882" s="161"/>
      <c r="W882" s="161"/>
      <c r="X882" s="161"/>
      <c r="Y882" s="161"/>
      <c r="Z882" s="161"/>
    </row>
    <row r="883">
      <c r="A883" s="511"/>
      <c r="B883" s="18"/>
      <c r="C883" s="18"/>
      <c r="D883" s="161"/>
      <c r="E883" s="161"/>
      <c r="F883" s="511"/>
      <c r="G883" s="161"/>
      <c r="H883" s="161"/>
      <c r="I883" s="161"/>
      <c r="J883" s="161"/>
      <c r="K883" s="161"/>
      <c r="L883" s="161"/>
      <c r="M883" s="161"/>
      <c r="N883" s="161"/>
      <c r="O883" s="161"/>
      <c r="P883" s="161"/>
      <c r="Q883" s="161"/>
      <c r="R883" s="161"/>
      <c r="S883" s="161"/>
      <c r="T883" s="161"/>
      <c r="U883" s="161"/>
      <c r="V883" s="161"/>
      <c r="W883" s="161"/>
      <c r="X883" s="161"/>
      <c r="Y883" s="161"/>
      <c r="Z883" s="161"/>
    </row>
    <row r="884">
      <c r="A884" s="511"/>
      <c r="B884" s="18"/>
      <c r="C884" s="18"/>
      <c r="D884" s="161"/>
      <c r="E884" s="161"/>
      <c r="F884" s="511"/>
      <c r="G884" s="161"/>
      <c r="H884" s="161"/>
      <c r="I884" s="161"/>
      <c r="J884" s="161"/>
      <c r="K884" s="161"/>
      <c r="L884" s="161"/>
      <c r="M884" s="161"/>
      <c r="N884" s="161"/>
      <c r="O884" s="161"/>
      <c r="P884" s="161"/>
      <c r="Q884" s="161"/>
      <c r="R884" s="161"/>
      <c r="S884" s="161"/>
      <c r="T884" s="161"/>
      <c r="U884" s="161"/>
      <c r="V884" s="161"/>
      <c r="W884" s="161"/>
      <c r="X884" s="161"/>
      <c r="Y884" s="161"/>
      <c r="Z884" s="161"/>
    </row>
    <row r="885">
      <c r="A885" s="511"/>
      <c r="B885" s="18"/>
      <c r="C885" s="18"/>
      <c r="D885" s="161"/>
      <c r="E885" s="161"/>
      <c r="F885" s="511"/>
      <c r="G885" s="161"/>
      <c r="H885" s="161"/>
      <c r="I885" s="161"/>
      <c r="J885" s="161"/>
      <c r="K885" s="161"/>
      <c r="L885" s="161"/>
      <c r="M885" s="161"/>
      <c r="N885" s="161"/>
      <c r="O885" s="161"/>
      <c r="P885" s="161"/>
      <c r="Q885" s="161"/>
      <c r="R885" s="161"/>
      <c r="S885" s="161"/>
      <c r="T885" s="161"/>
      <c r="U885" s="161"/>
      <c r="V885" s="161"/>
      <c r="W885" s="161"/>
      <c r="X885" s="161"/>
      <c r="Y885" s="161"/>
      <c r="Z885" s="161"/>
    </row>
    <row r="886">
      <c r="A886" s="511"/>
      <c r="B886" s="18"/>
      <c r="C886" s="18"/>
      <c r="D886" s="161"/>
      <c r="E886" s="161"/>
      <c r="F886" s="511"/>
      <c r="G886" s="161"/>
      <c r="H886" s="161"/>
      <c r="I886" s="161"/>
      <c r="J886" s="161"/>
      <c r="K886" s="161"/>
      <c r="L886" s="161"/>
      <c r="M886" s="161"/>
      <c r="N886" s="161"/>
      <c r="O886" s="161"/>
      <c r="P886" s="161"/>
      <c r="Q886" s="161"/>
      <c r="R886" s="161"/>
      <c r="S886" s="161"/>
      <c r="T886" s="161"/>
      <c r="U886" s="161"/>
      <c r="V886" s="161"/>
      <c r="W886" s="161"/>
      <c r="X886" s="161"/>
      <c r="Y886" s="161"/>
      <c r="Z886" s="161"/>
    </row>
    <row r="887">
      <c r="A887" s="511"/>
      <c r="B887" s="18"/>
      <c r="C887" s="18"/>
      <c r="D887" s="161"/>
      <c r="E887" s="161"/>
      <c r="F887" s="511"/>
      <c r="G887" s="161"/>
      <c r="H887" s="161"/>
      <c r="I887" s="161"/>
      <c r="J887" s="161"/>
      <c r="K887" s="161"/>
      <c r="L887" s="161"/>
      <c r="M887" s="161"/>
      <c r="N887" s="161"/>
      <c r="O887" s="161"/>
      <c r="P887" s="161"/>
      <c r="Q887" s="161"/>
      <c r="R887" s="161"/>
      <c r="S887" s="161"/>
      <c r="T887" s="161"/>
      <c r="U887" s="161"/>
      <c r="V887" s="161"/>
      <c r="W887" s="161"/>
      <c r="X887" s="161"/>
      <c r="Y887" s="161"/>
      <c r="Z887" s="161"/>
    </row>
    <row r="888">
      <c r="A888" s="511"/>
      <c r="B888" s="18"/>
      <c r="C888" s="18"/>
      <c r="D888" s="161"/>
      <c r="E888" s="161"/>
      <c r="F888" s="511"/>
      <c r="G888" s="161"/>
      <c r="H888" s="161"/>
      <c r="I888" s="161"/>
      <c r="J888" s="161"/>
      <c r="K888" s="161"/>
      <c r="L888" s="161"/>
      <c r="M888" s="161"/>
      <c r="N888" s="161"/>
      <c r="O888" s="161"/>
      <c r="P888" s="161"/>
      <c r="Q888" s="161"/>
      <c r="R888" s="161"/>
      <c r="S888" s="161"/>
      <c r="T888" s="161"/>
      <c r="U888" s="161"/>
      <c r="V888" s="161"/>
      <c r="W888" s="161"/>
      <c r="X888" s="161"/>
      <c r="Y888" s="161"/>
      <c r="Z888" s="161"/>
    </row>
    <row r="889">
      <c r="A889" s="511"/>
      <c r="B889" s="18"/>
      <c r="C889" s="18"/>
      <c r="D889" s="161"/>
      <c r="E889" s="161"/>
      <c r="F889" s="511"/>
      <c r="G889" s="161"/>
      <c r="H889" s="161"/>
      <c r="I889" s="161"/>
      <c r="J889" s="161"/>
      <c r="K889" s="161"/>
      <c r="L889" s="161"/>
      <c r="M889" s="161"/>
      <c r="N889" s="161"/>
      <c r="O889" s="161"/>
      <c r="P889" s="161"/>
      <c r="Q889" s="161"/>
      <c r="R889" s="161"/>
      <c r="S889" s="161"/>
      <c r="T889" s="161"/>
      <c r="U889" s="161"/>
      <c r="V889" s="161"/>
      <c r="W889" s="161"/>
      <c r="X889" s="161"/>
      <c r="Y889" s="161"/>
      <c r="Z889" s="161"/>
    </row>
    <row r="890">
      <c r="A890" s="511"/>
      <c r="B890" s="18"/>
      <c r="C890" s="18"/>
      <c r="D890" s="161"/>
      <c r="E890" s="161"/>
      <c r="F890" s="511"/>
      <c r="G890" s="161"/>
      <c r="H890" s="161"/>
      <c r="I890" s="161"/>
      <c r="J890" s="161"/>
      <c r="K890" s="161"/>
      <c r="L890" s="161"/>
      <c r="M890" s="161"/>
      <c r="N890" s="161"/>
      <c r="O890" s="161"/>
      <c r="P890" s="161"/>
      <c r="Q890" s="161"/>
      <c r="R890" s="161"/>
      <c r="S890" s="161"/>
      <c r="T890" s="161"/>
      <c r="U890" s="161"/>
      <c r="V890" s="161"/>
      <c r="W890" s="161"/>
      <c r="X890" s="161"/>
      <c r="Y890" s="161"/>
      <c r="Z890" s="161"/>
    </row>
    <row r="891">
      <c r="A891" s="511"/>
      <c r="B891" s="18"/>
      <c r="C891" s="18"/>
      <c r="D891" s="161"/>
      <c r="E891" s="161"/>
      <c r="F891" s="511"/>
      <c r="G891" s="161"/>
      <c r="H891" s="161"/>
      <c r="I891" s="161"/>
      <c r="J891" s="161"/>
      <c r="K891" s="161"/>
      <c r="L891" s="161"/>
      <c r="M891" s="161"/>
      <c r="N891" s="161"/>
      <c r="O891" s="161"/>
      <c r="P891" s="161"/>
      <c r="Q891" s="161"/>
      <c r="R891" s="161"/>
      <c r="S891" s="161"/>
      <c r="T891" s="161"/>
      <c r="U891" s="161"/>
      <c r="V891" s="161"/>
      <c r="W891" s="161"/>
      <c r="X891" s="161"/>
      <c r="Y891" s="161"/>
      <c r="Z891" s="161"/>
    </row>
    <row r="892">
      <c r="A892" s="511"/>
      <c r="B892" s="18"/>
      <c r="C892" s="18"/>
      <c r="D892" s="161"/>
      <c r="E892" s="161"/>
      <c r="F892" s="511"/>
      <c r="G892" s="161"/>
      <c r="H892" s="161"/>
      <c r="I892" s="161"/>
      <c r="J892" s="161"/>
      <c r="K892" s="161"/>
      <c r="L892" s="161"/>
      <c r="M892" s="161"/>
      <c r="N892" s="161"/>
      <c r="O892" s="161"/>
      <c r="P892" s="161"/>
      <c r="Q892" s="161"/>
      <c r="R892" s="161"/>
      <c r="S892" s="161"/>
      <c r="T892" s="161"/>
      <c r="U892" s="161"/>
      <c r="V892" s="161"/>
      <c r="W892" s="161"/>
      <c r="X892" s="161"/>
      <c r="Y892" s="161"/>
      <c r="Z892" s="161"/>
    </row>
    <row r="893">
      <c r="A893" s="511"/>
      <c r="B893" s="18"/>
      <c r="C893" s="18"/>
      <c r="D893" s="161"/>
      <c r="E893" s="161"/>
      <c r="F893" s="511"/>
      <c r="G893" s="161"/>
      <c r="H893" s="161"/>
      <c r="I893" s="161"/>
      <c r="J893" s="161"/>
      <c r="K893" s="161"/>
      <c r="L893" s="161"/>
      <c r="M893" s="161"/>
      <c r="N893" s="161"/>
      <c r="O893" s="161"/>
      <c r="P893" s="161"/>
      <c r="Q893" s="161"/>
      <c r="R893" s="161"/>
      <c r="S893" s="161"/>
      <c r="T893" s="161"/>
      <c r="U893" s="161"/>
      <c r="V893" s="161"/>
      <c r="W893" s="161"/>
      <c r="X893" s="161"/>
      <c r="Y893" s="161"/>
      <c r="Z893" s="161"/>
    </row>
    <row r="894">
      <c r="A894" s="511"/>
      <c r="B894" s="18"/>
      <c r="C894" s="18"/>
      <c r="D894" s="161"/>
      <c r="E894" s="161"/>
      <c r="F894" s="511"/>
      <c r="G894" s="161"/>
      <c r="H894" s="161"/>
      <c r="I894" s="161"/>
      <c r="J894" s="161"/>
      <c r="K894" s="161"/>
      <c r="L894" s="161"/>
      <c r="M894" s="161"/>
      <c r="N894" s="161"/>
      <c r="O894" s="161"/>
      <c r="P894" s="161"/>
      <c r="Q894" s="161"/>
      <c r="R894" s="161"/>
      <c r="S894" s="161"/>
      <c r="T894" s="161"/>
      <c r="U894" s="161"/>
      <c r="V894" s="161"/>
      <c r="W894" s="161"/>
      <c r="X894" s="161"/>
      <c r="Y894" s="161"/>
      <c r="Z894" s="161"/>
    </row>
    <row r="895">
      <c r="A895" s="511"/>
      <c r="B895" s="18"/>
      <c r="C895" s="18"/>
      <c r="D895" s="161"/>
      <c r="E895" s="161"/>
      <c r="F895" s="511"/>
      <c r="G895" s="161"/>
      <c r="H895" s="161"/>
      <c r="I895" s="161"/>
      <c r="J895" s="161"/>
      <c r="K895" s="161"/>
      <c r="L895" s="161"/>
      <c r="M895" s="161"/>
      <c r="N895" s="161"/>
      <c r="O895" s="161"/>
      <c r="P895" s="161"/>
      <c r="Q895" s="161"/>
      <c r="R895" s="161"/>
      <c r="S895" s="161"/>
      <c r="T895" s="161"/>
      <c r="U895" s="161"/>
      <c r="V895" s="161"/>
      <c r="W895" s="161"/>
      <c r="X895" s="161"/>
      <c r="Y895" s="161"/>
      <c r="Z895" s="161"/>
    </row>
    <row r="896">
      <c r="A896" s="511"/>
      <c r="B896" s="18"/>
      <c r="C896" s="18"/>
      <c r="D896" s="161"/>
      <c r="E896" s="161"/>
      <c r="F896" s="511"/>
      <c r="G896" s="161"/>
      <c r="H896" s="161"/>
      <c r="I896" s="161"/>
      <c r="J896" s="161"/>
      <c r="K896" s="161"/>
      <c r="L896" s="161"/>
      <c r="M896" s="161"/>
      <c r="N896" s="161"/>
      <c r="O896" s="161"/>
      <c r="P896" s="161"/>
      <c r="Q896" s="161"/>
      <c r="R896" s="161"/>
      <c r="S896" s="161"/>
      <c r="T896" s="161"/>
      <c r="U896" s="161"/>
      <c r="V896" s="161"/>
      <c r="W896" s="161"/>
      <c r="X896" s="161"/>
      <c r="Y896" s="161"/>
      <c r="Z896" s="161"/>
    </row>
    <row r="897">
      <c r="A897" s="511"/>
      <c r="B897" s="18"/>
      <c r="C897" s="18"/>
      <c r="D897" s="161"/>
      <c r="E897" s="161"/>
      <c r="F897" s="511"/>
      <c r="G897" s="161"/>
      <c r="H897" s="161"/>
      <c r="I897" s="161"/>
      <c r="J897" s="161"/>
      <c r="K897" s="161"/>
      <c r="L897" s="161"/>
      <c r="M897" s="161"/>
      <c r="N897" s="161"/>
      <c r="O897" s="161"/>
      <c r="P897" s="161"/>
      <c r="Q897" s="161"/>
      <c r="R897" s="161"/>
      <c r="S897" s="161"/>
      <c r="T897" s="161"/>
      <c r="U897" s="161"/>
      <c r="V897" s="161"/>
      <c r="W897" s="161"/>
      <c r="X897" s="161"/>
      <c r="Y897" s="161"/>
      <c r="Z897" s="161"/>
    </row>
    <row r="898">
      <c r="A898" s="511"/>
      <c r="B898" s="18"/>
      <c r="C898" s="18"/>
      <c r="D898" s="161"/>
      <c r="E898" s="161"/>
      <c r="F898" s="511"/>
      <c r="G898" s="161"/>
      <c r="H898" s="161"/>
      <c r="I898" s="161"/>
      <c r="J898" s="161"/>
      <c r="K898" s="161"/>
      <c r="L898" s="161"/>
      <c r="M898" s="161"/>
      <c r="N898" s="161"/>
      <c r="O898" s="161"/>
      <c r="P898" s="161"/>
      <c r="Q898" s="161"/>
      <c r="R898" s="161"/>
      <c r="S898" s="161"/>
      <c r="T898" s="161"/>
      <c r="U898" s="161"/>
      <c r="V898" s="161"/>
      <c r="W898" s="161"/>
      <c r="X898" s="161"/>
      <c r="Y898" s="161"/>
      <c r="Z898" s="161"/>
    </row>
    <row r="899">
      <c r="A899" s="511"/>
      <c r="B899" s="18"/>
      <c r="C899" s="18"/>
      <c r="D899" s="161"/>
      <c r="E899" s="161"/>
      <c r="F899" s="511"/>
      <c r="G899" s="161"/>
      <c r="H899" s="161"/>
      <c r="I899" s="161"/>
      <c r="J899" s="161"/>
      <c r="K899" s="161"/>
      <c r="L899" s="161"/>
      <c r="M899" s="161"/>
      <c r="N899" s="161"/>
      <c r="O899" s="161"/>
      <c r="P899" s="161"/>
      <c r="Q899" s="161"/>
      <c r="R899" s="161"/>
      <c r="S899" s="161"/>
      <c r="T899" s="161"/>
      <c r="U899" s="161"/>
      <c r="V899" s="161"/>
      <c r="W899" s="161"/>
      <c r="X899" s="161"/>
      <c r="Y899" s="161"/>
      <c r="Z899" s="161"/>
    </row>
    <row r="900">
      <c r="A900" s="511"/>
      <c r="B900" s="18"/>
      <c r="C900" s="18"/>
      <c r="D900" s="161"/>
      <c r="E900" s="161"/>
      <c r="F900" s="511"/>
      <c r="G900" s="161"/>
      <c r="H900" s="161"/>
      <c r="I900" s="161"/>
      <c r="J900" s="161"/>
      <c r="K900" s="161"/>
      <c r="L900" s="161"/>
      <c r="M900" s="161"/>
      <c r="N900" s="161"/>
      <c r="O900" s="161"/>
      <c r="P900" s="161"/>
      <c r="Q900" s="161"/>
      <c r="R900" s="161"/>
      <c r="S900" s="161"/>
      <c r="T900" s="161"/>
      <c r="U900" s="161"/>
      <c r="V900" s="161"/>
      <c r="W900" s="161"/>
      <c r="X900" s="161"/>
      <c r="Y900" s="161"/>
      <c r="Z900" s="161"/>
    </row>
    <row r="901">
      <c r="A901" s="511"/>
      <c r="B901" s="18"/>
      <c r="C901" s="18"/>
      <c r="D901" s="161"/>
      <c r="E901" s="161"/>
      <c r="F901" s="511"/>
      <c r="G901" s="161"/>
      <c r="H901" s="161"/>
      <c r="I901" s="161"/>
      <c r="J901" s="161"/>
      <c r="K901" s="161"/>
      <c r="L901" s="161"/>
      <c r="M901" s="161"/>
      <c r="N901" s="161"/>
      <c r="O901" s="161"/>
      <c r="P901" s="161"/>
      <c r="Q901" s="161"/>
      <c r="R901" s="161"/>
      <c r="S901" s="161"/>
      <c r="T901" s="161"/>
      <c r="U901" s="161"/>
      <c r="V901" s="161"/>
      <c r="W901" s="161"/>
      <c r="X901" s="161"/>
      <c r="Y901" s="161"/>
      <c r="Z901" s="161"/>
    </row>
    <row r="902">
      <c r="A902" s="511"/>
      <c r="B902" s="18"/>
      <c r="C902" s="18"/>
      <c r="D902" s="161"/>
      <c r="E902" s="161"/>
      <c r="F902" s="511"/>
      <c r="G902" s="161"/>
      <c r="H902" s="161"/>
      <c r="I902" s="161"/>
      <c r="J902" s="161"/>
      <c r="K902" s="161"/>
      <c r="L902" s="161"/>
      <c r="M902" s="161"/>
      <c r="N902" s="161"/>
      <c r="O902" s="161"/>
      <c r="P902" s="161"/>
      <c r="Q902" s="161"/>
      <c r="R902" s="161"/>
      <c r="S902" s="161"/>
      <c r="T902" s="161"/>
      <c r="U902" s="161"/>
      <c r="V902" s="161"/>
      <c r="W902" s="161"/>
      <c r="X902" s="161"/>
      <c r="Y902" s="161"/>
      <c r="Z902" s="161"/>
    </row>
    <row r="903">
      <c r="A903" s="511"/>
      <c r="B903" s="18"/>
      <c r="C903" s="18"/>
      <c r="D903" s="161"/>
      <c r="E903" s="161"/>
      <c r="F903" s="511"/>
      <c r="G903" s="161"/>
      <c r="H903" s="161"/>
      <c r="I903" s="161"/>
      <c r="J903" s="161"/>
      <c r="K903" s="161"/>
      <c r="L903" s="161"/>
      <c r="M903" s="161"/>
      <c r="N903" s="161"/>
      <c r="O903" s="161"/>
      <c r="P903" s="161"/>
      <c r="Q903" s="161"/>
      <c r="R903" s="161"/>
      <c r="S903" s="161"/>
      <c r="T903" s="161"/>
      <c r="U903" s="161"/>
      <c r="V903" s="161"/>
      <c r="W903" s="161"/>
      <c r="X903" s="161"/>
      <c r="Y903" s="161"/>
      <c r="Z903" s="161"/>
    </row>
    <row r="904">
      <c r="A904" s="511"/>
      <c r="B904" s="18"/>
      <c r="C904" s="18"/>
      <c r="D904" s="161"/>
      <c r="E904" s="161"/>
      <c r="F904" s="511"/>
      <c r="G904" s="161"/>
      <c r="H904" s="161"/>
      <c r="I904" s="161"/>
      <c r="J904" s="161"/>
      <c r="K904" s="161"/>
      <c r="L904" s="161"/>
      <c r="M904" s="161"/>
      <c r="N904" s="161"/>
      <c r="O904" s="161"/>
      <c r="P904" s="161"/>
      <c r="Q904" s="161"/>
      <c r="R904" s="161"/>
      <c r="S904" s="161"/>
      <c r="T904" s="161"/>
      <c r="U904" s="161"/>
      <c r="V904" s="161"/>
      <c r="W904" s="161"/>
      <c r="X904" s="161"/>
      <c r="Y904" s="161"/>
      <c r="Z904" s="161"/>
    </row>
    <row r="905">
      <c r="A905" s="511"/>
      <c r="B905" s="18"/>
      <c r="C905" s="18"/>
      <c r="D905" s="161"/>
      <c r="E905" s="161"/>
      <c r="F905" s="511"/>
      <c r="G905" s="161"/>
      <c r="H905" s="161"/>
      <c r="I905" s="161"/>
      <c r="J905" s="161"/>
      <c r="K905" s="161"/>
      <c r="L905" s="161"/>
      <c r="M905" s="161"/>
      <c r="N905" s="161"/>
      <c r="O905" s="161"/>
      <c r="P905" s="161"/>
      <c r="Q905" s="161"/>
      <c r="R905" s="161"/>
      <c r="S905" s="161"/>
      <c r="T905" s="161"/>
      <c r="U905" s="161"/>
      <c r="V905" s="161"/>
      <c r="W905" s="161"/>
      <c r="X905" s="161"/>
      <c r="Y905" s="161"/>
      <c r="Z905" s="161"/>
    </row>
    <row r="906">
      <c r="A906" s="511"/>
      <c r="B906" s="18"/>
      <c r="C906" s="18"/>
      <c r="D906" s="161"/>
      <c r="E906" s="161"/>
      <c r="F906" s="511"/>
      <c r="G906" s="161"/>
      <c r="H906" s="161"/>
      <c r="I906" s="161"/>
      <c r="J906" s="161"/>
      <c r="K906" s="161"/>
      <c r="L906" s="161"/>
      <c r="M906" s="161"/>
      <c r="N906" s="161"/>
      <c r="O906" s="161"/>
      <c r="P906" s="161"/>
      <c r="Q906" s="161"/>
      <c r="R906" s="161"/>
      <c r="S906" s="161"/>
      <c r="T906" s="161"/>
      <c r="U906" s="161"/>
      <c r="V906" s="161"/>
      <c r="W906" s="161"/>
      <c r="X906" s="161"/>
      <c r="Y906" s="161"/>
      <c r="Z906" s="161"/>
    </row>
    <row r="907">
      <c r="A907" s="511"/>
      <c r="B907" s="18"/>
      <c r="C907" s="18"/>
      <c r="D907" s="161"/>
      <c r="E907" s="161"/>
      <c r="F907" s="511"/>
      <c r="G907" s="161"/>
      <c r="H907" s="161"/>
      <c r="I907" s="161"/>
      <c r="J907" s="161"/>
      <c r="K907" s="161"/>
      <c r="L907" s="161"/>
      <c r="M907" s="161"/>
      <c r="N907" s="161"/>
      <c r="O907" s="161"/>
      <c r="P907" s="161"/>
      <c r="Q907" s="161"/>
      <c r="R907" s="161"/>
      <c r="S907" s="161"/>
      <c r="T907" s="161"/>
      <c r="U907" s="161"/>
      <c r="V907" s="161"/>
      <c r="W907" s="161"/>
      <c r="X907" s="161"/>
      <c r="Y907" s="161"/>
      <c r="Z907" s="161"/>
    </row>
    <row r="908">
      <c r="A908" s="511"/>
      <c r="B908" s="18"/>
      <c r="C908" s="18"/>
      <c r="D908" s="161"/>
      <c r="E908" s="161"/>
      <c r="F908" s="511"/>
      <c r="G908" s="161"/>
      <c r="H908" s="161"/>
      <c r="I908" s="161"/>
      <c r="J908" s="161"/>
      <c r="K908" s="161"/>
      <c r="L908" s="161"/>
      <c r="M908" s="161"/>
      <c r="N908" s="161"/>
      <c r="O908" s="161"/>
      <c r="P908" s="161"/>
      <c r="Q908" s="161"/>
      <c r="R908" s="161"/>
      <c r="S908" s="161"/>
      <c r="T908" s="161"/>
      <c r="U908" s="161"/>
      <c r="V908" s="161"/>
      <c r="W908" s="161"/>
      <c r="X908" s="161"/>
      <c r="Y908" s="161"/>
      <c r="Z908" s="161"/>
    </row>
    <row r="909">
      <c r="A909" s="511"/>
      <c r="B909" s="18"/>
      <c r="C909" s="18"/>
      <c r="D909" s="161"/>
      <c r="E909" s="161"/>
      <c r="F909" s="511"/>
      <c r="G909" s="161"/>
      <c r="H909" s="161"/>
      <c r="I909" s="161"/>
      <c r="J909" s="161"/>
      <c r="K909" s="161"/>
      <c r="L909" s="161"/>
      <c r="M909" s="161"/>
      <c r="N909" s="161"/>
      <c r="O909" s="161"/>
      <c r="P909" s="161"/>
      <c r="Q909" s="161"/>
      <c r="R909" s="161"/>
      <c r="S909" s="161"/>
      <c r="T909" s="161"/>
      <c r="U909" s="161"/>
      <c r="V909" s="161"/>
      <c r="W909" s="161"/>
      <c r="X909" s="161"/>
      <c r="Y909" s="161"/>
      <c r="Z909" s="161"/>
    </row>
    <row r="910">
      <c r="A910" s="511"/>
      <c r="B910" s="18"/>
      <c r="C910" s="18"/>
      <c r="D910" s="161"/>
      <c r="E910" s="161"/>
      <c r="F910" s="511"/>
      <c r="G910" s="161"/>
      <c r="H910" s="161"/>
      <c r="I910" s="161"/>
      <c r="J910" s="161"/>
      <c r="K910" s="161"/>
      <c r="L910" s="161"/>
      <c r="M910" s="161"/>
      <c r="N910" s="161"/>
      <c r="O910" s="161"/>
      <c r="P910" s="161"/>
      <c r="Q910" s="161"/>
      <c r="R910" s="161"/>
      <c r="S910" s="161"/>
      <c r="T910" s="161"/>
      <c r="U910" s="161"/>
      <c r="V910" s="161"/>
      <c r="W910" s="161"/>
      <c r="X910" s="161"/>
      <c r="Y910" s="161"/>
      <c r="Z910" s="161"/>
    </row>
    <row r="911">
      <c r="A911" s="511"/>
      <c r="B911" s="18"/>
      <c r="C911" s="18"/>
      <c r="D911" s="161"/>
      <c r="E911" s="161"/>
      <c r="F911" s="511"/>
      <c r="G911" s="161"/>
      <c r="H911" s="161"/>
      <c r="I911" s="161"/>
      <c r="J911" s="161"/>
      <c r="K911" s="161"/>
      <c r="L911" s="161"/>
      <c r="M911" s="161"/>
      <c r="N911" s="161"/>
      <c r="O911" s="161"/>
      <c r="P911" s="161"/>
      <c r="Q911" s="161"/>
      <c r="R911" s="161"/>
      <c r="S911" s="161"/>
      <c r="T911" s="161"/>
      <c r="U911" s="161"/>
      <c r="V911" s="161"/>
      <c r="W911" s="161"/>
      <c r="X911" s="161"/>
      <c r="Y911" s="161"/>
      <c r="Z911" s="161"/>
    </row>
    <row r="912">
      <c r="A912" s="511"/>
      <c r="B912" s="18"/>
      <c r="C912" s="18"/>
      <c r="D912" s="161"/>
      <c r="E912" s="161"/>
      <c r="F912" s="511"/>
      <c r="G912" s="161"/>
      <c r="H912" s="161"/>
      <c r="I912" s="161"/>
      <c r="J912" s="161"/>
      <c r="K912" s="161"/>
      <c r="L912" s="161"/>
      <c r="M912" s="161"/>
      <c r="N912" s="161"/>
      <c r="O912" s="161"/>
      <c r="P912" s="161"/>
      <c r="Q912" s="161"/>
      <c r="R912" s="161"/>
      <c r="S912" s="161"/>
      <c r="T912" s="161"/>
      <c r="U912" s="161"/>
      <c r="V912" s="161"/>
      <c r="W912" s="161"/>
      <c r="X912" s="161"/>
      <c r="Y912" s="161"/>
      <c r="Z912" s="161"/>
    </row>
    <row r="913">
      <c r="A913" s="511"/>
      <c r="B913" s="18"/>
      <c r="C913" s="18"/>
      <c r="D913" s="161"/>
      <c r="E913" s="161"/>
      <c r="F913" s="511"/>
      <c r="G913" s="161"/>
      <c r="H913" s="161"/>
      <c r="I913" s="161"/>
      <c r="J913" s="161"/>
      <c r="K913" s="161"/>
      <c r="L913" s="161"/>
      <c r="M913" s="161"/>
      <c r="N913" s="161"/>
      <c r="O913" s="161"/>
      <c r="P913" s="161"/>
      <c r="Q913" s="161"/>
      <c r="R913" s="161"/>
      <c r="S913" s="161"/>
      <c r="T913" s="161"/>
      <c r="U913" s="161"/>
      <c r="V913" s="161"/>
      <c r="W913" s="161"/>
      <c r="X913" s="161"/>
      <c r="Y913" s="161"/>
      <c r="Z913" s="161"/>
    </row>
    <row r="914">
      <c r="A914" s="511"/>
      <c r="B914" s="18"/>
      <c r="C914" s="18"/>
      <c r="D914" s="161"/>
      <c r="E914" s="161"/>
      <c r="F914" s="511"/>
      <c r="G914" s="161"/>
      <c r="H914" s="161"/>
      <c r="I914" s="161"/>
      <c r="J914" s="161"/>
      <c r="K914" s="161"/>
      <c r="L914" s="161"/>
      <c r="M914" s="161"/>
      <c r="N914" s="161"/>
      <c r="O914" s="161"/>
      <c r="P914" s="161"/>
      <c r="Q914" s="161"/>
      <c r="R914" s="161"/>
      <c r="S914" s="161"/>
      <c r="T914" s="161"/>
      <c r="U914" s="161"/>
      <c r="V914" s="161"/>
      <c r="W914" s="161"/>
      <c r="X914" s="161"/>
      <c r="Y914" s="161"/>
      <c r="Z914" s="161"/>
    </row>
    <row r="915">
      <c r="A915" s="511"/>
      <c r="B915" s="18"/>
      <c r="C915" s="18"/>
      <c r="D915" s="161"/>
      <c r="E915" s="161"/>
      <c r="F915" s="511"/>
      <c r="G915" s="161"/>
      <c r="H915" s="161"/>
      <c r="I915" s="161"/>
      <c r="J915" s="161"/>
      <c r="K915" s="161"/>
      <c r="L915" s="161"/>
      <c r="M915" s="161"/>
      <c r="N915" s="161"/>
      <c r="O915" s="161"/>
      <c r="P915" s="161"/>
      <c r="Q915" s="161"/>
      <c r="R915" s="161"/>
      <c r="S915" s="161"/>
      <c r="T915" s="161"/>
      <c r="U915" s="161"/>
      <c r="V915" s="161"/>
      <c r="W915" s="161"/>
      <c r="X915" s="161"/>
      <c r="Y915" s="161"/>
      <c r="Z915" s="161"/>
    </row>
    <row r="916">
      <c r="A916" s="511"/>
      <c r="B916" s="18"/>
      <c r="C916" s="18"/>
      <c r="D916" s="161"/>
      <c r="E916" s="161"/>
      <c r="F916" s="511"/>
      <c r="G916" s="161"/>
      <c r="H916" s="161"/>
      <c r="I916" s="161"/>
      <c r="J916" s="161"/>
      <c r="K916" s="161"/>
      <c r="L916" s="161"/>
      <c r="M916" s="161"/>
      <c r="N916" s="161"/>
      <c r="O916" s="161"/>
      <c r="P916" s="161"/>
      <c r="Q916" s="161"/>
      <c r="R916" s="161"/>
      <c r="S916" s="161"/>
      <c r="T916" s="161"/>
      <c r="U916" s="161"/>
      <c r="V916" s="161"/>
      <c r="W916" s="161"/>
      <c r="X916" s="161"/>
      <c r="Y916" s="161"/>
      <c r="Z916" s="161"/>
    </row>
    <row r="917">
      <c r="A917" s="511"/>
      <c r="B917" s="18"/>
      <c r="C917" s="18"/>
      <c r="D917" s="161"/>
      <c r="E917" s="161"/>
      <c r="F917" s="511"/>
      <c r="G917" s="161"/>
      <c r="H917" s="161"/>
      <c r="I917" s="161"/>
      <c r="J917" s="161"/>
      <c r="K917" s="161"/>
      <c r="L917" s="161"/>
      <c r="M917" s="161"/>
      <c r="N917" s="161"/>
      <c r="O917" s="161"/>
      <c r="P917" s="161"/>
      <c r="Q917" s="161"/>
      <c r="R917" s="161"/>
      <c r="S917" s="161"/>
      <c r="T917" s="161"/>
      <c r="U917" s="161"/>
      <c r="V917" s="161"/>
      <c r="W917" s="161"/>
      <c r="X917" s="161"/>
      <c r="Y917" s="161"/>
      <c r="Z917" s="161"/>
    </row>
    <row r="918">
      <c r="A918" s="511"/>
      <c r="B918" s="18"/>
      <c r="C918" s="18"/>
      <c r="D918" s="161"/>
      <c r="E918" s="161"/>
      <c r="F918" s="511"/>
      <c r="G918" s="161"/>
      <c r="H918" s="161"/>
      <c r="I918" s="161"/>
      <c r="J918" s="161"/>
      <c r="K918" s="161"/>
      <c r="L918" s="161"/>
      <c r="M918" s="161"/>
      <c r="N918" s="161"/>
      <c r="O918" s="161"/>
      <c r="P918" s="161"/>
      <c r="Q918" s="161"/>
      <c r="R918" s="161"/>
      <c r="S918" s="161"/>
      <c r="T918" s="161"/>
      <c r="U918" s="161"/>
      <c r="V918" s="161"/>
      <c r="W918" s="161"/>
      <c r="X918" s="161"/>
      <c r="Y918" s="161"/>
      <c r="Z918" s="161"/>
    </row>
    <row r="919">
      <c r="A919" s="511"/>
      <c r="B919" s="18"/>
      <c r="C919" s="18"/>
      <c r="D919" s="161"/>
      <c r="E919" s="161"/>
      <c r="F919" s="511"/>
      <c r="G919" s="161"/>
      <c r="H919" s="161"/>
      <c r="I919" s="161"/>
      <c r="J919" s="161"/>
      <c r="K919" s="161"/>
      <c r="L919" s="161"/>
      <c r="M919" s="161"/>
      <c r="N919" s="161"/>
      <c r="O919" s="161"/>
      <c r="P919" s="161"/>
      <c r="Q919" s="161"/>
      <c r="R919" s="161"/>
      <c r="S919" s="161"/>
      <c r="T919" s="161"/>
      <c r="U919" s="161"/>
      <c r="V919" s="161"/>
      <c r="W919" s="161"/>
      <c r="X919" s="161"/>
      <c r="Y919" s="161"/>
      <c r="Z919" s="161"/>
    </row>
    <row r="920">
      <c r="A920" s="511"/>
      <c r="B920" s="18"/>
      <c r="C920" s="18"/>
      <c r="D920" s="161"/>
      <c r="E920" s="161"/>
      <c r="F920" s="511"/>
      <c r="G920" s="161"/>
      <c r="H920" s="161"/>
      <c r="I920" s="161"/>
      <c r="J920" s="161"/>
      <c r="K920" s="161"/>
      <c r="L920" s="161"/>
      <c r="M920" s="161"/>
      <c r="N920" s="161"/>
      <c r="O920" s="161"/>
      <c r="P920" s="161"/>
      <c r="Q920" s="161"/>
      <c r="R920" s="161"/>
      <c r="S920" s="161"/>
      <c r="T920" s="161"/>
      <c r="U920" s="161"/>
      <c r="V920" s="161"/>
      <c r="W920" s="161"/>
      <c r="X920" s="161"/>
      <c r="Y920" s="161"/>
      <c r="Z920" s="161"/>
    </row>
    <row r="921">
      <c r="A921" s="511"/>
      <c r="B921" s="18"/>
      <c r="C921" s="18"/>
      <c r="D921" s="161"/>
      <c r="E921" s="161"/>
      <c r="F921" s="511"/>
      <c r="G921" s="161"/>
      <c r="H921" s="161"/>
      <c r="I921" s="161"/>
      <c r="J921" s="161"/>
      <c r="K921" s="161"/>
      <c r="L921" s="161"/>
      <c r="M921" s="161"/>
      <c r="N921" s="161"/>
      <c r="O921" s="161"/>
      <c r="P921" s="161"/>
      <c r="Q921" s="161"/>
      <c r="R921" s="161"/>
      <c r="S921" s="161"/>
      <c r="T921" s="161"/>
      <c r="U921" s="161"/>
      <c r="V921" s="161"/>
      <c r="W921" s="161"/>
      <c r="X921" s="161"/>
      <c r="Y921" s="161"/>
      <c r="Z921" s="161"/>
    </row>
    <row r="922">
      <c r="A922" s="511"/>
      <c r="B922" s="18"/>
      <c r="C922" s="18"/>
      <c r="D922" s="161"/>
      <c r="E922" s="161"/>
      <c r="F922" s="511"/>
      <c r="G922" s="161"/>
      <c r="H922" s="161"/>
      <c r="I922" s="161"/>
      <c r="J922" s="161"/>
      <c r="K922" s="161"/>
      <c r="L922" s="161"/>
      <c r="M922" s="161"/>
      <c r="N922" s="161"/>
      <c r="O922" s="161"/>
      <c r="P922" s="161"/>
      <c r="Q922" s="161"/>
      <c r="R922" s="161"/>
      <c r="S922" s="161"/>
      <c r="T922" s="161"/>
      <c r="U922" s="161"/>
      <c r="V922" s="161"/>
      <c r="W922" s="161"/>
      <c r="X922" s="161"/>
      <c r="Y922" s="161"/>
      <c r="Z922" s="161"/>
    </row>
    <row r="923">
      <c r="A923" s="511"/>
      <c r="B923" s="18"/>
      <c r="C923" s="18"/>
      <c r="D923" s="161"/>
      <c r="E923" s="161"/>
      <c r="F923" s="511"/>
      <c r="G923" s="161"/>
      <c r="H923" s="161"/>
      <c r="I923" s="161"/>
      <c r="J923" s="161"/>
      <c r="K923" s="161"/>
      <c r="L923" s="161"/>
      <c r="M923" s="161"/>
      <c r="N923" s="161"/>
      <c r="O923" s="161"/>
      <c r="P923" s="161"/>
      <c r="Q923" s="161"/>
      <c r="R923" s="161"/>
      <c r="S923" s="161"/>
      <c r="T923" s="161"/>
      <c r="U923" s="161"/>
      <c r="V923" s="161"/>
      <c r="W923" s="161"/>
      <c r="X923" s="161"/>
      <c r="Y923" s="161"/>
      <c r="Z923" s="161"/>
    </row>
    <row r="924">
      <c r="A924" s="511"/>
      <c r="B924" s="18"/>
      <c r="C924" s="18"/>
      <c r="D924" s="161"/>
      <c r="E924" s="161"/>
      <c r="F924" s="511"/>
      <c r="G924" s="161"/>
      <c r="H924" s="161"/>
      <c r="I924" s="161"/>
      <c r="J924" s="161"/>
      <c r="K924" s="161"/>
      <c r="L924" s="161"/>
      <c r="M924" s="161"/>
      <c r="N924" s="161"/>
      <c r="O924" s="161"/>
      <c r="P924" s="161"/>
      <c r="Q924" s="161"/>
      <c r="R924" s="161"/>
      <c r="S924" s="161"/>
      <c r="T924" s="161"/>
      <c r="U924" s="161"/>
      <c r="V924" s="161"/>
      <c r="W924" s="161"/>
      <c r="X924" s="161"/>
      <c r="Y924" s="161"/>
      <c r="Z924" s="161"/>
    </row>
    <row r="925">
      <c r="A925" s="511"/>
      <c r="B925" s="18"/>
      <c r="C925" s="18"/>
      <c r="D925" s="161"/>
      <c r="E925" s="161"/>
      <c r="F925" s="511"/>
      <c r="G925" s="161"/>
      <c r="H925" s="161"/>
      <c r="I925" s="161"/>
      <c r="J925" s="161"/>
      <c r="K925" s="161"/>
      <c r="L925" s="161"/>
      <c r="M925" s="161"/>
      <c r="N925" s="161"/>
      <c r="O925" s="161"/>
      <c r="P925" s="161"/>
      <c r="Q925" s="161"/>
      <c r="R925" s="161"/>
      <c r="S925" s="161"/>
      <c r="T925" s="161"/>
      <c r="U925" s="161"/>
      <c r="V925" s="161"/>
      <c r="W925" s="161"/>
      <c r="X925" s="161"/>
      <c r="Y925" s="161"/>
      <c r="Z925" s="161"/>
    </row>
    <row r="926">
      <c r="A926" s="511"/>
      <c r="B926" s="18"/>
      <c r="C926" s="18"/>
      <c r="D926" s="161"/>
      <c r="E926" s="161"/>
      <c r="F926" s="511"/>
      <c r="G926" s="161"/>
      <c r="H926" s="161"/>
      <c r="I926" s="161"/>
      <c r="J926" s="161"/>
      <c r="K926" s="161"/>
      <c r="L926" s="161"/>
      <c r="M926" s="161"/>
      <c r="N926" s="161"/>
      <c r="O926" s="161"/>
      <c r="P926" s="161"/>
      <c r="Q926" s="161"/>
      <c r="R926" s="161"/>
      <c r="S926" s="161"/>
      <c r="T926" s="161"/>
      <c r="U926" s="161"/>
      <c r="V926" s="161"/>
      <c r="W926" s="161"/>
      <c r="X926" s="161"/>
      <c r="Y926" s="161"/>
      <c r="Z926" s="161"/>
    </row>
    <row r="927">
      <c r="A927" s="511"/>
      <c r="B927" s="18"/>
      <c r="C927" s="18"/>
      <c r="D927" s="161"/>
      <c r="E927" s="161"/>
      <c r="F927" s="511"/>
      <c r="G927" s="161"/>
      <c r="H927" s="161"/>
      <c r="I927" s="161"/>
      <c r="J927" s="161"/>
      <c r="K927" s="161"/>
      <c r="L927" s="161"/>
      <c r="M927" s="161"/>
      <c r="N927" s="161"/>
      <c r="O927" s="161"/>
      <c r="P927" s="161"/>
      <c r="Q927" s="161"/>
      <c r="R927" s="161"/>
      <c r="S927" s="161"/>
      <c r="T927" s="161"/>
      <c r="U927" s="161"/>
      <c r="V927" s="161"/>
      <c r="W927" s="161"/>
      <c r="X927" s="161"/>
      <c r="Y927" s="161"/>
      <c r="Z927" s="161"/>
    </row>
    <row r="928">
      <c r="A928" s="511"/>
      <c r="B928" s="18"/>
      <c r="C928" s="18"/>
      <c r="D928" s="161"/>
      <c r="E928" s="161"/>
      <c r="F928" s="511"/>
      <c r="G928" s="161"/>
      <c r="H928" s="161"/>
      <c r="I928" s="161"/>
      <c r="J928" s="161"/>
      <c r="K928" s="161"/>
      <c r="L928" s="161"/>
      <c r="M928" s="161"/>
      <c r="N928" s="161"/>
      <c r="O928" s="161"/>
      <c r="P928" s="161"/>
      <c r="Q928" s="161"/>
      <c r="R928" s="161"/>
      <c r="S928" s="161"/>
      <c r="T928" s="161"/>
      <c r="U928" s="161"/>
      <c r="V928" s="161"/>
      <c r="W928" s="161"/>
      <c r="X928" s="161"/>
      <c r="Y928" s="161"/>
      <c r="Z928" s="161"/>
    </row>
    <row r="929">
      <c r="A929" s="511"/>
      <c r="B929" s="18"/>
      <c r="C929" s="18"/>
      <c r="D929" s="161"/>
      <c r="E929" s="161"/>
      <c r="F929" s="511"/>
      <c r="G929" s="161"/>
      <c r="H929" s="161"/>
      <c r="I929" s="161"/>
      <c r="J929" s="161"/>
      <c r="K929" s="161"/>
      <c r="L929" s="161"/>
      <c r="M929" s="161"/>
      <c r="N929" s="161"/>
      <c r="O929" s="161"/>
      <c r="P929" s="161"/>
      <c r="Q929" s="161"/>
      <c r="R929" s="161"/>
      <c r="S929" s="161"/>
      <c r="T929" s="161"/>
      <c r="U929" s="161"/>
      <c r="V929" s="161"/>
      <c r="W929" s="161"/>
      <c r="X929" s="161"/>
      <c r="Y929" s="161"/>
      <c r="Z929" s="161"/>
    </row>
    <row r="930">
      <c r="A930" s="511"/>
      <c r="B930" s="18"/>
      <c r="C930" s="18"/>
      <c r="D930" s="161"/>
      <c r="E930" s="161"/>
      <c r="F930" s="511"/>
      <c r="G930" s="161"/>
      <c r="H930" s="161"/>
      <c r="I930" s="161"/>
      <c r="J930" s="161"/>
      <c r="K930" s="161"/>
      <c r="L930" s="161"/>
      <c r="M930" s="161"/>
      <c r="N930" s="161"/>
      <c r="O930" s="161"/>
      <c r="P930" s="161"/>
      <c r="Q930" s="161"/>
      <c r="R930" s="161"/>
      <c r="S930" s="161"/>
      <c r="T930" s="161"/>
      <c r="U930" s="161"/>
      <c r="V930" s="161"/>
      <c r="W930" s="161"/>
      <c r="X930" s="161"/>
      <c r="Y930" s="161"/>
      <c r="Z930" s="161"/>
    </row>
    <row r="931">
      <c r="A931" s="511"/>
      <c r="B931" s="18"/>
      <c r="C931" s="18"/>
      <c r="D931" s="161"/>
      <c r="E931" s="161"/>
      <c r="F931" s="511"/>
      <c r="G931" s="161"/>
      <c r="H931" s="161"/>
      <c r="I931" s="161"/>
      <c r="J931" s="161"/>
      <c r="K931" s="161"/>
      <c r="L931" s="161"/>
      <c r="M931" s="161"/>
      <c r="N931" s="161"/>
      <c r="O931" s="161"/>
      <c r="P931" s="161"/>
      <c r="Q931" s="161"/>
      <c r="R931" s="161"/>
      <c r="S931" s="161"/>
      <c r="T931" s="161"/>
      <c r="U931" s="161"/>
      <c r="V931" s="161"/>
      <c r="W931" s="161"/>
      <c r="X931" s="161"/>
      <c r="Y931" s="161"/>
      <c r="Z931" s="161"/>
    </row>
    <row r="932">
      <c r="A932" s="511"/>
      <c r="B932" s="18"/>
      <c r="C932" s="18"/>
      <c r="D932" s="161"/>
      <c r="E932" s="161"/>
      <c r="F932" s="511"/>
      <c r="G932" s="161"/>
      <c r="H932" s="161"/>
      <c r="I932" s="161"/>
      <c r="J932" s="161"/>
      <c r="K932" s="161"/>
      <c r="L932" s="161"/>
      <c r="M932" s="161"/>
      <c r="N932" s="161"/>
      <c r="O932" s="161"/>
      <c r="P932" s="161"/>
      <c r="Q932" s="161"/>
      <c r="R932" s="161"/>
      <c r="S932" s="161"/>
      <c r="T932" s="161"/>
      <c r="U932" s="161"/>
      <c r="V932" s="161"/>
      <c r="W932" s="161"/>
      <c r="X932" s="161"/>
      <c r="Y932" s="161"/>
      <c r="Z932" s="161"/>
    </row>
    <row r="933">
      <c r="A933" s="511"/>
      <c r="B933" s="18"/>
      <c r="C933" s="18"/>
      <c r="D933" s="161"/>
      <c r="E933" s="161"/>
      <c r="F933" s="511"/>
      <c r="G933" s="161"/>
      <c r="H933" s="161"/>
      <c r="I933" s="161"/>
      <c r="J933" s="161"/>
      <c r="K933" s="161"/>
      <c r="L933" s="161"/>
      <c r="M933" s="161"/>
      <c r="N933" s="161"/>
      <c r="O933" s="161"/>
      <c r="P933" s="161"/>
      <c r="Q933" s="161"/>
      <c r="R933" s="161"/>
      <c r="S933" s="161"/>
      <c r="T933" s="161"/>
      <c r="U933" s="161"/>
      <c r="V933" s="161"/>
      <c r="W933" s="161"/>
      <c r="X933" s="161"/>
      <c r="Y933" s="161"/>
      <c r="Z933" s="161"/>
    </row>
    <row r="934">
      <c r="A934" s="511"/>
      <c r="B934" s="18"/>
      <c r="C934" s="18"/>
      <c r="D934" s="161"/>
      <c r="E934" s="161"/>
      <c r="F934" s="511"/>
      <c r="G934" s="161"/>
      <c r="H934" s="161"/>
      <c r="I934" s="161"/>
      <c r="J934" s="161"/>
      <c r="K934" s="161"/>
      <c r="L934" s="161"/>
      <c r="M934" s="161"/>
      <c r="N934" s="161"/>
      <c r="O934" s="161"/>
      <c r="P934" s="161"/>
      <c r="Q934" s="161"/>
      <c r="R934" s="161"/>
      <c r="S934" s="161"/>
      <c r="T934" s="161"/>
      <c r="U934" s="161"/>
      <c r="V934" s="161"/>
      <c r="W934" s="161"/>
      <c r="X934" s="161"/>
      <c r="Y934" s="161"/>
      <c r="Z934" s="161"/>
    </row>
    <row r="935">
      <c r="A935" s="511"/>
      <c r="B935" s="18"/>
      <c r="C935" s="18"/>
      <c r="D935" s="161"/>
      <c r="E935" s="161"/>
      <c r="F935" s="511"/>
      <c r="G935" s="161"/>
      <c r="H935" s="161"/>
      <c r="I935" s="161"/>
      <c r="J935" s="161"/>
      <c r="K935" s="161"/>
      <c r="L935" s="161"/>
      <c r="M935" s="161"/>
      <c r="N935" s="161"/>
      <c r="O935" s="161"/>
      <c r="P935" s="161"/>
      <c r="Q935" s="161"/>
      <c r="R935" s="161"/>
      <c r="S935" s="161"/>
      <c r="T935" s="161"/>
      <c r="U935" s="161"/>
      <c r="V935" s="161"/>
      <c r="W935" s="161"/>
      <c r="X935" s="161"/>
      <c r="Y935" s="161"/>
      <c r="Z935" s="161"/>
    </row>
    <row r="936">
      <c r="A936" s="511"/>
      <c r="B936" s="18"/>
      <c r="C936" s="18"/>
      <c r="D936" s="161"/>
      <c r="E936" s="161"/>
      <c r="F936" s="511"/>
      <c r="G936" s="161"/>
      <c r="H936" s="161"/>
      <c r="I936" s="161"/>
      <c r="J936" s="161"/>
      <c r="K936" s="161"/>
      <c r="L936" s="161"/>
      <c r="M936" s="161"/>
      <c r="N936" s="161"/>
      <c r="O936" s="161"/>
      <c r="P936" s="161"/>
      <c r="Q936" s="161"/>
      <c r="R936" s="161"/>
      <c r="S936" s="161"/>
      <c r="T936" s="161"/>
      <c r="U936" s="161"/>
      <c r="V936" s="161"/>
      <c r="W936" s="161"/>
      <c r="X936" s="161"/>
      <c r="Y936" s="161"/>
      <c r="Z936" s="161"/>
    </row>
    <row r="937">
      <c r="A937" s="511"/>
      <c r="B937" s="18"/>
      <c r="C937" s="18"/>
      <c r="D937" s="161"/>
      <c r="E937" s="161"/>
      <c r="F937" s="511"/>
      <c r="G937" s="161"/>
      <c r="H937" s="161"/>
      <c r="I937" s="161"/>
      <c r="J937" s="161"/>
      <c r="K937" s="161"/>
      <c r="L937" s="161"/>
      <c r="M937" s="161"/>
      <c r="N937" s="161"/>
      <c r="O937" s="161"/>
      <c r="P937" s="161"/>
      <c r="Q937" s="161"/>
      <c r="R937" s="161"/>
      <c r="S937" s="161"/>
      <c r="T937" s="161"/>
      <c r="U937" s="161"/>
      <c r="V937" s="161"/>
      <c r="W937" s="161"/>
      <c r="X937" s="161"/>
      <c r="Y937" s="161"/>
      <c r="Z937" s="161"/>
    </row>
    <row r="938">
      <c r="A938" s="511"/>
      <c r="B938" s="18"/>
      <c r="C938" s="18"/>
      <c r="D938" s="161"/>
      <c r="E938" s="161"/>
      <c r="F938" s="511"/>
      <c r="G938" s="161"/>
      <c r="H938" s="161"/>
      <c r="I938" s="161"/>
      <c r="J938" s="161"/>
      <c r="K938" s="161"/>
      <c r="L938" s="161"/>
      <c r="M938" s="161"/>
      <c r="N938" s="161"/>
      <c r="O938" s="161"/>
      <c r="P938" s="161"/>
      <c r="Q938" s="161"/>
      <c r="R938" s="161"/>
      <c r="S938" s="161"/>
      <c r="T938" s="161"/>
      <c r="U938" s="161"/>
      <c r="V938" s="161"/>
      <c r="W938" s="161"/>
      <c r="X938" s="161"/>
      <c r="Y938" s="161"/>
      <c r="Z938" s="161"/>
    </row>
    <row r="939">
      <c r="A939" s="511"/>
      <c r="B939" s="18"/>
      <c r="C939" s="18"/>
      <c r="D939" s="161"/>
      <c r="E939" s="161"/>
      <c r="F939" s="511"/>
      <c r="G939" s="161"/>
      <c r="H939" s="161"/>
      <c r="I939" s="161"/>
      <c r="J939" s="161"/>
      <c r="K939" s="161"/>
      <c r="L939" s="161"/>
      <c r="M939" s="161"/>
      <c r="N939" s="161"/>
      <c r="O939" s="161"/>
      <c r="P939" s="161"/>
      <c r="Q939" s="161"/>
      <c r="R939" s="161"/>
      <c r="S939" s="161"/>
      <c r="T939" s="161"/>
      <c r="U939" s="161"/>
      <c r="V939" s="161"/>
      <c r="W939" s="161"/>
      <c r="X939" s="161"/>
      <c r="Y939" s="161"/>
      <c r="Z939" s="161"/>
    </row>
    <row r="940">
      <c r="A940" s="511"/>
      <c r="B940" s="18"/>
      <c r="C940" s="18"/>
      <c r="D940" s="161"/>
      <c r="E940" s="161"/>
      <c r="F940" s="511"/>
      <c r="G940" s="161"/>
      <c r="H940" s="161"/>
      <c r="I940" s="161"/>
      <c r="J940" s="161"/>
      <c r="K940" s="161"/>
      <c r="L940" s="161"/>
      <c r="M940" s="161"/>
      <c r="N940" s="161"/>
      <c r="O940" s="161"/>
      <c r="P940" s="161"/>
      <c r="Q940" s="161"/>
      <c r="R940" s="161"/>
      <c r="S940" s="161"/>
      <c r="T940" s="161"/>
      <c r="U940" s="161"/>
      <c r="V940" s="161"/>
      <c r="W940" s="161"/>
      <c r="X940" s="161"/>
      <c r="Y940" s="161"/>
      <c r="Z940" s="161"/>
    </row>
    <row r="941">
      <c r="A941" s="511"/>
      <c r="B941" s="18"/>
      <c r="C941" s="18"/>
      <c r="D941" s="161"/>
      <c r="E941" s="161"/>
      <c r="F941" s="511"/>
      <c r="G941" s="161"/>
      <c r="H941" s="161"/>
      <c r="I941" s="161"/>
      <c r="J941" s="161"/>
      <c r="K941" s="161"/>
      <c r="L941" s="161"/>
      <c r="M941" s="161"/>
      <c r="N941" s="161"/>
      <c r="O941" s="161"/>
      <c r="P941" s="161"/>
      <c r="Q941" s="161"/>
      <c r="R941" s="161"/>
      <c r="S941" s="161"/>
      <c r="T941" s="161"/>
      <c r="U941" s="161"/>
      <c r="V941" s="161"/>
      <c r="W941" s="161"/>
      <c r="X941" s="161"/>
      <c r="Y941" s="161"/>
      <c r="Z941" s="161"/>
    </row>
    <row r="942">
      <c r="A942" s="511"/>
      <c r="B942" s="18"/>
      <c r="C942" s="18"/>
      <c r="D942" s="161"/>
      <c r="E942" s="161"/>
      <c r="F942" s="511"/>
      <c r="G942" s="161"/>
      <c r="H942" s="161"/>
      <c r="I942" s="161"/>
      <c r="J942" s="161"/>
      <c r="K942" s="161"/>
      <c r="L942" s="161"/>
      <c r="M942" s="161"/>
      <c r="N942" s="161"/>
      <c r="O942" s="161"/>
      <c r="P942" s="161"/>
      <c r="Q942" s="161"/>
      <c r="R942" s="161"/>
      <c r="S942" s="161"/>
      <c r="T942" s="161"/>
      <c r="U942" s="161"/>
      <c r="V942" s="161"/>
      <c r="W942" s="161"/>
      <c r="X942" s="161"/>
      <c r="Y942" s="161"/>
      <c r="Z942" s="161"/>
    </row>
    <row r="943">
      <c r="A943" s="511"/>
      <c r="B943" s="18"/>
      <c r="C943" s="18"/>
      <c r="D943" s="161"/>
      <c r="E943" s="161"/>
      <c r="F943" s="511"/>
      <c r="G943" s="161"/>
      <c r="H943" s="161"/>
      <c r="I943" s="161"/>
      <c r="J943" s="161"/>
      <c r="K943" s="161"/>
      <c r="L943" s="161"/>
      <c r="M943" s="161"/>
      <c r="N943" s="161"/>
      <c r="O943" s="161"/>
      <c r="P943" s="161"/>
      <c r="Q943" s="161"/>
      <c r="R943" s="161"/>
      <c r="S943" s="161"/>
      <c r="T943" s="161"/>
      <c r="U943" s="161"/>
      <c r="V943" s="161"/>
      <c r="W943" s="161"/>
      <c r="X943" s="161"/>
      <c r="Y943" s="161"/>
      <c r="Z943" s="161"/>
    </row>
    <row r="944">
      <c r="A944" s="511"/>
      <c r="B944" s="18"/>
      <c r="C944" s="18"/>
      <c r="D944" s="161"/>
      <c r="E944" s="161"/>
      <c r="F944" s="511"/>
      <c r="G944" s="161"/>
      <c r="H944" s="161"/>
      <c r="I944" s="161"/>
      <c r="J944" s="161"/>
      <c r="K944" s="161"/>
      <c r="L944" s="161"/>
      <c r="M944" s="161"/>
      <c r="N944" s="161"/>
      <c r="O944" s="161"/>
      <c r="P944" s="161"/>
      <c r="Q944" s="161"/>
      <c r="R944" s="161"/>
      <c r="S944" s="161"/>
      <c r="T944" s="161"/>
      <c r="U944" s="161"/>
      <c r="V944" s="161"/>
      <c r="W944" s="161"/>
      <c r="X944" s="161"/>
      <c r="Y944" s="161"/>
      <c r="Z944" s="161"/>
    </row>
    <row r="945">
      <c r="A945" s="511"/>
      <c r="B945" s="18"/>
      <c r="C945" s="18"/>
      <c r="D945" s="161"/>
      <c r="E945" s="161"/>
      <c r="F945" s="511"/>
      <c r="G945" s="161"/>
      <c r="H945" s="161"/>
      <c r="I945" s="161"/>
      <c r="J945" s="161"/>
      <c r="K945" s="161"/>
      <c r="L945" s="161"/>
      <c r="M945" s="161"/>
      <c r="N945" s="161"/>
      <c r="O945" s="161"/>
      <c r="P945" s="161"/>
      <c r="Q945" s="161"/>
      <c r="R945" s="161"/>
      <c r="S945" s="161"/>
      <c r="T945" s="161"/>
      <c r="U945" s="161"/>
      <c r="V945" s="161"/>
      <c r="W945" s="161"/>
      <c r="X945" s="161"/>
      <c r="Y945" s="161"/>
      <c r="Z945" s="161"/>
    </row>
    <row r="946">
      <c r="A946" s="511"/>
      <c r="B946" s="18"/>
      <c r="C946" s="18"/>
      <c r="D946" s="161"/>
      <c r="E946" s="161"/>
      <c r="F946" s="511"/>
      <c r="G946" s="161"/>
      <c r="H946" s="161"/>
      <c r="I946" s="161"/>
      <c r="J946" s="161"/>
      <c r="K946" s="161"/>
      <c r="L946" s="161"/>
      <c r="M946" s="161"/>
      <c r="N946" s="161"/>
      <c r="O946" s="161"/>
      <c r="P946" s="161"/>
      <c r="Q946" s="161"/>
      <c r="R946" s="161"/>
      <c r="S946" s="161"/>
      <c r="T946" s="161"/>
      <c r="U946" s="161"/>
      <c r="V946" s="161"/>
      <c r="W946" s="161"/>
      <c r="X946" s="161"/>
      <c r="Y946" s="161"/>
      <c r="Z946" s="161"/>
    </row>
    <row r="947">
      <c r="A947" s="511"/>
      <c r="B947" s="18"/>
      <c r="C947" s="18"/>
      <c r="D947" s="161"/>
      <c r="E947" s="161"/>
      <c r="F947" s="511"/>
      <c r="G947" s="161"/>
      <c r="H947" s="161"/>
      <c r="I947" s="161"/>
      <c r="J947" s="161"/>
      <c r="K947" s="161"/>
      <c r="L947" s="161"/>
      <c r="M947" s="161"/>
      <c r="N947" s="161"/>
      <c r="O947" s="161"/>
      <c r="P947" s="161"/>
      <c r="Q947" s="161"/>
      <c r="R947" s="161"/>
      <c r="S947" s="161"/>
      <c r="T947" s="161"/>
      <c r="U947" s="161"/>
      <c r="V947" s="161"/>
      <c r="W947" s="161"/>
      <c r="X947" s="161"/>
      <c r="Y947" s="161"/>
      <c r="Z947" s="161"/>
    </row>
    <row r="948">
      <c r="A948" s="511"/>
      <c r="B948" s="18"/>
      <c r="C948" s="18"/>
      <c r="D948" s="161"/>
      <c r="E948" s="161"/>
      <c r="F948" s="511"/>
      <c r="G948" s="161"/>
      <c r="H948" s="161"/>
      <c r="I948" s="161"/>
      <c r="J948" s="161"/>
      <c r="K948" s="161"/>
      <c r="L948" s="161"/>
      <c r="M948" s="161"/>
      <c r="N948" s="161"/>
      <c r="O948" s="161"/>
      <c r="P948" s="161"/>
      <c r="Q948" s="161"/>
      <c r="R948" s="161"/>
      <c r="S948" s="161"/>
      <c r="T948" s="161"/>
      <c r="U948" s="161"/>
      <c r="V948" s="161"/>
      <c r="W948" s="161"/>
      <c r="X948" s="161"/>
      <c r="Y948" s="161"/>
      <c r="Z948" s="161"/>
    </row>
    <row r="949">
      <c r="A949" s="511"/>
      <c r="B949" s="18"/>
      <c r="C949" s="18"/>
      <c r="D949" s="161"/>
      <c r="E949" s="161"/>
      <c r="F949" s="511"/>
      <c r="G949" s="161"/>
      <c r="H949" s="161"/>
      <c r="I949" s="161"/>
      <c r="J949" s="161"/>
      <c r="K949" s="161"/>
      <c r="L949" s="161"/>
      <c r="M949" s="161"/>
      <c r="N949" s="161"/>
      <c r="O949" s="161"/>
      <c r="P949" s="161"/>
      <c r="Q949" s="161"/>
      <c r="R949" s="161"/>
      <c r="S949" s="161"/>
      <c r="T949" s="161"/>
      <c r="U949" s="161"/>
      <c r="V949" s="161"/>
      <c r="W949" s="161"/>
      <c r="X949" s="161"/>
      <c r="Y949" s="161"/>
      <c r="Z949" s="161"/>
    </row>
    <row r="950">
      <c r="A950" s="511"/>
      <c r="B950" s="18"/>
      <c r="C950" s="18"/>
      <c r="D950" s="161"/>
      <c r="E950" s="161"/>
      <c r="F950" s="511"/>
      <c r="G950" s="161"/>
      <c r="H950" s="161"/>
      <c r="I950" s="161"/>
      <c r="J950" s="161"/>
      <c r="K950" s="161"/>
      <c r="L950" s="161"/>
      <c r="M950" s="161"/>
      <c r="N950" s="161"/>
      <c r="O950" s="161"/>
      <c r="P950" s="161"/>
      <c r="Q950" s="161"/>
      <c r="R950" s="161"/>
      <c r="S950" s="161"/>
      <c r="T950" s="161"/>
      <c r="U950" s="161"/>
      <c r="V950" s="161"/>
      <c r="W950" s="161"/>
      <c r="X950" s="161"/>
      <c r="Y950" s="161"/>
      <c r="Z950" s="161"/>
    </row>
    <row r="951">
      <c r="A951" s="511"/>
      <c r="B951" s="18"/>
      <c r="C951" s="18"/>
      <c r="D951" s="161"/>
      <c r="E951" s="161"/>
      <c r="F951" s="511"/>
      <c r="G951" s="161"/>
      <c r="H951" s="161"/>
      <c r="I951" s="161"/>
      <c r="J951" s="161"/>
      <c r="K951" s="161"/>
      <c r="L951" s="161"/>
      <c r="M951" s="161"/>
      <c r="N951" s="161"/>
      <c r="O951" s="161"/>
      <c r="P951" s="161"/>
      <c r="Q951" s="161"/>
      <c r="R951" s="161"/>
      <c r="S951" s="161"/>
      <c r="T951" s="161"/>
      <c r="U951" s="161"/>
      <c r="V951" s="161"/>
      <c r="W951" s="161"/>
      <c r="X951" s="161"/>
      <c r="Y951" s="161"/>
      <c r="Z951" s="161"/>
    </row>
    <row r="952">
      <c r="A952" s="511"/>
      <c r="B952" s="18"/>
      <c r="C952" s="18"/>
      <c r="D952" s="161"/>
      <c r="E952" s="161"/>
      <c r="F952" s="511"/>
      <c r="G952" s="161"/>
      <c r="H952" s="161"/>
      <c r="I952" s="161"/>
      <c r="J952" s="161"/>
      <c r="K952" s="161"/>
      <c r="L952" s="161"/>
      <c r="M952" s="161"/>
      <c r="N952" s="161"/>
      <c r="O952" s="161"/>
      <c r="P952" s="161"/>
      <c r="Q952" s="161"/>
      <c r="R952" s="161"/>
      <c r="S952" s="161"/>
      <c r="T952" s="161"/>
      <c r="U952" s="161"/>
      <c r="V952" s="161"/>
      <c r="W952" s="161"/>
      <c r="X952" s="161"/>
      <c r="Y952" s="161"/>
      <c r="Z952" s="161"/>
    </row>
    <row r="953">
      <c r="A953" s="511"/>
      <c r="B953" s="18"/>
      <c r="C953" s="18"/>
      <c r="D953" s="161"/>
      <c r="E953" s="161"/>
      <c r="F953" s="511"/>
      <c r="G953" s="161"/>
      <c r="H953" s="161"/>
      <c r="I953" s="161"/>
      <c r="J953" s="161"/>
      <c r="K953" s="161"/>
      <c r="L953" s="161"/>
      <c r="M953" s="161"/>
      <c r="N953" s="161"/>
      <c r="O953" s="161"/>
      <c r="P953" s="161"/>
      <c r="Q953" s="161"/>
      <c r="R953" s="161"/>
      <c r="S953" s="161"/>
      <c r="T953" s="161"/>
      <c r="U953" s="161"/>
      <c r="V953" s="161"/>
      <c r="W953" s="161"/>
      <c r="X953" s="161"/>
      <c r="Y953" s="161"/>
      <c r="Z953" s="161"/>
    </row>
    <row r="954">
      <c r="A954" s="511"/>
      <c r="B954" s="18"/>
      <c r="C954" s="18"/>
      <c r="D954" s="161"/>
      <c r="E954" s="161"/>
      <c r="F954" s="511"/>
      <c r="G954" s="161"/>
      <c r="H954" s="161"/>
      <c r="I954" s="161"/>
      <c r="J954" s="161"/>
      <c r="K954" s="161"/>
      <c r="L954" s="161"/>
      <c r="M954" s="161"/>
      <c r="N954" s="161"/>
      <c r="O954" s="161"/>
      <c r="P954" s="161"/>
      <c r="Q954" s="161"/>
      <c r="R954" s="161"/>
      <c r="S954" s="161"/>
      <c r="T954" s="161"/>
      <c r="U954" s="161"/>
      <c r="V954" s="161"/>
      <c r="W954" s="161"/>
      <c r="X954" s="161"/>
      <c r="Y954" s="161"/>
      <c r="Z954" s="161"/>
    </row>
    <row r="955">
      <c r="A955" s="511"/>
      <c r="B955" s="18"/>
      <c r="C955" s="18"/>
      <c r="D955" s="161"/>
      <c r="E955" s="161"/>
      <c r="F955" s="511"/>
      <c r="G955" s="161"/>
      <c r="H955" s="161"/>
      <c r="I955" s="161"/>
      <c r="J955" s="161"/>
      <c r="K955" s="161"/>
      <c r="L955" s="161"/>
      <c r="M955" s="161"/>
      <c r="N955" s="161"/>
      <c r="O955" s="161"/>
      <c r="P955" s="161"/>
      <c r="Q955" s="161"/>
      <c r="R955" s="161"/>
      <c r="S955" s="161"/>
      <c r="T955" s="161"/>
      <c r="U955" s="161"/>
      <c r="V955" s="161"/>
      <c r="W955" s="161"/>
      <c r="X955" s="161"/>
      <c r="Y955" s="161"/>
      <c r="Z955" s="161"/>
    </row>
    <row r="956">
      <c r="A956" s="511"/>
      <c r="B956" s="18"/>
      <c r="C956" s="18"/>
      <c r="D956" s="161"/>
      <c r="E956" s="161"/>
      <c r="F956" s="511"/>
      <c r="G956" s="161"/>
      <c r="H956" s="161"/>
      <c r="I956" s="161"/>
      <c r="J956" s="161"/>
      <c r="K956" s="161"/>
      <c r="L956" s="161"/>
      <c r="M956" s="161"/>
      <c r="N956" s="161"/>
      <c r="O956" s="161"/>
      <c r="P956" s="161"/>
      <c r="Q956" s="161"/>
      <c r="R956" s="161"/>
      <c r="S956" s="161"/>
      <c r="T956" s="161"/>
      <c r="U956" s="161"/>
      <c r="V956" s="161"/>
      <c r="W956" s="161"/>
      <c r="X956" s="161"/>
      <c r="Y956" s="161"/>
      <c r="Z956" s="161"/>
    </row>
    <row r="957">
      <c r="A957" s="511"/>
      <c r="B957" s="18"/>
      <c r="C957" s="18"/>
      <c r="D957" s="161"/>
      <c r="E957" s="161"/>
      <c r="F957" s="511"/>
      <c r="G957" s="161"/>
      <c r="H957" s="161"/>
      <c r="I957" s="161"/>
      <c r="J957" s="161"/>
      <c r="K957" s="161"/>
      <c r="L957" s="161"/>
      <c r="M957" s="161"/>
      <c r="N957" s="161"/>
      <c r="O957" s="161"/>
      <c r="P957" s="161"/>
      <c r="Q957" s="161"/>
      <c r="R957" s="161"/>
      <c r="S957" s="161"/>
      <c r="T957" s="161"/>
      <c r="U957" s="161"/>
      <c r="V957" s="161"/>
      <c r="W957" s="161"/>
      <c r="X957" s="161"/>
      <c r="Y957" s="161"/>
      <c r="Z957" s="161"/>
    </row>
    <row r="958">
      <c r="A958" s="511"/>
      <c r="B958" s="18"/>
      <c r="C958" s="18"/>
      <c r="D958" s="161"/>
      <c r="E958" s="161"/>
      <c r="F958" s="511"/>
      <c r="G958" s="161"/>
      <c r="H958" s="161"/>
      <c r="I958" s="161"/>
      <c r="J958" s="161"/>
      <c r="K958" s="161"/>
      <c r="L958" s="161"/>
      <c r="M958" s="161"/>
      <c r="N958" s="161"/>
      <c r="O958" s="161"/>
      <c r="P958" s="161"/>
      <c r="Q958" s="161"/>
      <c r="R958" s="161"/>
      <c r="S958" s="161"/>
      <c r="T958" s="161"/>
      <c r="U958" s="161"/>
      <c r="V958" s="161"/>
      <c r="W958" s="161"/>
      <c r="X958" s="161"/>
      <c r="Y958" s="161"/>
      <c r="Z958" s="161"/>
    </row>
    <row r="959">
      <c r="A959" s="511"/>
      <c r="B959" s="18"/>
      <c r="C959" s="18"/>
      <c r="D959" s="161"/>
      <c r="E959" s="161"/>
      <c r="F959" s="511"/>
      <c r="G959" s="161"/>
      <c r="H959" s="161"/>
      <c r="I959" s="161"/>
      <c r="J959" s="161"/>
      <c r="K959" s="161"/>
      <c r="L959" s="161"/>
      <c r="M959" s="161"/>
      <c r="N959" s="161"/>
      <c r="O959" s="161"/>
      <c r="P959" s="161"/>
      <c r="Q959" s="161"/>
      <c r="R959" s="161"/>
      <c r="S959" s="161"/>
      <c r="T959" s="161"/>
      <c r="U959" s="161"/>
      <c r="V959" s="161"/>
      <c r="W959" s="161"/>
      <c r="X959" s="161"/>
      <c r="Y959" s="161"/>
      <c r="Z959" s="161"/>
    </row>
    <row r="960">
      <c r="A960" s="511"/>
      <c r="B960" s="18"/>
      <c r="C960" s="18"/>
      <c r="D960" s="161"/>
      <c r="E960" s="161"/>
      <c r="F960" s="511"/>
      <c r="G960" s="161"/>
      <c r="H960" s="161"/>
      <c r="I960" s="161"/>
      <c r="J960" s="161"/>
      <c r="K960" s="161"/>
      <c r="L960" s="161"/>
      <c r="M960" s="161"/>
      <c r="N960" s="161"/>
      <c r="O960" s="161"/>
      <c r="P960" s="161"/>
      <c r="Q960" s="161"/>
      <c r="R960" s="161"/>
      <c r="S960" s="161"/>
      <c r="T960" s="161"/>
      <c r="U960" s="161"/>
      <c r="V960" s="161"/>
      <c r="W960" s="161"/>
      <c r="X960" s="161"/>
      <c r="Y960" s="161"/>
      <c r="Z960" s="161"/>
    </row>
    <row r="961">
      <c r="A961" s="511"/>
      <c r="B961" s="18"/>
      <c r="C961" s="18"/>
      <c r="D961" s="161"/>
      <c r="E961" s="161"/>
      <c r="F961" s="511"/>
      <c r="G961" s="161"/>
      <c r="H961" s="161"/>
      <c r="I961" s="161"/>
      <c r="J961" s="161"/>
      <c r="K961" s="161"/>
      <c r="L961" s="161"/>
      <c r="M961" s="161"/>
      <c r="N961" s="161"/>
      <c r="O961" s="161"/>
      <c r="P961" s="161"/>
      <c r="Q961" s="161"/>
      <c r="R961" s="161"/>
      <c r="S961" s="161"/>
      <c r="T961" s="161"/>
      <c r="U961" s="161"/>
      <c r="V961" s="161"/>
      <c r="W961" s="161"/>
      <c r="X961" s="161"/>
      <c r="Y961" s="161"/>
      <c r="Z961" s="161"/>
    </row>
    <row r="962">
      <c r="A962" s="511"/>
      <c r="B962" s="18"/>
      <c r="C962" s="18"/>
      <c r="D962" s="161"/>
      <c r="E962" s="161"/>
      <c r="F962" s="511"/>
      <c r="G962" s="161"/>
      <c r="H962" s="161"/>
      <c r="I962" s="161"/>
      <c r="J962" s="161"/>
      <c r="K962" s="161"/>
      <c r="L962" s="161"/>
      <c r="M962" s="161"/>
      <c r="N962" s="161"/>
      <c r="O962" s="161"/>
      <c r="P962" s="161"/>
      <c r="Q962" s="161"/>
      <c r="R962" s="161"/>
      <c r="S962" s="161"/>
      <c r="T962" s="161"/>
      <c r="U962" s="161"/>
      <c r="V962" s="161"/>
      <c r="W962" s="161"/>
      <c r="X962" s="161"/>
      <c r="Y962" s="161"/>
      <c r="Z962" s="161"/>
    </row>
    <row r="963">
      <c r="A963" s="511"/>
      <c r="B963" s="18"/>
      <c r="C963" s="18"/>
      <c r="D963" s="161"/>
      <c r="E963" s="161"/>
      <c r="F963" s="511"/>
      <c r="G963" s="161"/>
      <c r="H963" s="161"/>
      <c r="I963" s="161"/>
      <c r="J963" s="161"/>
      <c r="K963" s="161"/>
      <c r="L963" s="161"/>
      <c r="M963" s="161"/>
      <c r="N963" s="161"/>
      <c r="O963" s="161"/>
      <c r="P963" s="161"/>
      <c r="Q963" s="161"/>
      <c r="R963" s="161"/>
      <c r="S963" s="161"/>
      <c r="T963" s="161"/>
      <c r="U963" s="161"/>
      <c r="V963" s="161"/>
      <c r="W963" s="161"/>
      <c r="X963" s="161"/>
      <c r="Y963" s="161"/>
      <c r="Z963" s="161"/>
    </row>
    <row r="964">
      <c r="A964" s="511"/>
      <c r="B964" s="18"/>
      <c r="C964" s="18"/>
      <c r="D964" s="161"/>
      <c r="E964" s="161"/>
      <c r="F964" s="511"/>
      <c r="G964" s="161"/>
      <c r="H964" s="161"/>
      <c r="I964" s="161"/>
      <c r="J964" s="161"/>
      <c r="K964" s="161"/>
      <c r="L964" s="161"/>
      <c r="M964" s="161"/>
      <c r="N964" s="161"/>
      <c r="O964" s="161"/>
      <c r="P964" s="161"/>
      <c r="Q964" s="161"/>
      <c r="R964" s="161"/>
      <c r="S964" s="161"/>
      <c r="T964" s="161"/>
      <c r="U964" s="161"/>
      <c r="V964" s="161"/>
      <c r="W964" s="161"/>
      <c r="X964" s="161"/>
      <c r="Y964" s="161"/>
      <c r="Z964" s="161"/>
    </row>
    <row r="965">
      <c r="A965" s="511"/>
      <c r="B965" s="18"/>
      <c r="C965" s="18"/>
      <c r="D965" s="161"/>
      <c r="E965" s="161"/>
      <c r="F965" s="511"/>
      <c r="G965" s="161"/>
      <c r="H965" s="161"/>
      <c r="I965" s="161"/>
      <c r="J965" s="161"/>
      <c r="K965" s="161"/>
      <c r="L965" s="161"/>
      <c r="M965" s="161"/>
      <c r="N965" s="161"/>
      <c r="O965" s="161"/>
      <c r="P965" s="161"/>
      <c r="Q965" s="161"/>
      <c r="R965" s="161"/>
      <c r="S965" s="161"/>
      <c r="T965" s="161"/>
      <c r="U965" s="161"/>
      <c r="V965" s="161"/>
      <c r="W965" s="161"/>
      <c r="X965" s="161"/>
      <c r="Y965" s="161"/>
      <c r="Z965" s="161"/>
    </row>
    <row r="966">
      <c r="A966" s="511"/>
      <c r="B966" s="18"/>
      <c r="C966" s="18"/>
      <c r="D966" s="161"/>
      <c r="E966" s="161"/>
      <c r="F966" s="511"/>
      <c r="G966" s="161"/>
      <c r="H966" s="161"/>
      <c r="I966" s="161"/>
      <c r="J966" s="161"/>
      <c r="K966" s="161"/>
      <c r="L966" s="161"/>
      <c r="M966" s="161"/>
      <c r="N966" s="161"/>
      <c r="O966" s="161"/>
      <c r="P966" s="161"/>
      <c r="Q966" s="161"/>
      <c r="R966" s="161"/>
      <c r="S966" s="161"/>
      <c r="T966" s="161"/>
      <c r="U966" s="161"/>
      <c r="V966" s="161"/>
      <c r="W966" s="161"/>
      <c r="X966" s="161"/>
      <c r="Y966" s="161"/>
      <c r="Z966" s="161"/>
    </row>
    <row r="967">
      <c r="A967" s="511"/>
      <c r="B967" s="18"/>
      <c r="C967" s="18"/>
      <c r="D967" s="161"/>
      <c r="E967" s="161"/>
      <c r="F967" s="511"/>
      <c r="G967" s="161"/>
      <c r="H967" s="161"/>
      <c r="I967" s="161"/>
      <c r="J967" s="161"/>
      <c r="K967" s="161"/>
      <c r="L967" s="161"/>
      <c r="M967" s="161"/>
      <c r="N967" s="161"/>
      <c r="O967" s="161"/>
      <c r="P967" s="161"/>
      <c r="Q967" s="161"/>
      <c r="R967" s="161"/>
      <c r="S967" s="161"/>
      <c r="T967" s="161"/>
      <c r="U967" s="161"/>
      <c r="V967" s="161"/>
      <c r="W967" s="161"/>
      <c r="X967" s="161"/>
      <c r="Y967" s="161"/>
      <c r="Z967" s="161"/>
    </row>
    <row r="968">
      <c r="A968" s="511"/>
      <c r="B968" s="18"/>
      <c r="C968" s="18"/>
      <c r="D968" s="161"/>
      <c r="E968" s="161"/>
      <c r="F968" s="511"/>
      <c r="G968" s="161"/>
      <c r="H968" s="161"/>
      <c r="I968" s="161"/>
      <c r="J968" s="161"/>
      <c r="K968" s="161"/>
      <c r="L968" s="161"/>
      <c r="M968" s="161"/>
      <c r="N968" s="161"/>
      <c r="O968" s="161"/>
      <c r="P968" s="161"/>
      <c r="Q968" s="161"/>
      <c r="R968" s="161"/>
      <c r="S968" s="161"/>
      <c r="T968" s="161"/>
      <c r="U968" s="161"/>
      <c r="V968" s="161"/>
      <c r="W968" s="161"/>
      <c r="X968" s="161"/>
      <c r="Y968" s="161"/>
      <c r="Z968" s="161"/>
    </row>
    <row r="969">
      <c r="A969" s="511"/>
      <c r="B969" s="18"/>
      <c r="C969" s="18"/>
      <c r="D969" s="161"/>
      <c r="E969" s="161"/>
      <c r="F969" s="511"/>
      <c r="G969" s="161"/>
      <c r="H969" s="161"/>
      <c r="I969" s="161"/>
      <c r="J969" s="161"/>
      <c r="K969" s="161"/>
      <c r="L969" s="161"/>
      <c r="M969" s="161"/>
      <c r="N969" s="161"/>
      <c r="O969" s="161"/>
      <c r="P969" s="161"/>
      <c r="Q969" s="161"/>
      <c r="R969" s="161"/>
      <c r="S969" s="161"/>
      <c r="T969" s="161"/>
      <c r="U969" s="161"/>
      <c r="V969" s="161"/>
      <c r="W969" s="161"/>
      <c r="X969" s="161"/>
      <c r="Y969" s="161"/>
      <c r="Z969" s="161"/>
    </row>
    <row r="970">
      <c r="A970" s="511"/>
      <c r="B970" s="18"/>
      <c r="C970" s="18"/>
      <c r="D970" s="161"/>
      <c r="E970" s="161"/>
      <c r="F970" s="511"/>
      <c r="G970" s="161"/>
      <c r="H970" s="161"/>
      <c r="I970" s="161"/>
      <c r="J970" s="161"/>
      <c r="K970" s="161"/>
      <c r="L970" s="161"/>
      <c r="M970" s="161"/>
      <c r="N970" s="161"/>
      <c r="O970" s="161"/>
      <c r="P970" s="161"/>
      <c r="Q970" s="161"/>
      <c r="R970" s="161"/>
      <c r="S970" s="161"/>
      <c r="T970" s="161"/>
      <c r="U970" s="161"/>
      <c r="V970" s="161"/>
      <c r="W970" s="161"/>
      <c r="X970" s="161"/>
      <c r="Y970" s="161"/>
      <c r="Z970" s="161"/>
    </row>
    <row r="971">
      <c r="A971" s="511"/>
      <c r="B971" s="18"/>
      <c r="C971" s="18"/>
      <c r="D971" s="161"/>
      <c r="E971" s="161"/>
      <c r="F971" s="511"/>
      <c r="G971" s="161"/>
      <c r="H971" s="161"/>
      <c r="I971" s="161"/>
      <c r="J971" s="161"/>
      <c r="K971" s="161"/>
      <c r="L971" s="161"/>
      <c r="M971" s="161"/>
      <c r="N971" s="161"/>
      <c r="O971" s="161"/>
      <c r="P971" s="161"/>
      <c r="Q971" s="161"/>
      <c r="R971" s="161"/>
      <c r="S971" s="161"/>
      <c r="T971" s="161"/>
      <c r="U971" s="161"/>
      <c r="V971" s="161"/>
      <c r="W971" s="161"/>
      <c r="X971" s="161"/>
      <c r="Y971" s="161"/>
      <c r="Z971" s="161"/>
    </row>
    <row r="972">
      <c r="A972" s="511"/>
      <c r="B972" s="18"/>
      <c r="C972" s="18"/>
      <c r="D972" s="161"/>
      <c r="E972" s="161"/>
      <c r="F972" s="511"/>
      <c r="G972" s="161"/>
      <c r="H972" s="161"/>
      <c r="I972" s="161"/>
      <c r="J972" s="161"/>
      <c r="K972" s="161"/>
      <c r="L972" s="161"/>
      <c r="M972" s="161"/>
      <c r="N972" s="161"/>
      <c r="O972" s="161"/>
      <c r="P972" s="161"/>
      <c r="Q972" s="161"/>
      <c r="R972" s="161"/>
      <c r="S972" s="161"/>
      <c r="T972" s="161"/>
      <c r="U972" s="161"/>
      <c r="V972" s="161"/>
      <c r="W972" s="161"/>
      <c r="X972" s="161"/>
      <c r="Y972" s="161"/>
      <c r="Z972" s="161"/>
    </row>
    <row r="973">
      <c r="A973" s="511"/>
      <c r="B973" s="18"/>
      <c r="C973" s="18"/>
      <c r="D973" s="161"/>
      <c r="E973" s="161"/>
      <c r="F973" s="511"/>
      <c r="G973" s="161"/>
      <c r="H973" s="161"/>
      <c r="I973" s="161"/>
      <c r="J973" s="161"/>
      <c r="K973" s="161"/>
      <c r="L973" s="161"/>
      <c r="M973" s="161"/>
      <c r="N973" s="161"/>
      <c r="O973" s="161"/>
      <c r="P973" s="161"/>
      <c r="Q973" s="161"/>
      <c r="R973" s="161"/>
      <c r="S973" s="161"/>
      <c r="T973" s="161"/>
      <c r="U973" s="161"/>
      <c r="V973" s="161"/>
      <c r="W973" s="161"/>
      <c r="X973" s="161"/>
      <c r="Y973" s="161"/>
      <c r="Z973" s="161"/>
    </row>
    <row r="974">
      <c r="A974" s="511"/>
      <c r="B974" s="18"/>
      <c r="C974" s="18"/>
      <c r="D974" s="161"/>
      <c r="E974" s="161"/>
      <c r="F974" s="511"/>
      <c r="G974" s="161"/>
      <c r="H974" s="161"/>
      <c r="I974" s="161"/>
      <c r="J974" s="161"/>
      <c r="K974" s="161"/>
      <c r="L974" s="161"/>
      <c r="M974" s="161"/>
      <c r="N974" s="161"/>
      <c r="O974" s="161"/>
      <c r="P974" s="161"/>
      <c r="Q974" s="161"/>
      <c r="R974" s="161"/>
      <c r="S974" s="161"/>
      <c r="T974" s="161"/>
      <c r="U974" s="161"/>
      <c r="V974" s="161"/>
      <c r="W974" s="161"/>
      <c r="X974" s="161"/>
      <c r="Y974" s="161"/>
      <c r="Z974" s="161"/>
    </row>
    <row r="975">
      <c r="A975" s="511"/>
      <c r="B975" s="18"/>
      <c r="C975" s="18"/>
      <c r="D975" s="161"/>
      <c r="E975" s="161"/>
      <c r="F975" s="511"/>
      <c r="G975" s="161"/>
      <c r="H975" s="161"/>
      <c r="I975" s="161"/>
      <c r="J975" s="161"/>
      <c r="K975" s="161"/>
      <c r="L975" s="161"/>
      <c r="M975" s="161"/>
      <c r="N975" s="161"/>
      <c r="O975" s="161"/>
      <c r="P975" s="161"/>
      <c r="Q975" s="161"/>
      <c r="R975" s="161"/>
      <c r="S975" s="161"/>
      <c r="T975" s="161"/>
      <c r="U975" s="161"/>
      <c r="V975" s="161"/>
      <c r="W975" s="161"/>
      <c r="X975" s="161"/>
      <c r="Y975" s="161"/>
      <c r="Z975" s="161"/>
    </row>
    <row r="976">
      <c r="A976" s="511"/>
      <c r="B976" s="18"/>
      <c r="C976" s="18"/>
      <c r="D976" s="161"/>
      <c r="E976" s="161"/>
      <c r="F976" s="511"/>
      <c r="G976" s="161"/>
      <c r="H976" s="161"/>
      <c r="I976" s="161"/>
      <c r="J976" s="161"/>
      <c r="K976" s="161"/>
      <c r="L976" s="161"/>
      <c r="M976" s="161"/>
      <c r="N976" s="161"/>
      <c r="O976" s="161"/>
      <c r="P976" s="161"/>
      <c r="Q976" s="161"/>
      <c r="R976" s="161"/>
      <c r="S976" s="161"/>
      <c r="T976" s="161"/>
      <c r="U976" s="161"/>
      <c r="V976" s="161"/>
      <c r="W976" s="161"/>
      <c r="X976" s="161"/>
      <c r="Y976" s="161"/>
      <c r="Z976" s="161"/>
    </row>
    <row r="977">
      <c r="A977" s="511"/>
      <c r="B977" s="18"/>
      <c r="C977" s="18"/>
      <c r="D977" s="161"/>
      <c r="E977" s="161"/>
      <c r="F977" s="511"/>
      <c r="G977" s="161"/>
      <c r="H977" s="161"/>
      <c r="I977" s="161"/>
      <c r="J977" s="161"/>
      <c r="K977" s="161"/>
      <c r="L977" s="161"/>
      <c r="M977" s="161"/>
      <c r="N977" s="161"/>
      <c r="O977" s="161"/>
      <c r="P977" s="161"/>
      <c r="Q977" s="161"/>
      <c r="R977" s="161"/>
      <c r="S977" s="161"/>
      <c r="T977" s="161"/>
      <c r="U977" s="161"/>
      <c r="V977" s="161"/>
      <c r="W977" s="161"/>
      <c r="X977" s="161"/>
      <c r="Y977" s="161"/>
      <c r="Z977" s="161"/>
    </row>
    <row r="978">
      <c r="A978" s="511"/>
      <c r="B978" s="18"/>
      <c r="C978" s="18"/>
      <c r="D978" s="161"/>
      <c r="E978" s="161"/>
      <c r="F978" s="511"/>
      <c r="G978" s="161"/>
      <c r="H978" s="161"/>
      <c r="I978" s="161"/>
      <c r="J978" s="161"/>
      <c r="K978" s="161"/>
      <c r="L978" s="161"/>
      <c r="M978" s="161"/>
      <c r="N978" s="161"/>
      <c r="O978" s="161"/>
      <c r="P978" s="161"/>
      <c r="Q978" s="161"/>
      <c r="R978" s="161"/>
      <c r="S978" s="161"/>
      <c r="T978" s="161"/>
      <c r="U978" s="161"/>
      <c r="V978" s="161"/>
      <c r="W978" s="161"/>
      <c r="X978" s="161"/>
      <c r="Y978" s="161"/>
      <c r="Z978" s="161"/>
    </row>
    <row r="979">
      <c r="A979" s="511"/>
      <c r="B979" s="18"/>
      <c r="C979" s="18"/>
      <c r="D979" s="161"/>
      <c r="E979" s="161"/>
      <c r="F979" s="511"/>
      <c r="G979" s="161"/>
      <c r="H979" s="161"/>
      <c r="I979" s="161"/>
      <c r="J979" s="161"/>
      <c r="K979" s="161"/>
      <c r="L979" s="161"/>
      <c r="M979" s="161"/>
      <c r="N979" s="161"/>
      <c r="O979" s="161"/>
      <c r="P979" s="161"/>
      <c r="Q979" s="161"/>
      <c r="R979" s="161"/>
      <c r="S979" s="161"/>
      <c r="T979" s="161"/>
      <c r="U979" s="161"/>
      <c r="V979" s="161"/>
      <c r="W979" s="161"/>
      <c r="X979" s="161"/>
      <c r="Y979" s="161"/>
      <c r="Z979" s="161"/>
    </row>
    <row r="980">
      <c r="A980" s="511"/>
      <c r="B980" s="18"/>
      <c r="C980" s="18"/>
      <c r="D980" s="161"/>
      <c r="E980" s="161"/>
      <c r="F980" s="511"/>
      <c r="G980" s="161"/>
      <c r="H980" s="161"/>
      <c r="I980" s="161"/>
      <c r="J980" s="161"/>
      <c r="K980" s="161"/>
      <c r="L980" s="161"/>
      <c r="M980" s="161"/>
      <c r="N980" s="161"/>
      <c r="O980" s="161"/>
      <c r="P980" s="161"/>
      <c r="Q980" s="161"/>
      <c r="R980" s="161"/>
      <c r="S980" s="161"/>
      <c r="T980" s="161"/>
      <c r="U980" s="161"/>
      <c r="V980" s="161"/>
      <c r="W980" s="161"/>
      <c r="X980" s="161"/>
      <c r="Y980" s="161"/>
      <c r="Z980" s="161"/>
    </row>
    <row r="981">
      <c r="A981" s="511"/>
      <c r="B981" s="18"/>
      <c r="C981" s="18"/>
      <c r="D981" s="161"/>
      <c r="E981" s="161"/>
      <c r="F981" s="511"/>
      <c r="G981" s="161"/>
      <c r="H981" s="161"/>
      <c r="I981" s="161"/>
      <c r="J981" s="161"/>
      <c r="K981" s="161"/>
      <c r="L981" s="161"/>
      <c r="M981" s="161"/>
      <c r="N981" s="161"/>
      <c r="O981" s="161"/>
      <c r="P981" s="161"/>
      <c r="Q981" s="161"/>
      <c r="R981" s="161"/>
      <c r="S981" s="161"/>
      <c r="T981" s="161"/>
      <c r="U981" s="161"/>
      <c r="V981" s="161"/>
      <c r="W981" s="161"/>
      <c r="X981" s="161"/>
      <c r="Y981" s="161"/>
      <c r="Z981" s="161"/>
    </row>
    <row r="982">
      <c r="A982" s="511"/>
      <c r="B982" s="18"/>
      <c r="C982" s="18"/>
      <c r="D982" s="161"/>
      <c r="E982" s="161"/>
      <c r="F982" s="511"/>
      <c r="G982" s="161"/>
      <c r="H982" s="161"/>
      <c r="I982" s="161"/>
      <c r="J982" s="161"/>
      <c r="K982" s="161"/>
      <c r="L982" s="161"/>
      <c r="M982" s="161"/>
      <c r="N982" s="161"/>
      <c r="O982" s="161"/>
      <c r="P982" s="161"/>
      <c r="Q982" s="161"/>
      <c r="R982" s="161"/>
      <c r="S982" s="161"/>
      <c r="T982" s="161"/>
      <c r="U982" s="161"/>
      <c r="V982" s="161"/>
      <c r="W982" s="161"/>
      <c r="X982" s="161"/>
      <c r="Y982" s="161"/>
      <c r="Z982" s="161"/>
    </row>
    <row r="983">
      <c r="A983" s="511"/>
      <c r="B983" s="18"/>
      <c r="C983" s="18"/>
      <c r="D983" s="161"/>
      <c r="E983" s="161"/>
      <c r="F983" s="511"/>
      <c r="G983" s="161"/>
      <c r="H983" s="161"/>
      <c r="I983" s="161"/>
      <c r="J983" s="161"/>
      <c r="K983" s="161"/>
      <c r="L983" s="161"/>
      <c r="M983" s="161"/>
      <c r="N983" s="161"/>
      <c r="O983" s="161"/>
      <c r="P983" s="161"/>
      <c r="Q983" s="161"/>
      <c r="R983" s="161"/>
      <c r="S983" s="161"/>
      <c r="T983" s="161"/>
      <c r="U983" s="161"/>
      <c r="V983" s="161"/>
      <c r="W983" s="161"/>
      <c r="X983" s="161"/>
      <c r="Y983" s="161"/>
      <c r="Z983" s="161"/>
    </row>
    <row r="984">
      <c r="A984" s="511"/>
      <c r="B984" s="18"/>
      <c r="C984" s="18"/>
      <c r="D984" s="161"/>
      <c r="E984" s="161"/>
      <c r="F984" s="511"/>
      <c r="G984" s="161"/>
      <c r="H984" s="161"/>
      <c r="I984" s="161"/>
      <c r="J984" s="161"/>
      <c r="K984" s="161"/>
      <c r="L984" s="161"/>
      <c r="M984" s="161"/>
      <c r="N984" s="161"/>
      <c r="O984" s="161"/>
      <c r="P984" s="161"/>
      <c r="Q984" s="161"/>
      <c r="R984" s="161"/>
      <c r="S984" s="161"/>
      <c r="T984" s="161"/>
      <c r="U984" s="161"/>
      <c r="V984" s="161"/>
      <c r="W984" s="161"/>
      <c r="X984" s="161"/>
      <c r="Y984" s="161"/>
      <c r="Z984" s="161"/>
    </row>
    <row r="985">
      <c r="A985" s="511"/>
      <c r="B985" s="18"/>
      <c r="C985" s="18"/>
      <c r="D985" s="161"/>
      <c r="E985" s="161"/>
      <c r="F985" s="511"/>
      <c r="G985" s="161"/>
      <c r="H985" s="161"/>
      <c r="I985" s="161"/>
      <c r="J985" s="161"/>
      <c r="K985" s="161"/>
      <c r="L985" s="161"/>
      <c r="M985" s="161"/>
      <c r="N985" s="161"/>
      <c r="O985" s="161"/>
      <c r="P985" s="161"/>
      <c r="Q985" s="161"/>
      <c r="R985" s="161"/>
      <c r="S985" s="161"/>
      <c r="T985" s="161"/>
      <c r="U985" s="161"/>
      <c r="V985" s="161"/>
      <c r="W985" s="161"/>
      <c r="X985" s="161"/>
      <c r="Y985" s="161"/>
      <c r="Z985" s="161"/>
    </row>
    <row r="986">
      <c r="A986" s="511"/>
      <c r="B986" s="18"/>
      <c r="C986" s="18"/>
      <c r="D986" s="161"/>
      <c r="E986" s="161"/>
      <c r="F986" s="511"/>
      <c r="G986" s="161"/>
      <c r="H986" s="161"/>
      <c r="I986" s="161"/>
      <c r="J986" s="161"/>
      <c r="K986" s="161"/>
      <c r="L986" s="161"/>
      <c r="M986" s="161"/>
      <c r="N986" s="161"/>
      <c r="O986" s="161"/>
      <c r="P986" s="161"/>
      <c r="Q986" s="161"/>
      <c r="R986" s="161"/>
      <c r="S986" s="161"/>
      <c r="T986" s="161"/>
      <c r="U986" s="161"/>
      <c r="V986" s="161"/>
      <c r="W986" s="161"/>
      <c r="X986" s="161"/>
      <c r="Y986" s="161"/>
      <c r="Z986" s="161"/>
    </row>
    <row r="987">
      <c r="A987" s="511"/>
      <c r="B987" s="18"/>
      <c r="C987" s="18"/>
      <c r="D987" s="161"/>
      <c r="E987" s="161"/>
      <c r="F987" s="511"/>
      <c r="G987" s="161"/>
      <c r="H987" s="161"/>
      <c r="I987" s="161"/>
      <c r="J987" s="161"/>
      <c r="K987" s="161"/>
      <c r="L987" s="161"/>
      <c r="M987" s="161"/>
      <c r="N987" s="161"/>
      <c r="O987" s="161"/>
      <c r="P987" s="161"/>
      <c r="Q987" s="161"/>
      <c r="R987" s="161"/>
      <c r="S987" s="161"/>
      <c r="T987" s="161"/>
      <c r="U987" s="161"/>
      <c r="V987" s="161"/>
      <c r="W987" s="161"/>
      <c r="X987" s="161"/>
      <c r="Y987" s="161"/>
      <c r="Z987" s="161"/>
    </row>
    <row r="988">
      <c r="A988" s="511"/>
      <c r="B988" s="18"/>
      <c r="C988" s="18"/>
      <c r="D988" s="161"/>
      <c r="E988" s="161"/>
      <c r="F988" s="511"/>
      <c r="G988" s="161"/>
      <c r="H988" s="161"/>
      <c r="I988" s="161"/>
      <c r="J988" s="161"/>
      <c r="K988" s="161"/>
      <c r="L988" s="161"/>
      <c r="M988" s="161"/>
      <c r="N988" s="161"/>
      <c r="O988" s="161"/>
      <c r="P988" s="161"/>
      <c r="Q988" s="161"/>
      <c r="R988" s="161"/>
      <c r="S988" s="161"/>
      <c r="T988" s="161"/>
      <c r="U988" s="161"/>
      <c r="V988" s="161"/>
      <c r="W988" s="161"/>
      <c r="X988" s="161"/>
      <c r="Y988" s="161"/>
      <c r="Z988" s="161"/>
    </row>
    <row r="989">
      <c r="A989" s="511"/>
      <c r="B989" s="18"/>
      <c r="C989" s="18"/>
      <c r="D989" s="161"/>
      <c r="E989" s="161"/>
      <c r="F989" s="511"/>
      <c r="G989" s="161"/>
      <c r="H989" s="161"/>
      <c r="I989" s="161"/>
      <c r="J989" s="161"/>
      <c r="K989" s="161"/>
      <c r="L989" s="161"/>
      <c r="M989" s="161"/>
      <c r="N989" s="161"/>
      <c r="O989" s="161"/>
      <c r="P989" s="161"/>
      <c r="Q989" s="161"/>
      <c r="R989" s="161"/>
      <c r="S989" s="161"/>
      <c r="T989" s="161"/>
      <c r="U989" s="161"/>
      <c r="V989" s="161"/>
      <c r="W989" s="161"/>
      <c r="X989" s="161"/>
      <c r="Y989" s="161"/>
      <c r="Z989" s="161"/>
    </row>
    <row r="990">
      <c r="A990" s="511"/>
      <c r="B990" s="18"/>
      <c r="C990" s="18"/>
      <c r="D990" s="161"/>
      <c r="E990" s="161"/>
      <c r="F990" s="511"/>
      <c r="G990" s="161"/>
      <c r="H990" s="161"/>
      <c r="I990" s="161"/>
      <c r="J990" s="161"/>
      <c r="K990" s="161"/>
      <c r="L990" s="161"/>
      <c r="M990" s="161"/>
      <c r="N990" s="161"/>
      <c r="O990" s="161"/>
      <c r="P990" s="161"/>
      <c r="Q990" s="161"/>
      <c r="R990" s="161"/>
      <c r="S990" s="161"/>
      <c r="T990" s="161"/>
      <c r="U990" s="161"/>
      <c r="V990" s="161"/>
      <c r="W990" s="161"/>
      <c r="X990" s="161"/>
      <c r="Y990" s="161"/>
      <c r="Z990" s="161"/>
    </row>
    <row r="991">
      <c r="A991" s="511"/>
      <c r="B991" s="18"/>
      <c r="C991" s="18"/>
      <c r="D991" s="161"/>
      <c r="E991" s="161"/>
      <c r="F991" s="511"/>
      <c r="G991" s="161"/>
      <c r="H991" s="161"/>
      <c r="I991" s="161"/>
      <c r="J991" s="161"/>
      <c r="K991" s="161"/>
      <c r="L991" s="161"/>
      <c r="M991" s="161"/>
      <c r="N991" s="161"/>
      <c r="O991" s="161"/>
      <c r="P991" s="161"/>
      <c r="Q991" s="161"/>
      <c r="R991" s="161"/>
      <c r="S991" s="161"/>
      <c r="T991" s="161"/>
      <c r="U991" s="161"/>
      <c r="V991" s="161"/>
      <c r="W991" s="161"/>
      <c r="X991" s="161"/>
      <c r="Y991" s="161"/>
      <c r="Z991" s="161"/>
    </row>
    <row r="992">
      <c r="A992" s="511"/>
      <c r="B992" s="18"/>
      <c r="C992" s="18"/>
      <c r="D992" s="161"/>
      <c r="E992" s="161"/>
      <c r="F992" s="511"/>
      <c r="G992" s="161"/>
      <c r="H992" s="161"/>
      <c r="I992" s="161"/>
      <c r="J992" s="161"/>
      <c r="K992" s="161"/>
      <c r="L992" s="161"/>
      <c r="M992" s="161"/>
      <c r="N992" s="161"/>
      <c r="O992" s="161"/>
      <c r="P992" s="161"/>
      <c r="Q992" s="161"/>
      <c r="R992" s="161"/>
      <c r="S992" s="161"/>
      <c r="T992" s="161"/>
      <c r="U992" s="161"/>
      <c r="V992" s="161"/>
      <c r="W992" s="161"/>
      <c r="X992" s="161"/>
      <c r="Y992" s="161"/>
      <c r="Z992" s="161"/>
    </row>
    <row r="993">
      <c r="A993" s="511"/>
      <c r="B993" s="18"/>
      <c r="C993" s="18"/>
      <c r="D993" s="161"/>
      <c r="E993" s="161"/>
      <c r="F993" s="511"/>
      <c r="G993" s="161"/>
      <c r="H993" s="161"/>
      <c r="I993" s="161"/>
      <c r="J993" s="161"/>
      <c r="K993" s="161"/>
      <c r="L993" s="161"/>
      <c r="M993" s="161"/>
      <c r="N993" s="161"/>
      <c r="O993" s="161"/>
      <c r="P993" s="161"/>
      <c r="Q993" s="161"/>
      <c r="R993" s="161"/>
      <c r="S993" s="161"/>
      <c r="T993" s="161"/>
      <c r="U993" s="161"/>
      <c r="V993" s="161"/>
      <c r="W993" s="161"/>
      <c r="X993" s="161"/>
      <c r="Y993" s="161"/>
      <c r="Z993" s="161"/>
    </row>
    <row r="994">
      <c r="A994" s="511"/>
      <c r="B994" s="18"/>
      <c r="C994" s="18"/>
      <c r="D994" s="161"/>
      <c r="E994" s="161"/>
      <c r="F994" s="511"/>
      <c r="G994" s="161"/>
      <c r="H994" s="161"/>
      <c r="I994" s="161"/>
      <c r="J994" s="161"/>
      <c r="K994" s="161"/>
      <c r="L994" s="161"/>
      <c r="M994" s="161"/>
      <c r="N994" s="161"/>
      <c r="O994" s="161"/>
      <c r="P994" s="161"/>
      <c r="Q994" s="161"/>
      <c r="R994" s="161"/>
      <c r="S994" s="161"/>
      <c r="T994" s="161"/>
      <c r="U994" s="161"/>
      <c r="V994" s="161"/>
      <c r="W994" s="161"/>
      <c r="X994" s="161"/>
      <c r="Y994" s="161"/>
      <c r="Z994" s="161"/>
    </row>
    <row r="995">
      <c r="A995" s="511"/>
      <c r="B995" s="18"/>
      <c r="C995" s="18"/>
      <c r="D995" s="161"/>
      <c r="E995" s="161"/>
      <c r="F995" s="511"/>
      <c r="G995" s="161"/>
      <c r="H995" s="161"/>
      <c r="I995" s="161"/>
      <c r="J995" s="161"/>
      <c r="K995" s="161"/>
      <c r="L995" s="161"/>
      <c r="M995" s="161"/>
      <c r="N995" s="161"/>
      <c r="O995" s="161"/>
      <c r="P995" s="161"/>
      <c r="Q995" s="161"/>
      <c r="R995" s="161"/>
      <c r="S995" s="161"/>
      <c r="T995" s="161"/>
      <c r="U995" s="161"/>
      <c r="V995" s="161"/>
      <c r="W995" s="161"/>
      <c r="X995" s="161"/>
      <c r="Y995" s="161"/>
      <c r="Z995" s="161"/>
    </row>
  </sheetData>
  <conditionalFormatting sqref="A1">
    <cfRule type="colorScale" priority="1">
      <colorScale>
        <cfvo type="min"/>
        <cfvo type="max"/>
        <color rgb="FFFFFFFF"/>
        <color rgb="FF57BB8A"/>
      </colorScale>
    </cfRule>
  </conditionalFormatting>
  <hyperlinks>
    <hyperlink r:id="rId1" ref="A1"/>
    <hyperlink r:id="rId2" ref="C5"/>
    <hyperlink r:id="rId3" ref="B6"/>
    <hyperlink r:id="rId4" ref="C14"/>
    <hyperlink r:id="rId5" ref="C15"/>
    <hyperlink r:id="rId6" ref="C17"/>
    <hyperlink r:id="rId7" ref="C20"/>
    <hyperlink r:id="rId8" ref="C23"/>
    <hyperlink r:id="rId9" ref="C25"/>
    <hyperlink r:id="rId10" ref="C28"/>
    <hyperlink r:id="rId11" ref="C30"/>
    <hyperlink r:id="rId12" ref="C32"/>
    <hyperlink r:id="rId13" ref="C34"/>
    <hyperlink r:id="rId14" ref="C36"/>
    <hyperlink r:id="rId15" ref="C38"/>
    <hyperlink r:id="rId16" ref="C41"/>
    <hyperlink r:id="rId17" ref="C43"/>
    <hyperlink r:id="rId18" ref="C45"/>
    <hyperlink r:id="rId19" ref="C47"/>
    <hyperlink r:id="rId20" ref="C49"/>
    <hyperlink r:id="rId21" ref="C52"/>
    <hyperlink r:id="rId22" ref="C54"/>
    <hyperlink r:id="rId23" ref="C59"/>
    <hyperlink r:id="rId24" ref="F60"/>
    <hyperlink r:id="rId25" ref="C61"/>
    <hyperlink r:id="rId26" ref="F61"/>
  </hyperlinks>
  <drawing r:id="rId2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7.0"/>
    <col customWidth="1" min="3" max="3" width="17.13"/>
    <col customWidth="1" min="6" max="6" width="55.75"/>
  </cols>
  <sheetData>
    <row r="1">
      <c r="A1" s="491" t="s">
        <v>1969</v>
      </c>
      <c r="B1" s="492" t="s">
        <v>1970</v>
      </c>
      <c r="C1" s="492" t="s">
        <v>1971</v>
      </c>
      <c r="D1" s="492" t="s">
        <v>1972</v>
      </c>
      <c r="E1" s="492" t="s">
        <v>1973</v>
      </c>
      <c r="F1" s="492" t="s">
        <v>1974</v>
      </c>
      <c r="G1" s="161"/>
      <c r="H1" s="161"/>
      <c r="I1" s="161"/>
      <c r="J1" s="161"/>
      <c r="K1" s="161"/>
      <c r="L1" s="161"/>
      <c r="M1" s="161"/>
      <c r="N1" s="161"/>
      <c r="O1" s="161"/>
      <c r="P1" s="161"/>
      <c r="Q1" s="161"/>
      <c r="R1" s="161"/>
      <c r="S1" s="161"/>
      <c r="T1" s="161"/>
      <c r="U1" s="161"/>
      <c r="V1" s="161"/>
      <c r="W1" s="161"/>
      <c r="X1" s="161"/>
      <c r="Y1" s="161"/>
      <c r="Z1" s="161"/>
    </row>
    <row r="2">
      <c r="A2" s="493">
        <v>1.0</v>
      </c>
      <c r="B2" s="494" t="s">
        <v>2064</v>
      </c>
      <c r="C2" s="493" t="s">
        <v>1976</v>
      </c>
      <c r="D2" s="494" t="s">
        <v>2065</v>
      </c>
      <c r="E2" s="301"/>
      <c r="F2" s="301" t="s">
        <v>2066</v>
      </c>
      <c r="G2" s="161"/>
      <c r="H2" s="161"/>
      <c r="I2" s="161"/>
      <c r="J2" s="161"/>
      <c r="K2" s="161"/>
      <c r="L2" s="161"/>
      <c r="M2" s="161"/>
      <c r="N2" s="161"/>
      <c r="O2" s="161"/>
      <c r="P2" s="161"/>
      <c r="Q2" s="161"/>
      <c r="R2" s="161"/>
      <c r="S2" s="161"/>
      <c r="T2" s="161"/>
      <c r="U2" s="161"/>
      <c r="V2" s="161"/>
      <c r="W2" s="161"/>
      <c r="X2" s="161"/>
      <c r="Y2" s="161"/>
      <c r="Z2" s="161"/>
    </row>
    <row r="3">
      <c r="A3" s="494">
        <v>2.0</v>
      </c>
      <c r="B3" s="512" t="s">
        <v>1976</v>
      </c>
      <c r="C3" s="494" t="s">
        <v>2067</v>
      </c>
      <c r="D3" s="494" t="s">
        <v>2065</v>
      </c>
      <c r="E3" s="301"/>
      <c r="F3" s="301" t="s">
        <v>2066</v>
      </c>
      <c r="G3" s="161"/>
      <c r="H3" s="161"/>
      <c r="I3" s="161"/>
      <c r="J3" s="161"/>
      <c r="K3" s="161"/>
      <c r="L3" s="161"/>
      <c r="M3" s="161"/>
      <c r="N3" s="161"/>
      <c r="O3" s="161"/>
      <c r="P3" s="161"/>
      <c r="Q3" s="161"/>
      <c r="R3" s="161"/>
      <c r="S3" s="161"/>
      <c r="T3" s="161"/>
      <c r="U3" s="161"/>
      <c r="V3" s="161"/>
      <c r="W3" s="161"/>
      <c r="X3" s="161"/>
      <c r="Y3" s="161"/>
      <c r="Z3" s="161"/>
    </row>
    <row r="4">
      <c r="A4" s="494">
        <v>3.0</v>
      </c>
      <c r="B4" s="494" t="s">
        <v>2064</v>
      </c>
      <c r="C4" s="493" t="s">
        <v>1976</v>
      </c>
      <c r="D4" s="494" t="s">
        <v>2065</v>
      </c>
      <c r="E4" s="301"/>
      <c r="F4" s="301" t="s">
        <v>2068</v>
      </c>
      <c r="G4" s="161"/>
      <c r="H4" s="161"/>
      <c r="I4" s="161"/>
      <c r="J4" s="161"/>
      <c r="K4" s="161"/>
      <c r="L4" s="161"/>
      <c r="M4" s="161"/>
      <c r="N4" s="161"/>
      <c r="O4" s="161"/>
      <c r="P4" s="161"/>
      <c r="Q4" s="161"/>
      <c r="R4" s="161"/>
      <c r="S4" s="161"/>
      <c r="T4" s="161"/>
      <c r="U4" s="161"/>
      <c r="V4" s="161"/>
      <c r="W4" s="161"/>
      <c r="X4" s="161"/>
      <c r="Y4" s="161"/>
      <c r="Z4" s="161"/>
    </row>
    <row r="5">
      <c r="A5" s="494">
        <v>4.0</v>
      </c>
      <c r="B5" s="512" t="s">
        <v>1976</v>
      </c>
      <c r="C5" s="494" t="s">
        <v>2067</v>
      </c>
      <c r="D5" s="494" t="s">
        <v>2065</v>
      </c>
      <c r="E5" s="301"/>
      <c r="F5" s="301" t="s">
        <v>2068</v>
      </c>
      <c r="G5" s="161"/>
      <c r="H5" s="161"/>
      <c r="I5" s="161"/>
      <c r="J5" s="161"/>
      <c r="K5" s="161"/>
      <c r="L5" s="161"/>
      <c r="M5" s="161"/>
      <c r="N5" s="161"/>
      <c r="O5" s="161"/>
      <c r="P5" s="161"/>
      <c r="Q5" s="161"/>
      <c r="R5" s="161"/>
      <c r="S5" s="161"/>
      <c r="T5" s="161"/>
      <c r="U5" s="161"/>
      <c r="V5" s="161"/>
      <c r="W5" s="161"/>
      <c r="X5" s="161"/>
      <c r="Y5" s="161"/>
      <c r="Z5" s="161"/>
    </row>
    <row r="6">
      <c r="A6" s="494">
        <v>5.0</v>
      </c>
      <c r="B6" s="494" t="s">
        <v>2064</v>
      </c>
      <c r="C6" s="493" t="s">
        <v>1976</v>
      </c>
      <c r="D6" s="494" t="s">
        <v>2069</v>
      </c>
      <c r="E6" s="301"/>
      <c r="F6" s="499" t="s">
        <v>2070</v>
      </c>
      <c r="G6" s="161"/>
      <c r="H6" s="161"/>
      <c r="I6" s="161"/>
      <c r="J6" s="161"/>
      <c r="K6" s="161"/>
      <c r="L6" s="161"/>
      <c r="M6" s="161"/>
      <c r="N6" s="161"/>
      <c r="O6" s="161"/>
      <c r="P6" s="161"/>
      <c r="Q6" s="161"/>
      <c r="R6" s="161"/>
      <c r="S6" s="161"/>
      <c r="T6" s="161"/>
      <c r="U6" s="161"/>
      <c r="V6" s="161"/>
      <c r="W6" s="161"/>
      <c r="X6" s="161"/>
      <c r="Y6" s="161"/>
      <c r="Z6" s="161"/>
    </row>
    <row r="7">
      <c r="A7" s="494">
        <v>6.0</v>
      </c>
      <c r="B7" s="512" t="s">
        <v>1976</v>
      </c>
      <c r="C7" s="494" t="s">
        <v>2067</v>
      </c>
      <c r="D7" s="494" t="s">
        <v>2069</v>
      </c>
      <c r="E7" s="301"/>
      <c r="F7" s="499" t="s">
        <v>2070</v>
      </c>
      <c r="G7" s="161"/>
      <c r="H7" s="161"/>
      <c r="I7" s="161"/>
      <c r="J7" s="161"/>
      <c r="K7" s="161"/>
      <c r="L7" s="161"/>
      <c r="M7" s="161"/>
      <c r="N7" s="161"/>
      <c r="O7" s="161"/>
      <c r="P7" s="161"/>
      <c r="Q7" s="161"/>
      <c r="R7" s="161"/>
      <c r="S7" s="161"/>
      <c r="T7" s="161"/>
      <c r="U7" s="161"/>
      <c r="V7" s="161"/>
      <c r="W7" s="161"/>
      <c r="X7" s="161"/>
      <c r="Y7" s="161"/>
      <c r="Z7" s="161"/>
    </row>
    <row r="8">
      <c r="A8" s="494">
        <v>7.0</v>
      </c>
      <c r="B8" s="494" t="s">
        <v>2064</v>
      </c>
      <c r="C8" s="493" t="s">
        <v>1976</v>
      </c>
      <c r="D8" s="494" t="s">
        <v>2033</v>
      </c>
      <c r="E8" s="301"/>
      <c r="F8" s="499" t="s">
        <v>2034</v>
      </c>
      <c r="G8" s="161"/>
      <c r="H8" s="161"/>
      <c r="I8" s="161"/>
      <c r="J8" s="161"/>
      <c r="K8" s="161"/>
      <c r="L8" s="161"/>
      <c r="M8" s="161"/>
      <c r="N8" s="161"/>
      <c r="O8" s="161"/>
      <c r="P8" s="161"/>
      <c r="Q8" s="161"/>
      <c r="R8" s="161"/>
      <c r="S8" s="161"/>
      <c r="T8" s="161"/>
      <c r="U8" s="161"/>
      <c r="V8" s="161"/>
      <c r="W8" s="161"/>
      <c r="X8" s="161"/>
      <c r="Y8" s="161"/>
      <c r="Z8" s="161"/>
    </row>
    <row r="9">
      <c r="A9" s="494">
        <v>8.0</v>
      </c>
      <c r="B9" s="512" t="s">
        <v>1976</v>
      </c>
      <c r="C9" s="494" t="s">
        <v>2067</v>
      </c>
      <c r="D9" s="494" t="s">
        <v>2033</v>
      </c>
      <c r="E9" s="301"/>
      <c r="F9" s="499" t="s">
        <v>2034</v>
      </c>
      <c r="G9" s="161"/>
      <c r="H9" s="161"/>
      <c r="I9" s="161"/>
      <c r="J9" s="161"/>
      <c r="K9" s="161"/>
      <c r="L9" s="161"/>
      <c r="M9" s="161"/>
      <c r="N9" s="161"/>
      <c r="O9" s="161"/>
      <c r="P9" s="161"/>
      <c r="Q9" s="161"/>
      <c r="R9" s="161"/>
      <c r="S9" s="161"/>
      <c r="T9" s="161"/>
      <c r="U9" s="161"/>
      <c r="V9" s="161"/>
      <c r="W9" s="161"/>
      <c r="X9" s="161"/>
      <c r="Y9" s="161"/>
      <c r="Z9" s="161"/>
    </row>
    <row r="10">
      <c r="A10" s="494">
        <v>9.0</v>
      </c>
      <c r="B10" s="512" t="s">
        <v>1976</v>
      </c>
      <c r="C10" s="493" t="s">
        <v>1976</v>
      </c>
      <c r="D10" s="508">
        <v>45669.0</v>
      </c>
      <c r="E10" s="301"/>
      <c r="F10" s="499" t="s">
        <v>2071</v>
      </c>
      <c r="G10" s="161"/>
      <c r="H10" s="161"/>
      <c r="I10" s="161"/>
      <c r="J10" s="161"/>
      <c r="K10" s="161"/>
      <c r="L10" s="161"/>
      <c r="M10" s="161"/>
      <c r="N10" s="161"/>
      <c r="O10" s="161"/>
      <c r="P10" s="161"/>
      <c r="Q10" s="161"/>
      <c r="R10" s="161"/>
      <c r="S10" s="161"/>
      <c r="T10" s="161"/>
      <c r="U10" s="161"/>
      <c r="V10" s="161"/>
      <c r="W10" s="161"/>
      <c r="X10" s="161"/>
      <c r="Y10" s="161"/>
      <c r="Z10" s="161"/>
    </row>
    <row r="11">
      <c r="A11" s="494">
        <v>10.0</v>
      </c>
      <c r="B11" s="494" t="s">
        <v>2064</v>
      </c>
      <c r="C11" s="494" t="s">
        <v>2067</v>
      </c>
      <c r="D11" s="508">
        <v>45669.0</v>
      </c>
      <c r="E11" s="301"/>
      <c r="F11" s="499" t="s">
        <v>2071</v>
      </c>
      <c r="G11" s="161"/>
      <c r="H11" s="161"/>
      <c r="I11" s="161"/>
      <c r="J11" s="161"/>
      <c r="K11" s="161"/>
      <c r="L11" s="161"/>
      <c r="M11" s="161"/>
      <c r="N11" s="161"/>
      <c r="O11" s="161"/>
      <c r="P11" s="161"/>
      <c r="Q11" s="161"/>
      <c r="R11" s="161"/>
      <c r="S11" s="161"/>
      <c r="T11" s="161"/>
      <c r="U11" s="161"/>
      <c r="V11" s="161"/>
      <c r="W11" s="161"/>
      <c r="X11" s="161"/>
      <c r="Y11" s="161"/>
      <c r="Z11" s="161"/>
    </row>
    <row r="12">
      <c r="A12" s="494">
        <v>11.0</v>
      </c>
      <c r="B12" s="494" t="s">
        <v>2064</v>
      </c>
      <c r="C12" s="493" t="s">
        <v>1976</v>
      </c>
      <c r="D12" s="508">
        <v>45669.0</v>
      </c>
      <c r="E12" s="301"/>
      <c r="F12" s="499" t="s">
        <v>2072</v>
      </c>
      <c r="G12" s="161"/>
      <c r="H12" s="161"/>
      <c r="I12" s="161"/>
      <c r="J12" s="161"/>
      <c r="K12" s="161"/>
      <c r="L12" s="161"/>
      <c r="M12" s="161"/>
      <c r="N12" s="161"/>
      <c r="O12" s="161"/>
      <c r="P12" s="161"/>
      <c r="Q12" s="161"/>
      <c r="R12" s="161"/>
      <c r="S12" s="161"/>
      <c r="T12" s="161"/>
      <c r="U12" s="161"/>
      <c r="V12" s="161"/>
      <c r="W12" s="161"/>
      <c r="X12" s="161"/>
      <c r="Y12" s="161"/>
      <c r="Z12" s="161"/>
    </row>
    <row r="13">
      <c r="A13" s="494">
        <v>12.0</v>
      </c>
      <c r="B13" s="512" t="s">
        <v>1976</v>
      </c>
      <c r="C13" s="494" t="s">
        <v>2067</v>
      </c>
      <c r="D13" s="508">
        <v>45669.0</v>
      </c>
      <c r="E13" s="301"/>
      <c r="F13" s="499" t="s">
        <v>2072</v>
      </c>
      <c r="G13" s="161"/>
      <c r="H13" s="161"/>
      <c r="I13" s="161"/>
      <c r="J13" s="161"/>
      <c r="K13" s="161"/>
      <c r="L13" s="161"/>
      <c r="M13" s="161"/>
      <c r="N13" s="161"/>
      <c r="O13" s="161"/>
      <c r="P13" s="161"/>
      <c r="Q13" s="161"/>
      <c r="R13" s="161"/>
      <c r="S13" s="161"/>
      <c r="T13" s="161"/>
      <c r="U13" s="161"/>
      <c r="V13" s="161"/>
      <c r="W13" s="161"/>
      <c r="X13" s="161"/>
      <c r="Y13" s="161"/>
      <c r="Z13" s="161"/>
    </row>
    <row r="14">
      <c r="A14" s="494">
        <v>13.0</v>
      </c>
      <c r="B14" s="494" t="s">
        <v>2064</v>
      </c>
      <c r="C14" s="493" t="s">
        <v>1976</v>
      </c>
      <c r="D14" s="508">
        <v>45669.0</v>
      </c>
      <c r="E14" s="301"/>
      <c r="F14" s="499" t="s">
        <v>2073</v>
      </c>
      <c r="G14" s="161"/>
      <c r="H14" s="161"/>
      <c r="I14" s="161"/>
      <c r="J14" s="161"/>
      <c r="K14" s="161"/>
      <c r="L14" s="161"/>
      <c r="M14" s="161"/>
      <c r="N14" s="161"/>
      <c r="O14" s="161"/>
      <c r="P14" s="161"/>
      <c r="Q14" s="161"/>
      <c r="R14" s="161"/>
      <c r="S14" s="161"/>
      <c r="T14" s="161"/>
      <c r="U14" s="161"/>
      <c r="V14" s="161"/>
      <c r="W14" s="161"/>
      <c r="X14" s="161"/>
      <c r="Y14" s="161"/>
      <c r="Z14" s="161"/>
    </row>
    <row r="15">
      <c r="A15" s="494">
        <v>14.0</v>
      </c>
      <c r="B15" s="493" t="s">
        <v>1976</v>
      </c>
      <c r="C15" s="494" t="s">
        <v>2067</v>
      </c>
      <c r="D15" s="508">
        <v>45669.0</v>
      </c>
      <c r="E15" s="301"/>
      <c r="F15" s="499" t="s">
        <v>2073</v>
      </c>
      <c r="G15" s="161"/>
      <c r="H15" s="161"/>
      <c r="I15" s="161"/>
      <c r="J15" s="161"/>
      <c r="K15" s="161"/>
      <c r="L15" s="161"/>
      <c r="M15" s="161"/>
      <c r="N15" s="161"/>
      <c r="O15" s="161"/>
      <c r="P15" s="161"/>
      <c r="Q15" s="161"/>
      <c r="R15" s="161"/>
      <c r="S15" s="161"/>
      <c r="T15" s="161"/>
      <c r="U15" s="161"/>
      <c r="V15" s="161"/>
      <c r="W15" s="161"/>
      <c r="X15" s="161"/>
      <c r="Y15" s="161"/>
      <c r="Z15" s="161"/>
    </row>
    <row r="16">
      <c r="A16" s="494">
        <v>15.0</v>
      </c>
      <c r="B16" s="494" t="s">
        <v>2064</v>
      </c>
      <c r="C16" s="493" t="s">
        <v>1976</v>
      </c>
      <c r="D16" s="508">
        <v>45728.0</v>
      </c>
      <c r="E16" s="497"/>
      <c r="F16" s="498" t="s">
        <v>2037</v>
      </c>
      <c r="G16" s="161"/>
      <c r="H16" s="161"/>
      <c r="I16" s="161"/>
      <c r="J16" s="161"/>
      <c r="K16" s="161"/>
      <c r="L16" s="161"/>
      <c r="M16" s="161"/>
      <c r="N16" s="161"/>
      <c r="O16" s="161"/>
      <c r="P16" s="161"/>
      <c r="Q16" s="161"/>
      <c r="R16" s="161"/>
      <c r="S16" s="161"/>
      <c r="T16" s="161"/>
      <c r="U16" s="161"/>
      <c r="V16" s="161"/>
      <c r="W16" s="161"/>
      <c r="X16" s="161"/>
      <c r="Y16" s="161"/>
      <c r="Z16" s="161"/>
    </row>
    <row r="17">
      <c r="A17" s="494">
        <v>16.0</v>
      </c>
      <c r="B17" s="493" t="s">
        <v>1976</v>
      </c>
      <c r="C17" s="494" t="s">
        <v>2067</v>
      </c>
      <c r="D17" s="508">
        <v>45728.0</v>
      </c>
      <c r="E17" s="497"/>
      <c r="F17" s="498" t="s">
        <v>2037</v>
      </c>
      <c r="G17" s="161"/>
      <c r="H17" s="161"/>
      <c r="I17" s="161"/>
      <c r="J17" s="161"/>
      <c r="K17" s="161"/>
      <c r="L17" s="161"/>
      <c r="M17" s="161"/>
      <c r="N17" s="161"/>
      <c r="O17" s="161"/>
      <c r="P17" s="161"/>
      <c r="Q17" s="161"/>
      <c r="R17" s="161"/>
      <c r="S17" s="161"/>
      <c r="T17" s="161"/>
      <c r="U17" s="161"/>
      <c r="V17" s="161"/>
      <c r="W17" s="161"/>
      <c r="X17" s="161"/>
      <c r="Y17" s="161"/>
      <c r="Z17" s="161"/>
    </row>
    <row r="18">
      <c r="A18" s="494">
        <v>17.0</v>
      </c>
      <c r="B18" s="494" t="s">
        <v>2064</v>
      </c>
      <c r="C18" s="493" t="s">
        <v>1976</v>
      </c>
      <c r="D18" s="508">
        <v>45759.0</v>
      </c>
      <c r="E18" s="497"/>
      <c r="F18" s="498" t="s">
        <v>2074</v>
      </c>
      <c r="G18" s="161"/>
      <c r="H18" s="161"/>
      <c r="I18" s="161"/>
      <c r="J18" s="161"/>
      <c r="K18" s="161"/>
      <c r="L18" s="161"/>
      <c r="M18" s="161"/>
      <c r="N18" s="161"/>
      <c r="O18" s="161"/>
      <c r="P18" s="161"/>
      <c r="Q18" s="161"/>
      <c r="R18" s="161"/>
      <c r="S18" s="161"/>
      <c r="T18" s="161"/>
      <c r="U18" s="161"/>
      <c r="V18" s="161"/>
      <c r="W18" s="161"/>
      <c r="X18" s="161"/>
      <c r="Y18" s="161"/>
      <c r="Z18" s="161"/>
    </row>
    <row r="19">
      <c r="A19" s="494">
        <v>18.0</v>
      </c>
      <c r="B19" s="493" t="s">
        <v>1976</v>
      </c>
      <c r="C19" s="494" t="s">
        <v>2067</v>
      </c>
      <c r="D19" s="508">
        <v>45759.0</v>
      </c>
      <c r="E19" s="497"/>
      <c r="F19" s="498" t="s">
        <v>2074</v>
      </c>
      <c r="G19" s="161"/>
      <c r="H19" s="161"/>
      <c r="I19" s="161"/>
      <c r="J19" s="161"/>
      <c r="K19" s="161"/>
      <c r="L19" s="161"/>
      <c r="M19" s="161"/>
      <c r="N19" s="161"/>
      <c r="O19" s="161"/>
      <c r="P19" s="161"/>
      <c r="Q19" s="161"/>
      <c r="R19" s="161"/>
      <c r="S19" s="161"/>
      <c r="T19" s="161"/>
      <c r="U19" s="161"/>
      <c r="V19" s="161"/>
      <c r="W19" s="161"/>
      <c r="X19" s="161"/>
      <c r="Y19" s="161"/>
      <c r="Z19" s="161"/>
    </row>
    <row r="20">
      <c r="A20" s="494">
        <v>19.0</v>
      </c>
      <c r="B20" s="494" t="s">
        <v>2064</v>
      </c>
      <c r="C20" s="493" t="s">
        <v>1976</v>
      </c>
      <c r="D20" s="508">
        <v>45789.0</v>
      </c>
      <c r="E20" s="497"/>
      <c r="F20" s="498" t="s">
        <v>2075</v>
      </c>
      <c r="G20" s="161"/>
      <c r="H20" s="161"/>
      <c r="I20" s="161"/>
      <c r="J20" s="161"/>
      <c r="K20" s="161"/>
      <c r="L20" s="161"/>
      <c r="M20" s="161"/>
      <c r="N20" s="161"/>
      <c r="O20" s="161"/>
      <c r="P20" s="161"/>
      <c r="Q20" s="161"/>
      <c r="R20" s="161"/>
      <c r="S20" s="161"/>
      <c r="T20" s="161"/>
      <c r="U20" s="161"/>
      <c r="V20" s="161"/>
      <c r="W20" s="161"/>
      <c r="X20" s="161"/>
      <c r="Y20" s="161"/>
      <c r="Z20" s="161"/>
    </row>
    <row r="21">
      <c r="A21" s="494">
        <v>20.0</v>
      </c>
      <c r="B21" s="493" t="s">
        <v>1976</v>
      </c>
      <c r="C21" s="494" t="s">
        <v>2067</v>
      </c>
      <c r="D21" s="508">
        <v>45789.0</v>
      </c>
      <c r="E21" s="497"/>
      <c r="F21" s="498" t="s">
        <v>2075</v>
      </c>
      <c r="G21" s="161"/>
      <c r="H21" s="161"/>
      <c r="I21" s="161"/>
      <c r="J21" s="161"/>
      <c r="K21" s="161"/>
      <c r="L21" s="161"/>
      <c r="M21" s="161"/>
      <c r="N21" s="161"/>
      <c r="O21" s="161"/>
      <c r="P21" s="161"/>
      <c r="Q21" s="161"/>
      <c r="R21" s="161"/>
      <c r="S21" s="161"/>
      <c r="T21" s="161"/>
      <c r="U21" s="161"/>
      <c r="V21" s="161"/>
      <c r="W21" s="161"/>
      <c r="X21" s="161"/>
      <c r="Y21" s="161"/>
      <c r="Z21" s="161"/>
    </row>
    <row r="22">
      <c r="A22" s="494">
        <v>21.0</v>
      </c>
      <c r="B22" s="494" t="s">
        <v>2064</v>
      </c>
      <c r="C22" s="493" t="s">
        <v>1976</v>
      </c>
      <c r="D22" s="508">
        <v>45942.0</v>
      </c>
      <c r="E22" s="497"/>
      <c r="F22" s="498" t="s">
        <v>2076</v>
      </c>
      <c r="G22" s="161"/>
      <c r="H22" s="161"/>
      <c r="I22" s="161"/>
      <c r="J22" s="161"/>
      <c r="K22" s="161"/>
      <c r="L22" s="161"/>
      <c r="M22" s="161"/>
      <c r="N22" s="161"/>
      <c r="O22" s="161"/>
      <c r="P22" s="161"/>
      <c r="Q22" s="161"/>
      <c r="R22" s="161"/>
      <c r="S22" s="161"/>
      <c r="T22" s="161"/>
      <c r="U22" s="161"/>
      <c r="V22" s="161"/>
      <c r="W22" s="161"/>
      <c r="X22" s="161"/>
      <c r="Y22" s="161"/>
      <c r="Z22" s="161"/>
    </row>
    <row r="23">
      <c r="A23" s="494">
        <v>22.0</v>
      </c>
      <c r="B23" s="493" t="s">
        <v>1976</v>
      </c>
      <c r="C23" s="494" t="s">
        <v>2067</v>
      </c>
      <c r="D23" s="508">
        <v>45942.0</v>
      </c>
      <c r="E23" s="497"/>
      <c r="F23" s="498" t="s">
        <v>2076</v>
      </c>
      <c r="G23" s="161"/>
      <c r="H23" s="161"/>
      <c r="I23" s="161"/>
      <c r="J23" s="161"/>
      <c r="K23" s="161"/>
      <c r="L23" s="161"/>
      <c r="M23" s="161"/>
      <c r="N23" s="161"/>
      <c r="O23" s="161"/>
      <c r="P23" s="161"/>
      <c r="Q23" s="161"/>
      <c r="R23" s="161"/>
      <c r="S23" s="161"/>
      <c r="T23" s="161"/>
      <c r="U23" s="161"/>
      <c r="V23" s="161"/>
      <c r="W23" s="161"/>
      <c r="X23" s="161"/>
      <c r="Y23" s="161"/>
      <c r="Z23" s="161"/>
    </row>
    <row r="24">
      <c r="A24" s="301">
        <v>23.0</v>
      </c>
      <c r="B24" s="494" t="s">
        <v>2064</v>
      </c>
      <c r="C24" s="493" t="s">
        <v>1976</v>
      </c>
      <c r="D24" s="508">
        <v>46009.0</v>
      </c>
      <c r="E24" s="497"/>
      <c r="F24" s="513" t="s">
        <v>2077</v>
      </c>
      <c r="G24" s="161"/>
      <c r="H24" s="161"/>
      <c r="I24" s="161"/>
      <c r="J24" s="161"/>
      <c r="K24" s="161"/>
      <c r="L24" s="161"/>
      <c r="M24" s="161"/>
      <c r="N24" s="161"/>
      <c r="O24" s="161"/>
      <c r="P24" s="161"/>
      <c r="Q24" s="161"/>
      <c r="R24" s="161"/>
      <c r="S24" s="161"/>
      <c r="T24" s="161"/>
      <c r="U24" s="161"/>
      <c r="V24" s="161"/>
      <c r="W24" s="161"/>
      <c r="X24" s="161"/>
      <c r="Y24" s="161"/>
      <c r="Z24" s="161"/>
    </row>
    <row r="25">
      <c r="A25" s="301">
        <v>24.0</v>
      </c>
      <c r="B25" s="493" t="s">
        <v>1976</v>
      </c>
      <c r="C25" s="494" t="s">
        <v>2067</v>
      </c>
      <c r="D25" s="508">
        <v>46009.0</v>
      </c>
      <c r="E25" s="497"/>
      <c r="F25" s="513" t="s">
        <v>2077</v>
      </c>
      <c r="G25" s="161"/>
      <c r="H25" s="161"/>
      <c r="I25" s="161"/>
      <c r="J25" s="161"/>
      <c r="K25" s="161"/>
      <c r="L25" s="161"/>
      <c r="M25" s="161"/>
      <c r="N25" s="161"/>
      <c r="O25" s="161"/>
      <c r="P25" s="161"/>
      <c r="Q25" s="161"/>
      <c r="R25" s="161"/>
      <c r="S25" s="161"/>
      <c r="T25" s="161"/>
      <c r="U25" s="161"/>
      <c r="V25" s="161"/>
      <c r="W25" s="161"/>
      <c r="X25" s="161"/>
      <c r="Y25" s="161"/>
      <c r="Z25" s="161"/>
    </row>
    <row r="26">
      <c r="A26" s="301">
        <v>25.0</v>
      </c>
      <c r="B26" s="494" t="s">
        <v>2064</v>
      </c>
      <c r="C26" s="493" t="s">
        <v>1976</v>
      </c>
      <c r="D26" s="508">
        <v>46022.0</v>
      </c>
      <c r="E26" s="497"/>
      <c r="F26" s="514" t="s">
        <v>454</v>
      </c>
      <c r="G26" s="161"/>
      <c r="H26" s="161"/>
      <c r="I26" s="161"/>
      <c r="J26" s="161"/>
      <c r="K26" s="161"/>
      <c r="L26" s="161"/>
      <c r="M26" s="161"/>
      <c r="N26" s="161"/>
      <c r="O26" s="161"/>
      <c r="P26" s="161"/>
      <c r="Q26" s="161"/>
      <c r="R26" s="161"/>
      <c r="S26" s="161"/>
      <c r="T26" s="161"/>
      <c r="U26" s="161"/>
      <c r="V26" s="161"/>
      <c r="W26" s="161"/>
      <c r="X26" s="161"/>
      <c r="Y26" s="161"/>
      <c r="Z26" s="161"/>
    </row>
    <row r="27">
      <c r="A27" s="301">
        <v>25.0</v>
      </c>
      <c r="B27" s="493" t="s">
        <v>1976</v>
      </c>
      <c r="C27" s="494" t="s">
        <v>2067</v>
      </c>
      <c r="D27" s="508">
        <v>46022.0</v>
      </c>
      <c r="E27" s="497"/>
      <c r="F27" s="514" t="s">
        <v>454</v>
      </c>
      <c r="G27" s="161"/>
      <c r="H27" s="161"/>
      <c r="I27" s="161"/>
      <c r="J27" s="161"/>
      <c r="K27" s="161"/>
      <c r="L27" s="161"/>
      <c r="M27" s="161"/>
      <c r="N27" s="161"/>
      <c r="O27" s="161"/>
      <c r="P27" s="161"/>
      <c r="Q27" s="161"/>
      <c r="R27" s="161"/>
      <c r="S27" s="161"/>
      <c r="T27" s="161"/>
      <c r="U27" s="161"/>
      <c r="V27" s="161"/>
      <c r="W27" s="161"/>
      <c r="X27" s="161"/>
      <c r="Y27" s="161"/>
      <c r="Z27" s="161"/>
    </row>
    <row r="28">
      <c r="A28" s="18"/>
      <c r="B28" s="18"/>
      <c r="C28" s="18"/>
      <c r="D28" s="161"/>
      <c r="E28" s="161"/>
      <c r="F28" s="511"/>
      <c r="G28" s="161"/>
      <c r="H28" s="161"/>
      <c r="I28" s="161"/>
      <c r="J28" s="161"/>
      <c r="K28" s="161"/>
      <c r="L28" s="161"/>
      <c r="M28" s="161"/>
      <c r="N28" s="161"/>
      <c r="O28" s="161"/>
      <c r="P28" s="161"/>
      <c r="Q28" s="161"/>
      <c r="R28" s="161"/>
      <c r="S28" s="161"/>
      <c r="T28" s="161"/>
      <c r="U28" s="161"/>
      <c r="V28" s="161"/>
      <c r="W28" s="161"/>
      <c r="X28" s="161"/>
      <c r="Y28" s="161"/>
      <c r="Z28" s="161"/>
    </row>
    <row r="29">
      <c r="A29" s="18"/>
      <c r="B29" s="18"/>
      <c r="C29" s="18"/>
      <c r="D29" s="161"/>
      <c r="E29" s="161"/>
      <c r="F29" s="511"/>
      <c r="G29" s="161"/>
      <c r="H29" s="161"/>
      <c r="I29" s="161"/>
      <c r="J29" s="161"/>
      <c r="K29" s="161"/>
      <c r="L29" s="161"/>
      <c r="M29" s="161"/>
      <c r="N29" s="161"/>
      <c r="O29" s="161"/>
      <c r="P29" s="161"/>
      <c r="Q29" s="161"/>
      <c r="R29" s="161"/>
      <c r="S29" s="161"/>
      <c r="T29" s="161"/>
      <c r="U29" s="161"/>
      <c r="V29" s="161"/>
      <c r="W29" s="161"/>
      <c r="X29" s="161"/>
      <c r="Y29" s="161"/>
      <c r="Z29" s="161"/>
    </row>
    <row r="30">
      <c r="A30" s="18"/>
      <c r="B30" s="18"/>
      <c r="C30" s="18"/>
      <c r="D30" s="161"/>
      <c r="E30" s="161"/>
      <c r="F30" s="511"/>
      <c r="G30" s="161"/>
      <c r="H30" s="161"/>
      <c r="I30" s="161"/>
      <c r="J30" s="161"/>
      <c r="K30" s="161"/>
      <c r="L30" s="161"/>
      <c r="M30" s="161"/>
      <c r="N30" s="161"/>
      <c r="O30" s="161"/>
      <c r="P30" s="161"/>
      <c r="Q30" s="161"/>
      <c r="R30" s="161"/>
      <c r="S30" s="161"/>
      <c r="T30" s="161"/>
      <c r="U30" s="161"/>
      <c r="V30" s="161"/>
      <c r="W30" s="161"/>
      <c r="X30" s="161"/>
      <c r="Y30" s="161"/>
      <c r="Z30" s="161"/>
    </row>
    <row r="31">
      <c r="A31" s="18"/>
      <c r="B31" s="18"/>
      <c r="C31" s="18"/>
      <c r="D31" s="161"/>
      <c r="E31" s="161"/>
      <c r="F31" s="511"/>
      <c r="G31" s="161"/>
      <c r="H31" s="161"/>
      <c r="I31" s="161"/>
      <c r="J31" s="161"/>
      <c r="K31" s="161"/>
      <c r="L31" s="161"/>
      <c r="M31" s="161"/>
      <c r="N31" s="161"/>
      <c r="O31" s="161"/>
      <c r="P31" s="161"/>
      <c r="Q31" s="161"/>
      <c r="R31" s="161"/>
      <c r="S31" s="161"/>
      <c r="T31" s="161"/>
      <c r="U31" s="161"/>
      <c r="V31" s="161"/>
      <c r="W31" s="161"/>
      <c r="X31" s="161"/>
      <c r="Y31" s="161"/>
      <c r="Z31" s="161"/>
    </row>
    <row r="32">
      <c r="A32" s="18"/>
      <c r="B32" s="18"/>
      <c r="C32" s="18"/>
      <c r="D32" s="161"/>
      <c r="E32" s="161"/>
      <c r="F32" s="511"/>
      <c r="G32" s="161"/>
      <c r="H32" s="161"/>
      <c r="I32" s="161"/>
      <c r="J32" s="161"/>
      <c r="K32" s="161"/>
      <c r="L32" s="161"/>
      <c r="M32" s="161"/>
      <c r="N32" s="161"/>
      <c r="O32" s="161"/>
      <c r="P32" s="161"/>
      <c r="Q32" s="161"/>
      <c r="R32" s="161"/>
      <c r="S32" s="161"/>
      <c r="T32" s="161"/>
      <c r="U32" s="161"/>
      <c r="V32" s="161"/>
      <c r="W32" s="161"/>
      <c r="X32" s="161"/>
      <c r="Y32" s="161"/>
      <c r="Z32" s="161"/>
    </row>
    <row r="33">
      <c r="A33" s="18"/>
      <c r="B33" s="18"/>
      <c r="C33" s="18"/>
      <c r="D33" s="161"/>
      <c r="E33" s="161"/>
      <c r="F33" s="511"/>
      <c r="G33" s="161"/>
      <c r="H33" s="161"/>
      <c r="I33" s="161"/>
      <c r="J33" s="161"/>
      <c r="K33" s="161"/>
      <c r="L33" s="161"/>
      <c r="M33" s="161"/>
      <c r="N33" s="161"/>
      <c r="O33" s="161"/>
      <c r="P33" s="161"/>
      <c r="Q33" s="161"/>
      <c r="R33" s="161"/>
      <c r="S33" s="161"/>
      <c r="T33" s="161"/>
      <c r="U33" s="161"/>
      <c r="V33" s="161"/>
      <c r="W33" s="161"/>
      <c r="X33" s="161"/>
      <c r="Y33" s="161"/>
      <c r="Z33" s="161"/>
    </row>
    <row r="34">
      <c r="A34" s="18"/>
      <c r="B34" s="18"/>
      <c r="C34" s="18"/>
      <c r="D34" s="161"/>
      <c r="E34" s="161"/>
      <c r="F34" s="511"/>
      <c r="G34" s="161"/>
      <c r="H34" s="161"/>
      <c r="I34" s="161"/>
      <c r="J34" s="161"/>
      <c r="K34" s="161"/>
      <c r="L34" s="161"/>
      <c r="M34" s="161"/>
      <c r="N34" s="161"/>
      <c r="O34" s="161"/>
      <c r="P34" s="161"/>
      <c r="Q34" s="161"/>
      <c r="R34" s="161"/>
      <c r="S34" s="161"/>
      <c r="T34" s="161"/>
      <c r="U34" s="161"/>
      <c r="V34" s="161"/>
      <c r="W34" s="161"/>
      <c r="X34" s="161"/>
      <c r="Y34" s="161"/>
      <c r="Z34" s="161"/>
    </row>
    <row r="35">
      <c r="A35" s="18"/>
      <c r="B35" s="18"/>
      <c r="C35" s="18"/>
      <c r="D35" s="161"/>
      <c r="E35" s="161"/>
      <c r="F35" s="511"/>
      <c r="G35" s="161"/>
      <c r="H35" s="161"/>
      <c r="I35" s="161"/>
      <c r="J35" s="161"/>
      <c r="K35" s="161"/>
      <c r="L35" s="161"/>
      <c r="M35" s="161"/>
      <c r="N35" s="161"/>
      <c r="O35" s="161"/>
      <c r="P35" s="161"/>
      <c r="Q35" s="161"/>
      <c r="R35" s="161"/>
      <c r="S35" s="161"/>
      <c r="T35" s="161"/>
      <c r="U35" s="161"/>
      <c r="V35" s="161"/>
      <c r="W35" s="161"/>
      <c r="X35" s="161"/>
      <c r="Y35" s="161"/>
      <c r="Z35" s="161"/>
    </row>
    <row r="36">
      <c r="A36" s="18"/>
      <c r="B36" s="18"/>
      <c r="C36" s="18"/>
      <c r="D36" s="161"/>
      <c r="E36" s="161"/>
      <c r="F36" s="511"/>
      <c r="G36" s="161"/>
      <c r="H36" s="161"/>
      <c r="I36" s="161"/>
      <c r="J36" s="161"/>
      <c r="K36" s="161"/>
      <c r="L36" s="161"/>
      <c r="M36" s="161"/>
      <c r="N36" s="161"/>
      <c r="O36" s="161"/>
      <c r="P36" s="161"/>
      <c r="Q36" s="161"/>
      <c r="R36" s="161"/>
      <c r="S36" s="161"/>
      <c r="T36" s="161"/>
      <c r="U36" s="161"/>
      <c r="V36" s="161"/>
      <c r="W36" s="161"/>
      <c r="X36" s="161"/>
      <c r="Y36" s="161"/>
      <c r="Z36" s="161"/>
    </row>
    <row r="37">
      <c r="A37" s="18"/>
      <c r="B37" s="18"/>
      <c r="C37" s="18"/>
      <c r="D37" s="161"/>
      <c r="E37" s="161"/>
      <c r="F37" s="511"/>
      <c r="G37" s="161"/>
      <c r="H37" s="161"/>
      <c r="I37" s="161"/>
      <c r="J37" s="161"/>
      <c r="K37" s="161"/>
      <c r="L37" s="161"/>
      <c r="M37" s="161"/>
      <c r="N37" s="161"/>
      <c r="O37" s="161"/>
      <c r="P37" s="161"/>
      <c r="Q37" s="161"/>
      <c r="R37" s="161"/>
      <c r="S37" s="161"/>
      <c r="T37" s="161"/>
      <c r="U37" s="161"/>
      <c r="V37" s="161"/>
      <c r="W37" s="161"/>
      <c r="X37" s="161"/>
      <c r="Y37" s="161"/>
      <c r="Z37" s="161"/>
    </row>
    <row r="38">
      <c r="A38" s="18"/>
      <c r="B38" s="18"/>
      <c r="C38" s="18"/>
      <c r="D38" s="161"/>
      <c r="E38" s="161"/>
      <c r="F38" s="511"/>
      <c r="G38" s="161"/>
      <c r="H38" s="161"/>
      <c r="I38" s="161"/>
      <c r="J38" s="161"/>
      <c r="K38" s="161"/>
      <c r="L38" s="161"/>
      <c r="M38" s="161"/>
      <c r="N38" s="161"/>
      <c r="O38" s="161"/>
      <c r="P38" s="161"/>
      <c r="Q38" s="161"/>
      <c r="R38" s="161"/>
      <c r="S38" s="161"/>
      <c r="T38" s="161"/>
      <c r="U38" s="161"/>
      <c r="V38" s="161"/>
      <c r="W38" s="161"/>
      <c r="X38" s="161"/>
      <c r="Y38" s="161"/>
      <c r="Z38" s="161"/>
    </row>
    <row r="39">
      <c r="A39" s="18"/>
      <c r="B39" s="18"/>
      <c r="C39" s="18"/>
      <c r="D39" s="161"/>
      <c r="E39" s="161"/>
      <c r="F39" s="511"/>
      <c r="G39" s="161"/>
      <c r="H39" s="161"/>
      <c r="I39" s="161"/>
      <c r="J39" s="161"/>
      <c r="K39" s="161"/>
      <c r="L39" s="161"/>
      <c r="M39" s="161"/>
      <c r="N39" s="161"/>
      <c r="O39" s="161"/>
      <c r="P39" s="161"/>
      <c r="Q39" s="161"/>
      <c r="R39" s="161"/>
      <c r="S39" s="161"/>
      <c r="T39" s="161"/>
      <c r="U39" s="161"/>
      <c r="V39" s="161"/>
      <c r="W39" s="161"/>
      <c r="X39" s="161"/>
      <c r="Y39" s="161"/>
      <c r="Z39" s="161"/>
    </row>
    <row r="40">
      <c r="A40" s="18"/>
      <c r="B40" s="18"/>
      <c r="C40" s="18"/>
      <c r="D40" s="161"/>
      <c r="E40" s="161"/>
      <c r="F40" s="511"/>
      <c r="G40" s="161"/>
      <c r="H40" s="161"/>
      <c r="I40" s="161"/>
      <c r="J40" s="161"/>
      <c r="K40" s="161"/>
      <c r="L40" s="161"/>
      <c r="M40" s="161"/>
      <c r="N40" s="161"/>
      <c r="O40" s="161"/>
      <c r="P40" s="161"/>
      <c r="Q40" s="161"/>
      <c r="R40" s="161"/>
      <c r="S40" s="161"/>
      <c r="T40" s="161"/>
      <c r="U40" s="161"/>
      <c r="V40" s="161"/>
      <c r="W40" s="161"/>
      <c r="X40" s="161"/>
      <c r="Y40" s="161"/>
      <c r="Z40" s="161"/>
    </row>
    <row r="41">
      <c r="A41" s="18"/>
      <c r="B41" s="18"/>
      <c r="C41" s="18"/>
      <c r="D41" s="161"/>
      <c r="E41" s="161"/>
      <c r="F41" s="511"/>
      <c r="G41" s="161"/>
      <c r="H41" s="161"/>
      <c r="I41" s="161"/>
      <c r="J41" s="161"/>
      <c r="K41" s="161"/>
      <c r="L41" s="161"/>
      <c r="M41" s="161"/>
      <c r="N41" s="161"/>
      <c r="O41" s="161"/>
      <c r="P41" s="161"/>
      <c r="Q41" s="161"/>
      <c r="R41" s="161"/>
      <c r="S41" s="161"/>
      <c r="T41" s="161"/>
      <c r="U41" s="161"/>
      <c r="V41" s="161"/>
      <c r="W41" s="161"/>
      <c r="X41" s="161"/>
      <c r="Y41" s="161"/>
      <c r="Z41" s="161"/>
    </row>
    <row r="42">
      <c r="A42" s="18"/>
      <c r="B42" s="18"/>
      <c r="C42" s="18"/>
      <c r="D42" s="161"/>
      <c r="E42" s="161"/>
      <c r="F42" s="511"/>
      <c r="G42" s="161"/>
      <c r="H42" s="161"/>
      <c r="I42" s="161"/>
      <c r="J42" s="161"/>
      <c r="K42" s="161"/>
      <c r="L42" s="161"/>
      <c r="M42" s="161"/>
      <c r="N42" s="161"/>
      <c r="O42" s="161"/>
      <c r="P42" s="161"/>
      <c r="Q42" s="161"/>
      <c r="R42" s="161"/>
      <c r="S42" s="161"/>
      <c r="T42" s="161"/>
      <c r="U42" s="161"/>
      <c r="V42" s="161"/>
      <c r="W42" s="161"/>
      <c r="X42" s="161"/>
      <c r="Y42" s="161"/>
      <c r="Z42" s="161"/>
    </row>
    <row r="43">
      <c r="A43" s="18"/>
      <c r="B43" s="18"/>
      <c r="C43" s="18"/>
      <c r="D43" s="161"/>
      <c r="E43" s="161"/>
      <c r="F43" s="511"/>
      <c r="G43" s="161"/>
      <c r="H43" s="161"/>
      <c r="I43" s="161"/>
      <c r="J43" s="161"/>
      <c r="K43" s="161"/>
      <c r="L43" s="161"/>
      <c r="M43" s="161"/>
      <c r="N43" s="161"/>
      <c r="O43" s="161"/>
      <c r="P43" s="161"/>
      <c r="Q43" s="161"/>
      <c r="R43" s="161"/>
      <c r="S43" s="161"/>
      <c r="T43" s="161"/>
      <c r="U43" s="161"/>
      <c r="V43" s="161"/>
      <c r="W43" s="161"/>
      <c r="X43" s="161"/>
      <c r="Y43" s="161"/>
      <c r="Z43" s="161"/>
    </row>
    <row r="44">
      <c r="A44" s="18"/>
      <c r="B44" s="18"/>
      <c r="C44" s="18"/>
      <c r="D44" s="161"/>
      <c r="E44" s="161"/>
      <c r="F44" s="511"/>
      <c r="G44" s="161"/>
      <c r="H44" s="161"/>
      <c r="I44" s="161"/>
      <c r="J44" s="161"/>
      <c r="K44" s="161"/>
      <c r="L44" s="161"/>
      <c r="M44" s="161"/>
      <c r="N44" s="161"/>
      <c r="O44" s="161"/>
      <c r="P44" s="161"/>
      <c r="Q44" s="161"/>
      <c r="R44" s="161"/>
      <c r="S44" s="161"/>
      <c r="T44" s="161"/>
      <c r="U44" s="161"/>
      <c r="V44" s="161"/>
      <c r="W44" s="161"/>
      <c r="X44" s="161"/>
      <c r="Y44" s="161"/>
      <c r="Z44" s="161"/>
    </row>
    <row r="45">
      <c r="A45" s="18"/>
      <c r="B45" s="18"/>
      <c r="C45" s="18"/>
      <c r="D45" s="161"/>
      <c r="E45" s="161"/>
      <c r="F45" s="511"/>
      <c r="G45" s="161"/>
      <c r="H45" s="161"/>
      <c r="I45" s="161"/>
      <c r="J45" s="161"/>
      <c r="K45" s="161"/>
      <c r="L45" s="161"/>
      <c r="M45" s="161"/>
      <c r="N45" s="161"/>
      <c r="O45" s="161"/>
      <c r="P45" s="161"/>
      <c r="Q45" s="161"/>
      <c r="R45" s="161"/>
      <c r="S45" s="161"/>
      <c r="T45" s="161"/>
      <c r="U45" s="161"/>
      <c r="V45" s="161"/>
      <c r="W45" s="161"/>
      <c r="X45" s="161"/>
      <c r="Y45" s="161"/>
      <c r="Z45" s="161"/>
    </row>
    <row r="46">
      <c r="A46" s="18"/>
      <c r="B46" s="18"/>
      <c r="C46" s="18"/>
      <c r="D46" s="161"/>
      <c r="E46" s="161"/>
      <c r="F46" s="511"/>
      <c r="G46" s="161"/>
      <c r="H46" s="161"/>
      <c r="I46" s="161"/>
      <c r="J46" s="161"/>
      <c r="K46" s="161"/>
      <c r="L46" s="161"/>
      <c r="M46" s="161"/>
      <c r="N46" s="161"/>
      <c r="O46" s="161"/>
      <c r="P46" s="161"/>
      <c r="Q46" s="161"/>
      <c r="R46" s="161"/>
      <c r="S46" s="161"/>
      <c r="T46" s="161"/>
      <c r="U46" s="161"/>
      <c r="V46" s="161"/>
      <c r="W46" s="161"/>
      <c r="X46" s="161"/>
      <c r="Y46" s="161"/>
      <c r="Z46" s="161"/>
    </row>
    <row r="47">
      <c r="A47" s="18"/>
      <c r="B47" s="18"/>
      <c r="C47" s="18"/>
      <c r="D47" s="161"/>
      <c r="E47" s="161"/>
      <c r="F47" s="511"/>
      <c r="G47" s="161"/>
      <c r="H47" s="161"/>
      <c r="I47" s="161"/>
      <c r="J47" s="161"/>
      <c r="K47" s="161"/>
      <c r="L47" s="161"/>
      <c r="M47" s="161"/>
      <c r="N47" s="161"/>
      <c r="O47" s="161"/>
      <c r="P47" s="161"/>
      <c r="Q47" s="161"/>
      <c r="R47" s="161"/>
      <c r="S47" s="161"/>
      <c r="T47" s="161"/>
      <c r="U47" s="161"/>
      <c r="V47" s="161"/>
      <c r="W47" s="161"/>
      <c r="X47" s="161"/>
      <c r="Y47" s="161"/>
      <c r="Z47" s="161"/>
    </row>
    <row r="48">
      <c r="A48" s="18"/>
      <c r="B48" s="18"/>
      <c r="C48" s="18"/>
      <c r="D48" s="161"/>
      <c r="E48" s="161"/>
      <c r="F48" s="511"/>
      <c r="G48" s="161"/>
      <c r="H48" s="161"/>
      <c r="I48" s="161"/>
      <c r="J48" s="161"/>
      <c r="K48" s="161"/>
      <c r="L48" s="161"/>
      <c r="M48" s="161"/>
      <c r="N48" s="161"/>
      <c r="O48" s="161"/>
      <c r="P48" s="161"/>
      <c r="Q48" s="161"/>
      <c r="R48" s="161"/>
      <c r="S48" s="161"/>
      <c r="T48" s="161"/>
      <c r="U48" s="161"/>
      <c r="V48" s="161"/>
      <c r="W48" s="161"/>
      <c r="X48" s="161"/>
      <c r="Y48" s="161"/>
      <c r="Z48" s="161"/>
    </row>
    <row r="49">
      <c r="A49" s="18"/>
      <c r="B49" s="18"/>
      <c r="C49" s="18"/>
      <c r="D49" s="161"/>
      <c r="E49" s="161"/>
      <c r="F49" s="511"/>
      <c r="G49" s="161"/>
      <c r="H49" s="161"/>
      <c r="I49" s="161"/>
      <c r="J49" s="161"/>
      <c r="K49" s="161"/>
      <c r="L49" s="161"/>
      <c r="M49" s="161"/>
      <c r="N49" s="161"/>
      <c r="O49" s="161"/>
      <c r="P49" s="161"/>
      <c r="Q49" s="161"/>
      <c r="R49" s="161"/>
      <c r="S49" s="161"/>
      <c r="T49" s="161"/>
      <c r="U49" s="161"/>
      <c r="V49" s="161"/>
      <c r="W49" s="161"/>
      <c r="X49" s="161"/>
      <c r="Y49" s="161"/>
      <c r="Z49" s="161"/>
    </row>
    <row r="50">
      <c r="A50" s="18"/>
      <c r="B50" s="18"/>
      <c r="C50" s="18"/>
      <c r="D50" s="161"/>
      <c r="E50" s="161"/>
      <c r="F50" s="511"/>
      <c r="G50" s="161"/>
      <c r="H50" s="161"/>
      <c r="I50" s="161"/>
      <c r="J50" s="161"/>
      <c r="K50" s="161"/>
      <c r="L50" s="161"/>
      <c r="M50" s="161"/>
      <c r="N50" s="161"/>
      <c r="O50" s="161"/>
      <c r="P50" s="161"/>
      <c r="Q50" s="161"/>
      <c r="R50" s="161"/>
      <c r="S50" s="161"/>
      <c r="T50" s="161"/>
      <c r="U50" s="161"/>
      <c r="V50" s="161"/>
      <c r="W50" s="161"/>
      <c r="X50" s="161"/>
      <c r="Y50" s="161"/>
      <c r="Z50" s="161"/>
    </row>
    <row r="51">
      <c r="A51" s="18"/>
      <c r="B51" s="18"/>
      <c r="C51" s="18"/>
      <c r="D51" s="161"/>
      <c r="E51" s="161"/>
      <c r="F51" s="511"/>
      <c r="G51" s="161"/>
      <c r="H51" s="161"/>
      <c r="I51" s="161"/>
      <c r="J51" s="161"/>
      <c r="K51" s="161"/>
      <c r="L51" s="161"/>
      <c r="M51" s="161"/>
      <c r="N51" s="161"/>
      <c r="O51" s="161"/>
      <c r="P51" s="161"/>
      <c r="Q51" s="161"/>
      <c r="R51" s="161"/>
      <c r="S51" s="161"/>
      <c r="T51" s="161"/>
      <c r="U51" s="161"/>
      <c r="V51" s="161"/>
      <c r="W51" s="161"/>
      <c r="X51" s="161"/>
      <c r="Y51" s="161"/>
      <c r="Z51" s="161"/>
    </row>
    <row r="52">
      <c r="A52" s="18"/>
      <c r="B52" s="18"/>
      <c r="C52" s="18"/>
      <c r="D52" s="161"/>
      <c r="E52" s="161"/>
      <c r="F52" s="511"/>
      <c r="G52" s="161"/>
      <c r="H52" s="161"/>
      <c r="I52" s="161"/>
      <c r="J52" s="161"/>
      <c r="K52" s="161"/>
      <c r="L52" s="161"/>
      <c r="M52" s="161"/>
      <c r="N52" s="161"/>
      <c r="O52" s="161"/>
      <c r="P52" s="161"/>
      <c r="Q52" s="161"/>
      <c r="R52" s="161"/>
      <c r="S52" s="161"/>
      <c r="T52" s="161"/>
      <c r="U52" s="161"/>
      <c r="V52" s="161"/>
      <c r="W52" s="161"/>
      <c r="X52" s="161"/>
      <c r="Y52" s="161"/>
      <c r="Z52" s="161"/>
    </row>
    <row r="53">
      <c r="A53" s="18"/>
      <c r="B53" s="18"/>
      <c r="C53" s="18"/>
      <c r="D53" s="161"/>
      <c r="E53" s="161"/>
      <c r="F53" s="511"/>
      <c r="G53" s="161"/>
      <c r="H53" s="161"/>
      <c r="I53" s="161"/>
      <c r="J53" s="161"/>
      <c r="K53" s="161"/>
      <c r="L53" s="161"/>
      <c r="M53" s="161"/>
      <c r="N53" s="161"/>
      <c r="O53" s="161"/>
      <c r="P53" s="161"/>
      <c r="Q53" s="161"/>
      <c r="R53" s="161"/>
      <c r="S53" s="161"/>
      <c r="T53" s="161"/>
      <c r="U53" s="161"/>
      <c r="V53" s="161"/>
      <c r="W53" s="161"/>
      <c r="X53" s="161"/>
      <c r="Y53" s="161"/>
      <c r="Z53" s="161"/>
    </row>
    <row r="54">
      <c r="A54" s="18"/>
      <c r="B54" s="18"/>
      <c r="C54" s="18"/>
      <c r="D54" s="161"/>
      <c r="E54" s="161"/>
      <c r="F54" s="511"/>
      <c r="G54" s="161"/>
      <c r="H54" s="161"/>
      <c r="I54" s="161"/>
      <c r="J54" s="161"/>
      <c r="K54" s="161"/>
      <c r="L54" s="161"/>
      <c r="M54" s="161"/>
      <c r="N54" s="161"/>
      <c r="O54" s="161"/>
      <c r="P54" s="161"/>
      <c r="Q54" s="161"/>
      <c r="R54" s="161"/>
      <c r="S54" s="161"/>
      <c r="T54" s="161"/>
      <c r="U54" s="161"/>
      <c r="V54" s="161"/>
      <c r="W54" s="161"/>
      <c r="X54" s="161"/>
      <c r="Y54" s="161"/>
      <c r="Z54" s="161"/>
    </row>
    <row r="55">
      <c r="A55" s="18"/>
      <c r="B55" s="18"/>
      <c r="C55" s="18"/>
      <c r="D55" s="161"/>
      <c r="E55" s="161"/>
      <c r="F55" s="511"/>
      <c r="G55" s="161"/>
      <c r="H55" s="161"/>
      <c r="I55" s="161"/>
      <c r="J55" s="161"/>
      <c r="K55" s="161"/>
      <c r="L55" s="161"/>
      <c r="M55" s="161"/>
      <c r="N55" s="161"/>
      <c r="O55" s="161"/>
      <c r="P55" s="161"/>
      <c r="Q55" s="161"/>
      <c r="R55" s="161"/>
      <c r="S55" s="161"/>
      <c r="T55" s="161"/>
      <c r="U55" s="161"/>
      <c r="V55" s="161"/>
      <c r="W55" s="161"/>
      <c r="X55" s="161"/>
      <c r="Y55" s="161"/>
      <c r="Z55" s="161"/>
    </row>
    <row r="56">
      <c r="A56" s="18"/>
      <c r="B56" s="18"/>
      <c r="C56" s="18"/>
      <c r="D56" s="161"/>
      <c r="E56" s="161"/>
      <c r="F56" s="511"/>
      <c r="G56" s="161"/>
      <c r="H56" s="161"/>
      <c r="I56" s="161"/>
      <c r="J56" s="161"/>
      <c r="K56" s="161"/>
      <c r="L56" s="161"/>
      <c r="M56" s="161"/>
      <c r="N56" s="161"/>
      <c r="O56" s="161"/>
      <c r="P56" s="161"/>
      <c r="Q56" s="161"/>
      <c r="R56" s="161"/>
      <c r="S56" s="161"/>
      <c r="T56" s="161"/>
      <c r="U56" s="161"/>
      <c r="V56" s="161"/>
      <c r="W56" s="161"/>
      <c r="X56" s="161"/>
      <c r="Y56" s="161"/>
      <c r="Z56" s="161"/>
    </row>
    <row r="57">
      <c r="A57" s="18"/>
      <c r="B57" s="18"/>
      <c r="C57" s="18"/>
      <c r="D57" s="161"/>
      <c r="E57" s="161"/>
      <c r="F57" s="511"/>
      <c r="G57" s="161"/>
      <c r="H57" s="161"/>
      <c r="I57" s="161"/>
      <c r="J57" s="161"/>
      <c r="K57" s="161"/>
      <c r="L57" s="161"/>
      <c r="M57" s="161"/>
      <c r="N57" s="161"/>
      <c r="O57" s="161"/>
      <c r="P57" s="161"/>
      <c r="Q57" s="161"/>
      <c r="R57" s="161"/>
      <c r="S57" s="161"/>
      <c r="T57" s="161"/>
      <c r="U57" s="161"/>
      <c r="V57" s="161"/>
      <c r="W57" s="161"/>
      <c r="X57" s="161"/>
      <c r="Y57" s="161"/>
      <c r="Z57" s="161"/>
    </row>
    <row r="58">
      <c r="A58" s="18"/>
      <c r="B58" s="18"/>
      <c r="C58" s="18"/>
      <c r="D58" s="161"/>
      <c r="E58" s="161"/>
      <c r="F58" s="511"/>
      <c r="G58" s="161"/>
      <c r="H58" s="161"/>
      <c r="I58" s="161"/>
      <c r="J58" s="161"/>
      <c r="K58" s="161"/>
      <c r="L58" s="161"/>
      <c r="M58" s="161"/>
      <c r="N58" s="161"/>
      <c r="O58" s="161"/>
      <c r="P58" s="161"/>
      <c r="Q58" s="161"/>
      <c r="R58" s="161"/>
      <c r="S58" s="161"/>
      <c r="T58" s="161"/>
      <c r="U58" s="161"/>
      <c r="V58" s="161"/>
      <c r="W58" s="161"/>
      <c r="X58" s="161"/>
      <c r="Y58" s="161"/>
      <c r="Z58" s="161"/>
    </row>
    <row r="59">
      <c r="A59" s="18"/>
      <c r="B59" s="18"/>
      <c r="C59" s="18"/>
      <c r="D59" s="161"/>
      <c r="E59" s="161"/>
      <c r="F59" s="511"/>
      <c r="G59" s="161"/>
      <c r="H59" s="161"/>
      <c r="I59" s="161"/>
      <c r="J59" s="161"/>
      <c r="K59" s="161"/>
      <c r="L59" s="161"/>
      <c r="M59" s="161"/>
      <c r="N59" s="161"/>
      <c r="O59" s="161"/>
      <c r="P59" s="161"/>
      <c r="Q59" s="161"/>
      <c r="R59" s="161"/>
      <c r="S59" s="161"/>
      <c r="T59" s="161"/>
      <c r="U59" s="161"/>
      <c r="V59" s="161"/>
      <c r="W59" s="161"/>
      <c r="X59" s="161"/>
      <c r="Y59" s="161"/>
      <c r="Z59" s="161"/>
    </row>
    <row r="60">
      <c r="A60" s="18"/>
      <c r="B60" s="18"/>
      <c r="C60" s="18"/>
      <c r="D60" s="161"/>
      <c r="E60" s="161"/>
      <c r="F60" s="511"/>
      <c r="G60" s="161"/>
      <c r="H60" s="161"/>
      <c r="I60" s="161"/>
      <c r="J60" s="161"/>
      <c r="K60" s="161"/>
      <c r="L60" s="161"/>
      <c r="M60" s="161"/>
      <c r="N60" s="161"/>
      <c r="O60" s="161"/>
      <c r="P60" s="161"/>
      <c r="Q60" s="161"/>
      <c r="R60" s="161"/>
      <c r="S60" s="161"/>
      <c r="T60" s="161"/>
      <c r="U60" s="161"/>
      <c r="V60" s="161"/>
      <c r="W60" s="161"/>
      <c r="X60" s="161"/>
      <c r="Y60" s="161"/>
      <c r="Z60" s="161"/>
    </row>
    <row r="61">
      <c r="A61" s="18"/>
      <c r="B61" s="18"/>
      <c r="C61" s="18"/>
      <c r="D61" s="161"/>
      <c r="E61" s="161"/>
      <c r="F61" s="511"/>
      <c r="G61" s="161"/>
      <c r="H61" s="161"/>
      <c r="I61" s="161"/>
      <c r="J61" s="161"/>
      <c r="K61" s="161"/>
      <c r="L61" s="161"/>
      <c r="M61" s="161"/>
      <c r="N61" s="161"/>
      <c r="O61" s="161"/>
      <c r="P61" s="161"/>
      <c r="Q61" s="161"/>
      <c r="R61" s="161"/>
      <c r="S61" s="161"/>
      <c r="T61" s="161"/>
      <c r="U61" s="161"/>
      <c r="V61" s="161"/>
      <c r="W61" s="161"/>
      <c r="X61" s="161"/>
      <c r="Y61" s="161"/>
      <c r="Z61" s="161"/>
    </row>
    <row r="62">
      <c r="A62" s="18"/>
      <c r="B62" s="18"/>
      <c r="C62" s="18"/>
      <c r="D62" s="161"/>
      <c r="E62" s="161"/>
      <c r="F62" s="511"/>
      <c r="G62" s="161"/>
      <c r="H62" s="161"/>
      <c r="I62" s="161"/>
      <c r="J62" s="161"/>
      <c r="K62" s="161"/>
      <c r="L62" s="161"/>
      <c r="M62" s="161"/>
      <c r="N62" s="161"/>
      <c r="O62" s="161"/>
      <c r="P62" s="161"/>
      <c r="Q62" s="161"/>
      <c r="R62" s="161"/>
      <c r="S62" s="161"/>
      <c r="T62" s="161"/>
      <c r="U62" s="161"/>
      <c r="V62" s="161"/>
      <c r="W62" s="161"/>
      <c r="X62" s="161"/>
      <c r="Y62" s="161"/>
      <c r="Z62" s="161"/>
    </row>
    <row r="63">
      <c r="A63" s="18"/>
      <c r="B63" s="18"/>
      <c r="C63" s="18"/>
      <c r="D63" s="161"/>
      <c r="E63" s="161"/>
      <c r="F63" s="511"/>
      <c r="G63" s="161"/>
      <c r="H63" s="161"/>
      <c r="I63" s="161"/>
      <c r="J63" s="161"/>
      <c r="K63" s="161"/>
      <c r="L63" s="161"/>
      <c r="M63" s="161"/>
      <c r="N63" s="161"/>
      <c r="O63" s="161"/>
      <c r="P63" s="161"/>
      <c r="Q63" s="161"/>
      <c r="R63" s="161"/>
      <c r="S63" s="161"/>
      <c r="T63" s="161"/>
      <c r="U63" s="161"/>
      <c r="V63" s="161"/>
      <c r="W63" s="161"/>
      <c r="X63" s="161"/>
      <c r="Y63" s="161"/>
      <c r="Z63" s="161"/>
    </row>
    <row r="64">
      <c r="A64" s="18"/>
      <c r="B64" s="18"/>
      <c r="C64" s="18"/>
      <c r="D64" s="161"/>
      <c r="E64" s="161"/>
      <c r="F64" s="511"/>
      <c r="G64" s="161"/>
      <c r="H64" s="161"/>
      <c r="I64" s="161"/>
      <c r="J64" s="161"/>
      <c r="K64" s="161"/>
      <c r="L64" s="161"/>
      <c r="M64" s="161"/>
      <c r="N64" s="161"/>
      <c r="O64" s="161"/>
      <c r="P64" s="161"/>
      <c r="Q64" s="161"/>
      <c r="R64" s="161"/>
      <c r="S64" s="161"/>
      <c r="T64" s="161"/>
      <c r="U64" s="161"/>
      <c r="V64" s="161"/>
      <c r="W64" s="161"/>
      <c r="X64" s="161"/>
      <c r="Y64" s="161"/>
      <c r="Z64" s="161"/>
    </row>
    <row r="65">
      <c r="A65" s="18"/>
      <c r="B65" s="18"/>
      <c r="C65" s="18"/>
      <c r="D65" s="161"/>
      <c r="E65" s="161"/>
      <c r="F65" s="511"/>
      <c r="G65" s="161"/>
      <c r="H65" s="161"/>
      <c r="I65" s="161"/>
      <c r="J65" s="161"/>
      <c r="K65" s="161"/>
      <c r="L65" s="161"/>
      <c r="M65" s="161"/>
      <c r="N65" s="161"/>
      <c r="O65" s="161"/>
      <c r="P65" s="161"/>
      <c r="Q65" s="161"/>
      <c r="R65" s="161"/>
      <c r="S65" s="161"/>
      <c r="T65" s="161"/>
      <c r="U65" s="161"/>
      <c r="V65" s="161"/>
      <c r="W65" s="161"/>
      <c r="X65" s="161"/>
      <c r="Y65" s="161"/>
      <c r="Z65" s="161"/>
    </row>
    <row r="66">
      <c r="A66" s="18"/>
      <c r="B66" s="18"/>
      <c r="C66" s="18"/>
      <c r="D66" s="161"/>
      <c r="E66" s="161"/>
      <c r="F66" s="511"/>
      <c r="G66" s="161"/>
      <c r="H66" s="161"/>
      <c r="I66" s="161"/>
      <c r="J66" s="161"/>
      <c r="K66" s="161"/>
      <c r="L66" s="161"/>
      <c r="M66" s="161"/>
      <c r="N66" s="161"/>
      <c r="O66" s="161"/>
      <c r="P66" s="161"/>
      <c r="Q66" s="161"/>
      <c r="R66" s="161"/>
      <c r="S66" s="161"/>
      <c r="T66" s="161"/>
      <c r="U66" s="161"/>
      <c r="V66" s="161"/>
      <c r="W66" s="161"/>
      <c r="X66" s="161"/>
      <c r="Y66" s="161"/>
      <c r="Z66" s="161"/>
    </row>
    <row r="67">
      <c r="A67" s="18"/>
      <c r="B67" s="18"/>
      <c r="C67" s="18"/>
      <c r="D67" s="161"/>
      <c r="E67" s="161"/>
      <c r="F67" s="511"/>
      <c r="G67" s="161"/>
      <c r="H67" s="161"/>
      <c r="I67" s="161"/>
      <c r="J67" s="161"/>
      <c r="K67" s="161"/>
      <c r="L67" s="161"/>
      <c r="M67" s="161"/>
      <c r="N67" s="161"/>
      <c r="O67" s="161"/>
      <c r="P67" s="161"/>
      <c r="Q67" s="161"/>
      <c r="R67" s="161"/>
      <c r="S67" s="161"/>
      <c r="T67" s="161"/>
      <c r="U67" s="161"/>
      <c r="V67" s="161"/>
      <c r="W67" s="161"/>
      <c r="X67" s="161"/>
      <c r="Y67" s="161"/>
      <c r="Z67" s="161"/>
    </row>
    <row r="68">
      <c r="A68" s="18"/>
      <c r="B68" s="18"/>
      <c r="C68" s="18"/>
      <c r="D68" s="161"/>
      <c r="E68" s="161"/>
      <c r="F68" s="511"/>
      <c r="G68" s="161"/>
      <c r="H68" s="161"/>
      <c r="I68" s="161"/>
      <c r="J68" s="161"/>
      <c r="K68" s="161"/>
      <c r="L68" s="161"/>
      <c r="M68" s="161"/>
      <c r="N68" s="161"/>
      <c r="O68" s="161"/>
      <c r="P68" s="161"/>
      <c r="Q68" s="161"/>
      <c r="R68" s="161"/>
      <c r="S68" s="161"/>
      <c r="T68" s="161"/>
      <c r="U68" s="161"/>
      <c r="V68" s="161"/>
      <c r="W68" s="161"/>
      <c r="X68" s="161"/>
      <c r="Y68" s="161"/>
      <c r="Z68" s="161"/>
    </row>
    <row r="69">
      <c r="A69" s="18"/>
      <c r="B69" s="18"/>
      <c r="C69" s="18"/>
      <c r="D69" s="161"/>
      <c r="E69" s="161"/>
      <c r="F69" s="511"/>
      <c r="G69" s="161"/>
      <c r="H69" s="161"/>
      <c r="I69" s="161"/>
      <c r="J69" s="161"/>
      <c r="K69" s="161"/>
      <c r="L69" s="161"/>
      <c r="M69" s="161"/>
      <c r="N69" s="161"/>
      <c r="O69" s="161"/>
      <c r="P69" s="161"/>
      <c r="Q69" s="161"/>
      <c r="R69" s="161"/>
      <c r="S69" s="161"/>
      <c r="T69" s="161"/>
      <c r="U69" s="161"/>
      <c r="V69" s="161"/>
      <c r="W69" s="161"/>
      <c r="X69" s="161"/>
      <c r="Y69" s="161"/>
      <c r="Z69" s="161"/>
    </row>
    <row r="70">
      <c r="A70" s="18"/>
      <c r="B70" s="18"/>
      <c r="C70" s="18"/>
      <c r="D70" s="161"/>
      <c r="E70" s="161"/>
      <c r="F70" s="511"/>
      <c r="G70" s="161"/>
      <c r="H70" s="161"/>
      <c r="I70" s="161"/>
      <c r="J70" s="161"/>
      <c r="K70" s="161"/>
      <c r="L70" s="161"/>
      <c r="M70" s="161"/>
      <c r="N70" s="161"/>
      <c r="O70" s="161"/>
      <c r="P70" s="161"/>
      <c r="Q70" s="161"/>
      <c r="R70" s="161"/>
      <c r="S70" s="161"/>
      <c r="T70" s="161"/>
      <c r="U70" s="161"/>
      <c r="V70" s="161"/>
      <c r="W70" s="161"/>
      <c r="X70" s="161"/>
      <c r="Y70" s="161"/>
      <c r="Z70" s="161"/>
    </row>
    <row r="71">
      <c r="A71" s="18"/>
      <c r="B71" s="18"/>
      <c r="C71" s="18"/>
      <c r="D71" s="161"/>
      <c r="E71" s="161"/>
      <c r="F71" s="511"/>
      <c r="G71" s="161"/>
      <c r="H71" s="161"/>
      <c r="I71" s="161"/>
      <c r="J71" s="161"/>
      <c r="K71" s="161"/>
      <c r="L71" s="161"/>
      <c r="M71" s="161"/>
      <c r="N71" s="161"/>
      <c r="O71" s="161"/>
      <c r="P71" s="161"/>
      <c r="Q71" s="161"/>
      <c r="R71" s="161"/>
      <c r="S71" s="161"/>
      <c r="T71" s="161"/>
      <c r="U71" s="161"/>
      <c r="V71" s="161"/>
      <c r="W71" s="161"/>
      <c r="X71" s="161"/>
      <c r="Y71" s="161"/>
      <c r="Z71" s="161"/>
    </row>
    <row r="72">
      <c r="A72" s="18"/>
      <c r="B72" s="18"/>
      <c r="C72" s="18"/>
      <c r="D72" s="161"/>
      <c r="E72" s="161"/>
      <c r="F72" s="511"/>
      <c r="G72" s="161"/>
      <c r="H72" s="161"/>
      <c r="I72" s="161"/>
      <c r="J72" s="161"/>
      <c r="K72" s="161"/>
      <c r="L72" s="161"/>
      <c r="M72" s="161"/>
      <c r="N72" s="161"/>
      <c r="O72" s="161"/>
      <c r="P72" s="161"/>
      <c r="Q72" s="161"/>
      <c r="R72" s="161"/>
      <c r="S72" s="161"/>
      <c r="T72" s="161"/>
      <c r="U72" s="161"/>
      <c r="V72" s="161"/>
      <c r="W72" s="161"/>
      <c r="X72" s="161"/>
      <c r="Y72" s="161"/>
      <c r="Z72" s="161"/>
    </row>
    <row r="73">
      <c r="A73" s="18"/>
      <c r="B73" s="18"/>
      <c r="C73" s="18"/>
      <c r="D73" s="161"/>
      <c r="E73" s="161"/>
      <c r="F73" s="511"/>
      <c r="G73" s="161"/>
      <c r="H73" s="161"/>
      <c r="I73" s="161"/>
      <c r="J73" s="161"/>
      <c r="K73" s="161"/>
      <c r="L73" s="161"/>
      <c r="M73" s="161"/>
      <c r="N73" s="161"/>
      <c r="O73" s="161"/>
      <c r="P73" s="161"/>
      <c r="Q73" s="161"/>
      <c r="R73" s="161"/>
      <c r="S73" s="161"/>
      <c r="T73" s="161"/>
      <c r="U73" s="161"/>
      <c r="V73" s="161"/>
      <c r="W73" s="161"/>
      <c r="X73" s="161"/>
      <c r="Y73" s="161"/>
      <c r="Z73" s="161"/>
    </row>
    <row r="74">
      <c r="A74" s="18"/>
      <c r="B74" s="18"/>
      <c r="C74" s="18"/>
      <c r="D74" s="161"/>
      <c r="E74" s="161"/>
      <c r="F74" s="511"/>
      <c r="G74" s="161"/>
      <c r="H74" s="161"/>
      <c r="I74" s="161"/>
      <c r="J74" s="161"/>
      <c r="K74" s="161"/>
      <c r="L74" s="161"/>
      <c r="M74" s="161"/>
      <c r="N74" s="161"/>
      <c r="O74" s="161"/>
      <c r="P74" s="161"/>
      <c r="Q74" s="161"/>
      <c r="R74" s="161"/>
      <c r="S74" s="161"/>
      <c r="T74" s="161"/>
      <c r="U74" s="161"/>
      <c r="V74" s="161"/>
      <c r="W74" s="161"/>
      <c r="X74" s="161"/>
      <c r="Y74" s="161"/>
      <c r="Z74" s="161"/>
    </row>
    <row r="75">
      <c r="A75" s="18"/>
      <c r="B75" s="18"/>
      <c r="C75" s="18"/>
      <c r="D75" s="161"/>
      <c r="E75" s="161"/>
      <c r="F75" s="511"/>
      <c r="G75" s="161"/>
      <c r="H75" s="161"/>
      <c r="I75" s="161"/>
      <c r="J75" s="161"/>
      <c r="K75" s="161"/>
      <c r="L75" s="161"/>
      <c r="M75" s="161"/>
      <c r="N75" s="161"/>
      <c r="O75" s="161"/>
      <c r="P75" s="161"/>
      <c r="Q75" s="161"/>
      <c r="R75" s="161"/>
      <c r="S75" s="161"/>
      <c r="T75" s="161"/>
      <c r="U75" s="161"/>
      <c r="V75" s="161"/>
      <c r="W75" s="161"/>
      <c r="X75" s="161"/>
      <c r="Y75" s="161"/>
      <c r="Z75" s="161"/>
    </row>
    <row r="76">
      <c r="A76" s="18"/>
      <c r="B76" s="18"/>
      <c r="C76" s="18"/>
      <c r="D76" s="161"/>
      <c r="E76" s="161"/>
      <c r="F76" s="511"/>
      <c r="G76" s="161"/>
      <c r="H76" s="161"/>
      <c r="I76" s="161"/>
      <c r="J76" s="161"/>
      <c r="K76" s="161"/>
      <c r="L76" s="161"/>
      <c r="M76" s="161"/>
      <c r="N76" s="161"/>
      <c r="O76" s="161"/>
      <c r="P76" s="161"/>
      <c r="Q76" s="161"/>
      <c r="R76" s="161"/>
      <c r="S76" s="161"/>
      <c r="T76" s="161"/>
      <c r="U76" s="161"/>
      <c r="V76" s="161"/>
      <c r="W76" s="161"/>
      <c r="X76" s="161"/>
      <c r="Y76" s="161"/>
      <c r="Z76" s="161"/>
    </row>
    <row r="77">
      <c r="A77" s="18"/>
      <c r="B77" s="18"/>
      <c r="C77" s="18"/>
      <c r="D77" s="161"/>
      <c r="E77" s="161"/>
      <c r="F77" s="511"/>
      <c r="G77" s="161"/>
      <c r="H77" s="161"/>
      <c r="I77" s="161"/>
      <c r="J77" s="161"/>
      <c r="K77" s="161"/>
      <c r="L77" s="161"/>
      <c r="M77" s="161"/>
      <c r="N77" s="161"/>
      <c r="O77" s="161"/>
      <c r="P77" s="161"/>
      <c r="Q77" s="161"/>
      <c r="R77" s="161"/>
      <c r="S77" s="161"/>
      <c r="T77" s="161"/>
      <c r="U77" s="161"/>
      <c r="V77" s="161"/>
      <c r="W77" s="161"/>
      <c r="X77" s="161"/>
      <c r="Y77" s="161"/>
      <c r="Z77" s="161"/>
    </row>
    <row r="78">
      <c r="A78" s="18"/>
      <c r="B78" s="18"/>
      <c r="C78" s="18"/>
      <c r="D78" s="161"/>
      <c r="E78" s="161"/>
      <c r="F78" s="511"/>
      <c r="G78" s="161"/>
      <c r="H78" s="161"/>
      <c r="I78" s="161"/>
      <c r="J78" s="161"/>
      <c r="K78" s="161"/>
      <c r="L78" s="161"/>
      <c r="M78" s="161"/>
      <c r="N78" s="161"/>
      <c r="O78" s="161"/>
      <c r="P78" s="161"/>
      <c r="Q78" s="161"/>
      <c r="R78" s="161"/>
      <c r="S78" s="161"/>
      <c r="T78" s="161"/>
      <c r="U78" s="161"/>
      <c r="V78" s="161"/>
      <c r="W78" s="161"/>
      <c r="X78" s="161"/>
      <c r="Y78" s="161"/>
      <c r="Z78" s="161"/>
    </row>
    <row r="79">
      <c r="A79" s="18"/>
      <c r="B79" s="18"/>
      <c r="C79" s="18"/>
      <c r="D79" s="161"/>
      <c r="E79" s="161"/>
      <c r="F79" s="511"/>
      <c r="G79" s="161"/>
      <c r="H79" s="161"/>
      <c r="I79" s="161"/>
      <c r="J79" s="161"/>
      <c r="K79" s="161"/>
      <c r="L79" s="161"/>
      <c r="M79" s="161"/>
      <c r="N79" s="161"/>
      <c r="O79" s="161"/>
      <c r="P79" s="161"/>
      <c r="Q79" s="161"/>
      <c r="R79" s="161"/>
      <c r="S79" s="161"/>
      <c r="T79" s="161"/>
      <c r="U79" s="161"/>
      <c r="V79" s="161"/>
      <c r="W79" s="161"/>
      <c r="X79" s="161"/>
      <c r="Y79" s="161"/>
      <c r="Z79" s="161"/>
    </row>
    <row r="80">
      <c r="A80" s="18"/>
      <c r="B80" s="18"/>
      <c r="C80" s="18"/>
      <c r="D80" s="161"/>
      <c r="E80" s="161"/>
      <c r="F80" s="511"/>
      <c r="G80" s="161"/>
      <c r="H80" s="161"/>
      <c r="I80" s="161"/>
      <c r="J80" s="161"/>
      <c r="K80" s="161"/>
      <c r="L80" s="161"/>
      <c r="M80" s="161"/>
      <c r="N80" s="161"/>
      <c r="O80" s="161"/>
      <c r="P80" s="161"/>
      <c r="Q80" s="161"/>
      <c r="R80" s="161"/>
      <c r="S80" s="161"/>
      <c r="T80" s="161"/>
      <c r="U80" s="161"/>
      <c r="V80" s="161"/>
      <c r="W80" s="161"/>
      <c r="X80" s="161"/>
      <c r="Y80" s="161"/>
      <c r="Z80" s="161"/>
    </row>
    <row r="81">
      <c r="A81" s="18"/>
      <c r="B81" s="18"/>
      <c r="C81" s="18"/>
      <c r="D81" s="161"/>
      <c r="E81" s="161"/>
      <c r="F81" s="511"/>
      <c r="G81" s="161"/>
      <c r="H81" s="161"/>
      <c r="I81" s="161"/>
      <c r="J81" s="161"/>
      <c r="K81" s="161"/>
      <c r="L81" s="161"/>
      <c r="M81" s="161"/>
      <c r="N81" s="161"/>
      <c r="O81" s="161"/>
      <c r="P81" s="161"/>
      <c r="Q81" s="161"/>
      <c r="R81" s="161"/>
      <c r="S81" s="161"/>
      <c r="T81" s="161"/>
      <c r="U81" s="161"/>
      <c r="V81" s="161"/>
      <c r="W81" s="161"/>
      <c r="X81" s="161"/>
      <c r="Y81" s="161"/>
      <c r="Z81" s="161"/>
    </row>
    <row r="82">
      <c r="A82" s="18"/>
      <c r="B82" s="18"/>
      <c r="C82" s="18"/>
      <c r="D82" s="161"/>
      <c r="E82" s="161"/>
      <c r="F82" s="511"/>
      <c r="G82" s="161"/>
      <c r="H82" s="161"/>
      <c r="I82" s="161"/>
      <c r="J82" s="161"/>
      <c r="K82" s="161"/>
      <c r="L82" s="161"/>
      <c r="M82" s="161"/>
      <c r="N82" s="161"/>
      <c r="O82" s="161"/>
      <c r="P82" s="161"/>
      <c r="Q82" s="161"/>
      <c r="R82" s="161"/>
      <c r="S82" s="161"/>
      <c r="T82" s="161"/>
      <c r="U82" s="161"/>
      <c r="V82" s="161"/>
      <c r="W82" s="161"/>
      <c r="X82" s="161"/>
      <c r="Y82" s="161"/>
      <c r="Z82" s="161"/>
    </row>
    <row r="83">
      <c r="A83" s="18"/>
      <c r="B83" s="18"/>
      <c r="C83" s="18"/>
      <c r="D83" s="161"/>
      <c r="E83" s="161"/>
      <c r="F83" s="511"/>
      <c r="G83" s="161"/>
      <c r="H83" s="161"/>
      <c r="I83" s="161"/>
      <c r="J83" s="161"/>
      <c r="K83" s="161"/>
      <c r="L83" s="161"/>
      <c r="M83" s="161"/>
      <c r="N83" s="161"/>
      <c r="O83" s="161"/>
      <c r="P83" s="161"/>
      <c r="Q83" s="161"/>
      <c r="R83" s="161"/>
      <c r="S83" s="161"/>
      <c r="T83" s="161"/>
      <c r="U83" s="161"/>
      <c r="V83" s="161"/>
      <c r="W83" s="161"/>
      <c r="X83" s="161"/>
      <c r="Y83" s="161"/>
      <c r="Z83" s="161"/>
    </row>
    <row r="84">
      <c r="A84" s="18"/>
      <c r="B84" s="18"/>
      <c r="C84" s="18"/>
      <c r="D84" s="161"/>
      <c r="E84" s="161"/>
      <c r="F84" s="511"/>
      <c r="G84" s="161"/>
      <c r="H84" s="161"/>
      <c r="I84" s="161"/>
      <c r="J84" s="161"/>
      <c r="K84" s="161"/>
      <c r="L84" s="161"/>
      <c r="M84" s="161"/>
      <c r="N84" s="161"/>
      <c r="O84" s="161"/>
      <c r="P84" s="161"/>
      <c r="Q84" s="161"/>
      <c r="R84" s="161"/>
      <c r="S84" s="161"/>
      <c r="T84" s="161"/>
      <c r="U84" s="161"/>
      <c r="V84" s="161"/>
      <c r="W84" s="161"/>
      <c r="X84" s="161"/>
      <c r="Y84" s="161"/>
      <c r="Z84" s="161"/>
    </row>
    <row r="85">
      <c r="A85" s="18"/>
      <c r="B85" s="18"/>
      <c r="C85" s="18"/>
      <c r="D85" s="161"/>
      <c r="E85" s="161"/>
      <c r="F85" s="511"/>
      <c r="G85" s="161"/>
      <c r="H85" s="161"/>
      <c r="I85" s="161"/>
      <c r="J85" s="161"/>
      <c r="K85" s="161"/>
      <c r="L85" s="161"/>
      <c r="M85" s="161"/>
      <c r="N85" s="161"/>
      <c r="O85" s="161"/>
      <c r="P85" s="161"/>
      <c r="Q85" s="161"/>
      <c r="R85" s="161"/>
      <c r="S85" s="161"/>
      <c r="T85" s="161"/>
      <c r="U85" s="161"/>
      <c r="V85" s="161"/>
      <c r="W85" s="161"/>
      <c r="X85" s="161"/>
      <c r="Y85" s="161"/>
      <c r="Z85" s="161"/>
    </row>
    <row r="86">
      <c r="A86" s="18"/>
      <c r="B86" s="18"/>
      <c r="C86" s="18"/>
      <c r="D86" s="161"/>
      <c r="E86" s="161"/>
      <c r="F86" s="511"/>
      <c r="G86" s="161"/>
      <c r="H86" s="161"/>
      <c r="I86" s="161"/>
      <c r="J86" s="161"/>
      <c r="K86" s="161"/>
      <c r="L86" s="161"/>
      <c r="M86" s="161"/>
      <c r="N86" s="161"/>
      <c r="O86" s="161"/>
      <c r="P86" s="161"/>
      <c r="Q86" s="161"/>
      <c r="R86" s="161"/>
      <c r="S86" s="161"/>
      <c r="T86" s="161"/>
      <c r="U86" s="161"/>
      <c r="V86" s="161"/>
      <c r="W86" s="161"/>
      <c r="X86" s="161"/>
      <c r="Y86" s="161"/>
      <c r="Z86" s="161"/>
    </row>
    <row r="87">
      <c r="A87" s="18"/>
      <c r="B87" s="18"/>
      <c r="C87" s="18"/>
      <c r="D87" s="161"/>
      <c r="E87" s="161"/>
      <c r="F87" s="511"/>
      <c r="G87" s="161"/>
      <c r="H87" s="161"/>
      <c r="I87" s="161"/>
      <c r="J87" s="161"/>
      <c r="K87" s="161"/>
      <c r="L87" s="161"/>
      <c r="M87" s="161"/>
      <c r="N87" s="161"/>
      <c r="O87" s="161"/>
      <c r="P87" s="161"/>
      <c r="Q87" s="161"/>
      <c r="R87" s="161"/>
      <c r="S87" s="161"/>
      <c r="T87" s="161"/>
      <c r="U87" s="161"/>
      <c r="V87" s="161"/>
      <c r="W87" s="161"/>
      <c r="X87" s="161"/>
      <c r="Y87" s="161"/>
      <c r="Z87" s="161"/>
    </row>
    <row r="88">
      <c r="A88" s="18"/>
      <c r="B88" s="18"/>
      <c r="C88" s="18"/>
      <c r="D88" s="161"/>
      <c r="E88" s="161"/>
      <c r="F88" s="511"/>
      <c r="G88" s="161"/>
      <c r="H88" s="161"/>
      <c r="I88" s="161"/>
      <c r="J88" s="161"/>
      <c r="K88" s="161"/>
      <c r="L88" s="161"/>
      <c r="M88" s="161"/>
      <c r="N88" s="161"/>
      <c r="O88" s="161"/>
      <c r="P88" s="161"/>
      <c r="Q88" s="161"/>
      <c r="R88" s="161"/>
      <c r="S88" s="161"/>
      <c r="T88" s="161"/>
      <c r="U88" s="161"/>
      <c r="V88" s="161"/>
      <c r="W88" s="161"/>
      <c r="X88" s="161"/>
      <c r="Y88" s="161"/>
      <c r="Z88" s="161"/>
    </row>
    <row r="89">
      <c r="A89" s="18"/>
      <c r="B89" s="18"/>
      <c r="C89" s="18"/>
      <c r="D89" s="161"/>
      <c r="E89" s="161"/>
      <c r="F89" s="511"/>
      <c r="G89" s="161"/>
      <c r="H89" s="161"/>
      <c r="I89" s="161"/>
      <c r="J89" s="161"/>
      <c r="K89" s="161"/>
      <c r="L89" s="161"/>
      <c r="M89" s="161"/>
      <c r="N89" s="161"/>
      <c r="O89" s="161"/>
      <c r="P89" s="161"/>
      <c r="Q89" s="161"/>
      <c r="R89" s="161"/>
      <c r="S89" s="161"/>
      <c r="T89" s="161"/>
      <c r="U89" s="161"/>
      <c r="V89" s="161"/>
      <c r="W89" s="161"/>
      <c r="X89" s="161"/>
      <c r="Y89" s="161"/>
      <c r="Z89" s="161"/>
    </row>
    <row r="90">
      <c r="A90" s="18"/>
      <c r="B90" s="18"/>
      <c r="C90" s="18"/>
      <c r="D90" s="161"/>
      <c r="E90" s="161"/>
      <c r="F90" s="511"/>
      <c r="G90" s="161"/>
      <c r="H90" s="161"/>
      <c r="I90" s="161"/>
      <c r="J90" s="161"/>
      <c r="K90" s="161"/>
      <c r="L90" s="161"/>
      <c r="M90" s="161"/>
      <c r="N90" s="161"/>
      <c r="O90" s="161"/>
      <c r="P90" s="161"/>
      <c r="Q90" s="161"/>
      <c r="R90" s="161"/>
      <c r="S90" s="161"/>
      <c r="T90" s="161"/>
      <c r="U90" s="161"/>
      <c r="V90" s="161"/>
      <c r="W90" s="161"/>
      <c r="X90" s="161"/>
      <c r="Y90" s="161"/>
      <c r="Z90" s="161"/>
    </row>
    <row r="91">
      <c r="A91" s="18"/>
      <c r="B91" s="18"/>
      <c r="C91" s="18"/>
      <c r="D91" s="161"/>
      <c r="E91" s="161"/>
      <c r="F91" s="511"/>
      <c r="G91" s="161"/>
      <c r="H91" s="161"/>
      <c r="I91" s="161"/>
      <c r="J91" s="161"/>
      <c r="K91" s="161"/>
      <c r="L91" s="161"/>
      <c r="M91" s="161"/>
      <c r="N91" s="161"/>
      <c r="O91" s="161"/>
      <c r="P91" s="161"/>
      <c r="Q91" s="161"/>
      <c r="R91" s="161"/>
      <c r="S91" s="161"/>
      <c r="T91" s="161"/>
      <c r="U91" s="161"/>
      <c r="V91" s="161"/>
      <c r="W91" s="161"/>
      <c r="X91" s="161"/>
      <c r="Y91" s="161"/>
      <c r="Z91" s="161"/>
    </row>
    <row r="92">
      <c r="A92" s="18"/>
      <c r="B92" s="18"/>
      <c r="C92" s="18"/>
      <c r="D92" s="161"/>
      <c r="E92" s="161"/>
      <c r="F92" s="511"/>
      <c r="G92" s="161"/>
      <c r="H92" s="161"/>
      <c r="I92" s="161"/>
      <c r="J92" s="161"/>
      <c r="K92" s="161"/>
      <c r="L92" s="161"/>
      <c r="M92" s="161"/>
      <c r="N92" s="161"/>
      <c r="O92" s="161"/>
      <c r="P92" s="161"/>
      <c r="Q92" s="161"/>
      <c r="R92" s="161"/>
      <c r="S92" s="161"/>
      <c r="T92" s="161"/>
      <c r="U92" s="161"/>
      <c r="V92" s="161"/>
      <c r="W92" s="161"/>
      <c r="X92" s="161"/>
      <c r="Y92" s="161"/>
      <c r="Z92" s="161"/>
    </row>
    <row r="93">
      <c r="A93" s="18"/>
      <c r="B93" s="18"/>
      <c r="C93" s="18"/>
      <c r="D93" s="161"/>
      <c r="E93" s="161"/>
      <c r="F93" s="511"/>
      <c r="G93" s="161"/>
      <c r="H93" s="161"/>
      <c r="I93" s="161"/>
      <c r="J93" s="161"/>
      <c r="K93" s="161"/>
      <c r="L93" s="161"/>
      <c r="M93" s="161"/>
      <c r="N93" s="161"/>
      <c r="O93" s="161"/>
      <c r="P93" s="161"/>
      <c r="Q93" s="161"/>
      <c r="R93" s="161"/>
      <c r="S93" s="161"/>
      <c r="T93" s="161"/>
      <c r="U93" s="161"/>
      <c r="V93" s="161"/>
      <c r="W93" s="161"/>
      <c r="X93" s="161"/>
      <c r="Y93" s="161"/>
      <c r="Z93" s="161"/>
    </row>
    <row r="94">
      <c r="A94" s="18"/>
      <c r="B94" s="18"/>
      <c r="C94" s="18"/>
      <c r="D94" s="161"/>
      <c r="E94" s="161"/>
      <c r="F94" s="511"/>
      <c r="G94" s="161"/>
      <c r="H94" s="161"/>
      <c r="I94" s="161"/>
      <c r="J94" s="161"/>
      <c r="K94" s="161"/>
      <c r="L94" s="161"/>
      <c r="M94" s="161"/>
      <c r="N94" s="161"/>
      <c r="O94" s="161"/>
      <c r="P94" s="161"/>
      <c r="Q94" s="161"/>
      <c r="R94" s="161"/>
      <c r="S94" s="161"/>
      <c r="T94" s="161"/>
      <c r="U94" s="161"/>
      <c r="V94" s="161"/>
      <c r="W94" s="161"/>
      <c r="X94" s="161"/>
      <c r="Y94" s="161"/>
      <c r="Z94" s="161"/>
    </row>
    <row r="95">
      <c r="A95" s="18"/>
      <c r="B95" s="18"/>
      <c r="C95" s="18"/>
      <c r="D95" s="161"/>
      <c r="E95" s="161"/>
      <c r="F95" s="511"/>
      <c r="G95" s="161"/>
      <c r="H95" s="161"/>
      <c r="I95" s="161"/>
      <c r="J95" s="161"/>
      <c r="K95" s="161"/>
      <c r="L95" s="161"/>
      <c r="M95" s="161"/>
      <c r="N95" s="161"/>
      <c r="O95" s="161"/>
      <c r="P95" s="161"/>
      <c r="Q95" s="161"/>
      <c r="R95" s="161"/>
      <c r="S95" s="161"/>
      <c r="T95" s="161"/>
      <c r="U95" s="161"/>
      <c r="V95" s="161"/>
      <c r="W95" s="161"/>
      <c r="X95" s="161"/>
      <c r="Y95" s="161"/>
      <c r="Z95" s="161"/>
    </row>
    <row r="96">
      <c r="A96" s="18"/>
      <c r="B96" s="18"/>
      <c r="C96" s="18"/>
      <c r="D96" s="161"/>
      <c r="E96" s="161"/>
      <c r="F96" s="511"/>
      <c r="G96" s="161"/>
      <c r="H96" s="161"/>
      <c r="I96" s="161"/>
      <c r="J96" s="161"/>
      <c r="K96" s="161"/>
      <c r="L96" s="161"/>
      <c r="M96" s="161"/>
      <c r="N96" s="161"/>
      <c r="O96" s="161"/>
      <c r="P96" s="161"/>
      <c r="Q96" s="161"/>
      <c r="R96" s="161"/>
      <c r="S96" s="161"/>
      <c r="T96" s="161"/>
      <c r="U96" s="161"/>
      <c r="V96" s="161"/>
      <c r="W96" s="161"/>
      <c r="X96" s="161"/>
      <c r="Y96" s="161"/>
      <c r="Z96" s="161"/>
    </row>
    <row r="97">
      <c r="A97" s="18"/>
      <c r="B97" s="18"/>
      <c r="C97" s="18"/>
      <c r="D97" s="161"/>
      <c r="E97" s="161"/>
      <c r="F97" s="511"/>
      <c r="G97" s="161"/>
      <c r="H97" s="161"/>
      <c r="I97" s="161"/>
      <c r="J97" s="161"/>
      <c r="K97" s="161"/>
      <c r="L97" s="161"/>
      <c r="M97" s="161"/>
      <c r="N97" s="161"/>
      <c r="O97" s="161"/>
      <c r="P97" s="161"/>
      <c r="Q97" s="161"/>
      <c r="R97" s="161"/>
      <c r="S97" s="161"/>
      <c r="T97" s="161"/>
      <c r="U97" s="161"/>
      <c r="V97" s="161"/>
      <c r="W97" s="161"/>
      <c r="X97" s="161"/>
      <c r="Y97" s="161"/>
      <c r="Z97" s="161"/>
    </row>
    <row r="98">
      <c r="A98" s="18"/>
      <c r="B98" s="18"/>
      <c r="C98" s="18"/>
      <c r="D98" s="161"/>
      <c r="E98" s="161"/>
      <c r="F98" s="511"/>
      <c r="G98" s="161"/>
      <c r="H98" s="161"/>
      <c r="I98" s="161"/>
      <c r="J98" s="161"/>
      <c r="K98" s="161"/>
      <c r="L98" s="161"/>
      <c r="M98" s="161"/>
      <c r="N98" s="161"/>
      <c r="O98" s="161"/>
      <c r="P98" s="161"/>
      <c r="Q98" s="161"/>
      <c r="R98" s="161"/>
      <c r="S98" s="161"/>
      <c r="T98" s="161"/>
      <c r="U98" s="161"/>
      <c r="V98" s="161"/>
      <c r="W98" s="161"/>
      <c r="X98" s="161"/>
      <c r="Y98" s="161"/>
      <c r="Z98" s="161"/>
    </row>
    <row r="99">
      <c r="A99" s="18"/>
      <c r="B99" s="18"/>
      <c r="C99" s="18"/>
      <c r="D99" s="161"/>
      <c r="E99" s="161"/>
      <c r="F99" s="511"/>
      <c r="G99" s="161"/>
      <c r="H99" s="161"/>
      <c r="I99" s="161"/>
      <c r="J99" s="161"/>
      <c r="K99" s="161"/>
      <c r="L99" s="161"/>
      <c r="M99" s="161"/>
      <c r="N99" s="161"/>
      <c r="O99" s="161"/>
      <c r="P99" s="161"/>
      <c r="Q99" s="161"/>
      <c r="R99" s="161"/>
      <c r="S99" s="161"/>
      <c r="T99" s="161"/>
      <c r="U99" s="161"/>
      <c r="V99" s="161"/>
      <c r="W99" s="161"/>
      <c r="X99" s="161"/>
      <c r="Y99" s="161"/>
      <c r="Z99" s="161"/>
    </row>
    <row r="100">
      <c r="A100" s="18"/>
      <c r="B100" s="18"/>
      <c r="C100" s="18"/>
      <c r="D100" s="161"/>
      <c r="E100" s="161"/>
      <c r="F100" s="511"/>
      <c r="G100" s="161"/>
      <c r="H100" s="161"/>
      <c r="I100" s="161"/>
      <c r="J100" s="161"/>
      <c r="K100" s="161"/>
      <c r="L100" s="161"/>
      <c r="M100" s="161"/>
      <c r="N100" s="161"/>
      <c r="O100" s="161"/>
      <c r="P100" s="161"/>
      <c r="Q100" s="161"/>
      <c r="R100" s="161"/>
      <c r="S100" s="161"/>
      <c r="T100" s="161"/>
      <c r="U100" s="161"/>
      <c r="V100" s="161"/>
      <c r="W100" s="161"/>
      <c r="X100" s="161"/>
      <c r="Y100" s="161"/>
      <c r="Z100" s="161"/>
    </row>
    <row r="101">
      <c r="A101" s="18"/>
      <c r="B101" s="18"/>
      <c r="C101" s="18"/>
      <c r="D101" s="161"/>
      <c r="E101" s="161"/>
      <c r="F101" s="511"/>
      <c r="G101" s="161"/>
      <c r="H101" s="161"/>
      <c r="I101" s="161"/>
      <c r="J101" s="161"/>
      <c r="K101" s="161"/>
      <c r="L101" s="161"/>
      <c r="M101" s="161"/>
      <c r="N101" s="161"/>
      <c r="O101" s="161"/>
      <c r="P101" s="161"/>
      <c r="Q101" s="161"/>
      <c r="R101" s="161"/>
      <c r="S101" s="161"/>
      <c r="T101" s="161"/>
      <c r="U101" s="161"/>
      <c r="V101" s="161"/>
      <c r="W101" s="161"/>
      <c r="X101" s="161"/>
      <c r="Y101" s="161"/>
      <c r="Z101" s="161"/>
    </row>
    <row r="102">
      <c r="A102" s="18"/>
      <c r="B102" s="18"/>
      <c r="C102" s="18"/>
      <c r="D102" s="161"/>
      <c r="E102" s="161"/>
      <c r="F102" s="511"/>
      <c r="G102" s="161"/>
      <c r="H102" s="161"/>
      <c r="I102" s="161"/>
      <c r="J102" s="161"/>
      <c r="K102" s="161"/>
      <c r="L102" s="161"/>
      <c r="M102" s="161"/>
      <c r="N102" s="161"/>
      <c r="O102" s="161"/>
      <c r="P102" s="161"/>
      <c r="Q102" s="161"/>
      <c r="R102" s="161"/>
      <c r="S102" s="161"/>
      <c r="T102" s="161"/>
      <c r="U102" s="161"/>
      <c r="V102" s="161"/>
      <c r="W102" s="161"/>
      <c r="X102" s="161"/>
      <c r="Y102" s="161"/>
      <c r="Z102" s="161"/>
    </row>
    <row r="103">
      <c r="A103" s="18"/>
      <c r="B103" s="18"/>
      <c r="C103" s="18"/>
      <c r="D103" s="161"/>
      <c r="E103" s="161"/>
      <c r="F103" s="511"/>
      <c r="G103" s="161"/>
      <c r="H103" s="161"/>
      <c r="I103" s="161"/>
      <c r="J103" s="161"/>
      <c r="K103" s="161"/>
      <c r="L103" s="161"/>
      <c r="M103" s="161"/>
      <c r="N103" s="161"/>
      <c r="O103" s="161"/>
      <c r="P103" s="161"/>
      <c r="Q103" s="161"/>
      <c r="R103" s="161"/>
      <c r="S103" s="161"/>
      <c r="T103" s="161"/>
      <c r="U103" s="161"/>
      <c r="V103" s="161"/>
      <c r="W103" s="161"/>
      <c r="X103" s="161"/>
      <c r="Y103" s="161"/>
      <c r="Z103" s="161"/>
    </row>
    <row r="104">
      <c r="A104" s="18"/>
      <c r="B104" s="18"/>
      <c r="C104" s="18"/>
      <c r="D104" s="161"/>
      <c r="E104" s="161"/>
      <c r="F104" s="511"/>
      <c r="G104" s="161"/>
      <c r="H104" s="161"/>
      <c r="I104" s="161"/>
      <c r="J104" s="161"/>
      <c r="K104" s="161"/>
      <c r="L104" s="161"/>
      <c r="M104" s="161"/>
      <c r="N104" s="161"/>
      <c r="O104" s="161"/>
      <c r="P104" s="161"/>
      <c r="Q104" s="161"/>
      <c r="R104" s="161"/>
      <c r="S104" s="161"/>
      <c r="T104" s="161"/>
      <c r="U104" s="161"/>
      <c r="V104" s="161"/>
      <c r="W104" s="161"/>
      <c r="X104" s="161"/>
      <c r="Y104" s="161"/>
      <c r="Z104" s="161"/>
    </row>
    <row r="105">
      <c r="A105" s="18"/>
      <c r="B105" s="18"/>
      <c r="C105" s="18"/>
      <c r="D105" s="161"/>
      <c r="E105" s="161"/>
      <c r="F105" s="511"/>
      <c r="G105" s="161"/>
      <c r="H105" s="161"/>
      <c r="I105" s="161"/>
      <c r="J105" s="161"/>
      <c r="K105" s="161"/>
      <c r="L105" s="161"/>
      <c r="M105" s="161"/>
      <c r="N105" s="161"/>
      <c r="O105" s="161"/>
      <c r="P105" s="161"/>
      <c r="Q105" s="161"/>
      <c r="R105" s="161"/>
      <c r="S105" s="161"/>
      <c r="T105" s="161"/>
      <c r="U105" s="161"/>
      <c r="V105" s="161"/>
      <c r="W105" s="161"/>
      <c r="X105" s="161"/>
      <c r="Y105" s="161"/>
      <c r="Z105" s="161"/>
    </row>
    <row r="106">
      <c r="A106" s="18"/>
      <c r="B106" s="18"/>
      <c r="C106" s="18"/>
      <c r="D106" s="161"/>
      <c r="E106" s="161"/>
      <c r="F106" s="511"/>
      <c r="G106" s="161"/>
      <c r="H106" s="161"/>
      <c r="I106" s="161"/>
      <c r="J106" s="161"/>
      <c r="K106" s="161"/>
      <c r="L106" s="161"/>
      <c r="M106" s="161"/>
      <c r="N106" s="161"/>
      <c r="O106" s="161"/>
      <c r="P106" s="161"/>
      <c r="Q106" s="161"/>
      <c r="R106" s="161"/>
      <c r="S106" s="161"/>
      <c r="T106" s="161"/>
      <c r="U106" s="161"/>
      <c r="V106" s="161"/>
      <c r="W106" s="161"/>
      <c r="X106" s="161"/>
      <c r="Y106" s="161"/>
      <c r="Z106" s="161"/>
    </row>
    <row r="107">
      <c r="A107" s="18"/>
      <c r="B107" s="18"/>
      <c r="C107" s="18"/>
      <c r="D107" s="161"/>
      <c r="E107" s="161"/>
      <c r="F107" s="511"/>
      <c r="G107" s="161"/>
      <c r="H107" s="161"/>
      <c r="I107" s="161"/>
      <c r="J107" s="161"/>
      <c r="K107" s="161"/>
      <c r="L107" s="161"/>
      <c r="M107" s="161"/>
      <c r="N107" s="161"/>
      <c r="O107" s="161"/>
      <c r="P107" s="161"/>
      <c r="Q107" s="161"/>
      <c r="R107" s="161"/>
      <c r="S107" s="161"/>
      <c r="T107" s="161"/>
      <c r="U107" s="161"/>
      <c r="V107" s="161"/>
      <c r="W107" s="161"/>
      <c r="X107" s="161"/>
      <c r="Y107" s="161"/>
      <c r="Z107" s="161"/>
    </row>
    <row r="108">
      <c r="A108" s="18"/>
      <c r="B108" s="18"/>
      <c r="C108" s="18"/>
      <c r="D108" s="161"/>
      <c r="E108" s="161"/>
      <c r="F108" s="511"/>
      <c r="G108" s="161"/>
      <c r="H108" s="161"/>
      <c r="I108" s="161"/>
      <c r="J108" s="161"/>
      <c r="K108" s="161"/>
      <c r="L108" s="161"/>
      <c r="M108" s="161"/>
      <c r="N108" s="161"/>
      <c r="O108" s="161"/>
      <c r="P108" s="161"/>
      <c r="Q108" s="161"/>
      <c r="R108" s="161"/>
      <c r="S108" s="161"/>
      <c r="T108" s="161"/>
      <c r="U108" s="161"/>
      <c r="V108" s="161"/>
      <c r="W108" s="161"/>
      <c r="X108" s="161"/>
      <c r="Y108" s="161"/>
      <c r="Z108" s="161"/>
    </row>
    <row r="109">
      <c r="A109" s="18"/>
      <c r="B109" s="18"/>
      <c r="C109" s="18"/>
      <c r="D109" s="161"/>
      <c r="E109" s="161"/>
      <c r="F109" s="511"/>
      <c r="G109" s="161"/>
      <c r="H109" s="161"/>
      <c r="I109" s="161"/>
      <c r="J109" s="161"/>
      <c r="K109" s="161"/>
      <c r="L109" s="161"/>
      <c r="M109" s="161"/>
      <c r="N109" s="161"/>
      <c r="O109" s="161"/>
      <c r="P109" s="161"/>
      <c r="Q109" s="161"/>
      <c r="R109" s="161"/>
      <c r="S109" s="161"/>
      <c r="T109" s="161"/>
      <c r="U109" s="161"/>
      <c r="V109" s="161"/>
      <c r="W109" s="161"/>
      <c r="X109" s="161"/>
      <c r="Y109" s="161"/>
      <c r="Z109" s="161"/>
    </row>
    <row r="110">
      <c r="A110" s="18"/>
      <c r="B110" s="18"/>
      <c r="C110" s="18"/>
      <c r="D110" s="161"/>
      <c r="E110" s="161"/>
      <c r="F110" s="511"/>
      <c r="G110" s="161"/>
      <c r="H110" s="161"/>
      <c r="I110" s="161"/>
      <c r="J110" s="161"/>
      <c r="K110" s="161"/>
      <c r="L110" s="161"/>
      <c r="M110" s="161"/>
      <c r="N110" s="161"/>
      <c r="O110" s="161"/>
      <c r="P110" s="161"/>
      <c r="Q110" s="161"/>
      <c r="R110" s="161"/>
      <c r="S110" s="161"/>
      <c r="T110" s="161"/>
      <c r="U110" s="161"/>
      <c r="V110" s="161"/>
      <c r="W110" s="161"/>
      <c r="X110" s="161"/>
      <c r="Y110" s="161"/>
      <c r="Z110" s="161"/>
    </row>
    <row r="111">
      <c r="A111" s="18"/>
      <c r="B111" s="18"/>
      <c r="C111" s="18"/>
      <c r="D111" s="161"/>
      <c r="E111" s="161"/>
      <c r="F111" s="511"/>
      <c r="G111" s="161"/>
      <c r="H111" s="161"/>
      <c r="I111" s="161"/>
      <c r="J111" s="161"/>
      <c r="K111" s="161"/>
      <c r="L111" s="161"/>
      <c r="M111" s="161"/>
      <c r="N111" s="161"/>
      <c r="O111" s="161"/>
      <c r="P111" s="161"/>
      <c r="Q111" s="161"/>
      <c r="R111" s="161"/>
      <c r="S111" s="161"/>
      <c r="T111" s="161"/>
      <c r="U111" s="161"/>
      <c r="V111" s="161"/>
      <c r="W111" s="161"/>
      <c r="X111" s="161"/>
      <c r="Y111" s="161"/>
      <c r="Z111" s="161"/>
    </row>
    <row r="112">
      <c r="A112" s="18"/>
      <c r="B112" s="18"/>
      <c r="C112" s="18"/>
      <c r="D112" s="161"/>
      <c r="E112" s="161"/>
      <c r="F112" s="511"/>
      <c r="G112" s="161"/>
      <c r="H112" s="161"/>
      <c r="I112" s="161"/>
      <c r="J112" s="161"/>
      <c r="K112" s="161"/>
      <c r="L112" s="161"/>
      <c r="M112" s="161"/>
      <c r="N112" s="161"/>
      <c r="O112" s="161"/>
      <c r="P112" s="161"/>
      <c r="Q112" s="161"/>
      <c r="R112" s="161"/>
      <c r="S112" s="161"/>
      <c r="T112" s="161"/>
      <c r="U112" s="161"/>
      <c r="V112" s="161"/>
      <c r="W112" s="161"/>
      <c r="X112" s="161"/>
      <c r="Y112" s="161"/>
      <c r="Z112" s="161"/>
    </row>
    <row r="113">
      <c r="A113" s="18"/>
      <c r="B113" s="18"/>
      <c r="C113" s="18"/>
      <c r="D113" s="161"/>
      <c r="E113" s="161"/>
      <c r="F113" s="511"/>
      <c r="G113" s="161"/>
      <c r="H113" s="161"/>
      <c r="I113" s="161"/>
      <c r="J113" s="161"/>
      <c r="K113" s="161"/>
      <c r="L113" s="161"/>
      <c r="M113" s="161"/>
      <c r="N113" s="161"/>
      <c r="O113" s="161"/>
      <c r="P113" s="161"/>
      <c r="Q113" s="161"/>
      <c r="R113" s="161"/>
      <c r="S113" s="161"/>
      <c r="T113" s="161"/>
      <c r="U113" s="161"/>
      <c r="V113" s="161"/>
      <c r="W113" s="161"/>
      <c r="X113" s="161"/>
      <c r="Y113" s="161"/>
      <c r="Z113" s="161"/>
    </row>
    <row r="114">
      <c r="A114" s="18"/>
      <c r="B114" s="18"/>
      <c r="C114" s="18"/>
      <c r="D114" s="161"/>
      <c r="E114" s="161"/>
      <c r="F114" s="511"/>
      <c r="G114" s="161"/>
      <c r="H114" s="161"/>
      <c r="I114" s="161"/>
      <c r="J114" s="161"/>
      <c r="K114" s="161"/>
      <c r="L114" s="161"/>
      <c r="M114" s="161"/>
      <c r="N114" s="161"/>
      <c r="O114" s="161"/>
      <c r="P114" s="161"/>
      <c r="Q114" s="161"/>
      <c r="R114" s="161"/>
      <c r="S114" s="161"/>
      <c r="T114" s="161"/>
      <c r="U114" s="161"/>
      <c r="V114" s="161"/>
      <c r="W114" s="161"/>
      <c r="X114" s="161"/>
      <c r="Y114" s="161"/>
      <c r="Z114" s="161"/>
    </row>
    <row r="115">
      <c r="A115" s="18"/>
      <c r="B115" s="18"/>
      <c r="C115" s="18"/>
      <c r="D115" s="161"/>
      <c r="E115" s="161"/>
      <c r="F115" s="511"/>
      <c r="G115" s="161"/>
      <c r="H115" s="161"/>
      <c r="I115" s="161"/>
      <c r="J115" s="161"/>
      <c r="K115" s="161"/>
      <c r="L115" s="161"/>
      <c r="M115" s="161"/>
      <c r="N115" s="161"/>
      <c r="O115" s="161"/>
      <c r="P115" s="161"/>
      <c r="Q115" s="161"/>
      <c r="R115" s="161"/>
      <c r="S115" s="161"/>
      <c r="T115" s="161"/>
      <c r="U115" s="161"/>
      <c r="V115" s="161"/>
      <c r="W115" s="161"/>
      <c r="X115" s="161"/>
      <c r="Y115" s="161"/>
      <c r="Z115" s="161"/>
    </row>
    <row r="116">
      <c r="A116" s="18"/>
      <c r="B116" s="18"/>
      <c r="C116" s="18"/>
      <c r="D116" s="161"/>
      <c r="E116" s="161"/>
      <c r="F116" s="511"/>
      <c r="G116" s="161"/>
      <c r="H116" s="161"/>
      <c r="I116" s="161"/>
      <c r="J116" s="161"/>
      <c r="K116" s="161"/>
      <c r="L116" s="161"/>
      <c r="M116" s="161"/>
      <c r="N116" s="161"/>
      <c r="O116" s="161"/>
      <c r="P116" s="161"/>
      <c r="Q116" s="161"/>
      <c r="R116" s="161"/>
      <c r="S116" s="161"/>
      <c r="T116" s="161"/>
      <c r="U116" s="161"/>
      <c r="V116" s="161"/>
      <c r="W116" s="161"/>
      <c r="X116" s="161"/>
      <c r="Y116" s="161"/>
      <c r="Z116" s="161"/>
    </row>
    <row r="117">
      <c r="A117" s="18"/>
      <c r="B117" s="18"/>
      <c r="C117" s="18"/>
      <c r="D117" s="161"/>
      <c r="E117" s="161"/>
      <c r="F117" s="511"/>
      <c r="G117" s="161"/>
      <c r="H117" s="161"/>
      <c r="I117" s="161"/>
      <c r="J117" s="161"/>
      <c r="K117" s="161"/>
      <c r="L117" s="161"/>
      <c r="M117" s="161"/>
      <c r="N117" s="161"/>
      <c r="O117" s="161"/>
      <c r="P117" s="161"/>
      <c r="Q117" s="161"/>
      <c r="R117" s="161"/>
      <c r="S117" s="161"/>
      <c r="T117" s="161"/>
      <c r="U117" s="161"/>
      <c r="V117" s="161"/>
      <c r="W117" s="161"/>
      <c r="X117" s="161"/>
      <c r="Y117" s="161"/>
      <c r="Z117" s="161"/>
    </row>
    <row r="118">
      <c r="A118" s="18"/>
      <c r="B118" s="18"/>
      <c r="C118" s="18"/>
      <c r="D118" s="161"/>
      <c r="E118" s="161"/>
      <c r="F118" s="511"/>
      <c r="G118" s="161"/>
      <c r="H118" s="161"/>
      <c r="I118" s="161"/>
      <c r="J118" s="161"/>
      <c r="K118" s="161"/>
      <c r="L118" s="161"/>
      <c r="M118" s="161"/>
      <c r="N118" s="161"/>
      <c r="O118" s="161"/>
      <c r="P118" s="161"/>
      <c r="Q118" s="161"/>
      <c r="R118" s="161"/>
      <c r="S118" s="161"/>
      <c r="T118" s="161"/>
      <c r="U118" s="161"/>
      <c r="V118" s="161"/>
      <c r="W118" s="161"/>
      <c r="X118" s="161"/>
      <c r="Y118" s="161"/>
      <c r="Z118" s="161"/>
    </row>
    <row r="119">
      <c r="A119" s="18"/>
      <c r="B119" s="18"/>
      <c r="C119" s="18"/>
      <c r="D119" s="161"/>
      <c r="E119" s="161"/>
      <c r="F119" s="511"/>
      <c r="G119" s="161"/>
      <c r="H119" s="161"/>
      <c r="I119" s="161"/>
      <c r="J119" s="161"/>
      <c r="K119" s="161"/>
      <c r="L119" s="161"/>
      <c r="M119" s="161"/>
      <c r="N119" s="161"/>
      <c r="O119" s="161"/>
      <c r="P119" s="161"/>
      <c r="Q119" s="161"/>
      <c r="R119" s="161"/>
      <c r="S119" s="161"/>
      <c r="T119" s="161"/>
      <c r="U119" s="161"/>
      <c r="V119" s="161"/>
      <c r="W119" s="161"/>
      <c r="X119" s="161"/>
      <c r="Y119" s="161"/>
      <c r="Z119" s="161"/>
    </row>
    <row r="120">
      <c r="A120" s="18"/>
      <c r="B120" s="18"/>
      <c r="C120" s="18"/>
      <c r="D120" s="161"/>
      <c r="E120" s="161"/>
      <c r="F120" s="511"/>
      <c r="G120" s="161"/>
      <c r="H120" s="161"/>
      <c r="I120" s="161"/>
      <c r="J120" s="161"/>
      <c r="K120" s="161"/>
      <c r="L120" s="161"/>
      <c r="M120" s="161"/>
      <c r="N120" s="161"/>
      <c r="O120" s="161"/>
      <c r="P120" s="161"/>
      <c r="Q120" s="161"/>
      <c r="R120" s="161"/>
      <c r="S120" s="161"/>
      <c r="T120" s="161"/>
      <c r="U120" s="161"/>
      <c r="V120" s="161"/>
      <c r="W120" s="161"/>
      <c r="X120" s="161"/>
      <c r="Y120" s="161"/>
      <c r="Z120" s="161"/>
    </row>
    <row r="121">
      <c r="A121" s="18"/>
      <c r="B121" s="18"/>
      <c r="C121" s="18"/>
      <c r="D121" s="161"/>
      <c r="E121" s="161"/>
      <c r="F121" s="511"/>
      <c r="G121" s="161"/>
      <c r="H121" s="161"/>
      <c r="I121" s="161"/>
      <c r="J121" s="161"/>
      <c r="K121" s="161"/>
      <c r="L121" s="161"/>
      <c r="M121" s="161"/>
      <c r="N121" s="161"/>
      <c r="O121" s="161"/>
      <c r="P121" s="161"/>
      <c r="Q121" s="161"/>
      <c r="R121" s="161"/>
      <c r="S121" s="161"/>
      <c r="T121" s="161"/>
      <c r="U121" s="161"/>
      <c r="V121" s="161"/>
      <c r="W121" s="161"/>
      <c r="X121" s="161"/>
      <c r="Y121" s="161"/>
      <c r="Z121" s="161"/>
    </row>
    <row r="122">
      <c r="A122" s="18"/>
      <c r="B122" s="18"/>
      <c r="C122" s="18"/>
      <c r="D122" s="161"/>
      <c r="E122" s="161"/>
      <c r="F122" s="511"/>
      <c r="G122" s="161"/>
      <c r="H122" s="161"/>
      <c r="I122" s="161"/>
      <c r="J122" s="161"/>
      <c r="K122" s="161"/>
      <c r="L122" s="161"/>
      <c r="M122" s="161"/>
      <c r="N122" s="161"/>
      <c r="O122" s="161"/>
      <c r="P122" s="161"/>
      <c r="Q122" s="161"/>
      <c r="R122" s="161"/>
      <c r="S122" s="161"/>
      <c r="T122" s="161"/>
      <c r="U122" s="161"/>
      <c r="V122" s="161"/>
      <c r="W122" s="161"/>
      <c r="X122" s="161"/>
      <c r="Y122" s="161"/>
      <c r="Z122" s="161"/>
    </row>
    <row r="123">
      <c r="A123" s="18"/>
      <c r="B123" s="18"/>
      <c r="C123" s="18"/>
      <c r="D123" s="161"/>
      <c r="E123" s="161"/>
      <c r="F123" s="511"/>
      <c r="G123" s="161"/>
      <c r="H123" s="161"/>
      <c r="I123" s="161"/>
      <c r="J123" s="161"/>
      <c r="K123" s="161"/>
      <c r="L123" s="161"/>
      <c r="M123" s="161"/>
      <c r="N123" s="161"/>
      <c r="O123" s="161"/>
      <c r="P123" s="161"/>
      <c r="Q123" s="161"/>
      <c r="R123" s="161"/>
      <c r="S123" s="161"/>
      <c r="T123" s="161"/>
      <c r="U123" s="161"/>
      <c r="V123" s="161"/>
      <c r="W123" s="161"/>
      <c r="X123" s="161"/>
      <c r="Y123" s="161"/>
      <c r="Z123" s="161"/>
    </row>
    <row r="124">
      <c r="A124" s="18"/>
      <c r="B124" s="18"/>
      <c r="C124" s="18"/>
      <c r="D124" s="161"/>
      <c r="E124" s="161"/>
      <c r="F124" s="511"/>
      <c r="G124" s="161"/>
      <c r="H124" s="161"/>
      <c r="I124" s="161"/>
      <c r="J124" s="161"/>
      <c r="K124" s="161"/>
      <c r="L124" s="161"/>
      <c r="M124" s="161"/>
      <c r="N124" s="161"/>
      <c r="O124" s="161"/>
      <c r="P124" s="161"/>
      <c r="Q124" s="161"/>
      <c r="R124" s="161"/>
      <c r="S124" s="161"/>
      <c r="T124" s="161"/>
      <c r="U124" s="161"/>
      <c r="V124" s="161"/>
      <c r="W124" s="161"/>
      <c r="X124" s="161"/>
      <c r="Y124" s="161"/>
      <c r="Z124" s="161"/>
    </row>
    <row r="125">
      <c r="A125" s="18"/>
      <c r="B125" s="18"/>
      <c r="C125" s="18"/>
      <c r="D125" s="161"/>
      <c r="E125" s="161"/>
      <c r="F125" s="511"/>
      <c r="G125" s="161"/>
      <c r="H125" s="161"/>
      <c r="I125" s="161"/>
      <c r="J125" s="161"/>
      <c r="K125" s="161"/>
      <c r="L125" s="161"/>
      <c r="M125" s="161"/>
      <c r="N125" s="161"/>
      <c r="O125" s="161"/>
      <c r="P125" s="161"/>
      <c r="Q125" s="161"/>
      <c r="R125" s="161"/>
      <c r="S125" s="161"/>
      <c r="T125" s="161"/>
      <c r="U125" s="161"/>
      <c r="V125" s="161"/>
      <c r="W125" s="161"/>
      <c r="X125" s="161"/>
      <c r="Y125" s="161"/>
      <c r="Z125" s="161"/>
    </row>
    <row r="126">
      <c r="A126" s="18"/>
      <c r="B126" s="18"/>
      <c r="C126" s="18"/>
      <c r="D126" s="161"/>
      <c r="E126" s="161"/>
      <c r="F126" s="511"/>
      <c r="G126" s="161"/>
      <c r="H126" s="161"/>
      <c r="I126" s="161"/>
      <c r="J126" s="161"/>
      <c r="K126" s="161"/>
      <c r="L126" s="161"/>
      <c r="M126" s="161"/>
      <c r="N126" s="161"/>
      <c r="O126" s="161"/>
      <c r="P126" s="161"/>
      <c r="Q126" s="161"/>
      <c r="R126" s="161"/>
      <c r="S126" s="161"/>
      <c r="T126" s="161"/>
      <c r="U126" s="161"/>
      <c r="V126" s="161"/>
      <c r="W126" s="161"/>
      <c r="X126" s="161"/>
      <c r="Y126" s="161"/>
      <c r="Z126" s="161"/>
    </row>
    <row r="127">
      <c r="A127" s="18"/>
      <c r="B127" s="18"/>
      <c r="C127" s="18"/>
      <c r="D127" s="161"/>
      <c r="E127" s="161"/>
      <c r="F127" s="511"/>
      <c r="G127" s="161"/>
      <c r="H127" s="161"/>
      <c r="I127" s="161"/>
      <c r="J127" s="161"/>
      <c r="K127" s="161"/>
      <c r="L127" s="161"/>
      <c r="M127" s="161"/>
      <c r="N127" s="161"/>
      <c r="O127" s="161"/>
      <c r="P127" s="161"/>
      <c r="Q127" s="161"/>
      <c r="R127" s="161"/>
      <c r="S127" s="161"/>
      <c r="T127" s="161"/>
      <c r="U127" s="161"/>
      <c r="V127" s="161"/>
      <c r="W127" s="161"/>
      <c r="X127" s="161"/>
      <c r="Y127" s="161"/>
      <c r="Z127" s="161"/>
    </row>
    <row r="128">
      <c r="A128" s="18"/>
      <c r="B128" s="18"/>
      <c r="C128" s="18"/>
      <c r="D128" s="161"/>
      <c r="E128" s="161"/>
      <c r="F128" s="511"/>
      <c r="G128" s="161"/>
      <c r="H128" s="161"/>
      <c r="I128" s="161"/>
      <c r="J128" s="161"/>
      <c r="K128" s="161"/>
      <c r="L128" s="161"/>
      <c r="M128" s="161"/>
      <c r="N128" s="161"/>
      <c r="O128" s="161"/>
      <c r="P128" s="161"/>
      <c r="Q128" s="161"/>
      <c r="R128" s="161"/>
      <c r="S128" s="161"/>
      <c r="T128" s="161"/>
      <c r="U128" s="161"/>
      <c r="V128" s="161"/>
      <c r="W128" s="161"/>
      <c r="X128" s="161"/>
      <c r="Y128" s="161"/>
      <c r="Z128" s="161"/>
    </row>
    <row r="129">
      <c r="A129" s="18"/>
      <c r="B129" s="18"/>
      <c r="C129" s="18"/>
      <c r="D129" s="161"/>
      <c r="E129" s="161"/>
      <c r="F129" s="511"/>
      <c r="G129" s="161"/>
      <c r="H129" s="161"/>
      <c r="I129" s="161"/>
      <c r="J129" s="161"/>
      <c r="K129" s="161"/>
      <c r="L129" s="161"/>
      <c r="M129" s="161"/>
      <c r="N129" s="161"/>
      <c r="O129" s="161"/>
      <c r="P129" s="161"/>
      <c r="Q129" s="161"/>
      <c r="R129" s="161"/>
      <c r="S129" s="161"/>
      <c r="T129" s="161"/>
      <c r="U129" s="161"/>
      <c r="V129" s="161"/>
      <c r="W129" s="161"/>
      <c r="X129" s="161"/>
      <c r="Y129" s="161"/>
      <c r="Z129" s="161"/>
    </row>
    <row r="130">
      <c r="A130" s="18"/>
      <c r="B130" s="18"/>
      <c r="C130" s="18"/>
      <c r="D130" s="161"/>
      <c r="E130" s="161"/>
      <c r="F130" s="511"/>
      <c r="G130" s="161"/>
      <c r="H130" s="161"/>
      <c r="I130" s="161"/>
      <c r="J130" s="161"/>
      <c r="K130" s="161"/>
      <c r="L130" s="161"/>
      <c r="M130" s="161"/>
      <c r="N130" s="161"/>
      <c r="O130" s="161"/>
      <c r="P130" s="161"/>
      <c r="Q130" s="161"/>
      <c r="R130" s="161"/>
      <c r="S130" s="161"/>
      <c r="T130" s="161"/>
      <c r="U130" s="161"/>
      <c r="V130" s="161"/>
      <c r="W130" s="161"/>
      <c r="X130" s="161"/>
      <c r="Y130" s="161"/>
      <c r="Z130" s="161"/>
    </row>
    <row r="131">
      <c r="A131" s="18"/>
      <c r="B131" s="18"/>
      <c r="C131" s="18"/>
      <c r="D131" s="161"/>
      <c r="E131" s="161"/>
      <c r="F131" s="511"/>
      <c r="G131" s="161"/>
      <c r="H131" s="161"/>
      <c r="I131" s="161"/>
      <c r="J131" s="161"/>
      <c r="K131" s="161"/>
      <c r="L131" s="161"/>
      <c r="M131" s="161"/>
      <c r="N131" s="161"/>
      <c r="O131" s="161"/>
      <c r="P131" s="161"/>
      <c r="Q131" s="161"/>
      <c r="R131" s="161"/>
      <c r="S131" s="161"/>
      <c r="T131" s="161"/>
      <c r="U131" s="161"/>
      <c r="V131" s="161"/>
      <c r="W131" s="161"/>
      <c r="X131" s="161"/>
      <c r="Y131" s="161"/>
      <c r="Z131" s="161"/>
    </row>
    <row r="132">
      <c r="A132" s="18"/>
      <c r="B132" s="18"/>
      <c r="C132" s="18"/>
      <c r="D132" s="161"/>
      <c r="E132" s="161"/>
      <c r="F132" s="511"/>
      <c r="G132" s="161"/>
      <c r="H132" s="161"/>
      <c r="I132" s="161"/>
      <c r="J132" s="161"/>
      <c r="K132" s="161"/>
      <c r="L132" s="161"/>
      <c r="M132" s="161"/>
      <c r="N132" s="161"/>
      <c r="O132" s="161"/>
      <c r="P132" s="161"/>
      <c r="Q132" s="161"/>
      <c r="R132" s="161"/>
      <c r="S132" s="161"/>
      <c r="T132" s="161"/>
      <c r="U132" s="161"/>
      <c r="V132" s="161"/>
      <c r="W132" s="161"/>
      <c r="X132" s="161"/>
      <c r="Y132" s="161"/>
      <c r="Z132" s="161"/>
    </row>
    <row r="133">
      <c r="A133" s="18"/>
      <c r="B133" s="18"/>
      <c r="C133" s="18"/>
      <c r="D133" s="161"/>
      <c r="E133" s="161"/>
      <c r="F133" s="511"/>
      <c r="G133" s="161"/>
      <c r="H133" s="161"/>
      <c r="I133" s="161"/>
      <c r="J133" s="161"/>
      <c r="K133" s="161"/>
      <c r="L133" s="161"/>
      <c r="M133" s="161"/>
      <c r="N133" s="161"/>
      <c r="O133" s="161"/>
      <c r="P133" s="161"/>
      <c r="Q133" s="161"/>
      <c r="R133" s="161"/>
      <c r="S133" s="161"/>
      <c r="T133" s="161"/>
      <c r="U133" s="161"/>
      <c r="V133" s="161"/>
      <c r="W133" s="161"/>
      <c r="X133" s="161"/>
      <c r="Y133" s="161"/>
      <c r="Z133" s="161"/>
    </row>
    <row r="134">
      <c r="A134" s="18"/>
      <c r="B134" s="18"/>
      <c r="C134" s="18"/>
      <c r="D134" s="161"/>
      <c r="E134" s="161"/>
      <c r="F134" s="511"/>
      <c r="G134" s="161"/>
      <c r="H134" s="161"/>
      <c r="I134" s="161"/>
      <c r="J134" s="161"/>
      <c r="K134" s="161"/>
      <c r="L134" s="161"/>
      <c r="M134" s="161"/>
      <c r="N134" s="161"/>
      <c r="O134" s="161"/>
      <c r="P134" s="161"/>
      <c r="Q134" s="161"/>
      <c r="R134" s="161"/>
      <c r="S134" s="161"/>
      <c r="T134" s="161"/>
      <c r="U134" s="161"/>
      <c r="V134" s="161"/>
      <c r="W134" s="161"/>
      <c r="X134" s="161"/>
      <c r="Y134" s="161"/>
      <c r="Z134" s="161"/>
    </row>
    <row r="135">
      <c r="A135" s="18"/>
      <c r="B135" s="18"/>
      <c r="C135" s="18"/>
      <c r="D135" s="161"/>
      <c r="E135" s="161"/>
      <c r="F135" s="511"/>
      <c r="G135" s="161"/>
      <c r="H135" s="161"/>
      <c r="I135" s="161"/>
      <c r="J135" s="161"/>
      <c r="K135" s="161"/>
      <c r="L135" s="161"/>
      <c r="M135" s="161"/>
      <c r="N135" s="161"/>
      <c r="O135" s="161"/>
      <c r="P135" s="161"/>
      <c r="Q135" s="161"/>
      <c r="R135" s="161"/>
      <c r="S135" s="161"/>
      <c r="T135" s="161"/>
      <c r="U135" s="161"/>
      <c r="V135" s="161"/>
      <c r="W135" s="161"/>
      <c r="X135" s="161"/>
      <c r="Y135" s="161"/>
      <c r="Z135" s="161"/>
    </row>
    <row r="136">
      <c r="A136" s="18"/>
      <c r="B136" s="18"/>
      <c r="C136" s="18"/>
      <c r="D136" s="161"/>
      <c r="E136" s="161"/>
      <c r="F136" s="511"/>
      <c r="G136" s="161"/>
      <c r="H136" s="161"/>
      <c r="I136" s="161"/>
      <c r="J136" s="161"/>
      <c r="K136" s="161"/>
      <c r="L136" s="161"/>
      <c r="M136" s="161"/>
      <c r="N136" s="161"/>
      <c r="O136" s="161"/>
      <c r="P136" s="161"/>
      <c r="Q136" s="161"/>
      <c r="R136" s="161"/>
      <c r="S136" s="161"/>
      <c r="T136" s="161"/>
      <c r="U136" s="161"/>
      <c r="V136" s="161"/>
      <c r="W136" s="161"/>
      <c r="X136" s="161"/>
      <c r="Y136" s="161"/>
      <c r="Z136" s="161"/>
    </row>
    <row r="137">
      <c r="A137" s="18"/>
      <c r="B137" s="18"/>
      <c r="C137" s="18"/>
      <c r="D137" s="161"/>
      <c r="E137" s="161"/>
      <c r="F137" s="511"/>
      <c r="G137" s="161"/>
      <c r="H137" s="161"/>
      <c r="I137" s="161"/>
      <c r="J137" s="161"/>
      <c r="K137" s="161"/>
      <c r="L137" s="161"/>
      <c r="M137" s="161"/>
      <c r="N137" s="161"/>
      <c r="O137" s="161"/>
      <c r="P137" s="161"/>
      <c r="Q137" s="161"/>
      <c r="R137" s="161"/>
      <c r="S137" s="161"/>
      <c r="T137" s="161"/>
      <c r="U137" s="161"/>
      <c r="V137" s="161"/>
      <c r="W137" s="161"/>
      <c r="X137" s="161"/>
      <c r="Y137" s="161"/>
      <c r="Z137" s="161"/>
    </row>
    <row r="138">
      <c r="A138" s="18"/>
      <c r="B138" s="18"/>
      <c r="C138" s="18"/>
      <c r="D138" s="161"/>
      <c r="E138" s="161"/>
      <c r="F138" s="511"/>
      <c r="G138" s="161"/>
      <c r="H138" s="161"/>
      <c r="I138" s="161"/>
      <c r="J138" s="161"/>
      <c r="K138" s="161"/>
      <c r="L138" s="161"/>
      <c r="M138" s="161"/>
      <c r="N138" s="161"/>
      <c r="O138" s="161"/>
      <c r="P138" s="161"/>
      <c r="Q138" s="161"/>
      <c r="R138" s="161"/>
      <c r="S138" s="161"/>
      <c r="T138" s="161"/>
      <c r="U138" s="161"/>
      <c r="V138" s="161"/>
      <c r="W138" s="161"/>
      <c r="X138" s="161"/>
      <c r="Y138" s="161"/>
      <c r="Z138" s="161"/>
    </row>
    <row r="139">
      <c r="A139" s="18"/>
      <c r="B139" s="18"/>
      <c r="C139" s="18"/>
      <c r="D139" s="161"/>
      <c r="E139" s="161"/>
      <c r="F139" s="511"/>
      <c r="G139" s="161"/>
      <c r="H139" s="161"/>
      <c r="I139" s="161"/>
      <c r="J139" s="161"/>
      <c r="K139" s="161"/>
      <c r="L139" s="161"/>
      <c r="M139" s="161"/>
      <c r="N139" s="161"/>
      <c r="O139" s="161"/>
      <c r="P139" s="161"/>
      <c r="Q139" s="161"/>
      <c r="R139" s="161"/>
      <c r="S139" s="161"/>
      <c r="T139" s="161"/>
      <c r="U139" s="161"/>
      <c r="V139" s="161"/>
      <c r="W139" s="161"/>
      <c r="X139" s="161"/>
      <c r="Y139" s="161"/>
      <c r="Z139" s="161"/>
    </row>
    <row r="140">
      <c r="A140" s="18"/>
      <c r="B140" s="18"/>
      <c r="C140" s="18"/>
      <c r="D140" s="161"/>
      <c r="E140" s="161"/>
      <c r="F140" s="511"/>
      <c r="G140" s="161"/>
      <c r="H140" s="161"/>
      <c r="I140" s="161"/>
      <c r="J140" s="161"/>
      <c r="K140" s="161"/>
      <c r="L140" s="161"/>
      <c r="M140" s="161"/>
      <c r="N140" s="161"/>
      <c r="O140" s="161"/>
      <c r="P140" s="161"/>
      <c r="Q140" s="161"/>
      <c r="R140" s="161"/>
      <c r="S140" s="161"/>
      <c r="T140" s="161"/>
      <c r="U140" s="161"/>
      <c r="V140" s="161"/>
      <c r="W140" s="161"/>
      <c r="X140" s="161"/>
      <c r="Y140" s="161"/>
      <c r="Z140" s="161"/>
    </row>
    <row r="141">
      <c r="A141" s="18"/>
      <c r="B141" s="18"/>
      <c r="C141" s="18"/>
      <c r="D141" s="161"/>
      <c r="E141" s="161"/>
      <c r="F141" s="511"/>
      <c r="G141" s="161"/>
      <c r="H141" s="161"/>
      <c r="I141" s="161"/>
      <c r="J141" s="161"/>
      <c r="K141" s="161"/>
      <c r="L141" s="161"/>
      <c r="M141" s="161"/>
      <c r="N141" s="161"/>
      <c r="O141" s="161"/>
      <c r="P141" s="161"/>
      <c r="Q141" s="161"/>
      <c r="R141" s="161"/>
      <c r="S141" s="161"/>
      <c r="T141" s="161"/>
      <c r="U141" s="161"/>
      <c r="V141" s="161"/>
      <c r="W141" s="161"/>
      <c r="X141" s="161"/>
      <c r="Y141" s="161"/>
      <c r="Z141" s="161"/>
    </row>
    <row r="142">
      <c r="A142" s="18"/>
      <c r="B142" s="18"/>
      <c r="C142" s="18"/>
      <c r="D142" s="161"/>
      <c r="E142" s="161"/>
      <c r="F142" s="511"/>
      <c r="G142" s="161"/>
      <c r="H142" s="161"/>
      <c r="I142" s="161"/>
      <c r="J142" s="161"/>
      <c r="K142" s="161"/>
      <c r="L142" s="161"/>
      <c r="M142" s="161"/>
      <c r="N142" s="161"/>
      <c r="O142" s="161"/>
      <c r="P142" s="161"/>
      <c r="Q142" s="161"/>
      <c r="R142" s="161"/>
      <c r="S142" s="161"/>
      <c r="T142" s="161"/>
      <c r="U142" s="161"/>
      <c r="V142" s="161"/>
      <c r="W142" s="161"/>
      <c r="X142" s="161"/>
      <c r="Y142" s="161"/>
      <c r="Z142" s="161"/>
    </row>
    <row r="143">
      <c r="A143" s="18"/>
      <c r="B143" s="18"/>
      <c r="C143" s="18"/>
      <c r="D143" s="161"/>
      <c r="E143" s="161"/>
      <c r="F143" s="511"/>
      <c r="G143" s="161"/>
      <c r="H143" s="161"/>
      <c r="I143" s="161"/>
      <c r="J143" s="161"/>
      <c r="K143" s="161"/>
      <c r="L143" s="161"/>
      <c r="M143" s="161"/>
      <c r="N143" s="161"/>
      <c r="O143" s="161"/>
      <c r="P143" s="161"/>
      <c r="Q143" s="161"/>
      <c r="R143" s="161"/>
      <c r="S143" s="161"/>
      <c r="T143" s="161"/>
      <c r="U143" s="161"/>
      <c r="V143" s="161"/>
      <c r="W143" s="161"/>
      <c r="X143" s="161"/>
      <c r="Y143" s="161"/>
      <c r="Z143" s="161"/>
    </row>
    <row r="144">
      <c r="A144" s="18"/>
      <c r="B144" s="18"/>
      <c r="C144" s="18"/>
      <c r="D144" s="161"/>
      <c r="E144" s="161"/>
      <c r="F144" s="511"/>
      <c r="G144" s="161"/>
      <c r="H144" s="161"/>
      <c r="I144" s="161"/>
      <c r="J144" s="161"/>
      <c r="K144" s="161"/>
      <c r="L144" s="161"/>
      <c r="M144" s="161"/>
      <c r="N144" s="161"/>
      <c r="O144" s="161"/>
      <c r="P144" s="161"/>
      <c r="Q144" s="161"/>
      <c r="R144" s="161"/>
      <c r="S144" s="161"/>
      <c r="T144" s="161"/>
      <c r="U144" s="161"/>
      <c r="V144" s="161"/>
      <c r="W144" s="161"/>
      <c r="X144" s="161"/>
      <c r="Y144" s="161"/>
      <c r="Z144" s="161"/>
    </row>
    <row r="145">
      <c r="A145" s="18"/>
      <c r="B145" s="18"/>
      <c r="C145" s="18"/>
      <c r="D145" s="161"/>
      <c r="E145" s="161"/>
      <c r="F145" s="511"/>
      <c r="G145" s="161"/>
      <c r="H145" s="161"/>
      <c r="I145" s="161"/>
      <c r="J145" s="161"/>
      <c r="K145" s="161"/>
      <c r="L145" s="161"/>
      <c r="M145" s="161"/>
      <c r="N145" s="161"/>
      <c r="O145" s="161"/>
      <c r="P145" s="161"/>
      <c r="Q145" s="161"/>
      <c r="R145" s="161"/>
      <c r="S145" s="161"/>
      <c r="T145" s="161"/>
      <c r="U145" s="161"/>
      <c r="V145" s="161"/>
      <c r="W145" s="161"/>
      <c r="X145" s="161"/>
      <c r="Y145" s="161"/>
      <c r="Z145" s="161"/>
    </row>
    <row r="146">
      <c r="A146" s="18"/>
      <c r="B146" s="18"/>
      <c r="C146" s="18"/>
      <c r="D146" s="161"/>
      <c r="E146" s="161"/>
      <c r="F146" s="511"/>
      <c r="G146" s="161"/>
      <c r="H146" s="161"/>
      <c r="I146" s="161"/>
      <c r="J146" s="161"/>
      <c r="K146" s="161"/>
      <c r="L146" s="161"/>
      <c r="M146" s="161"/>
      <c r="N146" s="161"/>
      <c r="O146" s="161"/>
      <c r="P146" s="161"/>
      <c r="Q146" s="161"/>
      <c r="R146" s="161"/>
      <c r="S146" s="161"/>
      <c r="T146" s="161"/>
      <c r="U146" s="161"/>
      <c r="V146" s="161"/>
      <c r="W146" s="161"/>
      <c r="X146" s="161"/>
      <c r="Y146" s="161"/>
      <c r="Z146" s="161"/>
    </row>
    <row r="147">
      <c r="A147" s="18"/>
      <c r="B147" s="18"/>
      <c r="C147" s="18"/>
      <c r="D147" s="161"/>
      <c r="E147" s="161"/>
      <c r="F147" s="511"/>
      <c r="G147" s="161"/>
      <c r="H147" s="161"/>
      <c r="I147" s="161"/>
      <c r="J147" s="161"/>
      <c r="K147" s="161"/>
      <c r="L147" s="161"/>
      <c r="M147" s="161"/>
      <c r="N147" s="161"/>
      <c r="O147" s="161"/>
      <c r="P147" s="161"/>
      <c r="Q147" s="161"/>
      <c r="R147" s="161"/>
      <c r="S147" s="161"/>
      <c r="T147" s="161"/>
      <c r="U147" s="161"/>
      <c r="V147" s="161"/>
      <c r="W147" s="161"/>
      <c r="X147" s="161"/>
      <c r="Y147" s="161"/>
      <c r="Z147" s="161"/>
    </row>
    <row r="148">
      <c r="A148" s="18"/>
      <c r="B148" s="18"/>
      <c r="C148" s="18"/>
      <c r="D148" s="161"/>
      <c r="E148" s="161"/>
      <c r="F148" s="511"/>
      <c r="G148" s="161"/>
      <c r="H148" s="161"/>
      <c r="I148" s="161"/>
      <c r="J148" s="161"/>
      <c r="K148" s="161"/>
      <c r="L148" s="161"/>
      <c r="M148" s="161"/>
      <c r="N148" s="161"/>
      <c r="O148" s="161"/>
      <c r="P148" s="161"/>
      <c r="Q148" s="161"/>
      <c r="R148" s="161"/>
      <c r="S148" s="161"/>
      <c r="T148" s="161"/>
      <c r="U148" s="161"/>
      <c r="V148" s="161"/>
      <c r="W148" s="161"/>
      <c r="X148" s="161"/>
      <c r="Y148" s="161"/>
      <c r="Z148" s="161"/>
    </row>
    <row r="149">
      <c r="A149" s="18"/>
      <c r="B149" s="18"/>
      <c r="C149" s="18"/>
      <c r="D149" s="161"/>
      <c r="E149" s="161"/>
      <c r="F149" s="511"/>
      <c r="G149" s="161"/>
      <c r="H149" s="161"/>
      <c r="I149" s="161"/>
      <c r="J149" s="161"/>
      <c r="K149" s="161"/>
      <c r="L149" s="161"/>
      <c r="M149" s="161"/>
      <c r="N149" s="161"/>
      <c r="O149" s="161"/>
      <c r="P149" s="161"/>
      <c r="Q149" s="161"/>
      <c r="R149" s="161"/>
      <c r="S149" s="161"/>
      <c r="T149" s="161"/>
      <c r="U149" s="161"/>
      <c r="V149" s="161"/>
      <c r="W149" s="161"/>
      <c r="X149" s="161"/>
      <c r="Y149" s="161"/>
      <c r="Z149" s="161"/>
    </row>
    <row r="150">
      <c r="A150" s="18"/>
      <c r="B150" s="18"/>
      <c r="C150" s="18"/>
      <c r="D150" s="161"/>
      <c r="E150" s="161"/>
      <c r="F150" s="511"/>
      <c r="G150" s="161"/>
      <c r="H150" s="161"/>
      <c r="I150" s="161"/>
      <c r="J150" s="161"/>
      <c r="K150" s="161"/>
      <c r="L150" s="161"/>
      <c r="M150" s="161"/>
      <c r="N150" s="161"/>
      <c r="O150" s="161"/>
      <c r="P150" s="161"/>
      <c r="Q150" s="161"/>
      <c r="R150" s="161"/>
      <c r="S150" s="161"/>
      <c r="T150" s="161"/>
      <c r="U150" s="161"/>
      <c r="V150" s="161"/>
      <c r="W150" s="161"/>
      <c r="X150" s="161"/>
      <c r="Y150" s="161"/>
      <c r="Z150" s="161"/>
    </row>
    <row r="151">
      <c r="A151" s="18"/>
      <c r="B151" s="18"/>
      <c r="C151" s="18"/>
      <c r="D151" s="161"/>
      <c r="E151" s="161"/>
      <c r="F151" s="511"/>
      <c r="G151" s="161"/>
      <c r="H151" s="161"/>
      <c r="I151" s="161"/>
      <c r="J151" s="161"/>
      <c r="K151" s="161"/>
      <c r="L151" s="161"/>
      <c r="M151" s="161"/>
      <c r="N151" s="161"/>
      <c r="O151" s="161"/>
      <c r="P151" s="161"/>
      <c r="Q151" s="161"/>
      <c r="R151" s="161"/>
      <c r="S151" s="161"/>
      <c r="T151" s="161"/>
      <c r="U151" s="161"/>
      <c r="V151" s="161"/>
      <c r="W151" s="161"/>
      <c r="X151" s="161"/>
      <c r="Y151" s="161"/>
      <c r="Z151" s="161"/>
    </row>
    <row r="152">
      <c r="A152" s="18"/>
      <c r="B152" s="18"/>
      <c r="C152" s="18"/>
      <c r="D152" s="161"/>
      <c r="E152" s="161"/>
      <c r="F152" s="511"/>
      <c r="G152" s="161"/>
      <c r="H152" s="161"/>
      <c r="I152" s="161"/>
      <c r="J152" s="161"/>
      <c r="K152" s="161"/>
      <c r="L152" s="161"/>
      <c r="M152" s="161"/>
      <c r="N152" s="161"/>
      <c r="O152" s="161"/>
      <c r="P152" s="161"/>
      <c r="Q152" s="161"/>
      <c r="R152" s="161"/>
      <c r="S152" s="161"/>
      <c r="T152" s="161"/>
      <c r="U152" s="161"/>
      <c r="V152" s="161"/>
      <c r="W152" s="161"/>
      <c r="X152" s="161"/>
      <c r="Y152" s="161"/>
      <c r="Z152" s="161"/>
    </row>
    <row r="153">
      <c r="A153" s="18"/>
      <c r="B153" s="18"/>
      <c r="C153" s="18"/>
      <c r="D153" s="161"/>
      <c r="E153" s="161"/>
      <c r="F153" s="511"/>
      <c r="G153" s="161"/>
      <c r="H153" s="161"/>
      <c r="I153" s="161"/>
      <c r="J153" s="161"/>
      <c r="K153" s="161"/>
      <c r="L153" s="161"/>
      <c r="M153" s="161"/>
      <c r="N153" s="161"/>
      <c r="O153" s="161"/>
      <c r="P153" s="161"/>
      <c r="Q153" s="161"/>
      <c r="R153" s="161"/>
      <c r="S153" s="161"/>
      <c r="T153" s="161"/>
      <c r="U153" s="161"/>
      <c r="V153" s="161"/>
      <c r="W153" s="161"/>
      <c r="X153" s="161"/>
      <c r="Y153" s="161"/>
      <c r="Z153" s="161"/>
    </row>
    <row r="154">
      <c r="A154" s="18"/>
      <c r="B154" s="18"/>
      <c r="C154" s="18"/>
      <c r="D154" s="161"/>
      <c r="E154" s="161"/>
      <c r="F154" s="511"/>
      <c r="G154" s="161"/>
      <c r="H154" s="161"/>
      <c r="I154" s="161"/>
      <c r="J154" s="161"/>
      <c r="K154" s="161"/>
      <c r="L154" s="161"/>
      <c r="M154" s="161"/>
      <c r="N154" s="161"/>
      <c r="O154" s="161"/>
      <c r="P154" s="161"/>
      <c r="Q154" s="161"/>
      <c r="R154" s="161"/>
      <c r="S154" s="161"/>
      <c r="T154" s="161"/>
      <c r="U154" s="161"/>
      <c r="V154" s="161"/>
      <c r="W154" s="161"/>
      <c r="X154" s="161"/>
      <c r="Y154" s="161"/>
      <c r="Z154" s="161"/>
    </row>
    <row r="155">
      <c r="A155" s="18"/>
      <c r="B155" s="18"/>
      <c r="C155" s="18"/>
      <c r="D155" s="161"/>
      <c r="E155" s="161"/>
      <c r="F155" s="511"/>
      <c r="G155" s="161"/>
      <c r="H155" s="161"/>
      <c r="I155" s="161"/>
      <c r="J155" s="161"/>
      <c r="K155" s="161"/>
      <c r="L155" s="161"/>
      <c r="M155" s="161"/>
      <c r="N155" s="161"/>
      <c r="O155" s="161"/>
      <c r="P155" s="161"/>
      <c r="Q155" s="161"/>
      <c r="R155" s="161"/>
      <c r="S155" s="161"/>
      <c r="T155" s="161"/>
      <c r="U155" s="161"/>
      <c r="V155" s="161"/>
      <c r="W155" s="161"/>
      <c r="X155" s="161"/>
      <c r="Y155" s="161"/>
      <c r="Z155" s="161"/>
    </row>
    <row r="156">
      <c r="A156" s="18"/>
      <c r="B156" s="18"/>
      <c r="C156" s="18"/>
      <c r="D156" s="161"/>
      <c r="E156" s="161"/>
      <c r="F156" s="511"/>
      <c r="G156" s="161"/>
      <c r="H156" s="161"/>
      <c r="I156" s="161"/>
      <c r="J156" s="161"/>
      <c r="K156" s="161"/>
      <c r="L156" s="161"/>
      <c r="M156" s="161"/>
      <c r="N156" s="161"/>
      <c r="O156" s="161"/>
      <c r="P156" s="161"/>
      <c r="Q156" s="161"/>
      <c r="R156" s="161"/>
      <c r="S156" s="161"/>
      <c r="T156" s="161"/>
      <c r="U156" s="161"/>
      <c r="V156" s="161"/>
      <c r="W156" s="161"/>
      <c r="X156" s="161"/>
      <c r="Y156" s="161"/>
      <c r="Z156" s="161"/>
    </row>
    <row r="157">
      <c r="A157" s="18"/>
      <c r="B157" s="18"/>
      <c r="C157" s="18"/>
      <c r="D157" s="161"/>
      <c r="E157" s="161"/>
      <c r="F157" s="511"/>
      <c r="G157" s="161"/>
      <c r="H157" s="161"/>
      <c r="I157" s="161"/>
      <c r="J157" s="161"/>
      <c r="K157" s="161"/>
      <c r="L157" s="161"/>
      <c r="M157" s="161"/>
      <c r="N157" s="161"/>
      <c r="O157" s="161"/>
      <c r="P157" s="161"/>
      <c r="Q157" s="161"/>
      <c r="R157" s="161"/>
      <c r="S157" s="161"/>
      <c r="T157" s="161"/>
      <c r="U157" s="161"/>
      <c r="V157" s="161"/>
      <c r="W157" s="161"/>
      <c r="X157" s="161"/>
      <c r="Y157" s="161"/>
      <c r="Z157" s="161"/>
    </row>
    <row r="158">
      <c r="A158" s="18"/>
      <c r="B158" s="18"/>
      <c r="C158" s="18"/>
      <c r="D158" s="161"/>
      <c r="E158" s="161"/>
      <c r="F158" s="511"/>
      <c r="G158" s="161"/>
      <c r="H158" s="161"/>
      <c r="I158" s="161"/>
      <c r="J158" s="161"/>
      <c r="K158" s="161"/>
      <c r="L158" s="161"/>
      <c r="M158" s="161"/>
      <c r="N158" s="161"/>
      <c r="O158" s="161"/>
      <c r="P158" s="161"/>
      <c r="Q158" s="161"/>
      <c r="R158" s="161"/>
      <c r="S158" s="161"/>
      <c r="T158" s="161"/>
      <c r="U158" s="161"/>
      <c r="V158" s="161"/>
      <c r="W158" s="161"/>
      <c r="X158" s="161"/>
      <c r="Y158" s="161"/>
      <c r="Z158" s="161"/>
    </row>
    <row r="159">
      <c r="A159" s="18"/>
      <c r="B159" s="18"/>
      <c r="C159" s="18"/>
      <c r="D159" s="161"/>
      <c r="E159" s="161"/>
      <c r="F159" s="511"/>
      <c r="G159" s="161"/>
      <c r="H159" s="161"/>
      <c r="I159" s="161"/>
      <c r="J159" s="161"/>
      <c r="K159" s="161"/>
      <c r="L159" s="161"/>
      <c r="M159" s="161"/>
      <c r="N159" s="161"/>
      <c r="O159" s="161"/>
      <c r="P159" s="161"/>
      <c r="Q159" s="161"/>
      <c r="R159" s="161"/>
      <c r="S159" s="161"/>
      <c r="T159" s="161"/>
      <c r="U159" s="161"/>
      <c r="V159" s="161"/>
      <c r="W159" s="161"/>
      <c r="X159" s="161"/>
      <c r="Y159" s="161"/>
      <c r="Z159" s="161"/>
    </row>
    <row r="160">
      <c r="A160" s="18"/>
      <c r="B160" s="18"/>
      <c r="C160" s="18"/>
      <c r="D160" s="161"/>
      <c r="E160" s="161"/>
      <c r="F160" s="511"/>
      <c r="G160" s="161"/>
      <c r="H160" s="161"/>
      <c r="I160" s="161"/>
      <c r="J160" s="161"/>
      <c r="K160" s="161"/>
      <c r="L160" s="161"/>
      <c r="M160" s="161"/>
      <c r="N160" s="161"/>
      <c r="O160" s="161"/>
      <c r="P160" s="161"/>
      <c r="Q160" s="161"/>
      <c r="R160" s="161"/>
      <c r="S160" s="161"/>
      <c r="T160" s="161"/>
      <c r="U160" s="161"/>
      <c r="V160" s="161"/>
      <c r="W160" s="161"/>
      <c r="X160" s="161"/>
      <c r="Y160" s="161"/>
      <c r="Z160" s="161"/>
    </row>
    <row r="161">
      <c r="A161" s="18"/>
      <c r="B161" s="18"/>
      <c r="C161" s="18"/>
      <c r="D161" s="161"/>
      <c r="E161" s="161"/>
      <c r="F161" s="511"/>
      <c r="G161" s="161"/>
      <c r="H161" s="161"/>
      <c r="I161" s="161"/>
      <c r="J161" s="161"/>
      <c r="K161" s="161"/>
      <c r="L161" s="161"/>
      <c r="M161" s="161"/>
      <c r="N161" s="161"/>
      <c r="O161" s="161"/>
      <c r="P161" s="161"/>
      <c r="Q161" s="161"/>
      <c r="R161" s="161"/>
      <c r="S161" s="161"/>
      <c r="T161" s="161"/>
      <c r="U161" s="161"/>
      <c r="V161" s="161"/>
      <c r="W161" s="161"/>
      <c r="X161" s="161"/>
      <c r="Y161" s="161"/>
      <c r="Z161" s="161"/>
    </row>
    <row r="162">
      <c r="A162" s="18"/>
      <c r="B162" s="18"/>
      <c r="C162" s="18"/>
      <c r="D162" s="161"/>
      <c r="E162" s="161"/>
      <c r="F162" s="511"/>
      <c r="G162" s="161"/>
      <c r="H162" s="161"/>
      <c r="I162" s="161"/>
      <c r="J162" s="161"/>
      <c r="K162" s="161"/>
      <c r="L162" s="161"/>
      <c r="M162" s="161"/>
      <c r="N162" s="161"/>
      <c r="O162" s="161"/>
      <c r="P162" s="161"/>
      <c r="Q162" s="161"/>
      <c r="R162" s="161"/>
      <c r="S162" s="161"/>
      <c r="T162" s="161"/>
      <c r="U162" s="161"/>
      <c r="V162" s="161"/>
      <c r="W162" s="161"/>
      <c r="X162" s="161"/>
      <c r="Y162" s="161"/>
      <c r="Z162" s="161"/>
    </row>
    <row r="163">
      <c r="A163" s="18"/>
      <c r="B163" s="18"/>
      <c r="C163" s="18"/>
      <c r="D163" s="161"/>
      <c r="E163" s="161"/>
      <c r="F163" s="511"/>
      <c r="G163" s="161"/>
      <c r="H163" s="161"/>
      <c r="I163" s="161"/>
      <c r="J163" s="161"/>
      <c r="K163" s="161"/>
      <c r="L163" s="161"/>
      <c r="M163" s="161"/>
      <c r="N163" s="161"/>
      <c r="O163" s="161"/>
      <c r="P163" s="161"/>
      <c r="Q163" s="161"/>
      <c r="R163" s="161"/>
      <c r="S163" s="161"/>
      <c r="T163" s="161"/>
      <c r="U163" s="161"/>
      <c r="V163" s="161"/>
      <c r="W163" s="161"/>
      <c r="X163" s="161"/>
      <c r="Y163" s="161"/>
      <c r="Z163" s="161"/>
    </row>
    <row r="164">
      <c r="A164" s="18"/>
      <c r="B164" s="18"/>
      <c r="C164" s="18"/>
      <c r="D164" s="161"/>
      <c r="E164" s="161"/>
      <c r="F164" s="511"/>
      <c r="G164" s="161"/>
      <c r="H164" s="161"/>
      <c r="I164" s="161"/>
      <c r="J164" s="161"/>
      <c r="K164" s="161"/>
      <c r="L164" s="161"/>
      <c r="M164" s="161"/>
      <c r="N164" s="161"/>
      <c r="O164" s="161"/>
      <c r="P164" s="161"/>
      <c r="Q164" s="161"/>
      <c r="R164" s="161"/>
      <c r="S164" s="161"/>
      <c r="T164" s="161"/>
      <c r="U164" s="161"/>
      <c r="V164" s="161"/>
      <c r="W164" s="161"/>
      <c r="X164" s="161"/>
      <c r="Y164" s="161"/>
      <c r="Z164" s="161"/>
    </row>
    <row r="165">
      <c r="A165" s="18"/>
      <c r="B165" s="18"/>
      <c r="C165" s="18"/>
      <c r="D165" s="161"/>
      <c r="E165" s="161"/>
      <c r="F165" s="511"/>
      <c r="G165" s="161"/>
      <c r="H165" s="161"/>
      <c r="I165" s="161"/>
      <c r="J165" s="161"/>
      <c r="K165" s="161"/>
      <c r="L165" s="161"/>
      <c r="M165" s="161"/>
      <c r="N165" s="161"/>
      <c r="O165" s="161"/>
      <c r="P165" s="161"/>
      <c r="Q165" s="161"/>
      <c r="R165" s="161"/>
      <c r="S165" s="161"/>
      <c r="T165" s="161"/>
      <c r="U165" s="161"/>
      <c r="V165" s="161"/>
      <c r="W165" s="161"/>
      <c r="X165" s="161"/>
      <c r="Y165" s="161"/>
      <c r="Z165" s="161"/>
    </row>
    <row r="166">
      <c r="A166" s="18"/>
      <c r="B166" s="18"/>
      <c r="C166" s="18"/>
      <c r="D166" s="161"/>
      <c r="E166" s="161"/>
      <c r="F166" s="511"/>
      <c r="G166" s="161"/>
      <c r="H166" s="161"/>
      <c r="I166" s="161"/>
      <c r="J166" s="161"/>
      <c r="K166" s="161"/>
      <c r="L166" s="161"/>
      <c r="M166" s="161"/>
      <c r="N166" s="161"/>
      <c r="O166" s="161"/>
      <c r="P166" s="161"/>
      <c r="Q166" s="161"/>
      <c r="R166" s="161"/>
      <c r="S166" s="161"/>
      <c r="T166" s="161"/>
      <c r="U166" s="161"/>
      <c r="V166" s="161"/>
      <c r="W166" s="161"/>
      <c r="X166" s="161"/>
      <c r="Y166" s="161"/>
      <c r="Z166" s="161"/>
    </row>
    <row r="167">
      <c r="A167" s="18"/>
      <c r="B167" s="18"/>
      <c r="C167" s="18"/>
      <c r="D167" s="161"/>
      <c r="E167" s="161"/>
      <c r="F167" s="511"/>
      <c r="G167" s="161"/>
      <c r="H167" s="161"/>
      <c r="I167" s="161"/>
      <c r="J167" s="161"/>
      <c r="K167" s="161"/>
      <c r="L167" s="161"/>
      <c r="M167" s="161"/>
      <c r="N167" s="161"/>
      <c r="O167" s="161"/>
      <c r="P167" s="161"/>
      <c r="Q167" s="161"/>
      <c r="R167" s="161"/>
      <c r="S167" s="161"/>
      <c r="T167" s="161"/>
      <c r="U167" s="161"/>
      <c r="V167" s="161"/>
      <c r="W167" s="161"/>
      <c r="X167" s="161"/>
      <c r="Y167" s="161"/>
      <c r="Z167" s="161"/>
    </row>
    <row r="168">
      <c r="A168" s="18"/>
      <c r="B168" s="18"/>
      <c r="C168" s="18"/>
      <c r="D168" s="161"/>
      <c r="E168" s="161"/>
      <c r="F168" s="511"/>
      <c r="G168" s="161"/>
      <c r="H168" s="161"/>
      <c r="I168" s="161"/>
      <c r="J168" s="161"/>
      <c r="K168" s="161"/>
      <c r="L168" s="161"/>
      <c r="M168" s="161"/>
      <c r="N168" s="161"/>
      <c r="O168" s="161"/>
      <c r="P168" s="161"/>
      <c r="Q168" s="161"/>
      <c r="R168" s="161"/>
      <c r="S168" s="161"/>
      <c r="T168" s="161"/>
      <c r="U168" s="161"/>
      <c r="V168" s="161"/>
      <c r="W168" s="161"/>
      <c r="X168" s="161"/>
      <c r="Y168" s="161"/>
      <c r="Z168" s="161"/>
    </row>
    <row r="169">
      <c r="A169" s="18"/>
      <c r="B169" s="18"/>
      <c r="C169" s="18"/>
      <c r="D169" s="161"/>
      <c r="E169" s="161"/>
      <c r="F169" s="511"/>
      <c r="G169" s="161"/>
      <c r="H169" s="161"/>
      <c r="I169" s="161"/>
      <c r="J169" s="161"/>
      <c r="K169" s="161"/>
      <c r="L169" s="161"/>
      <c r="M169" s="161"/>
      <c r="N169" s="161"/>
      <c r="O169" s="161"/>
      <c r="P169" s="161"/>
      <c r="Q169" s="161"/>
      <c r="R169" s="161"/>
      <c r="S169" s="161"/>
      <c r="T169" s="161"/>
      <c r="U169" s="161"/>
      <c r="V169" s="161"/>
      <c r="W169" s="161"/>
      <c r="X169" s="161"/>
      <c r="Y169" s="161"/>
      <c r="Z169" s="161"/>
    </row>
    <row r="170">
      <c r="A170" s="18"/>
      <c r="B170" s="18"/>
      <c r="C170" s="18"/>
      <c r="D170" s="161"/>
      <c r="E170" s="161"/>
      <c r="F170" s="511"/>
      <c r="G170" s="161"/>
      <c r="H170" s="161"/>
      <c r="I170" s="161"/>
      <c r="J170" s="161"/>
      <c r="K170" s="161"/>
      <c r="L170" s="161"/>
      <c r="M170" s="161"/>
      <c r="N170" s="161"/>
      <c r="O170" s="161"/>
      <c r="P170" s="161"/>
      <c r="Q170" s="161"/>
      <c r="R170" s="161"/>
      <c r="S170" s="161"/>
      <c r="T170" s="161"/>
      <c r="U170" s="161"/>
      <c r="V170" s="161"/>
      <c r="W170" s="161"/>
      <c r="X170" s="161"/>
      <c r="Y170" s="161"/>
      <c r="Z170" s="161"/>
    </row>
    <row r="171">
      <c r="A171" s="18"/>
      <c r="B171" s="18"/>
      <c r="C171" s="18"/>
      <c r="D171" s="161"/>
      <c r="E171" s="161"/>
      <c r="F171" s="511"/>
      <c r="G171" s="161"/>
      <c r="H171" s="161"/>
      <c r="I171" s="161"/>
      <c r="J171" s="161"/>
      <c r="K171" s="161"/>
      <c r="L171" s="161"/>
      <c r="M171" s="161"/>
      <c r="N171" s="161"/>
      <c r="O171" s="161"/>
      <c r="P171" s="161"/>
      <c r="Q171" s="161"/>
      <c r="R171" s="161"/>
      <c r="S171" s="161"/>
      <c r="T171" s="161"/>
      <c r="U171" s="161"/>
      <c r="V171" s="161"/>
      <c r="W171" s="161"/>
      <c r="X171" s="161"/>
      <c r="Y171" s="161"/>
      <c r="Z171" s="161"/>
    </row>
    <row r="172">
      <c r="A172" s="18"/>
      <c r="B172" s="18"/>
      <c r="C172" s="18"/>
      <c r="D172" s="161"/>
      <c r="E172" s="161"/>
      <c r="F172" s="511"/>
      <c r="G172" s="161"/>
      <c r="H172" s="161"/>
      <c r="I172" s="161"/>
      <c r="J172" s="161"/>
      <c r="K172" s="161"/>
      <c r="L172" s="161"/>
      <c r="M172" s="161"/>
      <c r="N172" s="161"/>
      <c r="O172" s="161"/>
      <c r="P172" s="161"/>
      <c r="Q172" s="161"/>
      <c r="R172" s="161"/>
      <c r="S172" s="161"/>
      <c r="T172" s="161"/>
      <c r="U172" s="161"/>
      <c r="V172" s="161"/>
      <c r="W172" s="161"/>
      <c r="X172" s="161"/>
      <c r="Y172" s="161"/>
      <c r="Z172" s="161"/>
    </row>
    <row r="173">
      <c r="A173" s="18"/>
      <c r="B173" s="18"/>
      <c r="C173" s="18"/>
      <c r="D173" s="161"/>
      <c r="E173" s="161"/>
      <c r="F173" s="511"/>
      <c r="G173" s="161"/>
      <c r="H173" s="161"/>
      <c r="I173" s="161"/>
      <c r="J173" s="161"/>
      <c r="K173" s="161"/>
      <c r="L173" s="161"/>
      <c r="M173" s="161"/>
      <c r="N173" s="161"/>
      <c r="O173" s="161"/>
      <c r="P173" s="161"/>
      <c r="Q173" s="161"/>
      <c r="R173" s="161"/>
      <c r="S173" s="161"/>
      <c r="T173" s="161"/>
      <c r="U173" s="161"/>
      <c r="V173" s="161"/>
      <c r="W173" s="161"/>
      <c r="X173" s="161"/>
      <c r="Y173" s="161"/>
      <c r="Z173" s="161"/>
    </row>
    <row r="174">
      <c r="A174" s="18"/>
      <c r="B174" s="18"/>
      <c r="C174" s="18"/>
      <c r="D174" s="161"/>
      <c r="E174" s="161"/>
      <c r="F174" s="511"/>
      <c r="G174" s="161"/>
      <c r="H174" s="161"/>
      <c r="I174" s="161"/>
      <c r="J174" s="161"/>
      <c r="K174" s="161"/>
      <c r="L174" s="161"/>
      <c r="M174" s="161"/>
      <c r="N174" s="161"/>
      <c r="O174" s="161"/>
      <c r="P174" s="161"/>
      <c r="Q174" s="161"/>
      <c r="R174" s="161"/>
      <c r="S174" s="161"/>
      <c r="T174" s="161"/>
      <c r="U174" s="161"/>
      <c r="V174" s="161"/>
      <c r="W174" s="161"/>
      <c r="X174" s="161"/>
      <c r="Y174" s="161"/>
      <c r="Z174" s="161"/>
    </row>
    <row r="175">
      <c r="A175" s="18"/>
      <c r="B175" s="18"/>
      <c r="C175" s="18"/>
      <c r="D175" s="161"/>
      <c r="E175" s="161"/>
      <c r="F175" s="511"/>
      <c r="G175" s="161"/>
      <c r="H175" s="161"/>
      <c r="I175" s="161"/>
      <c r="J175" s="161"/>
      <c r="K175" s="161"/>
      <c r="L175" s="161"/>
      <c r="M175" s="161"/>
      <c r="N175" s="161"/>
      <c r="O175" s="161"/>
      <c r="P175" s="161"/>
      <c r="Q175" s="161"/>
      <c r="R175" s="161"/>
      <c r="S175" s="161"/>
      <c r="T175" s="161"/>
      <c r="U175" s="161"/>
      <c r="V175" s="161"/>
      <c r="W175" s="161"/>
      <c r="X175" s="161"/>
      <c r="Y175" s="161"/>
      <c r="Z175" s="161"/>
    </row>
    <row r="176">
      <c r="A176" s="18"/>
      <c r="B176" s="18"/>
      <c r="C176" s="18"/>
      <c r="D176" s="161"/>
      <c r="E176" s="161"/>
      <c r="F176" s="511"/>
      <c r="G176" s="161"/>
      <c r="H176" s="161"/>
      <c r="I176" s="161"/>
      <c r="J176" s="161"/>
      <c r="K176" s="161"/>
      <c r="L176" s="161"/>
      <c r="M176" s="161"/>
      <c r="N176" s="161"/>
      <c r="O176" s="161"/>
      <c r="P176" s="161"/>
      <c r="Q176" s="161"/>
      <c r="R176" s="161"/>
      <c r="S176" s="161"/>
      <c r="T176" s="161"/>
      <c r="U176" s="161"/>
      <c r="V176" s="161"/>
      <c r="W176" s="161"/>
      <c r="X176" s="161"/>
      <c r="Y176" s="161"/>
      <c r="Z176" s="161"/>
    </row>
    <row r="177">
      <c r="A177" s="18"/>
      <c r="B177" s="18"/>
      <c r="C177" s="18"/>
      <c r="D177" s="161"/>
      <c r="E177" s="161"/>
      <c r="F177" s="511"/>
      <c r="G177" s="161"/>
      <c r="H177" s="161"/>
      <c r="I177" s="161"/>
      <c r="J177" s="161"/>
      <c r="K177" s="161"/>
      <c r="L177" s="161"/>
      <c r="M177" s="161"/>
      <c r="N177" s="161"/>
      <c r="O177" s="161"/>
      <c r="P177" s="161"/>
      <c r="Q177" s="161"/>
      <c r="R177" s="161"/>
      <c r="S177" s="161"/>
      <c r="T177" s="161"/>
      <c r="U177" s="161"/>
      <c r="V177" s="161"/>
      <c r="W177" s="161"/>
      <c r="X177" s="161"/>
      <c r="Y177" s="161"/>
      <c r="Z177" s="161"/>
    </row>
    <row r="178">
      <c r="A178" s="18"/>
      <c r="B178" s="18"/>
      <c r="C178" s="18"/>
      <c r="D178" s="161"/>
      <c r="E178" s="161"/>
      <c r="F178" s="511"/>
      <c r="G178" s="161"/>
      <c r="H178" s="161"/>
      <c r="I178" s="161"/>
      <c r="J178" s="161"/>
      <c r="K178" s="161"/>
      <c r="L178" s="161"/>
      <c r="M178" s="161"/>
      <c r="N178" s="161"/>
      <c r="O178" s="161"/>
      <c r="P178" s="161"/>
      <c r="Q178" s="161"/>
      <c r="R178" s="161"/>
      <c r="S178" s="161"/>
      <c r="T178" s="161"/>
      <c r="U178" s="161"/>
      <c r="V178" s="161"/>
      <c r="W178" s="161"/>
      <c r="X178" s="161"/>
      <c r="Y178" s="161"/>
      <c r="Z178" s="161"/>
    </row>
    <row r="179">
      <c r="A179" s="18"/>
      <c r="B179" s="18"/>
      <c r="C179" s="18"/>
      <c r="D179" s="161"/>
      <c r="E179" s="161"/>
      <c r="F179" s="511"/>
      <c r="G179" s="161"/>
      <c r="H179" s="161"/>
      <c r="I179" s="161"/>
      <c r="J179" s="161"/>
      <c r="K179" s="161"/>
      <c r="L179" s="161"/>
      <c r="M179" s="161"/>
      <c r="N179" s="161"/>
      <c r="O179" s="161"/>
      <c r="P179" s="161"/>
      <c r="Q179" s="161"/>
      <c r="R179" s="161"/>
      <c r="S179" s="161"/>
      <c r="T179" s="161"/>
      <c r="U179" s="161"/>
      <c r="V179" s="161"/>
      <c r="W179" s="161"/>
      <c r="X179" s="161"/>
      <c r="Y179" s="161"/>
      <c r="Z179" s="161"/>
    </row>
    <row r="180">
      <c r="A180" s="18"/>
      <c r="B180" s="18"/>
      <c r="C180" s="18"/>
      <c r="D180" s="161"/>
      <c r="E180" s="161"/>
      <c r="F180" s="511"/>
      <c r="G180" s="161"/>
      <c r="H180" s="161"/>
      <c r="I180" s="161"/>
      <c r="J180" s="161"/>
      <c r="K180" s="161"/>
      <c r="L180" s="161"/>
      <c r="M180" s="161"/>
      <c r="N180" s="161"/>
      <c r="O180" s="161"/>
      <c r="P180" s="161"/>
      <c r="Q180" s="161"/>
      <c r="R180" s="161"/>
      <c r="S180" s="161"/>
      <c r="T180" s="161"/>
      <c r="U180" s="161"/>
      <c r="V180" s="161"/>
      <c r="W180" s="161"/>
      <c r="X180" s="161"/>
      <c r="Y180" s="161"/>
      <c r="Z180" s="161"/>
    </row>
    <row r="181">
      <c r="A181" s="18"/>
      <c r="B181" s="18"/>
      <c r="C181" s="18"/>
      <c r="D181" s="161"/>
      <c r="E181" s="161"/>
      <c r="F181" s="511"/>
      <c r="G181" s="161"/>
      <c r="H181" s="161"/>
      <c r="I181" s="161"/>
      <c r="J181" s="161"/>
      <c r="K181" s="161"/>
      <c r="L181" s="161"/>
      <c r="M181" s="161"/>
      <c r="N181" s="161"/>
      <c r="O181" s="161"/>
      <c r="P181" s="161"/>
      <c r="Q181" s="161"/>
      <c r="R181" s="161"/>
      <c r="S181" s="161"/>
      <c r="T181" s="161"/>
      <c r="U181" s="161"/>
      <c r="V181" s="161"/>
      <c r="W181" s="161"/>
      <c r="X181" s="161"/>
      <c r="Y181" s="161"/>
      <c r="Z181" s="161"/>
    </row>
    <row r="182">
      <c r="A182" s="18"/>
      <c r="B182" s="18"/>
      <c r="C182" s="18"/>
      <c r="D182" s="161"/>
      <c r="E182" s="161"/>
      <c r="F182" s="511"/>
      <c r="G182" s="161"/>
      <c r="H182" s="161"/>
      <c r="I182" s="161"/>
      <c r="J182" s="161"/>
      <c r="K182" s="161"/>
      <c r="L182" s="161"/>
      <c r="M182" s="161"/>
      <c r="N182" s="161"/>
      <c r="O182" s="161"/>
      <c r="P182" s="161"/>
      <c r="Q182" s="161"/>
      <c r="R182" s="161"/>
      <c r="S182" s="161"/>
      <c r="T182" s="161"/>
      <c r="U182" s="161"/>
      <c r="V182" s="161"/>
      <c r="W182" s="161"/>
      <c r="X182" s="161"/>
      <c r="Y182" s="161"/>
      <c r="Z182" s="161"/>
    </row>
    <row r="183">
      <c r="A183" s="18"/>
      <c r="B183" s="18"/>
      <c r="C183" s="18"/>
      <c r="D183" s="161"/>
      <c r="E183" s="161"/>
      <c r="F183" s="511"/>
      <c r="G183" s="161"/>
      <c r="H183" s="161"/>
      <c r="I183" s="161"/>
      <c r="J183" s="161"/>
      <c r="K183" s="161"/>
      <c r="L183" s="161"/>
      <c r="M183" s="161"/>
      <c r="N183" s="161"/>
      <c r="O183" s="161"/>
      <c r="P183" s="161"/>
      <c r="Q183" s="161"/>
      <c r="R183" s="161"/>
      <c r="S183" s="161"/>
      <c r="T183" s="161"/>
      <c r="U183" s="161"/>
      <c r="V183" s="161"/>
      <c r="W183" s="161"/>
      <c r="X183" s="161"/>
      <c r="Y183" s="161"/>
      <c r="Z183" s="161"/>
    </row>
    <row r="184">
      <c r="A184" s="18"/>
      <c r="B184" s="18"/>
      <c r="C184" s="18"/>
      <c r="D184" s="161"/>
      <c r="E184" s="161"/>
      <c r="F184" s="511"/>
      <c r="G184" s="161"/>
      <c r="H184" s="161"/>
      <c r="I184" s="161"/>
      <c r="J184" s="161"/>
      <c r="K184" s="161"/>
      <c r="L184" s="161"/>
      <c r="M184" s="161"/>
      <c r="N184" s="161"/>
      <c r="O184" s="161"/>
      <c r="P184" s="161"/>
      <c r="Q184" s="161"/>
      <c r="R184" s="161"/>
      <c r="S184" s="161"/>
      <c r="T184" s="161"/>
      <c r="U184" s="161"/>
      <c r="V184" s="161"/>
      <c r="W184" s="161"/>
      <c r="X184" s="161"/>
      <c r="Y184" s="161"/>
      <c r="Z184" s="161"/>
    </row>
    <row r="185">
      <c r="A185" s="18"/>
      <c r="B185" s="18"/>
      <c r="C185" s="18"/>
      <c r="D185" s="161"/>
      <c r="E185" s="161"/>
      <c r="F185" s="511"/>
      <c r="G185" s="161"/>
      <c r="H185" s="161"/>
      <c r="I185" s="161"/>
      <c r="J185" s="161"/>
      <c r="K185" s="161"/>
      <c r="L185" s="161"/>
      <c r="M185" s="161"/>
      <c r="N185" s="161"/>
      <c r="O185" s="161"/>
      <c r="P185" s="161"/>
      <c r="Q185" s="161"/>
      <c r="R185" s="161"/>
      <c r="S185" s="161"/>
      <c r="T185" s="161"/>
      <c r="U185" s="161"/>
      <c r="V185" s="161"/>
      <c r="W185" s="161"/>
      <c r="X185" s="161"/>
      <c r="Y185" s="161"/>
      <c r="Z185" s="161"/>
    </row>
    <row r="186">
      <c r="A186" s="18"/>
      <c r="B186" s="18"/>
      <c r="C186" s="18"/>
      <c r="D186" s="161"/>
      <c r="E186" s="161"/>
      <c r="F186" s="511"/>
      <c r="G186" s="161"/>
      <c r="H186" s="161"/>
      <c r="I186" s="161"/>
      <c r="J186" s="161"/>
      <c r="K186" s="161"/>
      <c r="L186" s="161"/>
      <c r="M186" s="161"/>
      <c r="N186" s="161"/>
      <c r="O186" s="161"/>
      <c r="P186" s="161"/>
      <c r="Q186" s="161"/>
      <c r="R186" s="161"/>
      <c r="S186" s="161"/>
      <c r="T186" s="161"/>
      <c r="U186" s="161"/>
      <c r="V186" s="161"/>
      <c r="W186" s="161"/>
      <c r="X186" s="161"/>
      <c r="Y186" s="161"/>
      <c r="Z186" s="161"/>
    </row>
    <row r="187">
      <c r="A187" s="18"/>
      <c r="B187" s="18"/>
      <c r="C187" s="18"/>
      <c r="D187" s="161"/>
      <c r="E187" s="161"/>
      <c r="F187" s="511"/>
      <c r="G187" s="161"/>
      <c r="H187" s="161"/>
      <c r="I187" s="161"/>
      <c r="J187" s="161"/>
      <c r="K187" s="161"/>
      <c r="L187" s="161"/>
      <c r="M187" s="161"/>
      <c r="N187" s="161"/>
      <c r="O187" s="161"/>
      <c r="P187" s="161"/>
      <c r="Q187" s="161"/>
      <c r="R187" s="161"/>
      <c r="S187" s="161"/>
      <c r="T187" s="161"/>
      <c r="U187" s="161"/>
      <c r="V187" s="161"/>
      <c r="W187" s="161"/>
      <c r="X187" s="161"/>
      <c r="Y187" s="161"/>
      <c r="Z187" s="161"/>
    </row>
    <row r="188">
      <c r="A188" s="18"/>
      <c r="B188" s="18"/>
      <c r="C188" s="18"/>
      <c r="D188" s="161"/>
      <c r="E188" s="161"/>
      <c r="F188" s="511"/>
      <c r="G188" s="161"/>
      <c r="H188" s="161"/>
      <c r="I188" s="161"/>
      <c r="J188" s="161"/>
      <c r="K188" s="161"/>
      <c r="L188" s="161"/>
      <c r="M188" s="161"/>
      <c r="N188" s="161"/>
      <c r="O188" s="161"/>
      <c r="P188" s="161"/>
      <c r="Q188" s="161"/>
      <c r="R188" s="161"/>
      <c r="S188" s="161"/>
      <c r="T188" s="161"/>
      <c r="U188" s="161"/>
      <c r="V188" s="161"/>
      <c r="W188" s="161"/>
      <c r="X188" s="161"/>
      <c r="Y188" s="161"/>
      <c r="Z188" s="161"/>
    </row>
    <row r="189">
      <c r="A189" s="18"/>
      <c r="B189" s="18"/>
      <c r="C189" s="18"/>
      <c r="D189" s="161"/>
      <c r="E189" s="161"/>
      <c r="F189" s="511"/>
      <c r="G189" s="161"/>
      <c r="H189" s="161"/>
      <c r="I189" s="161"/>
      <c r="J189" s="161"/>
      <c r="K189" s="161"/>
      <c r="L189" s="161"/>
      <c r="M189" s="161"/>
      <c r="N189" s="161"/>
      <c r="O189" s="161"/>
      <c r="P189" s="161"/>
      <c r="Q189" s="161"/>
      <c r="R189" s="161"/>
      <c r="S189" s="161"/>
      <c r="T189" s="161"/>
      <c r="U189" s="161"/>
      <c r="V189" s="161"/>
      <c r="W189" s="161"/>
      <c r="X189" s="161"/>
      <c r="Y189" s="161"/>
      <c r="Z189" s="161"/>
    </row>
    <row r="190">
      <c r="A190" s="18"/>
      <c r="B190" s="18"/>
      <c r="C190" s="18"/>
      <c r="D190" s="161"/>
      <c r="E190" s="161"/>
      <c r="F190" s="511"/>
      <c r="G190" s="161"/>
      <c r="H190" s="161"/>
      <c r="I190" s="161"/>
      <c r="J190" s="161"/>
      <c r="K190" s="161"/>
      <c r="L190" s="161"/>
      <c r="M190" s="161"/>
      <c r="N190" s="161"/>
      <c r="O190" s="161"/>
      <c r="P190" s="161"/>
      <c r="Q190" s="161"/>
      <c r="R190" s="161"/>
      <c r="S190" s="161"/>
      <c r="T190" s="161"/>
      <c r="U190" s="161"/>
      <c r="V190" s="161"/>
      <c r="W190" s="161"/>
      <c r="X190" s="161"/>
      <c r="Y190" s="161"/>
      <c r="Z190" s="161"/>
    </row>
    <row r="191">
      <c r="A191" s="18"/>
      <c r="B191" s="18"/>
      <c r="C191" s="18"/>
      <c r="D191" s="161"/>
      <c r="E191" s="161"/>
      <c r="F191" s="511"/>
      <c r="G191" s="161"/>
      <c r="H191" s="161"/>
      <c r="I191" s="161"/>
      <c r="J191" s="161"/>
      <c r="K191" s="161"/>
      <c r="L191" s="161"/>
      <c r="M191" s="161"/>
      <c r="N191" s="161"/>
      <c r="O191" s="161"/>
      <c r="P191" s="161"/>
      <c r="Q191" s="161"/>
      <c r="R191" s="161"/>
      <c r="S191" s="161"/>
      <c r="T191" s="161"/>
      <c r="U191" s="161"/>
      <c r="V191" s="161"/>
      <c r="W191" s="161"/>
      <c r="X191" s="161"/>
      <c r="Y191" s="161"/>
      <c r="Z191" s="161"/>
    </row>
    <row r="192">
      <c r="A192" s="18"/>
      <c r="B192" s="18"/>
      <c r="C192" s="18"/>
      <c r="D192" s="161"/>
      <c r="E192" s="161"/>
      <c r="F192" s="511"/>
      <c r="G192" s="161"/>
      <c r="H192" s="161"/>
      <c r="I192" s="161"/>
      <c r="J192" s="161"/>
      <c r="K192" s="161"/>
      <c r="L192" s="161"/>
      <c r="M192" s="161"/>
      <c r="N192" s="161"/>
      <c r="O192" s="161"/>
      <c r="P192" s="161"/>
      <c r="Q192" s="161"/>
      <c r="R192" s="161"/>
      <c r="S192" s="161"/>
      <c r="T192" s="161"/>
      <c r="U192" s="161"/>
      <c r="V192" s="161"/>
      <c r="W192" s="161"/>
      <c r="X192" s="161"/>
      <c r="Y192" s="161"/>
      <c r="Z192" s="161"/>
    </row>
    <row r="193">
      <c r="A193" s="18"/>
      <c r="B193" s="18"/>
      <c r="C193" s="18"/>
      <c r="D193" s="161"/>
      <c r="E193" s="161"/>
      <c r="F193" s="511"/>
      <c r="G193" s="161"/>
      <c r="H193" s="161"/>
      <c r="I193" s="161"/>
      <c r="J193" s="161"/>
      <c r="K193" s="161"/>
      <c r="L193" s="161"/>
      <c r="M193" s="161"/>
      <c r="N193" s="161"/>
      <c r="O193" s="161"/>
      <c r="P193" s="161"/>
      <c r="Q193" s="161"/>
      <c r="R193" s="161"/>
      <c r="S193" s="161"/>
      <c r="T193" s="161"/>
      <c r="U193" s="161"/>
      <c r="V193" s="161"/>
      <c r="W193" s="161"/>
      <c r="X193" s="161"/>
      <c r="Y193" s="161"/>
      <c r="Z193" s="161"/>
    </row>
    <row r="194">
      <c r="A194" s="18"/>
      <c r="B194" s="18"/>
      <c r="C194" s="18"/>
      <c r="D194" s="161"/>
      <c r="E194" s="161"/>
      <c r="F194" s="511"/>
      <c r="G194" s="161"/>
      <c r="H194" s="161"/>
      <c r="I194" s="161"/>
      <c r="J194" s="161"/>
      <c r="K194" s="161"/>
      <c r="L194" s="161"/>
      <c r="M194" s="161"/>
      <c r="N194" s="161"/>
      <c r="O194" s="161"/>
      <c r="P194" s="161"/>
      <c r="Q194" s="161"/>
      <c r="R194" s="161"/>
      <c r="S194" s="161"/>
      <c r="T194" s="161"/>
      <c r="U194" s="161"/>
      <c r="V194" s="161"/>
      <c r="W194" s="161"/>
      <c r="X194" s="161"/>
      <c r="Y194" s="161"/>
      <c r="Z194" s="161"/>
    </row>
    <row r="195">
      <c r="A195" s="18"/>
      <c r="B195" s="18"/>
      <c r="C195" s="18"/>
      <c r="D195" s="161"/>
      <c r="E195" s="161"/>
      <c r="F195" s="511"/>
      <c r="G195" s="161"/>
      <c r="H195" s="161"/>
      <c r="I195" s="161"/>
      <c r="J195" s="161"/>
      <c r="K195" s="161"/>
      <c r="L195" s="161"/>
      <c r="M195" s="161"/>
      <c r="N195" s="161"/>
      <c r="O195" s="161"/>
      <c r="P195" s="161"/>
      <c r="Q195" s="161"/>
      <c r="R195" s="161"/>
      <c r="S195" s="161"/>
      <c r="T195" s="161"/>
      <c r="U195" s="161"/>
      <c r="V195" s="161"/>
      <c r="W195" s="161"/>
      <c r="X195" s="161"/>
      <c r="Y195" s="161"/>
      <c r="Z195" s="161"/>
    </row>
    <row r="196">
      <c r="A196" s="18"/>
      <c r="B196" s="18"/>
      <c r="C196" s="18"/>
      <c r="D196" s="161"/>
      <c r="E196" s="161"/>
      <c r="F196" s="511"/>
      <c r="G196" s="161"/>
      <c r="H196" s="161"/>
      <c r="I196" s="161"/>
      <c r="J196" s="161"/>
      <c r="K196" s="161"/>
      <c r="L196" s="161"/>
      <c r="M196" s="161"/>
      <c r="N196" s="161"/>
      <c r="O196" s="161"/>
      <c r="P196" s="161"/>
      <c r="Q196" s="161"/>
      <c r="R196" s="161"/>
      <c r="S196" s="161"/>
      <c r="T196" s="161"/>
      <c r="U196" s="161"/>
      <c r="V196" s="161"/>
      <c r="W196" s="161"/>
      <c r="X196" s="161"/>
      <c r="Y196" s="161"/>
      <c r="Z196" s="161"/>
    </row>
    <row r="197">
      <c r="A197" s="18"/>
      <c r="B197" s="18"/>
      <c r="C197" s="18"/>
      <c r="D197" s="161"/>
      <c r="E197" s="161"/>
      <c r="F197" s="511"/>
      <c r="G197" s="161"/>
      <c r="H197" s="161"/>
      <c r="I197" s="161"/>
      <c r="J197" s="161"/>
      <c r="K197" s="161"/>
      <c r="L197" s="161"/>
      <c r="M197" s="161"/>
      <c r="N197" s="161"/>
      <c r="O197" s="161"/>
      <c r="P197" s="161"/>
      <c r="Q197" s="161"/>
      <c r="R197" s="161"/>
      <c r="S197" s="161"/>
      <c r="T197" s="161"/>
      <c r="U197" s="161"/>
      <c r="V197" s="161"/>
      <c r="W197" s="161"/>
      <c r="X197" s="161"/>
      <c r="Y197" s="161"/>
      <c r="Z197" s="161"/>
    </row>
    <row r="198">
      <c r="A198" s="18"/>
      <c r="B198" s="18"/>
      <c r="C198" s="18"/>
      <c r="D198" s="161"/>
      <c r="E198" s="161"/>
      <c r="F198" s="511"/>
      <c r="G198" s="161"/>
      <c r="H198" s="161"/>
      <c r="I198" s="161"/>
      <c r="J198" s="161"/>
      <c r="K198" s="161"/>
      <c r="L198" s="161"/>
      <c r="M198" s="161"/>
      <c r="N198" s="161"/>
      <c r="O198" s="161"/>
      <c r="P198" s="161"/>
      <c r="Q198" s="161"/>
      <c r="R198" s="161"/>
      <c r="S198" s="161"/>
      <c r="T198" s="161"/>
      <c r="U198" s="161"/>
      <c r="V198" s="161"/>
      <c r="W198" s="161"/>
      <c r="X198" s="161"/>
      <c r="Y198" s="161"/>
      <c r="Z198" s="161"/>
    </row>
    <row r="199">
      <c r="A199" s="18"/>
      <c r="B199" s="18"/>
      <c r="C199" s="18"/>
      <c r="D199" s="161"/>
      <c r="E199" s="161"/>
      <c r="F199" s="511"/>
      <c r="G199" s="161"/>
      <c r="H199" s="161"/>
      <c r="I199" s="161"/>
      <c r="J199" s="161"/>
      <c r="K199" s="161"/>
      <c r="L199" s="161"/>
      <c r="M199" s="161"/>
      <c r="N199" s="161"/>
      <c r="O199" s="161"/>
      <c r="P199" s="161"/>
      <c r="Q199" s="161"/>
      <c r="R199" s="161"/>
      <c r="S199" s="161"/>
      <c r="T199" s="161"/>
      <c r="U199" s="161"/>
      <c r="V199" s="161"/>
      <c r="W199" s="161"/>
      <c r="X199" s="161"/>
      <c r="Y199" s="161"/>
      <c r="Z199" s="161"/>
    </row>
    <row r="200">
      <c r="A200" s="18"/>
      <c r="B200" s="18"/>
      <c r="C200" s="18"/>
      <c r="D200" s="161"/>
      <c r="E200" s="161"/>
      <c r="F200" s="511"/>
      <c r="G200" s="161"/>
      <c r="H200" s="161"/>
      <c r="I200" s="161"/>
      <c r="J200" s="161"/>
      <c r="K200" s="161"/>
      <c r="L200" s="161"/>
      <c r="M200" s="161"/>
      <c r="N200" s="161"/>
      <c r="O200" s="161"/>
      <c r="P200" s="161"/>
      <c r="Q200" s="161"/>
      <c r="R200" s="161"/>
      <c r="S200" s="161"/>
      <c r="T200" s="161"/>
      <c r="U200" s="161"/>
      <c r="V200" s="161"/>
      <c r="W200" s="161"/>
      <c r="X200" s="161"/>
      <c r="Y200" s="161"/>
      <c r="Z200" s="161"/>
    </row>
    <row r="201">
      <c r="A201" s="18"/>
      <c r="B201" s="18"/>
      <c r="C201" s="18"/>
      <c r="D201" s="161"/>
      <c r="E201" s="161"/>
      <c r="F201" s="511"/>
      <c r="G201" s="161"/>
      <c r="H201" s="161"/>
      <c r="I201" s="161"/>
      <c r="J201" s="161"/>
      <c r="K201" s="161"/>
      <c r="L201" s="161"/>
      <c r="M201" s="161"/>
      <c r="N201" s="161"/>
      <c r="O201" s="161"/>
      <c r="P201" s="161"/>
      <c r="Q201" s="161"/>
      <c r="R201" s="161"/>
      <c r="S201" s="161"/>
      <c r="T201" s="161"/>
      <c r="U201" s="161"/>
      <c r="V201" s="161"/>
      <c r="W201" s="161"/>
      <c r="X201" s="161"/>
      <c r="Y201" s="161"/>
      <c r="Z201" s="161"/>
    </row>
    <row r="202">
      <c r="A202" s="18"/>
      <c r="B202" s="18"/>
      <c r="C202" s="18"/>
      <c r="D202" s="161"/>
      <c r="E202" s="161"/>
      <c r="F202" s="511"/>
      <c r="G202" s="161"/>
      <c r="H202" s="161"/>
      <c r="I202" s="161"/>
      <c r="J202" s="161"/>
      <c r="K202" s="161"/>
      <c r="L202" s="161"/>
      <c r="M202" s="161"/>
      <c r="N202" s="161"/>
      <c r="O202" s="161"/>
      <c r="P202" s="161"/>
      <c r="Q202" s="161"/>
      <c r="R202" s="161"/>
      <c r="S202" s="161"/>
      <c r="T202" s="161"/>
      <c r="U202" s="161"/>
      <c r="V202" s="161"/>
      <c r="W202" s="161"/>
      <c r="X202" s="161"/>
      <c r="Y202" s="161"/>
      <c r="Z202" s="161"/>
    </row>
    <row r="203">
      <c r="A203" s="18"/>
      <c r="B203" s="18"/>
      <c r="C203" s="18"/>
      <c r="D203" s="161"/>
      <c r="E203" s="161"/>
      <c r="F203" s="511"/>
      <c r="G203" s="161"/>
      <c r="H203" s="161"/>
      <c r="I203" s="161"/>
      <c r="J203" s="161"/>
      <c r="K203" s="161"/>
      <c r="L203" s="161"/>
      <c r="M203" s="161"/>
      <c r="N203" s="161"/>
      <c r="O203" s="161"/>
      <c r="P203" s="161"/>
      <c r="Q203" s="161"/>
      <c r="R203" s="161"/>
      <c r="S203" s="161"/>
      <c r="T203" s="161"/>
      <c r="U203" s="161"/>
      <c r="V203" s="161"/>
      <c r="W203" s="161"/>
      <c r="X203" s="161"/>
      <c r="Y203" s="161"/>
      <c r="Z203" s="161"/>
    </row>
    <row r="204">
      <c r="A204" s="18"/>
      <c r="B204" s="18"/>
      <c r="C204" s="18"/>
      <c r="D204" s="161"/>
      <c r="E204" s="161"/>
      <c r="F204" s="511"/>
      <c r="G204" s="161"/>
      <c r="H204" s="161"/>
      <c r="I204" s="161"/>
      <c r="J204" s="161"/>
      <c r="K204" s="161"/>
      <c r="L204" s="161"/>
      <c r="M204" s="161"/>
      <c r="N204" s="161"/>
      <c r="O204" s="161"/>
      <c r="P204" s="161"/>
      <c r="Q204" s="161"/>
      <c r="R204" s="161"/>
      <c r="S204" s="161"/>
      <c r="T204" s="161"/>
      <c r="U204" s="161"/>
      <c r="V204" s="161"/>
      <c r="W204" s="161"/>
      <c r="X204" s="161"/>
      <c r="Y204" s="161"/>
      <c r="Z204" s="161"/>
    </row>
    <row r="205">
      <c r="A205" s="18"/>
      <c r="B205" s="18"/>
      <c r="C205" s="18"/>
      <c r="D205" s="161"/>
      <c r="E205" s="161"/>
      <c r="F205" s="511"/>
      <c r="G205" s="161"/>
      <c r="H205" s="161"/>
      <c r="I205" s="161"/>
      <c r="J205" s="161"/>
      <c r="K205" s="161"/>
      <c r="L205" s="161"/>
      <c r="M205" s="161"/>
      <c r="N205" s="161"/>
      <c r="O205" s="161"/>
      <c r="P205" s="161"/>
      <c r="Q205" s="161"/>
      <c r="R205" s="161"/>
      <c r="S205" s="161"/>
      <c r="T205" s="161"/>
      <c r="U205" s="161"/>
      <c r="V205" s="161"/>
      <c r="W205" s="161"/>
      <c r="X205" s="161"/>
      <c r="Y205" s="161"/>
      <c r="Z205" s="161"/>
    </row>
    <row r="206">
      <c r="A206" s="18"/>
      <c r="B206" s="18"/>
      <c r="C206" s="18"/>
      <c r="D206" s="161"/>
      <c r="E206" s="161"/>
      <c r="F206" s="511"/>
      <c r="G206" s="161"/>
      <c r="H206" s="161"/>
      <c r="I206" s="161"/>
      <c r="J206" s="161"/>
      <c r="K206" s="161"/>
      <c r="L206" s="161"/>
      <c r="M206" s="161"/>
      <c r="N206" s="161"/>
      <c r="O206" s="161"/>
      <c r="P206" s="161"/>
      <c r="Q206" s="161"/>
      <c r="R206" s="161"/>
      <c r="S206" s="161"/>
      <c r="T206" s="161"/>
      <c r="U206" s="161"/>
      <c r="V206" s="161"/>
      <c r="W206" s="161"/>
      <c r="X206" s="161"/>
      <c r="Y206" s="161"/>
      <c r="Z206" s="161"/>
    </row>
    <row r="207">
      <c r="A207" s="18"/>
      <c r="B207" s="18"/>
      <c r="C207" s="18"/>
      <c r="D207" s="161"/>
      <c r="E207" s="161"/>
      <c r="F207" s="511"/>
      <c r="G207" s="161"/>
      <c r="H207" s="161"/>
      <c r="I207" s="161"/>
      <c r="J207" s="161"/>
      <c r="K207" s="161"/>
      <c r="L207" s="161"/>
      <c r="M207" s="161"/>
      <c r="N207" s="161"/>
      <c r="O207" s="161"/>
      <c r="P207" s="161"/>
      <c r="Q207" s="161"/>
      <c r="R207" s="161"/>
      <c r="S207" s="161"/>
      <c r="T207" s="161"/>
      <c r="U207" s="161"/>
      <c r="V207" s="161"/>
      <c r="W207" s="161"/>
      <c r="X207" s="161"/>
      <c r="Y207" s="161"/>
      <c r="Z207" s="161"/>
    </row>
    <row r="208">
      <c r="A208" s="18"/>
      <c r="B208" s="18"/>
      <c r="C208" s="18"/>
      <c r="D208" s="161"/>
      <c r="E208" s="161"/>
      <c r="F208" s="511"/>
      <c r="G208" s="161"/>
      <c r="H208" s="161"/>
      <c r="I208" s="161"/>
      <c r="J208" s="161"/>
      <c r="K208" s="161"/>
      <c r="L208" s="161"/>
      <c r="M208" s="161"/>
      <c r="N208" s="161"/>
      <c r="O208" s="161"/>
      <c r="P208" s="161"/>
      <c r="Q208" s="161"/>
      <c r="R208" s="161"/>
      <c r="S208" s="161"/>
      <c r="T208" s="161"/>
      <c r="U208" s="161"/>
      <c r="V208" s="161"/>
      <c r="W208" s="161"/>
      <c r="X208" s="161"/>
      <c r="Y208" s="161"/>
      <c r="Z208" s="161"/>
    </row>
    <row r="209">
      <c r="A209" s="18"/>
      <c r="B209" s="18"/>
      <c r="C209" s="18"/>
      <c r="D209" s="161"/>
      <c r="E209" s="161"/>
      <c r="F209" s="511"/>
      <c r="G209" s="161"/>
      <c r="H209" s="161"/>
      <c r="I209" s="161"/>
      <c r="J209" s="161"/>
      <c r="K209" s="161"/>
      <c r="L209" s="161"/>
      <c r="M209" s="161"/>
      <c r="N209" s="161"/>
      <c r="O209" s="161"/>
      <c r="P209" s="161"/>
      <c r="Q209" s="161"/>
      <c r="R209" s="161"/>
      <c r="S209" s="161"/>
      <c r="T209" s="161"/>
      <c r="U209" s="161"/>
      <c r="V209" s="161"/>
      <c r="W209" s="161"/>
      <c r="X209" s="161"/>
      <c r="Y209" s="161"/>
      <c r="Z209" s="161"/>
    </row>
    <row r="210">
      <c r="A210" s="18"/>
      <c r="B210" s="18"/>
      <c r="C210" s="18"/>
      <c r="D210" s="161"/>
      <c r="E210" s="161"/>
      <c r="F210" s="511"/>
      <c r="G210" s="161"/>
      <c r="H210" s="161"/>
      <c r="I210" s="161"/>
      <c r="J210" s="161"/>
      <c r="K210" s="161"/>
      <c r="L210" s="161"/>
      <c r="M210" s="161"/>
      <c r="N210" s="161"/>
      <c r="O210" s="161"/>
      <c r="P210" s="161"/>
      <c r="Q210" s="161"/>
      <c r="R210" s="161"/>
      <c r="S210" s="161"/>
      <c r="T210" s="161"/>
      <c r="U210" s="161"/>
      <c r="V210" s="161"/>
      <c r="W210" s="161"/>
      <c r="X210" s="161"/>
      <c r="Y210" s="161"/>
      <c r="Z210" s="161"/>
    </row>
    <row r="211">
      <c r="A211" s="18"/>
      <c r="B211" s="18"/>
      <c r="C211" s="18"/>
      <c r="D211" s="161"/>
      <c r="E211" s="161"/>
      <c r="F211" s="511"/>
      <c r="G211" s="161"/>
      <c r="H211" s="161"/>
      <c r="I211" s="161"/>
      <c r="J211" s="161"/>
      <c r="K211" s="161"/>
      <c r="L211" s="161"/>
      <c r="M211" s="161"/>
      <c r="N211" s="161"/>
      <c r="O211" s="161"/>
      <c r="P211" s="161"/>
      <c r="Q211" s="161"/>
      <c r="R211" s="161"/>
      <c r="S211" s="161"/>
      <c r="T211" s="161"/>
      <c r="U211" s="161"/>
      <c r="V211" s="161"/>
      <c r="W211" s="161"/>
      <c r="X211" s="161"/>
      <c r="Y211" s="161"/>
      <c r="Z211" s="161"/>
    </row>
    <row r="212">
      <c r="A212" s="18"/>
      <c r="B212" s="18"/>
      <c r="C212" s="18"/>
      <c r="D212" s="161"/>
      <c r="E212" s="161"/>
      <c r="F212" s="511"/>
      <c r="G212" s="161"/>
      <c r="H212" s="161"/>
      <c r="I212" s="161"/>
      <c r="J212" s="161"/>
      <c r="K212" s="161"/>
      <c r="L212" s="161"/>
      <c r="M212" s="161"/>
      <c r="N212" s="161"/>
      <c r="O212" s="161"/>
      <c r="P212" s="161"/>
      <c r="Q212" s="161"/>
      <c r="R212" s="161"/>
      <c r="S212" s="161"/>
      <c r="T212" s="161"/>
      <c r="U212" s="161"/>
      <c r="V212" s="161"/>
      <c r="W212" s="161"/>
      <c r="X212" s="161"/>
      <c r="Y212" s="161"/>
      <c r="Z212" s="161"/>
    </row>
    <row r="213">
      <c r="A213" s="18"/>
      <c r="B213" s="18"/>
      <c r="C213" s="18"/>
      <c r="D213" s="161"/>
      <c r="E213" s="161"/>
      <c r="F213" s="511"/>
      <c r="G213" s="161"/>
      <c r="H213" s="161"/>
      <c r="I213" s="161"/>
      <c r="J213" s="161"/>
      <c r="K213" s="161"/>
      <c r="L213" s="161"/>
      <c r="M213" s="161"/>
      <c r="N213" s="161"/>
      <c r="O213" s="161"/>
      <c r="P213" s="161"/>
      <c r="Q213" s="161"/>
      <c r="R213" s="161"/>
      <c r="S213" s="161"/>
      <c r="T213" s="161"/>
      <c r="U213" s="161"/>
      <c r="V213" s="161"/>
      <c r="W213" s="161"/>
      <c r="X213" s="161"/>
      <c r="Y213" s="161"/>
      <c r="Z213" s="161"/>
    </row>
    <row r="214">
      <c r="A214" s="18"/>
      <c r="B214" s="18"/>
      <c r="C214" s="18"/>
      <c r="D214" s="161"/>
      <c r="E214" s="161"/>
      <c r="F214" s="511"/>
      <c r="G214" s="161"/>
      <c r="H214" s="161"/>
      <c r="I214" s="161"/>
      <c r="J214" s="161"/>
      <c r="K214" s="161"/>
      <c r="L214" s="161"/>
      <c r="M214" s="161"/>
      <c r="N214" s="161"/>
      <c r="O214" s="161"/>
      <c r="P214" s="161"/>
      <c r="Q214" s="161"/>
      <c r="R214" s="161"/>
      <c r="S214" s="161"/>
      <c r="T214" s="161"/>
      <c r="U214" s="161"/>
      <c r="V214" s="161"/>
      <c r="W214" s="161"/>
      <c r="X214" s="161"/>
      <c r="Y214" s="161"/>
      <c r="Z214" s="161"/>
    </row>
    <row r="215">
      <c r="A215" s="18"/>
      <c r="B215" s="18"/>
      <c r="C215" s="18"/>
      <c r="D215" s="161"/>
      <c r="E215" s="161"/>
      <c r="F215" s="511"/>
      <c r="G215" s="161"/>
      <c r="H215" s="161"/>
      <c r="I215" s="161"/>
      <c r="J215" s="161"/>
      <c r="K215" s="161"/>
      <c r="L215" s="161"/>
      <c r="M215" s="161"/>
      <c r="N215" s="161"/>
      <c r="O215" s="161"/>
      <c r="P215" s="161"/>
      <c r="Q215" s="161"/>
      <c r="R215" s="161"/>
      <c r="S215" s="161"/>
      <c r="T215" s="161"/>
      <c r="U215" s="161"/>
      <c r="V215" s="161"/>
      <c r="W215" s="161"/>
      <c r="X215" s="161"/>
      <c r="Y215" s="161"/>
      <c r="Z215" s="161"/>
    </row>
    <row r="216">
      <c r="A216" s="18"/>
      <c r="B216" s="18"/>
      <c r="C216" s="18"/>
      <c r="D216" s="161"/>
      <c r="E216" s="161"/>
      <c r="F216" s="511"/>
      <c r="G216" s="161"/>
      <c r="H216" s="161"/>
      <c r="I216" s="161"/>
      <c r="J216" s="161"/>
      <c r="K216" s="161"/>
      <c r="L216" s="161"/>
      <c r="M216" s="161"/>
      <c r="N216" s="161"/>
      <c r="O216" s="161"/>
      <c r="P216" s="161"/>
      <c r="Q216" s="161"/>
      <c r="R216" s="161"/>
      <c r="S216" s="161"/>
      <c r="T216" s="161"/>
      <c r="U216" s="161"/>
      <c r="V216" s="161"/>
      <c r="W216" s="161"/>
      <c r="X216" s="161"/>
      <c r="Y216" s="161"/>
      <c r="Z216" s="161"/>
    </row>
    <row r="217">
      <c r="A217" s="18"/>
      <c r="B217" s="18"/>
      <c r="C217" s="18"/>
      <c r="D217" s="161"/>
      <c r="E217" s="161"/>
      <c r="F217" s="511"/>
      <c r="G217" s="161"/>
      <c r="H217" s="161"/>
      <c r="I217" s="161"/>
      <c r="J217" s="161"/>
      <c r="K217" s="161"/>
      <c r="L217" s="161"/>
      <c r="M217" s="161"/>
      <c r="N217" s="161"/>
      <c r="O217" s="161"/>
      <c r="P217" s="161"/>
      <c r="Q217" s="161"/>
      <c r="R217" s="161"/>
      <c r="S217" s="161"/>
      <c r="T217" s="161"/>
      <c r="U217" s="161"/>
      <c r="V217" s="161"/>
      <c r="W217" s="161"/>
      <c r="X217" s="161"/>
      <c r="Y217" s="161"/>
      <c r="Z217" s="161"/>
    </row>
    <row r="218">
      <c r="A218" s="18"/>
      <c r="B218" s="18"/>
      <c r="C218" s="18"/>
      <c r="D218" s="161"/>
      <c r="E218" s="161"/>
      <c r="F218" s="511"/>
      <c r="G218" s="161"/>
      <c r="H218" s="161"/>
      <c r="I218" s="161"/>
      <c r="J218" s="161"/>
      <c r="K218" s="161"/>
      <c r="L218" s="161"/>
      <c r="M218" s="161"/>
      <c r="N218" s="161"/>
      <c r="O218" s="161"/>
      <c r="P218" s="161"/>
      <c r="Q218" s="161"/>
      <c r="R218" s="161"/>
      <c r="S218" s="161"/>
      <c r="T218" s="161"/>
      <c r="U218" s="161"/>
      <c r="V218" s="161"/>
      <c r="W218" s="161"/>
      <c r="X218" s="161"/>
      <c r="Y218" s="161"/>
      <c r="Z218" s="161"/>
    </row>
    <row r="219">
      <c r="A219" s="18"/>
      <c r="B219" s="18"/>
      <c r="C219" s="18"/>
      <c r="D219" s="161"/>
      <c r="E219" s="161"/>
      <c r="F219" s="511"/>
      <c r="G219" s="161"/>
      <c r="H219" s="161"/>
      <c r="I219" s="161"/>
      <c r="J219" s="161"/>
      <c r="K219" s="161"/>
      <c r="L219" s="161"/>
      <c r="M219" s="161"/>
      <c r="N219" s="161"/>
      <c r="O219" s="161"/>
      <c r="P219" s="161"/>
      <c r="Q219" s="161"/>
      <c r="R219" s="161"/>
      <c r="S219" s="161"/>
      <c r="T219" s="161"/>
      <c r="U219" s="161"/>
      <c r="V219" s="161"/>
      <c r="W219" s="161"/>
      <c r="X219" s="161"/>
      <c r="Y219" s="161"/>
      <c r="Z219" s="161"/>
    </row>
    <row r="220">
      <c r="A220" s="18"/>
      <c r="B220" s="18"/>
      <c r="C220" s="18"/>
      <c r="D220" s="161"/>
      <c r="E220" s="161"/>
      <c r="F220" s="511"/>
      <c r="G220" s="161"/>
      <c r="H220" s="161"/>
      <c r="I220" s="161"/>
      <c r="J220" s="161"/>
      <c r="K220" s="161"/>
      <c r="L220" s="161"/>
      <c r="M220" s="161"/>
      <c r="N220" s="161"/>
      <c r="O220" s="161"/>
      <c r="P220" s="161"/>
      <c r="Q220" s="161"/>
      <c r="R220" s="161"/>
      <c r="S220" s="161"/>
      <c r="T220" s="161"/>
      <c r="U220" s="161"/>
      <c r="V220" s="161"/>
      <c r="W220" s="161"/>
      <c r="X220" s="161"/>
      <c r="Y220" s="161"/>
      <c r="Z220" s="161"/>
    </row>
    <row r="221">
      <c r="A221" s="18"/>
      <c r="B221" s="18"/>
      <c r="C221" s="18"/>
      <c r="D221" s="161"/>
      <c r="E221" s="161"/>
      <c r="F221" s="511"/>
      <c r="G221" s="161"/>
      <c r="H221" s="161"/>
      <c r="I221" s="161"/>
      <c r="J221" s="161"/>
      <c r="K221" s="161"/>
      <c r="L221" s="161"/>
      <c r="M221" s="161"/>
      <c r="N221" s="161"/>
      <c r="O221" s="161"/>
      <c r="P221" s="161"/>
      <c r="Q221" s="161"/>
      <c r="R221" s="161"/>
      <c r="S221" s="161"/>
      <c r="T221" s="161"/>
      <c r="U221" s="161"/>
      <c r="V221" s="161"/>
      <c r="W221" s="161"/>
      <c r="X221" s="161"/>
      <c r="Y221" s="161"/>
      <c r="Z221" s="161"/>
    </row>
    <row r="222">
      <c r="A222" s="18"/>
      <c r="B222" s="18"/>
      <c r="C222" s="18"/>
      <c r="D222" s="161"/>
      <c r="E222" s="161"/>
      <c r="F222" s="511"/>
      <c r="G222" s="161"/>
      <c r="H222" s="161"/>
      <c r="I222" s="161"/>
      <c r="J222" s="161"/>
      <c r="K222" s="161"/>
      <c r="L222" s="161"/>
      <c r="M222" s="161"/>
      <c r="N222" s="161"/>
      <c r="O222" s="161"/>
      <c r="P222" s="161"/>
      <c r="Q222" s="161"/>
      <c r="R222" s="161"/>
      <c r="S222" s="161"/>
      <c r="T222" s="161"/>
      <c r="U222" s="161"/>
      <c r="V222" s="161"/>
      <c r="W222" s="161"/>
      <c r="X222" s="161"/>
      <c r="Y222" s="161"/>
      <c r="Z222" s="161"/>
    </row>
    <row r="223">
      <c r="A223" s="18"/>
      <c r="B223" s="18"/>
      <c r="C223" s="18"/>
      <c r="D223" s="161"/>
      <c r="E223" s="161"/>
      <c r="F223" s="511"/>
      <c r="G223" s="161"/>
      <c r="H223" s="161"/>
      <c r="I223" s="161"/>
      <c r="J223" s="161"/>
      <c r="K223" s="161"/>
      <c r="L223" s="161"/>
      <c r="M223" s="161"/>
      <c r="N223" s="161"/>
      <c r="O223" s="161"/>
      <c r="P223" s="161"/>
      <c r="Q223" s="161"/>
      <c r="R223" s="161"/>
      <c r="S223" s="161"/>
      <c r="T223" s="161"/>
      <c r="U223" s="161"/>
      <c r="V223" s="161"/>
      <c r="W223" s="161"/>
      <c r="X223" s="161"/>
      <c r="Y223" s="161"/>
      <c r="Z223" s="161"/>
    </row>
    <row r="224">
      <c r="A224" s="18"/>
      <c r="B224" s="18"/>
      <c r="C224" s="18"/>
      <c r="D224" s="161"/>
      <c r="E224" s="161"/>
      <c r="F224" s="511"/>
      <c r="G224" s="161"/>
      <c r="H224" s="161"/>
      <c r="I224" s="161"/>
      <c r="J224" s="161"/>
      <c r="K224" s="161"/>
      <c r="L224" s="161"/>
      <c r="M224" s="161"/>
      <c r="N224" s="161"/>
      <c r="O224" s="161"/>
      <c r="P224" s="161"/>
      <c r="Q224" s="161"/>
      <c r="R224" s="161"/>
      <c r="S224" s="161"/>
      <c r="T224" s="161"/>
      <c r="U224" s="161"/>
      <c r="V224" s="161"/>
      <c r="W224" s="161"/>
      <c r="X224" s="161"/>
      <c r="Y224" s="161"/>
      <c r="Z224" s="161"/>
    </row>
    <row r="225">
      <c r="A225" s="18"/>
      <c r="B225" s="18"/>
      <c r="C225" s="18"/>
      <c r="D225" s="161"/>
      <c r="E225" s="161"/>
      <c r="F225" s="511"/>
      <c r="G225" s="161"/>
      <c r="H225" s="161"/>
      <c r="I225" s="161"/>
      <c r="J225" s="161"/>
      <c r="K225" s="161"/>
      <c r="L225" s="161"/>
      <c r="M225" s="161"/>
      <c r="N225" s="161"/>
      <c r="O225" s="161"/>
      <c r="P225" s="161"/>
      <c r="Q225" s="161"/>
      <c r="R225" s="161"/>
      <c r="S225" s="161"/>
      <c r="T225" s="161"/>
      <c r="U225" s="161"/>
      <c r="V225" s="161"/>
      <c r="W225" s="161"/>
      <c r="X225" s="161"/>
      <c r="Y225" s="161"/>
      <c r="Z225" s="161"/>
    </row>
    <row r="226">
      <c r="A226" s="18"/>
      <c r="B226" s="18"/>
      <c r="C226" s="18"/>
      <c r="D226" s="161"/>
      <c r="E226" s="161"/>
      <c r="F226" s="511"/>
      <c r="G226" s="161"/>
      <c r="H226" s="161"/>
      <c r="I226" s="161"/>
      <c r="J226" s="161"/>
      <c r="K226" s="161"/>
      <c r="L226" s="161"/>
      <c r="M226" s="161"/>
      <c r="N226" s="161"/>
      <c r="O226" s="161"/>
      <c r="P226" s="161"/>
      <c r="Q226" s="161"/>
      <c r="R226" s="161"/>
      <c r="S226" s="161"/>
      <c r="T226" s="161"/>
      <c r="U226" s="161"/>
      <c r="V226" s="161"/>
      <c r="W226" s="161"/>
      <c r="X226" s="161"/>
      <c r="Y226" s="161"/>
      <c r="Z226" s="161"/>
    </row>
    <row r="227">
      <c r="A227" s="18"/>
      <c r="B227" s="18"/>
      <c r="C227" s="18"/>
      <c r="D227" s="161"/>
      <c r="E227" s="161"/>
      <c r="F227" s="511"/>
      <c r="G227" s="161"/>
      <c r="H227" s="161"/>
      <c r="I227" s="161"/>
      <c r="J227" s="161"/>
      <c r="K227" s="161"/>
      <c r="L227" s="161"/>
      <c r="M227" s="161"/>
      <c r="N227" s="161"/>
      <c r="O227" s="161"/>
      <c r="P227" s="161"/>
      <c r="Q227" s="161"/>
      <c r="R227" s="161"/>
      <c r="S227" s="161"/>
      <c r="T227" s="161"/>
      <c r="U227" s="161"/>
      <c r="V227" s="161"/>
      <c r="W227" s="161"/>
      <c r="X227" s="161"/>
      <c r="Y227" s="161"/>
      <c r="Z227" s="161"/>
    </row>
    <row r="228">
      <c r="A228" s="18"/>
      <c r="B228" s="18"/>
      <c r="C228" s="18"/>
      <c r="D228" s="161"/>
      <c r="E228" s="161"/>
      <c r="F228" s="511"/>
      <c r="G228" s="161"/>
      <c r="H228" s="161"/>
      <c r="I228" s="161"/>
      <c r="J228" s="161"/>
      <c r="K228" s="161"/>
      <c r="L228" s="161"/>
      <c r="M228" s="161"/>
      <c r="N228" s="161"/>
      <c r="O228" s="161"/>
      <c r="P228" s="161"/>
      <c r="Q228" s="161"/>
      <c r="R228" s="161"/>
      <c r="S228" s="161"/>
      <c r="T228" s="161"/>
      <c r="U228" s="161"/>
      <c r="V228" s="161"/>
      <c r="W228" s="161"/>
      <c r="X228" s="161"/>
      <c r="Y228" s="161"/>
      <c r="Z228" s="161"/>
    </row>
    <row r="229">
      <c r="A229" s="18"/>
      <c r="B229" s="18"/>
      <c r="C229" s="18"/>
      <c r="D229" s="161"/>
      <c r="E229" s="161"/>
      <c r="F229" s="511"/>
      <c r="G229" s="161"/>
      <c r="H229" s="161"/>
      <c r="I229" s="161"/>
      <c r="J229" s="161"/>
      <c r="K229" s="161"/>
      <c r="L229" s="161"/>
      <c r="M229" s="161"/>
      <c r="N229" s="161"/>
      <c r="O229" s="161"/>
      <c r="P229" s="161"/>
      <c r="Q229" s="161"/>
      <c r="R229" s="161"/>
      <c r="S229" s="161"/>
      <c r="T229" s="161"/>
      <c r="U229" s="161"/>
      <c r="V229" s="161"/>
      <c r="W229" s="161"/>
      <c r="X229" s="161"/>
      <c r="Y229" s="161"/>
      <c r="Z229" s="161"/>
    </row>
    <row r="230">
      <c r="A230" s="18"/>
      <c r="B230" s="18"/>
      <c r="C230" s="18"/>
      <c r="D230" s="161"/>
      <c r="E230" s="161"/>
      <c r="F230" s="511"/>
      <c r="G230" s="161"/>
      <c r="H230" s="161"/>
      <c r="I230" s="161"/>
      <c r="J230" s="161"/>
      <c r="K230" s="161"/>
      <c r="L230" s="161"/>
      <c r="M230" s="161"/>
      <c r="N230" s="161"/>
      <c r="O230" s="161"/>
      <c r="P230" s="161"/>
      <c r="Q230" s="161"/>
      <c r="R230" s="161"/>
      <c r="S230" s="161"/>
      <c r="T230" s="161"/>
      <c r="U230" s="161"/>
      <c r="V230" s="161"/>
      <c r="W230" s="161"/>
      <c r="X230" s="161"/>
      <c r="Y230" s="161"/>
      <c r="Z230" s="161"/>
    </row>
    <row r="231">
      <c r="A231" s="18"/>
      <c r="B231" s="18"/>
      <c r="C231" s="18"/>
      <c r="D231" s="161"/>
      <c r="E231" s="161"/>
      <c r="F231" s="511"/>
      <c r="G231" s="161"/>
      <c r="H231" s="161"/>
      <c r="I231" s="161"/>
      <c r="J231" s="161"/>
      <c r="K231" s="161"/>
      <c r="L231" s="161"/>
      <c r="M231" s="161"/>
      <c r="N231" s="161"/>
      <c r="O231" s="161"/>
      <c r="P231" s="161"/>
      <c r="Q231" s="161"/>
      <c r="R231" s="161"/>
      <c r="S231" s="161"/>
      <c r="T231" s="161"/>
      <c r="U231" s="161"/>
      <c r="V231" s="161"/>
      <c r="W231" s="161"/>
      <c r="X231" s="161"/>
      <c r="Y231" s="161"/>
      <c r="Z231" s="161"/>
    </row>
    <row r="232">
      <c r="A232" s="18"/>
      <c r="B232" s="18"/>
      <c r="C232" s="18"/>
      <c r="D232" s="161"/>
      <c r="E232" s="161"/>
      <c r="F232" s="511"/>
      <c r="G232" s="161"/>
      <c r="H232" s="161"/>
      <c r="I232" s="161"/>
      <c r="J232" s="161"/>
      <c r="K232" s="161"/>
      <c r="L232" s="161"/>
      <c r="M232" s="161"/>
      <c r="N232" s="161"/>
      <c r="O232" s="161"/>
      <c r="P232" s="161"/>
      <c r="Q232" s="161"/>
      <c r="R232" s="161"/>
      <c r="S232" s="161"/>
      <c r="T232" s="161"/>
      <c r="U232" s="161"/>
      <c r="V232" s="161"/>
      <c r="W232" s="161"/>
      <c r="X232" s="161"/>
      <c r="Y232" s="161"/>
      <c r="Z232" s="161"/>
    </row>
    <row r="233">
      <c r="A233" s="18"/>
      <c r="B233" s="18"/>
      <c r="C233" s="18"/>
      <c r="D233" s="161"/>
      <c r="E233" s="161"/>
      <c r="F233" s="511"/>
      <c r="G233" s="161"/>
      <c r="H233" s="161"/>
      <c r="I233" s="161"/>
      <c r="J233" s="161"/>
      <c r="K233" s="161"/>
      <c r="L233" s="161"/>
      <c r="M233" s="161"/>
      <c r="N233" s="161"/>
      <c r="O233" s="161"/>
      <c r="P233" s="161"/>
      <c r="Q233" s="161"/>
      <c r="R233" s="161"/>
      <c r="S233" s="161"/>
      <c r="T233" s="161"/>
      <c r="U233" s="161"/>
      <c r="V233" s="161"/>
      <c r="W233" s="161"/>
      <c r="X233" s="161"/>
      <c r="Y233" s="161"/>
      <c r="Z233" s="161"/>
    </row>
    <row r="234">
      <c r="A234" s="18"/>
      <c r="B234" s="18"/>
      <c r="C234" s="18"/>
      <c r="D234" s="161"/>
      <c r="E234" s="161"/>
      <c r="F234" s="511"/>
      <c r="G234" s="161"/>
      <c r="H234" s="161"/>
      <c r="I234" s="161"/>
      <c r="J234" s="161"/>
      <c r="K234" s="161"/>
      <c r="L234" s="161"/>
      <c r="M234" s="161"/>
      <c r="N234" s="161"/>
      <c r="O234" s="161"/>
      <c r="P234" s="161"/>
      <c r="Q234" s="161"/>
      <c r="R234" s="161"/>
      <c r="S234" s="161"/>
      <c r="T234" s="161"/>
      <c r="U234" s="161"/>
      <c r="V234" s="161"/>
      <c r="W234" s="161"/>
      <c r="X234" s="161"/>
      <c r="Y234" s="161"/>
      <c r="Z234" s="161"/>
    </row>
    <row r="235">
      <c r="A235" s="18"/>
      <c r="B235" s="18"/>
      <c r="C235" s="18"/>
      <c r="D235" s="161"/>
      <c r="E235" s="161"/>
      <c r="F235" s="511"/>
      <c r="G235" s="161"/>
      <c r="H235" s="161"/>
      <c r="I235" s="161"/>
      <c r="J235" s="161"/>
      <c r="K235" s="161"/>
      <c r="L235" s="161"/>
      <c r="M235" s="161"/>
      <c r="N235" s="161"/>
      <c r="O235" s="161"/>
      <c r="P235" s="161"/>
      <c r="Q235" s="161"/>
      <c r="R235" s="161"/>
      <c r="S235" s="161"/>
      <c r="T235" s="161"/>
      <c r="U235" s="161"/>
      <c r="V235" s="161"/>
      <c r="W235" s="161"/>
      <c r="X235" s="161"/>
      <c r="Y235" s="161"/>
      <c r="Z235" s="161"/>
    </row>
    <row r="236">
      <c r="A236" s="18"/>
      <c r="B236" s="18"/>
      <c r="C236" s="18"/>
      <c r="D236" s="161"/>
      <c r="E236" s="161"/>
      <c r="F236" s="511"/>
      <c r="G236" s="161"/>
      <c r="H236" s="161"/>
      <c r="I236" s="161"/>
      <c r="J236" s="161"/>
      <c r="K236" s="161"/>
      <c r="L236" s="161"/>
      <c r="M236" s="161"/>
      <c r="N236" s="161"/>
      <c r="O236" s="161"/>
      <c r="P236" s="161"/>
      <c r="Q236" s="161"/>
      <c r="R236" s="161"/>
      <c r="S236" s="161"/>
      <c r="T236" s="161"/>
      <c r="U236" s="161"/>
      <c r="V236" s="161"/>
      <c r="W236" s="161"/>
      <c r="X236" s="161"/>
      <c r="Y236" s="161"/>
      <c r="Z236" s="161"/>
    </row>
    <row r="237">
      <c r="A237" s="18"/>
      <c r="B237" s="18"/>
      <c r="C237" s="18"/>
      <c r="D237" s="161"/>
      <c r="E237" s="161"/>
      <c r="F237" s="511"/>
      <c r="G237" s="161"/>
      <c r="H237" s="161"/>
      <c r="I237" s="161"/>
      <c r="J237" s="161"/>
      <c r="K237" s="161"/>
      <c r="L237" s="161"/>
      <c r="M237" s="161"/>
      <c r="N237" s="161"/>
      <c r="O237" s="161"/>
      <c r="P237" s="161"/>
      <c r="Q237" s="161"/>
      <c r="R237" s="161"/>
      <c r="S237" s="161"/>
      <c r="T237" s="161"/>
      <c r="U237" s="161"/>
      <c r="V237" s="161"/>
      <c r="W237" s="161"/>
      <c r="X237" s="161"/>
      <c r="Y237" s="161"/>
      <c r="Z237" s="161"/>
    </row>
    <row r="238">
      <c r="A238" s="18"/>
      <c r="B238" s="18"/>
      <c r="C238" s="18"/>
      <c r="D238" s="161"/>
      <c r="E238" s="161"/>
      <c r="F238" s="511"/>
      <c r="G238" s="161"/>
      <c r="H238" s="161"/>
      <c r="I238" s="161"/>
      <c r="J238" s="161"/>
      <c r="K238" s="161"/>
      <c r="L238" s="161"/>
      <c r="M238" s="161"/>
      <c r="N238" s="161"/>
      <c r="O238" s="161"/>
      <c r="P238" s="161"/>
      <c r="Q238" s="161"/>
      <c r="R238" s="161"/>
      <c r="S238" s="161"/>
      <c r="T238" s="161"/>
      <c r="U238" s="161"/>
      <c r="V238" s="161"/>
      <c r="W238" s="161"/>
      <c r="X238" s="161"/>
      <c r="Y238" s="161"/>
      <c r="Z238" s="161"/>
    </row>
    <row r="239">
      <c r="A239" s="18"/>
      <c r="B239" s="18"/>
      <c r="C239" s="18"/>
      <c r="D239" s="161"/>
      <c r="E239" s="161"/>
      <c r="F239" s="511"/>
      <c r="G239" s="161"/>
      <c r="H239" s="161"/>
      <c r="I239" s="161"/>
      <c r="J239" s="161"/>
      <c r="K239" s="161"/>
      <c r="L239" s="161"/>
      <c r="M239" s="161"/>
      <c r="N239" s="161"/>
      <c r="O239" s="161"/>
      <c r="P239" s="161"/>
      <c r="Q239" s="161"/>
      <c r="R239" s="161"/>
      <c r="S239" s="161"/>
      <c r="T239" s="161"/>
      <c r="U239" s="161"/>
      <c r="V239" s="161"/>
      <c r="W239" s="161"/>
      <c r="X239" s="161"/>
      <c r="Y239" s="161"/>
      <c r="Z239" s="161"/>
    </row>
    <row r="240">
      <c r="A240" s="18"/>
      <c r="B240" s="18"/>
      <c r="C240" s="18"/>
      <c r="D240" s="161"/>
      <c r="E240" s="161"/>
      <c r="F240" s="511"/>
      <c r="G240" s="161"/>
      <c r="H240" s="161"/>
      <c r="I240" s="161"/>
      <c r="J240" s="161"/>
      <c r="K240" s="161"/>
      <c r="L240" s="161"/>
      <c r="M240" s="161"/>
      <c r="N240" s="161"/>
      <c r="O240" s="161"/>
      <c r="P240" s="161"/>
      <c r="Q240" s="161"/>
      <c r="R240" s="161"/>
      <c r="S240" s="161"/>
      <c r="T240" s="161"/>
      <c r="U240" s="161"/>
      <c r="V240" s="161"/>
      <c r="W240" s="161"/>
      <c r="X240" s="161"/>
      <c r="Y240" s="161"/>
      <c r="Z240" s="161"/>
    </row>
    <row r="241">
      <c r="A241" s="18"/>
      <c r="B241" s="18"/>
      <c r="C241" s="18"/>
      <c r="D241" s="161"/>
      <c r="E241" s="161"/>
      <c r="F241" s="511"/>
      <c r="G241" s="161"/>
      <c r="H241" s="161"/>
      <c r="I241" s="161"/>
      <c r="J241" s="161"/>
      <c r="K241" s="161"/>
      <c r="L241" s="161"/>
      <c r="M241" s="161"/>
      <c r="N241" s="161"/>
      <c r="O241" s="161"/>
      <c r="P241" s="161"/>
      <c r="Q241" s="161"/>
      <c r="R241" s="161"/>
      <c r="S241" s="161"/>
      <c r="T241" s="161"/>
      <c r="U241" s="161"/>
      <c r="V241" s="161"/>
      <c r="W241" s="161"/>
      <c r="X241" s="161"/>
      <c r="Y241" s="161"/>
      <c r="Z241" s="161"/>
    </row>
    <row r="242">
      <c r="A242" s="18"/>
      <c r="B242" s="18"/>
      <c r="C242" s="18"/>
      <c r="D242" s="161"/>
      <c r="E242" s="161"/>
      <c r="F242" s="511"/>
      <c r="G242" s="161"/>
      <c r="H242" s="161"/>
      <c r="I242" s="161"/>
      <c r="J242" s="161"/>
      <c r="K242" s="161"/>
      <c r="L242" s="161"/>
      <c r="M242" s="161"/>
      <c r="N242" s="161"/>
      <c r="O242" s="161"/>
      <c r="P242" s="161"/>
      <c r="Q242" s="161"/>
      <c r="R242" s="161"/>
      <c r="S242" s="161"/>
      <c r="T242" s="161"/>
      <c r="U242" s="161"/>
      <c r="V242" s="161"/>
      <c r="W242" s="161"/>
      <c r="X242" s="161"/>
      <c r="Y242" s="161"/>
      <c r="Z242" s="161"/>
    </row>
    <row r="243">
      <c r="A243" s="18"/>
      <c r="B243" s="18"/>
      <c r="C243" s="18"/>
      <c r="D243" s="161"/>
      <c r="E243" s="161"/>
      <c r="F243" s="511"/>
      <c r="G243" s="161"/>
      <c r="H243" s="161"/>
      <c r="I243" s="161"/>
      <c r="J243" s="161"/>
      <c r="K243" s="161"/>
      <c r="L243" s="161"/>
      <c r="M243" s="161"/>
      <c r="N243" s="161"/>
      <c r="O243" s="161"/>
      <c r="P243" s="161"/>
      <c r="Q243" s="161"/>
      <c r="R243" s="161"/>
      <c r="S243" s="161"/>
      <c r="T243" s="161"/>
      <c r="U243" s="161"/>
      <c r="V243" s="161"/>
      <c r="W243" s="161"/>
      <c r="X243" s="161"/>
      <c r="Y243" s="161"/>
      <c r="Z243" s="161"/>
    </row>
    <row r="244">
      <c r="A244" s="18"/>
      <c r="B244" s="18"/>
      <c r="C244" s="18"/>
      <c r="D244" s="161"/>
      <c r="E244" s="161"/>
      <c r="F244" s="511"/>
      <c r="G244" s="161"/>
      <c r="H244" s="161"/>
      <c r="I244" s="161"/>
      <c r="J244" s="161"/>
      <c r="K244" s="161"/>
      <c r="L244" s="161"/>
      <c r="M244" s="161"/>
      <c r="N244" s="161"/>
      <c r="O244" s="161"/>
      <c r="P244" s="161"/>
      <c r="Q244" s="161"/>
      <c r="R244" s="161"/>
      <c r="S244" s="161"/>
      <c r="T244" s="161"/>
      <c r="U244" s="161"/>
      <c r="V244" s="161"/>
      <c r="W244" s="161"/>
      <c r="X244" s="161"/>
      <c r="Y244" s="161"/>
      <c r="Z244" s="161"/>
    </row>
    <row r="245">
      <c r="A245" s="18"/>
      <c r="B245" s="18"/>
      <c r="C245" s="18"/>
      <c r="D245" s="161"/>
      <c r="E245" s="161"/>
      <c r="F245" s="511"/>
      <c r="G245" s="161"/>
      <c r="H245" s="161"/>
      <c r="I245" s="161"/>
      <c r="J245" s="161"/>
      <c r="K245" s="161"/>
      <c r="L245" s="161"/>
      <c r="M245" s="161"/>
      <c r="N245" s="161"/>
      <c r="O245" s="161"/>
      <c r="P245" s="161"/>
      <c r="Q245" s="161"/>
      <c r="R245" s="161"/>
      <c r="S245" s="161"/>
      <c r="T245" s="161"/>
      <c r="U245" s="161"/>
      <c r="V245" s="161"/>
      <c r="W245" s="161"/>
      <c r="X245" s="161"/>
      <c r="Y245" s="161"/>
      <c r="Z245" s="161"/>
    </row>
    <row r="246">
      <c r="A246" s="18"/>
      <c r="B246" s="18"/>
      <c r="C246" s="18"/>
      <c r="D246" s="161"/>
      <c r="E246" s="161"/>
      <c r="F246" s="511"/>
      <c r="G246" s="161"/>
      <c r="H246" s="161"/>
      <c r="I246" s="161"/>
      <c r="J246" s="161"/>
      <c r="K246" s="161"/>
      <c r="L246" s="161"/>
      <c r="M246" s="161"/>
      <c r="N246" s="161"/>
      <c r="O246" s="161"/>
      <c r="P246" s="161"/>
      <c r="Q246" s="161"/>
      <c r="R246" s="161"/>
      <c r="S246" s="161"/>
      <c r="T246" s="161"/>
      <c r="U246" s="161"/>
      <c r="V246" s="161"/>
      <c r="W246" s="161"/>
      <c r="X246" s="161"/>
      <c r="Y246" s="161"/>
      <c r="Z246" s="161"/>
    </row>
    <row r="247">
      <c r="A247" s="18"/>
      <c r="B247" s="18"/>
      <c r="C247" s="18"/>
      <c r="D247" s="161"/>
      <c r="E247" s="161"/>
      <c r="F247" s="511"/>
      <c r="G247" s="161"/>
      <c r="H247" s="161"/>
      <c r="I247" s="161"/>
      <c r="J247" s="161"/>
      <c r="K247" s="161"/>
      <c r="L247" s="161"/>
      <c r="M247" s="161"/>
      <c r="N247" s="161"/>
      <c r="O247" s="161"/>
      <c r="P247" s="161"/>
      <c r="Q247" s="161"/>
      <c r="R247" s="161"/>
      <c r="S247" s="161"/>
      <c r="T247" s="161"/>
      <c r="U247" s="161"/>
      <c r="V247" s="161"/>
      <c r="W247" s="161"/>
      <c r="X247" s="161"/>
      <c r="Y247" s="161"/>
      <c r="Z247" s="161"/>
    </row>
    <row r="248">
      <c r="A248" s="18"/>
      <c r="B248" s="18"/>
      <c r="C248" s="18"/>
      <c r="D248" s="161"/>
      <c r="E248" s="161"/>
      <c r="F248" s="511"/>
      <c r="G248" s="161"/>
      <c r="H248" s="161"/>
      <c r="I248" s="161"/>
      <c r="J248" s="161"/>
      <c r="K248" s="161"/>
      <c r="L248" s="161"/>
      <c r="M248" s="161"/>
      <c r="N248" s="161"/>
      <c r="O248" s="161"/>
      <c r="P248" s="161"/>
      <c r="Q248" s="161"/>
      <c r="R248" s="161"/>
      <c r="S248" s="161"/>
      <c r="T248" s="161"/>
      <c r="U248" s="161"/>
      <c r="V248" s="161"/>
      <c r="W248" s="161"/>
      <c r="X248" s="161"/>
      <c r="Y248" s="161"/>
      <c r="Z248" s="161"/>
    </row>
    <row r="249">
      <c r="A249" s="18"/>
      <c r="B249" s="18"/>
      <c r="C249" s="18"/>
      <c r="D249" s="161"/>
      <c r="E249" s="161"/>
      <c r="F249" s="511"/>
      <c r="G249" s="161"/>
      <c r="H249" s="161"/>
      <c r="I249" s="161"/>
      <c r="J249" s="161"/>
      <c r="K249" s="161"/>
      <c r="L249" s="161"/>
      <c r="M249" s="161"/>
      <c r="N249" s="161"/>
      <c r="O249" s="161"/>
      <c r="P249" s="161"/>
      <c r="Q249" s="161"/>
      <c r="R249" s="161"/>
      <c r="S249" s="161"/>
      <c r="T249" s="161"/>
      <c r="U249" s="161"/>
      <c r="V249" s="161"/>
      <c r="W249" s="161"/>
      <c r="X249" s="161"/>
      <c r="Y249" s="161"/>
      <c r="Z249" s="161"/>
    </row>
    <row r="250">
      <c r="A250" s="18"/>
      <c r="B250" s="18"/>
      <c r="C250" s="18"/>
      <c r="D250" s="161"/>
      <c r="E250" s="161"/>
      <c r="F250" s="511"/>
      <c r="G250" s="161"/>
      <c r="H250" s="161"/>
      <c r="I250" s="161"/>
      <c r="J250" s="161"/>
      <c r="K250" s="161"/>
      <c r="L250" s="161"/>
      <c r="M250" s="161"/>
      <c r="N250" s="161"/>
      <c r="O250" s="161"/>
      <c r="P250" s="161"/>
      <c r="Q250" s="161"/>
      <c r="R250" s="161"/>
      <c r="S250" s="161"/>
      <c r="T250" s="161"/>
      <c r="U250" s="161"/>
      <c r="V250" s="161"/>
      <c r="W250" s="161"/>
      <c r="X250" s="161"/>
      <c r="Y250" s="161"/>
      <c r="Z250" s="161"/>
    </row>
    <row r="251">
      <c r="A251" s="18"/>
      <c r="B251" s="18"/>
      <c r="C251" s="18"/>
      <c r="D251" s="161"/>
      <c r="E251" s="161"/>
      <c r="F251" s="511"/>
      <c r="G251" s="161"/>
      <c r="H251" s="161"/>
      <c r="I251" s="161"/>
      <c r="J251" s="161"/>
      <c r="K251" s="161"/>
      <c r="L251" s="161"/>
      <c r="M251" s="161"/>
      <c r="N251" s="161"/>
      <c r="O251" s="161"/>
      <c r="P251" s="161"/>
      <c r="Q251" s="161"/>
      <c r="R251" s="161"/>
      <c r="S251" s="161"/>
      <c r="T251" s="161"/>
      <c r="U251" s="161"/>
      <c r="V251" s="161"/>
      <c r="W251" s="161"/>
      <c r="X251" s="161"/>
      <c r="Y251" s="161"/>
      <c r="Z251" s="161"/>
    </row>
    <row r="252">
      <c r="A252" s="18"/>
      <c r="B252" s="18"/>
      <c r="C252" s="18"/>
      <c r="D252" s="161"/>
      <c r="E252" s="161"/>
      <c r="F252" s="511"/>
      <c r="G252" s="161"/>
      <c r="H252" s="161"/>
      <c r="I252" s="161"/>
      <c r="J252" s="161"/>
      <c r="K252" s="161"/>
      <c r="L252" s="161"/>
      <c r="M252" s="161"/>
      <c r="N252" s="161"/>
      <c r="O252" s="161"/>
      <c r="P252" s="161"/>
      <c r="Q252" s="161"/>
      <c r="R252" s="161"/>
      <c r="S252" s="161"/>
      <c r="T252" s="161"/>
      <c r="U252" s="161"/>
      <c r="V252" s="161"/>
      <c r="W252" s="161"/>
      <c r="X252" s="161"/>
      <c r="Y252" s="161"/>
      <c r="Z252" s="161"/>
    </row>
    <row r="253">
      <c r="A253" s="18"/>
      <c r="B253" s="18"/>
      <c r="C253" s="18"/>
      <c r="D253" s="161"/>
      <c r="E253" s="161"/>
      <c r="F253" s="511"/>
      <c r="G253" s="161"/>
      <c r="H253" s="161"/>
      <c r="I253" s="161"/>
      <c r="J253" s="161"/>
      <c r="K253" s="161"/>
      <c r="L253" s="161"/>
      <c r="M253" s="161"/>
      <c r="N253" s="161"/>
      <c r="O253" s="161"/>
      <c r="P253" s="161"/>
      <c r="Q253" s="161"/>
      <c r="R253" s="161"/>
      <c r="S253" s="161"/>
      <c r="T253" s="161"/>
      <c r="U253" s="161"/>
      <c r="V253" s="161"/>
      <c r="W253" s="161"/>
      <c r="X253" s="161"/>
      <c r="Y253" s="161"/>
      <c r="Z253" s="161"/>
    </row>
    <row r="254">
      <c r="A254" s="18"/>
      <c r="B254" s="18"/>
      <c r="C254" s="18"/>
      <c r="D254" s="161"/>
      <c r="E254" s="161"/>
      <c r="F254" s="511"/>
      <c r="G254" s="161"/>
      <c r="H254" s="161"/>
      <c r="I254" s="161"/>
      <c r="J254" s="161"/>
      <c r="K254" s="161"/>
      <c r="L254" s="161"/>
      <c r="M254" s="161"/>
      <c r="N254" s="161"/>
      <c r="O254" s="161"/>
      <c r="P254" s="161"/>
      <c r="Q254" s="161"/>
      <c r="R254" s="161"/>
      <c r="S254" s="161"/>
      <c r="T254" s="161"/>
      <c r="U254" s="161"/>
      <c r="V254" s="161"/>
      <c r="W254" s="161"/>
      <c r="X254" s="161"/>
      <c r="Y254" s="161"/>
      <c r="Z254" s="161"/>
    </row>
    <row r="255">
      <c r="A255" s="18"/>
      <c r="B255" s="18"/>
      <c r="C255" s="18"/>
      <c r="D255" s="161"/>
      <c r="E255" s="161"/>
      <c r="F255" s="511"/>
      <c r="G255" s="161"/>
      <c r="H255" s="161"/>
      <c r="I255" s="161"/>
      <c r="J255" s="161"/>
      <c r="K255" s="161"/>
      <c r="L255" s="161"/>
      <c r="M255" s="161"/>
      <c r="N255" s="161"/>
      <c r="O255" s="161"/>
      <c r="P255" s="161"/>
      <c r="Q255" s="161"/>
      <c r="R255" s="161"/>
      <c r="S255" s="161"/>
      <c r="T255" s="161"/>
      <c r="U255" s="161"/>
      <c r="V255" s="161"/>
      <c r="W255" s="161"/>
      <c r="X255" s="161"/>
      <c r="Y255" s="161"/>
      <c r="Z255" s="161"/>
    </row>
    <row r="256">
      <c r="A256" s="18"/>
      <c r="B256" s="18"/>
      <c r="C256" s="18"/>
      <c r="D256" s="161"/>
      <c r="E256" s="161"/>
      <c r="F256" s="511"/>
      <c r="G256" s="161"/>
      <c r="H256" s="161"/>
      <c r="I256" s="161"/>
      <c r="J256" s="161"/>
      <c r="K256" s="161"/>
      <c r="L256" s="161"/>
      <c r="M256" s="161"/>
      <c r="N256" s="161"/>
      <c r="O256" s="161"/>
      <c r="P256" s="161"/>
      <c r="Q256" s="161"/>
      <c r="R256" s="161"/>
      <c r="S256" s="161"/>
      <c r="T256" s="161"/>
      <c r="U256" s="161"/>
      <c r="V256" s="161"/>
      <c r="W256" s="161"/>
      <c r="X256" s="161"/>
      <c r="Y256" s="161"/>
      <c r="Z256" s="161"/>
    </row>
    <row r="257">
      <c r="A257" s="18"/>
      <c r="B257" s="18"/>
      <c r="C257" s="18"/>
      <c r="D257" s="161"/>
      <c r="E257" s="161"/>
      <c r="F257" s="511"/>
      <c r="G257" s="161"/>
      <c r="H257" s="161"/>
      <c r="I257" s="161"/>
      <c r="J257" s="161"/>
      <c r="K257" s="161"/>
      <c r="L257" s="161"/>
      <c r="M257" s="161"/>
      <c r="N257" s="161"/>
      <c r="O257" s="161"/>
      <c r="P257" s="161"/>
      <c r="Q257" s="161"/>
      <c r="R257" s="161"/>
      <c r="S257" s="161"/>
      <c r="T257" s="161"/>
      <c r="U257" s="161"/>
      <c r="V257" s="161"/>
      <c r="W257" s="161"/>
      <c r="X257" s="161"/>
      <c r="Y257" s="161"/>
      <c r="Z257" s="161"/>
    </row>
    <row r="258">
      <c r="A258" s="18"/>
      <c r="B258" s="18"/>
      <c r="C258" s="18"/>
      <c r="D258" s="161"/>
      <c r="E258" s="161"/>
      <c r="F258" s="511"/>
      <c r="G258" s="161"/>
      <c r="H258" s="161"/>
      <c r="I258" s="161"/>
      <c r="J258" s="161"/>
      <c r="K258" s="161"/>
      <c r="L258" s="161"/>
      <c r="M258" s="161"/>
      <c r="N258" s="161"/>
      <c r="O258" s="161"/>
      <c r="P258" s="161"/>
      <c r="Q258" s="161"/>
      <c r="R258" s="161"/>
      <c r="S258" s="161"/>
      <c r="T258" s="161"/>
      <c r="U258" s="161"/>
      <c r="V258" s="161"/>
      <c r="W258" s="161"/>
      <c r="X258" s="161"/>
      <c r="Y258" s="161"/>
      <c r="Z258" s="161"/>
    </row>
    <row r="259">
      <c r="A259" s="18"/>
      <c r="B259" s="18"/>
      <c r="C259" s="18"/>
      <c r="D259" s="161"/>
      <c r="E259" s="161"/>
      <c r="F259" s="511"/>
      <c r="G259" s="161"/>
      <c r="H259" s="161"/>
      <c r="I259" s="161"/>
      <c r="J259" s="161"/>
      <c r="K259" s="161"/>
      <c r="L259" s="161"/>
      <c r="M259" s="161"/>
      <c r="N259" s="161"/>
      <c r="O259" s="161"/>
      <c r="P259" s="161"/>
      <c r="Q259" s="161"/>
      <c r="R259" s="161"/>
      <c r="S259" s="161"/>
      <c r="T259" s="161"/>
      <c r="U259" s="161"/>
      <c r="V259" s="161"/>
      <c r="W259" s="161"/>
      <c r="X259" s="161"/>
      <c r="Y259" s="161"/>
      <c r="Z259" s="161"/>
    </row>
    <row r="260">
      <c r="A260" s="18"/>
      <c r="B260" s="18"/>
      <c r="C260" s="18"/>
      <c r="D260" s="161"/>
      <c r="E260" s="161"/>
      <c r="F260" s="511"/>
      <c r="G260" s="161"/>
      <c r="H260" s="161"/>
      <c r="I260" s="161"/>
      <c r="J260" s="161"/>
      <c r="K260" s="161"/>
      <c r="L260" s="161"/>
      <c r="M260" s="161"/>
      <c r="N260" s="161"/>
      <c r="O260" s="161"/>
      <c r="P260" s="161"/>
      <c r="Q260" s="161"/>
      <c r="R260" s="161"/>
      <c r="S260" s="161"/>
      <c r="T260" s="161"/>
      <c r="U260" s="161"/>
      <c r="V260" s="161"/>
      <c r="W260" s="161"/>
      <c r="X260" s="161"/>
      <c r="Y260" s="161"/>
      <c r="Z260" s="161"/>
    </row>
    <row r="261">
      <c r="A261" s="18"/>
      <c r="B261" s="18"/>
      <c r="C261" s="18"/>
      <c r="D261" s="161"/>
      <c r="E261" s="161"/>
      <c r="F261" s="511"/>
      <c r="G261" s="161"/>
      <c r="H261" s="161"/>
      <c r="I261" s="161"/>
      <c r="J261" s="161"/>
      <c r="K261" s="161"/>
      <c r="L261" s="161"/>
      <c r="M261" s="161"/>
      <c r="N261" s="161"/>
      <c r="O261" s="161"/>
      <c r="P261" s="161"/>
      <c r="Q261" s="161"/>
      <c r="R261" s="161"/>
      <c r="S261" s="161"/>
      <c r="T261" s="161"/>
      <c r="U261" s="161"/>
      <c r="V261" s="161"/>
      <c r="W261" s="161"/>
      <c r="X261" s="161"/>
      <c r="Y261" s="161"/>
      <c r="Z261" s="161"/>
    </row>
    <row r="262">
      <c r="A262" s="18"/>
      <c r="B262" s="18"/>
      <c r="C262" s="18"/>
      <c r="D262" s="161"/>
      <c r="E262" s="161"/>
      <c r="F262" s="511"/>
      <c r="G262" s="161"/>
      <c r="H262" s="161"/>
      <c r="I262" s="161"/>
      <c r="J262" s="161"/>
      <c r="K262" s="161"/>
      <c r="L262" s="161"/>
      <c r="M262" s="161"/>
      <c r="N262" s="161"/>
      <c r="O262" s="161"/>
      <c r="P262" s="161"/>
      <c r="Q262" s="161"/>
      <c r="R262" s="161"/>
      <c r="S262" s="161"/>
      <c r="T262" s="161"/>
      <c r="U262" s="161"/>
      <c r="V262" s="161"/>
      <c r="W262" s="161"/>
      <c r="X262" s="161"/>
      <c r="Y262" s="161"/>
      <c r="Z262" s="161"/>
    </row>
    <row r="263">
      <c r="A263" s="18"/>
      <c r="B263" s="18"/>
      <c r="C263" s="18"/>
      <c r="D263" s="161"/>
      <c r="E263" s="161"/>
      <c r="F263" s="511"/>
      <c r="G263" s="161"/>
      <c r="H263" s="161"/>
      <c r="I263" s="161"/>
      <c r="J263" s="161"/>
      <c r="K263" s="161"/>
      <c r="L263" s="161"/>
      <c r="M263" s="161"/>
      <c r="N263" s="161"/>
      <c r="O263" s="161"/>
      <c r="P263" s="161"/>
      <c r="Q263" s="161"/>
      <c r="R263" s="161"/>
      <c r="S263" s="161"/>
      <c r="T263" s="161"/>
      <c r="U263" s="161"/>
      <c r="V263" s="161"/>
      <c r="W263" s="161"/>
      <c r="X263" s="161"/>
      <c r="Y263" s="161"/>
      <c r="Z263" s="161"/>
    </row>
    <row r="264">
      <c r="A264" s="18"/>
      <c r="B264" s="18"/>
      <c r="C264" s="18"/>
      <c r="D264" s="161"/>
      <c r="E264" s="161"/>
      <c r="F264" s="511"/>
      <c r="G264" s="161"/>
      <c r="H264" s="161"/>
      <c r="I264" s="161"/>
      <c r="J264" s="161"/>
      <c r="K264" s="161"/>
      <c r="L264" s="161"/>
      <c r="M264" s="161"/>
      <c r="N264" s="161"/>
      <c r="O264" s="161"/>
      <c r="P264" s="161"/>
      <c r="Q264" s="161"/>
      <c r="R264" s="161"/>
      <c r="S264" s="161"/>
      <c r="T264" s="161"/>
      <c r="U264" s="161"/>
      <c r="V264" s="161"/>
      <c r="W264" s="161"/>
      <c r="X264" s="161"/>
      <c r="Y264" s="161"/>
      <c r="Z264" s="161"/>
    </row>
    <row r="265">
      <c r="A265" s="18"/>
      <c r="B265" s="18"/>
      <c r="C265" s="18"/>
      <c r="D265" s="161"/>
      <c r="E265" s="161"/>
      <c r="F265" s="511"/>
      <c r="G265" s="161"/>
      <c r="H265" s="161"/>
      <c r="I265" s="161"/>
      <c r="J265" s="161"/>
      <c r="K265" s="161"/>
      <c r="L265" s="161"/>
      <c r="M265" s="161"/>
      <c r="N265" s="161"/>
      <c r="O265" s="161"/>
      <c r="P265" s="161"/>
      <c r="Q265" s="161"/>
      <c r="R265" s="161"/>
      <c r="S265" s="161"/>
      <c r="T265" s="161"/>
      <c r="U265" s="161"/>
      <c r="V265" s="161"/>
      <c r="W265" s="161"/>
      <c r="X265" s="161"/>
      <c r="Y265" s="161"/>
      <c r="Z265" s="161"/>
    </row>
    <row r="266">
      <c r="A266" s="18"/>
      <c r="B266" s="18"/>
      <c r="C266" s="18"/>
      <c r="D266" s="161"/>
      <c r="E266" s="161"/>
      <c r="F266" s="511"/>
      <c r="G266" s="161"/>
      <c r="H266" s="161"/>
      <c r="I266" s="161"/>
      <c r="J266" s="161"/>
      <c r="K266" s="161"/>
      <c r="L266" s="161"/>
      <c r="M266" s="161"/>
      <c r="N266" s="161"/>
      <c r="O266" s="161"/>
      <c r="P266" s="161"/>
      <c r="Q266" s="161"/>
      <c r="R266" s="161"/>
      <c r="S266" s="161"/>
      <c r="T266" s="161"/>
      <c r="U266" s="161"/>
      <c r="V266" s="161"/>
      <c r="W266" s="161"/>
      <c r="X266" s="161"/>
      <c r="Y266" s="161"/>
      <c r="Z266" s="161"/>
    </row>
    <row r="267">
      <c r="A267" s="18"/>
      <c r="B267" s="18"/>
      <c r="C267" s="18"/>
      <c r="D267" s="161"/>
      <c r="E267" s="161"/>
      <c r="F267" s="511"/>
      <c r="G267" s="161"/>
      <c r="H267" s="161"/>
      <c r="I267" s="161"/>
      <c r="J267" s="161"/>
      <c r="K267" s="161"/>
      <c r="L267" s="161"/>
      <c r="M267" s="161"/>
      <c r="N267" s="161"/>
      <c r="O267" s="161"/>
      <c r="P267" s="161"/>
      <c r="Q267" s="161"/>
      <c r="R267" s="161"/>
      <c r="S267" s="161"/>
      <c r="T267" s="161"/>
      <c r="U267" s="161"/>
      <c r="V267" s="161"/>
      <c r="W267" s="161"/>
      <c r="X267" s="161"/>
      <c r="Y267" s="161"/>
      <c r="Z267" s="161"/>
    </row>
    <row r="268">
      <c r="A268" s="18"/>
      <c r="B268" s="18"/>
      <c r="C268" s="18"/>
      <c r="D268" s="161"/>
      <c r="E268" s="161"/>
      <c r="F268" s="511"/>
      <c r="G268" s="161"/>
      <c r="H268" s="161"/>
      <c r="I268" s="161"/>
      <c r="J268" s="161"/>
      <c r="K268" s="161"/>
      <c r="L268" s="161"/>
      <c r="M268" s="161"/>
      <c r="N268" s="161"/>
      <c r="O268" s="161"/>
      <c r="P268" s="161"/>
      <c r="Q268" s="161"/>
      <c r="R268" s="161"/>
      <c r="S268" s="161"/>
      <c r="T268" s="161"/>
      <c r="U268" s="161"/>
      <c r="V268" s="161"/>
      <c r="W268" s="161"/>
      <c r="X268" s="161"/>
      <c r="Y268" s="161"/>
      <c r="Z268" s="161"/>
    </row>
    <row r="269">
      <c r="A269" s="18"/>
      <c r="B269" s="18"/>
      <c r="C269" s="18"/>
      <c r="D269" s="161"/>
      <c r="E269" s="161"/>
      <c r="F269" s="511"/>
      <c r="G269" s="161"/>
      <c r="H269" s="161"/>
      <c r="I269" s="161"/>
      <c r="J269" s="161"/>
      <c r="K269" s="161"/>
      <c r="L269" s="161"/>
      <c r="M269" s="161"/>
      <c r="N269" s="161"/>
      <c r="O269" s="161"/>
      <c r="P269" s="161"/>
      <c r="Q269" s="161"/>
      <c r="R269" s="161"/>
      <c r="S269" s="161"/>
      <c r="T269" s="161"/>
      <c r="U269" s="161"/>
      <c r="V269" s="161"/>
      <c r="W269" s="161"/>
      <c r="X269" s="161"/>
      <c r="Y269" s="161"/>
      <c r="Z269" s="161"/>
    </row>
    <row r="270">
      <c r="A270" s="18"/>
      <c r="B270" s="18"/>
      <c r="C270" s="18"/>
      <c r="D270" s="161"/>
      <c r="E270" s="161"/>
      <c r="F270" s="511"/>
      <c r="G270" s="161"/>
      <c r="H270" s="161"/>
      <c r="I270" s="161"/>
      <c r="J270" s="161"/>
      <c r="K270" s="161"/>
      <c r="L270" s="161"/>
      <c r="M270" s="161"/>
      <c r="N270" s="161"/>
      <c r="O270" s="161"/>
      <c r="P270" s="161"/>
      <c r="Q270" s="161"/>
      <c r="R270" s="161"/>
      <c r="S270" s="161"/>
      <c r="T270" s="161"/>
      <c r="U270" s="161"/>
      <c r="V270" s="161"/>
      <c r="W270" s="161"/>
      <c r="X270" s="161"/>
      <c r="Y270" s="161"/>
      <c r="Z270" s="161"/>
    </row>
    <row r="271">
      <c r="A271" s="18"/>
      <c r="B271" s="18"/>
      <c r="C271" s="18"/>
      <c r="D271" s="161"/>
      <c r="E271" s="161"/>
      <c r="F271" s="511"/>
      <c r="G271" s="161"/>
      <c r="H271" s="161"/>
      <c r="I271" s="161"/>
      <c r="J271" s="161"/>
      <c r="K271" s="161"/>
      <c r="L271" s="161"/>
      <c r="M271" s="161"/>
      <c r="N271" s="161"/>
      <c r="O271" s="161"/>
      <c r="P271" s="161"/>
      <c r="Q271" s="161"/>
      <c r="R271" s="161"/>
      <c r="S271" s="161"/>
      <c r="T271" s="161"/>
      <c r="U271" s="161"/>
      <c r="V271" s="161"/>
      <c r="W271" s="161"/>
      <c r="X271" s="161"/>
      <c r="Y271" s="161"/>
      <c r="Z271" s="161"/>
    </row>
    <row r="272">
      <c r="A272" s="18"/>
      <c r="B272" s="18"/>
      <c r="C272" s="18"/>
      <c r="D272" s="161"/>
      <c r="E272" s="161"/>
      <c r="F272" s="511"/>
      <c r="G272" s="161"/>
      <c r="H272" s="161"/>
      <c r="I272" s="161"/>
      <c r="J272" s="161"/>
      <c r="K272" s="161"/>
      <c r="L272" s="161"/>
      <c r="M272" s="161"/>
      <c r="N272" s="161"/>
      <c r="O272" s="161"/>
      <c r="P272" s="161"/>
      <c r="Q272" s="161"/>
      <c r="R272" s="161"/>
      <c r="S272" s="161"/>
      <c r="T272" s="161"/>
      <c r="U272" s="161"/>
      <c r="V272" s="161"/>
      <c r="W272" s="161"/>
      <c r="X272" s="161"/>
      <c r="Y272" s="161"/>
      <c r="Z272" s="161"/>
    </row>
    <row r="273">
      <c r="A273" s="18"/>
      <c r="B273" s="18"/>
      <c r="C273" s="18"/>
      <c r="D273" s="161"/>
      <c r="E273" s="161"/>
      <c r="F273" s="511"/>
      <c r="G273" s="161"/>
      <c r="H273" s="161"/>
      <c r="I273" s="161"/>
      <c r="J273" s="161"/>
      <c r="K273" s="161"/>
      <c r="L273" s="161"/>
      <c r="M273" s="161"/>
      <c r="N273" s="161"/>
      <c r="O273" s="161"/>
      <c r="P273" s="161"/>
      <c r="Q273" s="161"/>
      <c r="R273" s="161"/>
      <c r="S273" s="161"/>
      <c r="T273" s="161"/>
      <c r="U273" s="161"/>
      <c r="V273" s="161"/>
      <c r="W273" s="161"/>
      <c r="X273" s="161"/>
      <c r="Y273" s="161"/>
      <c r="Z273" s="161"/>
    </row>
    <row r="274">
      <c r="A274" s="18"/>
      <c r="B274" s="18"/>
      <c r="C274" s="18"/>
      <c r="D274" s="161"/>
      <c r="E274" s="161"/>
      <c r="F274" s="511"/>
      <c r="G274" s="161"/>
      <c r="H274" s="161"/>
      <c r="I274" s="161"/>
      <c r="J274" s="161"/>
      <c r="K274" s="161"/>
      <c r="L274" s="161"/>
      <c r="M274" s="161"/>
      <c r="N274" s="161"/>
      <c r="O274" s="161"/>
      <c r="P274" s="161"/>
      <c r="Q274" s="161"/>
      <c r="R274" s="161"/>
      <c r="S274" s="161"/>
      <c r="T274" s="161"/>
      <c r="U274" s="161"/>
      <c r="V274" s="161"/>
      <c r="W274" s="161"/>
      <c r="X274" s="161"/>
      <c r="Y274" s="161"/>
      <c r="Z274" s="161"/>
    </row>
    <row r="275">
      <c r="A275" s="18"/>
      <c r="B275" s="18"/>
      <c r="C275" s="18"/>
      <c r="D275" s="161"/>
      <c r="E275" s="161"/>
      <c r="F275" s="511"/>
      <c r="G275" s="161"/>
      <c r="H275" s="161"/>
      <c r="I275" s="161"/>
      <c r="J275" s="161"/>
      <c r="K275" s="161"/>
      <c r="L275" s="161"/>
      <c r="M275" s="161"/>
      <c r="N275" s="161"/>
      <c r="O275" s="161"/>
      <c r="P275" s="161"/>
      <c r="Q275" s="161"/>
      <c r="R275" s="161"/>
      <c r="S275" s="161"/>
      <c r="T275" s="161"/>
      <c r="U275" s="161"/>
      <c r="V275" s="161"/>
      <c r="W275" s="161"/>
      <c r="X275" s="161"/>
      <c r="Y275" s="161"/>
      <c r="Z275" s="161"/>
    </row>
    <row r="276">
      <c r="A276" s="18"/>
      <c r="B276" s="18"/>
      <c r="C276" s="18"/>
      <c r="D276" s="161"/>
      <c r="E276" s="161"/>
      <c r="F276" s="511"/>
      <c r="G276" s="161"/>
      <c r="H276" s="161"/>
      <c r="I276" s="161"/>
      <c r="J276" s="161"/>
      <c r="K276" s="161"/>
      <c r="L276" s="161"/>
      <c r="M276" s="161"/>
      <c r="N276" s="161"/>
      <c r="O276" s="161"/>
      <c r="P276" s="161"/>
      <c r="Q276" s="161"/>
      <c r="R276" s="161"/>
      <c r="S276" s="161"/>
      <c r="T276" s="161"/>
      <c r="U276" s="161"/>
      <c r="V276" s="161"/>
      <c r="W276" s="161"/>
      <c r="X276" s="161"/>
      <c r="Y276" s="161"/>
      <c r="Z276" s="161"/>
    </row>
    <row r="277">
      <c r="A277" s="18"/>
      <c r="B277" s="18"/>
      <c r="C277" s="18"/>
      <c r="D277" s="161"/>
      <c r="E277" s="161"/>
      <c r="F277" s="511"/>
      <c r="G277" s="161"/>
      <c r="H277" s="161"/>
      <c r="I277" s="161"/>
      <c r="J277" s="161"/>
      <c r="K277" s="161"/>
      <c r="L277" s="161"/>
      <c r="M277" s="161"/>
      <c r="N277" s="161"/>
      <c r="O277" s="161"/>
      <c r="P277" s="161"/>
      <c r="Q277" s="161"/>
      <c r="R277" s="161"/>
      <c r="S277" s="161"/>
      <c r="T277" s="161"/>
      <c r="U277" s="161"/>
      <c r="V277" s="161"/>
      <c r="W277" s="161"/>
      <c r="X277" s="161"/>
      <c r="Y277" s="161"/>
      <c r="Z277" s="161"/>
    </row>
    <row r="278">
      <c r="A278" s="18"/>
      <c r="B278" s="18"/>
      <c r="C278" s="18"/>
      <c r="D278" s="161"/>
      <c r="E278" s="161"/>
      <c r="F278" s="511"/>
      <c r="G278" s="161"/>
      <c r="H278" s="161"/>
      <c r="I278" s="161"/>
      <c r="J278" s="161"/>
      <c r="K278" s="161"/>
      <c r="L278" s="161"/>
      <c r="M278" s="161"/>
      <c r="N278" s="161"/>
      <c r="O278" s="161"/>
      <c r="P278" s="161"/>
      <c r="Q278" s="161"/>
      <c r="R278" s="161"/>
      <c r="S278" s="161"/>
      <c r="T278" s="161"/>
      <c r="U278" s="161"/>
      <c r="V278" s="161"/>
      <c r="W278" s="161"/>
      <c r="X278" s="161"/>
      <c r="Y278" s="161"/>
      <c r="Z278" s="161"/>
    </row>
    <row r="279">
      <c r="A279" s="18"/>
      <c r="B279" s="18"/>
      <c r="C279" s="18"/>
      <c r="D279" s="161"/>
      <c r="E279" s="161"/>
      <c r="F279" s="511"/>
      <c r="G279" s="161"/>
      <c r="H279" s="161"/>
      <c r="I279" s="161"/>
      <c r="J279" s="161"/>
      <c r="K279" s="161"/>
      <c r="L279" s="161"/>
      <c r="M279" s="161"/>
      <c r="N279" s="161"/>
      <c r="O279" s="161"/>
      <c r="P279" s="161"/>
      <c r="Q279" s="161"/>
      <c r="R279" s="161"/>
      <c r="S279" s="161"/>
      <c r="T279" s="161"/>
      <c r="U279" s="161"/>
      <c r="V279" s="161"/>
      <c r="W279" s="161"/>
      <c r="X279" s="161"/>
      <c r="Y279" s="161"/>
      <c r="Z279" s="161"/>
    </row>
    <row r="280">
      <c r="A280" s="18"/>
      <c r="B280" s="18"/>
      <c r="C280" s="18"/>
      <c r="D280" s="161"/>
      <c r="E280" s="161"/>
      <c r="F280" s="511"/>
      <c r="G280" s="161"/>
      <c r="H280" s="161"/>
      <c r="I280" s="161"/>
      <c r="J280" s="161"/>
      <c r="K280" s="161"/>
      <c r="L280" s="161"/>
      <c r="M280" s="161"/>
      <c r="N280" s="161"/>
      <c r="O280" s="161"/>
      <c r="P280" s="161"/>
      <c r="Q280" s="161"/>
      <c r="R280" s="161"/>
      <c r="S280" s="161"/>
      <c r="T280" s="161"/>
      <c r="U280" s="161"/>
      <c r="V280" s="161"/>
      <c r="W280" s="161"/>
      <c r="X280" s="161"/>
      <c r="Y280" s="161"/>
      <c r="Z280" s="161"/>
    </row>
    <row r="281">
      <c r="A281" s="18"/>
      <c r="B281" s="18"/>
      <c r="C281" s="18"/>
      <c r="D281" s="161"/>
      <c r="E281" s="161"/>
      <c r="F281" s="511"/>
      <c r="G281" s="161"/>
      <c r="H281" s="161"/>
      <c r="I281" s="161"/>
      <c r="J281" s="161"/>
      <c r="K281" s="161"/>
      <c r="L281" s="161"/>
      <c r="M281" s="161"/>
      <c r="N281" s="161"/>
      <c r="O281" s="161"/>
      <c r="P281" s="161"/>
      <c r="Q281" s="161"/>
      <c r="R281" s="161"/>
      <c r="S281" s="161"/>
      <c r="T281" s="161"/>
      <c r="U281" s="161"/>
      <c r="V281" s="161"/>
      <c r="W281" s="161"/>
      <c r="X281" s="161"/>
      <c r="Y281" s="161"/>
      <c r="Z281" s="161"/>
    </row>
    <row r="282">
      <c r="A282" s="18"/>
      <c r="B282" s="18"/>
      <c r="C282" s="18"/>
      <c r="D282" s="161"/>
      <c r="E282" s="161"/>
      <c r="F282" s="511"/>
      <c r="G282" s="161"/>
      <c r="H282" s="161"/>
      <c r="I282" s="161"/>
      <c r="J282" s="161"/>
      <c r="K282" s="161"/>
      <c r="L282" s="161"/>
      <c r="M282" s="161"/>
      <c r="N282" s="161"/>
      <c r="O282" s="161"/>
      <c r="P282" s="161"/>
      <c r="Q282" s="161"/>
      <c r="R282" s="161"/>
      <c r="S282" s="161"/>
      <c r="T282" s="161"/>
      <c r="U282" s="161"/>
      <c r="V282" s="161"/>
      <c r="W282" s="161"/>
      <c r="X282" s="161"/>
      <c r="Y282" s="161"/>
      <c r="Z282" s="161"/>
    </row>
    <row r="283">
      <c r="A283" s="18"/>
      <c r="B283" s="18"/>
      <c r="C283" s="18"/>
      <c r="D283" s="161"/>
      <c r="E283" s="161"/>
      <c r="F283" s="511"/>
      <c r="G283" s="161"/>
      <c r="H283" s="161"/>
      <c r="I283" s="161"/>
      <c r="J283" s="161"/>
      <c r="K283" s="161"/>
      <c r="L283" s="161"/>
      <c r="M283" s="161"/>
      <c r="N283" s="161"/>
      <c r="O283" s="161"/>
      <c r="P283" s="161"/>
      <c r="Q283" s="161"/>
      <c r="R283" s="161"/>
      <c r="S283" s="161"/>
      <c r="T283" s="161"/>
      <c r="U283" s="161"/>
      <c r="V283" s="161"/>
      <c r="W283" s="161"/>
      <c r="X283" s="161"/>
      <c r="Y283" s="161"/>
      <c r="Z283" s="161"/>
    </row>
    <row r="284">
      <c r="A284" s="18"/>
      <c r="B284" s="18"/>
      <c r="C284" s="18"/>
      <c r="D284" s="161"/>
      <c r="E284" s="161"/>
      <c r="F284" s="511"/>
      <c r="G284" s="161"/>
      <c r="H284" s="161"/>
      <c r="I284" s="161"/>
      <c r="J284" s="161"/>
      <c r="K284" s="161"/>
      <c r="L284" s="161"/>
      <c r="M284" s="161"/>
      <c r="N284" s="161"/>
      <c r="O284" s="161"/>
      <c r="P284" s="161"/>
      <c r="Q284" s="161"/>
      <c r="R284" s="161"/>
      <c r="S284" s="161"/>
      <c r="T284" s="161"/>
      <c r="U284" s="161"/>
      <c r="V284" s="161"/>
      <c r="W284" s="161"/>
      <c r="X284" s="161"/>
      <c r="Y284" s="161"/>
      <c r="Z284" s="161"/>
    </row>
    <row r="285">
      <c r="A285" s="18"/>
      <c r="B285" s="18"/>
      <c r="C285" s="18"/>
      <c r="D285" s="161"/>
      <c r="E285" s="161"/>
      <c r="F285" s="511"/>
      <c r="G285" s="161"/>
      <c r="H285" s="161"/>
      <c r="I285" s="161"/>
      <c r="J285" s="161"/>
      <c r="K285" s="161"/>
      <c r="L285" s="161"/>
      <c r="M285" s="161"/>
      <c r="N285" s="161"/>
      <c r="O285" s="161"/>
      <c r="P285" s="161"/>
      <c r="Q285" s="161"/>
      <c r="R285" s="161"/>
      <c r="S285" s="161"/>
      <c r="T285" s="161"/>
      <c r="U285" s="161"/>
      <c r="V285" s="161"/>
      <c r="W285" s="161"/>
      <c r="X285" s="161"/>
      <c r="Y285" s="161"/>
      <c r="Z285" s="161"/>
    </row>
    <row r="286">
      <c r="A286" s="18"/>
      <c r="B286" s="18"/>
      <c r="C286" s="18"/>
      <c r="D286" s="161"/>
      <c r="E286" s="161"/>
      <c r="F286" s="511"/>
      <c r="G286" s="161"/>
      <c r="H286" s="161"/>
      <c r="I286" s="161"/>
      <c r="J286" s="161"/>
      <c r="K286" s="161"/>
      <c r="L286" s="161"/>
      <c r="M286" s="161"/>
      <c r="N286" s="161"/>
      <c r="O286" s="161"/>
      <c r="P286" s="161"/>
      <c r="Q286" s="161"/>
      <c r="R286" s="161"/>
      <c r="S286" s="161"/>
      <c r="T286" s="161"/>
      <c r="U286" s="161"/>
      <c r="V286" s="161"/>
      <c r="W286" s="161"/>
      <c r="X286" s="161"/>
      <c r="Y286" s="161"/>
      <c r="Z286" s="161"/>
    </row>
    <row r="287">
      <c r="A287" s="18"/>
      <c r="B287" s="18"/>
      <c r="C287" s="18"/>
      <c r="D287" s="161"/>
      <c r="E287" s="161"/>
      <c r="F287" s="511"/>
      <c r="G287" s="161"/>
      <c r="H287" s="161"/>
      <c r="I287" s="161"/>
      <c r="J287" s="161"/>
      <c r="K287" s="161"/>
      <c r="L287" s="161"/>
      <c r="M287" s="161"/>
      <c r="N287" s="161"/>
      <c r="O287" s="161"/>
      <c r="P287" s="161"/>
      <c r="Q287" s="161"/>
      <c r="R287" s="161"/>
      <c r="S287" s="161"/>
      <c r="T287" s="161"/>
      <c r="U287" s="161"/>
      <c r="V287" s="161"/>
      <c r="W287" s="161"/>
      <c r="X287" s="161"/>
      <c r="Y287" s="161"/>
      <c r="Z287" s="161"/>
    </row>
    <row r="288">
      <c r="A288" s="18"/>
      <c r="B288" s="18"/>
      <c r="C288" s="18"/>
      <c r="D288" s="161"/>
      <c r="E288" s="161"/>
      <c r="F288" s="511"/>
      <c r="G288" s="161"/>
      <c r="H288" s="161"/>
      <c r="I288" s="161"/>
      <c r="J288" s="161"/>
      <c r="K288" s="161"/>
      <c r="L288" s="161"/>
      <c r="M288" s="161"/>
      <c r="N288" s="161"/>
      <c r="O288" s="161"/>
      <c r="P288" s="161"/>
      <c r="Q288" s="161"/>
      <c r="R288" s="161"/>
      <c r="S288" s="161"/>
      <c r="T288" s="161"/>
      <c r="U288" s="161"/>
      <c r="V288" s="161"/>
      <c r="W288" s="161"/>
      <c r="X288" s="161"/>
      <c r="Y288" s="161"/>
      <c r="Z288" s="161"/>
    </row>
    <row r="289">
      <c r="A289" s="18"/>
      <c r="B289" s="18"/>
      <c r="C289" s="18"/>
      <c r="D289" s="161"/>
      <c r="E289" s="161"/>
      <c r="F289" s="511"/>
      <c r="G289" s="161"/>
      <c r="H289" s="161"/>
      <c r="I289" s="161"/>
      <c r="J289" s="161"/>
      <c r="K289" s="161"/>
      <c r="L289" s="161"/>
      <c r="M289" s="161"/>
      <c r="N289" s="161"/>
      <c r="O289" s="161"/>
      <c r="P289" s="161"/>
      <c r="Q289" s="161"/>
      <c r="R289" s="161"/>
      <c r="S289" s="161"/>
      <c r="T289" s="161"/>
      <c r="U289" s="161"/>
      <c r="V289" s="161"/>
      <c r="W289" s="161"/>
      <c r="X289" s="161"/>
      <c r="Y289" s="161"/>
      <c r="Z289" s="161"/>
    </row>
    <row r="290">
      <c r="A290" s="18"/>
      <c r="B290" s="18"/>
      <c r="C290" s="18"/>
      <c r="D290" s="161"/>
      <c r="E290" s="161"/>
      <c r="F290" s="511"/>
      <c r="G290" s="161"/>
      <c r="H290" s="161"/>
      <c r="I290" s="161"/>
      <c r="J290" s="161"/>
      <c r="K290" s="161"/>
      <c r="L290" s="161"/>
      <c r="M290" s="161"/>
      <c r="N290" s="161"/>
      <c r="O290" s="161"/>
      <c r="P290" s="161"/>
      <c r="Q290" s="161"/>
      <c r="R290" s="161"/>
      <c r="S290" s="161"/>
      <c r="T290" s="161"/>
      <c r="U290" s="161"/>
      <c r="V290" s="161"/>
      <c r="W290" s="161"/>
      <c r="X290" s="161"/>
      <c r="Y290" s="161"/>
      <c r="Z290" s="161"/>
    </row>
    <row r="291">
      <c r="A291" s="18"/>
      <c r="B291" s="18"/>
      <c r="C291" s="18"/>
      <c r="D291" s="161"/>
      <c r="E291" s="161"/>
      <c r="F291" s="511"/>
      <c r="G291" s="161"/>
      <c r="H291" s="161"/>
      <c r="I291" s="161"/>
      <c r="J291" s="161"/>
      <c r="K291" s="161"/>
      <c r="L291" s="161"/>
      <c r="M291" s="161"/>
      <c r="N291" s="161"/>
      <c r="O291" s="161"/>
      <c r="P291" s="161"/>
      <c r="Q291" s="161"/>
      <c r="R291" s="161"/>
      <c r="S291" s="161"/>
      <c r="T291" s="161"/>
      <c r="U291" s="161"/>
      <c r="V291" s="161"/>
      <c r="W291" s="161"/>
      <c r="X291" s="161"/>
      <c r="Y291" s="161"/>
      <c r="Z291" s="161"/>
    </row>
    <row r="292">
      <c r="A292" s="18"/>
      <c r="B292" s="18"/>
      <c r="C292" s="18"/>
      <c r="D292" s="161"/>
      <c r="E292" s="161"/>
      <c r="F292" s="511"/>
      <c r="G292" s="161"/>
      <c r="H292" s="161"/>
      <c r="I292" s="161"/>
      <c r="J292" s="161"/>
      <c r="K292" s="161"/>
      <c r="L292" s="161"/>
      <c r="M292" s="161"/>
      <c r="N292" s="161"/>
      <c r="O292" s="161"/>
      <c r="P292" s="161"/>
      <c r="Q292" s="161"/>
      <c r="R292" s="161"/>
      <c r="S292" s="161"/>
      <c r="T292" s="161"/>
      <c r="U292" s="161"/>
      <c r="V292" s="161"/>
      <c r="W292" s="161"/>
      <c r="X292" s="161"/>
      <c r="Y292" s="161"/>
      <c r="Z292" s="161"/>
    </row>
    <row r="293">
      <c r="A293" s="18"/>
      <c r="B293" s="18"/>
      <c r="C293" s="18"/>
      <c r="D293" s="161"/>
      <c r="E293" s="161"/>
      <c r="F293" s="511"/>
      <c r="G293" s="161"/>
      <c r="H293" s="161"/>
      <c r="I293" s="161"/>
      <c r="J293" s="161"/>
      <c r="K293" s="161"/>
      <c r="L293" s="161"/>
      <c r="M293" s="161"/>
      <c r="N293" s="161"/>
      <c r="O293" s="161"/>
      <c r="P293" s="161"/>
      <c r="Q293" s="161"/>
      <c r="R293" s="161"/>
      <c r="S293" s="161"/>
      <c r="T293" s="161"/>
      <c r="U293" s="161"/>
      <c r="V293" s="161"/>
      <c r="W293" s="161"/>
      <c r="X293" s="161"/>
      <c r="Y293" s="161"/>
      <c r="Z293" s="161"/>
    </row>
    <row r="294">
      <c r="A294" s="18"/>
      <c r="B294" s="18"/>
      <c r="C294" s="18"/>
      <c r="D294" s="161"/>
      <c r="E294" s="161"/>
      <c r="F294" s="511"/>
      <c r="G294" s="161"/>
      <c r="H294" s="161"/>
      <c r="I294" s="161"/>
      <c r="J294" s="161"/>
      <c r="K294" s="161"/>
      <c r="L294" s="161"/>
      <c r="M294" s="161"/>
      <c r="N294" s="161"/>
      <c r="O294" s="161"/>
      <c r="P294" s="161"/>
      <c r="Q294" s="161"/>
      <c r="R294" s="161"/>
      <c r="S294" s="161"/>
      <c r="T294" s="161"/>
      <c r="U294" s="161"/>
      <c r="V294" s="161"/>
      <c r="W294" s="161"/>
      <c r="X294" s="161"/>
      <c r="Y294" s="161"/>
      <c r="Z294" s="161"/>
    </row>
    <row r="295">
      <c r="A295" s="18"/>
      <c r="B295" s="18"/>
      <c r="C295" s="18"/>
      <c r="D295" s="161"/>
      <c r="E295" s="161"/>
      <c r="F295" s="511"/>
      <c r="G295" s="161"/>
      <c r="H295" s="161"/>
      <c r="I295" s="161"/>
      <c r="J295" s="161"/>
      <c r="K295" s="161"/>
      <c r="L295" s="161"/>
      <c r="M295" s="161"/>
      <c r="N295" s="161"/>
      <c r="O295" s="161"/>
      <c r="P295" s="161"/>
      <c r="Q295" s="161"/>
      <c r="R295" s="161"/>
      <c r="S295" s="161"/>
      <c r="T295" s="161"/>
      <c r="U295" s="161"/>
      <c r="V295" s="161"/>
      <c r="W295" s="161"/>
      <c r="X295" s="161"/>
      <c r="Y295" s="161"/>
      <c r="Z295" s="161"/>
    </row>
    <row r="296">
      <c r="A296" s="18"/>
      <c r="B296" s="18"/>
      <c r="C296" s="18"/>
      <c r="D296" s="161"/>
      <c r="E296" s="161"/>
      <c r="F296" s="511"/>
      <c r="G296" s="161"/>
      <c r="H296" s="161"/>
      <c r="I296" s="161"/>
      <c r="J296" s="161"/>
      <c r="K296" s="161"/>
      <c r="L296" s="161"/>
      <c r="M296" s="161"/>
      <c r="N296" s="161"/>
      <c r="O296" s="161"/>
      <c r="P296" s="161"/>
      <c r="Q296" s="161"/>
      <c r="R296" s="161"/>
      <c r="S296" s="161"/>
      <c r="T296" s="161"/>
      <c r="U296" s="161"/>
      <c r="V296" s="161"/>
      <c r="W296" s="161"/>
      <c r="X296" s="161"/>
      <c r="Y296" s="161"/>
      <c r="Z296" s="161"/>
    </row>
    <row r="297">
      <c r="A297" s="18"/>
      <c r="B297" s="18"/>
      <c r="C297" s="18"/>
      <c r="D297" s="161"/>
      <c r="E297" s="161"/>
      <c r="F297" s="511"/>
      <c r="G297" s="161"/>
      <c r="H297" s="161"/>
      <c r="I297" s="161"/>
      <c r="J297" s="161"/>
      <c r="K297" s="161"/>
      <c r="L297" s="161"/>
      <c r="M297" s="161"/>
      <c r="N297" s="161"/>
      <c r="O297" s="161"/>
      <c r="P297" s="161"/>
      <c r="Q297" s="161"/>
      <c r="R297" s="161"/>
      <c r="S297" s="161"/>
      <c r="T297" s="161"/>
      <c r="U297" s="161"/>
      <c r="V297" s="161"/>
      <c r="W297" s="161"/>
      <c r="X297" s="161"/>
      <c r="Y297" s="161"/>
      <c r="Z297" s="161"/>
    </row>
    <row r="298">
      <c r="A298" s="18"/>
      <c r="B298" s="18"/>
      <c r="C298" s="18"/>
      <c r="D298" s="161"/>
      <c r="E298" s="161"/>
      <c r="F298" s="511"/>
      <c r="G298" s="161"/>
      <c r="H298" s="161"/>
      <c r="I298" s="161"/>
      <c r="J298" s="161"/>
      <c r="K298" s="161"/>
      <c r="L298" s="161"/>
      <c r="M298" s="161"/>
      <c r="N298" s="161"/>
      <c r="O298" s="161"/>
      <c r="P298" s="161"/>
      <c r="Q298" s="161"/>
      <c r="R298" s="161"/>
      <c r="S298" s="161"/>
      <c r="T298" s="161"/>
      <c r="U298" s="161"/>
      <c r="V298" s="161"/>
      <c r="W298" s="161"/>
      <c r="X298" s="161"/>
      <c r="Y298" s="161"/>
      <c r="Z298" s="161"/>
    </row>
    <row r="299">
      <c r="A299" s="18"/>
      <c r="B299" s="18"/>
      <c r="C299" s="18"/>
      <c r="D299" s="161"/>
      <c r="E299" s="161"/>
      <c r="F299" s="511"/>
      <c r="G299" s="161"/>
      <c r="H299" s="161"/>
      <c r="I299" s="161"/>
      <c r="J299" s="161"/>
      <c r="K299" s="161"/>
      <c r="L299" s="161"/>
      <c r="M299" s="161"/>
      <c r="N299" s="161"/>
      <c r="O299" s="161"/>
      <c r="P299" s="161"/>
      <c r="Q299" s="161"/>
      <c r="R299" s="161"/>
      <c r="S299" s="161"/>
      <c r="T299" s="161"/>
      <c r="U299" s="161"/>
      <c r="V299" s="161"/>
      <c r="W299" s="161"/>
      <c r="X299" s="161"/>
      <c r="Y299" s="161"/>
      <c r="Z299" s="161"/>
    </row>
    <row r="300">
      <c r="A300" s="18"/>
      <c r="B300" s="18"/>
      <c r="C300" s="18"/>
      <c r="D300" s="161"/>
      <c r="E300" s="161"/>
      <c r="F300" s="511"/>
      <c r="G300" s="161"/>
      <c r="H300" s="161"/>
      <c r="I300" s="161"/>
      <c r="J300" s="161"/>
      <c r="K300" s="161"/>
      <c r="L300" s="161"/>
      <c r="M300" s="161"/>
      <c r="N300" s="161"/>
      <c r="O300" s="161"/>
      <c r="P300" s="161"/>
      <c r="Q300" s="161"/>
      <c r="R300" s="161"/>
      <c r="S300" s="161"/>
      <c r="T300" s="161"/>
      <c r="U300" s="161"/>
      <c r="V300" s="161"/>
      <c r="W300" s="161"/>
      <c r="X300" s="161"/>
      <c r="Y300" s="161"/>
      <c r="Z300" s="161"/>
    </row>
    <row r="301">
      <c r="A301" s="18"/>
      <c r="B301" s="18"/>
      <c r="C301" s="18"/>
      <c r="D301" s="161"/>
      <c r="E301" s="161"/>
      <c r="F301" s="511"/>
      <c r="G301" s="161"/>
      <c r="H301" s="161"/>
      <c r="I301" s="161"/>
      <c r="J301" s="161"/>
      <c r="K301" s="161"/>
      <c r="L301" s="161"/>
      <c r="M301" s="161"/>
      <c r="N301" s="161"/>
      <c r="O301" s="161"/>
      <c r="P301" s="161"/>
      <c r="Q301" s="161"/>
      <c r="R301" s="161"/>
      <c r="S301" s="161"/>
      <c r="T301" s="161"/>
      <c r="U301" s="161"/>
      <c r="V301" s="161"/>
      <c r="W301" s="161"/>
      <c r="X301" s="161"/>
      <c r="Y301" s="161"/>
      <c r="Z301" s="161"/>
    </row>
    <row r="302">
      <c r="A302" s="18"/>
      <c r="B302" s="18"/>
      <c r="C302" s="18"/>
      <c r="D302" s="161"/>
      <c r="E302" s="161"/>
      <c r="F302" s="511"/>
      <c r="G302" s="161"/>
      <c r="H302" s="161"/>
      <c r="I302" s="161"/>
      <c r="J302" s="161"/>
      <c r="K302" s="161"/>
      <c r="L302" s="161"/>
      <c r="M302" s="161"/>
      <c r="N302" s="161"/>
      <c r="O302" s="161"/>
      <c r="P302" s="161"/>
      <c r="Q302" s="161"/>
      <c r="R302" s="161"/>
      <c r="S302" s="161"/>
      <c r="T302" s="161"/>
      <c r="U302" s="161"/>
      <c r="V302" s="161"/>
      <c r="W302" s="161"/>
      <c r="X302" s="161"/>
      <c r="Y302" s="161"/>
      <c r="Z302" s="161"/>
    </row>
    <row r="303">
      <c r="A303" s="18"/>
      <c r="B303" s="18"/>
      <c r="C303" s="18"/>
      <c r="D303" s="161"/>
      <c r="E303" s="161"/>
      <c r="F303" s="511"/>
      <c r="G303" s="161"/>
      <c r="H303" s="161"/>
      <c r="I303" s="161"/>
      <c r="J303" s="161"/>
      <c r="K303" s="161"/>
      <c r="L303" s="161"/>
      <c r="M303" s="161"/>
      <c r="N303" s="161"/>
      <c r="O303" s="161"/>
      <c r="P303" s="161"/>
      <c r="Q303" s="161"/>
      <c r="R303" s="161"/>
      <c r="S303" s="161"/>
      <c r="T303" s="161"/>
      <c r="U303" s="161"/>
      <c r="V303" s="161"/>
      <c r="W303" s="161"/>
      <c r="X303" s="161"/>
      <c r="Y303" s="161"/>
      <c r="Z303" s="161"/>
    </row>
    <row r="304">
      <c r="A304" s="18"/>
      <c r="B304" s="18"/>
      <c r="C304" s="18"/>
      <c r="D304" s="161"/>
      <c r="E304" s="161"/>
      <c r="F304" s="511"/>
      <c r="G304" s="161"/>
      <c r="H304" s="161"/>
      <c r="I304" s="161"/>
      <c r="J304" s="161"/>
      <c r="K304" s="161"/>
      <c r="L304" s="161"/>
      <c r="M304" s="161"/>
      <c r="N304" s="161"/>
      <c r="O304" s="161"/>
      <c r="P304" s="161"/>
      <c r="Q304" s="161"/>
      <c r="R304" s="161"/>
      <c r="S304" s="161"/>
      <c r="T304" s="161"/>
      <c r="U304" s="161"/>
      <c r="V304" s="161"/>
      <c r="W304" s="161"/>
      <c r="X304" s="161"/>
      <c r="Y304" s="161"/>
      <c r="Z304" s="161"/>
    </row>
    <row r="305">
      <c r="A305" s="18"/>
      <c r="B305" s="18"/>
      <c r="C305" s="18"/>
      <c r="D305" s="161"/>
      <c r="E305" s="161"/>
      <c r="F305" s="511"/>
      <c r="G305" s="161"/>
      <c r="H305" s="161"/>
      <c r="I305" s="161"/>
      <c r="J305" s="161"/>
      <c r="K305" s="161"/>
      <c r="L305" s="161"/>
      <c r="M305" s="161"/>
      <c r="N305" s="161"/>
      <c r="O305" s="161"/>
      <c r="P305" s="161"/>
      <c r="Q305" s="161"/>
      <c r="R305" s="161"/>
      <c r="S305" s="161"/>
      <c r="T305" s="161"/>
      <c r="U305" s="161"/>
      <c r="V305" s="161"/>
      <c r="W305" s="161"/>
      <c r="X305" s="161"/>
      <c r="Y305" s="161"/>
      <c r="Z305" s="161"/>
    </row>
    <row r="306">
      <c r="A306" s="18"/>
      <c r="B306" s="18"/>
      <c r="C306" s="18"/>
      <c r="D306" s="161"/>
      <c r="E306" s="161"/>
      <c r="F306" s="511"/>
      <c r="G306" s="161"/>
      <c r="H306" s="161"/>
      <c r="I306" s="161"/>
      <c r="J306" s="161"/>
      <c r="K306" s="161"/>
      <c r="L306" s="161"/>
      <c r="M306" s="161"/>
      <c r="N306" s="161"/>
      <c r="O306" s="161"/>
      <c r="P306" s="161"/>
      <c r="Q306" s="161"/>
      <c r="R306" s="161"/>
      <c r="S306" s="161"/>
      <c r="T306" s="161"/>
      <c r="U306" s="161"/>
      <c r="V306" s="161"/>
      <c r="W306" s="161"/>
      <c r="X306" s="161"/>
      <c r="Y306" s="161"/>
      <c r="Z306" s="161"/>
    </row>
    <row r="307">
      <c r="A307" s="18"/>
      <c r="B307" s="18"/>
      <c r="C307" s="18"/>
      <c r="D307" s="161"/>
      <c r="E307" s="161"/>
      <c r="F307" s="511"/>
      <c r="G307" s="161"/>
      <c r="H307" s="161"/>
      <c r="I307" s="161"/>
      <c r="J307" s="161"/>
      <c r="K307" s="161"/>
      <c r="L307" s="161"/>
      <c r="M307" s="161"/>
      <c r="N307" s="161"/>
      <c r="O307" s="161"/>
      <c r="P307" s="161"/>
      <c r="Q307" s="161"/>
      <c r="R307" s="161"/>
      <c r="S307" s="161"/>
      <c r="T307" s="161"/>
      <c r="U307" s="161"/>
      <c r="V307" s="161"/>
      <c r="W307" s="161"/>
      <c r="X307" s="161"/>
      <c r="Y307" s="161"/>
      <c r="Z307" s="161"/>
    </row>
    <row r="308">
      <c r="A308" s="18"/>
      <c r="B308" s="18"/>
      <c r="C308" s="18"/>
      <c r="D308" s="161"/>
      <c r="E308" s="161"/>
      <c r="F308" s="511"/>
      <c r="G308" s="161"/>
      <c r="H308" s="161"/>
      <c r="I308" s="161"/>
      <c r="J308" s="161"/>
      <c r="K308" s="161"/>
      <c r="L308" s="161"/>
      <c r="M308" s="161"/>
      <c r="N308" s="161"/>
      <c r="O308" s="161"/>
      <c r="P308" s="161"/>
      <c r="Q308" s="161"/>
      <c r="R308" s="161"/>
      <c r="S308" s="161"/>
      <c r="T308" s="161"/>
      <c r="U308" s="161"/>
      <c r="V308" s="161"/>
      <c r="W308" s="161"/>
      <c r="X308" s="161"/>
      <c r="Y308" s="161"/>
      <c r="Z308" s="161"/>
    </row>
    <row r="309">
      <c r="A309" s="18"/>
      <c r="B309" s="18"/>
      <c r="C309" s="18"/>
      <c r="D309" s="161"/>
      <c r="E309" s="161"/>
      <c r="F309" s="511"/>
      <c r="G309" s="161"/>
      <c r="H309" s="161"/>
      <c r="I309" s="161"/>
      <c r="J309" s="161"/>
      <c r="K309" s="161"/>
      <c r="L309" s="161"/>
      <c r="M309" s="161"/>
      <c r="N309" s="161"/>
      <c r="O309" s="161"/>
      <c r="P309" s="161"/>
      <c r="Q309" s="161"/>
      <c r="R309" s="161"/>
      <c r="S309" s="161"/>
      <c r="T309" s="161"/>
      <c r="U309" s="161"/>
      <c r="V309" s="161"/>
      <c r="W309" s="161"/>
      <c r="X309" s="161"/>
      <c r="Y309" s="161"/>
      <c r="Z309" s="161"/>
    </row>
    <row r="310">
      <c r="A310" s="18"/>
      <c r="B310" s="18"/>
      <c r="C310" s="18"/>
      <c r="D310" s="161"/>
      <c r="E310" s="161"/>
      <c r="F310" s="511"/>
      <c r="G310" s="161"/>
      <c r="H310" s="161"/>
      <c r="I310" s="161"/>
      <c r="J310" s="161"/>
      <c r="K310" s="161"/>
      <c r="L310" s="161"/>
      <c r="M310" s="161"/>
      <c r="N310" s="161"/>
      <c r="O310" s="161"/>
      <c r="P310" s="161"/>
      <c r="Q310" s="161"/>
      <c r="R310" s="161"/>
      <c r="S310" s="161"/>
      <c r="T310" s="161"/>
      <c r="U310" s="161"/>
      <c r="V310" s="161"/>
      <c r="W310" s="161"/>
      <c r="X310" s="161"/>
      <c r="Y310" s="161"/>
      <c r="Z310" s="161"/>
    </row>
    <row r="311">
      <c r="A311" s="18"/>
      <c r="B311" s="18"/>
      <c r="C311" s="18"/>
      <c r="D311" s="161"/>
      <c r="E311" s="161"/>
      <c r="F311" s="511"/>
      <c r="G311" s="161"/>
      <c r="H311" s="161"/>
      <c r="I311" s="161"/>
      <c r="J311" s="161"/>
      <c r="K311" s="161"/>
      <c r="L311" s="161"/>
      <c r="M311" s="161"/>
      <c r="N311" s="161"/>
      <c r="O311" s="161"/>
      <c r="P311" s="161"/>
      <c r="Q311" s="161"/>
      <c r="R311" s="161"/>
      <c r="S311" s="161"/>
      <c r="T311" s="161"/>
      <c r="U311" s="161"/>
      <c r="V311" s="161"/>
      <c r="W311" s="161"/>
      <c r="X311" s="161"/>
      <c r="Y311" s="161"/>
      <c r="Z311" s="161"/>
    </row>
    <row r="312">
      <c r="A312" s="18"/>
      <c r="B312" s="18"/>
      <c r="C312" s="18"/>
      <c r="D312" s="161"/>
      <c r="E312" s="161"/>
      <c r="F312" s="511"/>
      <c r="G312" s="161"/>
      <c r="H312" s="161"/>
      <c r="I312" s="161"/>
      <c r="J312" s="161"/>
      <c r="K312" s="161"/>
      <c r="L312" s="161"/>
      <c r="M312" s="161"/>
      <c r="N312" s="161"/>
      <c r="O312" s="161"/>
      <c r="P312" s="161"/>
      <c r="Q312" s="161"/>
      <c r="R312" s="161"/>
      <c r="S312" s="161"/>
      <c r="T312" s="161"/>
      <c r="U312" s="161"/>
      <c r="V312" s="161"/>
      <c r="W312" s="161"/>
      <c r="X312" s="161"/>
      <c r="Y312" s="161"/>
      <c r="Z312" s="161"/>
    </row>
    <row r="313">
      <c r="A313" s="18"/>
      <c r="B313" s="18"/>
      <c r="C313" s="18"/>
      <c r="D313" s="161"/>
      <c r="E313" s="161"/>
      <c r="F313" s="511"/>
      <c r="G313" s="161"/>
      <c r="H313" s="161"/>
      <c r="I313" s="161"/>
      <c r="J313" s="161"/>
      <c r="K313" s="161"/>
      <c r="L313" s="161"/>
      <c r="M313" s="161"/>
      <c r="N313" s="161"/>
      <c r="O313" s="161"/>
      <c r="P313" s="161"/>
      <c r="Q313" s="161"/>
      <c r="R313" s="161"/>
      <c r="S313" s="161"/>
      <c r="T313" s="161"/>
      <c r="U313" s="161"/>
      <c r="V313" s="161"/>
      <c r="W313" s="161"/>
      <c r="X313" s="161"/>
      <c r="Y313" s="161"/>
      <c r="Z313" s="161"/>
    </row>
    <row r="314">
      <c r="A314" s="18"/>
      <c r="B314" s="18"/>
      <c r="C314" s="18"/>
      <c r="D314" s="161"/>
      <c r="E314" s="161"/>
      <c r="F314" s="511"/>
      <c r="G314" s="161"/>
      <c r="H314" s="161"/>
      <c r="I314" s="161"/>
      <c r="J314" s="161"/>
      <c r="K314" s="161"/>
      <c r="L314" s="161"/>
      <c r="M314" s="161"/>
      <c r="N314" s="161"/>
      <c r="O314" s="161"/>
      <c r="P314" s="161"/>
      <c r="Q314" s="161"/>
      <c r="R314" s="161"/>
      <c r="S314" s="161"/>
      <c r="T314" s="161"/>
      <c r="U314" s="161"/>
      <c r="V314" s="161"/>
      <c r="W314" s="161"/>
      <c r="X314" s="161"/>
      <c r="Y314" s="161"/>
      <c r="Z314" s="161"/>
    </row>
    <row r="315">
      <c r="A315" s="18"/>
      <c r="B315" s="18"/>
      <c r="C315" s="18"/>
      <c r="D315" s="161"/>
      <c r="E315" s="161"/>
      <c r="F315" s="511"/>
      <c r="G315" s="161"/>
      <c r="H315" s="161"/>
      <c r="I315" s="161"/>
      <c r="J315" s="161"/>
      <c r="K315" s="161"/>
      <c r="L315" s="161"/>
      <c r="M315" s="161"/>
      <c r="N315" s="161"/>
      <c r="O315" s="161"/>
      <c r="P315" s="161"/>
      <c r="Q315" s="161"/>
      <c r="R315" s="161"/>
      <c r="S315" s="161"/>
      <c r="T315" s="161"/>
      <c r="U315" s="161"/>
      <c r="V315" s="161"/>
      <c r="W315" s="161"/>
      <c r="X315" s="161"/>
      <c r="Y315" s="161"/>
      <c r="Z315" s="161"/>
    </row>
    <row r="316">
      <c r="A316" s="18"/>
      <c r="B316" s="18"/>
      <c r="C316" s="18"/>
      <c r="D316" s="161"/>
      <c r="E316" s="161"/>
      <c r="F316" s="511"/>
      <c r="G316" s="161"/>
      <c r="H316" s="161"/>
      <c r="I316" s="161"/>
      <c r="J316" s="161"/>
      <c r="K316" s="161"/>
      <c r="L316" s="161"/>
      <c r="M316" s="161"/>
      <c r="N316" s="161"/>
      <c r="O316" s="161"/>
      <c r="P316" s="161"/>
      <c r="Q316" s="161"/>
      <c r="R316" s="161"/>
      <c r="S316" s="161"/>
      <c r="T316" s="161"/>
      <c r="U316" s="161"/>
      <c r="V316" s="161"/>
      <c r="W316" s="161"/>
      <c r="X316" s="161"/>
      <c r="Y316" s="161"/>
      <c r="Z316" s="161"/>
    </row>
    <row r="317">
      <c r="A317" s="18"/>
      <c r="B317" s="18"/>
      <c r="C317" s="18"/>
      <c r="D317" s="161"/>
      <c r="E317" s="161"/>
      <c r="F317" s="511"/>
      <c r="G317" s="161"/>
      <c r="H317" s="161"/>
      <c r="I317" s="161"/>
      <c r="J317" s="161"/>
      <c r="K317" s="161"/>
      <c r="L317" s="161"/>
      <c r="M317" s="161"/>
      <c r="N317" s="161"/>
      <c r="O317" s="161"/>
      <c r="P317" s="161"/>
      <c r="Q317" s="161"/>
      <c r="R317" s="161"/>
      <c r="S317" s="161"/>
      <c r="T317" s="161"/>
      <c r="U317" s="161"/>
      <c r="V317" s="161"/>
      <c r="W317" s="161"/>
      <c r="X317" s="161"/>
      <c r="Y317" s="161"/>
      <c r="Z317" s="161"/>
    </row>
    <row r="318">
      <c r="A318" s="18"/>
      <c r="B318" s="18"/>
      <c r="C318" s="18"/>
      <c r="D318" s="161"/>
      <c r="E318" s="161"/>
      <c r="F318" s="511"/>
      <c r="G318" s="161"/>
      <c r="H318" s="161"/>
      <c r="I318" s="161"/>
      <c r="J318" s="161"/>
      <c r="K318" s="161"/>
      <c r="L318" s="161"/>
      <c r="M318" s="161"/>
      <c r="N318" s="161"/>
      <c r="O318" s="161"/>
      <c r="P318" s="161"/>
      <c r="Q318" s="161"/>
      <c r="R318" s="161"/>
      <c r="S318" s="161"/>
      <c r="T318" s="161"/>
      <c r="U318" s="161"/>
      <c r="V318" s="161"/>
      <c r="W318" s="161"/>
      <c r="X318" s="161"/>
      <c r="Y318" s="161"/>
      <c r="Z318" s="161"/>
    </row>
    <row r="319">
      <c r="A319" s="18"/>
      <c r="B319" s="18"/>
      <c r="C319" s="18"/>
      <c r="D319" s="161"/>
      <c r="E319" s="161"/>
      <c r="F319" s="511"/>
      <c r="G319" s="161"/>
      <c r="H319" s="161"/>
      <c r="I319" s="161"/>
      <c r="J319" s="161"/>
      <c r="K319" s="161"/>
      <c r="L319" s="161"/>
      <c r="M319" s="161"/>
      <c r="N319" s="161"/>
      <c r="O319" s="161"/>
      <c r="P319" s="161"/>
      <c r="Q319" s="161"/>
      <c r="R319" s="161"/>
      <c r="S319" s="161"/>
      <c r="T319" s="161"/>
      <c r="U319" s="161"/>
      <c r="V319" s="161"/>
      <c r="W319" s="161"/>
      <c r="X319" s="161"/>
      <c r="Y319" s="161"/>
      <c r="Z319" s="161"/>
    </row>
    <row r="320">
      <c r="A320" s="18"/>
      <c r="B320" s="18"/>
      <c r="C320" s="18"/>
      <c r="D320" s="161"/>
      <c r="E320" s="161"/>
      <c r="F320" s="511"/>
      <c r="G320" s="161"/>
      <c r="H320" s="161"/>
      <c r="I320" s="161"/>
      <c r="J320" s="161"/>
      <c r="K320" s="161"/>
      <c r="L320" s="161"/>
      <c r="M320" s="161"/>
      <c r="N320" s="161"/>
      <c r="O320" s="161"/>
      <c r="P320" s="161"/>
      <c r="Q320" s="161"/>
      <c r="R320" s="161"/>
      <c r="S320" s="161"/>
      <c r="T320" s="161"/>
      <c r="U320" s="161"/>
      <c r="V320" s="161"/>
      <c r="W320" s="161"/>
      <c r="X320" s="161"/>
      <c r="Y320" s="161"/>
      <c r="Z320" s="161"/>
    </row>
    <row r="321">
      <c r="A321" s="18"/>
      <c r="B321" s="18"/>
      <c r="C321" s="18"/>
      <c r="D321" s="161"/>
      <c r="E321" s="161"/>
      <c r="F321" s="511"/>
      <c r="G321" s="161"/>
      <c r="H321" s="161"/>
      <c r="I321" s="161"/>
      <c r="J321" s="161"/>
      <c r="K321" s="161"/>
      <c r="L321" s="161"/>
      <c r="M321" s="161"/>
      <c r="N321" s="161"/>
      <c r="O321" s="161"/>
      <c r="P321" s="161"/>
      <c r="Q321" s="161"/>
      <c r="R321" s="161"/>
      <c r="S321" s="161"/>
      <c r="T321" s="161"/>
      <c r="U321" s="161"/>
      <c r="V321" s="161"/>
      <c r="W321" s="161"/>
      <c r="X321" s="161"/>
      <c r="Y321" s="161"/>
      <c r="Z321" s="161"/>
    </row>
    <row r="322">
      <c r="A322" s="18"/>
      <c r="B322" s="18"/>
      <c r="C322" s="18"/>
      <c r="D322" s="161"/>
      <c r="E322" s="161"/>
      <c r="F322" s="511"/>
      <c r="G322" s="161"/>
      <c r="H322" s="161"/>
      <c r="I322" s="161"/>
      <c r="J322" s="161"/>
      <c r="K322" s="161"/>
      <c r="L322" s="161"/>
      <c r="M322" s="161"/>
      <c r="N322" s="161"/>
      <c r="O322" s="161"/>
      <c r="P322" s="161"/>
      <c r="Q322" s="161"/>
      <c r="R322" s="161"/>
      <c r="S322" s="161"/>
      <c r="T322" s="161"/>
      <c r="U322" s="161"/>
      <c r="V322" s="161"/>
      <c r="W322" s="161"/>
      <c r="X322" s="161"/>
      <c r="Y322" s="161"/>
      <c r="Z322" s="161"/>
    </row>
    <row r="323">
      <c r="A323" s="18"/>
      <c r="B323" s="18"/>
      <c r="C323" s="18"/>
      <c r="D323" s="161"/>
      <c r="E323" s="161"/>
      <c r="F323" s="511"/>
      <c r="G323" s="161"/>
      <c r="H323" s="161"/>
      <c r="I323" s="161"/>
      <c r="J323" s="161"/>
      <c r="K323" s="161"/>
      <c r="L323" s="161"/>
      <c r="M323" s="161"/>
      <c r="N323" s="161"/>
      <c r="O323" s="161"/>
      <c r="P323" s="161"/>
      <c r="Q323" s="161"/>
      <c r="R323" s="161"/>
      <c r="S323" s="161"/>
      <c r="T323" s="161"/>
      <c r="U323" s="161"/>
      <c r="V323" s="161"/>
      <c r="W323" s="161"/>
      <c r="X323" s="161"/>
      <c r="Y323" s="161"/>
      <c r="Z323" s="161"/>
    </row>
    <row r="324">
      <c r="A324" s="18"/>
      <c r="B324" s="18"/>
      <c r="C324" s="18"/>
      <c r="D324" s="161"/>
      <c r="E324" s="161"/>
      <c r="F324" s="511"/>
      <c r="G324" s="161"/>
      <c r="H324" s="161"/>
      <c r="I324" s="161"/>
      <c r="J324" s="161"/>
      <c r="K324" s="161"/>
      <c r="L324" s="161"/>
      <c r="M324" s="161"/>
      <c r="N324" s="161"/>
      <c r="O324" s="161"/>
      <c r="P324" s="161"/>
      <c r="Q324" s="161"/>
      <c r="R324" s="161"/>
      <c r="S324" s="161"/>
      <c r="T324" s="161"/>
      <c r="U324" s="161"/>
      <c r="V324" s="161"/>
      <c r="W324" s="161"/>
      <c r="X324" s="161"/>
      <c r="Y324" s="161"/>
      <c r="Z324" s="161"/>
    </row>
    <row r="325">
      <c r="A325" s="18"/>
      <c r="B325" s="18"/>
      <c r="C325" s="18"/>
      <c r="D325" s="161"/>
      <c r="E325" s="161"/>
      <c r="F325" s="511"/>
      <c r="G325" s="161"/>
      <c r="H325" s="161"/>
      <c r="I325" s="161"/>
      <c r="J325" s="161"/>
      <c r="K325" s="161"/>
      <c r="L325" s="161"/>
      <c r="M325" s="161"/>
      <c r="N325" s="161"/>
      <c r="O325" s="161"/>
      <c r="P325" s="161"/>
      <c r="Q325" s="161"/>
      <c r="R325" s="161"/>
      <c r="S325" s="161"/>
      <c r="T325" s="161"/>
      <c r="U325" s="161"/>
      <c r="V325" s="161"/>
      <c r="W325" s="161"/>
      <c r="X325" s="161"/>
      <c r="Y325" s="161"/>
      <c r="Z325" s="161"/>
    </row>
    <row r="326">
      <c r="A326" s="18"/>
      <c r="B326" s="18"/>
      <c r="C326" s="18"/>
      <c r="D326" s="161"/>
      <c r="E326" s="161"/>
      <c r="F326" s="511"/>
      <c r="G326" s="161"/>
      <c r="H326" s="161"/>
      <c r="I326" s="161"/>
      <c r="J326" s="161"/>
      <c r="K326" s="161"/>
      <c r="L326" s="161"/>
      <c r="M326" s="161"/>
      <c r="N326" s="161"/>
      <c r="O326" s="161"/>
      <c r="P326" s="161"/>
      <c r="Q326" s="161"/>
      <c r="R326" s="161"/>
      <c r="S326" s="161"/>
      <c r="T326" s="161"/>
      <c r="U326" s="161"/>
      <c r="V326" s="161"/>
      <c r="W326" s="161"/>
      <c r="X326" s="161"/>
      <c r="Y326" s="161"/>
      <c r="Z326" s="161"/>
    </row>
    <row r="327">
      <c r="A327" s="18"/>
      <c r="B327" s="18"/>
      <c r="C327" s="18"/>
      <c r="D327" s="161"/>
      <c r="E327" s="161"/>
      <c r="F327" s="511"/>
      <c r="G327" s="161"/>
      <c r="H327" s="161"/>
      <c r="I327" s="161"/>
      <c r="J327" s="161"/>
      <c r="K327" s="161"/>
      <c r="L327" s="161"/>
      <c r="M327" s="161"/>
      <c r="N327" s="161"/>
      <c r="O327" s="161"/>
      <c r="P327" s="161"/>
      <c r="Q327" s="161"/>
      <c r="R327" s="161"/>
      <c r="S327" s="161"/>
      <c r="T327" s="161"/>
      <c r="U327" s="161"/>
      <c r="V327" s="161"/>
      <c r="W327" s="161"/>
      <c r="X327" s="161"/>
      <c r="Y327" s="161"/>
      <c r="Z327" s="161"/>
    </row>
    <row r="328">
      <c r="A328" s="18"/>
      <c r="B328" s="18"/>
      <c r="C328" s="18"/>
      <c r="D328" s="161"/>
      <c r="E328" s="161"/>
      <c r="F328" s="511"/>
      <c r="G328" s="161"/>
      <c r="H328" s="161"/>
      <c r="I328" s="161"/>
      <c r="J328" s="161"/>
      <c r="K328" s="161"/>
      <c r="L328" s="161"/>
      <c r="M328" s="161"/>
      <c r="N328" s="161"/>
      <c r="O328" s="161"/>
      <c r="P328" s="161"/>
      <c r="Q328" s="161"/>
      <c r="R328" s="161"/>
      <c r="S328" s="161"/>
      <c r="T328" s="161"/>
      <c r="U328" s="161"/>
      <c r="V328" s="161"/>
      <c r="W328" s="161"/>
      <c r="X328" s="161"/>
      <c r="Y328" s="161"/>
      <c r="Z328" s="161"/>
    </row>
    <row r="329">
      <c r="A329" s="18"/>
      <c r="B329" s="18"/>
      <c r="C329" s="18"/>
      <c r="D329" s="161"/>
      <c r="E329" s="161"/>
      <c r="F329" s="511"/>
      <c r="G329" s="161"/>
      <c r="H329" s="161"/>
      <c r="I329" s="161"/>
      <c r="J329" s="161"/>
      <c r="K329" s="161"/>
      <c r="L329" s="161"/>
      <c r="M329" s="161"/>
      <c r="N329" s="161"/>
      <c r="O329" s="161"/>
      <c r="P329" s="161"/>
      <c r="Q329" s="161"/>
      <c r="R329" s="161"/>
      <c r="S329" s="161"/>
      <c r="T329" s="161"/>
      <c r="U329" s="161"/>
      <c r="V329" s="161"/>
      <c r="W329" s="161"/>
      <c r="X329" s="161"/>
      <c r="Y329" s="161"/>
      <c r="Z329" s="161"/>
    </row>
    <row r="330">
      <c r="A330" s="18"/>
      <c r="B330" s="18"/>
      <c r="C330" s="18"/>
      <c r="D330" s="161"/>
      <c r="E330" s="161"/>
      <c r="F330" s="511"/>
      <c r="G330" s="161"/>
      <c r="H330" s="161"/>
      <c r="I330" s="161"/>
      <c r="J330" s="161"/>
      <c r="K330" s="161"/>
      <c r="L330" s="161"/>
      <c r="M330" s="161"/>
      <c r="N330" s="161"/>
      <c r="O330" s="161"/>
      <c r="P330" s="161"/>
      <c r="Q330" s="161"/>
      <c r="R330" s="161"/>
      <c r="S330" s="161"/>
      <c r="T330" s="161"/>
      <c r="U330" s="161"/>
      <c r="V330" s="161"/>
      <c r="W330" s="161"/>
      <c r="X330" s="161"/>
      <c r="Y330" s="161"/>
      <c r="Z330" s="161"/>
    </row>
    <row r="331">
      <c r="A331" s="18"/>
      <c r="B331" s="18"/>
      <c r="C331" s="18"/>
      <c r="D331" s="161"/>
      <c r="E331" s="161"/>
      <c r="F331" s="511"/>
      <c r="G331" s="161"/>
      <c r="H331" s="161"/>
      <c r="I331" s="161"/>
      <c r="J331" s="161"/>
      <c r="K331" s="161"/>
      <c r="L331" s="161"/>
      <c r="M331" s="161"/>
      <c r="N331" s="161"/>
      <c r="O331" s="161"/>
      <c r="P331" s="161"/>
      <c r="Q331" s="161"/>
      <c r="R331" s="161"/>
      <c r="S331" s="161"/>
      <c r="T331" s="161"/>
      <c r="U331" s="161"/>
      <c r="V331" s="161"/>
      <c r="W331" s="161"/>
      <c r="X331" s="161"/>
      <c r="Y331" s="161"/>
      <c r="Z331" s="161"/>
    </row>
    <row r="332">
      <c r="A332" s="18"/>
      <c r="B332" s="18"/>
      <c r="C332" s="18"/>
      <c r="D332" s="161"/>
      <c r="E332" s="161"/>
      <c r="F332" s="511"/>
      <c r="G332" s="161"/>
      <c r="H332" s="161"/>
      <c r="I332" s="161"/>
      <c r="J332" s="161"/>
      <c r="K332" s="161"/>
      <c r="L332" s="161"/>
      <c r="M332" s="161"/>
      <c r="N332" s="161"/>
      <c r="O332" s="161"/>
      <c r="P332" s="161"/>
      <c r="Q332" s="161"/>
      <c r="R332" s="161"/>
      <c r="S332" s="161"/>
      <c r="T332" s="161"/>
      <c r="U332" s="161"/>
      <c r="V332" s="161"/>
      <c r="W332" s="161"/>
      <c r="X332" s="161"/>
      <c r="Y332" s="161"/>
      <c r="Z332" s="161"/>
    </row>
    <row r="333">
      <c r="A333" s="18"/>
      <c r="B333" s="18"/>
      <c r="C333" s="18"/>
      <c r="D333" s="161"/>
      <c r="E333" s="161"/>
      <c r="F333" s="511"/>
      <c r="G333" s="161"/>
      <c r="H333" s="161"/>
      <c r="I333" s="161"/>
      <c r="J333" s="161"/>
      <c r="K333" s="161"/>
      <c r="L333" s="161"/>
      <c r="M333" s="161"/>
      <c r="N333" s="161"/>
      <c r="O333" s="161"/>
      <c r="P333" s="161"/>
      <c r="Q333" s="161"/>
      <c r="R333" s="161"/>
      <c r="S333" s="161"/>
      <c r="T333" s="161"/>
      <c r="U333" s="161"/>
      <c r="V333" s="161"/>
      <c r="W333" s="161"/>
      <c r="X333" s="161"/>
      <c r="Y333" s="161"/>
      <c r="Z333" s="161"/>
    </row>
    <row r="334">
      <c r="A334" s="18"/>
      <c r="B334" s="18"/>
      <c r="C334" s="18"/>
      <c r="D334" s="161"/>
      <c r="E334" s="161"/>
      <c r="F334" s="511"/>
      <c r="G334" s="161"/>
      <c r="H334" s="161"/>
      <c r="I334" s="161"/>
      <c r="J334" s="161"/>
      <c r="K334" s="161"/>
      <c r="L334" s="161"/>
      <c r="M334" s="161"/>
      <c r="N334" s="161"/>
      <c r="O334" s="161"/>
      <c r="P334" s="161"/>
      <c r="Q334" s="161"/>
      <c r="R334" s="161"/>
      <c r="S334" s="161"/>
      <c r="T334" s="161"/>
      <c r="U334" s="161"/>
      <c r="V334" s="161"/>
      <c r="W334" s="161"/>
      <c r="X334" s="161"/>
      <c r="Y334" s="161"/>
      <c r="Z334" s="161"/>
    </row>
    <row r="335">
      <c r="A335" s="18"/>
      <c r="B335" s="18"/>
      <c r="C335" s="18"/>
      <c r="D335" s="161"/>
      <c r="E335" s="161"/>
      <c r="F335" s="511"/>
      <c r="G335" s="161"/>
      <c r="H335" s="161"/>
      <c r="I335" s="161"/>
      <c r="J335" s="161"/>
      <c r="K335" s="161"/>
      <c r="L335" s="161"/>
      <c r="M335" s="161"/>
      <c r="N335" s="161"/>
      <c r="O335" s="161"/>
      <c r="P335" s="161"/>
      <c r="Q335" s="161"/>
      <c r="R335" s="161"/>
      <c r="S335" s="161"/>
      <c r="T335" s="161"/>
      <c r="U335" s="161"/>
      <c r="V335" s="161"/>
      <c r="W335" s="161"/>
      <c r="X335" s="161"/>
      <c r="Y335" s="161"/>
      <c r="Z335" s="161"/>
    </row>
    <row r="336">
      <c r="A336" s="18"/>
      <c r="B336" s="18"/>
      <c r="C336" s="18"/>
      <c r="D336" s="161"/>
      <c r="E336" s="161"/>
      <c r="F336" s="511"/>
      <c r="G336" s="161"/>
      <c r="H336" s="161"/>
      <c r="I336" s="161"/>
      <c r="J336" s="161"/>
      <c r="K336" s="161"/>
      <c r="L336" s="161"/>
      <c r="M336" s="161"/>
      <c r="N336" s="161"/>
      <c r="O336" s="161"/>
      <c r="P336" s="161"/>
      <c r="Q336" s="161"/>
      <c r="R336" s="161"/>
      <c r="S336" s="161"/>
      <c r="T336" s="161"/>
      <c r="U336" s="161"/>
      <c r="V336" s="161"/>
      <c r="W336" s="161"/>
      <c r="X336" s="161"/>
      <c r="Y336" s="161"/>
      <c r="Z336" s="161"/>
    </row>
    <row r="337">
      <c r="A337" s="18"/>
      <c r="B337" s="18"/>
      <c r="C337" s="18"/>
      <c r="D337" s="161"/>
      <c r="E337" s="161"/>
      <c r="F337" s="511"/>
      <c r="G337" s="161"/>
      <c r="H337" s="161"/>
      <c r="I337" s="161"/>
      <c r="J337" s="161"/>
      <c r="K337" s="161"/>
      <c r="L337" s="161"/>
      <c r="M337" s="161"/>
      <c r="N337" s="161"/>
      <c r="O337" s="161"/>
      <c r="P337" s="161"/>
      <c r="Q337" s="161"/>
      <c r="R337" s="161"/>
      <c r="S337" s="161"/>
      <c r="T337" s="161"/>
      <c r="U337" s="161"/>
      <c r="V337" s="161"/>
      <c r="W337" s="161"/>
      <c r="X337" s="161"/>
      <c r="Y337" s="161"/>
      <c r="Z337" s="161"/>
    </row>
    <row r="338">
      <c r="A338" s="18"/>
      <c r="B338" s="18"/>
      <c r="C338" s="18"/>
      <c r="D338" s="161"/>
      <c r="E338" s="161"/>
      <c r="F338" s="511"/>
      <c r="G338" s="161"/>
      <c r="H338" s="161"/>
      <c r="I338" s="161"/>
      <c r="J338" s="161"/>
      <c r="K338" s="161"/>
      <c r="L338" s="161"/>
      <c r="M338" s="161"/>
      <c r="N338" s="161"/>
      <c r="O338" s="161"/>
      <c r="P338" s="161"/>
      <c r="Q338" s="161"/>
      <c r="R338" s="161"/>
      <c r="S338" s="161"/>
      <c r="T338" s="161"/>
      <c r="U338" s="161"/>
      <c r="V338" s="161"/>
      <c r="W338" s="161"/>
      <c r="X338" s="161"/>
      <c r="Y338" s="161"/>
      <c r="Z338" s="161"/>
    </row>
    <row r="339">
      <c r="A339" s="18"/>
      <c r="B339" s="18"/>
      <c r="C339" s="18"/>
      <c r="D339" s="161"/>
      <c r="E339" s="161"/>
      <c r="F339" s="511"/>
      <c r="G339" s="161"/>
      <c r="H339" s="161"/>
      <c r="I339" s="161"/>
      <c r="J339" s="161"/>
      <c r="K339" s="161"/>
      <c r="L339" s="161"/>
      <c r="M339" s="161"/>
      <c r="N339" s="161"/>
      <c r="O339" s="161"/>
      <c r="P339" s="161"/>
      <c r="Q339" s="161"/>
      <c r="R339" s="161"/>
      <c r="S339" s="161"/>
      <c r="T339" s="161"/>
      <c r="U339" s="161"/>
      <c r="V339" s="161"/>
      <c r="W339" s="161"/>
      <c r="X339" s="161"/>
      <c r="Y339" s="161"/>
      <c r="Z339" s="161"/>
    </row>
    <row r="340">
      <c r="A340" s="18"/>
      <c r="B340" s="18"/>
      <c r="C340" s="18"/>
      <c r="D340" s="161"/>
      <c r="E340" s="161"/>
      <c r="F340" s="511"/>
      <c r="G340" s="161"/>
      <c r="H340" s="161"/>
      <c r="I340" s="161"/>
      <c r="J340" s="161"/>
      <c r="K340" s="161"/>
      <c r="L340" s="161"/>
      <c r="M340" s="161"/>
      <c r="N340" s="161"/>
      <c r="O340" s="161"/>
      <c r="P340" s="161"/>
      <c r="Q340" s="161"/>
      <c r="R340" s="161"/>
      <c r="S340" s="161"/>
      <c r="T340" s="161"/>
      <c r="U340" s="161"/>
      <c r="V340" s="161"/>
      <c r="W340" s="161"/>
      <c r="X340" s="161"/>
      <c r="Y340" s="161"/>
      <c r="Z340" s="161"/>
    </row>
    <row r="341">
      <c r="A341" s="18"/>
      <c r="B341" s="18"/>
      <c r="C341" s="18"/>
      <c r="D341" s="161"/>
      <c r="E341" s="161"/>
      <c r="F341" s="511"/>
      <c r="G341" s="161"/>
      <c r="H341" s="161"/>
      <c r="I341" s="161"/>
      <c r="J341" s="161"/>
      <c r="K341" s="161"/>
      <c r="L341" s="161"/>
      <c r="M341" s="161"/>
      <c r="N341" s="161"/>
      <c r="O341" s="161"/>
      <c r="P341" s="161"/>
      <c r="Q341" s="161"/>
      <c r="R341" s="161"/>
      <c r="S341" s="161"/>
      <c r="T341" s="161"/>
      <c r="U341" s="161"/>
      <c r="V341" s="161"/>
      <c r="W341" s="161"/>
      <c r="X341" s="161"/>
      <c r="Y341" s="161"/>
      <c r="Z341" s="161"/>
    </row>
    <row r="342">
      <c r="A342" s="18"/>
      <c r="B342" s="18"/>
      <c r="C342" s="18"/>
      <c r="D342" s="161"/>
      <c r="E342" s="161"/>
      <c r="F342" s="511"/>
      <c r="G342" s="161"/>
      <c r="H342" s="161"/>
      <c r="I342" s="161"/>
      <c r="J342" s="161"/>
      <c r="K342" s="161"/>
      <c r="L342" s="161"/>
      <c r="M342" s="161"/>
      <c r="N342" s="161"/>
      <c r="O342" s="161"/>
      <c r="P342" s="161"/>
      <c r="Q342" s="161"/>
      <c r="R342" s="161"/>
      <c r="S342" s="161"/>
      <c r="T342" s="161"/>
      <c r="U342" s="161"/>
      <c r="V342" s="161"/>
      <c r="W342" s="161"/>
      <c r="X342" s="161"/>
      <c r="Y342" s="161"/>
      <c r="Z342" s="161"/>
    </row>
    <row r="343">
      <c r="A343" s="18"/>
      <c r="B343" s="18"/>
      <c r="C343" s="18"/>
      <c r="D343" s="161"/>
      <c r="E343" s="161"/>
      <c r="F343" s="511"/>
      <c r="G343" s="161"/>
      <c r="H343" s="161"/>
      <c r="I343" s="161"/>
      <c r="J343" s="161"/>
      <c r="K343" s="161"/>
      <c r="L343" s="161"/>
      <c r="M343" s="161"/>
      <c r="N343" s="161"/>
      <c r="O343" s="161"/>
      <c r="P343" s="161"/>
      <c r="Q343" s="161"/>
      <c r="R343" s="161"/>
      <c r="S343" s="161"/>
      <c r="T343" s="161"/>
      <c r="U343" s="161"/>
      <c r="V343" s="161"/>
      <c r="W343" s="161"/>
      <c r="X343" s="161"/>
      <c r="Y343" s="161"/>
      <c r="Z343" s="161"/>
    </row>
    <row r="344">
      <c r="A344" s="18"/>
      <c r="B344" s="18"/>
      <c r="C344" s="18"/>
      <c r="D344" s="161"/>
      <c r="E344" s="161"/>
      <c r="F344" s="511"/>
      <c r="G344" s="161"/>
      <c r="H344" s="161"/>
      <c r="I344" s="161"/>
      <c r="J344" s="161"/>
      <c r="K344" s="161"/>
      <c r="L344" s="161"/>
      <c r="M344" s="161"/>
      <c r="N344" s="161"/>
      <c r="O344" s="161"/>
      <c r="P344" s="161"/>
      <c r="Q344" s="161"/>
      <c r="R344" s="161"/>
      <c r="S344" s="161"/>
      <c r="T344" s="161"/>
      <c r="U344" s="161"/>
      <c r="V344" s="161"/>
      <c r="W344" s="161"/>
      <c r="X344" s="161"/>
      <c r="Y344" s="161"/>
      <c r="Z344" s="161"/>
    </row>
    <row r="345">
      <c r="A345" s="18"/>
      <c r="B345" s="18"/>
      <c r="C345" s="18"/>
      <c r="D345" s="161"/>
      <c r="E345" s="161"/>
      <c r="F345" s="511"/>
      <c r="G345" s="161"/>
      <c r="H345" s="161"/>
      <c r="I345" s="161"/>
      <c r="J345" s="161"/>
      <c r="K345" s="161"/>
      <c r="L345" s="161"/>
      <c r="M345" s="161"/>
      <c r="N345" s="161"/>
      <c r="O345" s="161"/>
      <c r="P345" s="161"/>
      <c r="Q345" s="161"/>
      <c r="R345" s="161"/>
      <c r="S345" s="161"/>
      <c r="T345" s="161"/>
      <c r="U345" s="161"/>
      <c r="V345" s="161"/>
      <c r="W345" s="161"/>
      <c r="X345" s="161"/>
      <c r="Y345" s="161"/>
      <c r="Z345" s="161"/>
    </row>
    <row r="346">
      <c r="A346" s="18"/>
      <c r="B346" s="18"/>
      <c r="C346" s="18"/>
      <c r="D346" s="161"/>
      <c r="E346" s="161"/>
      <c r="F346" s="511"/>
      <c r="G346" s="161"/>
      <c r="H346" s="161"/>
      <c r="I346" s="161"/>
      <c r="J346" s="161"/>
      <c r="K346" s="161"/>
      <c r="L346" s="161"/>
      <c r="M346" s="161"/>
      <c r="N346" s="161"/>
      <c r="O346" s="161"/>
      <c r="P346" s="161"/>
      <c r="Q346" s="161"/>
      <c r="R346" s="161"/>
      <c r="S346" s="161"/>
      <c r="T346" s="161"/>
      <c r="U346" s="161"/>
      <c r="V346" s="161"/>
      <c r="W346" s="161"/>
      <c r="X346" s="161"/>
      <c r="Y346" s="161"/>
      <c r="Z346" s="161"/>
    </row>
    <row r="347">
      <c r="A347" s="18"/>
      <c r="B347" s="18"/>
      <c r="C347" s="18"/>
      <c r="D347" s="161"/>
      <c r="E347" s="161"/>
      <c r="F347" s="511"/>
      <c r="G347" s="161"/>
      <c r="H347" s="161"/>
      <c r="I347" s="161"/>
      <c r="J347" s="161"/>
      <c r="K347" s="161"/>
      <c r="L347" s="161"/>
      <c r="M347" s="161"/>
      <c r="N347" s="161"/>
      <c r="O347" s="161"/>
      <c r="P347" s="161"/>
      <c r="Q347" s="161"/>
      <c r="R347" s="161"/>
      <c r="S347" s="161"/>
      <c r="T347" s="161"/>
      <c r="U347" s="161"/>
      <c r="V347" s="161"/>
      <c r="W347" s="161"/>
      <c r="X347" s="161"/>
      <c r="Y347" s="161"/>
      <c r="Z347" s="161"/>
    </row>
    <row r="348">
      <c r="A348" s="18"/>
      <c r="B348" s="18"/>
      <c r="C348" s="18"/>
      <c r="D348" s="161"/>
      <c r="E348" s="161"/>
      <c r="F348" s="511"/>
      <c r="G348" s="161"/>
      <c r="H348" s="161"/>
      <c r="I348" s="161"/>
      <c r="J348" s="161"/>
      <c r="K348" s="161"/>
      <c r="L348" s="161"/>
      <c r="M348" s="161"/>
      <c r="N348" s="161"/>
      <c r="O348" s="161"/>
      <c r="P348" s="161"/>
      <c r="Q348" s="161"/>
      <c r="R348" s="161"/>
      <c r="S348" s="161"/>
      <c r="T348" s="161"/>
      <c r="U348" s="161"/>
      <c r="V348" s="161"/>
      <c r="W348" s="161"/>
      <c r="X348" s="161"/>
      <c r="Y348" s="161"/>
      <c r="Z348" s="161"/>
    </row>
    <row r="349">
      <c r="A349" s="18"/>
      <c r="B349" s="18"/>
      <c r="C349" s="18"/>
      <c r="D349" s="161"/>
      <c r="E349" s="161"/>
      <c r="F349" s="511"/>
      <c r="G349" s="161"/>
      <c r="H349" s="161"/>
      <c r="I349" s="161"/>
      <c r="J349" s="161"/>
      <c r="K349" s="161"/>
      <c r="L349" s="161"/>
      <c r="M349" s="161"/>
      <c r="N349" s="161"/>
      <c r="O349" s="161"/>
      <c r="P349" s="161"/>
      <c r="Q349" s="161"/>
      <c r="R349" s="161"/>
      <c r="S349" s="161"/>
      <c r="T349" s="161"/>
      <c r="U349" s="161"/>
      <c r="V349" s="161"/>
      <c r="W349" s="161"/>
      <c r="X349" s="161"/>
      <c r="Y349" s="161"/>
      <c r="Z349" s="161"/>
    </row>
    <row r="350">
      <c r="A350" s="18"/>
      <c r="B350" s="18"/>
      <c r="C350" s="18"/>
      <c r="D350" s="161"/>
      <c r="E350" s="161"/>
      <c r="F350" s="511"/>
      <c r="G350" s="161"/>
      <c r="H350" s="161"/>
      <c r="I350" s="161"/>
      <c r="J350" s="161"/>
      <c r="K350" s="161"/>
      <c r="L350" s="161"/>
      <c r="M350" s="161"/>
      <c r="N350" s="161"/>
      <c r="O350" s="161"/>
      <c r="P350" s="161"/>
      <c r="Q350" s="161"/>
      <c r="R350" s="161"/>
      <c r="S350" s="161"/>
      <c r="T350" s="161"/>
      <c r="U350" s="161"/>
      <c r="V350" s="161"/>
      <c r="W350" s="161"/>
      <c r="X350" s="161"/>
      <c r="Y350" s="161"/>
      <c r="Z350" s="161"/>
    </row>
    <row r="351">
      <c r="A351" s="18"/>
      <c r="B351" s="18"/>
      <c r="C351" s="18"/>
      <c r="D351" s="161"/>
      <c r="E351" s="161"/>
      <c r="F351" s="511"/>
      <c r="G351" s="161"/>
      <c r="H351" s="161"/>
      <c r="I351" s="161"/>
      <c r="J351" s="161"/>
      <c r="K351" s="161"/>
      <c r="L351" s="161"/>
      <c r="M351" s="161"/>
      <c r="N351" s="161"/>
      <c r="O351" s="161"/>
      <c r="P351" s="161"/>
      <c r="Q351" s="161"/>
      <c r="R351" s="161"/>
      <c r="S351" s="161"/>
      <c r="T351" s="161"/>
      <c r="U351" s="161"/>
      <c r="V351" s="161"/>
      <c r="W351" s="161"/>
      <c r="X351" s="161"/>
      <c r="Y351" s="161"/>
      <c r="Z351" s="161"/>
    </row>
    <row r="352">
      <c r="A352" s="18"/>
      <c r="B352" s="18"/>
      <c r="C352" s="18"/>
      <c r="D352" s="161"/>
      <c r="E352" s="161"/>
      <c r="F352" s="511"/>
      <c r="G352" s="161"/>
      <c r="H352" s="161"/>
      <c r="I352" s="161"/>
      <c r="J352" s="161"/>
      <c r="K352" s="161"/>
      <c r="L352" s="161"/>
      <c r="M352" s="161"/>
      <c r="N352" s="161"/>
      <c r="O352" s="161"/>
      <c r="P352" s="161"/>
      <c r="Q352" s="161"/>
      <c r="R352" s="161"/>
      <c r="S352" s="161"/>
      <c r="T352" s="161"/>
      <c r="U352" s="161"/>
      <c r="V352" s="161"/>
      <c r="W352" s="161"/>
      <c r="X352" s="161"/>
      <c r="Y352" s="161"/>
      <c r="Z352" s="161"/>
    </row>
    <row r="353">
      <c r="A353" s="18"/>
      <c r="B353" s="18"/>
      <c r="C353" s="18"/>
      <c r="D353" s="161"/>
      <c r="E353" s="161"/>
      <c r="F353" s="511"/>
      <c r="G353" s="161"/>
      <c r="H353" s="161"/>
      <c r="I353" s="161"/>
      <c r="J353" s="161"/>
      <c r="K353" s="161"/>
      <c r="L353" s="161"/>
      <c r="M353" s="161"/>
      <c r="N353" s="161"/>
      <c r="O353" s="161"/>
      <c r="P353" s="161"/>
      <c r="Q353" s="161"/>
      <c r="R353" s="161"/>
      <c r="S353" s="161"/>
      <c r="T353" s="161"/>
      <c r="U353" s="161"/>
      <c r="V353" s="161"/>
      <c r="W353" s="161"/>
      <c r="X353" s="161"/>
      <c r="Y353" s="161"/>
      <c r="Z353" s="161"/>
    </row>
    <row r="354">
      <c r="A354" s="18"/>
      <c r="B354" s="18"/>
      <c r="C354" s="18"/>
      <c r="D354" s="161"/>
      <c r="E354" s="161"/>
      <c r="F354" s="511"/>
      <c r="G354" s="161"/>
      <c r="H354" s="161"/>
      <c r="I354" s="161"/>
      <c r="J354" s="161"/>
      <c r="K354" s="161"/>
      <c r="L354" s="161"/>
      <c r="M354" s="161"/>
      <c r="N354" s="161"/>
      <c r="O354" s="161"/>
      <c r="P354" s="161"/>
      <c r="Q354" s="161"/>
      <c r="R354" s="161"/>
      <c r="S354" s="161"/>
      <c r="T354" s="161"/>
      <c r="U354" s="161"/>
      <c r="V354" s="161"/>
      <c r="W354" s="161"/>
      <c r="X354" s="161"/>
      <c r="Y354" s="161"/>
      <c r="Z354" s="161"/>
    </row>
    <row r="355">
      <c r="A355" s="18"/>
      <c r="B355" s="18"/>
      <c r="C355" s="18"/>
      <c r="D355" s="161"/>
      <c r="E355" s="161"/>
      <c r="F355" s="511"/>
      <c r="G355" s="161"/>
      <c r="H355" s="161"/>
      <c r="I355" s="161"/>
      <c r="J355" s="161"/>
      <c r="K355" s="161"/>
      <c r="L355" s="161"/>
      <c r="M355" s="161"/>
      <c r="N355" s="161"/>
      <c r="O355" s="161"/>
      <c r="P355" s="161"/>
      <c r="Q355" s="161"/>
      <c r="R355" s="161"/>
      <c r="S355" s="161"/>
      <c r="T355" s="161"/>
      <c r="U355" s="161"/>
      <c r="V355" s="161"/>
      <c r="W355" s="161"/>
      <c r="X355" s="161"/>
      <c r="Y355" s="161"/>
      <c r="Z355" s="161"/>
    </row>
    <row r="356">
      <c r="A356" s="18"/>
      <c r="B356" s="18"/>
      <c r="C356" s="18"/>
      <c r="D356" s="161"/>
      <c r="E356" s="161"/>
      <c r="F356" s="511"/>
      <c r="G356" s="161"/>
      <c r="H356" s="161"/>
      <c r="I356" s="161"/>
      <c r="J356" s="161"/>
      <c r="K356" s="161"/>
      <c r="L356" s="161"/>
      <c r="M356" s="161"/>
      <c r="N356" s="161"/>
      <c r="O356" s="161"/>
      <c r="P356" s="161"/>
      <c r="Q356" s="161"/>
      <c r="R356" s="161"/>
      <c r="S356" s="161"/>
      <c r="T356" s="161"/>
      <c r="U356" s="161"/>
      <c r="V356" s="161"/>
      <c r="W356" s="161"/>
      <c r="X356" s="161"/>
      <c r="Y356" s="161"/>
      <c r="Z356" s="161"/>
    </row>
    <row r="357">
      <c r="A357" s="18"/>
      <c r="B357" s="18"/>
      <c r="C357" s="18"/>
      <c r="D357" s="161"/>
      <c r="E357" s="161"/>
      <c r="F357" s="511"/>
      <c r="G357" s="161"/>
      <c r="H357" s="161"/>
      <c r="I357" s="161"/>
      <c r="J357" s="161"/>
      <c r="K357" s="161"/>
      <c r="L357" s="161"/>
      <c r="M357" s="161"/>
      <c r="N357" s="161"/>
      <c r="O357" s="161"/>
      <c r="P357" s="161"/>
      <c r="Q357" s="161"/>
      <c r="R357" s="161"/>
      <c r="S357" s="161"/>
      <c r="T357" s="161"/>
      <c r="U357" s="161"/>
      <c r="V357" s="161"/>
      <c r="W357" s="161"/>
      <c r="X357" s="161"/>
      <c r="Y357" s="161"/>
      <c r="Z357" s="161"/>
    </row>
    <row r="358">
      <c r="A358" s="18"/>
      <c r="B358" s="18"/>
      <c r="C358" s="18"/>
      <c r="D358" s="161"/>
      <c r="E358" s="161"/>
      <c r="F358" s="511"/>
      <c r="G358" s="161"/>
      <c r="H358" s="161"/>
      <c r="I358" s="161"/>
      <c r="J358" s="161"/>
      <c r="K358" s="161"/>
      <c r="L358" s="161"/>
      <c r="M358" s="161"/>
      <c r="N358" s="161"/>
      <c r="O358" s="161"/>
      <c r="P358" s="161"/>
      <c r="Q358" s="161"/>
      <c r="R358" s="161"/>
      <c r="S358" s="161"/>
      <c r="T358" s="161"/>
      <c r="U358" s="161"/>
      <c r="V358" s="161"/>
      <c r="W358" s="161"/>
      <c r="X358" s="161"/>
      <c r="Y358" s="161"/>
      <c r="Z358" s="161"/>
    </row>
    <row r="359">
      <c r="A359" s="18"/>
      <c r="B359" s="18"/>
      <c r="C359" s="18"/>
      <c r="D359" s="161"/>
      <c r="E359" s="161"/>
      <c r="F359" s="511"/>
      <c r="G359" s="161"/>
      <c r="H359" s="161"/>
      <c r="I359" s="161"/>
      <c r="J359" s="161"/>
      <c r="K359" s="161"/>
      <c r="L359" s="161"/>
      <c r="M359" s="161"/>
      <c r="N359" s="161"/>
      <c r="O359" s="161"/>
      <c r="P359" s="161"/>
      <c r="Q359" s="161"/>
      <c r="R359" s="161"/>
      <c r="S359" s="161"/>
      <c r="T359" s="161"/>
      <c r="U359" s="161"/>
      <c r="V359" s="161"/>
      <c r="W359" s="161"/>
      <c r="X359" s="161"/>
      <c r="Y359" s="161"/>
      <c r="Z359" s="161"/>
    </row>
    <row r="360">
      <c r="A360" s="18"/>
      <c r="B360" s="18"/>
      <c r="C360" s="18"/>
      <c r="D360" s="161"/>
      <c r="E360" s="161"/>
      <c r="F360" s="511"/>
      <c r="G360" s="161"/>
      <c r="H360" s="161"/>
      <c r="I360" s="161"/>
      <c r="J360" s="161"/>
      <c r="K360" s="161"/>
      <c r="L360" s="161"/>
      <c r="M360" s="161"/>
      <c r="N360" s="161"/>
      <c r="O360" s="161"/>
      <c r="P360" s="161"/>
      <c r="Q360" s="161"/>
      <c r="R360" s="161"/>
      <c r="S360" s="161"/>
      <c r="T360" s="161"/>
      <c r="U360" s="161"/>
      <c r="V360" s="161"/>
      <c r="W360" s="161"/>
      <c r="X360" s="161"/>
      <c r="Y360" s="161"/>
      <c r="Z360" s="161"/>
    </row>
    <row r="361">
      <c r="A361" s="18"/>
      <c r="B361" s="18"/>
      <c r="C361" s="18"/>
      <c r="D361" s="161"/>
      <c r="E361" s="161"/>
      <c r="F361" s="511"/>
      <c r="G361" s="161"/>
      <c r="H361" s="161"/>
      <c r="I361" s="161"/>
      <c r="J361" s="161"/>
      <c r="K361" s="161"/>
      <c r="L361" s="161"/>
      <c r="M361" s="161"/>
      <c r="N361" s="161"/>
      <c r="O361" s="161"/>
      <c r="P361" s="161"/>
      <c r="Q361" s="161"/>
      <c r="R361" s="161"/>
      <c r="S361" s="161"/>
      <c r="T361" s="161"/>
      <c r="U361" s="161"/>
      <c r="V361" s="161"/>
      <c r="W361" s="161"/>
      <c r="X361" s="161"/>
      <c r="Y361" s="161"/>
      <c r="Z361" s="161"/>
    </row>
    <row r="362">
      <c r="A362" s="18"/>
      <c r="B362" s="18"/>
      <c r="C362" s="18"/>
      <c r="D362" s="161"/>
      <c r="E362" s="161"/>
      <c r="F362" s="511"/>
      <c r="G362" s="161"/>
      <c r="H362" s="161"/>
      <c r="I362" s="161"/>
      <c r="J362" s="161"/>
      <c r="K362" s="161"/>
      <c r="L362" s="161"/>
      <c r="M362" s="161"/>
      <c r="N362" s="161"/>
      <c r="O362" s="161"/>
      <c r="P362" s="161"/>
      <c r="Q362" s="161"/>
      <c r="R362" s="161"/>
      <c r="S362" s="161"/>
      <c r="T362" s="161"/>
      <c r="U362" s="161"/>
      <c r="V362" s="161"/>
      <c r="W362" s="161"/>
      <c r="X362" s="161"/>
      <c r="Y362" s="161"/>
      <c r="Z362" s="161"/>
    </row>
    <row r="363">
      <c r="A363" s="18"/>
      <c r="B363" s="18"/>
      <c r="C363" s="18"/>
      <c r="D363" s="161"/>
      <c r="E363" s="161"/>
      <c r="F363" s="511"/>
      <c r="G363" s="161"/>
      <c r="H363" s="161"/>
      <c r="I363" s="161"/>
      <c r="J363" s="161"/>
      <c r="K363" s="161"/>
      <c r="L363" s="161"/>
      <c r="M363" s="161"/>
      <c r="N363" s="161"/>
      <c r="O363" s="161"/>
      <c r="P363" s="161"/>
      <c r="Q363" s="161"/>
      <c r="R363" s="161"/>
      <c r="S363" s="161"/>
      <c r="T363" s="161"/>
      <c r="U363" s="161"/>
      <c r="V363" s="161"/>
      <c r="W363" s="161"/>
      <c r="X363" s="161"/>
      <c r="Y363" s="161"/>
      <c r="Z363" s="161"/>
    </row>
    <row r="364">
      <c r="A364" s="18"/>
      <c r="B364" s="18"/>
      <c r="C364" s="18"/>
      <c r="D364" s="161"/>
      <c r="E364" s="161"/>
      <c r="F364" s="511"/>
      <c r="G364" s="161"/>
      <c r="H364" s="161"/>
      <c r="I364" s="161"/>
      <c r="J364" s="161"/>
      <c r="K364" s="161"/>
      <c r="L364" s="161"/>
      <c r="M364" s="161"/>
      <c r="N364" s="161"/>
      <c r="O364" s="161"/>
      <c r="P364" s="161"/>
      <c r="Q364" s="161"/>
      <c r="R364" s="161"/>
      <c r="S364" s="161"/>
      <c r="T364" s="161"/>
      <c r="U364" s="161"/>
      <c r="V364" s="161"/>
      <c r="W364" s="161"/>
      <c r="X364" s="161"/>
      <c r="Y364" s="161"/>
      <c r="Z364" s="161"/>
    </row>
    <row r="365">
      <c r="A365" s="18"/>
      <c r="B365" s="18"/>
      <c r="C365" s="18"/>
      <c r="D365" s="161"/>
      <c r="E365" s="161"/>
      <c r="F365" s="511"/>
      <c r="G365" s="161"/>
      <c r="H365" s="161"/>
      <c r="I365" s="161"/>
      <c r="J365" s="161"/>
      <c r="K365" s="161"/>
      <c r="L365" s="161"/>
      <c r="M365" s="161"/>
      <c r="N365" s="161"/>
      <c r="O365" s="161"/>
      <c r="P365" s="161"/>
      <c r="Q365" s="161"/>
      <c r="R365" s="161"/>
      <c r="S365" s="161"/>
      <c r="T365" s="161"/>
      <c r="U365" s="161"/>
      <c r="V365" s="161"/>
      <c r="W365" s="161"/>
      <c r="X365" s="161"/>
      <c r="Y365" s="161"/>
      <c r="Z365" s="161"/>
    </row>
    <row r="366">
      <c r="A366" s="18"/>
      <c r="B366" s="18"/>
      <c r="C366" s="18"/>
      <c r="D366" s="161"/>
      <c r="E366" s="161"/>
      <c r="F366" s="511"/>
      <c r="G366" s="161"/>
      <c r="H366" s="161"/>
      <c r="I366" s="161"/>
      <c r="J366" s="161"/>
      <c r="K366" s="161"/>
      <c r="L366" s="161"/>
      <c r="M366" s="161"/>
      <c r="N366" s="161"/>
      <c r="O366" s="161"/>
      <c r="P366" s="161"/>
      <c r="Q366" s="161"/>
      <c r="R366" s="161"/>
      <c r="S366" s="161"/>
      <c r="T366" s="161"/>
      <c r="U366" s="161"/>
      <c r="V366" s="161"/>
      <c r="W366" s="161"/>
      <c r="X366" s="161"/>
      <c r="Y366" s="161"/>
      <c r="Z366" s="161"/>
    </row>
    <row r="367">
      <c r="A367" s="18"/>
      <c r="B367" s="18"/>
      <c r="C367" s="18"/>
      <c r="D367" s="161"/>
      <c r="E367" s="161"/>
      <c r="F367" s="511"/>
      <c r="G367" s="161"/>
      <c r="H367" s="161"/>
      <c r="I367" s="161"/>
      <c r="J367" s="161"/>
      <c r="K367" s="161"/>
      <c r="L367" s="161"/>
      <c r="M367" s="161"/>
      <c r="N367" s="161"/>
      <c r="O367" s="161"/>
      <c r="P367" s="161"/>
      <c r="Q367" s="161"/>
      <c r="R367" s="161"/>
      <c r="S367" s="161"/>
      <c r="T367" s="161"/>
      <c r="U367" s="161"/>
      <c r="V367" s="161"/>
      <c r="W367" s="161"/>
      <c r="X367" s="161"/>
      <c r="Y367" s="161"/>
      <c r="Z367" s="161"/>
    </row>
    <row r="368">
      <c r="A368" s="18"/>
      <c r="B368" s="18"/>
      <c r="C368" s="18"/>
      <c r="D368" s="161"/>
      <c r="E368" s="161"/>
      <c r="F368" s="511"/>
      <c r="G368" s="161"/>
      <c r="H368" s="161"/>
      <c r="I368" s="161"/>
      <c r="J368" s="161"/>
      <c r="K368" s="161"/>
      <c r="L368" s="161"/>
      <c r="M368" s="161"/>
      <c r="N368" s="161"/>
      <c r="O368" s="161"/>
      <c r="P368" s="161"/>
      <c r="Q368" s="161"/>
      <c r="R368" s="161"/>
      <c r="S368" s="161"/>
      <c r="T368" s="161"/>
      <c r="U368" s="161"/>
      <c r="V368" s="161"/>
      <c r="W368" s="161"/>
      <c r="X368" s="161"/>
      <c r="Y368" s="161"/>
      <c r="Z368" s="161"/>
    </row>
    <row r="369">
      <c r="A369" s="18"/>
      <c r="B369" s="18"/>
      <c r="C369" s="18"/>
      <c r="D369" s="161"/>
      <c r="E369" s="161"/>
      <c r="F369" s="511"/>
      <c r="G369" s="161"/>
      <c r="H369" s="161"/>
      <c r="I369" s="161"/>
      <c r="J369" s="161"/>
      <c r="K369" s="161"/>
      <c r="L369" s="161"/>
      <c r="M369" s="161"/>
      <c r="N369" s="161"/>
      <c r="O369" s="161"/>
      <c r="P369" s="161"/>
      <c r="Q369" s="161"/>
      <c r="R369" s="161"/>
      <c r="S369" s="161"/>
      <c r="T369" s="161"/>
      <c r="U369" s="161"/>
      <c r="V369" s="161"/>
      <c r="W369" s="161"/>
      <c r="X369" s="161"/>
      <c r="Y369" s="161"/>
      <c r="Z369" s="161"/>
    </row>
    <row r="370">
      <c r="A370" s="18"/>
      <c r="B370" s="18"/>
      <c r="C370" s="18"/>
      <c r="D370" s="161"/>
      <c r="E370" s="161"/>
      <c r="F370" s="511"/>
      <c r="G370" s="161"/>
      <c r="H370" s="161"/>
      <c r="I370" s="161"/>
      <c r="J370" s="161"/>
      <c r="K370" s="161"/>
      <c r="L370" s="161"/>
      <c r="M370" s="161"/>
      <c r="N370" s="161"/>
      <c r="O370" s="161"/>
      <c r="P370" s="161"/>
      <c r="Q370" s="161"/>
      <c r="R370" s="161"/>
      <c r="S370" s="161"/>
      <c r="T370" s="161"/>
      <c r="U370" s="161"/>
      <c r="V370" s="161"/>
      <c r="W370" s="161"/>
      <c r="X370" s="161"/>
      <c r="Y370" s="161"/>
      <c r="Z370" s="161"/>
    </row>
    <row r="371">
      <c r="A371" s="18"/>
      <c r="B371" s="18"/>
      <c r="C371" s="18"/>
      <c r="D371" s="161"/>
      <c r="E371" s="161"/>
      <c r="F371" s="511"/>
      <c r="G371" s="161"/>
      <c r="H371" s="161"/>
      <c r="I371" s="161"/>
      <c r="J371" s="161"/>
      <c r="K371" s="161"/>
      <c r="L371" s="161"/>
      <c r="M371" s="161"/>
      <c r="N371" s="161"/>
      <c r="O371" s="161"/>
      <c r="P371" s="161"/>
      <c r="Q371" s="161"/>
      <c r="R371" s="161"/>
      <c r="S371" s="161"/>
      <c r="T371" s="161"/>
      <c r="U371" s="161"/>
      <c r="V371" s="161"/>
      <c r="W371" s="161"/>
      <c r="X371" s="161"/>
      <c r="Y371" s="161"/>
      <c r="Z371" s="161"/>
    </row>
    <row r="372">
      <c r="A372" s="18"/>
      <c r="B372" s="18"/>
      <c r="C372" s="18"/>
      <c r="D372" s="161"/>
      <c r="E372" s="161"/>
      <c r="F372" s="511"/>
      <c r="G372" s="161"/>
      <c r="H372" s="161"/>
      <c r="I372" s="161"/>
      <c r="J372" s="161"/>
      <c r="K372" s="161"/>
      <c r="L372" s="161"/>
      <c r="M372" s="161"/>
      <c r="N372" s="161"/>
      <c r="O372" s="161"/>
      <c r="P372" s="161"/>
      <c r="Q372" s="161"/>
      <c r="R372" s="161"/>
      <c r="S372" s="161"/>
      <c r="T372" s="161"/>
      <c r="U372" s="161"/>
      <c r="V372" s="161"/>
      <c r="W372" s="161"/>
      <c r="X372" s="161"/>
      <c r="Y372" s="161"/>
      <c r="Z372" s="161"/>
    </row>
    <row r="373">
      <c r="A373" s="18"/>
      <c r="B373" s="18"/>
      <c r="C373" s="18"/>
      <c r="D373" s="161"/>
      <c r="E373" s="161"/>
      <c r="F373" s="511"/>
      <c r="G373" s="161"/>
      <c r="H373" s="161"/>
      <c r="I373" s="161"/>
      <c r="J373" s="161"/>
      <c r="K373" s="161"/>
      <c r="L373" s="161"/>
      <c r="M373" s="161"/>
      <c r="N373" s="161"/>
      <c r="O373" s="161"/>
      <c r="P373" s="161"/>
      <c r="Q373" s="161"/>
      <c r="R373" s="161"/>
      <c r="S373" s="161"/>
      <c r="T373" s="161"/>
      <c r="U373" s="161"/>
      <c r="V373" s="161"/>
      <c r="W373" s="161"/>
      <c r="X373" s="161"/>
      <c r="Y373" s="161"/>
      <c r="Z373" s="161"/>
    </row>
    <row r="374">
      <c r="A374" s="18"/>
      <c r="B374" s="18"/>
      <c r="C374" s="18"/>
      <c r="D374" s="161"/>
      <c r="E374" s="161"/>
      <c r="F374" s="511"/>
      <c r="G374" s="161"/>
      <c r="H374" s="161"/>
      <c r="I374" s="161"/>
      <c r="J374" s="161"/>
      <c r="K374" s="161"/>
      <c r="L374" s="161"/>
      <c r="M374" s="161"/>
      <c r="N374" s="161"/>
      <c r="O374" s="161"/>
      <c r="P374" s="161"/>
      <c r="Q374" s="161"/>
      <c r="R374" s="161"/>
      <c r="S374" s="161"/>
      <c r="T374" s="161"/>
      <c r="U374" s="161"/>
      <c r="V374" s="161"/>
      <c r="W374" s="161"/>
      <c r="X374" s="161"/>
      <c r="Y374" s="161"/>
      <c r="Z374" s="161"/>
    </row>
    <row r="375">
      <c r="A375" s="18"/>
      <c r="B375" s="18"/>
      <c r="C375" s="18"/>
      <c r="D375" s="161"/>
      <c r="E375" s="161"/>
      <c r="F375" s="511"/>
      <c r="G375" s="161"/>
      <c r="H375" s="161"/>
      <c r="I375" s="161"/>
      <c r="J375" s="161"/>
      <c r="K375" s="161"/>
      <c r="L375" s="161"/>
      <c r="M375" s="161"/>
      <c r="N375" s="161"/>
      <c r="O375" s="161"/>
      <c r="P375" s="161"/>
      <c r="Q375" s="161"/>
      <c r="R375" s="161"/>
      <c r="S375" s="161"/>
      <c r="T375" s="161"/>
      <c r="U375" s="161"/>
      <c r="V375" s="161"/>
      <c r="W375" s="161"/>
      <c r="X375" s="161"/>
      <c r="Y375" s="161"/>
      <c r="Z375" s="161"/>
    </row>
    <row r="376">
      <c r="A376" s="18"/>
      <c r="B376" s="18"/>
      <c r="C376" s="18"/>
      <c r="D376" s="161"/>
      <c r="E376" s="161"/>
      <c r="F376" s="511"/>
      <c r="G376" s="161"/>
      <c r="H376" s="161"/>
      <c r="I376" s="161"/>
      <c r="J376" s="161"/>
      <c r="K376" s="161"/>
      <c r="L376" s="161"/>
      <c r="M376" s="161"/>
      <c r="N376" s="161"/>
      <c r="O376" s="161"/>
      <c r="P376" s="161"/>
      <c r="Q376" s="161"/>
      <c r="R376" s="161"/>
      <c r="S376" s="161"/>
      <c r="T376" s="161"/>
      <c r="U376" s="161"/>
      <c r="V376" s="161"/>
      <c r="W376" s="161"/>
      <c r="X376" s="161"/>
      <c r="Y376" s="161"/>
      <c r="Z376" s="161"/>
    </row>
    <row r="377">
      <c r="A377" s="18"/>
      <c r="B377" s="18"/>
      <c r="C377" s="18"/>
      <c r="D377" s="161"/>
      <c r="E377" s="161"/>
      <c r="F377" s="511"/>
      <c r="G377" s="161"/>
      <c r="H377" s="161"/>
      <c r="I377" s="161"/>
      <c r="J377" s="161"/>
      <c r="K377" s="161"/>
      <c r="L377" s="161"/>
      <c r="M377" s="161"/>
      <c r="N377" s="161"/>
      <c r="O377" s="161"/>
      <c r="P377" s="161"/>
      <c r="Q377" s="161"/>
      <c r="R377" s="161"/>
      <c r="S377" s="161"/>
      <c r="T377" s="161"/>
      <c r="U377" s="161"/>
      <c r="V377" s="161"/>
      <c r="W377" s="161"/>
      <c r="X377" s="161"/>
      <c r="Y377" s="161"/>
      <c r="Z377" s="161"/>
    </row>
    <row r="378">
      <c r="A378" s="18"/>
      <c r="B378" s="18"/>
      <c r="C378" s="18"/>
      <c r="D378" s="161"/>
      <c r="E378" s="161"/>
      <c r="F378" s="511"/>
      <c r="G378" s="161"/>
      <c r="H378" s="161"/>
      <c r="I378" s="161"/>
      <c r="J378" s="161"/>
      <c r="K378" s="161"/>
      <c r="L378" s="161"/>
      <c r="M378" s="161"/>
      <c r="N378" s="161"/>
      <c r="O378" s="161"/>
      <c r="P378" s="161"/>
      <c r="Q378" s="161"/>
      <c r="R378" s="161"/>
      <c r="S378" s="161"/>
      <c r="T378" s="161"/>
      <c r="U378" s="161"/>
      <c r="V378" s="161"/>
      <c r="W378" s="161"/>
      <c r="X378" s="161"/>
      <c r="Y378" s="161"/>
      <c r="Z378" s="161"/>
    </row>
    <row r="379">
      <c r="A379" s="18"/>
      <c r="B379" s="18"/>
      <c r="C379" s="18"/>
      <c r="D379" s="161"/>
      <c r="E379" s="161"/>
      <c r="F379" s="511"/>
      <c r="G379" s="161"/>
      <c r="H379" s="161"/>
      <c r="I379" s="161"/>
      <c r="J379" s="161"/>
      <c r="K379" s="161"/>
      <c r="L379" s="161"/>
      <c r="M379" s="161"/>
      <c r="N379" s="161"/>
      <c r="O379" s="161"/>
      <c r="P379" s="161"/>
      <c r="Q379" s="161"/>
      <c r="R379" s="161"/>
      <c r="S379" s="161"/>
      <c r="T379" s="161"/>
      <c r="U379" s="161"/>
      <c r="V379" s="161"/>
      <c r="W379" s="161"/>
      <c r="X379" s="161"/>
      <c r="Y379" s="161"/>
      <c r="Z379" s="161"/>
    </row>
    <row r="380">
      <c r="A380" s="18"/>
      <c r="B380" s="18"/>
      <c r="C380" s="18"/>
      <c r="D380" s="161"/>
      <c r="E380" s="161"/>
      <c r="F380" s="511"/>
      <c r="G380" s="161"/>
      <c r="H380" s="161"/>
      <c r="I380" s="161"/>
      <c r="J380" s="161"/>
      <c r="K380" s="161"/>
      <c r="L380" s="161"/>
      <c r="M380" s="161"/>
      <c r="N380" s="161"/>
      <c r="O380" s="161"/>
      <c r="P380" s="161"/>
      <c r="Q380" s="161"/>
      <c r="R380" s="161"/>
      <c r="S380" s="161"/>
      <c r="T380" s="161"/>
      <c r="U380" s="161"/>
      <c r="V380" s="161"/>
      <c r="W380" s="161"/>
      <c r="X380" s="161"/>
      <c r="Y380" s="161"/>
      <c r="Z380" s="161"/>
    </row>
    <row r="381">
      <c r="A381" s="18"/>
      <c r="B381" s="18"/>
      <c r="C381" s="18"/>
      <c r="D381" s="161"/>
      <c r="E381" s="161"/>
      <c r="F381" s="511"/>
      <c r="G381" s="161"/>
      <c r="H381" s="161"/>
      <c r="I381" s="161"/>
      <c r="J381" s="161"/>
      <c r="K381" s="161"/>
      <c r="L381" s="161"/>
      <c r="M381" s="161"/>
      <c r="N381" s="161"/>
      <c r="O381" s="161"/>
      <c r="P381" s="161"/>
      <c r="Q381" s="161"/>
      <c r="R381" s="161"/>
      <c r="S381" s="161"/>
      <c r="T381" s="161"/>
      <c r="U381" s="161"/>
      <c r="V381" s="161"/>
      <c r="W381" s="161"/>
      <c r="X381" s="161"/>
      <c r="Y381" s="161"/>
      <c r="Z381" s="161"/>
    </row>
    <row r="382">
      <c r="A382" s="18"/>
      <c r="B382" s="18"/>
      <c r="C382" s="18"/>
      <c r="D382" s="161"/>
      <c r="E382" s="161"/>
      <c r="F382" s="511"/>
      <c r="G382" s="161"/>
      <c r="H382" s="161"/>
      <c r="I382" s="161"/>
      <c r="J382" s="161"/>
      <c r="K382" s="161"/>
      <c r="L382" s="161"/>
      <c r="M382" s="161"/>
      <c r="N382" s="161"/>
      <c r="O382" s="161"/>
      <c r="P382" s="161"/>
      <c r="Q382" s="161"/>
      <c r="R382" s="161"/>
      <c r="S382" s="161"/>
      <c r="T382" s="161"/>
      <c r="U382" s="161"/>
      <c r="V382" s="161"/>
      <c r="W382" s="161"/>
      <c r="X382" s="161"/>
      <c r="Y382" s="161"/>
      <c r="Z382" s="161"/>
    </row>
    <row r="383">
      <c r="A383" s="18"/>
      <c r="B383" s="18"/>
      <c r="C383" s="18"/>
      <c r="D383" s="161"/>
      <c r="E383" s="161"/>
      <c r="F383" s="511"/>
      <c r="G383" s="161"/>
      <c r="H383" s="161"/>
      <c r="I383" s="161"/>
      <c r="J383" s="161"/>
      <c r="K383" s="161"/>
      <c r="L383" s="161"/>
      <c r="M383" s="161"/>
      <c r="N383" s="161"/>
      <c r="O383" s="161"/>
      <c r="P383" s="161"/>
      <c r="Q383" s="161"/>
      <c r="R383" s="161"/>
      <c r="S383" s="161"/>
      <c r="T383" s="161"/>
      <c r="U383" s="161"/>
      <c r="V383" s="161"/>
      <c r="W383" s="161"/>
      <c r="X383" s="161"/>
      <c r="Y383" s="161"/>
      <c r="Z383" s="161"/>
    </row>
    <row r="384">
      <c r="A384" s="18"/>
      <c r="B384" s="18"/>
      <c r="C384" s="18"/>
      <c r="D384" s="161"/>
      <c r="E384" s="161"/>
      <c r="F384" s="511"/>
      <c r="G384" s="161"/>
      <c r="H384" s="161"/>
      <c r="I384" s="161"/>
      <c r="J384" s="161"/>
      <c r="K384" s="161"/>
      <c r="L384" s="161"/>
      <c r="M384" s="161"/>
      <c r="N384" s="161"/>
      <c r="O384" s="161"/>
      <c r="P384" s="161"/>
      <c r="Q384" s="161"/>
      <c r="R384" s="161"/>
      <c r="S384" s="161"/>
      <c r="T384" s="161"/>
      <c r="U384" s="161"/>
      <c r="V384" s="161"/>
      <c r="W384" s="161"/>
      <c r="X384" s="161"/>
      <c r="Y384" s="161"/>
      <c r="Z384" s="161"/>
    </row>
    <row r="385">
      <c r="A385" s="18"/>
      <c r="B385" s="18"/>
      <c r="C385" s="18"/>
      <c r="D385" s="161"/>
      <c r="E385" s="161"/>
      <c r="F385" s="511"/>
      <c r="G385" s="161"/>
      <c r="H385" s="161"/>
      <c r="I385" s="161"/>
      <c r="J385" s="161"/>
      <c r="K385" s="161"/>
      <c r="L385" s="161"/>
      <c r="M385" s="161"/>
      <c r="N385" s="161"/>
      <c r="O385" s="161"/>
      <c r="P385" s="161"/>
      <c r="Q385" s="161"/>
      <c r="R385" s="161"/>
      <c r="S385" s="161"/>
      <c r="T385" s="161"/>
      <c r="U385" s="161"/>
      <c r="V385" s="161"/>
      <c r="W385" s="161"/>
      <c r="X385" s="161"/>
      <c r="Y385" s="161"/>
      <c r="Z385" s="161"/>
    </row>
    <row r="386">
      <c r="A386" s="18"/>
      <c r="B386" s="18"/>
      <c r="C386" s="18"/>
      <c r="D386" s="161"/>
      <c r="E386" s="161"/>
      <c r="F386" s="511"/>
      <c r="G386" s="161"/>
      <c r="H386" s="161"/>
      <c r="I386" s="161"/>
      <c r="J386" s="161"/>
      <c r="K386" s="161"/>
      <c r="L386" s="161"/>
      <c r="M386" s="161"/>
      <c r="N386" s="161"/>
      <c r="O386" s="161"/>
      <c r="P386" s="161"/>
      <c r="Q386" s="161"/>
      <c r="R386" s="161"/>
      <c r="S386" s="161"/>
      <c r="T386" s="161"/>
      <c r="U386" s="161"/>
      <c r="V386" s="161"/>
      <c r="W386" s="161"/>
      <c r="X386" s="161"/>
      <c r="Y386" s="161"/>
      <c r="Z386" s="161"/>
    </row>
    <row r="387">
      <c r="A387" s="18"/>
      <c r="B387" s="18"/>
      <c r="C387" s="18"/>
      <c r="D387" s="161"/>
      <c r="E387" s="161"/>
      <c r="F387" s="511"/>
      <c r="G387" s="161"/>
      <c r="H387" s="161"/>
      <c r="I387" s="161"/>
      <c r="J387" s="161"/>
      <c r="K387" s="161"/>
      <c r="L387" s="161"/>
      <c r="M387" s="161"/>
      <c r="N387" s="161"/>
      <c r="O387" s="161"/>
      <c r="P387" s="161"/>
      <c r="Q387" s="161"/>
      <c r="R387" s="161"/>
      <c r="S387" s="161"/>
      <c r="T387" s="161"/>
      <c r="U387" s="161"/>
      <c r="V387" s="161"/>
      <c r="W387" s="161"/>
      <c r="X387" s="161"/>
      <c r="Y387" s="161"/>
      <c r="Z387" s="161"/>
    </row>
    <row r="388">
      <c r="A388" s="18"/>
      <c r="B388" s="18"/>
      <c r="C388" s="18"/>
      <c r="D388" s="161"/>
      <c r="E388" s="161"/>
      <c r="F388" s="511"/>
      <c r="G388" s="161"/>
      <c r="H388" s="161"/>
      <c r="I388" s="161"/>
      <c r="J388" s="161"/>
      <c r="K388" s="161"/>
      <c r="L388" s="161"/>
      <c r="M388" s="161"/>
      <c r="N388" s="161"/>
      <c r="O388" s="161"/>
      <c r="P388" s="161"/>
      <c r="Q388" s="161"/>
      <c r="R388" s="161"/>
      <c r="S388" s="161"/>
      <c r="T388" s="161"/>
      <c r="U388" s="161"/>
      <c r="V388" s="161"/>
      <c r="W388" s="161"/>
      <c r="X388" s="161"/>
      <c r="Y388" s="161"/>
      <c r="Z388" s="161"/>
    </row>
    <row r="389">
      <c r="A389" s="18"/>
      <c r="B389" s="18"/>
      <c r="C389" s="18"/>
      <c r="D389" s="161"/>
      <c r="E389" s="161"/>
      <c r="F389" s="511"/>
      <c r="G389" s="161"/>
      <c r="H389" s="161"/>
      <c r="I389" s="161"/>
      <c r="J389" s="161"/>
      <c r="K389" s="161"/>
      <c r="L389" s="161"/>
      <c r="M389" s="161"/>
      <c r="N389" s="161"/>
      <c r="O389" s="161"/>
      <c r="P389" s="161"/>
      <c r="Q389" s="161"/>
      <c r="R389" s="161"/>
      <c r="S389" s="161"/>
      <c r="T389" s="161"/>
      <c r="U389" s="161"/>
      <c r="V389" s="161"/>
      <c r="W389" s="161"/>
      <c r="X389" s="161"/>
      <c r="Y389" s="161"/>
      <c r="Z389" s="161"/>
    </row>
    <row r="390">
      <c r="A390" s="18"/>
      <c r="B390" s="18"/>
      <c r="C390" s="18"/>
      <c r="D390" s="161"/>
      <c r="E390" s="161"/>
      <c r="F390" s="511"/>
      <c r="G390" s="161"/>
      <c r="H390" s="161"/>
      <c r="I390" s="161"/>
      <c r="J390" s="161"/>
      <c r="K390" s="161"/>
      <c r="L390" s="161"/>
      <c r="M390" s="161"/>
      <c r="N390" s="161"/>
      <c r="O390" s="161"/>
      <c r="P390" s="161"/>
      <c r="Q390" s="161"/>
      <c r="R390" s="161"/>
      <c r="S390" s="161"/>
      <c r="T390" s="161"/>
      <c r="U390" s="161"/>
      <c r="V390" s="161"/>
      <c r="W390" s="161"/>
      <c r="X390" s="161"/>
      <c r="Y390" s="161"/>
      <c r="Z390" s="161"/>
    </row>
    <row r="391">
      <c r="A391" s="18"/>
      <c r="B391" s="18"/>
      <c r="C391" s="18"/>
      <c r="D391" s="161"/>
      <c r="E391" s="161"/>
      <c r="F391" s="511"/>
      <c r="G391" s="161"/>
      <c r="H391" s="161"/>
      <c r="I391" s="161"/>
      <c r="J391" s="161"/>
      <c r="K391" s="161"/>
      <c r="L391" s="161"/>
      <c r="M391" s="161"/>
      <c r="N391" s="161"/>
      <c r="O391" s="161"/>
      <c r="P391" s="161"/>
      <c r="Q391" s="161"/>
      <c r="R391" s="161"/>
      <c r="S391" s="161"/>
      <c r="T391" s="161"/>
      <c r="U391" s="161"/>
      <c r="V391" s="161"/>
      <c r="W391" s="161"/>
      <c r="X391" s="161"/>
      <c r="Y391" s="161"/>
      <c r="Z391" s="161"/>
    </row>
    <row r="392">
      <c r="A392" s="18"/>
      <c r="B392" s="18"/>
      <c r="C392" s="18"/>
      <c r="D392" s="161"/>
      <c r="E392" s="161"/>
      <c r="F392" s="511"/>
      <c r="G392" s="161"/>
      <c r="H392" s="161"/>
      <c r="I392" s="161"/>
      <c r="J392" s="161"/>
      <c r="K392" s="161"/>
      <c r="L392" s="161"/>
      <c r="M392" s="161"/>
      <c r="N392" s="161"/>
      <c r="O392" s="161"/>
      <c r="P392" s="161"/>
      <c r="Q392" s="161"/>
      <c r="R392" s="161"/>
      <c r="S392" s="161"/>
      <c r="T392" s="161"/>
      <c r="U392" s="161"/>
      <c r="V392" s="161"/>
      <c r="W392" s="161"/>
      <c r="X392" s="161"/>
      <c r="Y392" s="161"/>
      <c r="Z392" s="161"/>
    </row>
    <row r="393">
      <c r="A393" s="18"/>
      <c r="B393" s="18"/>
      <c r="C393" s="18"/>
      <c r="D393" s="161"/>
      <c r="E393" s="161"/>
      <c r="F393" s="511"/>
      <c r="G393" s="161"/>
      <c r="H393" s="161"/>
      <c r="I393" s="161"/>
      <c r="J393" s="161"/>
      <c r="K393" s="161"/>
      <c r="L393" s="161"/>
      <c r="M393" s="161"/>
      <c r="N393" s="161"/>
      <c r="O393" s="161"/>
      <c r="P393" s="161"/>
      <c r="Q393" s="161"/>
      <c r="R393" s="161"/>
      <c r="S393" s="161"/>
      <c r="T393" s="161"/>
      <c r="U393" s="161"/>
      <c r="V393" s="161"/>
      <c r="W393" s="161"/>
      <c r="X393" s="161"/>
      <c r="Y393" s="161"/>
      <c r="Z393" s="161"/>
    </row>
    <row r="394">
      <c r="A394" s="18"/>
      <c r="B394" s="18"/>
      <c r="C394" s="18"/>
      <c r="D394" s="161"/>
      <c r="E394" s="161"/>
      <c r="F394" s="511"/>
      <c r="G394" s="161"/>
      <c r="H394" s="161"/>
      <c r="I394" s="161"/>
      <c r="J394" s="161"/>
      <c r="K394" s="161"/>
      <c r="L394" s="161"/>
      <c r="M394" s="161"/>
      <c r="N394" s="161"/>
      <c r="O394" s="161"/>
      <c r="P394" s="161"/>
      <c r="Q394" s="161"/>
      <c r="R394" s="161"/>
      <c r="S394" s="161"/>
      <c r="T394" s="161"/>
      <c r="U394" s="161"/>
      <c r="V394" s="161"/>
      <c r="W394" s="161"/>
      <c r="X394" s="161"/>
      <c r="Y394" s="161"/>
      <c r="Z394" s="161"/>
    </row>
    <row r="395">
      <c r="A395" s="18"/>
      <c r="B395" s="18"/>
      <c r="C395" s="18"/>
      <c r="D395" s="161"/>
      <c r="E395" s="161"/>
      <c r="F395" s="511"/>
      <c r="G395" s="161"/>
      <c r="H395" s="161"/>
      <c r="I395" s="161"/>
      <c r="J395" s="161"/>
      <c r="K395" s="161"/>
      <c r="L395" s="161"/>
      <c r="M395" s="161"/>
      <c r="N395" s="161"/>
      <c r="O395" s="161"/>
      <c r="P395" s="161"/>
      <c r="Q395" s="161"/>
      <c r="R395" s="161"/>
      <c r="S395" s="161"/>
      <c r="T395" s="161"/>
      <c r="U395" s="161"/>
      <c r="V395" s="161"/>
      <c r="W395" s="161"/>
      <c r="X395" s="161"/>
      <c r="Y395" s="161"/>
      <c r="Z395" s="161"/>
    </row>
    <row r="396">
      <c r="A396" s="18"/>
      <c r="B396" s="18"/>
      <c r="C396" s="18"/>
      <c r="D396" s="161"/>
      <c r="E396" s="161"/>
      <c r="F396" s="511"/>
      <c r="G396" s="161"/>
      <c r="H396" s="161"/>
      <c r="I396" s="161"/>
      <c r="J396" s="161"/>
      <c r="K396" s="161"/>
      <c r="L396" s="161"/>
      <c r="M396" s="161"/>
      <c r="N396" s="161"/>
      <c r="O396" s="161"/>
      <c r="P396" s="161"/>
      <c r="Q396" s="161"/>
      <c r="R396" s="161"/>
      <c r="S396" s="161"/>
      <c r="T396" s="161"/>
      <c r="U396" s="161"/>
      <c r="V396" s="161"/>
      <c r="W396" s="161"/>
      <c r="X396" s="161"/>
      <c r="Y396" s="161"/>
      <c r="Z396" s="161"/>
    </row>
    <row r="397">
      <c r="A397" s="18"/>
      <c r="B397" s="18"/>
      <c r="C397" s="18"/>
      <c r="D397" s="161"/>
      <c r="E397" s="161"/>
      <c r="F397" s="511"/>
      <c r="G397" s="161"/>
      <c r="H397" s="161"/>
      <c r="I397" s="161"/>
      <c r="J397" s="161"/>
      <c r="K397" s="161"/>
      <c r="L397" s="161"/>
      <c r="M397" s="161"/>
      <c r="N397" s="161"/>
      <c r="O397" s="161"/>
      <c r="P397" s="161"/>
      <c r="Q397" s="161"/>
      <c r="R397" s="161"/>
      <c r="S397" s="161"/>
      <c r="T397" s="161"/>
      <c r="U397" s="161"/>
      <c r="V397" s="161"/>
      <c r="W397" s="161"/>
      <c r="X397" s="161"/>
      <c r="Y397" s="161"/>
      <c r="Z397" s="161"/>
    </row>
    <row r="398">
      <c r="A398" s="18"/>
      <c r="B398" s="18"/>
      <c r="C398" s="18"/>
      <c r="D398" s="161"/>
      <c r="E398" s="161"/>
      <c r="F398" s="511"/>
      <c r="G398" s="161"/>
      <c r="H398" s="161"/>
      <c r="I398" s="161"/>
      <c r="J398" s="161"/>
      <c r="K398" s="161"/>
      <c r="L398" s="161"/>
      <c r="M398" s="161"/>
      <c r="N398" s="161"/>
      <c r="O398" s="161"/>
      <c r="P398" s="161"/>
      <c r="Q398" s="161"/>
      <c r="R398" s="161"/>
      <c r="S398" s="161"/>
      <c r="T398" s="161"/>
      <c r="U398" s="161"/>
      <c r="V398" s="161"/>
      <c r="W398" s="161"/>
      <c r="X398" s="161"/>
      <c r="Y398" s="161"/>
      <c r="Z398" s="161"/>
    </row>
    <row r="399">
      <c r="A399" s="18"/>
      <c r="B399" s="18"/>
      <c r="C399" s="18"/>
      <c r="D399" s="161"/>
      <c r="E399" s="161"/>
      <c r="F399" s="511"/>
      <c r="G399" s="161"/>
      <c r="H399" s="161"/>
      <c r="I399" s="161"/>
      <c r="J399" s="161"/>
      <c r="K399" s="161"/>
      <c r="L399" s="161"/>
      <c r="M399" s="161"/>
      <c r="N399" s="161"/>
      <c r="O399" s="161"/>
      <c r="P399" s="161"/>
      <c r="Q399" s="161"/>
      <c r="R399" s="161"/>
      <c r="S399" s="161"/>
      <c r="T399" s="161"/>
      <c r="U399" s="161"/>
      <c r="V399" s="161"/>
      <c r="W399" s="161"/>
      <c r="X399" s="161"/>
      <c r="Y399" s="161"/>
      <c r="Z399" s="161"/>
    </row>
    <row r="400">
      <c r="A400" s="18"/>
      <c r="B400" s="18"/>
      <c r="C400" s="18"/>
      <c r="D400" s="161"/>
      <c r="E400" s="161"/>
      <c r="F400" s="511"/>
      <c r="G400" s="161"/>
      <c r="H400" s="161"/>
      <c r="I400" s="161"/>
      <c r="J400" s="161"/>
      <c r="K400" s="161"/>
      <c r="L400" s="161"/>
      <c r="M400" s="161"/>
      <c r="N400" s="161"/>
      <c r="O400" s="161"/>
      <c r="P400" s="161"/>
      <c r="Q400" s="161"/>
      <c r="R400" s="161"/>
      <c r="S400" s="161"/>
      <c r="T400" s="161"/>
      <c r="U400" s="161"/>
      <c r="V400" s="161"/>
      <c r="W400" s="161"/>
      <c r="X400" s="161"/>
      <c r="Y400" s="161"/>
      <c r="Z400" s="161"/>
    </row>
    <row r="401">
      <c r="A401" s="18"/>
      <c r="B401" s="18"/>
      <c r="C401" s="18"/>
      <c r="D401" s="161"/>
      <c r="E401" s="161"/>
      <c r="F401" s="511"/>
      <c r="G401" s="161"/>
      <c r="H401" s="161"/>
      <c r="I401" s="161"/>
      <c r="J401" s="161"/>
      <c r="K401" s="161"/>
      <c r="L401" s="161"/>
      <c r="M401" s="161"/>
      <c r="N401" s="161"/>
      <c r="O401" s="161"/>
      <c r="P401" s="161"/>
      <c r="Q401" s="161"/>
      <c r="R401" s="161"/>
      <c r="S401" s="161"/>
      <c r="T401" s="161"/>
      <c r="U401" s="161"/>
      <c r="V401" s="161"/>
      <c r="W401" s="161"/>
      <c r="X401" s="161"/>
      <c r="Y401" s="161"/>
      <c r="Z401" s="161"/>
    </row>
    <row r="402">
      <c r="A402" s="18"/>
      <c r="B402" s="18"/>
      <c r="C402" s="18"/>
      <c r="D402" s="161"/>
      <c r="E402" s="161"/>
      <c r="F402" s="511"/>
      <c r="G402" s="161"/>
      <c r="H402" s="161"/>
      <c r="I402" s="161"/>
      <c r="J402" s="161"/>
      <c r="K402" s="161"/>
      <c r="L402" s="161"/>
      <c r="M402" s="161"/>
      <c r="N402" s="161"/>
      <c r="O402" s="161"/>
      <c r="P402" s="161"/>
      <c r="Q402" s="161"/>
      <c r="R402" s="161"/>
      <c r="S402" s="161"/>
      <c r="T402" s="161"/>
      <c r="U402" s="161"/>
      <c r="V402" s="161"/>
      <c r="W402" s="161"/>
      <c r="X402" s="161"/>
      <c r="Y402" s="161"/>
      <c r="Z402" s="161"/>
    </row>
    <row r="403">
      <c r="A403" s="18"/>
      <c r="B403" s="18"/>
      <c r="C403" s="18"/>
      <c r="D403" s="161"/>
      <c r="E403" s="161"/>
      <c r="F403" s="511"/>
      <c r="G403" s="161"/>
      <c r="H403" s="161"/>
      <c r="I403" s="161"/>
      <c r="J403" s="161"/>
      <c r="K403" s="161"/>
      <c r="L403" s="161"/>
      <c r="M403" s="161"/>
      <c r="N403" s="161"/>
      <c r="O403" s="161"/>
      <c r="P403" s="161"/>
      <c r="Q403" s="161"/>
      <c r="R403" s="161"/>
      <c r="S403" s="161"/>
      <c r="T403" s="161"/>
      <c r="U403" s="161"/>
      <c r="V403" s="161"/>
      <c r="W403" s="161"/>
      <c r="X403" s="161"/>
      <c r="Y403" s="161"/>
      <c r="Z403" s="161"/>
    </row>
    <row r="404">
      <c r="A404" s="18"/>
      <c r="B404" s="18"/>
      <c r="C404" s="18"/>
      <c r="D404" s="161"/>
      <c r="E404" s="161"/>
      <c r="F404" s="511"/>
      <c r="G404" s="161"/>
      <c r="H404" s="161"/>
      <c r="I404" s="161"/>
      <c r="J404" s="161"/>
      <c r="K404" s="161"/>
      <c r="L404" s="161"/>
      <c r="M404" s="161"/>
      <c r="N404" s="161"/>
      <c r="O404" s="161"/>
      <c r="P404" s="161"/>
      <c r="Q404" s="161"/>
      <c r="R404" s="161"/>
      <c r="S404" s="161"/>
      <c r="T404" s="161"/>
      <c r="U404" s="161"/>
      <c r="V404" s="161"/>
      <c r="W404" s="161"/>
      <c r="X404" s="161"/>
      <c r="Y404" s="161"/>
      <c r="Z404" s="161"/>
    </row>
    <row r="405">
      <c r="A405" s="18"/>
      <c r="B405" s="18"/>
      <c r="C405" s="18"/>
      <c r="D405" s="161"/>
      <c r="E405" s="161"/>
      <c r="F405" s="511"/>
      <c r="G405" s="161"/>
      <c r="H405" s="161"/>
      <c r="I405" s="161"/>
      <c r="J405" s="161"/>
      <c r="K405" s="161"/>
      <c r="L405" s="161"/>
      <c r="M405" s="161"/>
      <c r="N405" s="161"/>
      <c r="O405" s="161"/>
      <c r="P405" s="161"/>
      <c r="Q405" s="161"/>
      <c r="R405" s="161"/>
      <c r="S405" s="161"/>
      <c r="T405" s="161"/>
      <c r="U405" s="161"/>
      <c r="V405" s="161"/>
      <c r="W405" s="161"/>
      <c r="X405" s="161"/>
      <c r="Y405" s="161"/>
      <c r="Z405" s="161"/>
    </row>
    <row r="406">
      <c r="A406" s="18"/>
      <c r="B406" s="18"/>
      <c r="C406" s="18"/>
      <c r="D406" s="161"/>
      <c r="E406" s="161"/>
      <c r="F406" s="511"/>
      <c r="G406" s="161"/>
      <c r="H406" s="161"/>
      <c r="I406" s="161"/>
      <c r="J406" s="161"/>
      <c r="K406" s="161"/>
      <c r="L406" s="161"/>
      <c r="M406" s="161"/>
      <c r="N406" s="161"/>
      <c r="O406" s="161"/>
      <c r="P406" s="161"/>
      <c r="Q406" s="161"/>
      <c r="R406" s="161"/>
      <c r="S406" s="161"/>
      <c r="T406" s="161"/>
      <c r="U406" s="161"/>
      <c r="V406" s="161"/>
      <c r="W406" s="161"/>
      <c r="X406" s="161"/>
      <c r="Y406" s="161"/>
      <c r="Z406" s="161"/>
    </row>
    <row r="407">
      <c r="A407" s="18"/>
      <c r="B407" s="18"/>
      <c r="C407" s="18"/>
      <c r="D407" s="161"/>
      <c r="E407" s="161"/>
      <c r="F407" s="511"/>
      <c r="G407" s="161"/>
      <c r="H407" s="161"/>
      <c r="I407" s="161"/>
      <c r="J407" s="161"/>
      <c r="K407" s="161"/>
      <c r="L407" s="161"/>
      <c r="M407" s="161"/>
      <c r="N407" s="161"/>
      <c r="O407" s="161"/>
      <c r="P407" s="161"/>
      <c r="Q407" s="161"/>
      <c r="R407" s="161"/>
      <c r="S407" s="161"/>
      <c r="T407" s="161"/>
      <c r="U407" s="161"/>
      <c r="V407" s="161"/>
      <c r="W407" s="161"/>
      <c r="X407" s="161"/>
      <c r="Y407" s="161"/>
      <c r="Z407" s="161"/>
    </row>
    <row r="408">
      <c r="A408" s="18"/>
      <c r="B408" s="18"/>
      <c r="C408" s="18"/>
      <c r="D408" s="161"/>
      <c r="E408" s="161"/>
      <c r="F408" s="511"/>
      <c r="G408" s="161"/>
      <c r="H408" s="161"/>
      <c r="I408" s="161"/>
      <c r="J408" s="161"/>
      <c r="K408" s="161"/>
      <c r="L408" s="161"/>
      <c r="M408" s="161"/>
      <c r="N408" s="161"/>
      <c r="O408" s="161"/>
      <c r="P408" s="161"/>
      <c r="Q408" s="161"/>
      <c r="R408" s="161"/>
      <c r="S408" s="161"/>
      <c r="T408" s="161"/>
      <c r="U408" s="161"/>
      <c r="V408" s="161"/>
      <c r="W408" s="161"/>
      <c r="X408" s="161"/>
      <c r="Y408" s="161"/>
      <c r="Z408" s="161"/>
    </row>
    <row r="409">
      <c r="A409" s="18"/>
      <c r="B409" s="18"/>
      <c r="C409" s="18"/>
      <c r="D409" s="161"/>
      <c r="E409" s="161"/>
      <c r="F409" s="511"/>
      <c r="G409" s="161"/>
      <c r="H409" s="161"/>
      <c r="I409" s="161"/>
      <c r="J409" s="161"/>
      <c r="K409" s="161"/>
      <c r="L409" s="161"/>
      <c r="M409" s="161"/>
      <c r="N409" s="161"/>
      <c r="O409" s="161"/>
      <c r="P409" s="161"/>
      <c r="Q409" s="161"/>
      <c r="R409" s="161"/>
      <c r="S409" s="161"/>
      <c r="T409" s="161"/>
      <c r="U409" s="161"/>
      <c r="V409" s="161"/>
      <c r="W409" s="161"/>
      <c r="X409" s="161"/>
      <c r="Y409" s="161"/>
      <c r="Z409" s="161"/>
    </row>
    <row r="410">
      <c r="A410" s="18"/>
      <c r="B410" s="18"/>
      <c r="C410" s="18"/>
      <c r="D410" s="161"/>
      <c r="E410" s="161"/>
      <c r="F410" s="511"/>
      <c r="G410" s="161"/>
      <c r="H410" s="161"/>
      <c r="I410" s="161"/>
      <c r="J410" s="161"/>
      <c r="K410" s="161"/>
      <c r="L410" s="161"/>
      <c r="M410" s="161"/>
      <c r="N410" s="161"/>
      <c r="O410" s="161"/>
      <c r="P410" s="161"/>
      <c r="Q410" s="161"/>
      <c r="R410" s="161"/>
      <c r="S410" s="161"/>
      <c r="T410" s="161"/>
      <c r="U410" s="161"/>
      <c r="V410" s="161"/>
      <c r="W410" s="161"/>
      <c r="X410" s="161"/>
      <c r="Y410" s="161"/>
      <c r="Z410" s="161"/>
    </row>
    <row r="411">
      <c r="A411" s="18"/>
      <c r="B411" s="18"/>
      <c r="C411" s="18"/>
      <c r="D411" s="161"/>
      <c r="E411" s="161"/>
      <c r="F411" s="511"/>
      <c r="G411" s="161"/>
      <c r="H411" s="161"/>
      <c r="I411" s="161"/>
      <c r="J411" s="161"/>
      <c r="K411" s="161"/>
      <c r="L411" s="161"/>
      <c r="M411" s="161"/>
      <c r="N411" s="161"/>
      <c r="O411" s="161"/>
      <c r="P411" s="161"/>
      <c r="Q411" s="161"/>
      <c r="R411" s="161"/>
      <c r="S411" s="161"/>
      <c r="T411" s="161"/>
      <c r="U411" s="161"/>
      <c r="V411" s="161"/>
      <c r="W411" s="161"/>
      <c r="X411" s="161"/>
      <c r="Y411" s="161"/>
      <c r="Z411" s="161"/>
    </row>
    <row r="412">
      <c r="A412" s="18"/>
      <c r="B412" s="18"/>
      <c r="C412" s="18"/>
      <c r="D412" s="161"/>
      <c r="E412" s="161"/>
      <c r="F412" s="511"/>
      <c r="G412" s="161"/>
      <c r="H412" s="161"/>
      <c r="I412" s="161"/>
      <c r="J412" s="161"/>
      <c r="K412" s="161"/>
      <c r="L412" s="161"/>
      <c r="M412" s="161"/>
      <c r="N412" s="161"/>
      <c r="O412" s="161"/>
      <c r="P412" s="161"/>
      <c r="Q412" s="161"/>
      <c r="R412" s="161"/>
      <c r="S412" s="161"/>
      <c r="T412" s="161"/>
      <c r="U412" s="161"/>
      <c r="V412" s="161"/>
      <c r="W412" s="161"/>
      <c r="X412" s="161"/>
      <c r="Y412" s="161"/>
      <c r="Z412" s="161"/>
    </row>
    <row r="413">
      <c r="A413" s="18"/>
      <c r="B413" s="18"/>
      <c r="C413" s="18"/>
      <c r="D413" s="161"/>
      <c r="E413" s="161"/>
      <c r="F413" s="511"/>
      <c r="G413" s="161"/>
      <c r="H413" s="161"/>
      <c r="I413" s="161"/>
      <c r="J413" s="161"/>
      <c r="K413" s="161"/>
      <c r="L413" s="161"/>
      <c r="M413" s="161"/>
      <c r="N413" s="161"/>
      <c r="O413" s="161"/>
      <c r="P413" s="161"/>
      <c r="Q413" s="161"/>
      <c r="R413" s="161"/>
      <c r="S413" s="161"/>
      <c r="T413" s="161"/>
      <c r="U413" s="161"/>
      <c r="V413" s="161"/>
      <c r="W413" s="161"/>
      <c r="X413" s="161"/>
      <c r="Y413" s="161"/>
      <c r="Z413" s="161"/>
    </row>
    <row r="414">
      <c r="A414" s="18"/>
      <c r="B414" s="18"/>
      <c r="C414" s="18"/>
      <c r="D414" s="161"/>
      <c r="E414" s="161"/>
      <c r="F414" s="511"/>
      <c r="G414" s="161"/>
      <c r="H414" s="161"/>
      <c r="I414" s="161"/>
      <c r="J414" s="161"/>
      <c r="K414" s="161"/>
      <c r="L414" s="161"/>
      <c r="M414" s="161"/>
      <c r="N414" s="161"/>
      <c r="O414" s="161"/>
      <c r="P414" s="161"/>
      <c r="Q414" s="161"/>
      <c r="R414" s="161"/>
      <c r="S414" s="161"/>
      <c r="T414" s="161"/>
      <c r="U414" s="161"/>
      <c r="V414" s="161"/>
      <c r="W414" s="161"/>
      <c r="X414" s="161"/>
      <c r="Y414" s="161"/>
      <c r="Z414" s="161"/>
    </row>
    <row r="415">
      <c r="A415" s="18"/>
      <c r="B415" s="18"/>
      <c r="C415" s="18"/>
      <c r="D415" s="161"/>
      <c r="E415" s="161"/>
      <c r="F415" s="511"/>
      <c r="G415" s="161"/>
      <c r="H415" s="161"/>
      <c r="I415" s="161"/>
      <c r="J415" s="161"/>
      <c r="K415" s="161"/>
      <c r="L415" s="161"/>
      <c r="M415" s="161"/>
      <c r="N415" s="161"/>
      <c r="O415" s="161"/>
      <c r="P415" s="161"/>
      <c r="Q415" s="161"/>
      <c r="R415" s="161"/>
      <c r="S415" s="161"/>
      <c r="T415" s="161"/>
      <c r="U415" s="161"/>
      <c r="V415" s="161"/>
      <c r="W415" s="161"/>
      <c r="X415" s="161"/>
      <c r="Y415" s="161"/>
      <c r="Z415" s="161"/>
    </row>
    <row r="416">
      <c r="A416" s="18"/>
      <c r="B416" s="18"/>
      <c r="C416" s="18"/>
      <c r="D416" s="161"/>
      <c r="E416" s="161"/>
      <c r="F416" s="511"/>
      <c r="G416" s="161"/>
      <c r="H416" s="161"/>
      <c r="I416" s="161"/>
      <c r="J416" s="161"/>
      <c r="K416" s="161"/>
      <c r="L416" s="161"/>
      <c r="M416" s="161"/>
      <c r="N416" s="161"/>
      <c r="O416" s="161"/>
      <c r="P416" s="161"/>
      <c r="Q416" s="161"/>
      <c r="R416" s="161"/>
      <c r="S416" s="161"/>
      <c r="T416" s="161"/>
      <c r="U416" s="161"/>
      <c r="V416" s="161"/>
      <c r="W416" s="161"/>
      <c r="X416" s="161"/>
      <c r="Y416" s="161"/>
      <c r="Z416" s="161"/>
    </row>
    <row r="417">
      <c r="A417" s="18"/>
      <c r="B417" s="18"/>
      <c r="C417" s="18"/>
      <c r="D417" s="161"/>
      <c r="E417" s="161"/>
      <c r="F417" s="511"/>
      <c r="G417" s="161"/>
      <c r="H417" s="161"/>
      <c r="I417" s="161"/>
      <c r="J417" s="161"/>
      <c r="K417" s="161"/>
      <c r="L417" s="161"/>
      <c r="M417" s="161"/>
      <c r="N417" s="161"/>
      <c r="O417" s="161"/>
      <c r="P417" s="161"/>
      <c r="Q417" s="161"/>
      <c r="R417" s="161"/>
      <c r="S417" s="161"/>
      <c r="T417" s="161"/>
      <c r="U417" s="161"/>
      <c r="V417" s="161"/>
      <c r="W417" s="161"/>
      <c r="X417" s="161"/>
      <c r="Y417" s="161"/>
      <c r="Z417" s="161"/>
    </row>
    <row r="418">
      <c r="A418" s="18"/>
      <c r="B418" s="18"/>
      <c r="C418" s="18"/>
      <c r="D418" s="161"/>
      <c r="E418" s="161"/>
      <c r="F418" s="511"/>
      <c r="G418" s="161"/>
      <c r="H418" s="161"/>
      <c r="I418" s="161"/>
      <c r="J418" s="161"/>
      <c r="K418" s="161"/>
      <c r="L418" s="161"/>
      <c r="M418" s="161"/>
      <c r="N418" s="161"/>
      <c r="O418" s="161"/>
      <c r="P418" s="161"/>
      <c r="Q418" s="161"/>
      <c r="R418" s="161"/>
      <c r="S418" s="161"/>
      <c r="T418" s="161"/>
      <c r="U418" s="161"/>
      <c r="V418" s="161"/>
      <c r="W418" s="161"/>
      <c r="X418" s="161"/>
      <c r="Y418" s="161"/>
      <c r="Z418" s="161"/>
    </row>
    <row r="419">
      <c r="A419" s="18"/>
      <c r="B419" s="18"/>
      <c r="C419" s="18"/>
      <c r="D419" s="161"/>
      <c r="E419" s="161"/>
      <c r="F419" s="511"/>
      <c r="G419" s="161"/>
      <c r="H419" s="161"/>
      <c r="I419" s="161"/>
      <c r="J419" s="161"/>
      <c r="K419" s="161"/>
      <c r="L419" s="161"/>
      <c r="M419" s="161"/>
      <c r="N419" s="161"/>
      <c r="O419" s="161"/>
      <c r="P419" s="161"/>
      <c r="Q419" s="161"/>
      <c r="R419" s="161"/>
      <c r="S419" s="161"/>
      <c r="T419" s="161"/>
      <c r="U419" s="161"/>
      <c r="V419" s="161"/>
      <c r="W419" s="161"/>
      <c r="X419" s="161"/>
      <c r="Y419" s="161"/>
      <c r="Z419" s="161"/>
    </row>
    <row r="420">
      <c r="A420" s="18"/>
      <c r="B420" s="18"/>
      <c r="C420" s="18"/>
      <c r="D420" s="161"/>
      <c r="E420" s="161"/>
      <c r="F420" s="511"/>
      <c r="G420" s="161"/>
      <c r="H420" s="161"/>
      <c r="I420" s="161"/>
      <c r="J420" s="161"/>
      <c r="K420" s="161"/>
      <c r="L420" s="161"/>
      <c r="M420" s="161"/>
      <c r="N420" s="161"/>
      <c r="O420" s="161"/>
      <c r="P420" s="161"/>
      <c r="Q420" s="161"/>
      <c r="R420" s="161"/>
      <c r="S420" s="161"/>
      <c r="T420" s="161"/>
      <c r="U420" s="161"/>
      <c r="V420" s="161"/>
      <c r="W420" s="161"/>
      <c r="X420" s="161"/>
      <c r="Y420" s="161"/>
      <c r="Z420" s="161"/>
    </row>
    <row r="421">
      <c r="A421" s="18"/>
      <c r="B421" s="18"/>
      <c r="C421" s="18"/>
      <c r="D421" s="161"/>
      <c r="E421" s="161"/>
      <c r="F421" s="511"/>
      <c r="G421" s="161"/>
      <c r="H421" s="161"/>
      <c r="I421" s="161"/>
      <c r="J421" s="161"/>
      <c r="K421" s="161"/>
      <c r="L421" s="161"/>
      <c r="M421" s="161"/>
      <c r="N421" s="161"/>
      <c r="O421" s="161"/>
      <c r="P421" s="161"/>
      <c r="Q421" s="161"/>
      <c r="R421" s="161"/>
      <c r="S421" s="161"/>
      <c r="T421" s="161"/>
      <c r="U421" s="161"/>
      <c r="V421" s="161"/>
      <c r="W421" s="161"/>
      <c r="X421" s="161"/>
      <c r="Y421" s="161"/>
      <c r="Z421" s="161"/>
    </row>
    <row r="422">
      <c r="A422" s="18"/>
      <c r="B422" s="18"/>
      <c r="C422" s="18"/>
      <c r="D422" s="161"/>
      <c r="E422" s="161"/>
      <c r="F422" s="511"/>
      <c r="G422" s="161"/>
      <c r="H422" s="161"/>
      <c r="I422" s="161"/>
      <c r="J422" s="161"/>
      <c r="K422" s="161"/>
      <c r="L422" s="161"/>
      <c r="M422" s="161"/>
      <c r="N422" s="161"/>
      <c r="O422" s="161"/>
      <c r="P422" s="161"/>
      <c r="Q422" s="161"/>
      <c r="R422" s="161"/>
      <c r="S422" s="161"/>
      <c r="T422" s="161"/>
      <c r="U422" s="161"/>
      <c r="V422" s="161"/>
      <c r="W422" s="161"/>
      <c r="X422" s="161"/>
      <c r="Y422" s="161"/>
      <c r="Z422" s="161"/>
    </row>
    <row r="423">
      <c r="A423" s="18"/>
      <c r="B423" s="18"/>
      <c r="C423" s="18"/>
      <c r="D423" s="161"/>
      <c r="E423" s="161"/>
      <c r="F423" s="511"/>
      <c r="G423" s="161"/>
      <c r="H423" s="161"/>
      <c r="I423" s="161"/>
      <c r="J423" s="161"/>
      <c r="K423" s="161"/>
      <c r="L423" s="161"/>
      <c r="M423" s="161"/>
      <c r="N423" s="161"/>
      <c r="O423" s="161"/>
      <c r="P423" s="161"/>
      <c r="Q423" s="161"/>
      <c r="R423" s="161"/>
      <c r="S423" s="161"/>
      <c r="T423" s="161"/>
      <c r="U423" s="161"/>
      <c r="V423" s="161"/>
      <c r="W423" s="161"/>
      <c r="X423" s="161"/>
      <c r="Y423" s="161"/>
      <c r="Z423" s="161"/>
    </row>
    <row r="424">
      <c r="A424" s="18"/>
      <c r="B424" s="18"/>
      <c r="C424" s="18"/>
      <c r="D424" s="161"/>
      <c r="E424" s="161"/>
      <c r="F424" s="511"/>
      <c r="G424" s="161"/>
      <c r="H424" s="161"/>
      <c r="I424" s="161"/>
      <c r="J424" s="161"/>
      <c r="K424" s="161"/>
      <c r="L424" s="161"/>
      <c r="M424" s="161"/>
      <c r="N424" s="161"/>
      <c r="O424" s="161"/>
      <c r="P424" s="161"/>
      <c r="Q424" s="161"/>
      <c r="R424" s="161"/>
      <c r="S424" s="161"/>
      <c r="T424" s="161"/>
      <c r="U424" s="161"/>
      <c r="V424" s="161"/>
      <c r="W424" s="161"/>
      <c r="X424" s="161"/>
      <c r="Y424" s="161"/>
      <c r="Z424" s="161"/>
    </row>
    <row r="425">
      <c r="A425" s="18"/>
      <c r="B425" s="18"/>
      <c r="C425" s="18"/>
      <c r="D425" s="161"/>
      <c r="E425" s="161"/>
      <c r="F425" s="511"/>
      <c r="G425" s="161"/>
      <c r="H425" s="161"/>
      <c r="I425" s="161"/>
      <c r="J425" s="161"/>
      <c r="K425" s="161"/>
      <c r="L425" s="161"/>
      <c r="M425" s="161"/>
      <c r="N425" s="161"/>
      <c r="O425" s="161"/>
      <c r="P425" s="161"/>
      <c r="Q425" s="161"/>
      <c r="R425" s="161"/>
      <c r="S425" s="161"/>
      <c r="T425" s="161"/>
      <c r="U425" s="161"/>
      <c r="V425" s="161"/>
      <c r="W425" s="161"/>
      <c r="X425" s="161"/>
      <c r="Y425" s="161"/>
      <c r="Z425" s="161"/>
    </row>
    <row r="426">
      <c r="A426" s="18"/>
      <c r="B426" s="18"/>
      <c r="C426" s="18"/>
      <c r="D426" s="161"/>
      <c r="E426" s="161"/>
      <c r="F426" s="511"/>
      <c r="G426" s="161"/>
      <c r="H426" s="161"/>
      <c r="I426" s="161"/>
      <c r="J426" s="161"/>
      <c r="K426" s="161"/>
      <c r="L426" s="161"/>
      <c r="M426" s="161"/>
      <c r="N426" s="161"/>
      <c r="O426" s="161"/>
      <c r="P426" s="161"/>
      <c r="Q426" s="161"/>
      <c r="R426" s="161"/>
      <c r="S426" s="161"/>
      <c r="T426" s="161"/>
      <c r="U426" s="161"/>
      <c r="V426" s="161"/>
      <c r="W426" s="161"/>
      <c r="X426" s="161"/>
      <c r="Y426" s="161"/>
      <c r="Z426" s="161"/>
    </row>
    <row r="427">
      <c r="A427" s="18"/>
      <c r="B427" s="18"/>
      <c r="C427" s="18"/>
      <c r="D427" s="161"/>
      <c r="E427" s="161"/>
      <c r="F427" s="511"/>
      <c r="G427" s="161"/>
      <c r="H427" s="161"/>
      <c r="I427" s="161"/>
      <c r="J427" s="161"/>
      <c r="K427" s="161"/>
      <c r="L427" s="161"/>
      <c r="M427" s="161"/>
      <c r="N427" s="161"/>
      <c r="O427" s="161"/>
      <c r="P427" s="161"/>
      <c r="Q427" s="161"/>
      <c r="R427" s="161"/>
      <c r="S427" s="161"/>
      <c r="T427" s="161"/>
      <c r="U427" s="161"/>
      <c r="V427" s="161"/>
      <c r="W427" s="161"/>
      <c r="X427" s="161"/>
      <c r="Y427" s="161"/>
      <c r="Z427" s="161"/>
    </row>
    <row r="428">
      <c r="A428" s="18"/>
      <c r="B428" s="18"/>
      <c r="C428" s="18"/>
      <c r="D428" s="161"/>
      <c r="E428" s="161"/>
      <c r="F428" s="511"/>
      <c r="G428" s="161"/>
      <c r="H428" s="161"/>
      <c r="I428" s="161"/>
      <c r="J428" s="161"/>
      <c r="K428" s="161"/>
      <c r="L428" s="161"/>
      <c r="M428" s="161"/>
      <c r="N428" s="161"/>
      <c r="O428" s="161"/>
      <c r="P428" s="161"/>
      <c r="Q428" s="161"/>
      <c r="R428" s="161"/>
      <c r="S428" s="161"/>
      <c r="T428" s="161"/>
      <c r="U428" s="161"/>
      <c r="V428" s="161"/>
      <c r="W428" s="161"/>
      <c r="X428" s="161"/>
      <c r="Y428" s="161"/>
      <c r="Z428" s="161"/>
    </row>
    <row r="429">
      <c r="A429" s="18"/>
      <c r="B429" s="18"/>
      <c r="C429" s="18"/>
      <c r="D429" s="161"/>
      <c r="E429" s="161"/>
      <c r="F429" s="511"/>
      <c r="G429" s="161"/>
      <c r="H429" s="161"/>
      <c r="I429" s="161"/>
      <c r="J429" s="161"/>
      <c r="K429" s="161"/>
      <c r="L429" s="161"/>
      <c r="M429" s="161"/>
      <c r="N429" s="161"/>
      <c r="O429" s="161"/>
      <c r="P429" s="161"/>
      <c r="Q429" s="161"/>
      <c r="R429" s="161"/>
      <c r="S429" s="161"/>
      <c r="T429" s="161"/>
      <c r="U429" s="161"/>
      <c r="V429" s="161"/>
      <c r="W429" s="161"/>
      <c r="X429" s="161"/>
      <c r="Y429" s="161"/>
      <c r="Z429" s="161"/>
    </row>
    <row r="430">
      <c r="A430" s="18"/>
      <c r="B430" s="18"/>
      <c r="C430" s="18"/>
      <c r="D430" s="161"/>
      <c r="E430" s="161"/>
      <c r="F430" s="511"/>
      <c r="G430" s="161"/>
      <c r="H430" s="161"/>
      <c r="I430" s="161"/>
      <c r="J430" s="161"/>
      <c r="K430" s="161"/>
      <c r="L430" s="161"/>
      <c r="M430" s="161"/>
      <c r="N430" s="161"/>
      <c r="O430" s="161"/>
      <c r="P430" s="161"/>
      <c r="Q430" s="161"/>
      <c r="R430" s="161"/>
      <c r="S430" s="161"/>
      <c r="T430" s="161"/>
      <c r="U430" s="161"/>
      <c r="V430" s="161"/>
      <c r="W430" s="161"/>
      <c r="X430" s="161"/>
      <c r="Y430" s="161"/>
      <c r="Z430" s="161"/>
    </row>
    <row r="431">
      <c r="A431" s="18"/>
      <c r="B431" s="18"/>
      <c r="C431" s="18"/>
      <c r="D431" s="161"/>
      <c r="E431" s="161"/>
      <c r="F431" s="511"/>
      <c r="G431" s="161"/>
      <c r="H431" s="161"/>
      <c r="I431" s="161"/>
      <c r="J431" s="161"/>
      <c r="K431" s="161"/>
      <c r="L431" s="161"/>
      <c r="M431" s="161"/>
      <c r="N431" s="161"/>
      <c r="O431" s="161"/>
      <c r="P431" s="161"/>
      <c r="Q431" s="161"/>
      <c r="R431" s="161"/>
      <c r="S431" s="161"/>
      <c r="T431" s="161"/>
      <c r="U431" s="161"/>
      <c r="V431" s="161"/>
      <c r="W431" s="161"/>
      <c r="X431" s="161"/>
      <c r="Y431" s="161"/>
      <c r="Z431" s="161"/>
    </row>
    <row r="432">
      <c r="A432" s="18"/>
      <c r="B432" s="18"/>
      <c r="C432" s="18"/>
      <c r="D432" s="161"/>
      <c r="E432" s="161"/>
      <c r="F432" s="511"/>
      <c r="G432" s="161"/>
      <c r="H432" s="161"/>
      <c r="I432" s="161"/>
      <c r="J432" s="161"/>
      <c r="K432" s="161"/>
      <c r="L432" s="161"/>
      <c r="M432" s="161"/>
      <c r="N432" s="161"/>
      <c r="O432" s="161"/>
      <c r="P432" s="161"/>
      <c r="Q432" s="161"/>
      <c r="R432" s="161"/>
      <c r="S432" s="161"/>
      <c r="T432" s="161"/>
      <c r="U432" s="161"/>
      <c r="V432" s="161"/>
      <c r="W432" s="161"/>
      <c r="X432" s="161"/>
      <c r="Y432" s="161"/>
      <c r="Z432" s="161"/>
    </row>
    <row r="433">
      <c r="A433" s="18"/>
      <c r="B433" s="18"/>
      <c r="C433" s="18"/>
      <c r="D433" s="161"/>
      <c r="E433" s="161"/>
      <c r="F433" s="511"/>
      <c r="G433" s="161"/>
      <c r="H433" s="161"/>
      <c r="I433" s="161"/>
      <c r="J433" s="161"/>
      <c r="K433" s="161"/>
      <c r="L433" s="161"/>
      <c r="M433" s="161"/>
      <c r="N433" s="161"/>
      <c r="O433" s="161"/>
      <c r="P433" s="161"/>
      <c r="Q433" s="161"/>
      <c r="R433" s="161"/>
      <c r="S433" s="161"/>
      <c r="T433" s="161"/>
      <c r="U433" s="161"/>
      <c r="V433" s="161"/>
      <c r="W433" s="161"/>
      <c r="X433" s="161"/>
      <c r="Y433" s="161"/>
      <c r="Z433" s="161"/>
    </row>
    <row r="434">
      <c r="A434" s="18"/>
      <c r="B434" s="18"/>
      <c r="C434" s="18"/>
      <c r="D434" s="161"/>
      <c r="E434" s="161"/>
      <c r="F434" s="511"/>
      <c r="G434" s="161"/>
      <c r="H434" s="161"/>
      <c r="I434" s="161"/>
      <c r="J434" s="161"/>
      <c r="K434" s="161"/>
      <c r="L434" s="161"/>
      <c r="M434" s="161"/>
      <c r="N434" s="161"/>
      <c r="O434" s="161"/>
      <c r="P434" s="161"/>
      <c r="Q434" s="161"/>
      <c r="R434" s="161"/>
      <c r="S434" s="161"/>
      <c r="T434" s="161"/>
      <c r="U434" s="161"/>
      <c r="V434" s="161"/>
      <c r="W434" s="161"/>
      <c r="X434" s="161"/>
      <c r="Y434" s="161"/>
      <c r="Z434" s="161"/>
    </row>
    <row r="435">
      <c r="A435" s="18"/>
      <c r="B435" s="18"/>
      <c r="C435" s="18"/>
      <c r="D435" s="161"/>
      <c r="E435" s="161"/>
      <c r="F435" s="511"/>
      <c r="G435" s="161"/>
      <c r="H435" s="161"/>
      <c r="I435" s="161"/>
      <c r="J435" s="161"/>
      <c r="K435" s="161"/>
      <c r="L435" s="161"/>
      <c r="M435" s="161"/>
      <c r="N435" s="161"/>
      <c r="O435" s="161"/>
      <c r="P435" s="161"/>
      <c r="Q435" s="161"/>
      <c r="R435" s="161"/>
      <c r="S435" s="161"/>
      <c r="T435" s="161"/>
      <c r="U435" s="161"/>
      <c r="V435" s="161"/>
      <c r="W435" s="161"/>
      <c r="X435" s="161"/>
      <c r="Y435" s="161"/>
      <c r="Z435" s="161"/>
    </row>
    <row r="436">
      <c r="A436" s="18"/>
      <c r="B436" s="18"/>
      <c r="C436" s="18"/>
      <c r="D436" s="161"/>
      <c r="E436" s="161"/>
      <c r="F436" s="511"/>
      <c r="G436" s="161"/>
      <c r="H436" s="161"/>
      <c r="I436" s="161"/>
      <c r="J436" s="161"/>
      <c r="K436" s="161"/>
      <c r="L436" s="161"/>
      <c r="M436" s="161"/>
      <c r="N436" s="161"/>
      <c r="O436" s="161"/>
      <c r="P436" s="161"/>
      <c r="Q436" s="161"/>
      <c r="R436" s="161"/>
      <c r="S436" s="161"/>
      <c r="T436" s="161"/>
      <c r="U436" s="161"/>
      <c r="V436" s="161"/>
      <c r="W436" s="161"/>
      <c r="X436" s="161"/>
      <c r="Y436" s="161"/>
      <c r="Z436" s="161"/>
    </row>
    <row r="437">
      <c r="A437" s="18"/>
      <c r="B437" s="18"/>
      <c r="C437" s="18"/>
      <c r="D437" s="161"/>
      <c r="E437" s="161"/>
      <c r="F437" s="511"/>
      <c r="G437" s="161"/>
      <c r="H437" s="161"/>
      <c r="I437" s="161"/>
      <c r="J437" s="161"/>
      <c r="K437" s="161"/>
      <c r="L437" s="161"/>
      <c r="M437" s="161"/>
      <c r="N437" s="161"/>
      <c r="O437" s="161"/>
      <c r="P437" s="161"/>
      <c r="Q437" s="161"/>
      <c r="R437" s="161"/>
      <c r="S437" s="161"/>
      <c r="T437" s="161"/>
      <c r="U437" s="161"/>
      <c r="V437" s="161"/>
      <c r="W437" s="161"/>
      <c r="X437" s="161"/>
      <c r="Y437" s="161"/>
      <c r="Z437" s="161"/>
    </row>
    <row r="438">
      <c r="A438" s="18"/>
      <c r="B438" s="18"/>
      <c r="C438" s="18"/>
      <c r="D438" s="161"/>
      <c r="E438" s="161"/>
      <c r="F438" s="511"/>
      <c r="G438" s="161"/>
      <c r="H438" s="161"/>
      <c r="I438" s="161"/>
      <c r="J438" s="161"/>
      <c r="K438" s="161"/>
      <c r="L438" s="161"/>
      <c r="M438" s="161"/>
      <c r="N438" s="161"/>
      <c r="O438" s="161"/>
      <c r="P438" s="161"/>
      <c r="Q438" s="161"/>
      <c r="R438" s="161"/>
      <c r="S438" s="161"/>
      <c r="T438" s="161"/>
      <c r="U438" s="161"/>
      <c r="V438" s="161"/>
      <c r="W438" s="161"/>
      <c r="X438" s="161"/>
      <c r="Y438" s="161"/>
      <c r="Z438" s="161"/>
    </row>
    <row r="439">
      <c r="A439" s="18"/>
      <c r="B439" s="18"/>
      <c r="C439" s="18"/>
      <c r="D439" s="161"/>
      <c r="E439" s="161"/>
      <c r="F439" s="511"/>
      <c r="G439" s="161"/>
      <c r="H439" s="161"/>
      <c r="I439" s="161"/>
      <c r="J439" s="161"/>
      <c r="K439" s="161"/>
      <c r="L439" s="161"/>
      <c r="M439" s="161"/>
      <c r="N439" s="161"/>
      <c r="O439" s="161"/>
      <c r="P439" s="161"/>
      <c r="Q439" s="161"/>
      <c r="R439" s="161"/>
      <c r="S439" s="161"/>
      <c r="T439" s="161"/>
      <c r="U439" s="161"/>
      <c r="V439" s="161"/>
      <c r="W439" s="161"/>
      <c r="X439" s="161"/>
      <c r="Y439" s="161"/>
      <c r="Z439" s="161"/>
    </row>
    <row r="440">
      <c r="A440" s="18"/>
      <c r="B440" s="18"/>
      <c r="C440" s="18"/>
      <c r="D440" s="161"/>
      <c r="E440" s="161"/>
      <c r="F440" s="511"/>
      <c r="G440" s="161"/>
      <c r="H440" s="161"/>
      <c r="I440" s="161"/>
      <c r="J440" s="161"/>
      <c r="K440" s="161"/>
      <c r="L440" s="161"/>
      <c r="M440" s="161"/>
      <c r="N440" s="161"/>
      <c r="O440" s="161"/>
      <c r="P440" s="161"/>
      <c r="Q440" s="161"/>
      <c r="R440" s="161"/>
      <c r="S440" s="161"/>
      <c r="T440" s="161"/>
      <c r="U440" s="161"/>
      <c r="V440" s="161"/>
      <c r="W440" s="161"/>
      <c r="X440" s="161"/>
      <c r="Y440" s="161"/>
      <c r="Z440" s="161"/>
    </row>
    <row r="441">
      <c r="A441" s="18"/>
      <c r="B441" s="18"/>
      <c r="C441" s="18"/>
      <c r="D441" s="161"/>
      <c r="E441" s="161"/>
      <c r="F441" s="511"/>
      <c r="G441" s="161"/>
      <c r="H441" s="161"/>
      <c r="I441" s="161"/>
      <c r="J441" s="161"/>
      <c r="K441" s="161"/>
      <c r="L441" s="161"/>
      <c r="M441" s="161"/>
      <c r="N441" s="161"/>
      <c r="O441" s="161"/>
      <c r="P441" s="161"/>
      <c r="Q441" s="161"/>
      <c r="R441" s="161"/>
      <c r="S441" s="161"/>
      <c r="T441" s="161"/>
      <c r="U441" s="161"/>
      <c r="V441" s="161"/>
      <c r="W441" s="161"/>
      <c r="X441" s="161"/>
      <c r="Y441" s="161"/>
      <c r="Z441" s="161"/>
    </row>
    <row r="442">
      <c r="A442" s="18"/>
      <c r="B442" s="18"/>
      <c r="C442" s="18"/>
      <c r="D442" s="161"/>
      <c r="E442" s="161"/>
      <c r="F442" s="511"/>
      <c r="G442" s="161"/>
      <c r="H442" s="161"/>
      <c r="I442" s="161"/>
      <c r="J442" s="161"/>
      <c r="K442" s="161"/>
      <c r="L442" s="161"/>
      <c r="M442" s="161"/>
      <c r="N442" s="161"/>
      <c r="O442" s="161"/>
      <c r="P442" s="161"/>
      <c r="Q442" s="161"/>
      <c r="R442" s="161"/>
      <c r="S442" s="161"/>
      <c r="T442" s="161"/>
      <c r="U442" s="161"/>
      <c r="V442" s="161"/>
      <c r="W442" s="161"/>
      <c r="X442" s="161"/>
      <c r="Y442" s="161"/>
      <c r="Z442" s="161"/>
    </row>
    <row r="443">
      <c r="A443" s="18"/>
      <c r="B443" s="18"/>
      <c r="C443" s="18"/>
      <c r="D443" s="161"/>
      <c r="E443" s="161"/>
      <c r="F443" s="511"/>
      <c r="G443" s="161"/>
      <c r="H443" s="161"/>
      <c r="I443" s="161"/>
      <c r="J443" s="161"/>
      <c r="K443" s="161"/>
      <c r="L443" s="161"/>
      <c r="M443" s="161"/>
      <c r="N443" s="161"/>
      <c r="O443" s="161"/>
      <c r="P443" s="161"/>
      <c r="Q443" s="161"/>
      <c r="R443" s="161"/>
      <c r="S443" s="161"/>
      <c r="T443" s="161"/>
      <c r="U443" s="161"/>
      <c r="V443" s="161"/>
      <c r="W443" s="161"/>
      <c r="X443" s="161"/>
      <c r="Y443" s="161"/>
      <c r="Z443" s="161"/>
    </row>
    <row r="444">
      <c r="A444" s="18"/>
      <c r="B444" s="18"/>
      <c r="C444" s="18"/>
      <c r="D444" s="161"/>
      <c r="E444" s="161"/>
      <c r="F444" s="511"/>
      <c r="G444" s="161"/>
      <c r="H444" s="161"/>
      <c r="I444" s="161"/>
      <c r="J444" s="161"/>
      <c r="K444" s="161"/>
      <c r="L444" s="161"/>
      <c r="M444" s="161"/>
      <c r="N444" s="161"/>
      <c r="O444" s="161"/>
      <c r="P444" s="161"/>
      <c r="Q444" s="161"/>
      <c r="R444" s="161"/>
      <c r="S444" s="161"/>
      <c r="T444" s="161"/>
      <c r="U444" s="161"/>
      <c r="V444" s="161"/>
      <c r="W444" s="161"/>
      <c r="X444" s="161"/>
      <c r="Y444" s="161"/>
      <c r="Z444" s="161"/>
    </row>
    <row r="445">
      <c r="A445" s="18"/>
      <c r="B445" s="18"/>
      <c r="C445" s="18"/>
      <c r="D445" s="161"/>
      <c r="E445" s="161"/>
      <c r="F445" s="511"/>
      <c r="G445" s="161"/>
      <c r="H445" s="161"/>
      <c r="I445" s="161"/>
      <c r="J445" s="161"/>
      <c r="K445" s="161"/>
      <c r="L445" s="161"/>
      <c r="M445" s="161"/>
      <c r="N445" s="161"/>
      <c r="O445" s="161"/>
      <c r="P445" s="161"/>
      <c r="Q445" s="161"/>
      <c r="R445" s="161"/>
      <c r="S445" s="161"/>
      <c r="T445" s="161"/>
      <c r="U445" s="161"/>
      <c r="V445" s="161"/>
      <c r="W445" s="161"/>
      <c r="X445" s="161"/>
      <c r="Y445" s="161"/>
      <c r="Z445" s="161"/>
    </row>
    <row r="446">
      <c r="A446" s="18"/>
      <c r="B446" s="18"/>
      <c r="C446" s="18"/>
      <c r="D446" s="161"/>
      <c r="E446" s="161"/>
      <c r="F446" s="511"/>
      <c r="G446" s="161"/>
      <c r="H446" s="161"/>
      <c r="I446" s="161"/>
      <c r="J446" s="161"/>
      <c r="K446" s="161"/>
      <c r="L446" s="161"/>
      <c r="M446" s="161"/>
      <c r="N446" s="161"/>
      <c r="O446" s="161"/>
      <c r="P446" s="161"/>
      <c r="Q446" s="161"/>
      <c r="R446" s="161"/>
      <c r="S446" s="161"/>
      <c r="T446" s="161"/>
      <c r="U446" s="161"/>
      <c r="V446" s="161"/>
      <c r="W446" s="161"/>
      <c r="X446" s="161"/>
      <c r="Y446" s="161"/>
      <c r="Z446" s="161"/>
    </row>
    <row r="447">
      <c r="A447" s="18"/>
      <c r="B447" s="18"/>
      <c r="C447" s="18"/>
      <c r="D447" s="161"/>
      <c r="E447" s="161"/>
      <c r="F447" s="511"/>
      <c r="G447" s="161"/>
      <c r="H447" s="161"/>
      <c r="I447" s="161"/>
      <c r="J447" s="161"/>
      <c r="K447" s="161"/>
      <c r="L447" s="161"/>
      <c r="M447" s="161"/>
      <c r="N447" s="161"/>
      <c r="O447" s="161"/>
      <c r="P447" s="161"/>
      <c r="Q447" s="161"/>
      <c r="R447" s="161"/>
      <c r="S447" s="161"/>
      <c r="T447" s="161"/>
      <c r="U447" s="161"/>
      <c r="V447" s="161"/>
      <c r="W447" s="161"/>
      <c r="X447" s="161"/>
      <c r="Y447" s="161"/>
      <c r="Z447" s="161"/>
    </row>
    <row r="448">
      <c r="A448" s="18"/>
      <c r="B448" s="18"/>
      <c r="C448" s="18"/>
      <c r="D448" s="161"/>
      <c r="E448" s="161"/>
      <c r="F448" s="511"/>
      <c r="G448" s="161"/>
      <c r="H448" s="161"/>
      <c r="I448" s="161"/>
      <c r="J448" s="161"/>
      <c r="K448" s="161"/>
      <c r="L448" s="161"/>
      <c r="M448" s="161"/>
      <c r="N448" s="161"/>
      <c r="O448" s="161"/>
      <c r="P448" s="161"/>
      <c r="Q448" s="161"/>
      <c r="R448" s="161"/>
      <c r="S448" s="161"/>
      <c r="T448" s="161"/>
      <c r="U448" s="161"/>
      <c r="V448" s="161"/>
      <c r="W448" s="161"/>
      <c r="X448" s="161"/>
      <c r="Y448" s="161"/>
      <c r="Z448" s="161"/>
    </row>
    <row r="449">
      <c r="A449" s="18"/>
      <c r="B449" s="18"/>
      <c r="C449" s="18"/>
      <c r="D449" s="161"/>
      <c r="E449" s="161"/>
      <c r="F449" s="511"/>
      <c r="G449" s="161"/>
      <c r="H449" s="161"/>
      <c r="I449" s="161"/>
      <c r="J449" s="161"/>
      <c r="K449" s="161"/>
      <c r="L449" s="161"/>
      <c r="M449" s="161"/>
      <c r="N449" s="161"/>
      <c r="O449" s="161"/>
      <c r="P449" s="161"/>
      <c r="Q449" s="161"/>
      <c r="R449" s="161"/>
      <c r="S449" s="161"/>
      <c r="T449" s="161"/>
      <c r="U449" s="161"/>
      <c r="V449" s="161"/>
      <c r="W449" s="161"/>
      <c r="X449" s="161"/>
      <c r="Y449" s="161"/>
      <c r="Z449" s="161"/>
    </row>
    <row r="450">
      <c r="A450" s="18"/>
      <c r="B450" s="18"/>
      <c r="C450" s="18"/>
      <c r="D450" s="161"/>
      <c r="E450" s="161"/>
      <c r="F450" s="511"/>
      <c r="G450" s="161"/>
      <c r="H450" s="161"/>
      <c r="I450" s="161"/>
      <c r="J450" s="161"/>
      <c r="K450" s="161"/>
      <c r="L450" s="161"/>
      <c r="M450" s="161"/>
      <c r="N450" s="161"/>
      <c r="O450" s="161"/>
      <c r="P450" s="161"/>
      <c r="Q450" s="161"/>
      <c r="R450" s="161"/>
      <c r="S450" s="161"/>
      <c r="T450" s="161"/>
      <c r="U450" s="161"/>
      <c r="V450" s="161"/>
      <c r="W450" s="161"/>
      <c r="X450" s="161"/>
      <c r="Y450" s="161"/>
      <c r="Z450" s="161"/>
    </row>
    <row r="451">
      <c r="A451" s="18"/>
      <c r="B451" s="18"/>
      <c r="C451" s="18"/>
      <c r="D451" s="161"/>
      <c r="E451" s="161"/>
      <c r="F451" s="511"/>
      <c r="G451" s="161"/>
      <c r="H451" s="161"/>
      <c r="I451" s="161"/>
      <c r="J451" s="161"/>
      <c r="K451" s="161"/>
      <c r="L451" s="161"/>
      <c r="M451" s="161"/>
      <c r="N451" s="161"/>
      <c r="O451" s="161"/>
      <c r="P451" s="161"/>
      <c r="Q451" s="161"/>
      <c r="R451" s="161"/>
      <c r="S451" s="161"/>
      <c r="T451" s="161"/>
      <c r="U451" s="161"/>
      <c r="V451" s="161"/>
      <c r="W451" s="161"/>
      <c r="X451" s="161"/>
      <c r="Y451" s="161"/>
      <c r="Z451" s="161"/>
    </row>
    <row r="452">
      <c r="A452" s="18"/>
      <c r="B452" s="18"/>
      <c r="C452" s="18"/>
      <c r="D452" s="161"/>
      <c r="E452" s="161"/>
      <c r="F452" s="511"/>
      <c r="G452" s="161"/>
      <c r="H452" s="161"/>
      <c r="I452" s="161"/>
      <c r="J452" s="161"/>
      <c r="K452" s="161"/>
      <c r="L452" s="161"/>
      <c r="M452" s="161"/>
      <c r="N452" s="161"/>
      <c r="O452" s="161"/>
      <c r="P452" s="161"/>
      <c r="Q452" s="161"/>
      <c r="R452" s="161"/>
      <c r="S452" s="161"/>
      <c r="T452" s="161"/>
      <c r="U452" s="161"/>
      <c r="V452" s="161"/>
      <c r="W452" s="161"/>
      <c r="X452" s="161"/>
      <c r="Y452" s="161"/>
      <c r="Z452" s="161"/>
    </row>
    <row r="453">
      <c r="A453" s="18"/>
      <c r="B453" s="18"/>
      <c r="C453" s="18"/>
      <c r="D453" s="161"/>
      <c r="E453" s="161"/>
      <c r="F453" s="511"/>
      <c r="G453" s="161"/>
      <c r="H453" s="161"/>
      <c r="I453" s="161"/>
      <c r="J453" s="161"/>
      <c r="K453" s="161"/>
      <c r="L453" s="161"/>
      <c r="M453" s="161"/>
      <c r="N453" s="161"/>
      <c r="O453" s="161"/>
      <c r="P453" s="161"/>
      <c r="Q453" s="161"/>
      <c r="R453" s="161"/>
      <c r="S453" s="161"/>
      <c r="T453" s="161"/>
      <c r="U453" s="161"/>
      <c r="V453" s="161"/>
      <c r="W453" s="161"/>
      <c r="X453" s="161"/>
      <c r="Y453" s="161"/>
      <c r="Z453" s="161"/>
    </row>
    <row r="454">
      <c r="A454" s="18"/>
      <c r="B454" s="18"/>
      <c r="C454" s="18"/>
      <c r="D454" s="161"/>
      <c r="E454" s="161"/>
      <c r="F454" s="511"/>
      <c r="G454" s="161"/>
      <c r="H454" s="161"/>
      <c r="I454" s="161"/>
      <c r="J454" s="161"/>
      <c r="K454" s="161"/>
      <c r="L454" s="161"/>
      <c r="M454" s="161"/>
      <c r="N454" s="161"/>
      <c r="O454" s="161"/>
      <c r="P454" s="161"/>
      <c r="Q454" s="161"/>
      <c r="R454" s="161"/>
      <c r="S454" s="161"/>
      <c r="T454" s="161"/>
      <c r="U454" s="161"/>
      <c r="V454" s="161"/>
      <c r="W454" s="161"/>
      <c r="X454" s="161"/>
      <c r="Y454" s="161"/>
      <c r="Z454" s="161"/>
    </row>
    <row r="455">
      <c r="A455" s="18"/>
      <c r="B455" s="18"/>
      <c r="C455" s="18"/>
      <c r="D455" s="161"/>
      <c r="E455" s="161"/>
      <c r="F455" s="511"/>
      <c r="G455" s="161"/>
      <c r="H455" s="161"/>
      <c r="I455" s="161"/>
      <c r="J455" s="161"/>
      <c r="K455" s="161"/>
      <c r="L455" s="161"/>
      <c r="M455" s="161"/>
      <c r="N455" s="161"/>
      <c r="O455" s="161"/>
      <c r="P455" s="161"/>
      <c r="Q455" s="161"/>
      <c r="R455" s="161"/>
      <c r="S455" s="161"/>
      <c r="T455" s="161"/>
      <c r="U455" s="161"/>
      <c r="V455" s="161"/>
      <c r="W455" s="161"/>
      <c r="X455" s="161"/>
      <c r="Y455" s="161"/>
      <c r="Z455" s="161"/>
    </row>
    <row r="456">
      <c r="A456" s="18"/>
      <c r="B456" s="18"/>
      <c r="C456" s="18"/>
      <c r="D456" s="161"/>
      <c r="E456" s="161"/>
      <c r="F456" s="511"/>
      <c r="G456" s="161"/>
      <c r="H456" s="161"/>
      <c r="I456" s="161"/>
      <c r="J456" s="161"/>
      <c r="K456" s="161"/>
      <c r="L456" s="161"/>
      <c r="M456" s="161"/>
      <c r="N456" s="161"/>
      <c r="O456" s="161"/>
      <c r="P456" s="161"/>
      <c r="Q456" s="161"/>
      <c r="R456" s="161"/>
      <c r="S456" s="161"/>
      <c r="T456" s="161"/>
      <c r="U456" s="161"/>
      <c r="V456" s="161"/>
      <c r="W456" s="161"/>
      <c r="X456" s="161"/>
      <c r="Y456" s="161"/>
      <c r="Z456" s="161"/>
    </row>
    <row r="457">
      <c r="A457" s="18"/>
      <c r="B457" s="18"/>
      <c r="C457" s="18"/>
      <c r="D457" s="161"/>
      <c r="E457" s="161"/>
      <c r="F457" s="511"/>
      <c r="G457" s="161"/>
      <c r="H457" s="161"/>
      <c r="I457" s="161"/>
      <c r="J457" s="161"/>
      <c r="K457" s="161"/>
      <c r="L457" s="161"/>
      <c r="M457" s="161"/>
      <c r="N457" s="161"/>
      <c r="O457" s="161"/>
      <c r="P457" s="161"/>
      <c r="Q457" s="161"/>
      <c r="R457" s="161"/>
      <c r="S457" s="161"/>
      <c r="T457" s="161"/>
      <c r="U457" s="161"/>
      <c r="V457" s="161"/>
      <c r="W457" s="161"/>
      <c r="X457" s="161"/>
      <c r="Y457" s="161"/>
      <c r="Z457" s="161"/>
    </row>
    <row r="458">
      <c r="A458" s="18"/>
      <c r="B458" s="18"/>
      <c r="C458" s="18"/>
      <c r="D458" s="161"/>
      <c r="E458" s="161"/>
      <c r="F458" s="511"/>
      <c r="G458" s="161"/>
      <c r="H458" s="161"/>
      <c r="I458" s="161"/>
      <c r="J458" s="161"/>
      <c r="K458" s="161"/>
      <c r="L458" s="161"/>
      <c r="M458" s="161"/>
      <c r="N458" s="161"/>
      <c r="O458" s="161"/>
      <c r="P458" s="161"/>
      <c r="Q458" s="161"/>
      <c r="R458" s="161"/>
      <c r="S458" s="161"/>
      <c r="T458" s="161"/>
      <c r="U458" s="161"/>
      <c r="V458" s="161"/>
      <c r="W458" s="161"/>
      <c r="X458" s="161"/>
      <c r="Y458" s="161"/>
      <c r="Z458" s="161"/>
    </row>
    <row r="459">
      <c r="A459" s="18"/>
      <c r="B459" s="18"/>
      <c r="C459" s="18"/>
      <c r="D459" s="161"/>
      <c r="E459" s="161"/>
      <c r="F459" s="511"/>
      <c r="G459" s="161"/>
      <c r="H459" s="161"/>
      <c r="I459" s="161"/>
      <c r="J459" s="161"/>
      <c r="K459" s="161"/>
      <c r="L459" s="161"/>
      <c r="M459" s="161"/>
      <c r="N459" s="161"/>
      <c r="O459" s="161"/>
      <c r="P459" s="161"/>
      <c r="Q459" s="161"/>
      <c r="R459" s="161"/>
      <c r="S459" s="161"/>
      <c r="T459" s="161"/>
      <c r="U459" s="161"/>
      <c r="V459" s="161"/>
      <c r="W459" s="161"/>
      <c r="X459" s="161"/>
      <c r="Y459" s="161"/>
      <c r="Z459" s="161"/>
    </row>
    <row r="460">
      <c r="A460" s="18"/>
      <c r="B460" s="18"/>
      <c r="C460" s="18"/>
      <c r="D460" s="161"/>
      <c r="E460" s="161"/>
      <c r="F460" s="511"/>
      <c r="G460" s="161"/>
      <c r="H460" s="161"/>
      <c r="I460" s="161"/>
      <c r="J460" s="161"/>
      <c r="K460" s="161"/>
      <c r="L460" s="161"/>
      <c r="M460" s="161"/>
      <c r="N460" s="161"/>
      <c r="O460" s="161"/>
      <c r="P460" s="161"/>
      <c r="Q460" s="161"/>
      <c r="R460" s="161"/>
      <c r="S460" s="161"/>
      <c r="T460" s="161"/>
      <c r="U460" s="161"/>
      <c r="V460" s="161"/>
      <c r="W460" s="161"/>
      <c r="X460" s="161"/>
      <c r="Y460" s="161"/>
      <c r="Z460" s="161"/>
    </row>
    <row r="461">
      <c r="A461" s="18"/>
      <c r="B461" s="18"/>
      <c r="C461" s="18"/>
      <c r="D461" s="161"/>
      <c r="E461" s="161"/>
      <c r="F461" s="511"/>
      <c r="G461" s="161"/>
      <c r="H461" s="161"/>
      <c r="I461" s="161"/>
      <c r="J461" s="161"/>
      <c r="K461" s="161"/>
      <c r="L461" s="161"/>
      <c r="M461" s="161"/>
      <c r="N461" s="161"/>
      <c r="O461" s="161"/>
      <c r="P461" s="161"/>
      <c r="Q461" s="161"/>
      <c r="R461" s="161"/>
      <c r="S461" s="161"/>
      <c r="T461" s="161"/>
      <c r="U461" s="161"/>
      <c r="V461" s="161"/>
      <c r="W461" s="161"/>
      <c r="X461" s="161"/>
      <c r="Y461" s="161"/>
      <c r="Z461" s="161"/>
    </row>
    <row r="462">
      <c r="A462" s="18"/>
      <c r="B462" s="18"/>
      <c r="C462" s="18"/>
      <c r="D462" s="161"/>
      <c r="E462" s="161"/>
      <c r="F462" s="511"/>
      <c r="G462" s="161"/>
      <c r="H462" s="161"/>
      <c r="I462" s="161"/>
      <c r="J462" s="161"/>
      <c r="K462" s="161"/>
      <c r="L462" s="161"/>
      <c r="M462" s="161"/>
      <c r="N462" s="161"/>
      <c r="O462" s="161"/>
      <c r="P462" s="161"/>
      <c r="Q462" s="161"/>
      <c r="R462" s="161"/>
      <c r="S462" s="161"/>
      <c r="T462" s="161"/>
      <c r="U462" s="161"/>
      <c r="V462" s="161"/>
      <c r="W462" s="161"/>
      <c r="X462" s="161"/>
      <c r="Y462" s="161"/>
      <c r="Z462" s="161"/>
    </row>
    <row r="463">
      <c r="A463" s="18"/>
      <c r="B463" s="18"/>
      <c r="C463" s="18"/>
      <c r="D463" s="161"/>
      <c r="E463" s="161"/>
      <c r="F463" s="511"/>
      <c r="G463" s="161"/>
      <c r="H463" s="161"/>
      <c r="I463" s="161"/>
      <c r="J463" s="161"/>
      <c r="K463" s="161"/>
      <c r="L463" s="161"/>
      <c r="M463" s="161"/>
      <c r="N463" s="161"/>
      <c r="O463" s="161"/>
      <c r="P463" s="161"/>
      <c r="Q463" s="161"/>
      <c r="R463" s="161"/>
      <c r="S463" s="161"/>
      <c r="T463" s="161"/>
      <c r="U463" s="161"/>
      <c r="V463" s="161"/>
      <c r="W463" s="161"/>
      <c r="X463" s="161"/>
      <c r="Y463" s="161"/>
      <c r="Z463" s="161"/>
    </row>
    <row r="464">
      <c r="A464" s="18"/>
      <c r="B464" s="18"/>
      <c r="C464" s="18"/>
      <c r="D464" s="161"/>
      <c r="E464" s="161"/>
      <c r="F464" s="511"/>
      <c r="G464" s="161"/>
      <c r="H464" s="161"/>
      <c r="I464" s="161"/>
      <c r="J464" s="161"/>
      <c r="K464" s="161"/>
      <c r="L464" s="161"/>
      <c r="M464" s="161"/>
      <c r="N464" s="161"/>
      <c r="O464" s="161"/>
      <c r="P464" s="161"/>
      <c r="Q464" s="161"/>
      <c r="R464" s="161"/>
      <c r="S464" s="161"/>
      <c r="T464" s="161"/>
      <c r="U464" s="161"/>
      <c r="V464" s="161"/>
      <c r="W464" s="161"/>
      <c r="X464" s="161"/>
      <c r="Y464" s="161"/>
      <c r="Z464" s="161"/>
    </row>
    <row r="465">
      <c r="A465" s="18"/>
      <c r="B465" s="18"/>
      <c r="C465" s="18"/>
      <c r="D465" s="161"/>
      <c r="E465" s="161"/>
      <c r="F465" s="511"/>
      <c r="G465" s="161"/>
      <c r="H465" s="161"/>
      <c r="I465" s="161"/>
      <c r="J465" s="161"/>
      <c r="K465" s="161"/>
      <c r="L465" s="161"/>
      <c r="M465" s="161"/>
      <c r="N465" s="161"/>
      <c r="O465" s="161"/>
      <c r="P465" s="161"/>
      <c r="Q465" s="161"/>
      <c r="R465" s="161"/>
      <c r="S465" s="161"/>
      <c r="T465" s="161"/>
      <c r="U465" s="161"/>
      <c r="V465" s="161"/>
      <c r="W465" s="161"/>
      <c r="X465" s="161"/>
      <c r="Y465" s="161"/>
      <c r="Z465" s="161"/>
    </row>
    <row r="466">
      <c r="A466" s="18"/>
      <c r="B466" s="18"/>
      <c r="C466" s="18"/>
      <c r="D466" s="161"/>
      <c r="E466" s="161"/>
      <c r="F466" s="511"/>
      <c r="G466" s="161"/>
      <c r="H466" s="161"/>
      <c r="I466" s="161"/>
      <c r="J466" s="161"/>
      <c r="K466" s="161"/>
      <c r="L466" s="161"/>
      <c r="M466" s="161"/>
      <c r="N466" s="161"/>
      <c r="O466" s="161"/>
      <c r="P466" s="161"/>
      <c r="Q466" s="161"/>
      <c r="R466" s="161"/>
      <c r="S466" s="161"/>
      <c r="T466" s="161"/>
      <c r="U466" s="161"/>
      <c r="V466" s="161"/>
      <c r="W466" s="161"/>
      <c r="X466" s="161"/>
      <c r="Y466" s="161"/>
      <c r="Z466" s="161"/>
    </row>
    <row r="467">
      <c r="A467" s="18"/>
      <c r="B467" s="18"/>
      <c r="C467" s="18"/>
      <c r="D467" s="161"/>
      <c r="E467" s="161"/>
      <c r="F467" s="511"/>
      <c r="G467" s="161"/>
      <c r="H467" s="161"/>
      <c r="I467" s="161"/>
      <c r="J467" s="161"/>
      <c r="K467" s="161"/>
      <c r="L467" s="161"/>
      <c r="M467" s="161"/>
      <c r="N467" s="161"/>
      <c r="O467" s="161"/>
      <c r="P467" s="161"/>
      <c r="Q467" s="161"/>
      <c r="R467" s="161"/>
      <c r="S467" s="161"/>
      <c r="T467" s="161"/>
      <c r="U467" s="161"/>
      <c r="V467" s="161"/>
      <c r="W467" s="161"/>
      <c r="X467" s="161"/>
      <c r="Y467" s="161"/>
      <c r="Z467" s="161"/>
    </row>
    <row r="468">
      <c r="A468" s="18"/>
      <c r="B468" s="18"/>
      <c r="C468" s="18"/>
      <c r="D468" s="161"/>
      <c r="E468" s="161"/>
      <c r="F468" s="511"/>
      <c r="G468" s="161"/>
      <c r="H468" s="161"/>
      <c r="I468" s="161"/>
      <c r="J468" s="161"/>
      <c r="K468" s="161"/>
      <c r="L468" s="161"/>
      <c r="M468" s="161"/>
      <c r="N468" s="161"/>
      <c r="O468" s="161"/>
      <c r="P468" s="161"/>
      <c r="Q468" s="161"/>
      <c r="R468" s="161"/>
      <c r="S468" s="161"/>
      <c r="T468" s="161"/>
      <c r="U468" s="161"/>
      <c r="V468" s="161"/>
      <c r="W468" s="161"/>
      <c r="X468" s="161"/>
      <c r="Y468" s="161"/>
      <c r="Z468" s="161"/>
    </row>
    <row r="469">
      <c r="A469" s="18"/>
      <c r="B469" s="18"/>
      <c r="C469" s="18"/>
      <c r="D469" s="161"/>
      <c r="E469" s="161"/>
      <c r="F469" s="511"/>
      <c r="G469" s="161"/>
      <c r="H469" s="161"/>
      <c r="I469" s="161"/>
      <c r="J469" s="161"/>
      <c r="K469" s="161"/>
      <c r="L469" s="161"/>
      <c r="M469" s="161"/>
      <c r="N469" s="161"/>
      <c r="O469" s="161"/>
      <c r="P469" s="161"/>
      <c r="Q469" s="161"/>
      <c r="R469" s="161"/>
      <c r="S469" s="161"/>
      <c r="T469" s="161"/>
      <c r="U469" s="161"/>
      <c r="V469" s="161"/>
      <c r="W469" s="161"/>
      <c r="X469" s="161"/>
      <c r="Y469" s="161"/>
      <c r="Z469" s="161"/>
    </row>
    <row r="470">
      <c r="A470" s="18"/>
      <c r="B470" s="18"/>
      <c r="C470" s="18"/>
      <c r="D470" s="161"/>
      <c r="E470" s="161"/>
      <c r="F470" s="511"/>
      <c r="G470" s="161"/>
      <c r="H470" s="161"/>
      <c r="I470" s="161"/>
      <c r="J470" s="161"/>
      <c r="K470" s="161"/>
      <c r="L470" s="161"/>
      <c r="M470" s="161"/>
      <c r="N470" s="161"/>
      <c r="O470" s="161"/>
      <c r="P470" s="161"/>
      <c r="Q470" s="161"/>
      <c r="R470" s="161"/>
      <c r="S470" s="161"/>
      <c r="T470" s="161"/>
      <c r="U470" s="161"/>
      <c r="V470" s="161"/>
      <c r="W470" s="161"/>
      <c r="X470" s="161"/>
      <c r="Y470" s="161"/>
      <c r="Z470" s="161"/>
    </row>
    <row r="471">
      <c r="A471" s="18"/>
      <c r="B471" s="18"/>
      <c r="C471" s="18"/>
      <c r="D471" s="161"/>
      <c r="E471" s="161"/>
      <c r="F471" s="511"/>
      <c r="G471" s="161"/>
      <c r="H471" s="161"/>
      <c r="I471" s="161"/>
      <c r="J471" s="161"/>
      <c r="K471" s="161"/>
      <c r="L471" s="161"/>
      <c r="M471" s="161"/>
      <c r="N471" s="161"/>
      <c r="O471" s="161"/>
      <c r="P471" s="161"/>
      <c r="Q471" s="161"/>
      <c r="R471" s="161"/>
      <c r="S471" s="161"/>
      <c r="T471" s="161"/>
      <c r="U471" s="161"/>
      <c r="V471" s="161"/>
      <c r="W471" s="161"/>
      <c r="X471" s="161"/>
      <c r="Y471" s="161"/>
      <c r="Z471" s="161"/>
    </row>
    <row r="472">
      <c r="A472" s="18"/>
      <c r="B472" s="18"/>
      <c r="C472" s="18"/>
      <c r="D472" s="161"/>
      <c r="E472" s="161"/>
      <c r="F472" s="511"/>
      <c r="G472" s="161"/>
      <c r="H472" s="161"/>
      <c r="I472" s="161"/>
      <c r="J472" s="161"/>
      <c r="K472" s="161"/>
      <c r="L472" s="161"/>
      <c r="M472" s="161"/>
      <c r="N472" s="161"/>
      <c r="O472" s="161"/>
      <c r="P472" s="161"/>
      <c r="Q472" s="161"/>
      <c r="R472" s="161"/>
      <c r="S472" s="161"/>
      <c r="T472" s="161"/>
      <c r="U472" s="161"/>
      <c r="V472" s="161"/>
      <c r="W472" s="161"/>
      <c r="X472" s="161"/>
      <c r="Y472" s="161"/>
      <c r="Z472" s="161"/>
    </row>
    <row r="473">
      <c r="A473" s="18"/>
      <c r="B473" s="18"/>
      <c r="C473" s="18"/>
      <c r="D473" s="161"/>
      <c r="E473" s="161"/>
      <c r="F473" s="511"/>
      <c r="G473" s="161"/>
      <c r="H473" s="161"/>
      <c r="I473" s="161"/>
      <c r="J473" s="161"/>
      <c r="K473" s="161"/>
      <c r="L473" s="161"/>
      <c r="M473" s="161"/>
      <c r="N473" s="161"/>
      <c r="O473" s="161"/>
      <c r="P473" s="161"/>
      <c r="Q473" s="161"/>
      <c r="R473" s="161"/>
      <c r="S473" s="161"/>
      <c r="T473" s="161"/>
      <c r="U473" s="161"/>
      <c r="V473" s="161"/>
      <c r="W473" s="161"/>
      <c r="X473" s="161"/>
      <c r="Y473" s="161"/>
      <c r="Z473" s="161"/>
    </row>
    <row r="474">
      <c r="A474" s="18"/>
      <c r="B474" s="18"/>
      <c r="C474" s="18"/>
      <c r="D474" s="161"/>
      <c r="E474" s="161"/>
      <c r="F474" s="511"/>
      <c r="G474" s="161"/>
      <c r="H474" s="161"/>
      <c r="I474" s="161"/>
      <c r="J474" s="161"/>
      <c r="K474" s="161"/>
      <c r="L474" s="161"/>
      <c r="M474" s="161"/>
      <c r="N474" s="161"/>
      <c r="O474" s="161"/>
      <c r="P474" s="161"/>
      <c r="Q474" s="161"/>
      <c r="R474" s="161"/>
      <c r="S474" s="161"/>
      <c r="T474" s="161"/>
      <c r="U474" s="161"/>
      <c r="V474" s="161"/>
      <c r="W474" s="161"/>
      <c r="X474" s="161"/>
      <c r="Y474" s="161"/>
      <c r="Z474" s="161"/>
    </row>
    <row r="475">
      <c r="A475" s="18"/>
      <c r="B475" s="18"/>
      <c r="C475" s="18"/>
      <c r="D475" s="161"/>
      <c r="E475" s="161"/>
      <c r="F475" s="511"/>
      <c r="G475" s="161"/>
      <c r="H475" s="161"/>
      <c r="I475" s="161"/>
      <c r="J475" s="161"/>
      <c r="K475" s="161"/>
      <c r="L475" s="161"/>
      <c r="M475" s="161"/>
      <c r="N475" s="161"/>
      <c r="O475" s="161"/>
      <c r="P475" s="161"/>
      <c r="Q475" s="161"/>
      <c r="R475" s="161"/>
      <c r="S475" s="161"/>
      <c r="T475" s="161"/>
      <c r="U475" s="161"/>
      <c r="V475" s="161"/>
      <c r="W475" s="161"/>
      <c r="X475" s="161"/>
      <c r="Y475" s="161"/>
      <c r="Z475" s="161"/>
    </row>
    <row r="476">
      <c r="A476" s="18"/>
      <c r="B476" s="18"/>
      <c r="C476" s="18"/>
      <c r="D476" s="161"/>
      <c r="E476" s="161"/>
      <c r="F476" s="511"/>
      <c r="G476" s="161"/>
      <c r="H476" s="161"/>
      <c r="I476" s="161"/>
      <c r="J476" s="161"/>
      <c r="K476" s="161"/>
      <c r="L476" s="161"/>
      <c r="M476" s="161"/>
      <c r="N476" s="161"/>
      <c r="O476" s="161"/>
      <c r="P476" s="161"/>
      <c r="Q476" s="161"/>
      <c r="R476" s="161"/>
      <c r="S476" s="161"/>
      <c r="T476" s="161"/>
      <c r="U476" s="161"/>
      <c r="V476" s="161"/>
      <c r="W476" s="161"/>
      <c r="X476" s="161"/>
      <c r="Y476" s="161"/>
      <c r="Z476" s="161"/>
    </row>
    <row r="477">
      <c r="A477" s="18"/>
      <c r="B477" s="18"/>
      <c r="C477" s="18"/>
      <c r="D477" s="161"/>
      <c r="E477" s="161"/>
      <c r="F477" s="511"/>
      <c r="G477" s="161"/>
      <c r="H477" s="161"/>
      <c r="I477" s="161"/>
      <c r="J477" s="161"/>
      <c r="K477" s="161"/>
      <c r="L477" s="161"/>
      <c r="M477" s="161"/>
      <c r="N477" s="161"/>
      <c r="O477" s="161"/>
      <c r="P477" s="161"/>
      <c r="Q477" s="161"/>
      <c r="R477" s="161"/>
      <c r="S477" s="161"/>
      <c r="T477" s="161"/>
      <c r="U477" s="161"/>
      <c r="V477" s="161"/>
      <c r="W477" s="161"/>
      <c r="X477" s="161"/>
      <c r="Y477" s="161"/>
      <c r="Z477" s="161"/>
    </row>
    <row r="478">
      <c r="A478" s="18"/>
      <c r="B478" s="18"/>
      <c r="C478" s="18"/>
      <c r="D478" s="161"/>
      <c r="E478" s="161"/>
      <c r="F478" s="511"/>
      <c r="G478" s="161"/>
      <c r="H478" s="161"/>
      <c r="I478" s="161"/>
      <c r="J478" s="161"/>
      <c r="K478" s="161"/>
      <c r="L478" s="161"/>
      <c r="M478" s="161"/>
      <c r="N478" s="161"/>
      <c r="O478" s="161"/>
      <c r="P478" s="161"/>
      <c r="Q478" s="161"/>
      <c r="R478" s="161"/>
      <c r="S478" s="161"/>
      <c r="T478" s="161"/>
      <c r="U478" s="161"/>
      <c r="V478" s="161"/>
      <c r="W478" s="161"/>
      <c r="X478" s="161"/>
      <c r="Y478" s="161"/>
      <c r="Z478" s="161"/>
    </row>
    <row r="479">
      <c r="A479" s="18"/>
      <c r="B479" s="18"/>
      <c r="C479" s="18"/>
      <c r="D479" s="161"/>
      <c r="E479" s="161"/>
      <c r="F479" s="511"/>
      <c r="G479" s="161"/>
      <c r="H479" s="161"/>
      <c r="I479" s="161"/>
      <c r="J479" s="161"/>
      <c r="K479" s="161"/>
      <c r="L479" s="161"/>
      <c r="M479" s="161"/>
      <c r="N479" s="161"/>
      <c r="O479" s="161"/>
      <c r="P479" s="161"/>
      <c r="Q479" s="161"/>
      <c r="R479" s="161"/>
      <c r="S479" s="161"/>
      <c r="T479" s="161"/>
      <c r="U479" s="161"/>
      <c r="V479" s="161"/>
      <c r="W479" s="161"/>
      <c r="X479" s="161"/>
      <c r="Y479" s="161"/>
      <c r="Z479" s="161"/>
    </row>
    <row r="480">
      <c r="A480" s="18"/>
      <c r="B480" s="18"/>
      <c r="C480" s="18"/>
      <c r="D480" s="161"/>
      <c r="E480" s="161"/>
      <c r="F480" s="511"/>
      <c r="G480" s="161"/>
      <c r="H480" s="161"/>
      <c r="I480" s="161"/>
      <c r="J480" s="161"/>
      <c r="K480" s="161"/>
      <c r="L480" s="161"/>
      <c r="M480" s="161"/>
      <c r="N480" s="161"/>
      <c r="O480" s="161"/>
      <c r="P480" s="161"/>
      <c r="Q480" s="161"/>
      <c r="R480" s="161"/>
      <c r="S480" s="161"/>
      <c r="T480" s="161"/>
      <c r="U480" s="161"/>
      <c r="V480" s="161"/>
      <c r="W480" s="161"/>
      <c r="X480" s="161"/>
      <c r="Y480" s="161"/>
      <c r="Z480" s="161"/>
    </row>
    <row r="481">
      <c r="A481" s="18"/>
      <c r="B481" s="18"/>
      <c r="C481" s="18"/>
      <c r="D481" s="161"/>
      <c r="E481" s="161"/>
      <c r="F481" s="511"/>
      <c r="G481" s="161"/>
      <c r="H481" s="161"/>
      <c r="I481" s="161"/>
      <c r="J481" s="161"/>
      <c r="K481" s="161"/>
      <c r="L481" s="161"/>
      <c r="M481" s="161"/>
      <c r="N481" s="161"/>
      <c r="O481" s="161"/>
      <c r="P481" s="161"/>
      <c r="Q481" s="161"/>
      <c r="R481" s="161"/>
      <c r="S481" s="161"/>
      <c r="T481" s="161"/>
      <c r="U481" s="161"/>
      <c r="V481" s="161"/>
      <c r="W481" s="161"/>
      <c r="X481" s="161"/>
      <c r="Y481" s="161"/>
      <c r="Z481" s="161"/>
    </row>
    <row r="482">
      <c r="A482" s="18"/>
      <c r="B482" s="18"/>
      <c r="C482" s="18"/>
      <c r="D482" s="161"/>
      <c r="E482" s="161"/>
      <c r="F482" s="511"/>
      <c r="G482" s="161"/>
      <c r="H482" s="161"/>
      <c r="I482" s="161"/>
      <c r="J482" s="161"/>
      <c r="K482" s="161"/>
      <c r="L482" s="161"/>
      <c r="M482" s="161"/>
      <c r="N482" s="161"/>
      <c r="O482" s="161"/>
      <c r="P482" s="161"/>
      <c r="Q482" s="161"/>
      <c r="R482" s="161"/>
      <c r="S482" s="161"/>
      <c r="T482" s="161"/>
      <c r="U482" s="161"/>
      <c r="V482" s="161"/>
      <c r="W482" s="161"/>
      <c r="X482" s="161"/>
      <c r="Y482" s="161"/>
      <c r="Z482" s="161"/>
    </row>
    <row r="483">
      <c r="A483" s="18"/>
      <c r="B483" s="18"/>
      <c r="C483" s="18"/>
      <c r="D483" s="161"/>
      <c r="E483" s="161"/>
      <c r="F483" s="511"/>
      <c r="G483" s="161"/>
      <c r="H483" s="161"/>
      <c r="I483" s="161"/>
      <c r="J483" s="161"/>
      <c r="K483" s="161"/>
      <c r="L483" s="161"/>
      <c r="M483" s="161"/>
      <c r="N483" s="161"/>
      <c r="O483" s="161"/>
      <c r="P483" s="161"/>
      <c r="Q483" s="161"/>
      <c r="R483" s="161"/>
      <c r="S483" s="161"/>
      <c r="T483" s="161"/>
      <c r="U483" s="161"/>
      <c r="V483" s="161"/>
      <c r="W483" s="161"/>
      <c r="X483" s="161"/>
      <c r="Y483" s="161"/>
      <c r="Z483" s="161"/>
    </row>
    <row r="484">
      <c r="A484" s="18"/>
      <c r="B484" s="18"/>
      <c r="C484" s="18"/>
      <c r="D484" s="161"/>
      <c r="E484" s="161"/>
      <c r="F484" s="511"/>
      <c r="G484" s="161"/>
      <c r="H484" s="161"/>
      <c r="I484" s="161"/>
      <c r="J484" s="161"/>
      <c r="K484" s="161"/>
      <c r="L484" s="161"/>
      <c r="M484" s="161"/>
      <c r="N484" s="161"/>
      <c r="O484" s="161"/>
      <c r="P484" s="161"/>
      <c r="Q484" s="161"/>
      <c r="R484" s="161"/>
      <c r="S484" s="161"/>
      <c r="T484" s="161"/>
      <c r="U484" s="161"/>
      <c r="V484" s="161"/>
      <c r="W484" s="161"/>
      <c r="X484" s="161"/>
      <c r="Y484" s="161"/>
      <c r="Z484" s="161"/>
    </row>
    <row r="485">
      <c r="A485" s="18"/>
      <c r="B485" s="18"/>
      <c r="C485" s="18"/>
      <c r="D485" s="161"/>
      <c r="E485" s="161"/>
      <c r="F485" s="511"/>
      <c r="G485" s="161"/>
      <c r="H485" s="161"/>
      <c r="I485" s="161"/>
      <c r="J485" s="161"/>
      <c r="K485" s="161"/>
      <c r="L485" s="161"/>
      <c r="M485" s="161"/>
      <c r="N485" s="161"/>
      <c r="O485" s="161"/>
      <c r="P485" s="161"/>
      <c r="Q485" s="161"/>
      <c r="R485" s="161"/>
      <c r="S485" s="161"/>
      <c r="T485" s="161"/>
      <c r="U485" s="161"/>
      <c r="V485" s="161"/>
      <c r="W485" s="161"/>
      <c r="X485" s="161"/>
      <c r="Y485" s="161"/>
      <c r="Z485" s="161"/>
    </row>
    <row r="486">
      <c r="A486" s="18"/>
      <c r="B486" s="18"/>
      <c r="C486" s="18"/>
      <c r="D486" s="161"/>
      <c r="E486" s="161"/>
      <c r="F486" s="511"/>
      <c r="G486" s="161"/>
      <c r="H486" s="161"/>
      <c r="I486" s="161"/>
      <c r="J486" s="161"/>
      <c r="K486" s="161"/>
      <c r="L486" s="161"/>
      <c r="M486" s="161"/>
      <c r="N486" s="161"/>
      <c r="O486" s="161"/>
      <c r="P486" s="161"/>
      <c r="Q486" s="161"/>
      <c r="R486" s="161"/>
      <c r="S486" s="161"/>
      <c r="T486" s="161"/>
      <c r="U486" s="161"/>
      <c r="V486" s="161"/>
      <c r="W486" s="161"/>
      <c r="X486" s="161"/>
      <c r="Y486" s="161"/>
      <c r="Z486" s="161"/>
    </row>
    <row r="487">
      <c r="A487" s="18"/>
      <c r="B487" s="18"/>
      <c r="C487" s="18"/>
      <c r="D487" s="161"/>
      <c r="E487" s="161"/>
      <c r="F487" s="511"/>
      <c r="G487" s="161"/>
      <c r="H487" s="161"/>
      <c r="I487" s="161"/>
      <c r="J487" s="161"/>
      <c r="K487" s="161"/>
      <c r="L487" s="161"/>
      <c r="M487" s="161"/>
      <c r="N487" s="161"/>
      <c r="O487" s="161"/>
      <c r="P487" s="161"/>
      <c r="Q487" s="161"/>
      <c r="R487" s="161"/>
      <c r="S487" s="161"/>
      <c r="T487" s="161"/>
      <c r="U487" s="161"/>
      <c r="V487" s="161"/>
      <c r="W487" s="161"/>
      <c r="X487" s="161"/>
      <c r="Y487" s="161"/>
      <c r="Z487" s="161"/>
    </row>
    <row r="488">
      <c r="A488" s="18"/>
      <c r="B488" s="18"/>
      <c r="C488" s="18"/>
      <c r="D488" s="161"/>
      <c r="E488" s="161"/>
      <c r="F488" s="511"/>
      <c r="G488" s="161"/>
      <c r="H488" s="161"/>
      <c r="I488" s="161"/>
      <c r="J488" s="161"/>
      <c r="K488" s="161"/>
      <c r="L488" s="161"/>
      <c r="M488" s="161"/>
      <c r="N488" s="161"/>
      <c r="O488" s="161"/>
      <c r="P488" s="161"/>
      <c r="Q488" s="161"/>
      <c r="R488" s="161"/>
      <c r="S488" s="161"/>
      <c r="T488" s="161"/>
      <c r="U488" s="161"/>
      <c r="V488" s="161"/>
      <c r="W488" s="161"/>
      <c r="X488" s="161"/>
      <c r="Y488" s="161"/>
      <c r="Z488" s="161"/>
    </row>
    <row r="489">
      <c r="A489" s="18"/>
      <c r="B489" s="18"/>
      <c r="C489" s="18"/>
      <c r="D489" s="161"/>
      <c r="E489" s="161"/>
      <c r="F489" s="511"/>
      <c r="G489" s="161"/>
      <c r="H489" s="161"/>
      <c r="I489" s="161"/>
      <c r="J489" s="161"/>
      <c r="K489" s="161"/>
      <c r="L489" s="161"/>
      <c r="M489" s="161"/>
      <c r="N489" s="161"/>
      <c r="O489" s="161"/>
      <c r="P489" s="161"/>
      <c r="Q489" s="161"/>
      <c r="R489" s="161"/>
      <c r="S489" s="161"/>
      <c r="T489" s="161"/>
      <c r="U489" s="161"/>
      <c r="V489" s="161"/>
      <c r="W489" s="161"/>
      <c r="X489" s="161"/>
      <c r="Y489" s="161"/>
      <c r="Z489" s="161"/>
    </row>
    <row r="490">
      <c r="A490" s="18"/>
      <c r="B490" s="18"/>
      <c r="C490" s="18"/>
      <c r="D490" s="161"/>
      <c r="E490" s="161"/>
      <c r="F490" s="511"/>
      <c r="G490" s="161"/>
      <c r="H490" s="161"/>
      <c r="I490" s="161"/>
      <c r="J490" s="161"/>
      <c r="K490" s="161"/>
      <c r="L490" s="161"/>
      <c r="M490" s="161"/>
      <c r="N490" s="161"/>
      <c r="O490" s="161"/>
      <c r="P490" s="161"/>
      <c r="Q490" s="161"/>
      <c r="R490" s="161"/>
      <c r="S490" s="161"/>
      <c r="T490" s="161"/>
      <c r="U490" s="161"/>
      <c r="V490" s="161"/>
      <c r="W490" s="161"/>
      <c r="X490" s="161"/>
      <c r="Y490" s="161"/>
      <c r="Z490" s="161"/>
    </row>
    <row r="491">
      <c r="A491" s="18"/>
      <c r="B491" s="18"/>
      <c r="C491" s="18"/>
      <c r="D491" s="161"/>
      <c r="E491" s="161"/>
      <c r="F491" s="511"/>
      <c r="G491" s="161"/>
      <c r="H491" s="161"/>
      <c r="I491" s="161"/>
      <c r="J491" s="161"/>
      <c r="K491" s="161"/>
      <c r="L491" s="161"/>
      <c r="M491" s="161"/>
      <c r="N491" s="161"/>
      <c r="O491" s="161"/>
      <c r="P491" s="161"/>
      <c r="Q491" s="161"/>
      <c r="R491" s="161"/>
      <c r="S491" s="161"/>
      <c r="T491" s="161"/>
      <c r="U491" s="161"/>
      <c r="V491" s="161"/>
      <c r="W491" s="161"/>
      <c r="X491" s="161"/>
      <c r="Y491" s="161"/>
      <c r="Z491" s="161"/>
    </row>
    <row r="492">
      <c r="A492" s="18"/>
      <c r="B492" s="18"/>
      <c r="C492" s="18"/>
      <c r="D492" s="161"/>
      <c r="E492" s="161"/>
      <c r="F492" s="511"/>
      <c r="G492" s="161"/>
      <c r="H492" s="161"/>
      <c r="I492" s="161"/>
      <c r="J492" s="161"/>
      <c r="K492" s="161"/>
      <c r="L492" s="161"/>
      <c r="M492" s="161"/>
      <c r="N492" s="161"/>
      <c r="O492" s="161"/>
      <c r="P492" s="161"/>
      <c r="Q492" s="161"/>
      <c r="R492" s="161"/>
      <c r="S492" s="161"/>
      <c r="T492" s="161"/>
      <c r="U492" s="161"/>
      <c r="V492" s="161"/>
      <c r="W492" s="161"/>
      <c r="X492" s="161"/>
      <c r="Y492" s="161"/>
      <c r="Z492" s="161"/>
    </row>
    <row r="493">
      <c r="A493" s="18"/>
      <c r="B493" s="18"/>
      <c r="C493" s="18"/>
      <c r="D493" s="161"/>
      <c r="E493" s="161"/>
      <c r="F493" s="511"/>
      <c r="G493" s="161"/>
      <c r="H493" s="161"/>
      <c r="I493" s="161"/>
      <c r="J493" s="161"/>
      <c r="K493" s="161"/>
      <c r="L493" s="161"/>
      <c r="M493" s="161"/>
      <c r="N493" s="161"/>
      <c r="O493" s="161"/>
      <c r="P493" s="161"/>
      <c r="Q493" s="161"/>
      <c r="R493" s="161"/>
      <c r="S493" s="161"/>
      <c r="T493" s="161"/>
      <c r="U493" s="161"/>
      <c r="V493" s="161"/>
      <c r="W493" s="161"/>
      <c r="X493" s="161"/>
      <c r="Y493" s="161"/>
      <c r="Z493" s="161"/>
    </row>
    <row r="494">
      <c r="A494" s="18"/>
      <c r="B494" s="18"/>
      <c r="C494" s="18"/>
      <c r="D494" s="161"/>
      <c r="E494" s="161"/>
      <c r="F494" s="511"/>
      <c r="G494" s="161"/>
      <c r="H494" s="161"/>
      <c r="I494" s="161"/>
      <c r="J494" s="161"/>
      <c r="K494" s="161"/>
      <c r="L494" s="161"/>
      <c r="M494" s="161"/>
      <c r="N494" s="161"/>
      <c r="O494" s="161"/>
      <c r="P494" s="161"/>
      <c r="Q494" s="161"/>
      <c r="R494" s="161"/>
      <c r="S494" s="161"/>
      <c r="T494" s="161"/>
      <c r="U494" s="161"/>
      <c r="V494" s="161"/>
      <c r="W494" s="161"/>
      <c r="X494" s="161"/>
      <c r="Y494" s="161"/>
      <c r="Z494" s="161"/>
    </row>
    <row r="495">
      <c r="A495" s="18"/>
      <c r="B495" s="18"/>
      <c r="C495" s="18"/>
      <c r="D495" s="161"/>
      <c r="E495" s="161"/>
      <c r="F495" s="511"/>
      <c r="G495" s="161"/>
      <c r="H495" s="161"/>
      <c r="I495" s="161"/>
      <c r="J495" s="161"/>
      <c r="K495" s="161"/>
      <c r="L495" s="161"/>
      <c r="M495" s="161"/>
      <c r="N495" s="161"/>
      <c r="O495" s="161"/>
      <c r="P495" s="161"/>
      <c r="Q495" s="161"/>
      <c r="R495" s="161"/>
      <c r="S495" s="161"/>
      <c r="T495" s="161"/>
      <c r="U495" s="161"/>
      <c r="V495" s="161"/>
      <c r="W495" s="161"/>
      <c r="X495" s="161"/>
      <c r="Y495" s="161"/>
      <c r="Z495" s="161"/>
    </row>
    <row r="496">
      <c r="A496" s="18"/>
      <c r="B496" s="18"/>
      <c r="C496" s="18"/>
      <c r="D496" s="161"/>
      <c r="E496" s="161"/>
      <c r="F496" s="511"/>
      <c r="G496" s="161"/>
      <c r="H496" s="161"/>
      <c r="I496" s="161"/>
      <c r="J496" s="161"/>
      <c r="K496" s="161"/>
      <c r="L496" s="161"/>
      <c r="M496" s="161"/>
      <c r="N496" s="161"/>
      <c r="O496" s="161"/>
      <c r="P496" s="161"/>
      <c r="Q496" s="161"/>
      <c r="R496" s="161"/>
      <c r="S496" s="161"/>
      <c r="T496" s="161"/>
      <c r="U496" s="161"/>
      <c r="V496" s="161"/>
      <c r="W496" s="161"/>
      <c r="X496" s="161"/>
      <c r="Y496" s="161"/>
      <c r="Z496" s="161"/>
    </row>
    <row r="497">
      <c r="A497" s="18"/>
      <c r="B497" s="18"/>
      <c r="C497" s="18"/>
      <c r="D497" s="161"/>
      <c r="E497" s="161"/>
      <c r="F497" s="511"/>
      <c r="G497" s="161"/>
      <c r="H497" s="161"/>
      <c r="I497" s="161"/>
      <c r="J497" s="161"/>
      <c r="K497" s="161"/>
      <c r="L497" s="161"/>
      <c r="M497" s="161"/>
      <c r="N497" s="161"/>
      <c r="O497" s="161"/>
      <c r="P497" s="161"/>
      <c r="Q497" s="161"/>
      <c r="R497" s="161"/>
      <c r="S497" s="161"/>
      <c r="T497" s="161"/>
      <c r="U497" s="161"/>
      <c r="V497" s="161"/>
      <c r="W497" s="161"/>
      <c r="X497" s="161"/>
      <c r="Y497" s="161"/>
      <c r="Z497" s="161"/>
    </row>
    <row r="498">
      <c r="A498" s="18"/>
      <c r="B498" s="18"/>
      <c r="C498" s="18"/>
      <c r="D498" s="161"/>
      <c r="E498" s="161"/>
      <c r="F498" s="511"/>
      <c r="G498" s="161"/>
      <c r="H498" s="161"/>
      <c r="I498" s="161"/>
      <c r="J498" s="161"/>
      <c r="K498" s="161"/>
      <c r="L498" s="161"/>
      <c r="M498" s="161"/>
      <c r="N498" s="161"/>
      <c r="O498" s="161"/>
      <c r="P498" s="161"/>
      <c r="Q498" s="161"/>
      <c r="R498" s="161"/>
      <c r="S498" s="161"/>
      <c r="T498" s="161"/>
      <c r="U498" s="161"/>
      <c r="V498" s="161"/>
      <c r="W498" s="161"/>
      <c r="X498" s="161"/>
      <c r="Y498" s="161"/>
      <c r="Z498" s="161"/>
    </row>
    <row r="499">
      <c r="A499" s="18"/>
      <c r="B499" s="18"/>
      <c r="C499" s="18"/>
      <c r="D499" s="161"/>
      <c r="E499" s="161"/>
      <c r="F499" s="511"/>
      <c r="G499" s="161"/>
      <c r="H499" s="161"/>
      <c r="I499" s="161"/>
      <c r="J499" s="161"/>
      <c r="K499" s="161"/>
      <c r="L499" s="161"/>
      <c r="M499" s="161"/>
      <c r="N499" s="161"/>
      <c r="O499" s="161"/>
      <c r="P499" s="161"/>
      <c r="Q499" s="161"/>
      <c r="R499" s="161"/>
      <c r="S499" s="161"/>
      <c r="T499" s="161"/>
      <c r="U499" s="161"/>
      <c r="V499" s="161"/>
      <c r="W499" s="161"/>
      <c r="X499" s="161"/>
      <c r="Y499" s="161"/>
      <c r="Z499" s="161"/>
    </row>
    <row r="500">
      <c r="A500" s="18"/>
      <c r="B500" s="18"/>
      <c r="C500" s="18"/>
      <c r="D500" s="161"/>
      <c r="E500" s="161"/>
      <c r="F500" s="511"/>
      <c r="G500" s="161"/>
      <c r="H500" s="161"/>
      <c r="I500" s="161"/>
      <c r="J500" s="161"/>
      <c r="K500" s="161"/>
      <c r="L500" s="161"/>
      <c r="M500" s="161"/>
      <c r="N500" s="161"/>
      <c r="O500" s="161"/>
      <c r="P500" s="161"/>
      <c r="Q500" s="161"/>
      <c r="R500" s="161"/>
      <c r="S500" s="161"/>
      <c r="T500" s="161"/>
      <c r="U500" s="161"/>
      <c r="V500" s="161"/>
      <c r="W500" s="161"/>
      <c r="X500" s="161"/>
      <c r="Y500" s="161"/>
      <c r="Z500" s="161"/>
    </row>
    <row r="501">
      <c r="A501" s="18"/>
      <c r="B501" s="18"/>
      <c r="C501" s="18"/>
      <c r="D501" s="161"/>
      <c r="E501" s="161"/>
      <c r="F501" s="511"/>
      <c r="G501" s="161"/>
      <c r="H501" s="161"/>
      <c r="I501" s="161"/>
      <c r="J501" s="161"/>
      <c r="K501" s="161"/>
      <c r="L501" s="161"/>
      <c r="M501" s="161"/>
      <c r="N501" s="161"/>
      <c r="O501" s="161"/>
      <c r="P501" s="161"/>
      <c r="Q501" s="161"/>
      <c r="R501" s="161"/>
      <c r="S501" s="161"/>
      <c r="T501" s="161"/>
      <c r="U501" s="161"/>
      <c r="V501" s="161"/>
      <c r="W501" s="161"/>
      <c r="X501" s="161"/>
      <c r="Y501" s="161"/>
      <c r="Z501" s="161"/>
    </row>
    <row r="502">
      <c r="A502" s="18"/>
      <c r="B502" s="18"/>
      <c r="C502" s="18"/>
      <c r="D502" s="161"/>
      <c r="E502" s="161"/>
      <c r="F502" s="511"/>
      <c r="G502" s="161"/>
      <c r="H502" s="161"/>
      <c r="I502" s="161"/>
      <c r="J502" s="161"/>
      <c r="K502" s="161"/>
      <c r="L502" s="161"/>
      <c r="M502" s="161"/>
      <c r="N502" s="161"/>
      <c r="O502" s="161"/>
      <c r="P502" s="161"/>
      <c r="Q502" s="161"/>
      <c r="R502" s="161"/>
      <c r="S502" s="161"/>
      <c r="T502" s="161"/>
      <c r="U502" s="161"/>
      <c r="V502" s="161"/>
      <c r="W502" s="161"/>
      <c r="X502" s="161"/>
      <c r="Y502" s="161"/>
      <c r="Z502" s="161"/>
    </row>
    <row r="503">
      <c r="A503" s="18"/>
      <c r="B503" s="18"/>
      <c r="C503" s="18"/>
      <c r="D503" s="161"/>
      <c r="E503" s="161"/>
      <c r="F503" s="511"/>
      <c r="G503" s="161"/>
      <c r="H503" s="161"/>
      <c r="I503" s="161"/>
      <c r="J503" s="161"/>
      <c r="K503" s="161"/>
      <c r="L503" s="161"/>
      <c r="M503" s="161"/>
      <c r="N503" s="161"/>
      <c r="O503" s="161"/>
      <c r="P503" s="161"/>
      <c r="Q503" s="161"/>
      <c r="R503" s="161"/>
      <c r="S503" s="161"/>
      <c r="T503" s="161"/>
      <c r="U503" s="161"/>
      <c r="V503" s="161"/>
      <c r="W503" s="161"/>
      <c r="X503" s="161"/>
      <c r="Y503" s="161"/>
      <c r="Z503" s="161"/>
    </row>
    <row r="504">
      <c r="A504" s="18"/>
      <c r="B504" s="18"/>
      <c r="C504" s="18"/>
      <c r="D504" s="161"/>
      <c r="E504" s="161"/>
      <c r="F504" s="511"/>
      <c r="G504" s="161"/>
      <c r="H504" s="161"/>
      <c r="I504" s="161"/>
      <c r="J504" s="161"/>
      <c r="K504" s="161"/>
      <c r="L504" s="161"/>
      <c r="M504" s="161"/>
      <c r="N504" s="161"/>
      <c r="O504" s="161"/>
      <c r="P504" s="161"/>
      <c r="Q504" s="161"/>
      <c r="R504" s="161"/>
      <c r="S504" s="161"/>
      <c r="T504" s="161"/>
      <c r="U504" s="161"/>
      <c r="V504" s="161"/>
      <c r="W504" s="161"/>
      <c r="X504" s="161"/>
      <c r="Y504" s="161"/>
      <c r="Z504" s="161"/>
    </row>
    <row r="505">
      <c r="A505" s="18"/>
      <c r="B505" s="18"/>
      <c r="C505" s="18"/>
      <c r="D505" s="161"/>
      <c r="E505" s="161"/>
      <c r="F505" s="511"/>
      <c r="G505" s="161"/>
      <c r="H505" s="161"/>
      <c r="I505" s="161"/>
      <c r="J505" s="161"/>
      <c r="K505" s="161"/>
      <c r="L505" s="161"/>
      <c r="M505" s="161"/>
      <c r="N505" s="161"/>
      <c r="O505" s="161"/>
      <c r="P505" s="161"/>
      <c r="Q505" s="161"/>
      <c r="R505" s="161"/>
      <c r="S505" s="161"/>
      <c r="T505" s="161"/>
      <c r="U505" s="161"/>
      <c r="V505" s="161"/>
      <c r="W505" s="161"/>
      <c r="X505" s="161"/>
      <c r="Y505" s="161"/>
      <c r="Z505" s="161"/>
    </row>
    <row r="506">
      <c r="A506" s="18"/>
      <c r="B506" s="18"/>
      <c r="C506" s="18"/>
      <c r="D506" s="161"/>
      <c r="E506" s="161"/>
      <c r="F506" s="511"/>
      <c r="G506" s="161"/>
      <c r="H506" s="161"/>
      <c r="I506" s="161"/>
      <c r="J506" s="161"/>
      <c r="K506" s="161"/>
      <c r="L506" s="161"/>
      <c r="M506" s="161"/>
      <c r="N506" s="161"/>
      <c r="O506" s="161"/>
      <c r="P506" s="161"/>
      <c r="Q506" s="161"/>
      <c r="R506" s="161"/>
      <c r="S506" s="161"/>
      <c r="T506" s="161"/>
      <c r="U506" s="161"/>
      <c r="V506" s="161"/>
      <c r="W506" s="161"/>
      <c r="X506" s="161"/>
      <c r="Y506" s="161"/>
      <c r="Z506" s="161"/>
    </row>
    <row r="507">
      <c r="A507" s="18"/>
      <c r="B507" s="18"/>
      <c r="C507" s="18"/>
      <c r="D507" s="161"/>
      <c r="E507" s="161"/>
      <c r="F507" s="511"/>
      <c r="G507" s="161"/>
      <c r="H507" s="161"/>
      <c r="I507" s="161"/>
      <c r="J507" s="161"/>
      <c r="K507" s="161"/>
      <c r="L507" s="161"/>
      <c r="M507" s="161"/>
      <c r="N507" s="161"/>
      <c r="O507" s="161"/>
      <c r="P507" s="161"/>
      <c r="Q507" s="161"/>
      <c r="R507" s="161"/>
      <c r="S507" s="161"/>
      <c r="T507" s="161"/>
      <c r="U507" s="161"/>
      <c r="V507" s="161"/>
      <c r="W507" s="161"/>
      <c r="X507" s="161"/>
      <c r="Y507" s="161"/>
      <c r="Z507" s="161"/>
    </row>
    <row r="508">
      <c r="A508" s="18"/>
      <c r="B508" s="18"/>
      <c r="C508" s="18"/>
      <c r="D508" s="161"/>
      <c r="E508" s="161"/>
      <c r="F508" s="511"/>
      <c r="G508" s="161"/>
      <c r="H508" s="161"/>
      <c r="I508" s="161"/>
      <c r="J508" s="161"/>
      <c r="K508" s="161"/>
      <c r="L508" s="161"/>
      <c r="M508" s="161"/>
      <c r="N508" s="161"/>
      <c r="O508" s="161"/>
      <c r="P508" s="161"/>
      <c r="Q508" s="161"/>
      <c r="R508" s="161"/>
      <c r="S508" s="161"/>
      <c r="T508" s="161"/>
      <c r="U508" s="161"/>
      <c r="V508" s="161"/>
      <c r="W508" s="161"/>
      <c r="X508" s="161"/>
      <c r="Y508" s="161"/>
      <c r="Z508" s="161"/>
    </row>
    <row r="509">
      <c r="A509" s="18"/>
      <c r="B509" s="18"/>
      <c r="C509" s="18"/>
      <c r="D509" s="161"/>
      <c r="E509" s="161"/>
      <c r="F509" s="511"/>
      <c r="G509" s="161"/>
      <c r="H509" s="161"/>
      <c r="I509" s="161"/>
      <c r="J509" s="161"/>
      <c r="K509" s="161"/>
      <c r="L509" s="161"/>
      <c r="M509" s="161"/>
      <c r="N509" s="161"/>
      <c r="O509" s="161"/>
      <c r="P509" s="161"/>
      <c r="Q509" s="161"/>
      <c r="R509" s="161"/>
      <c r="S509" s="161"/>
      <c r="T509" s="161"/>
      <c r="U509" s="161"/>
      <c r="V509" s="161"/>
      <c r="W509" s="161"/>
      <c r="X509" s="161"/>
      <c r="Y509" s="161"/>
      <c r="Z509" s="161"/>
    </row>
    <row r="510">
      <c r="A510" s="18"/>
      <c r="B510" s="18"/>
      <c r="C510" s="18"/>
      <c r="D510" s="161"/>
      <c r="E510" s="161"/>
      <c r="F510" s="511"/>
      <c r="G510" s="161"/>
      <c r="H510" s="161"/>
      <c r="I510" s="161"/>
      <c r="J510" s="161"/>
      <c r="K510" s="161"/>
      <c r="L510" s="161"/>
      <c r="M510" s="161"/>
      <c r="N510" s="161"/>
      <c r="O510" s="161"/>
      <c r="P510" s="161"/>
      <c r="Q510" s="161"/>
      <c r="R510" s="161"/>
      <c r="S510" s="161"/>
      <c r="T510" s="161"/>
      <c r="U510" s="161"/>
      <c r="V510" s="161"/>
      <c r="W510" s="161"/>
      <c r="X510" s="161"/>
      <c r="Y510" s="161"/>
      <c r="Z510" s="161"/>
    </row>
    <row r="511">
      <c r="A511" s="18"/>
      <c r="B511" s="18"/>
      <c r="C511" s="18"/>
      <c r="D511" s="161"/>
      <c r="E511" s="161"/>
      <c r="F511" s="511"/>
      <c r="G511" s="161"/>
      <c r="H511" s="161"/>
      <c r="I511" s="161"/>
      <c r="J511" s="161"/>
      <c r="K511" s="161"/>
      <c r="L511" s="161"/>
      <c r="M511" s="161"/>
      <c r="N511" s="161"/>
      <c r="O511" s="161"/>
      <c r="P511" s="161"/>
      <c r="Q511" s="161"/>
      <c r="R511" s="161"/>
      <c r="S511" s="161"/>
      <c r="T511" s="161"/>
      <c r="U511" s="161"/>
      <c r="V511" s="161"/>
      <c r="W511" s="161"/>
      <c r="X511" s="161"/>
      <c r="Y511" s="161"/>
      <c r="Z511" s="161"/>
    </row>
    <row r="512">
      <c r="A512" s="18"/>
      <c r="B512" s="18"/>
      <c r="C512" s="18"/>
      <c r="D512" s="161"/>
      <c r="E512" s="161"/>
      <c r="F512" s="511"/>
      <c r="G512" s="161"/>
      <c r="H512" s="161"/>
      <c r="I512" s="161"/>
      <c r="J512" s="161"/>
      <c r="K512" s="161"/>
      <c r="L512" s="161"/>
      <c r="M512" s="161"/>
      <c r="N512" s="161"/>
      <c r="O512" s="161"/>
      <c r="P512" s="161"/>
      <c r="Q512" s="161"/>
      <c r="R512" s="161"/>
      <c r="S512" s="161"/>
      <c r="T512" s="161"/>
      <c r="U512" s="161"/>
      <c r="V512" s="161"/>
      <c r="W512" s="161"/>
      <c r="X512" s="161"/>
      <c r="Y512" s="161"/>
      <c r="Z512" s="161"/>
    </row>
    <row r="513">
      <c r="A513" s="18"/>
      <c r="B513" s="18"/>
      <c r="C513" s="18"/>
      <c r="D513" s="161"/>
      <c r="E513" s="161"/>
      <c r="F513" s="511"/>
      <c r="G513" s="161"/>
      <c r="H513" s="161"/>
      <c r="I513" s="161"/>
      <c r="J513" s="161"/>
      <c r="K513" s="161"/>
      <c r="L513" s="161"/>
      <c r="M513" s="161"/>
      <c r="N513" s="161"/>
      <c r="O513" s="161"/>
      <c r="P513" s="161"/>
      <c r="Q513" s="161"/>
      <c r="R513" s="161"/>
      <c r="S513" s="161"/>
      <c r="T513" s="161"/>
      <c r="U513" s="161"/>
      <c r="V513" s="161"/>
      <c r="W513" s="161"/>
      <c r="X513" s="161"/>
      <c r="Y513" s="161"/>
      <c r="Z513" s="161"/>
    </row>
    <row r="514">
      <c r="A514" s="18"/>
      <c r="B514" s="18"/>
      <c r="C514" s="18"/>
      <c r="D514" s="161"/>
      <c r="E514" s="161"/>
      <c r="F514" s="511"/>
      <c r="G514" s="161"/>
      <c r="H514" s="161"/>
      <c r="I514" s="161"/>
      <c r="J514" s="161"/>
      <c r="K514" s="161"/>
      <c r="L514" s="161"/>
      <c r="M514" s="161"/>
      <c r="N514" s="161"/>
      <c r="O514" s="161"/>
      <c r="P514" s="161"/>
      <c r="Q514" s="161"/>
      <c r="R514" s="161"/>
      <c r="S514" s="161"/>
      <c r="T514" s="161"/>
      <c r="U514" s="161"/>
      <c r="V514" s="161"/>
      <c r="W514" s="161"/>
      <c r="X514" s="161"/>
      <c r="Y514" s="161"/>
      <c r="Z514" s="161"/>
    </row>
    <row r="515">
      <c r="A515" s="18"/>
      <c r="B515" s="18"/>
      <c r="C515" s="18"/>
      <c r="D515" s="161"/>
      <c r="E515" s="161"/>
      <c r="F515" s="511"/>
      <c r="G515" s="161"/>
      <c r="H515" s="161"/>
      <c r="I515" s="161"/>
      <c r="J515" s="161"/>
      <c r="K515" s="161"/>
      <c r="L515" s="161"/>
      <c r="M515" s="161"/>
      <c r="N515" s="161"/>
      <c r="O515" s="161"/>
      <c r="P515" s="161"/>
      <c r="Q515" s="161"/>
      <c r="R515" s="161"/>
      <c r="S515" s="161"/>
      <c r="T515" s="161"/>
      <c r="U515" s="161"/>
      <c r="V515" s="161"/>
      <c r="W515" s="161"/>
      <c r="X515" s="161"/>
      <c r="Y515" s="161"/>
      <c r="Z515" s="161"/>
    </row>
    <row r="516">
      <c r="A516" s="18"/>
      <c r="B516" s="18"/>
      <c r="C516" s="18"/>
      <c r="D516" s="161"/>
      <c r="E516" s="161"/>
      <c r="F516" s="511"/>
      <c r="G516" s="161"/>
      <c r="H516" s="161"/>
      <c r="I516" s="161"/>
      <c r="J516" s="161"/>
      <c r="K516" s="161"/>
      <c r="L516" s="161"/>
      <c r="M516" s="161"/>
      <c r="N516" s="161"/>
      <c r="O516" s="161"/>
      <c r="P516" s="161"/>
      <c r="Q516" s="161"/>
      <c r="R516" s="161"/>
      <c r="S516" s="161"/>
      <c r="T516" s="161"/>
      <c r="U516" s="161"/>
      <c r="V516" s="161"/>
      <c r="W516" s="161"/>
      <c r="X516" s="161"/>
      <c r="Y516" s="161"/>
      <c r="Z516" s="161"/>
    </row>
    <row r="517">
      <c r="A517" s="18"/>
      <c r="B517" s="18"/>
      <c r="C517" s="18"/>
      <c r="D517" s="161"/>
      <c r="E517" s="161"/>
      <c r="F517" s="511"/>
      <c r="G517" s="161"/>
      <c r="H517" s="161"/>
      <c r="I517" s="161"/>
      <c r="J517" s="161"/>
      <c r="K517" s="161"/>
      <c r="L517" s="161"/>
      <c r="M517" s="161"/>
      <c r="N517" s="161"/>
      <c r="O517" s="161"/>
      <c r="P517" s="161"/>
      <c r="Q517" s="161"/>
      <c r="R517" s="161"/>
      <c r="S517" s="161"/>
      <c r="T517" s="161"/>
      <c r="U517" s="161"/>
      <c r="V517" s="161"/>
      <c r="W517" s="161"/>
      <c r="X517" s="161"/>
      <c r="Y517" s="161"/>
      <c r="Z517" s="161"/>
    </row>
    <row r="518">
      <c r="A518" s="18"/>
      <c r="B518" s="18"/>
      <c r="C518" s="18"/>
      <c r="D518" s="161"/>
      <c r="E518" s="161"/>
      <c r="F518" s="511"/>
      <c r="G518" s="161"/>
      <c r="H518" s="161"/>
      <c r="I518" s="161"/>
      <c r="J518" s="161"/>
      <c r="K518" s="161"/>
      <c r="L518" s="161"/>
      <c r="M518" s="161"/>
      <c r="N518" s="161"/>
      <c r="O518" s="161"/>
      <c r="P518" s="161"/>
      <c r="Q518" s="161"/>
      <c r="R518" s="161"/>
      <c r="S518" s="161"/>
      <c r="T518" s="161"/>
      <c r="U518" s="161"/>
      <c r="V518" s="161"/>
      <c r="W518" s="161"/>
      <c r="X518" s="161"/>
      <c r="Y518" s="161"/>
      <c r="Z518" s="161"/>
    </row>
    <row r="519">
      <c r="A519" s="18"/>
      <c r="B519" s="18"/>
      <c r="C519" s="18"/>
      <c r="D519" s="161"/>
      <c r="E519" s="161"/>
      <c r="F519" s="511"/>
      <c r="G519" s="161"/>
      <c r="H519" s="161"/>
      <c r="I519" s="161"/>
      <c r="J519" s="161"/>
      <c r="K519" s="161"/>
      <c r="L519" s="161"/>
      <c r="M519" s="161"/>
      <c r="N519" s="161"/>
      <c r="O519" s="161"/>
      <c r="P519" s="161"/>
      <c r="Q519" s="161"/>
      <c r="R519" s="161"/>
      <c r="S519" s="161"/>
      <c r="T519" s="161"/>
      <c r="U519" s="161"/>
      <c r="V519" s="161"/>
      <c r="W519" s="161"/>
      <c r="X519" s="161"/>
      <c r="Y519" s="161"/>
      <c r="Z519" s="161"/>
    </row>
    <row r="520">
      <c r="A520" s="18"/>
      <c r="B520" s="18"/>
      <c r="C520" s="18"/>
      <c r="D520" s="161"/>
      <c r="E520" s="161"/>
      <c r="F520" s="511"/>
      <c r="G520" s="161"/>
      <c r="H520" s="161"/>
      <c r="I520" s="161"/>
      <c r="J520" s="161"/>
      <c r="K520" s="161"/>
      <c r="L520" s="161"/>
      <c r="M520" s="161"/>
      <c r="N520" s="161"/>
      <c r="O520" s="161"/>
      <c r="P520" s="161"/>
      <c r="Q520" s="161"/>
      <c r="R520" s="161"/>
      <c r="S520" s="161"/>
      <c r="T520" s="161"/>
      <c r="U520" s="161"/>
      <c r="V520" s="161"/>
      <c r="W520" s="161"/>
      <c r="X520" s="161"/>
      <c r="Y520" s="161"/>
      <c r="Z520" s="161"/>
    </row>
    <row r="521">
      <c r="A521" s="18"/>
      <c r="B521" s="18"/>
      <c r="C521" s="18"/>
      <c r="D521" s="161"/>
      <c r="E521" s="161"/>
      <c r="F521" s="511"/>
      <c r="G521" s="161"/>
      <c r="H521" s="161"/>
      <c r="I521" s="161"/>
      <c r="J521" s="161"/>
      <c r="K521" s="161"/>
      <c r="L521" s="161"/>
      <c r="M521" s="161"/>
      <c r="N521" s="161"/>
      <c r="O521" s="161"/>
      <c r="P521" s="161"/>
      <c r="Q521" s="161"/>
      <c r="R521" s="161"/>
      <c r="S521" s="161"/>
      <c r="T521" s="161"/>
      <c r="U521" s="161"/>
      <c r="V521" s="161"/>
      <c r="W521" s="161"/>
      <c r="X521" s="161"/>
      <c r="Y521" s="161"/>
      <c r="Z521" s="161"/>
    </row>
    <row r="522">
      <c r="A522" s="18"/>
      <c r="B522" s="18"/>
      <c r="C522" s="18"/>
      <c r="D522" s="161"/>
      <c r="E522" s="161"/>
      <c r="F522" s="511"/>
      <c r="G522" s="161"/>
      <c r="H522" s="161"/>
      <c r="I522" s="161"/>
      <c r="J522" s="161"/>
      <c r="K522" s="161"/>
      <c r="L522" s="161"/>
      <c r="M522" s="161"/>
      <c r="N522" s="161"/>
      <c r="O522" s="161"/>
      <c r="P522" s="161"/>
      <c r="Q522" s="161"/>
      <c r="R522" s="161"/>
      <c r="S522" s="161"/>
      <c r="T522" s="161"/>
      <c r="U522" s="161"/>
      <c r="V522" s="161"/>
      <c r="W522" s="161"/>
      <c r="X522" s="161"/>
      <c r="Y522" s="161"/>
      <c r="Z522" s="161"/>
    </row>
    <row r="523">
      <c r="A523" s="18"/>
      <c r="B523" s="18"/>
      <c r="C523" s="18"/>
      <c r="D523" s="161"/>
      <c r="E523" s="161"/>
      <c r="F523" s="511"/>
      <c r="G523" s="161"/>
      <c r="H523" s="161"/>
      <c r="I523" s="161"/>
      <c r="J523" s="161"/>
      <c r="K523" s="161"/>
      <c r="L523" s="161"/>
      <c r="M523" s="161"/>
      <c r="N523" s="161"/>
      <c r="O523" s="161"/>
      <c r="P523" s="161"/>
      <c r="Q523" s="161"/>
      <c r="R523" s="161"/>
      <c r="S523" s="161"/>
      <c r="T523" s="161"/>
      <c r="U523" s="161"/>
      <c r="V523" s="161"/>
      <c r="W523" s="161"/>
      <c r="X523" s="161"/>
      <c r="Y523" s="161"/>
      <c r="Z523" s="161"/>
    </row>
    <row r="524">
      <c r="A524" s="18"/>
      <c r="B524" s="18"/>
      <c r="C524" s="18"/>
      <c r="D524" s="161"/>
      <c r="E524" s="161"/>
      <c r="F524" s="511"/>
      <c r="G524" s="161"/>
      <c r="H524" s="161"/>
      <c r="I524" s="161"/>
      <c r="J524" s="161"/>
      <c r="K524" s="161"/>
      <c r="L524" s="161"/>
      <c r="M524" s="161"/>
      <c r="N524" s="161"/>
      <c r="O524" s="161"/>
      <c r="P524" s="161"/>
      <c r="Q524" s="161"/>
      <c r="R524" s="161"/>
      <c r="S524" s="161"/>
      <c r="T524" s="161"/>
      <c r="U524" s="161"/>
      <c r="V524" s="161"/>
      <c r="W524" s="161"/>
      <c r="X524" s="161"/>
      <c r="Y524" s="161"/>
      <c r="Z524" s="161"/>
    </row>
    <row r="525">
      <c r="A525" s="18"/>
      <c r="B525" s="18"/>
      <c r="C525" s="18"/>
      <c r="D525" s="161"/>
      <c r="E525" s="161"/>
      <c r="F525" s="511"/>
      <c r="G525" s="161"/>
      <c r="H525" s="161"/>
      <c r="I525" s="161"/>
      <c r="J525" s="161"/>
      <c r="K525" s="161"/>
      <c r="L525" s="161"/>
      <c r="M525" s="161"/>
      <c r="N525" s="161"/>
      <c r="O525" s="161"/>
      <c r="P525" s="161"/>
      <c r="Q525" s="161"/>
      <c r="R525" s="161"/>
      <c r="S525" s="161"/>
      <c r="T525" s="161"/>
      <c r="U525" s="161"/>
      <c r="V525" s="161"/>
      <c r="W525" s="161"/>
      <c r="X525" s="161"/>
      <c r="Y525" s="161"/>
      <c r="Z525" s="161"/>
    </row>
    <row r="526">
      <c r="A526" s="18"/>
      <c r="B526" s="18"/>
      <c r="C526" s="18"/>
      <c r="D526" s="161"/>
      <c r="E526" s="161"/>
      <c r="F526" s="511"/>
      <c r="G526" s="161"/>
      <c r="H526" s="161"/>
      <c r="I526" s="161"/>
      <c r="J526" s="161"/>
      <c r="K526" s="161"/>
      <c r="L526" s="161"/>
      <c r="M526" s="161"/>
      <c r="N526" s="161"/>
      <c r="O526" s="161"/>
      <c r="P526" s="161"/>
      <c r="Q526" s="161"/>
      <c r="R526" s="161"/>
      <c r="S526" s="161"/>
      <c r="T526" s="161"/>
      <c r="U526" s="161"/>
      <c r="V526" s="161"/>
      <c r="W526" s="161"/>
      <c r="X526" s="161"/>
      <c r="Y526" s="161"/>
      <c r="Z526" s="161"/>
    </row>
    <row r="527">
      <c r="A527" s="18"/>
      <c r="B527" s="18"/>
      <c r="C527" s="18"/>
      <c r="D527" s="161"/>
      <c r="E527" s="161"/>
      <c r="F527" s="511"/>
      <c r="G527" s="161"/>
      <c r="H527" s="161"/>
      <c r="I527" s="161"/>
      <c r="J527" s="161"/>
      <c r="K527" s="161"/>
      <c r="L527" s="161"/>
      <c r="M527" s="161"/>
      <c r="N527" s="161"/>
      <c r="O527" s="161"/>
      <c r="P527" s="161"/>
      <c r="Q527" s="161"/>
      <c r="R527" s="161"/>
      <c r="S527" s="161"/>
      <c r="T527" s="161"/>
      <c r="U527" s="161"/>
      <c r="V527" s="161"/>
      <c r="W527" s="161"/>
      <c r="X527" s="161"/>
      <c r="Y527" s="161"/>
      <c r="Z527" s="161"/>
    </row>
    <row r="528">
      <c r="A528" s="18"/>
      <c r="B528" s="18"/>
      <c r="C528" s="18"/>
      <c r="D528" s="161"/>
      <c r="E528" s="161"/>
      <c r="F528" s="511"/>
      <c r="G528" s="161"/>
      <c r="H528" s="161"/>
      <c r="I528" s="161"/>
      <c r="J528" s="161"/>
      <c r="K528" s="161"/>
      <c r="L528" s="161"/>
      <c r="M528" s="161"/>
      <c r="N528" s="161"/>
      <c r="O528" s="161"/>
      <c r="P528" s="161"/>
      <c r="Q528" s="161"/>
      <c r="R528" s="161"/>
      <c r="S528" s="161"/>
      <c r="T528" s="161"/>
      <c r="U528" s="161"/>
      <c r="V528" s="161"/>
      <c r="W528" s="161"/>
      <c r="X528" s="161"/>
      <c r="Y528" s="161"/>
      <c r="Z528" s="161"/>
    </row>
    <row r="529">
      <c r="A529" s="18"/>
      <c r="B529" s="18"/>
      <c r="C529" s="18"/>
      <c r="D529" s="161"/>
      <c r="E529" s="161"/>
      <c r="F529" s="511"/>
      <c r="G529" s="161"/>
      <c r="H529" s="161"/>
      <c r="I529" s="161"/>
      <c r="J529" s="161"/>
      <c r="K529" s="161"/>
      <c r="L529" s="161"/>
      <c r="M529" s="161"/>
      <c r="N529" s="161"/>
      <c r="O529" s="161"/>
      <c r="P529" s="161"/>
      <c r="Q529" s="161"/>
      <c r="R529" s="161"/>
      <c r="S529" s="161"/>
      <c r="T529" s="161"/>
      <c r="U529" s="161"/>
      <c r="V529" s="161"/>
      <c r="W529" s="161"/>
      <c r="X529" s="161"/>
      <c r="Y529" s="161"/>
      <c r="Z529" s="161"/>
    </row>
    <row r="530">
      <c r="A530" s="18"/>
      <c r="B530" s="18"/>
      <c r="C530" s="18"/>
      <c r="D530" s="161"/>
      <c r="E530" s="161"/>
      <c r="F530" s="511"/>
      <c r="G530" s="161"/>
      <c r="H530" s="161"/>
      <c r="I530" s="161"/>
      <c r="J530" s="161"/>
      <c r="K530" s="161"/>
      <c r="L530" s="161"/>
      <c r="M530" s="161"/>
      <c r="N530" s="161"/>
      <c r="O530" s="161"/>
      <c r="P530" s="161"/>
      <c r="Q530" s="161"/>
      <c r="R530" s="161"/>
      <c r="S530" s="161"/>
      <c r="T530" s="161"/>
      <c r="U530" s="161"/>
      <c r="V530" s="161"/>
      <c r="W530" s="161"/>
      <c r="X530" s="161"/>
      <c r="Y530" s="161"/>
      <c r="Z530" s="161"/>
    </row>
    <row r="531">
      <c r="A531" s="18"/>
      <c r="B531" s="18"/>
      <c r="C531" s="18"/>
      <c r="D531" s="161"/>
      <c r="E531" s="161"/>
      <c r="F531" s="511"/>
      <c r="G531" s="161"/>
      <c r="H531" s="161"/>
      <c r="I531" s="161"/>
      <c r="J531" s="161"/>
      <c r="K531" s="161"/>
      <c r="L531" s="161"/>
      <c r="M531" s="161"/>
      <c r="N531" s="161"/>
      <c r="O531" s="161"/>
      <c r="P531" s="161"/>
      <c r="Q531" s="161"/>
      <c r="R531" s="161"/>
      <c r="S531" s="161"/>
      <c r="T531" s="161"/>
      <c r="U531" s="161"/>
      <c r="V531" s="161"/>
      <c r="W531" s="161"/>
      <c r="X531" s="161"/>
      <c r="Y531" s="161"/>
      <c r="Z531" s="161"/>
    </row>
    <row r="532">
      <c r="A532" s="18"/>
      <c r="B532" s="18"/>
      <c r="C532" s="18"/>
      <c r="D532" s="161"/>
      <c r="E532" s="161"/>
      <c r="F532" s="511"/>
      <c r="G532" s="161"/>
      <c r="H532" s="161"/>
      <c r="I532" s="161"/>
      <c r="J532" s="161"/>
      <c r="K532" s="161"/>
      <c r="L532" s="161"/>
      <c r="M532" s="161"/>
      <c r="N532" s="161"/>
      <c r="O532" s="161"/>
      <c r="P532" s="161"/>
      <c r="Q532" s="161"/>
      <c r="R532" s="161"/>
      <c r="S532" s="161"/>
      <c r="T532" s="161"/>
      <c r="U532" s="161"/>
      <c r="V532" s="161"/>
      <c r="W532" s="161"/>
      <c r="X532" s="161"/>
      <c r="Y532" s="161"/>
      <c r="Z532" s="161"/>
    </row>
    <row r="533">
      <c r="A533" s="18"/>
      <c r="B533" s="18"/>
      <c r="C533" s="18"/>
      <c r="D533" s="161"/>
      <c r="E533" s="161"/>
      <c r="F533" s="511"/>
      <c r="G533" s="161"/>
      <c r="H533" s="161"/>
      <c r="I533" s="161"/>
      <c r="J533" s="161"/>
      <c r="K533" s="161"/>
      <c r="L533" s="161"/>
      <c r="M533" s="161"/>
      <c r="N533" s="161"/>
      <c r="O533" s="161"/>
      <c r="P533" s="161"/>
      <c r="Q533" s="161"/>
      <c r="R533" s="161"/>
      <c r="S533" s="161"/>
      <c r="T533" s="161"/>
      <c r="U533" s="161"/>
      <c r="V533" s="161"/>
      <c r="W533" s="161"/>
      <c r="X533" s="161"/>
      <c r="Y533" s="161"/>
      <c r="Z533" s="161"/>
    </row>
    <row r="534">
      <c r="A534" s="18"/>
      <c r="B534" s="18"/>
      <c r="C534" s="18"/>
      <c r="D534" s="161"/>
      <c r="E534" s="161"/>
      <c r="F534" s="511"/>
      <c r="G534" s="161"/>
      <c r="H534" s="161"/>
      <c r="I534" s="161"/>
      <c r="J534" s="161"/>
      <c r="K534" s="161"/>
      <c r="L534" s="161"/>
      <c r="M534" s="161"/>
      <c r="N534" s="161"/>
      <c r="O534" s="161"/>
      <c r="P534" s="161"/>
      <c r="Q534" s="161"/>
      <c r="R534" s="161"/>
      <c r="S534" s="161"/>
      <c r="T534" s="161"/>
      <c r="U534" s="161"/>
      <c r="V534" s="161"/>
      <c r="W534" s="161"/>
      <c r="X534" s="161"/>
      <c r="Y534" s="161"/>
      <c r="Z534" s="161"/>
    </row>
    <row r="535">
      <c r="A535" s="18"/>
      <c r="B535" s="18"/>
      <c r="C535" s="18"/>
      <c r="D535" s="161"/>
      <c r="E535" s="161"/>
      <c r="F535" s="511"/>
      <c r="G535" s="161"/>
      <c r="H535" s="161"/>
      <c r="I535" s="161"/>
      <c r="J535" s="161"/>
      <c r="K535" s="161"/>
      <c r="L535" s="161"/>
      <c r="M535" s="161"/>
      <c r="N535" s="161"/>
      <c r="O535" s="161"/>
      <c r="P535" s="161"/>
      <c r="Q535" s="161"/>
      <c r="R535" s="161"/>
      <c r="S535" s="161"/>
      <c r="T535" s="161"/>
      <c r="U535" s="161"/>
      <c r="V535" s="161"/>
      <c r="W535" s="161"/>
      <c r="X535" s="161"/>
      <c r="Y535" s="161"/>
      <c r="Z535" s="161"/>
    </row>
    <row r="536">
      <c r="A536" s="18"/>
      <c r="B536" s="18"/>
      <c r="C536" s="18"/>
      <c r="D536" s="161"/>
      <c r="E536" s="161"/>
      <c r="F536" s="511"/>
      <c r="G536" s="161"/>
      <c r="H536" s="161"/>
      <c r="I536" s="161"/>
      <c r="J536" s="161"/>
      <c r="K536" s="161"/>
      <c r="L536" s="161"/>
      <c r="M536" s="161"/>
      <c r="N536" s="161"/>
      <c r="O536" s="161"/>
      <c r="P536" s="161"/>
      <c r="Q536" s="161"/>
      <c r="R536" s="161"/>
      <c r="S536" s="161"/>
      <c r="T536" s="161"/>
      <c r="U536" s="161"/>
      <c r="V536" s="161"/>
      <c r="W536" s="161"/>
      <c r="X536" s="161"/>
      <c r="Y536" s="161"/>
      <c r="Z536" s="161"/>
    </row>
    <row r="537">
      <c r="A537" s="18"/>
      <c r="B537" s="18"/>
      <c r="C537" s="18"/>
      <c r="D537" s="161"/>
      <c r="E537" s="161"/>
      <c r="F537" s="511"/>
      <c r="G537" s="161"/>
      <c r="H537" s="161"/>
      <c r="I537" s="161"/>
      <c r="J537" s="161"/>
      <c r="K537" s="161"/>
      <c r="L537" s="161"/>
      <c r="M537" s="161"/>
      <c r="N537" s="161"/>
      <c r="O537" s="161"/>
      <c r="P537" s="161"/>
      <c r="Q537" s="161"/>
      <c r="R537" s="161"/>
      <c r="S537" s="161"/>
      <c r="T537" s="161"/>
      <c r="U537" s="161"/>
      <c r="V537" s="161"/>
      <c r="W537" s="161"/>
      <c r="X537" s="161"/>
      <c r="Y537" s="161"/>
      <c r="Z537" s="161"/>
    </row>
    <row r="538">
      <c r="A538" s="18"/>
      <c r="B538" s="18"/>
      <c r="C538" s="18"/>
      <c r="D538" s="161"/>
      <c r="E538" s="161"/>
      <c r="F538" s="511"/>
      <c r="G538" s="161"/>
      <c r="H538" s="161"/>
      <c r="I538" s="161"/>
      <c r="J538" s="161"/>
      <c r="K538" s="161"/>
      <c r="L538" s="161"/>
      <c r="M538" s="161"/>
      <c r="N538" s="161"/>
      <c r="O538" s="161"/>
      <c r="P538" s="161"/>
      <c r="Q538" s="161"/>
      <c r="R538" s="161"/>
      <c r="S538" s="161"/>
      <c r="T538" s="161"/>
      <c r="U538" s="161"/>
      <c r="V538" s="161"/>
      <c r="W538" s="161"/>
      <c r="X538" s="161"/>
      <c r="Y538" s="161"/>
      <c r="Z538" s="161"/>
    </row>
    <row r="539">
      <c r="A539" s="18"/>
      <c r="B539" s="18"/>
      <c r="C539" s="18"/>
      <c r="D539" s="161"/>
      <c r="E539" s="161"/>
      <c r="F539" s="511"/>
      <c r="G539" s="161"/>
      <c r="H539" s="161"/>
      <c r="I539" s="161"/>
      <c r="J539" s="161"/>
      <c r="K539" s="161"/>
      <c r="L539" s="161"/>
      <c r="M539" s="161"/>
      <c r="N539" s="161"/>
      <c r="O539" s="161"/>
      <c r="P539" s="161"/>
      <c r="Q539" s="161"/>
      <c r="R539" s="161"/>
      <c r="S539" s="161"/>
      <c r="T539" s="161"/>
      <c r="U539" s="161"/>
      <c r="V539" s="161"/>
      <c r="W539" s="161"/>
      <c r="X539" s="161"/>
      <c r="Y539" s="161"/>
      <c r="Z539" s="161"/>
    </row>
    <row r="540">
      <c r="A540" s="18"/>
      <c r="B540" s="18"/>
      <c r="C540" s="18"/>
      <c r="D540" s="161"/>
      <c r="E540" s="161"/>
      <c r="F540" s="511"/>
      <c r="G540" s="161"/>
      <c r="H540" s="161"/>
      <c r="I540" s="161"/>
      <c r="J540" s="161"/>
      <c r="K540" s="161"/>
      <c r="L540" s="161"/>
      <c r="M540" s="161"/>
      <c r="N540" s="161"/>
      <c r="O540" s="161"/>
      <c r="P540" s="161"/>
      <c r="Q540" s="161"/>
      <c r="R540" s="161"/>
      <c r="S540" s="161"/>
      <c r="T540" s="161"/>
      <c r="U540" s="161"/>
      <c r="V540" s="161"/>
      <c r="W540" s="161"/>
      <c r="X540" s="161"/>
      <c r="Y540" s="161"/>
      <c r="Z540" s="161"/>
    </row>
    <row r="541">
      <c r="A541" s="18"/>
      <c r="B541" s="18"/>
      <c r="C541" s="18"/>
      <c r="D541" s="161"/>
      <c r="E541" s="161"/>
      <c r="F541" s="511"/>
      <c r="G541" s="161"/>
      <c r="H541" s="161"/>
      <c r="I541" s="161"/>
      <c r="J541" s="161"/>
      <c r="K541" s="161"/>
      <c r="L541" s="161"/>
      <c r="M541" s="161"/>
      <c r="N541" s="161"/>
      <c r="O541" s="161"/>
      <c r="P541" s="161"/>
      <c r="Q541" s="161"/>
      <c r="R541" s="161"/>
      <c r="S541" s="161"/>
      <c r="T541" s="161"/>
      <c r="U541" s="161"/>
      <c r="V541" s="161"/>
      <c r="W541" s="161"/>
      <c r="X541" s="161"/>
      <c r="Y541" s="161"/>
      <c r="Z541" s="161"/>
    </row>
    <row r="542">
      <c r="A542" s="18"/>
      <c r="B542" s="18"/>
      <c r="C542" s="18"/>
      <c r="D542" s="161"/>
      <c r="E542" s="161"/>
      <c r="F542" s="511"/>
      <c r="G542" s="161"/>
      <c r="H542" s="161"/>
      <c r="I542" s="161"/>
      <c r="J542" s="161"/>
      <c r="K542" s="161"/>
      <c r="L542" s="161"/>
      <c r="M542" s="161"/>
      <c r="N542" s="161"/>
      <c r="O542" s="161"/>
      <c r="P542" s="161"/>
      <c r="Q542" s="161"/>
      <c r="R542" s="161"/>
      <c r="S542" s="161"/>
      <c r="T542" s="161"/>
      <c r="U542" s="161"/>
      <c r="V542" s="161"/>
      <c r="W542" s="161"/>
      <c r="X542" s="161"/>
      <c r="Y542" s="161"/>
      <c r="Z542" s="161"/>
    </row>
    <row r="543">
      <c r="A543" s="18"/>
      <c r="B543" s="18"/>
      <c r="C543" s="18"/>
      <c r="D543" s="161"/>
      <c r="E543" s="161"/>
      <c r="F543" s="511"/>
      <c r="G543" s="161"/>
      <c r="H543" s="161"/>
      <c r="I543" s="161"/>
      <c r="J543" s="161"/>
      <c r="K543" s="161"/>
      <c r="L543" s="161"/>
      <c r="M543" s="161"/>
      <c r="N543" s="161"/>
      <c r="O543" s="161"/>
      <c r="P543" s="161"/>
      <c r="Q543" s="161"/>
      <c r="R543" s="161"/>
      <c r="S543" s="161"/>
      <c r="T543" s="161"/>
      <c r="U543" s="161"/>
      <c r="V543" s="161"/>
      <c r="W543" s="161"/>
      <c r="X543" s="161"/>
      <c r="Y543" s="161"/>
      <c r="Z543" s="161"/>
    </row>
    <row r="544">
      <c r="A544" s="18"/>
      <c r="B544" s="18"/>
      <c r="C544" s="18"/>
      <c r="D544" s="161"/>
      <c r="E544" s="161"/>
      <c r="F544" s="511"/>
      <c r="G544" s="161"/>
      <c r="H544" s="161"/>
      <c r="I544" s="161"/>
      <c r="J544" s="161"/>
      <c r="K544" s="161"/>
      <c r="L544" s="161"/>
      <c r="M544" s="161"/>
      <c r="N544" s="161"/>
      <c r="O544" s="161"/>
      <c r="P544" s="161"/>
      <c r="Q544" s="161"/>
      <c r="R544" s="161"/>
      <c r="S544" s="161"/>
      <c r="T544" s="161"/>
      <c r="U544" s="161"/>
      <c r="V544" s="161"/>
      <c r="W544" s="161"/>
      <c r="X544" s="161"/>
      <c r="Y544" s="161"/>
      <c r="Z544" s="161"/>
    </row>
    <row r="545">
      <c r="A545" s="18"/>
      <c r="B545" s="18"/>
      <c r="C545" s="18"/>
      <c r="D545" s="161"/>
      <c r="E545" s="161"/>
      <c r="F545" s="511"/>
      <c r="G545" s="161"/>
      <c r="H545" s="161"/>
      <c r="I545" s="161"/>
      <c r="J545" s="161"/>
      <c r="K545" s="161"/>
      <c r="L545" s="161"/>
      <c r="M545" s="161"/>
      <c r="N545" s="161"/>
      <c r="O545" s="161"/>
      <c r="P545" s="161"/>
      <c r="Q545" s="161"/>
      <c r="R545" s="161"/>
      <c r="S545" s="161"/>
      <c r="T545" s="161"/>
      <c r="U545" s="161"/>
      <c r="V545" s="161"/>
      <c r="W545" s="161"/>
      <c r="X545" s="161"/>
      <c r="Y545" s="161"/>
      <c r="Z545" s="161"/>
    </row>
    <row r="546">
      <c r="A546" s="18"/>
      <c r="B546" s="18"/>
      <c r="C546" s="18"/>
      <c r="D546" s="161"/>
      <c r="E546" s="161"/>
      <c r="F546" s="511"/>
      <c r="G546" s="161"/>
      <c r="H546" s="161"/>
      <c r="I546" s="161"/>
      <c r="J546" s="161"/>
      <c r="K546" s="161"/>
      <c r="L546" s="161"/>
      <c r="M546" s="161"/>
      <c r="N546" s="161"/>
      <c r="O546" s="161"/>
      <c r="P546" s="161"/>
      <c r="Q546" s="161"/>
      <c r="R546" s="161"/>
      <c r="S546" s="161"/>
      <c r="T546" s="161"/>
      <c r="U546" s="161"/>
      <c r="V546" s="161"/>
      <c r="W546" s="161"/>
      <c r="X546" s="161"/>
      <c r="Y546" s="161"/>
      <c r="Z546" s="161"/>
    </row>
    <row r="547">
      <c r="A547" s="18"/>
      <c r="B547" s="18"/>
      <c r="C547" s="18"/>
      <c r="D547" s="161"/>
      <c r="E547" s="161"/>
      <c r="F547" s="511"/>
      <c r="G547" s="161"/>
      <c r="H547" s="161"/>
      <c r="I547" s="161"/>
      <c r="J547" s="161"/>
      <c r="K547" s="161"/>
      <c r="L547" s="161"/>
      <c r="M547" s="161"/>
      <c r="N547" s="161"/>
      <c r="O547" s="161"/>
      <c r="P547" s="161"/>
      <c r="Q547" s="161"/>
      <c r="R547" s="161"/>
      <c r="S547" s="161"/>
      <c r="T547" s="161"/>
      <c r="U547" s="161"/>
      <c r="V547" s="161"/>
      <c r="W547" s="161"/>
      <c r="X547" s="161"/>
      <c r="Y547" s="161"/>
      <c r="Z547" s="161"/>
    </row>
    <row r="548">
      <c r="A548" s="18"/>
      <c r="B548" s="18"/>
      <c r="C548" s="18"/>
      <c r="D548" s="161"/>
      <c r="E548" s="161"/>
      <c r="F548" s="511"/>
      <c r="G548" s="161"/>
      <c r="H548" s="161"/>
      <c r="I548" s="161"/>
      <c r="J548" s="161"/>
      <c r="K548" s="161"/>
      <c r="L548" s="161"/>
      <c r="M548" s="161"/>
      <c r="N548" s="161"/>
      <c r="O548" s="161"/>
      <c r="P548" s="161"/>
      <c r="Q548" s="161"/>
      <c r="R548" s="161"/>
      <c r="S548" s="161"/>
      <c r="T548" s="161"/>
      <c r="U548" s="161"/>
      <c r="V548" s="161"/>
      <c r="W548" s="161"/>
      <c r="X548" s="161"/>
      <c r="Y548" s="161"/>
      <c r="Z548" s="161"/>
    </row>
    <row r="549">
      <c r="A549" s="18"/>
      <c r="B549" s="18"/>
      <c r="C549" s="18"/>
      <c r="D549" s="161"/>
      <c r="E549" s="161"/>
      <c r="F549" s="511"/>
      <c r="G549" s="161"/>
      <c r="H549" s="161"/>
      <c r="I549" s="161"/>
      <c r="J549" s="161"/>
      <c r="K549" s="161"/>
      <c r="L549" s="161"/>
      <c r="M549" s="161"/>
      <c r="N549" s="161"/>
      <c r="O549" s="161"/>
      <c r="P549" s="161"/>
      <c r="Q549" s="161"/>
      <c r="R549" s="161"/>
      <c r="S549" s="161"/>
      <c r="T549" s="161"/>
      <c r="U549" s="161"/>
      <c r="V549" s="161"/>
      <c r="W549" s="161"/>
      <c r="X549" s="161"/>
      <c r="Y549" s="161"/>
      <c r="Z549" s="161"/>
    </row>
    <row r="550">
      <c r="A550" s="18"/>
      <c r="B550" s="18"/>
      <c r="C550" s="18"/>
      <c r="D550" s="161"/>
      <c r="E550" s="161"/>
      <c r="F550" s="511"/>
      <c r="G550" s="161"/>
      <c r="H550" s="161"/>
      <c r="I550" s="161"/>
      <c r="J550" s="161"/>
      <c r="K550" s="161"/>
      <c r="L550" s="161"/>
      <c r="M550" s="161"/>
      <c r="N550" s="161"/>
      <c r="O550" s="161"/>
      <c r="P550" s="161"/>
      <c r="Q550" s="161"/>
      <c r="R550" s="161"/>
      <c r="S550" s="161"/>
      <c r="T550" s="161"/>
      <c r="U550" s="161"/>
      <c r="V550" s="161"/>
      <c r="W550" s="161"/>
      <c r="X550" s="161"/>
      <c r="Y550" s="161"/>
      <c r="Z550" s="161"/>
    </row>
    <row r="551">
      <c r="A551" s="18"/>
      <c r="B551" s="18"/>
      <c r="C551" s="18"/>
      <c r="D551" s="161"/>
      <c r="E551" s="161"/>
      <c r="F551" s="511"/>
      <c r="G551" s="161"/>
      <c r="H551" s="161"/>
      <c r="I551" s="161"/>
      <c r="J551" s="161"/>
      <c r="K551" s="161"/>
      <c r="L551" s="161"/>
      <c r="M551" s="161"/>
      <c r="N551" s="161"/>
      <c r="O551" s="161"/>
      <c r="P551" s="161"/>
      <c r="Q551" s="161"/>
      <c r="R551" s="161"/>
      <c r="S551" s="161"/>
      <c r="T551" s="161"/>
      <c r="U551" s="161"/>
      <c r="V551" s="161"/>
      <c r="W551" s="161"/>
      <c r="X551" s="161"/>
      <c r="Y551" s="161"/>
      <c r="Z551" s="161"/>
    </row>
    <row r="552">
      <c r="A552" s="18"/>
      <c r="B552" s="18"/>
      <c r="C552" s="18"/>
      <c r="D552" s="161"/>
      <c r="E552" s="161"/>
      <c r="F552" s="511"/>
      <c r="G552" s="161"/>
      <c r="H552" s="161"/>
      <c r="I552" s="161"/>
      <c r="J552" s="161"/>
      <c r="K552" s="161"/>
      <c r="L552" s="161"/>
      <c r="M552" s="161"/>
      <c r="N552" s="161"/>
      <c r="O552" s="161"/>
      <c r="P552" s="161"/>
      <c r="Q552" s="161"/>
      <c r="R552" s="161"/>
      <c r="S552" s="161"/>
      <c r="T552" s="161"/>
      <c r="U552" s="161"/>
      <c r="V552" s="161"/>
      <c r="W552" s="161"/>
      <c r="X552" s="161"/>
      <c r="Y552" s="161"/>
      <c r="Z552" s="161"/>
    </row>
    <row r="553">
      <c r="A553" s="18"/>
      <c r="B553" s="18"/>
      <c r="C553" s="18"/>
      <c r="D553" s="161"/>
      <c r="E553" s="161"/>
      <c r="F553" s="511"/>
      <c r="G553" s="161"/>
      <c r="H553" s="161"/>
      <c r="I553" s="161"/>
      <c r="J553" s="161"/>
      <c r="K553" s="161"/>
      <c r="L553" s="161"/>
      <c r="M553" s="161"/>
      <c r="N553" s="161"/>
      <c r="O553" s="161"/>
      <c r="P553" s="161"/>
      <c r="Q553" s="161"/>
      <c r="R553" s="161"/>
      <c r="S553" s="161"/>
      <c r="T553" s="161"/>
      <c r="U553" s="161"/>
      <c r="V553" s="161"/>
      <c r="W553" s="161"/>
      <c r="X553" s="161"/>
      <c r="Y553" s="161"/>
      <c r="Z553" s="161"/>
    </row>
    <row r="554">
      <c r="A554" s="18"/>
      <c r="B554" s="18"/>
      <c r="C554" s="18"/>
      <c r="D554" s="161"/>
      <c r="E554" s="161"/>
      <c r="F554" s="511"/>
      <c r="G554" s="161"/>
      <c r="H554" s="161"/>
      <c r="I554" s="161"/>
      <c r="J554" s="161"/>
      <c r="K554" s="161"/>
      <c r="L554" s="161"/>
      <c r="M554" s="161"/>
      <c r="N554" s="161"/>
      <c r="O554" s="161"/>
      <c r="P554" s="161"/>
      <c r="Q554" s="161"/>
      <c r="R554" s="161"/>
      <c r="S554" s="161"/>
      <c r="T554" s="161"/>
      <c r="U554" s="161"/>
      <c r="V554" s="161"/>
      <c r="W554" s="161"/>
      <c r="X554" s="161"/>
      <c r="Y554" s="161"/>
      <c r="Z554" s="161"/>
    </row>
    <row r="555">
      <c r="A555" s="18"/>
      <c r="B555" s="18"/>
      <c r="C555" s="18"/>
      <c r="D555" s="161"/>
      <c r="E555" s="161"/>
      <c r="F555" s="511"/>
      <c r="G555" s="161"/>
      <c r="H555" s="161"/>
      <c r="I555" s="161"/>
      <c r="J555" s="161"/>
      <c r="K555" s="161"/>
      <c r="L555" s="161"/>
      <c r="M555" s="161"/>
      <c r="N555" s="161"/>
      <c r="O555" s="161"/>
      <c r="P555" s="161"/>
      <c r="Q555" s="161"/>
      <c r="R555" s="161"/>
      <c r="S555" s="161"/>
      <c r="T555" s="161"/>
      <c r="U555" s="161"/>
      <c r="V555" s="161"/>
      <c r="W555" s="161"/>
      <c r="X555" s="161"/>
      <c r="Y555" s="161"/>
      <c r="Z555" s="161"/>
    </row>
    <row r="556">
      <c r="A556" s="18"/>
      <c r="B556" s="18"/>
      <c r="C556" s="18"/>
      <c r="D556" s="161"/>
      <c r="E556" s="161"/>
      <c r="F556" s="511"/>
      <c r="G556" s="161"/>
      <c r="H556" s="161"/>
      <c r="I556" s="161"/>
      <c r="J556" s="161"/>
      <c r="K556" s="161"/>
      <c r="L556" s="161"/>
      <c r="M556" s="161"/>
      <c r="N556" s="161"/>
      <c r="O556" s="161"/>
      <c r="P556" s="161"/>
      <c r="Q556" s="161"/>
      <c r="R556" s="161"/>
      <c r="S556" s="161"/>
      <c r="T556" s="161"/>
      <c r="U556" s="161"/>
      <c r="V556" s="161"/>
      <c r="W556" s="161"/>
      <c r="X556" s="161"/>
      <c r="Y556" s="161"/>
      <c r="Z556" s="161"/>
    </row>
    <row r="557">
      <c r="A557" s="18"/>
      <c r="B557" s="18"/>
      <c r="C557" s="18"/>
      <c r="D557" s="161"/>
      <c r="E557" s="161"/>
      <c r="F557" s="511"/>
      <c r="G557" s="161"/>
      <c r="H557" s="161"/>
      <c r="I557" s="161"/>
      <c r="J557" s="161"/>
      <c r="K557" s="161"/>
      <c r="L557" s="161"/>
      <c r="M557" s="161"/>
      <c r="N557" s="161"/>
      <c r="O557" s="161"/>
      <c r="P557" s="161"/>
      <c r="Q557" s="161"/>
      <c r="R557" s="161"/>
      <c r="S557" s="161"/>
      <c r="T557" s="161"/>
      <c r="U557" s="161"/>
      <c r="V557" s="161"/>
      <c r="W557" s="161"/>
      <c r="X557" s="161"/>
      <c r="Y557" s="161"/>
      <c r="Z557" s="161"/>
    </row>
    <row r="558">
      <c r="A558" s="18"/>
      <c r="B558" s="18"/>
      <c r="C558" s="18"/>
      <c r="D558" s="161"/>
      <c r="E558" s="161"/>
      <c r="F558" s="511"/>
      <c r="G558" s="161"/>
      <c r="H558" s="161"/>
      <c r="I558" s="161"/>
      <c r="J558" s="161"/>
      <c r="K558" s="161"/>
      <c r="L558" s="161"/>
      <c r="M558" s="161"/>
      <c r="N558" s="161"/>
      <c r="O558" s="161"/>
      <c r="P558" s="161"/>
      <c r="Q558" s="161"/>
      <c r="R558" s="161"/>
      <c r="S558" s="161"/>
      <c r="T558" s="161"/>
      <c r="U558" s="161"/>
      <c r="V558" s="161"/>
      <c r="W558" s="161"/>
      <c r="X558" s="161"/>
      <c r="Y558" s="161"/>
      <c r="Z558" s="161"/>
    </row>
    <row r="559">
      <c r="A559" s="18"/>
      <c r="B559" s="18"/>
      <c r="C559" s="18"/>
      <c r="D559" s="161"/>
      <c r="E559" s="161"/>
      <c r="F559" s="511"/>
      <c r="G559" s="161"/>
      <c r="H559" s="161"/>
      <c r="I559" s="161"/>
      <c r="J559" s="161"/>
      <c r="K559" s="161"/>
      <c r="L559" s="161"/>
      <c r="M559" s="161"/>
      <c r="N559" s="161"/>
      <c r="O559" s="161"/>
      <c r="P559" s="161"/>
      <c r="Q559" s="161"/>
      <c r="R559" s="161"/>
      <c r="S559" s="161"/>
      <c r="T559" s="161"/>
      <c r="U559" s="161"/>
      <c r="V559" s="161"/>
      <c r="W559" s="161"/>
      <c r="X559" s="161"/>
      <c r="Y559" s="161"/>
      <c r="Z559" s="161"/>
    </row>
    <row r="560">
      <c r="A560" s="18"/>
      <c r="B560" s="18"/>
      <c r="C560" s="18"/>
      <c r="D560" s="161"/>
      <c r="E560" s="161"/>
      <c r="F560" s="511"/>
      <c r="G560" s="161"/>
      <c r="H560" s="161"/>
      <c r="I560" s="161"/>
      <c r="J560" s="161"/>
      <c r="K560" s="161"/>
      <c r="L560" s="161"/>
      <c r="M560" s="161"/>
      <c r="N560" s="161"/>
      <c r="O560" s="161"/>
      <c r="P560" s="161"/>
      <c r="Q560" s="161"/>
      <c r="R560" s="161"/>
      <c r="S560" s="161"/>
      <c r="T560" s="161"/>
      <c r="U560" s="161"/>
      <c r="V560" s="161"/>
      <c r="W560" s="161"/>
      <c r="X560" s="161"/>
      <c r="Y560" s="161"/>
      <c r="Z560" s="161"/>
    </row>
    <row r="561">
      <c r="A561" s="18"/>
      <c r="B561" s="18"/>
      <c r="C561" s="18"/>
      <c r="D561" s="161"/>
      <c r="E561" s="161"/>
      <c r="F561" s="511"/>
      <c r="G561" s="161"/>
      <c r="H561" s="161"/>
      <c r="I561" s="161"/>
      <c r="J561" s="161"/>
      <c r="K561" s="161"/>
      <c r="L561" s="161"/>
      <c r="M561" s="161"/>
      <c r="N561" s="161"/>
      <c r="O561" s="161"/>
      <c r="P561" s="161"/>
      <c r="Q561" s="161"/>
      <c r="R561" s="161"/>
      <c r="S561" s="161"/>
      <c r="T561" s="161"/>
      <c r="U561" s="161"/>
      <c r="V561" s="161"/>
      <c r="W561" s="161"/>
      <c r="X561" s="161"/>
      <c r="Y561" s="161"/>
      <c r="Z561" s="161"/>
    </row>
    <row r="562">
      <c r="A562" s="18"/>
      <c r="B562" s="18"/>
      <c r="C562" s="18"/>
      <c r="D562" s="161"/>
      <c r="E562" s="161"/>
      <c r="F562" s="511"/>
      <c r="G562" s="161"/>
      <c r="H562" s="161"/>
      <c r="I562" s="161"/>
      <c r="J562" s="161"/>
      <c r="K562" s="161"/>
      <c r="L562" s="161"/>
      <c r="M562" s="161"/>
      <c r="N562" s="161"/>
      <c r="O562" s="161"/>
      <c r="P562" s="161"/>
      <c r="Q562" s="161"/>
      <c r="R562" s="161"/>
      <c r="S562" s="161"/>
      <c r="T562" s="161"/>
      <c r="U562" s="161"/>
      <c r="V562" s="161"/>
      <c r="W562" s="161"/>
      <c r="X562" s="161"/>
      <c r="Y562" s="161"/>
      <c r="Z562" s="161"/>
    </row>
    <row r="563">
      <c r="A563" s="18"/>
      <c r="B563" s="18"/>
      <c r="C563" s="18"/>
      <c r="D563" s="161"/>
      <c r="E563" s="161"/>
      <c r="F563" s="511"/>
      <c r="G563" s="161"/>
      <c r="H563" s="161"/>
      <c r="I563" s="161"/>
      <c r="J563" s="161"/>
      <c r="K563" s="161"/>
      <c r="L563" s="161"/>
      <c r="M563" s="161"/>
      <c r="N563" s="161"/>
      <c r="O563" s="161"/>
      <c r="P563" s="161"/>
      <c r="Q563" s="161"/>
      <c r="R563" s="161"/>
      <c r="S563" s="161"/>
      <c r="T563" s="161"/>
      <c r="U563" s="161"/>
      <c r="V563" s="161"/>
      <c r="W563" s="161"/>
      <c r="X563" s="161"/>
      <c r="Y563" s="161"/>
      <c r="Z563" s="161"/>
    </row>
    <row r="564">
      <c r="A564" s="18"/>
      <c r="B564" s="18"/>
      <c r="C564" s="18"/>
      <c r="D564" s="161"/>
      <c r="E564" s="161"/>
      <c r="F564" s="511"/>
      <c r="G564" s="161"/>
      <c r="H564" s="161"/>
      <c r="I564" s="161"/>
      <c r="J564" s="161"/>
      <c r="K564" s="161"/>
      <c r="L564" s="161"/>
      <c r="M564" s="161"/>
      <c r="N564" s="161"/>
      <c r="O564" s="161"/>
      <c r="P564" s="161"/>
      <c r="Q564" s="161"/>
      <c r="R564" s="161"/>
      <c r="S564" s="161"/>
      <c r="T564" s="161"/>
      <c r="U564" s="161"/>
      <c r="V564" s="161"/>
      <c r="W564" s="161"/>
      <c r="X564" s="161"/>
      <c r="Y564" s="161"/>
      <c r="Z564" s="161"/>
    </row>
    <row r="565">
      <c r="A565" s="18"/>
      <c r="B565" s="18"/>
      <c r="C565" s="18"/>
      <c r="D565" s="161"/>
      <c r="E565" s="161"/>
      <c r="F565" s="511"/>
      <c r="G565" s="161"/>
      <c r="H565" s="161"/>
      <c r="I565" s="161"/>
      <c r="J565" s="161"/>
      <c r="K565" s="161"/>
      <c r="L565" s="161"/>
      <c r="M565" s="161"/>
      <c r="N565" s="161"/>
      <c r="O565" s="161"/>
      <c r="P565" s="161"/>
      <c r="Q565" s="161"/>
      <c r="R565" s="161"/>
      <c r="S565" s="161"/>
      <c r="T565" s="161"/>
      <c r="U565" s="161"/>
      <c r="V565" s="161"/>
      <c r="W565" s="161"/>
      <c r="X565" s="161"/>
      <c r="Y565" s="161"/>
      <c r="Z565" s="161"/>
    </row>
    <row r="566">
      <c r="A566" s="18"/>
      <c r="B566" s="18"/>
      <c r="C566" s="18"/>
      <c r="D566" s="161"/>
      <c r="E566" s="161"/>
      <c r="F566" s="511"/>
      <c r="G566" s="161"/>
      <c r="H566" s="161"/>
      <c r="I566" s="161"/>
      <c r="J566" s="161"/>
      <c r="K566" s="161"/>
      <c r="L566" s="161"/>
      <c r="M566" s="161"/>
      <c r="N566" s="161"/>
      <c r="O566" s="161"/>
      <c r="P566" s="161"/>
      <c r="Q566" s="161"/>
      <c r="R566" s="161"/>
      <c r="S566" s="161"/>
      <c r="T566" s="161"/>
      <c r="U566" s="161"/>
      <c r="V566" s="161"/>
      <c r="W566" s="161"/>
      <c r="X566" s="161"/>
      <c r="Y566" s="161"/>
      <c r="Z566" s="161"/>
    </row>
    <row r="567">
      <c r="A567" s="18"/>
      <c r="B567" s="18"/>
      <c r="C567" s="18"/>
      <c r="D567" s="161"/>
      <c r="E567" s="161"/>
      <c r="F567" s="511"/>
      <c r="G567" s="161"/>
      <c r="H567" s="161"/>
      <c r="I567" s="161"/>
      <c r="J567" s="161"/>
      <c r="K567" s="161"/>
      <c r="L567" s="161"/>
      <c r="M567" s="161"/>
      <c r="N567" s="161"/>
      <c r="O567" s="161"/>
      <c r="P567" s="161"/>
      <c r="Q567" s="161"/>
      <c r="R567" s="161"/>
      <c r="S567" s="161"/>
      <c r="T567" s="161"/>
      <c r="U567" s="161"/>
      <c r="V567" s="161"/>
      <c r="W567" s="161"/>
      <c r="X567" s="161"/>
      <c r="Y567" s="161"/>
      <c r="Z567" s="161"/>
    </row>
    <row r="568">
      <c r="A568" s="18"/>
      <c r="B568" s="18"/>
      <c r="C568" s="18"/>
      <c r="D568" s="161"/>
      <c r="E568" s="161"/>
      <c r="F568" s="511"/>
      <c r="G568" s="161"/>
      <c r="H568" s="161"/>
      <c r="I568" s="161"/>
      <c r="J568" s="161"/>
      <c r="K568" s="161"/>
      <c r="L568" s="161"/>
      <c r="M568" s="161"/>
      <c r="N568" s="161"/>
      <c r="O568" s="161"/>
      <c r="P568" s="161"/>
      <c r="Q568" s="161"/>
      <c r="R568" s="161"/>
      <c r="S568" s="161"/>
      <c r="T568" s="161"/>
      <c r="U568" s="161"/>
      <c r="V568" s="161"/>
      <c r="W568" s="161"/>
      <c r="X568" s="161"/>
      <c r="Y568" s="161"/>
      <c r="Z568" s="161"/>
    </row>
    <row r="569">
      <c r="A569" s="18"/>
      <c r="B569" s="18"/>
      <c r="C569" s="18"/>
      <c r="D569" s="161"/>
      <c r="E569" s="161"/>
      <c r="F569" s="511"/>
      <c r="G569" s="161"/>
      <c r="H569" s="161"/>
      <c r="I569" s="161"/>
      <c r="J569" s="161"/>
      <c r="K569" s="161"/>
      <c r="L569" s="161"/>
      <c r="M569" s="161"/>
      <c r="N569" s="161"/>
      <c r="O569" s="161"/>
      <c r="P569" s="161"/>
      <c r="Q569" s="161"/>
      <c r="R569" s="161"/>
      <c r="S569" s="161"/>
      <c r="T569" s="161"/>
      <c r="U569" s="161"/>
      <c r="V569" s="161"/>
      <c r="W569" s="161"/>
      <c r="X569" s="161"/>
      <c r="Y569" s="161"/>
      <c r="Z569" s="161"/>
    </row>
    <row r="570">
      <c r="A570" s="18"/>
      <c r="B570" s="18"/>
      <c r="C570" s="18"/>
      <c r="D570" s="161"/>
      <c r="E570" s="161"/>
      <c r="F570" s="511"/>
      <c r="G570" s="161"/>
      <c r="H570" s="161"/>
      <c r="I570" s="161"/>
      <c r="J570" s="161"/>
      <c r="K570" s="161"/>
      <c r="L570" s="161"/>
      <c r="M570" s="161"/>
      <c r="N570" s="161"/>
      <c r="O570" s="161"/>
      <c r="P570" s="161"/>
      <c r="Q570" s="161"/>
      <c r="R570" s="161"/>
      <c r="S570" s="161"/>
      <c r="T570" s="161"/>
      <c r="U570" s="161"/>
      <c r="V570" s="161"/>
      <c r="W570" s="161"/>
      <c r="X570" s="161"/>
      <c r="Y570" s="161"/>
      <c r="Z570" s="161"/>
    </row>
    <row r="571">
      <c r="A571" s="18"/>
      <c r="B571" s="18"/>
      <c r="C571" s="18"/>
      <c r="D571" s="161"/>
      <c r="E571" s="161"/>
      <c r="F571" s="511"/>
      <c r="G571" s="161"/>
      <c r="H571" s="161"/>
      <c r="I571" s="161"/>
      <c r="J571" s="161"/>
      <c r="K571" s="161"/>
      <c r="L571" s="161"/>
      <c r="M571" s="161"/>
      <c r="N571" s="161"/>
      <c r="O571" s="161"/>
      <c r="P571" s="161"/>
      <c r="Q571" s="161"/>
      <c r="R571" s="161"/>
      <c r="S571" s="161"/>
      <c r="T571" s="161"/>
      <c r="U571" s="161"/>
      <c r="V571" s="161"/>
      <c r="W571" s="161"/>
      <c r="X571" s="161"/>
      <c r="Y571" s="161"/>
      <c r="Z571" s="161"/>
    </row>
    <row r="572">
      <c r="A572" s="18"/>
      <c r="B572" s="18"/>
      <c r="C572" s="18"/>
      <c r="D572" s="161"/>
      <c r="E572" s="161"/>
      <c r="F572" s="511"/>
      <c r="G572" s="161"/>
      <c r="H572" s="161"/>
      <c r="I572" s="161"/>
      <c r="J572" s="161"/>
      <c r="K572" s="161"/>
      <c r="L572" s="161"/>
      <c r="M572" s="161"/>
      <c r="N572" s="161"/>
      <c r="O572" s="161"/>
      <c r="P572" s="161"/>
      <c r="Q572" s="161"/>
      <c r="R572" s="161"/>
      <c r="S572" s="161"/>
      <c r="T572" s="161"/>
      <c r="U572" s="161"/>
      <c r="V572" s="161"/>
      <c r="W572" s="161"/>
      <c r="X572" s="161"/>
      <c r="Y572" s="161"/>
      <c r="Z572" s="161"/>
    </row>
    <row r="573">
      <c r="A573" s="18"/>
      <c r="B573" s="18"/>
      <c r="C573" s="18"/>
      <c r="D573" s="161"/>
      <c r="E573" s="161"/>
      <c r="F573" s="511"/>
      <c r="G573" s="161"/>
      <c r="H573" s="161"/>
      <c r="I573" s="161"/>
      <c r="J573" s="161"/>
      <c r="K573" s="161"/>
      <c r="L573" s="161"/>
      <c r="M573" s="161"/>
      <c r="N573" s="161"/>
      <c r="O573" s="161"/>
      <c r="P573" s="161"/>
      <c r="Q573" s="161"/>
      <c r="R573" s="161"/>
      <c r="S573" s="161"/>
      <c r="T573" s="161"/>
      <c r="U573" s="161"/>
      <c r="V573" s="161"/>
      <c r="W573" s="161"/>
      <c r="X573" s="161"/>
      <c r="Y573" s="161"/>
      <c r="Z573" s="161"/>
    </row>
    <row r="574">
      <c r="A574" s="18"/>
      <c r="B574" s="18"/>
      <c r="C574" s="18"/>
      <c r="D574" s="161"/>
      <c r="E574" s="161"/>
      <c r="F574" s="511"/>
      <c r="G574" s="161"/>
      <c r="H574" s="161"/>
      <c r="I574" s="161"/>
      <c r="J574" s="161"/>
      <c r="K574" s="161"/>
      <c r="L574" s="161"/>
      <c r="M574" s="161"/>
      <c r="N574" s="161"/>
      <c r="O574" s="161"/>
      <c r="P574" s="161"/>
      <c r="Q574" s="161"/>
      <c r="R574" s="161"/>
      <c r="S574" s="161"/>
      <c r="T574" s="161"/>
      <c r="U574" s="161"/>
      <c r="V574" s="161"/>
      <c r="W574" s="161"/>
      <c r="X574" s="161"/>
      <c r="Y574" s="161"/>
      <c r="Z574" s="161"/>
    </row>
    <row r="575">
      <c r="A575" s="18"/>
      <c r="B575" s="18"/>
      <c r="C575" s="18"/>
      <c r="D575" s="161"/>
      <c r="E575" s="161"/>
      <c r="F575" s="511"/>
      <c r="G575" s="161"/>
      <c r="H575" s="161"/>
      <c r="I575" s="161"/>
      <c r="J575" s="161"/>
      <c r="K575" s="161"/>
      <c r="L575" s="161"/>
      <c r="M575" s="161"/>
      <c r="N575" s="161"/>
      <c r="O575" s="161"/>
      <c r="P575" s="161"/>
      <c r="Q575" s="161"/>
      <c r="R575" s="161"/>
      <c r="S575" s="161"/>
      <c r="T575" s="161"/>
      <c r="U575" s="161"/>
      <c r="V575" s="161"/>
      <c r="W575" s="161"/>
      <c r="X575" s="161"/>
      <c r="Y575" s="161"/>
      <c r="Z575" s="161"/>
    </row>
    <row r="576">
      <c r="A576" s="18"/>
      <c r="B576" s="18"/>
      <c r="C576" s="18"/>
      <c r="D576" s="161"/>
      <c r="E576" s="161"/>
      <c r="F576" s="511"/>
      <c r="G576" s="161"/>
      <c r="H576" s="161"/>
      <c r="I576" s="161"/>
      <c r="J576" s="161"/>
      <c r="K576" s="161"/>
      <c r="L576" s="161"/>
      <c r="M576" s="161"/>
      <c r="N576" s="161"/>
      <c r="O576" s="161"/>
      <c r="P576" s="161"/>
      <c r="Q576" s="161"/>
      <c r="R576" s="161"/>
      <c r="S576" s="161"/>
      <c r="T576" s="161"/>
      <c r="U576" s="161"/>
      <c r="V576" s="161"/>
      <c r="W576" s="161"/>
      <c r="X576" s="161"/>
      <c r="Y576" s="161"/>
      <c r="Z576" s="161"/>
    </row>
    <row r="577">
      <c r="A577" s="18"/>
      <c r="B577" s="18"/>
      <c r="C577" s="18"/>
      <c r="D577" s="161"/>
      <c r="E577" s="161"/>
      <c r="F577" s="511"/>
      <c r="G577" s="161"/>
      <c r="H577" s="161"/>
      <c r="I577" s="161"/>
      <c r="J577" s="161"/>
      <c r="K577" s="161"/>
      <c r="L577" s="161"/>
      <c r="M577" s="161"/>
      <c r="N577" s="161"/>
      <c r="O577" s="161"/>
      <c r="P577" s="161"/>
      <c r="Q577" s="161"/>
      <c r="R577" s="161"/>
      <c r="S577" s="161"/>
      <c r="T577" s="161"/>
      <c r="U577" s="161"/>
      <c r="V577" s="161"/>
      <c r="W577" s="161"/>
      <c r="X577" s="161"/>
      <c r="Y577" s="161"/>
      <c r="Z577" s="161"/>
    </row>
    <row r="578">
      <c r="A578" s="18"/>
      <c r="B578" s="18"/>
      <c r="C578" s="18"/>
      <c r="D578" s="161"/>
      <c r="E578" s="161"/>
      <c r="F578" s="511"/>
      <c r="G578" s="161"/>
      <c r="H578" s="161"/>
      <c r="I578" s="161"/>
      <c r="J578" s="161"/>
      <c r="K578" s="161"/>
      <c r="L578" s="161"/>
      <c r="M578" s="161"/>
      <c r="N578" s="161"/>
      <c r="O578" s="161"/>
      <c r="P578" s="161"/>
      <c r="Q578" s="161"/>
      <c r="R578" s="161"/>
      <c r="S578" s="161"/>
      <c r="T578" s="161"/>
      <c r="U578" s="161"/>
      <c r="V578" s="161"/>
      <c r="W578" s="161"/>
      <c r="X578" s="161"/>
      <c r="Y578" s="161"/>
      <c r="Z578" s="161"/>
    </row>
    <row r="579">
      <c r="A579" s="18"/>
      <c r="B579" s="18"/>
      <c r="C579" s="18"/>
      <c r="D579" s="161"/>
      <c r="E579" s="161"/>
      <c r="F579" s="511"/>
      <c r="G579" s="161"/>
      <c r="H579" s="161"/>
      <c r="I579" s="161"/>
      <c r="J579" s="161"/>
      <c r="K579" s="161"/>
      <c r="L579" s="161"/>
      <c r="M579" s="161"/>
      <c r="N579" s="161"/>
      <c r="O579" s="161"/>
      <c r="P579" s="161"/>
      <c r="Q579" s="161"/>
      <c r="R579" s="161"/>
      <c r="S579" s="161"/>
      <c r="T579" s="161"/>
      <c r="U579" s="161"/>
      <c r="V579" s="161"/>
      <c r="W579" s="161"/>
      <c r="X579" s="161"/>
      <c r="Y579" s="161"/>
      <c r="Z579" s="161"/>
    </row>
    <row r="580">
      <c r="A580" s="18"/>
      <c r="B580" s="18"/>
      <c r="C580" s="18"/>
      <c r="D580" s="161"/>
      <c r="E580" s="161"/>
      <c r="F580" s="511"/>
      <c r="G580" s="161"/>
      <c r="H580" s="161"/>
      <c r="I580" s="161"/>
      <c r="J580" s="161"/>
      <c r="K580" s="161"/>
      <c r="L580" s="161"/>
      <c r="M580" s="161"/>
      <c r="N580" s="161"/>
      <c r="O580" s="161"/>
      <c r="P580" s="161"/>
      <c r="Q580" s="161"/>
      <c r="R580" s="161"/>
      <c r="S580" s="161"/>
      <c r="T580" s="161"/>
      <c r="U580" s="161"/>
      <c r="V580" s="161"/>
      <c r="W580" s="161"/>
      <c r="X580" s="161"/>
      <c r="Y580" s="161"/>
      <c r="Z580" s="161"/>
    </row>
    <row r="581">
      <c r="A581" s="18"/>
      <c r="B581" s="18"/>
      <c r="C581" s="18"/>
      <c r="D581" s="161"/>
      <c r="E581" s="161"/>
      <c r="F581" s="511"/>
      <c r="G581" s="161"/>
      <c r="H581" s="161"/>
      <c r="I581" s="161"/>
      <c r="J581" s="161"/>
      <c r="K581" s="161"/>
      <c r="L581" s="161"/>
      <c r="M581" s="161"/>
      <c r="N581" s="161"/>
      <c r="O581" s="161"/>
      <c r="P581" s="161"/>
      <c r="Q581" s="161"/>
      <c r="R581" s="161"/>
      <c r="S581" s="161"/>
      <c r="T581" s="161"/>
      <c r="U581" s="161"/>
      <c r="V581" s="161"/>
      <c r="W581" s="161"/>
      <c r="X581" s="161"/>
      <c r="Y581" s="161"/>
      <c r="Z581" s="161"/>
    </row>
    <row r="582">
      <c r="A582" s="18"/>
      <c r="B582" s="18"/>
      <c r="C582" s="18"/>
      <c r="D582" s="161"/>
      <c r="E582" s="161"/>
      <c r="F582" s="511"/>
      <c r="G582" s="161"/>
      <c r="H582" s="161"/>
      <c r="I582" s="161"/>
      <c r="J582" s="161"/>
      <c r="K582" s="161"/>
      <c r="L582" s="161"/>
      <c r="M582" s="161"/>
      <c r="N582" s="161"/>
      <c r="O582" s="161"/>
      <c r="P582" s="161"/>
      <c r="Q582" s="161"/>
      <c r="R582" s="161"/>
      <c r="S582" s="161"/>
      <c r="T582" s="161"/>
      <c r="U582" s="161"/>
      <c r="V582" s="161"/>
      <c r="W582" s="161"/>
      <c r="X582" s="161"/>
      <c r="Y582" s="161"/>
      <c r="Z582" s="161"/>
    </row>
    <row r="583">
      <c r="A583" s="18"/>
      <c r="B583" s="18"/>
      <c r="C583" s="18"/>
      <c r="D583" s="161"/>
      <c r="E583" s="161"/>
      <c r="F583" s="511"/>
      <c r="G583" s="161"/>
      <c r="H583" s="161"/>
      <c r="I583" s="161"/>
      <c r="J583" s="161"/>
      <c r="K583" s="161"/>
      <c r="L583" s="161"/>
      <c r="M583" s="161"/>
      <c r="N583" s="161"/>
      <c r="O583" s="161"/>
      <c r="P583" s="161"/>
      <c r="Q583" s="161"/>
      <c r="R583" s="161"/>
      <c r="S583" s="161"/>
      <c r="T583" s="161"/>
      <c r="U583" s="161"/>
      <c r="V583" s="161"/>
      <c r="W583" s="161"/>
      <c r="X583" s="161"/>
      <c r="Y583" s="161"/>
      <c r="Z583" s="161"/>
    </row>
    <row r="584">
      <c r="A584" s="18"/>
      <c r="B584" s="18"/>
      <c r="C584" s="18"/>
      <c r="D584" s="161"/>
      <c r="E584" s="161"/>
      <c r="F584" s="511"/>
      <c r="G584" s="161"/>
      <c r="H584" s="161"/>
      <c r="I584" s="161"/>
      <c r="J584" s="161"/>
      <c r="K584" s="161"/>
      <c r="L584" s="161"/>
      <c r="M584" s="161"/>
      <c r="N584" s="161"/>
      <c r="O584" s="161"/>
      <c r="P584" s="161"/>
      <c r="Q584" s="161"/>
      <c r="R584" s="161"/>
      <c r="S584" s="161"/>
      <c r="T584" s="161"/>
      <c r="U584" s="161"/>
      <c r="V584" s="161"/>
      <c r="W584" s="161"/>
      <c r="X584" s="161"/>
      <c r="Y584" s="161"/>
      <c r="Z584" s="161"/>
    </row>
    <row r="585">
      <c r="A585" s="18"/>
      <c r="B585" s="18"/>
      <c r="C585" s="18"/>
      <c r="D585" s="161"/>
      <c r="E585" s="161"/>
      <c r="F585" s="511"/>
      <c r="G585" s="161"/>
      <c r="H585" s="161"/>
      <c r="I585" s="161"/>
      <c r="J585" s="161"/>
      <c r="K585" s="161"/>
      <c r="L585" s="161"/>
      <c r="M585" s="161"/>
      <c r="N585" s="161"/>
      <c r="O585" s="161"/>
      <c r="P585" s="161"/>
      <c r="Q585" s="161"/>
      <c r="R585" s="161"/>
      <c r="S585" s="161"/>
      <c r="T585" s="161"/>
      <c r="U585" s="161"/>
      <c r="V585" s="161"/>
      <c r="W585" s="161"/>
      <c r="X585" s="161"/>
      <c r="Y585" s="161"/>
      <c r="Z585" s="161"/>
    </row>
    <row r="586">
      <c r="A586" s="18"/>
      <c r="B586" s="18"/>
      <c r="C586" s="18"/>
      <c r="D586" s="161"/>
      <c r="E586" s="161"/>
      <c r="F586" s="511"/>
      <c r="G586" s="161"/>
      <c r="H586" s="161"/>
      <c r="I586" s="161"/>
      <c r="J586" s="161"/>
      <c r="K586" s="161"/>
      <c r="L586" s="161"/>
      <c r="M586" s="161"/>
      <c r="N586" s="161"/>
      <c r="O586" s="161"/>
      <c r="P586" s="161"/>
      <c r="Q586" s="161"/>
      <c r="R586" s="161"/>
      <c r="S586" s="161"/>
      <c r="T586" s="161"/>
      <c r="U586" s="161"/>
      <c r="V586" s="161"/>
      <c r="W586" s="161"/>
      <c r="X586" s="161"/>
      <c r="Y586" s="161"/>
      <c r="Z586" s="161"/>
    </row>
    <row r="587">
      <c r="A587" s="18"/>
      <c r="B587" s="18"/>
      <c r="C587" s="18"/>
      <c r="D587" s="161"/>
      <c r="E587" s="161"/>
      <c r="F587" s="511"/>
      <c r="G587" s="161"/>
      <c r="H587" s="161"/>
      <c r="I587" s="161"/>
      <c r="J587" s="161"/>
      <c r="K587" s="161"/>
      <c r="L587" s="161"/>
      <c r="M587" s="161"/>
      <c r="N587" s="161"/>
      <c r="O587" s="161"/>
      <c r="P587" s="161"/>
      <c r="Q587" s="161"/>
      <c r="R587" s="161"/>
      <c r="S587" s="161"/>
      <c r="T587" s="161"/>
      <c r="U587" s="161"/>
      <c r="V587" s="161"/>
      <c r="W587" s="161"/>
      <c r="X587" s="161"/>
      <c r="Y587" s="161"/>
      <c r="Z587" s="161"/>
    </row>
    <row r="588">
      <c r="A588" s="18"/>
      <c r="B588" s="18"/>
      <c r="C588" s="18"/>
      <c r="D588" s="161"/>
      <c r="E588" s="161"/>
      <c r="F588" s="511"/>
      <c r="G588" s="161"/>
      <c r="H588" s="161"/>
      <c r="I588" s="161"/>
      <c r="J588" s="161"/>
      <c r="K588" s="161"/>
      <c r="L588" s="161"/>
      <c r="M588" s="161"/>
      <c r="N588" s="161"/>
      <c r="O588" s="161"/>
      <c r="P588" s="161"/>
      <c r="Q588" s="161"/>
      <c r="R588" s="161"/>
      <c r="S588" s="161"/>
      <c r="T588" s="161"/>
      <c r="U588" s="161"/>
      <c r="V588" s="161"/>
      <c r="W588" s="161"/>
      <c r="X588" s="161"/>
      <c r="Y588" s="161"/>
      <c r="Z588" s="161"/>
    </row>
    <row r="589">
      <c r="A589" s="18"/>
      <c r="B589" s="18"/>
      <c r="C589" s="18"/>
      <c r="D589" s="161"/>
      <c r="E589" s="161"/>
      <c r="F589" s="511"/>
      <c r="G589" s="161"/>
      <c r="H589" s="161"/>
      <c r="I589" s="161"/>
      <c r="J589" s="161"/>
      <c r="K589" s="161"/>
      <c r="L589" s="161"/>
      <c r="M589" s="161"/>
      <c r="N589" s="161"/>
      <c r="O589" s="161"/>
      <c r="P589" s="161"/>
      <c r="Q589" s="161"/>
      <c r="R589" s="161"/>
      <c r="S589" s="161"/>
      <c r="T589" s="161"/>
      <c r="U589" s="161"/>
      <c r="V589" s="161"/>
      <c r="W589" s="161"/>
      <c r="X589" s="161"/>
      <c r="Y589" s="161"/>
      <c r="Z589" s="161"/>
    </row>
    <row r="590">
      <c r="A590" s="18"/>
      <c r="B590" s="18"/>
      <c r="C590" s="18"/>
      <c r="D590" s="161"/>
      <c r="E590" s="161"/>
      <c r="F590" s="511"/>
      <c r="G590" s="161"/>
      <c r="H590" s="161"/>
      <c r="I590" s="161"/>
      <c r="J590" s="161"/>
      <c r="K590" s="161"/>
      <c r="L590" s="161"/>
      <c r="M590" s="161"/>
      <c r="N590" s="161"/>
      <c r="O590" s="161"/>
      <c r="P590" s="161"/>
      <c r="Q590" s="161"/>
      <c r="R590" s="161"/>
      <c r="S590" s="161"/>
      <c r="T590" s="161"/>
      <c r="U590" s="161"/>
      <c r="V590" s="161"/>
      <c r="W590" s="161"/>
      <c r="X590" s="161"/>
      <c r="Y590" s="161"/>
      <c r="Z590" s="161"/>
    </row>
    <row r="591">
      <c r="A591" s="18"/>
      <c r="B591" s="18"/>
      <c r="C591" s="18"/>
      <c r="D591" s="161"/>
      <c r="E591" s="161"/>
      <c r="F591" s="511"/>
      <c r="G591" s="161"/>
      <c r="H591" s="161"/>
      <c r="I591" s="161"/>
      <c r="J591" s="161"/>
      <c r="K591" s="161"/>
      <c r="L591" s="161"/>
      <c r="M591" s="161"/>
      <c r="N591" s="161"/>
      <c r="O591" s="161"/>
      <c r="P591" s="161"/>
      <c r="Q591" s="161"/>
      <c r="R591" s="161"/>
      <c r="S591" s="161"/>
      <c r="T591" s="161"/>
      <c r="U591" s="161"/>
      <c r="V591" s="161"/>
      <c r="W591" s="161"/>
      <c r="X591" s="161"/>
      <c r="Y591" s="161"/>
      <c r="Z591" s="161"/>
    </row>
    <row r="592">
      <c r="A592" s="18"/>
      <c r="B592" s="18"/>
      <c r="C592" s="18"/>
      <c r="D592" s="161"/>
      <c r="E592" s="161"/>
      <c r="F592" s="511"/>
      <c r="G592" s="161"/>
      <c r="H592" s="161"/>
      <c r="I592" s="161"/>
      <c r="J592" s="161"/>
      <c r="K592" s="161"/>
      <c r="L592" s="161"/>
      <c r="M592" s="161"/>
      <c r="N592" s="161"/>
      <c r="O592" s="161"/>
      <c r="P592" s="161"/>
      <c r="Q592" s="161"/>
      <c r="R592" s="161"/>
      <c r="S592" s="161"/>
      <c r="T592" s="161"/>
      <c r="U592" s="161"/>
      <c r="V592" s="161"/>
      <c r="W592" s="161"/>
      <c r="X592" s="161"/>
      <c r="Y592" s="161"/>
      <c r="Z592" s="161"/>
    </row>
    <row r="593">
      <c r="A593" s="18"/>
      <c r="B593" s="18"/>
      <c r="C593" s="18"/>
      <c r="D593" s="161"/>
      <c r="E593" s="161"/>
      <c r="F593" s="511"/>
      <c r="G593" s="161"/>
      <c r="H593" s="161"/>
      <c r="I593" s="161"/>
      <c r="J593" s="161"/>
      <c r="K593" s="161"/>
      <c r="L593" s="161"/>
      <c r="M593" s="161"/>
      <c r="N593" s="161"/>
      <c r="O593" s="161"/>
      <c r="P593" s="161"/>
      <c r="Q593" s="161"/>
      <c r="R593" s="161"/>
      <c r="S593" s="161"/>
      <c r="T593" s="161"/>
      <c r="U593" s="161"/>
      <c r="V593" s="161"/>
      <c r="W593" s="161"/>
      <c r="X593" s="161"/>
      <c r="Y593" s="161"/>
      <c r="Z593" s="161"/>
    </row>
    <row r="594">
      <c r="A594" s="18"/>
      <c r="B594" s="18"/>
      <c r="C594" s="18"/>
      <c r="D594" s="161"/>
      <c r="E594" s="161"/>
      <c r="F594" s="511"/>
      <c r="G594" s="161"/>
      <c r="H594" s="161"/>
      <c r="I594" s="161"/>
      <c r="J594" s="161"/>
      <c r="K594" s="161"/>
      <c r="L594" s="161"/>
      <c r="M594" s="161"/>
      <c r="N594" s="161"/>
      <c r="O594" s="161"/>
      <c r="P594" s="161"/>
      <c r="Q594" s="161"/>
      <c r="R594" s="161"/>
      <c r="S594" s="161"/>
      <c r="T594" s="161"/>
      <c r="U594" s="161"/>
      <c r="V594" s="161"/>
      <c r="W594" s="161"/>
      <c r="X594" s="161"/>
      <c r="Y594" s="161"/>
      <c r="Z594" s="161"/>
    </row>
    <row r="595">
      <c r="A595" s="18"/>
      <c r="B595" s="18"/>
      <c r="C595" s="18"/>
      <c r="D595" s="161"/>
      <c r="E595" s="161"/>
      <c r="F595" s="511"/>
      <c r="G595" s="161"/>
      <c r="H595" s="161"/>
      <c r="I595" s="161"/>
      <c r="J595" s="161"/>
      <c r="K595" s="161"/>
      <c r="L595" s="161"/>
      <c r="M595" s="161"/>
      <c r="N595" s="161"/>
      <c r="O595" s="161"/>
      <c r="P595" s="161"/>
      <c r="Q595" s="161"/>
      <c r="R595" s="161"/>
      <c r="S595" s="161"/>
      <c r="T595" s="161"/>
      <c r="U595" s="161"/>
      <c r="V595" s="161"/>
      <c r="W595" s="161"/>
      <c r="X595" s="161"/>
      <c r="Y595" s="161"/>
      <c r="Z595" s="161"/>
    </row>
    <row r="596">
      <c r="A596" s="18"/>
      <c r="B596" s="18"/>
      <c r="C596" s="18"/>
      <c r="D596" s="161"/>
      <c r="E596" s="161"/>
      <c r="F596" s="511"/>
      <c r="G596" s="161"/>
      <c r="H596" s="161"/>
      <c r="I596" s="161"/>
      <c r="J596" s="161"/>
      <c r="K596" s="161"/>
      <c r="L596" s="161"/>
      <c r="M596" s="161"/>
      <c r="N596" s="161"/>
      <c r="O596" s="161"/>
      <c r="P596" s="161"/>
      <c r="Q596" s="161"/>
      <c r="R596" s="161"/>
      <c r="S596" s="161"/>
      <c r="T596" s="161"/>
      <c r="U596" s="161"/>
      <c r="V596" s="161"/>
      <c r="W596" s="161"/>
      <c r="X596" s="161"/>
      <c r="Y596" s="161"/>
      <c r="Z596" s="161"/>
    </row>
    <row r="597">
      <c r="A597" s="18"/>
      <c r="B597" s="18"/>
      <c r="C597" s="18"/>
      <c r="D597" s="161"/>
      <c r="E597" s="161"/>
      <c r="F597" s="511"/>
      <c r="G597" s="161"/>
      <c r="H597" s="161"/>
      <c r="I597" s="161"/>
      <c r="J597" s="161"/>
      <c r="K597" s="161"/>
      <c r="L597" s="161"/>
      <c r="M597" s="161"/>
      <c r="N597" s="161"/>
      <c r="O597" s="161"/>
      <c r="P597" s="161"/>
      <c r="Q597" s="161"/>
      <c r="R597" s="161"/>
      <c r="S597" s="161"/>
      <c r="T597" s="161"/>
      <c r="U597" s="161"/>
      <c r="V597" s="161"/>
      <c r="W597" s="161"/>
      <c r="X597" s="161"/>
      <c r="Y597" s="161"/>
      <c r="Z597" s="161"/>
    </row>
    <row r="598">
      <c r="A598" s="18"/>
      <c r="B598" s="18"/>
      <c r="C598" s="18"/>
      <c r="D598" s="161"/>
      <c r="E598" s="161"/>
      <c r="F598" s="511"/>
      <c r="G598" s="161"/>
      <c r="H598" s="161"/>
      <c r="I598" s="161"/>
      <c r="J598" s="161"/>
      <c r="K598" s="161"/>
      <c r="L598" s="161"/>
      <c r="M598" s="161"/>
      <c r="N598" s="161"/>
      <c r="O598" s="161"/>
      <c r="P598" s="161"/>
      <c r="Q598" s="161"/>
      <c r="R598" s="161"/>
      <c r="S598" s="161"/>
      <c r="T598" s="161"/>
      <c r="U598" s="161"/>
      <c r="V598" s="161"/>
      <c r="W598" s="161"/>
      <c r="X598" s="161"/>
      <c r="Y598" s="161"/>
      <c r="Z598" s="161"/>
    </row>
    <row r="599">
      <c r="A599" s="18"/>
      <c r="B599" s="18"/>
      <c r="C599" s="18"/>
      <c r="D599" s="161"/>
      <c r="E599" s="161"/>
      <c r="F599" s="511"/>
      <c r="G599" s="161"/>
      <c r="H599" s="161"/>
      <c r="I599" s="161"/>
      <c r="J599" s="161"/>
      <c r="K599" s="161"/>
      <c r="L599" s="161"/>
      <c r="M599" s="161"/>
      <c r="N599" s="161"/>
      <c r="O599" s="161"/>
      <c r="P599" s="161"/>
      <c r="Q599" s="161"/>
      <c r="R599" s="161"/>
      <c r="S599" s="161"/>
      <c r="T599" s="161"/>
      <c r="U599" s="161"/>
      <c r="V599" s="161"/>
      <c r="W599" s="161"/>
      <c r="X599" s="161"/>
      <c r="Y599" s="161"/>
      <c r="Z599" s="161"/>
    </row>
    <row r="600">
      <c r="A600" s="18"/>
      <c r="B600" s="18"/>
      <c r="C600" s="18"/>
      <c r="D600" s="161"/>
      <c r="E600" s="161"/>
      <c r="F600" s="511"/>
      <c r="G600" s="161"/>
      <c r="H600" s="161"/>
      <c r="I600" s="161"/>
      <c r="J600" s="161"/>
      <c r="K600" s="161"/>
      <c r="L600" s="161"/>
      <c r="M600" s="161"/>
      <c r="N600" s="161"/>
      <c r="O600" s="161"/>
      <c r="P600" s="161"/>
      <c r="Q600" s="161"/>
      <c r="R600" s="161"/>
      <c r="S600" s="161"/>
      <c r="T600" s="161"/>
      <c r="U600" s="161"/>
      <c r="V600" s="161"/>
      <c r="W600" s="161"/>
      <c r="X600" s="161"/>
      <c r="Y600" s="161"/>
      <c r="Z600" s="161"/>
    </row>
    <row r="601">
      <c r="A601" s="18"/>
      <c r="B601" s="18"/>
      <c r="C601" s="18"/>
      <c r="D601" s="161"/>
      <c r="E601" s="161"/>
      <c r="F601" s="511"/>
      <c r="G601" s="161"/>
      <c r="H601" s="161"/>
      <c r="I601" s="161"/>
      <c r="J601" s="161"/>
      <c r="K601" s="161"/>
      <c r="L601" s="161"/>
      <c r="M601" s="161"/>
      <c r="N601" s="161"/>
      <c r="O601" s="161"/>
      <c r="P601" s="161"/>
      <c r="Q601" s="161"/>
      <c r="R601" s="161"/>
      <c r="S601" s="161"/>
      <c r="T601" s="161"/>
      <c r="U601" s="161"/>
      <c r="V601" s="161"/>
      <c r="W601" s="161"/>
      <c r="X601" s="161"/>
      <c r="Y601" s="161"/>
      <c r="Z601" s="161"/>
    </row>
    <row r="602">
      <c r="A602" s="18"/>
      <c r="B602" s="18"/>
      <c r="C602" s="18"/>
      <c r="D602" s="161"/>
      <c r="E602" s="161"/>
      <c r="F602" s="511"/>
      <c r="G602" s="161"/>
      <c r="H602" s="161"/>
      <c r="I602" s="161"/>
      <c r="J602" s="161"/>
      <c r="K602" s="161"/>
      <c r="L602" s="161"/>
      <c r="M602" s="161"/>
      <c r="N602" s="161"/>
      <c r="O602" s="161"/>
      <c r="P602" s="161"/>
      <c r="Q602" s="161"/>
      <c r="R602" s="161"/>
      <c r="S602" s="161"/>
      <c r="T602" s="161"/>
      <c r="U602" s="161"/>
      <c r="V602" s="161"/>
      <c r="W602" s="161"/>
      <c r="X602" s="161"/>
      <c r="Y602" s="161"/>
      <c r="Z602" s="161"/>
    </row>
    <row r="603">
      <c r="A603" s="18"/>
      <c r="B603" s="18"/>
      <c r="C603" s="18"/>
      <c r="D603" s="161"/>
      <c r="E603" s="161"/>
      <c r="F603" s="511"/>
      <c r="G603" s="161"/>
      <c r="H603" s="161"/>
      <c r="I603" s="161"/>
      <c r="J603" s="161"/>
      <c r="K603" s="161"/>
      <c r="L603" s="161"/>
      <c r="M603" s="161"/>
      <c r="N603" s="161"/>
      <c r="O603" s="161"/>
      <c r="P603" s="161"/>
      <c r="Q603" s="161"/>
      <c r="R603" s="161"/>
      <c r="S603" s="161"/>
      <c r="T603" s="161"/>
      <c r="U603" s="161"/>
      <c r="V603" s="161"/>
      <c r="W603" s="161"/>
      <c r="X603" s="161"/>
      <c r="Y603" s="161"/>
      <c r="Z603" s="161"/>
    </row>
    <row r="604">
      <c r="A604" s="18"/>
      <c r="B604" s="18"/>
      <c r="C604" s="18"/>
      <c r="D604" s="161"/>
      <c r="E604" s="161"/>
      <c r="F604" s="511"/>
      <c r="G604" s="161"/>
      <c r="H604" s="161"/>
      <c r="I604" s="161"/>
      <c r="J604" s="161"/>
      <c r="K604" s="161"/>
      <c r="L604" s="161"/>
      <c r="M604" s="161"/>
      <c r="N604" s="161"/>
      <c r="O604" s="161"/>
      <c r="P604" s="161"/>
      <c r="Q604" s="161"/>
      <c r="R604" s="161"/>
      <c r="S604" s="161"/>
      <c r="T604" s="161"/>
      <c r="U604" s="161"/>
      <c r="V604" s="161"/>
      <c r="W604" s="161"/>
      <c r="X604" s="161"/>
      <c r="Y604" s="161"/>
      <c r="Z604" s="161"/>
    </row>
    <row r="605">
      <c r="A605" s="18"/>
      <c r="B605" s="18"/>
      <c r="C605" s="18"/>
      <c r="D605" s="161"/>
      <c r="E605" s="161"/>
      <c r="F605" s="511"/>
      <c r="G605" s="161"/>
      <c r="H605" s="161"/>
      <c r="I605" s="161"/>
      <c r="J605" s="161"/>
      <c r="K605" s="161"/>
      <c r="L605" s="161"/>
      <c r="M605" s="161"/>
      <c r="N605" s="161"/>
      <c r="O605" s="161"/>
      <c r="P605" s="161"/>
      <c r="Q605" s="161"/>
      <c r="R605" s="161"/>
      <c r="S605" s="161"/>
      <c r="T605" s="161"/>
      <c r="U605" s="161"/>
      <c r="V605" s="161"/>
      <c r="W605" s="161"/>
      <c r="X605" s="161"/>
      <c r="Y605" s="161"/>
      <c r="Z605" s="161"/>
    </row>
    <row r="606">
      <c r="A606" s="18"/>
      <c r="B606" s="18"/>
      <c r="C606" s="18"/>
      <c r="D606" s="161"/>
      <c r="E606" s="161"/>
      <c r="F606" s="511"/>
      <c r="G606" s="161"/>
      <c r="H606" s="161"/>
      <c r="I606" s="161"/>
      <c r="J606" s="161"/>
      <c r="K606" s="161"/>
      <c r="L606" s="161"/>
      <c r="M606" s="161"/>
      <c r="N606" s="161"/>
      <c r="O606" s="161"/>
      <c r="P606" s="161"/>
      <c r="Q606" s="161"/>
      <c r="R606" s="161"/>
      <c r="S606" s="161"/>
      <c r="T606" s="161"/>
      <c r="U606" s="161"/>
      <c r="V606" s="161"/>
      <c r="W606" s="161"/>
      <c r="X606" s="161"/>
      <c r="Y606" s="161"/>
      <c r="Z606" s="161"/>
    </row>
    <row r="607">
      <c r="A607" s="18"/>
      <c r="B607" s="18"/>
      <c r="C607" s="18"/>
      <c r="D607" s="161"/>
      <c r="E607" s="161"/>
      <c r="F607" s="511"/>
      <c r="G607" s="161"/>
      <c r="H607" s="161"/>
      <c r="I607" s="161"/>
      <c r="J607" s="161"/>
      <c r="K607" s="161"/>
      <c r="L607" s="161"/>
      <c r="M607" s="161"/>
      <c r="N607" s="161"/>
      <c r="O607" s="161"/>
      <c r="P607" s="161"/>
      <c r="Q607" s="161"/>
      <c r="R607" s="161"/>
      <c r="S607" s="161"/>
      <c r="T607" s="161"/>
      <c r="U607" s="161"/>
      <c r="V607" s="161"/>
      <c r="W607" s="161"/>
      <c r="X607" s="161"/>
      <c r="Y607" s="161"/>
      <c r="Z607" s="161"/>
    </row>
    <row r="608">
      <c r="A608" s="18"/>
      <c r="B608" s="18"/>
      <c r="C608" s="18"/>
      <c r="D608" s="161"/>
      <c r="E608" s="161"/>
      <c r="F608" s="511"/>
      <c r="G608" s="161"/>
      <c r="H608" s="161"/>
      <c r="I608" s="161"/>
      <c r="J608" s="161"/>
      <c r="K608" s="161"/>
      <c r="L608" s="161"/>
      <c r="M608" s="161"/>
      <c r="N608" s="161"/>
      <c r="O608" s="161"/>
      <c r="P608" s="161"/>
      <c r="Q608" s="161"/>
      <c r="R608" s="161"/>
      <c r="S608" s="161"/>
      <c r="T608" s="161"/>
      <c r="U608" s="161"/>
      <c r="V608" s="161"/>
      <c r="W608" s="161"/>
      <c r="X608" s="161"/>
      <c r="Y608" s="161"/>
      <c r="Z608" s="161"/>
    </row>
    <row r="609">
      <c r="A609" s="18"/>
      <c r="B609" s="18"/>
      <c r="C609" s="18"/>
      <c r="D609" s="161"/>
      <c r="E609" s="161"/>
      <c r="F609" s="511"/>
      <c r="G609" s="161"/>
      <c r="H609" s="161"/>
      <c r="I609" s="161"/>
      <c r="J609" s="161"/>
      <c r="K609" s="161"/>
      <c r="L609" s="161"/>
      <c r="M609" s="161"/>
      <c r="N609" s="161"/>
      <c r="O609" s="161"/>
      <c r="P609" s="161"/>
      <c r="Q609" s="161"/>
      <c r="R609" s="161"/>
      <c r="S609" s="161"/>
      <c r="T609" s="161"/>
      <c r="U609" s="161"/>
      <c r="V609" s="161"/>
      <c r="W609" s="161"/>
      <c r="X609" s="161"/>
      <c r="Y609" s="161"/>
      <c r="Z609" s="161"/>
    </row>
    <row r="610">
      <c r="A610" s="18"/>
      <c r="B610" s="18"/>
      <c r="C610" s="18"/>
      <c r="D610" s="161"/>
      <c r="E610" s="161"/>
      <c r="F610" s="511"/>
      <c r="G610" s="161"/>
      <c r="H610" s="161"/>
      <c r="I610" s="161"/>
      <c r="J610" s="161"/>
      <c r="K610" s="161"/>
      <c r="L610" s="161"/>
      <c r="M610" s="161"/>
      <c r="N610" s="161"/>
      <c r="O610" s="161"/>
      <c r="P610" s="161"/>
      <c r="Q610" s="161"/>
      <c r="R610" s="161"/>
      <c r="S610" s="161"/>
      <c r="T610" s="161"/>
      <c r="U610" s="161"/>
      <c r="V610" s="161"/>
      <c r="W610" s="161"/>
      <c r="X610" s="161"/>
      <c r="Y610" s="161"/>
      <c r="Z610" s="161"/>
    </row>
    <row r="611">
      <c r="A611" s="18"/>
      <c r="B611" s="18"/>
      <c r="C611" s="18"/>
      <c r="D611" s="161"/>
      <c r="E611" s="161"/>
      <c r="F611" s="511"/>
      <c r="G611" s="161"/>
      <c r="H611" s="161"/>
      <c r="I611" s="161"/>
      <c r="J611" s="161"/>
      <c r="K611" s="161"/>
      <c r="L611" s="161"/>
      <c r="M611" s="161"/>
      <c r="N611" s="161"/>
      <c r="O611" s="161"/>
      <c r="P611" s="161"/>
      <c r="Q611" s="161"/>
      <c r="R611" s="161"/>
      <c r="S611" s="161"/>
      <c r="T611" s="161"/>
      <c r="U611" s="161"/>
      <c r="V611" s="161"/>
      <c r="W611" s="161"/>
      <c r="X611" s="161"/>
      <c r="Y611" s="161"/>
      <c r="Z611" s="161"/>
    </row>
    <row r="612">
      <c r="A612" s="18"/>
      <c r="B612" s="18"/>
      <c r="C612" s="18"/>
      <c r="D612" s="161"/>
      <c r="E612" s="161"/>
      <c r="F612" s="511"/>
      <c r="G612" s="161"/>
      <c r="H612" s="161"/>
      <c r="I612" s="161"/>
      <c r="J612" s="161"/>
      <c r="K612" s="161"/>
      <c r="L612" s="161"/>
      <c r="M612" s="161"/>
      <c r="N612" s="161"/>
      <c r="O612" s="161"/>
      <c r="P612" s="161"/>
      <c r="Q612" s="161"/>
      <c r="R612" s="161"/>
      <c r="S612" s="161"/>
      <c r="T612" s="161"/>
      <c r="U612" s="161"/>
      <c r="V612" s="161"/>
      <c r="W612" s="161"/>
      <c r="X612" s="161"/>
      <c r="Y612" s="161"/>
      <c r="Z612" s="161"/>
    </row>
    <row r="613">
      <c r="A613" s="18"/>
      <c r="B613" s="18"/>
      <c r="C613" s="18"/>
      <c r="D613" s="161"/>
      <c r="E613" s="161"/>
      <c r="F613" s="511"/>
      <c r="G613" s="161"/>
      <c r="H613" s="161"/>
      <c r="I613" s="161"/>
      <c r="J613" s="161"/>
      <c r="K613" s="161"/>
      <c r="L613" s="161"/>
      <c r="M613" s="161"/>
      <c r="N613" s="161"/>
      <c r="O613" s="161"/>
      <c r="P613" s="161"/>
      <c r="Q613" s="161"/>
      <c r="R613" s="161"/>
      <c r="S613" s="161"/>
      <c r="T613" s="161"/>
      <c r="U613" s="161"/>
      <c r="V613" s="161"/>
      <c r="W613" s="161"/>
      <c r="X613" s="161"/>
      <c r="Y613" s="161"/>
      <c r="Z613" s="161"/>
    </row>
    <row r="614">
      <c r="A614" s="18"/>
      <c r="B614" s="18"/>
      <c r="C614" s="18"/>
      <c r="D614" s="161"/>
      <c r="E614" s="161"/>
      <c r="F614" s="511"/>
      <c r="G614" s="161"/>
      <c r="H614" s="161"/>
      <c r="I614" s="161"/>
      <c r="J614" s="161"/>
      <c r="K614" s="161"/>
      <c r="L614" s="161"/>
      <c r="M614" s="161"/>
      <c r="N614" s="161"/>
      <c r="O614" s="161"/>
      <c r="P614" s="161"/>
      <c r="Q614" s="161"/>
      <c r="R614" s="161"/>
      <c r="S614" s="161"/>
      <c r="T614" s="161"/>
      <c r="U614" s="161"/>
      <c r="V614" s="161"/>
      <c r="W614" s="161"/>
      <c r="X614" s="161"/>
      <c r="Y614" s="161"/>
      <c r="Z614" s="161"/>
    </row>
    <row r="615">
      <c r="A615" s="18"/>
      <c r="B615" s="18"/>
      <c r="C615" s="18"/>
      <c r="D615" s="161"/>
      <c r="E615" s="161"/>
      <c r="F615" s="511"/>
      <c r="G615" s="161"/>
      <c r="H615" s="161"/>
      <c r="I615" s="161"/>
      <c r="J615" s="161"/>
      <c r="K615" s="161"/>
      <c r="L615" s="161"/>
      <c r="M615" s="161"/>
      <c r="N615" s="161"/>
      <c r="O615" s="161"/>
      <c r="P615" s="161"/>
      <c r="Q615" s="161"/>
      <c r="R615" s="161"/>
      <c r="S615" s="161"/>
      <c r="T615" s="161"/>
      <c r="U615" s="161"/>
      <c r="V615" s="161"/>
      <c r="W615" s="161"/>
      <c r="X615" s="161"/>
      <c r="Y615" s="161"/>
      <c r="Z615" s="161"/>
    </row>
    <row r="616">
      <c r="A616" s="18"/>
      <c r="B616" s="18"/>
      <c r="C616" s="18"/>
      <c r="D616" s="161"/>
      <c r="E616" s="161"/>
      <c r="F616" s="511"/>
      <c r="G616" s="161"/>
      <c r="H616" s="161"/>
      <c r="I616" s="161"/>
      <c r="J616" s="161"/>
      <c r="K616" s="161"/>
      <c r="L616" s="161"/>
      <c r="M616" s="161"/>
      <c r="N616" s="161"/>
      <c r="O616" s="161"/>
      <c r="P616" s="161"/>
      <c r="Q616" s="161"/>
      <c r="R616" s="161"/>
      <c r="S616" s="161"/>
      <c r="T616" s="161"/>
      <c r="U616" s="161"/>
      <c r="V616" s="161"/>
      <c r="W616" s="161"/>
      <c r="X616" s="161"/>
      <c r="Y616" s="161"/>
      <c r="Z616" s="161"/>
    </row>
    <row r="617">
      <c r="A617" s="18"/>
      <c r="B617" s="18"/>
      <c r="C617" s="18"/>
      <c r="D617" s="161"/>
      <c r="E617" s="161"/>
      <c r="F617" s="511"/>
      <c r="G617" s="161"/>
      <c r="H617" s="161"/>
      <c r="I617" s="161"/>
      <c r="J617" s="161"/>
      <c r="K617" s="161"/>
      <c r="L617" s="161"/>
      <c r="M617" s="161"/>
      <c r="N617" s="161"/>
      <c r="O617" s="161"/>
      <c r="P617" s="161"/>
      <c r="Q617" s="161"/>
      <c r="R617" s="161"/>
      <c r="S617" s="161"/>
      <c r="T617" s="161"/>
      <c r="U617" s="161"/>
      <c r="V617" s="161"/>
      <c r="W617" s="161"/>
      <c r="X617" s="161"/>
      <c r="Y617" s="161"/>
      <c r="Z617" s="161"/>
    </row>
    <row r="618">
      <c r="A618" s="18"/>
      <c r="B618" s="18"/>
      <c r="C618" s="18"/>
      <c r="D618" s="161"/>
      <c r="E618" s="161"/>
      <c r="F618" s="511"/>
      <c r="G618" s="161"/>
      <c r="H618" s="161"/>
      <c r="I618" s="161"/>
      <c r="J618" s="161"/>
      <c r="K618" s="161"/>
      <c r="L618" s="161"/>
      <c r="M618" s="161"/>
      <c r="N618" s="161"/>
      <c r="O618" s="161"/>
      <c r="P618" s="161"/>
      <c r="Q618" s="161"/>
      <c r="R618" s="161"/>
      <c r="S618" s="161"/>
      <c r="T618" s="161"/>
      <c r="U618" s="161"/>
      <c r="V618" s="161"/>
      <c r="W618" s="161"/>
      <c r="X618" s="161"/>
      <c r="Y618" s="161"/>
      <c r="Z618" s="161"/>
    </row>
    <row r="619">
      <c r="A619" s="18"/>
      <c r="B619" s="18"/>
      <c r="C619" s="18"/>
      <c r="D619" s="161"/>
      <c r="E619" s="161"/>
      <c r="F619" s="511"/>
      <c r="G619" s="161"/>
      <c r="H619" s="161"/>
      <c r="I619" s="161"/>
      <c r="J619" s="161"/>
      <c r="K619" s="161"/>
      <c r="L619" s="161"/>
      <c r="M619" s="161"/>
      <c r="N619" s="161"/>
      <c r="O619" s="161"/>
      <c r="P619" s="161"/>
      <c r="Q619" s="161"/>
      <c r="R619" s="161"/>
      <c r="S619" s="161"/>
      <c r="T619" s="161"/>
      <c r="U619" s="161"/>
      <c r="V619" s="161"/>
      <c r="W619" s="161"/>
      <c r="X619" s="161"/>
      <c r="Y619" s="161"/>
      <c r="Z619" s="161"/>
    </row>
    <row r="620">
      <c r="A620" s="18"/>
      <c r="B620" s="18"/>
      <c r="C620" s="18"/>
      <c r="D620" s="161"/>
      <c r="E620" s="161"/>
      <c r="F620" s="511"/>
      <c r="G620" s="161"/>
      <c r="H620" s="161"/>
      <c r="I620" s="161"/>
      <c r="J620" s="161"/>
      <c r="K620" s="161"/>
      <c r="L620" s="161"/>
      <c r="M620" s="161"/>
      <c r="N620" s="161"/>
      <c r="O620" s="161"/>
      <c r="P620" s="161"/>
      <c r="Q620" s="161"/>
      <c r="R620" s="161"/>
      <c r="S620" s="161"/>
      <c r="T620" s="161"/>
      <c r="U620" s="161"/>
      <c r="V620" s="161"/>
      <c r="W620" s="161"/>
      <c r="X620" s="161"/>
      <c r="Y620" s="161"/>
      <c r="Z620" s="161"/>
    </row>
    <row r="621">
      <c r="A621" s="18"/>
      <c r="B621" s="18"/>
      <c r="C621" s="18"/>
      <c r="D621" s="161"/>
      <c r="E621" s="161"/>
      <c r="F621" s="511"/>
      <c r="G621" s="161"/>
      <c r="H621" s="161"/>
      <c r="I621" s="161"/>
      <c r="J621" s="161"/>
      <c r="K621" s="161"/>
      <c r="L621" s="161"/>
      <c r="M621" s="161"/>
      <c r="N621" s="161"/>
      <c r="O621" s="161"/>
      <c r="P621" s="161"/>
      <c r="Q621" s="161"/>
      <c r="R621" s="161"/>
      <c r="S621" s="161"/>
      <c r="T621" s="161"/>
      <c r="U621" s="161"/>
      <c r="V621" s="161"/>
      <c r="W621" s="161"/>
      <c r="X621" s="161"/>
      <c r="Y621" s="161"/>
      <c r="Z621" s="161"/>
    </row>
    <row r="622">
      <c r="A622" s="18"/>
      <c r="B622" s="18"/>
      <c r="C622" s="18"/>
      <c r="D622" s="161"/>
      <c r="E622" s="161"/>
      <c r="F622" s="511"/>
      <c r="G622" s="161"/>
      <c r="H622" s="161"/>
      <c r="I622" s="161"/>
      <c r="J622" s="161"/>
      <c r="K622" s="161"/>
      <c r="L622" s="161"/>
      <c r="M622" s="161"/>
      <c r="N622" s="161"/>
      <c r="O622" s="161"/>
      <c r="P622" s="161"/>
      <c r="Q622" s="161"/>
      <c r="R622" s="161"/>
      <c r="S622" s="161"/>
      <c r="T622" s="161"/>
      <c r="U622" s="161"/>
      <c r="V622" s="161"/>
      <c r="W622" s="161"/>
      <c r="X622" s="161"/>
      <c r="Y622" s="161"/>
      <c r="Z622" s="161"/>
    </row>
    <row r="623">
      <c r="A623" s="18"/>
      <c r="B623" s="18"/>
      <c r="C623" s="18"/>
      <c r="D623" s="161"/>
      <c r="E623" s="161"/>
      <c r="F623" s="511"/>
      <c r="G623" s="161"/>
      <c r="H623" s="161"/>
      <c r="I623" s="161"/>
      <c r="J623" s="161"/>
      <c r="K623" s="161"/>
      <c r="L623" s="161"/>
      <c r="M623" s="161"/>
      <c r="N623" s="161"/>
      <c r="O623" s="161"/>
      <c r="P623" s="161"/>
      <c r="Q623" s="161"/>
      <c r="R623" s="161"/>
      <c r="S623" s="161"/>
      <c r="T623" s="161"/>
      <c r="U623" s="161"/>
      <c r="V623" s="161"/>
      <c r="W623" s="161"/>
      <c r="X623" s="161"/>
      <c r="Y623" s="161"/>
      <c r="Z623" s="161"/>
    </row>
    <row r="624">
      <c r="A624" s="18"/>
      <c r="B624" s="18"/>
      <c r="C624" s="18"/>
      <c r="D624" s="161"/>
      <c r="E624" s="161"/>
      <c r="F624" s="511"/>
      <c r="G624" s="161"/>
      <c r="H624" s="161"/>
      <c r="I624" s="161"/>
      <c r="J624" s="161"/>
      <c r="K624" s="161"/>
      <c r="L624" s="161"/>
      <c r="M624" s="161"/>
      <c r="N624" s="161"/>
      <c r="O624" s="161"/>
      <c r="P624" s="161"/>
      <c r="Q624" s="161"/>
      <c r="R624" s="161"/>
      <c r="S624" s="161"/>
      <c r="T624" s="161"/>
      <c r="U624" s="161"/>
      <c r="V624" s="161"/>
      <c r="W624" s="161"/>
      <c r="X624" s="161"/>
      <c r="Y624" s="161"/>
      <c r="Z624" s="161"/>
    </row>
    <row r="625">
      <c r="A625" s="18"/>
      <c r="B625" s="18"/>
      <c r="C625" s="18"/>
      <c r="D625" s="161"/>
      <c r="E625" s="161"/>
      <c r="F625" s="511"/>
      <c r="G625" s="161"/>
      <c r="H625" s="161"/>
      <c r="I625" s="161"/>
      <c r="J625" s="161"/>
      <c r="K625" s="161"/>
      <c r="L625" s="161"/>
      <c r="M625" s="161"/>
      <c r="N625" s="161"/>
      <c r="O625" s="161"/>
      <c r="P625" s="161"/>
      <c r="Q625" s="161"/>
      <c r="R625" s="161"/>
      <c r="S625" s="161"/>
      <c r="T625" s="161"/>
      <c r="U625" s="161"/>
      <c r="V625" s="161"/>
      <c r="W625" s="161"/>
      <c r="X625" s="161"/>
      <c r="Y625" s="161"/>
      <c r="Z625" s="161"/>
    </row>
    <row r="626">
      <c r="A626" s="18"/>
      <c r="B626" s="18"/>
      <c r="C626" s="18"/>
      <c r="D626" s="161"/>
      <c r="E626" s="161"/>
      <c r="F626" s="511"/>
      <c r="G626" s="161"/>
      <c r="H626" s="161"/>
      <c r="I626" s="161"/>
      <c r="J626" s="161"/>
      <c r="K626" s="161"/>
      <c r="L626" s="161"/>
      <c r="M626" s="161"/>
      <c r="N626" s="161"/>
      <c r="O626" s="161"/>
      <c r="P626" s="161"/>
      <c r="Q626" s="161"/>
      <c r="R626" s="161"/>
      <c r="S626" s="161"/>
      <c r="T626" s="161"/>
      <c r="U626" s="161"/>
      <c r="V626" s="161"/>
      <c r="W626" s="161"/>
      <c r="X626" s="161"/>
      <c r="Y626" s="161"/>
      <c r="Z626" s="161"/>
    </row>
    <row r="627">
      <c r="A627" s="18"/>
      <c r="B627" s="18"/>
      <c r="C627" s="18"/>
      <c r="D627" s="161"/>
      <c r="E627" s="161"/>
      <c r="F627" s="511"/>
      <c r="G627" s="161"/>
      <c r="H627" s="161"/>
      <c r="I627" s="161"/>
      <c r="J627" s="161"/>
      <c r="K627" s="161"/>
      <c r="L627" s="161"/>
      <c r="M627" s="161"/>
      <c r="N627" s="161"/>
      <c r="O627" s="161"/>
      <c r="P627" s="161"/>
      <c r="Q627" s="161"/>
      <c r="R627" s="161"/>
      <c r="S627" s="161"/>
      <c r="T627" s="161"/>
      <c r="U627" s="161"/>
      <c r="V627" s="161"/>
      <c r="W627" s="161"/>
      <c r="X627" s="161"/>
      <c r="Y627" s="161"/>
      <c r="Z627" s="161"/>
    </row>
    <row r="628">
      <c r="A628" s="18"/>
      <c r="B628" s="18"/>
      <c r="C628" s="18"/>
      <c r="D628" s="161"/>
      <c r="E628" s="161"/>
      <c r="F628" s="511"/>
      <c r="G628" s="161"/>
      <c r="H628" s="161"/>
      <c r="I628" s="161"/>
      <c r="J628" s="161"/>
      <c r="K628" s="161"/>
      <c r="L628" s="161"/>
      <c r="M628" s="161"/>
      <c r="N628" s="161"/>
      <c r="O628" s="161"/>
      <c r="P628" s="161"/>
      <c r="Q628" s="161"/>
      <c r="R628" s="161"/>
      <c r="S628" s="161"/>
      <c r="T628" s="161"/>
      <c r="U628" s="161"/>
      <c r="V628" s="161"/>
      <c r="W628" s="161"/>
      <c r="X628" s="161"/>
      <c r="Y628" s="161"/>
      <c r="Z628" s="161"/>
    </row>
    <row r="629">
      <c r="A629" s="18"/>
      <c r="B629" s="18"/>
      <c r="C629" s="18"/>
      <c r="D629" s="161"/>
      <c r="E629" s="161"/>
      <c r="F629" s="511"/>
      <c r="G629" s="161"/>
      <c r="H629" s="161"/>
      <c r="I629" s="161"/>
      <c r="J629" s="161"/>
      <c r="K629" s="161"/>
      <c r="L629" s="161"/>
      <c r="M629" s="161"/>
      <c r="N629" s="161"/>
      <c r="O629" s="161"/>
      <c r="P629" s="161"/>
      <c r="Q629" s="161"/>
      <c r="R629" s="161"/>
      <c r="S629" s="161"/>
      <c r="T629" s="161"/>
      <c r="U629" s="161"/>
      <c r="V629" s="161"/>
      <c r="W629" s="161"/>
      <c r="X629" s="161"/>
      <c r="Y629" s="161"/>
      <c r="Z629" s="161"/>
    </row>
    <row r="630">
      <c r="A630" s="18"/>
      <c r="B630" s="18"/>
      <c r="C630" s="18"/>
      <c r="D630" s="161"/>
      <c r="E630" s="161"/>
      <c r="F630" s="511"/>
      <c r="G630" s="161"/>
      <c r="H630" s="161"/>
      <c r="I630" s="161"/>
      <c r="J630" s="161"/>
      <c r="K630" s="161"/>
      <c r="L630" s="161"/>
      <c r="M630" s="161"/>
      <c r="N630" s="161"/>
      <c r="O630" s="161"/>
      <c r="P630" s="161"/>
      <c r="Q630" s="161"/>
      <c r="R630" s="161"/>
      <c r="S630" s="161"/>
      <c r="T630" s="161"/>
      <c r="U630" s="161"/>
      <c r="V630" s="161"/>
      <c r="W630" s="161"/>
      <c r="X630" s="161"/>
      <c r="Y630" s="161"/>
      <c r="Z630" s="161"/>
    </row>
    <row r="631">
      <c r="A631" s="18"/>
      <c r="B631" s="18"/>
      <c r="C631" s="18"/>
      <c r="D631" s="161"/>
      <c r="E631" s="161"/>
      <c r="F631" s="511"/>
      <c r="G631" s="161"/>
      <c r="H631" s="161"/>
      <c r="I631" s="161"/>
      <c r="J631" s="161"/>
      <c r="K631" s="161"/>
      <c r="L631" s="161"/>
      <c r="M631" s="161"/>
      <c r="N631" s="161"/>
      <c r="O631" s="161"/>
      <c r="P631" s="161"/>
      <c r="Q631" s="161"/>
      <c r="R631" s="161"/>
      <c r="S631" s="161"/>
      <c r="T631" s="161"/>
      <c r="U631" s="161"/>
      <c r="V631" s="161"/>
      <c r="W631" s="161"/>
      <c r="X631" s="161"/>
      <c r="Y631" s="161"/>
      <c r="Z631" s="161"/>
    </row>
    <row r="632">
      <c r="A632" s="18"/>
      <c r="B632" s="18"/>
      <c r="C632" s="18"/>
      <c r="D632" s="161"/>
      <c r="E632" s="161"/>
      <c r="F632" s="511"/>
      <c r="G632" s="161"/>
      <c r="H632" s="161"/>
      <c r="I632" s="161"/>
      <c r="J632" s="161"/>
      <c r="K632" s="161"/>
      <c r="L632" s="161"/>
      <c r="M632" s="161"/>
      <c r="N632" s="161"/>
      <c r="O632" s="161"/>
      <c r="P632" s="161"/>
      <c r="Q632" s="161"/>
      <c r="R632" s="161"/>
      <c r="S632" s="161"/>
      <c r="T632" s="161"/>
      <c r="U632" s="161"/>
      <c r="V632" s="161"/>
      <c r="W632" s="161"/>
      <c r="X632" s="161"/>
      <c r="Y632" s="161"/>
      <c r="Z632" s="161"/>
    </row>
    <row r="633">
      <c r="A633" s="18"/>
      <c r="B633" s="18"/>
      <c r="C633" s="18"/>
      <c r="D633" s="161"/>
      <c r="E633" s="161"/>
      <c r="F633" s="511"/>
      <c r="G633" s="161"/>
      <c r="H633" s="161"/>
      <c r="I633" s="161"/>
      <c r="J633" s="161"/>
      <c r="K633" s="161"/>
      <c r="L633" s="161"/>
      <c r="M633" s="161"/>
      <c r="N633" s="161"/>
      <c r="O633" s="161"/>
      <c r="P633" s="161"/>
      <c r="Q633" s="161"/>
      <c r="R633" s="161"/>
      <c r="S633" s="161"/>
      <c r="T633" s="161"/>
      <c r="U633" s="161"/>
      <c r="V633" s="161"/>
      <c r="W633" s="161"/>
      <c r="X633" s="161"/>
      <c r="Y633" s="161"/>
      <c r="Z633" s="161"/>
    </row>
    <row r="634">
      <c r="A634" s="18"/>
      <c r="B634" s="18"/>
      <c r="C634" s="18"/>
      <c r="D634" s="161"/>
      <c r="E634" s="161"/>
      <c r="F634" s="511"/>
      <c r="G634" s="161"/>
      <c r="H634" s="161"/>
      <c r="I634" s="161"/>
      <c r="J634" s="161"/>
      <c r="K634" s="161"/>
      <c r="L634" s="161"/>
      <c r="M634" s="161"/>
      <c r="N634" s="161"/>
      <c r="O634" s="161"/>
      <c r="P634" s="161"/>
      <c r="Q634" s="161"/>
      <c r="R634" s="161"/>
      <c r="S634" s="161"/>
      <c r="T634" s="161"/>
      <c r="U634" s="161"/>
      <c r="V634" s="161"/>
      <c r="W634" s="161"/>
      <c r="X634" s="161"/>
      <c r="Y634" s="161"/>
      <c r="Z634" s="161"/>
    </row>
    <row r="635">
      <c r="A635" s="18"/>
      <c r="B635" s="18"/>
      <c r="C635" s="18"/>
      <c r="D635" s="161"/>
      <c r="E635" s="161"/>
      <c r="F635" s="511"/>
      <c r="G635" s="161"/>
      <c r="H635" s="161"/>
      <c r="I635" s="161"/>
      <c r="J635" s="161"/>
      <c r="K635" s="161"/>
      <c r="L635" s="161"/>
      <c r="M635" s="161"/>
      <c r="N635" s="161"/>
      <c r="O635" s="161"/>
      <c r="P635" s="161"/>
      <c r="Q635" s="161"/>
      <c r="R635" s="161"/>
      <c r="S635" s="161"/>
      <c r="T635" s="161"/>
      <c r="U635" s="161"/>
      <c r="V635" s="161"/>
      <c r="W635" s="161"/>
      <c r="X635" s="161"/>
      <c r="Y635" s="161"/>
      <c r="Z635" s="161"/>
    </row>
    <row r="636">
      <c r="A636" s="18"/>
      <c r="B636" s="18"/>
      <c r="C636" s="18"/>
      <c r="D636" s="161"/>
      <c r="E636" s="161"/>
      <c r="F636" s="511"/>
      <c r="G636" s="161"/>
      <c r="H636" s="161"/>
      <c r="I636" s="161"/>
      <c r="J636" s="161"/>
      <c r="K636" s="161"/>
      <c r="L636" s="161"/>
      <c r="M636" s="161"/>
      <c r="N636" s="161"/>
      <c r="O636" s="161"/>
      <c r="P636" s="161"/>
      <c r="Q636" s="161"/>
      <c r="R636" s="161"/>
      <c r="S636" s="161"/>
      <c r="T636" s="161"/>
      <c r="U636" s="161"/>
      <c r="V636" s="161"/>
      <c r="W636" s="161"/>
      <c r="X636" s="161"/>
      <c r="Y636" s="161"/>
      <c r="Z636" s="161"/>
    </row>
    <row r="637">
      <c r="A637" s="18"/>
      <c r="B637" s="18"/>
      <c r="C637" s="18"/>
      <c r="D637" s="161"/>
      <c r="E637" s="161"/>
      <c r="F637" s="511"/>
      <c r="G637" s="161"/>
      <c r="H637" s="161"/>
      <c r="I637" s="161"/>
      <c r="J637" s="161"/>
      <c r="K637" s="161"/>
      <c r="L637" s="161"/>
      <c r="M637" s="161"/>
      <c r="N637" s="161"/>
      <c r="O637" s="161"/>
      <c r="P637" s="161"/>
      <c r="Q637" s="161"/>
      <c r="R637" s="161"/>
      <c r="S637" s="161"/>
      <c r="T637" s="161"/>
      <c r="U637" s="161"/>
      <c r="V637" s="161"/>
      <c r="W637" s="161"/>
      <c r="X637" s="161"/>
      <c r="Y637" s="161"/>
      <c r="Z637" s="161"/>
    </row>
    <row r="638">
      <c r="A638" s="18"/>
      <c r="B638" s="18"/>
      <c r="C638" s="18"/>
      <c r="D638" s="161"/>
      <c r="E638" s="161"/>
      <c r="F638" s="511"/>
      <c r="G638" s="161"/>
      <c r="H638" s="161"/>
      <c r="I638" s="161"/>
      <c r="J638" s="161"/>
      <c r="K638" s="161"/>
      <c r="L638" s="161"/>
      <c r="M638" s="161"/>
      <c r="N638" s="161"/>
      <c r="O638" s="161"/>
      <c r="P638" s="161"/>
      <c r="Q638" s="161"/>
      <c r="R638" s="161"/>
      <c r="S638" s="161"/>
      <c r="T638" s="161"/>
      <c r="U638" s="161"/>
      <c r="V638" s="161"/>
      <c r="W638" s="161"/>
      <c r="X638" s="161"/>
      <c r="Y638" s="161"/>
      <c r="Z638" s="161"/>
    </row>
    <row r="639">
      <c r="A639" s="18"/>
      <c r="B639" s="18"/>
      <c r="C639" s="18"/>
      <c r="D639" s="161"/>
      <c r="E639" s="161"/>
      <c r="F639" s="511"/>
      <c r="G639" s="161"/>
      <c r="H639" s="161"/>
      <c r="I639" s="161"/>
      <c r="J639" s="161"/>
      <c r="K639" s="161"/>
      <c r="L639" s="161"/>
      <c r="M639" s="161"/>
      <c r="N639" s="161"/>
      <c r="O639" s="161"/>
      <c r="P639" s="161"/>
      <c r="Q639" s="161"/>
      <c r="R639" s="161"/>
      <c r="S639" s="161"/>
      <c r="T639" s="161"/>
      <c r="U639" s="161"/>
      <c r="V639" s="161"/>
      <c r="W639" s="161"/>
      <c r="X639" s="161"/>
      <c r="Y639" s="161"/>
      <c r="Z639" s="161"/>
    </row>
    <row r="640">
      <c r="A640" s="18"/>
      <c r="B640" s="18"/>
      <c r="C640" s="18"/>
      <c r="D640" s="161"/>
      <c r="E640" s="161"/>
      <c r="F640" s="511"/>
      <c r="G640" s="161"/>
      <c r="H640" s="161"/>
      <c r="I640" s="161"/>
      <c r="J640" s="161"/>
      <c r="K640" s="161"/>
      <c r="L640" s="161"/>
      <c r="M640" s="161"/>
      <c r="N640" s="161"/>
      <c r="O640" s="161"/>
      <c r="P640" s="161"/>
      <c r="Q640" s="161"/>
      <c r="R640" s="161"/>
      <c r="S640" s="161"/>
      <c r="T640" s="161"/>
      <c r="U640" s="161"/>
      <c r="V640" s="161"/>
      <c r="W640" s="161"/>
      <c r="X640" s="161"/>
      <c r="Y640" s="161"/>
      <c r="Z640" s="161"/>
    </row>
    <row r="641">
      <c r="A641" s="18"/>
      <c r="B641" s="18"/>
      <c r="C641" s="18"/>
      <c r="D641" s="161"/>
      <c r="E641" s="161"/>
      <c r="F641" s="511"/>
      <c r="G641" s="161"/>
      <c r="H641" s="161"/>
      <c r="I641" s="161"/>
      <c r="J641" s="161"/>
      <c r="K641" s="161"/>
      <c r="L641" s="161"/>
      <c r="M641" s="161"/>
      <c r="N641" s="161"/>
      <c r="O641" s="161"/>
      <c r="P641" s="161"/>
      <c r="Q641" s="161"/>
      <c r="R641" s="161"/>
      <c r="S641" s="161"/>
      <c r="T641" s="161"/>
      <c r="U641" s="161"/>
      <c r="V641" s="161"/>
      <c r="W641" s="161"/>
      <c r="X641" s="161"/>
      <c r="Y641" s="161"/>
      <c r="Z641" s="161"/>
    </row>
    <row r="642">
      <c r="A642" s="18"/>
      <c r="B642" s="18"/>
      <c r="C642" s="18"/>
      <c r="D642" s="161"/>
      <c r="E642" s="161"/>
      <c r="F642" s="511"/>
      <c r="G642" s="161"/>
      <c r="H642" s="161"/>
      <c r="I642" s="161"/>
      <c r="J642" s="161"/>
      <c r="K642" s="161"/>
      <c r="L642" s="161"/>
      <c r="M642" s="161"/>
      <c r="N642" s="161"/>
      <c r="O642" s="161"/>
      <c r="P642" s="161"/>
      <c r="Q642" s="161"/>
      <c r="R642" s="161"/>
      <c r="S642" s="161"/>
      <c r="T642" s="161"/>
      <c r="U642" s="161"/>
      <c r="V642" s="161"/>
      <c r="W642" s="161"/>
      <c r="X642" s="161"/>
      <c r="Y642" s="161"/>
      <c r="Z642" s="161"/>
    </row>
    <row r="643">
      <c r="A643" s="18"/>
      <c r="B643" s="18"/>
      <c r="C643" s="18"/>
      <c r="D643" s="161"/>
      <c r="E643" s="161"/>
      <c r="F643" s="511"/>
      <c r="G643" s="161"/>
      <c r="H643" s="161"/>
      <c r="I643" s="161"/>
      <c r="J643" s="161"/>
      <c r="K643" s="161"/>
      <c r="L643" s="161"/>
      <c r="M643" s="161"/>
      <c r="N643" s="161"/>
      <c r="O643" s="161"/>
      <c r="P643" s="161"/>
      <c r="Q643" s="161"/>
      <c r="R643" s="161"/>
      <c r="S643" s="161"/>
      <c r="T643" s="161"/>
      <c r="U643" s="161"/>
      <c r="V643" s="161"/>
      <c r="W643" s="161"/>
      <c r="X643" s="161"/>
      <c r="Y643" s="161"/>
      <c r="Z643" s="161"/>
    </row>
    <row r="644">
      <c r="A644" s="18"/>
      <c r="B644" s="18"/>
      <c r="C644" s="18"/>
      <c r="D644" s="161"/>
      <c r="E644" s="161"/>
      <c r="F644" s="511"/>
      <c r="G644" s="161"/>
      <c r="H644" s="161"/>
      <c r="I644" s="161"/>
      <c r="J644" s="161"/>
      <c r="K644" s="161"/>
      <c r="L644" s="161"/>
      <c r="M644" s="161"/>
      <c r="N644" s="161"/>
      <c r="O644" s="161"/>
      <c r="P644" s="161"/>
      <c r="Q644" s="161"/>
      <c r="R644" s="161"/>
      <c r="S644" s="161"/>
      <c r="T644" s="161"/>
      <c r="U644" s="161"/>
      <c r="V644" s="161"/>
      <c r="W644" s="161"/>
      <c r="X644" s="161"/>
      <c r="Y644" s="161"/>
      <c r="Z644" s="161"/>
    </row>
    <row r="645">
      <c r="A645" s="18"/>
      <c r="B645" s="18"/>
      <c r="C645" s="18"/>
      <c r="D645" s="161"/>
      <c r="E645" s="161"/>
      <c r="F645" s="511"/>
      <c r="G645" s="161"/>
      <c r="H645" s="161"/>
      <c r="I645" s="161"/>
      <c r="J645" s="161"/>
      <c r="K645" s="161"/>
      <c r="L645" s="161"/>
      <c r="M645" s="161"/>
      <c r="N645" s="161"/>
      <c r="O645" s="161"/>
      <c r="P645" s="161"/>
      <c r="Q645" s="161"/>
      <c r="R645" s="161"/>
      <c r="S645" s="161"/>
      <c r="T645" s="161"/>
      <c r="U645" s="161"/>
      <c r="V645" s="161"/>
      <c r="W645" s="161"/>
      <c r="X645" s="161"/>
      <c r="Y645" s="161"/>
      <c r="Z645" s="161"/>
    </row>
    <row r="646">
      <c r="A646" s="18"/>
      <c r="B646" s="18"/>
      <c r="C646" s="18"/>
      <c r="D646" s="161"/>
      <c r="E646" s="161"/>
      <c r="F646" s="511"/>
      <c r="G646" s="161"/>
      <c r="H646" s="161"/>
      <c r="I646" s="161"/>
      <c r="J646" s="161"/>
      <c r="K646" s="161"/>
      <c r="L646" s="161"/>
      <c r="M646" s="161"/>
      <c r="N646" s="161"/>
      <c r="O646" s="161"/>
      <c r="P646" s="161"/>
      <c r="Q646" s="161"/>
      <c r="R646" s="161"/>
      <c r="S646" s="161"/>
      <c r="T646" s="161"/>
      <c r="U646" s="161"/>
      <c r="V646" s="161"/>
      <c r="W646" s="161"/>
      <c r="X646" s="161"/>
      <c r="Y646" s="161"/>
      <c r="Z646" s="161"/>
    </row>
    <row r="647">
      <c r="A647" s="18"/>
      <c r="B647" s="18"/>
      <c r="C647" s="18"/>
      <c r="D647" s="161"/>
      <c r="E647" s="161"/>
      <c r="F647" s="511"/>
      <c r="G647" s="161"/>
      <c r="H647" s="161"/>
      <c r="I647" s="161"/>
      <c r="J647" s="161"/>
      <c r="K647" s="161"/>
      <c r="L647" s="161"/>
      <c r="M647" s="161"/>
      <c r="N647" s="161"/>
      <c r="O647" s="161"/>
      <c r="P647" s="161"/>
      <c r="Q647" s="161"/>
      <c r="R647" s="161"/>
      <c r="S647" s="161"/>
      <c r="T647" s="161"/>
      <c r="U647" s="161"/>
      <c r="V647" s="161"/>
      <c r="W647" s="161"/>
      <c r="X647" s="161"/>
      <c r="Y647" s="161"/>
      <c r="Z647" s="161"/>
    </row>
    <row r="648">
      <c r="A648" s="18"/>
      <c r="B648" s="18"/>
      <c r="C648" s="18"/>
      <c r="D648" s="161"/>
      <c r="E648" s="161"/>
      <c r="F648" s="511"/>
      <c r="G648" s="161"/>
      <c r="H648" s="161"/>
      <c r="I648" s="161"/>
      <c r="J648" s="161"/>
      <c r="K648" s="161"/>
      <c r="L648" s="161"/>
      <c r="M648" s="161"/>
      <c r="N648" s="161"/>
      <c r="O648" s="161"/>
      <c r="P648" s="161"/>
      <c r="Q648" s="161"/>
      <c r="R648" s="161"/>
      <c r="S648" s="161"/>
      <c r="T648" s="161"/>
      <c r="U648" s="161"/>
      <c r="V648" s="161"/>
      <c r="W648" s="161"/>
      <c r="X648" s="161"/>
      <c r="Y648" s="161"/>
      <c r="Z648" s="161"/>
    </row>
    <row r="649">
      <c r="A649" s="18"/>
      <c r="B649" s="18"/>
      <c r="C649" s="18"/>
      <c r="D649" s="161"/>
      <c r="E649" s="161"/>
      <c r="F649" s="511"/>
      <c r="G649" s="161"/>
      <c r="H649" s="161"/>
      <c r="I649" s="161"/>
      <c r="J649" s="161"/>
      <c r="K649" s="161"/>
      <c r="L649" s="161"/>
      <c r="M649" s="161"/>
      <c r="N649" s="161"/>
      <c r="O649" s="161"/>
      <c r="P649" s="161"/>
      <c r="Q649" s="161"/>
      <c r="R649" s="161"/>
      <c r="S649" s="161"/>
      <c r="T649" s="161"/>
      <c r="U649" s="161"/>
      <c r="V649" s="161"/>
      <c r="W649" s="161"/>
      <c r="X649" s="161"/>
      <c r="Y649" s="161"/>
      <c r="Z649" s="161"/>
    </row>
    <row r="650">
      <c r="A650" s="18"/>
      <c r="B650" s="18"/>
      <c r="C650" s="18"/>
      <c r="D650" s="161"/>
      <c r="E650" s="161"/>
      <c r="F650" s="511"/>
      <c r="G650" s="161"/>
      <c r="H650" s="161"/>
      <c r="I650" s="161"/>
      <c r="J650" s="161"/>
      <c r="K650" s="161"/>
      <c r="L650" s="161"/>
      <c r="M650" s="161"/>
      <c r="N650" s="161"/>
      <c r="O650" s="161"/>
      <c r="P650" s="161"/>
      <c r="Q650" s="161"/>
      <c r="R650" s="161"/>
      <c r="S650" s="161"/>
      <c r="T650" s="161"/>
      <c r="U650" s="161"/>
      <c r="V650" s="161"/>
      <c r="W650" s="161"/>
      <c r="X650" s="161"/>
      <c r="Y650" s="161"/>
      <c r="Z650" s="161"/>
    </row>
    <row r="651">
      <c r="A651" s="18"/>
      <c r="B651" s="18"/>
      <c r="C651" s="18"/>
      <c r="D651" s="161"/>
      <c r="E651" s="161"/>
      <c r="F651" s="511"/>
      <c r="G651" s="161"/>
      <c r="H651" s="161"/>
      <c r="I651" s="161"/>
      <c r="J651" s="161"/>
      <c r="K651" s="161"/>
      <c r="L651" s="161"/>
      <c r="M651" s="161"/>
      <c r="N651" s="161"/>
      <c r="O651" s="161"/>
      <c r="P651" s="161"/>
      <c r="Q651" s="161"/>
      <c r="R651" s="161"/>
      <c r="S651" s="161"/>
      <c r="T651" s="161"/>
      <c r="U651" s="161"/>
      <c r="V651" s="161"/>
      <c r="W651" s="161"/>
      <c r="X651" s="161"/>
      <c r="Y651" s="161"/>
      <c r="Z651" s="161"/>
    </row>
    <row r="652">
      <c r="A652" s="18"/>
      <c r="B652" s="18"/>
      <c r="C652" s="18"/>
      <c r="D652" s="161"/>
      <c r="E652" s="161"/>
      <c r="F652" s="511"/>
      <c r="G652" s="161"/>
      <c r="H652" s="161"/>
      <c r="I652" s="161"/>
      <c r="J652" s="161"/>
      <c r="K652" s="161"/>
      <c r="L652" s="161"/>
      <c r="M652" s="161"/>
      <c r="N652" s="161"/>
      <c r="O652" s="161"/>
      <c r="P652" s="161"/>
      <c r="Q652" s="161"/>
      <c r="R652" s="161"/>
      <c r="S652" s="161"/>
      <c r="T652" s="161"/>
      <c r="U652" s="161"/>
      <c r="V652" s="161"/>
      <c r="W652" s="161"/>
      <c r="X652" s="161"/>
      <c r="Y652" s="161"/>
      <c r="Z652" s="161"/>
    </row>
    <row r="653">
      <c r="A653" s="18"/>
      <c r="B653" s="18"/>
      <c r="C653" s="18"/>
      <c r="D653" s="161"/>
      <c r="E653" s="161"/>
      <c r="F653" s="511"/>
      <c r="G653" s="161"/>
      <c r="H653" s="161"/>
      <c r="I653" s="161"/>
      <c r="J653" s="161"/>
      <c r="K653" s="161"/>
      <c r="L653" s="161"/>
      <c r="M653" s="161"/>
      <c r="N653" s="161"/>
      <c r="O653" s="161"/>
      <c r="P653" s="161"/>
      <c r="Q653" s="161"/>
      <c r="R653" s="161"/>
      <c r="S653" s="161"/>
      <c r="T653" s="161"/>
      <c r="U653" s="161"/>
      <c r="V653" s="161"/>
      <c r="W653" s="161"/>
      <c r="X653" s="161"/>
      <c r="Y653" s="161"/>
      <c r="Z653" s="161"/>
    </row>
    <row r="654">
      <c r="A654" s="18"/>
      <c r="B654" s="18"/>
      <c r="C654" s="18"/>
      <c r="D654" s="161"/>
      <c r="E654" s="161"/>
      <c r="F654" s="511"/>
      <c r="G654" s="161"/>
      <c r="H654" s="161"/>
      <c r="I654" s="161"/>
      <c r="J654" s="161"/>
      <c r="K654" s="161"/>
      <c r="L654" s="161"/>
      <c r="M654" s="161"/>
      <c r="N654" s="161"/>
      <c r="O654" s="161"/>
      <c r="P654" s="161"/>
      <c r="Q654" s="161"/>
      <c r="R654" s="161"/>
      <c r="S654" s="161"/>
      <c r="T654" s="161"/>
      <c r="U654" s="161"/>
      <c r="V654" s="161"/>
      <c r="W654" s="161"/>
      <c r="X654" s="161"/>
      <c r="Y654" s="161"/>
      <c r="Z654" s="161"/>
    </row>
    <row r="655">
      <c r="A655" s="18"/>
      <c r="B655" s="18"/>
      <c r="C655" s="18"/>
      <c r="D655" s="161"/>
      <c r="E655" s="161"/>
      <c r="F655" s="511"/>
      <c r="G655" s="161"/>
      <c r="H655" s="161"/>
      <c r="I655" s="161"/>
      <c r="J655" s="161"/>
      <c r="K655" s="161"/>
      <c r="L655" s="161"/>
      <c r="M655" s="161"/>
      <c r="N655" s="161"/>
      <c r="O655" s="161"/>
      <c r="P655" s="161"/>
      <c r="Q655" s="161"/>
      <c r="R655" s="161"/>
      <c r="S655" s="161"/>
      <c r="T655" s="161"/>
      <c r="U655" s="161"/>
      <c r="V655" s="161"/>
      <c r="W655" s="161"/>
      <c r="X655" s="161"/>
      <c r="Y655" s="161"/>
      <c r="Z655" s="161"/>
    </row>
    <row r="656">
      <c r="A656" s="18"/>
      <c r="B656" s="18"/>
      <c r="C656" s="18"/>
      <c r="D656" s="161"/>
      <c r="E656" s="161"/>
      <c r="F656" s="511"/>
      <c r="G656" s="161"/>
      <c r="H656" s="161"/>
      <c r="I656" s="161"/>
      <c r="J656" s="161"/>
      <c r="K656" s="161"/>
      <c r="L656" s="161"/>
      <c r="M656" s="161"/>
      <c r="N656" s="161"/>
      <c r="O656" s="161"/>
      <c r="P656" s="161"/>
      <c r="Q656" s="161"/>
      <c r="R656" s="161"/>
      <c r="S656" s="161"/>
      <c r="T656" s="161"/>
      <c r="U656" s="161"/>
      <c r="V656" s="161"/>
      <c r="W656" s="161"/>
      <c r="X656" s="161"/>
      <c r="Y656" s="161"/>
      <c r="Z656" s="161"/>
    </row>
    <row r="657">
      <c r="A657" s="18"/>
      <c r="B657" s="18"/>
      <c r="C657" s="18"/>
      <c r="D657" s="161"/>
      <c r="E657" s="161"/>
      <c r="F657" s="511"/>
      <c r="G657" s="161"/>
      <c r="H657" s="161"/>
      <c r="I657" s="161"/>
      <c r="J657" s="161"/>
      <c r="K657" s="161"/>
      <c r="L657" s="161"/>
      <c r="M657" s="161"/>
      <c r="N657" s="161"/>
      <c r="O657" s="161"/>
      <c r="P657" s="161"/>
      <c r="Q657" s="161"/>
      <c r="R657" s="161"/>
      <c r="S657" s="161"/>
      <c r="T657" s="161"/>
      <c r="U657" s="161"/>
      <c r="V657" s="161"/>
      <c r="W657" s="161"/>
      <c r="X657" s="161"/>
      <c r="Y657" s="161"/>
      <c r="Z657" s="161"/>
    </row>
    <row r="658">
      <c r="A658" s="18"/>
      <c r="B658" s="18"/>
      <c r="C658" s="18"/>
      <c r="D658" s="161"/>
      <c r="E658" s="161"/>
      <c r="F658" s="511"/>
      <c r="G658" s="161"/>
      <c r="H658" s="161"/>
      <c r="I658" s="161"/>
      <c r="J658" s="161"/>
      <c r="K658" s="161"/>
      <c r="L658" s="161"/>
      <c r="M658" s="161"/>
      <c r="N658" s="161"/>
      <c r="O658" s="161"/>
      <c r="P658" s="161"/>
      <c r="Q658" s="161"/>
      <c r="R658" s="161"/>
      <c r="S658" s="161"/>
      <c r="T658" s="161"/>
      <c r="U658" s="161"/>
      <c r="V658" s="161"/>
      <c r="W658" s="161"/>
      <c r="X658" s="161"/>
      <c r="Y658" s="161"/>
      <c r="Z658" s="161"/>
    </row>
    <row r="659">
      <c r="A659" s="18"/>
      <c r="B659" s="18"/>
      <c r="C659" s="18"/>
      <c r="D659" s="161"/>
      <c r="E659" s="161"/>
      <c r="F659" s="511"/>
      <c r="G659" s="161"/>
      <c r="H659" s="161"/>
      <c r="I659" s="161"/>
      <c r="J659" s="161"/>
      <c r="K659" s="161"/>
      <c r="L659" s="161"/>
      <c r="M659" s="161"/>
      <c r="N659" s="161"/>
      <c r="O659" s="161"/>
      <c r="P659" s="161"/>
      <c r="Q659" s="161"/>
      <c r="R659" s="161"/>
      <c r="S659" s="161"/>
      <c r="T659" s="161"/>
      <c r="U659" s="161"/>
      <c r="V659" s="161"/>
      <c r="W659" s="161"/>
      <c r="X659" s="161"/>
      <c r="Y659" s="161"/>
      <c r="Z659" s="161"/>
    </row>
    <row r="660">
      <c r="A660" s="18"/>
      <c r="B660" s="18"/>
      <c r="C660" s="18"/>
      <c r="D660" s="161"/>
      <c r="E660" s="161"/>
      <c r="F660" s="511"/>
      <c r="G660" s="161"/>
      <c r="H660" s="161"/>
      <c r="I660" s="161"/>
      <c r="J660" s="161"/>
      <c r="K660" s="161"/>
      <c r="L660" s="161"/>
      <c r="M660" s="161"/>
      <c r="N660" s="161"/>
      <c r="O660" s="161"/>
      <c r="P660" s="161"/>
      <c r="Q660" s="161"/>
      <c r="R660" s="161"/>
      <c r="S660" s="161"/>
      <c r="T660" s="161"/>
      <c r="U660" s="161"/>
      <c r="V660" s="161"/>
      <c r="W660" s="161"/>
      <c r="X660" s="161"/>
      <c r="Y660" s="161"/>
      <c r="Z660" s="161"/>
    </row>
    <row r="661">
      <c r="A661" s="18"/>
      <c r="B661" s="18"/>
      <c r="C661" s="18"/>
      <c r="D661" s="161"/>
      <c r="E661" s="161"/>
      <c r="F661" s="511"/>
      <c r="G661" s="161"/>
      <c r="H661" s="161"/>
      <c r="I661" s="161"/>
      <c r="J661" s="161"/>
      <c r="K661" s="161"/>
      <c r="L661" s="161"/>
      <c r="M661" s="161"/>
      <c r="N661" s="161"/>
      <c r="O661" s="161"/>
      <c r="P661" s="161"/>
      <c r="Q661" s="161"/>
      <c r="R661" s="161"/>
      <c r="S661" s="161"/>
      <c r="T661" s="161"/>
      <c r="U661" s="161"/>
      <c r="V661" s="161"/>
      <c r="W661" s="161"/>
      <c r="X661" s="161"/>
      <c r="Y661" s="161"/>
      <c r="Z661" s="161"/>
    </row>
    <row r="662">
      <c r="A662" s="18"/>
      <c r="B662" s="18"/>
      <c r="C662" s="18"/>
      <c r="D662" s="161"/>
      <c r="E662" s="161"/>
      <c r="F662" s="511"/>
      <c r="G662" s="161"/>
      <c r="H662" s="161"/>
      <c r="I662" s="161"/>
      <c r="J662" s="161"/>
      <c r="K662" s="161"/>
      <c r="L662" s="161"/>
      <c r="M662" s="161"/>
      <c r="N662" s="161"/>
      <c r="O662" s="161"/>
      <c r="P662" s="161"/>
      <c r="Q662" s="161"/>
      <c r="R662" s="161"/>
      <c r="S662" s="161"/>
      <c r="T662" s="161"/>
      <c r="U662" s="161"/>
      <c r="V662" s="161"/>
      <c r="W662" s="161"/>
      <c r="X662" s="161"/>
      <c r="Y662" s="161"/>
      <c r="Z662" s="161"/>
    </row>
    <row r="663">
      <c r="A663" s="18"/>
      <c r="B663" s="18"/>
      <c r="C663" s="18"/>
      <c r="D663" s="161"/>
      <c r="E663" s="161"/>
      <c r="F663" s="511"/>
      <c r="G663" s="161"/>
      <c r="H663" s="161"/>
      <c r="I663" s="161"/>
      <c r="J663" s="161"/>
      <c r="K663" s="161"/>
      <c r="L663" s="161"/>
      <c r="M663" s="161"/>
      <c r="N663" s="161"/>
      <c r="O663" s="161"/>
      <c r="P663" s="161"/>
      <c r="Q663" s="161"/>
      <c r="R663" s="161"/>
      <c r="S663" s="161"/>
      <c r="T663" s="161"/>
      <c r="U663" s="161"/>
      <c r="V663" s="161"/>
      <c r="W663" s="161"/>
      <c r="X663" s="161"/>
      <c r="Y663" s="161"/>
      <c r="Z663" s="161"/>
    </row>
    <row r="664">
      <c r="A664" s="18"/>
      <c r="B664" s="18"/>
      <c r="C664" s="18"/>
      <c r="D664" s="161"/>
      <c r="E664" s="161"/>
      <c r="F664" s="511"/>
      <c r="G664" s="161"/>
      <c r="H664" s="161"/>
      <c r="I664" s="161"/>
      <c r="J664" s="161"/>
      <c r="K664" s="161"/>
      <c r="L664" s="161"/>
      <c r="M664" s="161"/>
      <c r="N664" s="161"/>
      <c r="O664" s="161"/>
      <c r="P664" s="161"/>
      <c r="Q664" s="161"/>
      <c r="R664" s="161"/>
      <c r="S664" s="161"/>
      <c r="T664" s="161"/>
      <c r="U664" s="161"/>
      <c r="V664" s="161"/>
      <c r="W664" s="161"/>
      <c r="X664" s="161"/>
      <c r="Y664" s="161"/>
      <c r="Z664" s="161"/>
    </row>
    <row r="665">
      <c r="A665" s="18"/>
      <c r="B665" s="18"/>
      <c r="C665" s="18"/>
      <c r="D665" s="161"/>
      <c r="E665" s="161"/>
      <c r="F665" s="511"/>
      <c r="G665" s="161"/>
      <c r="H665" s="161"/>
      <c r="I665" s="161"/>
      <c r="J665" s="161"/>
      <c r="K665" s="161"/>
      <c r="L665" s="161"/>
      <c r="M665" s="161"/>
      <c r="N665" s="161"/>
      <c r="O665" s="161"/>
      <c r="P665" s="161"/>
      <c r="Q665" s="161"/>
      <c r="R665" s="161"/>
      <c r="S665" s="161"/>
      <c r="T665" s="161"/>
      <c r="U665" s="161"/>
      <c r="V665" s="161"/>
      <c r="W665" s="161"/>
      <c r="X665" s="161"/>
      <c r="Y665" s="161"/>
      <c r="Z665" s="161"/>
    </row>
    <row r="666">
      <c r="A666" s="18"/>
      <c r="B666" s="18"/>
      <c r="C666" s="18"/>
      <c r="D666" s="161"/>
      <c r="E666" s="161"/>
      <c r="F666" s="511"/>
      <c r="G666" s="161"/>
      <c r="H666" s="161"/>
      <c r="I666" s="161"/>
      <c r="J666" s="161"/>
      <c r="K666" s="161"/>
      <c r="L666" s="161"/>
      <c r="M666" s="161"/>
      <c r="N666" s="161"/>
      <c r="O666" s="161"/>
      <c r="P666" s="161"/>
      <c r="Q666" s="161"/>
      <c r="R666" s="161"/>
      <c r="S666" s="161"/>
      <c r="T666" s="161"/>
      <c r="U666" s="161"/>
      <c r="V666" s="161"/>
      <c r="W666" s="161"/>
      <c r="X666" s="161"/>
      <c r="Y666" s="161"/>
      <c r="Z666" s="161"/>
    </row>
    <row r="667">
      <c r="A667" s="18"/>
      <c r="B667" s="18"/>
      <c r="C667" s="18"/>
      <c r="D667" s="161"/>
      <c r="E667" s="161"/>
      <c r="F667" s="511"/>
      <c r="G667" s="161"/>
      <c r="H667" s="161"/>
      <c r="I667" s="161"/>
      <c r="J667" s="161"/>
      <c r="K667" s="161"/>
      <c r="L667" s="161"/>
      <c r="M667" s="161"/>
      <c r="N667" s="161"/>
      <c r="O667" s="161"/>
      <c r="P667" s="161"/>
      <c r="Q667" s="161"/>
      <c r="R667" s="161"/>
      <c r="S667" s="161"/>
      <c r="T667" s="161"/>
      <c r="U667" s="161"/>
      <c r="V667" s="161"/>
      <c r="W667" s="161"/>
      <c r="X667" s="161"/>
      <c r="Y667" s="161"/>
      <c r="Z667" s="161"/>
    </row>
    <row r="668">
      <c r="A668" s="18"/>
      <c r="B668" s="18"/>
      <c r="C668" s="18"/>
      <c r="D668" s="161"/>
      <c r="E668" s="161"/>
      <c r="F668" s="511"/>
      <c r="G668" s="161"/>
      <c r="H668" s="161"/>
      <c r="I668" s="161"/>
      <c r="J668" s="161"/>
      <c r="K668" s="161"/>
      <c r="L668" s="161"/>
      <c r="M668" s="161"/>
      <c r="N668" s="161"/>
      <c r="O668" s="161"/>
      <c r="P668" s="161"/>
      <c r="Q668" s="161"/>
      <c r="R668" s="161"/>
      <c r="S668" s="161"/>
      <c r="T668" s="161"/>
      <c r="U668" s="161"/>
      <c r="V668" s="161"/>
      <c r="W668" s="161"/>
      <c r="X668" s="161"/>
      <c r="Y668" s="161"/>
      <c r="Z668" s="161"/>
    </row>
    <row r="669">
      <c r="A669" s="18"/>
      <c r="B669" s="18"/>
      <c r="C669" s="18"/>
      <c r="D669" s="161"/>
      <c r="E669" s="161"/>
      <c r="F669" s="511"/>
      <c r="G669" s="161"/>
      <c r="H669" s="161"/>
      <c r="I669" s="161"/>
      <c r="J669" s="161"/>
      <c r="K669" s="161"/>
      <c r="L669" s="161"/>
      <c r="M669" s="161"/>
      <c r="N669" s="161"/>
      <c r="O669" s="161"/>
      <c r="P669" s="161"/>
      <c r="Q669" s="161"/>
      <c r="R669" s="161"/>
      <c r="S669" s="161"/>
      <c r="T669" s="161"/>
      <c r="U669" s="161"/>
      <c r="V669" s="161"/>
      <c r="W669" s="161"/>
      <c r="X669" s="161"/>
      <c r="Y669" s="161"/>
      <c r="Z669" s="161"/>
    </row>
    <row r="670">
      <c r="A670" s="18"/>
      <c r="B670" s="18"/>
      <c r="C670" s="18"/>
      <c r="D670" s="161"/>
      <c r="E670" s="161"/>
      <c r="F670" s="511"/>
      <c r="G670" s="161"/>
      <c r="H670" s="161"/>
      <c r="I670" s="161"/>
      <c r="J670" s="161"/>
      <c r="K670" s="161"/>
      <c r="L670" s="161"/>
      <c r="M670" s="161"/>
      <c r="N670" s="161"/>
      <c r="O670" s="161"/>
      <c r="P670" s="161"/>
      <c r="Q670" s="161"/>
      <c r="R670" s="161"/>
      <c r="S670" s="161"/>
      <c r="T670" s="161"/>
      <c r="U670" s="161"/>
      <c r="V670" s="161"/>
      <c r="W670" s="161"/>
      <c r="X670" s="161"/>
      <c r="Y670" s="161"/>
      <c r="Z670" s="161"/>
    </row>
    <row r="671">
      <c r="A671" s="18"/>
      <c r="B671" s="18"/>
      <c r="C671" s="18"/>
      <c r="D671" s="161"/>
      <c r="E671" s="161"/>
      <c r="F671" s="511"/>
      <c r="G671" s="161"/>
      <c r="H671" s="161"/>
      <c r="I671" s="161"/>
      <c r="J671" s="161"/>
      <c r="K671" s="161"/>
      <c r="L671" s="161"/>
      <c r="M671" s="161"/>
      <c r="N671" s="161"/>
      <c r="O671" s="161"/>
      <c r="P671" s="161"/>
      <c r="Q671" s="161"/>
      <c r="R671" s="161"/>
      <c r="S671" s="161"/>
      <c r="T671" s="161"/>
      <c r="U671" s="161"/>
      <c r="V671" s="161"/>
      <c r="W671" s="161"/>
      <c r="X671" s="161"/>
      <c r="Y671" s="161"/>
      <c r="Z671" s="161"/>
    </row>
    <row r="672">
      <c r="A672" s="18"/>
      <c r="B672" s="18"/>
      <c r="C672" s="18"/>
      <c r="D672" s="161"/>
      <c r="E672" s="161"/>
      <c r="F672" s="511"/>
      <c r="G672" s="161"/>
      <c r="H672" s="161"/>
      <c r="I672" s="161"/>
      <c r="J672" s="161"/>
      <c r="K672" s="161"/>
      <c r="L672" s="161"/>
      <c r="M672" s="161"/>
      <c r="N672" s="161"/>
      <c r="O672" s="161"/>
      <c r="P672" s="161"/>
      <c r="Q672" s="161"/>
      <c r="R672" s="161"/>
      <c r="S672" s="161"/>
      <c r="T672" s="161"/>
      <c r="U672" s="161"/>
      <c r="V672" s="161"/>
      <c r="W672" s="161"/>
      <c r="X672" s="161"/>
      <c r="Y672" s="161"/>
      <c r="Z672" s="161"/>
    </row>
    <row r="673">
      <c r="A673" s="18"/>
      <c r="B673" s="18"/>
      <c r="C673" s="18"/>
      <c r="D673" s="161"/>
      <c r="E673" s="161"/>
      <c r="F673" s="511"/>
      <c r="G673" s="161"/>
      <c r="H673" s="161"/>
      <c r="I673" s="161"/>
      <c r="J673" s="161"/>
      <c r="K673" s="161"/>
      <c r="L673" s="161"/>
      <c r="M673" s="161"/>
      <c r="N673" s="161"/>
      <c r="O673" s="161"/>
      <c r="P673" s="161"/>
      <c r="Q673" s="161"/>
      <c r="R673" s="161"/>
      <c r="S673" s="161"/>
      <c r="T673" s="161"/>
      <c r="U673" s="161"/>
      <c r="V673" s="161"/>
      <c r="W673" s="161"/>
      <c r="X673" s="161"/>
      <c r="Y673" s="161"/>
      <c r="Z673" s="161"/>
    </row>
    <row r="674">
      <c r="A674" s="18"/>
      <c r="B674" s="18"/>
      <c r="C674" s="18"/>
      <c r="D674" s="161"/>
      <c r="E674" s="161"/>
      <c r="F674" s="511"/>
      <c r="G674" s="161"/>
      <c r="H674" s="161"/>
      <c r="I674" s="161"/>
      <c r="J674" s="161"/>
      <c r="K674" s="161"/>
      <c r="L674" s="161"/>
      <c r="M674" s="161"/>
      <c r="N674" s="161"/>
      <c r="O674" s="161"/>
      <c r="P674" s="161"/>
      <c r="Q674" s="161"/>
      <c r="R674" s="161"/>
      <c r="S674" s="161"/>
      <c r="T674" s="161"/>
      <c r="U674" s="161"/>
      <c r="V674" s="161"/>
      <c r="W674" s="161"/>
      <c r="X674" s="161"/>
      <c r="Y674" s="161"/>
      <c r="Z674" s="161"/>
    </row>
    <row r="675">
      <c r="A675" s="18"/>
      <c r="B675" s="18"/>
      <c r="C675" s="18"/>
      <c r="D675" s="161"/>
      <c r="E675" s="161"/>
      <c r="F675" s="511"/>
      <c r="G675" s="161"/>
      <c r="H675" s="161"/>
      <c r="I675" s="161"/>
      <c r="J675" s="161"/>
      <c r="K675" s="161"/>
      <c r="L675" s="161"/>
      <c r="M675" s="161"/>
      <c r="N675" s="161"/>
      <c r="O675" s="161"/>
      <c r="P675" s="161"/>
      <c r="Q675" s="161"/>
      <c r="R675" s="161"/>
      <c r="S675" s="161"/>
      <c r="T675" s="161"/>
      <c r="U675" s="161"/>
      <c r="V675" s="161"/>
      <c r="W675" s="161"/>
      <c r="X675" s="161"/>
      <c r="Y675" s="161"/>
      <c r="Z675" s="161"/>
    </row>
    <row r="676">
      <c r="A676" s="18"/>
      <c r="B676" s="18"/>
      <c r="C676" s="18"/>
      <c r="D676" s="161"/>
      <c r="E676" s="161"/>
      <c r="F676" s="511"/>
      <c r="G676" s="161"/>
      <c r="H676" s="161"/>
      <c r="I676" s="161"/>
      <c r="J676" s="161"/>
      <c r="K676" s="161"/>
      <c r="L676" s="161"/>
      <c r="M676" s="161"/>
      <c r="N676" s="161"/>
      <c r="O676" s="161"/>
      <c r="P676" s="161"/>
      <c r="Q676" s="161"/>
      <c r="R676" s="161"/>
      <c r="S676" s="161"/>
      <c r="T676" s="161"/>
      <c r="U676" s="161"/>
      <c r="V676" s="161"/>
      <c r="W676" s="161"/>
      <c r="X676" s="161"/>
      <c r="Y676" s="161"/>
      <c r="Z676" s="161"/>
    </row>
    <row r="677">
      <c r="A677" s="18"/>
      <c r="B677" s="18"/>
      <c r="C677" s="18"/>
      <c r="D677" s="161"/>
      <c r="E677" s="161"/>
      <c r="F677" s="511"/>
      <c r="G677" s="161"/>
      <c r="H677" s="161"/>
      <c r="I677" s="161"/>
      <c r="J677" s="161"/>
      <c r="K677" s="161"/>
      <c r="L677" s="161"/>
      <c r="M677" s="161"/>
      <c r="N677" s="161"/>
      <c r="O677" s="161"/>
      <c r="P677" s="161"/>
      <c r="Q677" s="161"/>
      <c r="R677" s="161"/>
      <c r="S677" s="161"/>
      <c r="T677" s="161"/>
      <c r="U677" s="161"/>
      <c r="V677" s="161"/>
      <c r="W677" s="161"/>
      <c r="X677" s="161"/>
      <c r="Y677" s="161"/>
      <c r="Z677" s="161"/>
    </row>
    <row r="678">
      <c r="A678" s="18"/>
      <c r="B678" s="18"/>
      <c r="C678" s="18"/>
      <c r="D678" s="161"/>
      <c r="E678" s="161"/>
      <c r="F678" s="511"/>
      <c r="G678" s="161"/>
      <c r="H678" s="161"/>
      <c r="I678" s="161"/>
      <c r="J678" s="161"/>
      <c r="K678" s="161"/>
      <c r="L678" s="161"/>
      <c r="M678" s="161"/>
      <c r="N678" s="161"/>
      <c r="O678" s="161"/>
      <c r="P678" s="161"/>
      <c r="Q678" s="161"/>
      <c r="R678" s="161"/>
      <c r="S678" s="161"/>
      <c r="T678" s="161"/>
      <c r="U678" s="161"/>
      <c r="V678" s="161"/>
      <c r="W678" s="161"/>
      <c r="X678" s="161"/>
      <c r="Y678" s="161"/>
      <c r="Z678" s="161"/>
    </row>
    <row r="679">
      <c r="A679" s="18"/>
      <c r="B679" s="18"/>
      <c r="C679" s="18"/>
      <c r="D679" s="161"/>
      <c r="E679" s="161"/>
      <c r="F679" s="511"/>
      <c r="G679" s="161"/>
      <c r="H679" s="161"/>
      <c r="I679" s="161"/>
      <c r="J679" s="161"/>
      <c r="K679" s="161"/>
      <c r="L679" s="161"/>
      <c r="M679" s="161"/>
      <c r="N679" s="161"/>
      <c r="O679" s="161"/>
      <c r="P679" s="161"/>
      <c r="Q679" s="161"/>
      <c r="R679" s="161"/>
      <c r="S679" s="161"/>
      <c r="T679" s="161"/>
      <c r="U679" s="161"/>
      <c r="V679" s="161"/>
      <c r="W679" s="161"/>
      <c r="X679" s="161"/>
      <c r="Y679" s="161"/>
      <c r="Z679" s="161"/>
    </row>
    <row r="680">
      <c r="A680" s="18"/>
      <c r="B680" s="18"/>
      <c r="C680" s="18"/>
      <c r="D680" s="161"/>
      <c r="E680" s="161"/>
      <c r="F680" s="511"/>
      <c r="G680" s="161"/>
      <c r="H680" s="161"/>
      <c r="I680" s="161"/>
      <c r="J680" s="161"/>
      <c r="K680" s="161"/>
      <c r="L680" s="161"/>
      <c r="M680" s="161"/>
      <c r="N680" s="161"/>
      <c r="O680" s="161"/>
      <c r="P680" s="161"/>
      <c r="Q680" s="161"/>
      <c r="R680" s="161"/>
      <c r="S680" s="161"/>
      <c r="T680" s="161"/>
      <c r="U680" s="161"/>
      <c r="V680" s="161"/>
      <c r="W680" s="161"/>
      <c r="X680" s="161"/>
      <c r="Y680" s="161"/>
      <c r="Z680" s="161"/>
    </row>
    <row r="681">
      <c r="A681" s="18"/>
      <c r="B681" s="18"/>
      <c r="C681" s="18"/>
      <c r="D681" s="161"/>
      <c r="E681" s="161"/>
      <c r="F681" s="511"/>
      <c r="G681" s="161"/>
      <c r="H681" s="161"/>
      <c r="I681" s="161"/>
      <c r="J681" s="161"/>
      <c r="K681" s="161"/>
      <c r="L681" s="161"/>
      <c r="M681" s="161"/>
      <c r="N681" s="161"/>
      <c r="O681" s="161"/>
      <c r="P681" s="161"/>
      <c r="Q681" s="161"/>
      <c r="R681" s="161"/>
      <c r="S681" s="161"/>
      <c r="T681" s="161"/>
      <c r="U681" s="161"/>
      <c r="V681" s="161"/>
      <c r="W681" s="161"/>
      <c r="X681" s="161"/>
      <c r="Y681" s="161"/>
      <c r="Z681" s="161"/>
    </row>
    <row r="682">
      <c r="A682" s="18"/>
      <c r="B682" s="18"/>
      <c r="C682" s="18"/>
      <c r="D682" s="161"/>
      <c r="E682" s="161"/>
      <c r="F682" s="511"/>
      <c r="G682" s="161"/>
      <c r="H682" s="161"/>
      <c r="I682" s="161"/>
      <c r="J682" s="161"/>
      <c r="K682" s="161"/>
      <c r="L682" s="161"/>
      <c r="M682" s="161"/>
      <c r="N682" s="161"/>
      <c r="O682" s="161"/>
      <c r="P682" s="161"/>
      <c r="Q682" s="161"/>
      <c r="R682" s="161"/>
      <c r="S682" s="161"/>
      <c r="T682" s="161"/>
      <c r="U682" s="161"/>
      <c r="V682" s="161"/>
      <c r="W682" s="161"/>
      <c r="X682" s="161"/>
      <c r="Y682" s="161"/>
      <c r="Z682" s="161"/>
    </row>
    <row r="683">
      <c r="A683" s="18"/>
      <c r="B683" s="18"/>
      <c r="C683" s="18"/>
      <c r="D683" s="161"/>
      <c r="E683" s="161"/>
      <c r="F683" s="511"/>
      <c r="G683" s="161"/>
      <c r="H683" s="161"/>
      <c r="I683" s="161"/>
      <c r="J683" s="161"/>
      <c r="K683" s="161"/>
      <c r="L683" s="161"/>
      <c r="M683" s="161"/>
      <c r="N683" s="161"/>
      <c r="O683" s="161"/>
      <c r="P683" s="161"/>
      <c r="Q683" s="161"/>
      <c r="R683" s="161"/>
      <c r="S683" s="161"/>
      <c r="T683" s="161"/>
      <c r="U683" s="161"/>
      <c r="V683" s="161"/>
      <c r="W683" s="161"/>
      <c r="X683" s="161"/>
      <c r="Y683" s="161"/>
      <c r="Z683" s="161"/>
    </row>
    <row r="684">
      <c r="A684" s="18"/>
      <c r="B684" s="18"/>
      <c r="C684" s="18"/>
      <c r="D684" s="161"/>
      <c r="E684" s="161"/>
      <c r="F684" s="511"/>
      <c r="G684" s="161"/>
      <c r="H684" s="161"/>
      <c r="I684" s="161"/>
      <c r="J684" s="161"/>
      <c r="K684" s="161"/>
      <c r="L684" s="161"/>
      <c r="M684" s="161"/>
      <c r="N684" s="161"/>
      <c r="O684" s="161"/>
      <c r="P684" s="161"/>
      <c r="Q684" s="161"/>
      <c r="R684" s="161"/>
      <c r="S684" s="161"/>
      <c r="T684" s="161"/>
      <c r="U684" s="161"/>
      <c r="V684" s="161"/>
      <c r="W684" s="161"/>
      <c r="X684" s="161"/>
      <c r="Y684" s="161"/>
      <c r="Z684" s="161"/>
    </row>
    <row r="685">
      <c r="A685" s="18"/>
      <c r="B685" s="18"/>
      <c r="C685" s="18"/>
      <c r="D685" s="161"/>
      <c r="E685" s="161"/>
      <c r="F685" s="511"/>
      <c r="G685" s="161"/>
      <c r="H685" s="161"/>
      <c r="I685" s="161"/>
      <c r="J685" s="161"/>
      <c r="K685" s="161"/>
      <c r="L685" s="161"/>
      <c r="M685" s="161"/>
      <c r="N685" s="161"/>
      <c r="O685" s="161"/>
      <c r="P685" s="161"/>
      <c r="Q685" s="161"/>
      <c r="R685" s="161"/>
      <c r="S685" s="161"/>
      <c r="T685" s="161"/>
      <c r="U685" s="161"/>
      <c r="V685" s="161"/>
      <c r="W685" s="161"/>
      <c r="X685" s="161"/>
      <c r="Y685" s="161"/>
      <c r="Z685" s="161"/>
    </row>
    <row r="686">
      <c r="A686" s="18"/>
      <c r="B686" s="18"/>
      <c r="C686" s="18"/>
      <c r="D686" s="161"/>
      <c r="E686" s="161"/>
      <c r="F686" s="511"/>
      <c r="G686" s="161"/>
      <c r="H686" s="161"/>
      <c r="I686" s="161"/>
      <c r="J686" s="161"/>
      <c r="K686" s="161"/>
      <c r="L686" s="161"/>
      <c r="M686" s="161"/>
      <c r="N686" s="161"/>
      <c r="O686" s="161"/>
      <c r="P686" s="161"/>
      <c r="Q686" s="161"/>
      <c r="R686" s="161"/>
      <c r="S686" s="161"/>
      <c r="T686" s="161"/>
      <c r="U686" s="161"/>
      <c r="V686" s="161"/>
      <c r="W686" s="161"/>
      <c r="X686" s="161"/>
      <c r="Y686" s="161"/>
      <c r="Z686" s="161"/>
    </row>
    <row r="687">
      <c r="A687" s="18"/>
      <c r="B687" s="18"/>
      <c r="C687" s="18"/>
      <c r="D687" s="161"/>
      <c r="E687" s="161"/>
      <c r="F687" s="511"/>
      <c r="G687" s="161"/>
      <c r="H687" s="161"/>
      <c r="I687" s="161"/>
      <c r="J687" s="161"/>
      <c r="K687" s="161"/>
      <c r="L687" s="161"/>
      <c r="M687" s="161"/>
      <c r="N687" s="161"/>
      <c r="O687" s="161"/>
      <c r="P687" s="161"/>
      <c r="Q687" s="161"/>
      <c r="R687" s="161"/>
      <c r="S687" s="161"/>
      <c r="T687" s="161"/>
      <c r="U687" s="161"/>
      <c r="V687" s="161"/>
      <c r="W687" s="161"/>
      <c r="X687" s="161"/>
      <c r="Y687" s="161"/>
      <c r="Z687" s="161"/>
    </row>
    <row r="688">
      <c r="A688" s="18"/>
      <c r="B688" s="18"/>
      <c r="C688" s="18"/>
      <c r="D688" s="161"/>
      <c r="E688" s="161"/>
      <c r="F688" s="511"/>
      <c r="G688" s="161"/>
      <c r="H688" s="161"/>
      <c r="I688" s="161"/>
      <c r="J688" s="161"/>
      <c r="K688" s="161"/>
      <c r="L688" s="161"/>
      <c r="M688" s="161"/>
      <c r="N688" s="161"/>
      <c r="O688" s="161"/>
      <c r="P688" s="161"/>
      <c r="Q688" s="161"/>
      <c r="R688" s="161"/>
      <c r="S688" s="161"/>
      <c r="T688" s="161"/>
      <c r="U688" s="161"/>
      <c r="V688" s="161"/>
      <c r="W688" s="161"/>
      <c r="X688" s="161"/>
      <c r="Y688" s="161"/>
      <c r="Z688" s="161"/>
    </row>
    <row r="689">
      <c r="A689" s="18"/>
      <c r="B689" s="18"/>
      <c r="C689" s="18"/>
      <c r="D689" s="161"/>
      <c r="E689" s="161"/>
      <c r="F689" s="511"/>
      <c r="G689" s="161"/>
      <c r="H689" s="161"/>
      <c r="I689" s="161"/>
      <c r="J689" s="161"/>
      <c r="K689" s="161"/>
      <c r="L689" s="161"/>
      <c r="M689" s="161"/>
      <c r="N689" s="161"/>
      <c r="O689" s="161"/>
      <c r="P689" s="161"/>
      <c r="Q689" s="161"/>
      <c r="R689" s="161"/>
      <c r="S689" s="161"/>
      <c r="T689" s="161"/>
      <c r="U689" s="161"/>
      <c r="V689" s="161"/>
      <c r="W689" s="161"/>
      <c r="X689" s="161"/>
      <c r="Y689" s="161"/>
      <c r="Z689" s="161"/>
    </row>
    <row r="690">
      <c r="A690" s="18"/>
      <c r="B690" s="18"/>
      <c r="C690" s="18"/>
      <c r="D690" s="161"/>
      <c r="E690" s="161"/>
      <c r="F690" s="511"/>
      <c r="G690" s="161"/>
      <c r="H690" s="161"/>
      <c r="I690" s="161"/>
      <c r="J690" s="161"/>
      <c r="K690" s="161"/>
      <c r="L690" s="161"/>
      <c r="M690" s="161"/>
      <c r="N690" s="161"/>
      <c r="O690" s="161"/>
      <c r="P690" s="161"/>
      <c r="Q690" s="161"/>
      <c r="R690" s="161"/>
      <c r="S690" s="161"/>
      <c r="T690" s="161"/>
      <c r="U690" s="161"/>
      <c r="V690" s="161"/>
      <c r="W690" s="161"/>
      <c r="X690" s="161"/>
      <c r="Y690" s="161"/>
      <c r="Z690" s="161"/>
    </row>
    <row r="691">
      <c r="A691" s="18"/>
      <c r="B691" s="18"/>
      <c r="C691" s="18"/>
      <c r="D691" s="161"/>
      <c r="E691" s="161"/>
      <c r="F691" s="511"/>
      <c r="G691" s="161"/>
      <c r="H691" s="161"/>
      <c r="I691" s="161"/>
      <c r="J691" s="161"/>
      <c r="K691" s="161"/>
      <c r="L691" s="161"/>
      <c r="M691" s="161"/>
      <c r="N691" s="161"/>
      <c r="O691" s="161"/>
      <c r="P691" s="161"/>
      <c r="Q691" s="161"/>
      <c r="R691" s="161"/>
      <c r="S691" s="161"/>
      <c r="T691" s="161"/>
      <c r="U691" s="161"/>
      <c r="V691" s="161"/>
      <c r="W691" s="161"/>
      <c r="X691" s="161"/>
      <c r="Y691" s="161"/>
      <c r="Z691" s="161"/>
    </row>
    <row r="692">
      <c r="A692" s="18"/>
      <c r="B692" s="18"/>
      <c r="C692" s="18"/>
      <c r="D692" s="161"/>
      <c r="E692" s="161"/>
      <c r="F692" s="511"/>
      <c r="G692" s="161"/>
      <c r="H692" s="161"/>
      <c r="I692" s="161"/>
      <c r="J692" s="161"/>
      <c r="K692" s="161"/>
      <c r="L692" s="161"/>
      <c r="M692" s="161"/>
      <c r="N692" s="161"/>
      <c r="O692" s="161"/>
      <c r="P692" s="161"/>
      <c r="Q692" s="161"/>
      <c r="R692" s="161"/>
      <c r="S692" s="161"/>
      <c r="T692" s="161"/>
      <c r="U692" s="161"/>
      <c r="V692" s="161"/>
      <c r="W692" s="161"/>
      <c r="X692" s="161"/>
      <c r="Y692" s="161"/>
      <c r="Z692" s="161"/>
    </row>
    <row r="693">
      <c r="A693" s="18"/>
      <c r="B693" s="18"/>
      <c r="C693" s="18"/>
      <c r="D693" s="161"/>
      <c r="E693" s="161"/>
      <c r="F693" s="511"/>
      <c r="G693" s="161"/>
      <c r="H693" s="161"/>
      <c r="I693" s="161"/>
      <c r="J693" s="161"/>
      <c r="K693" s="161"/>
      <c r="L693" s="161"/>
      <c r="M693" s="161"/>
      <c r="N693" s="161"/>
      <c r="O693" s="161"/>
      <c r="P693" s="161"/>
      <c r="Q693" s="161"/>
      <c r="R693" s="161"/>
      <c r="S693" s="161"/>
      <c r="T693" s="161"/>
      <c r="U693" s="161"/>
      <c r="V693" s="161"/>
      <c r="W693" s="161"/>
      <c r="X693" s="161"/>
      <c r="Y693" s="161"/>
      <c r="Z693" s="161"/>
    </row>
    <row r="694">
      <c r="A694" s="18"/>
      <c r="B694" s="18"/>
      <c r="C694" s="18"/>
      <c r="D694" s="161"/>
      <c r="E694" s="161"/>
      <c r="F694" s="511"/>
      <c r="G694" s="161"/>
      <c r="H694" s="161"/>
      <c r="I694" s="161"/>
      <c r="J694" s="161"/>
      <c r="K694" s="161"/>
      <c r="L694" s="161"/>
      <c r="M694" s="161"/>
      <c r="N694" s="161"/>
      <c r="O694" s="161"/>
      <c r="P694" s="161"/>
      <c r="Q694" s="161"/>
      <c r="R694" s="161"/>
      <c r="S694" s="161"/>
      <c r="T694" s="161"/>
      <c r="U694" s="161"/>
      <c r="V694" s="161"/>
      <c r="W694" s="161"/>
      <c r="X694" s="161"/>
      <c r="Y694" s="161"/>
      <c r="Z694" s="161"/>
    </row>
    <row r="695">
      <c r="A695" s="18"/>
      <c r="B695" s="18"/>
      <c r="C695" s="18"/>
      <c r="D695" s="161"/>
      <c r="E695" s="161"/>
      <c r="F695" s="511"/>
      <c r="G695" s="161"/>
      <c r="H695" s="161"/>
      <c r="I695" s="161"/>
      <c r="J695" s="161"/>
      <c r="K695" s="161"/>
      <c r="L695" s="161"/>
      <c r="M695" s="161"/>
      <c r="N695" s="161"/>
      <c r="O695" s="161"/>
      <c r="P695" s="161"/>
      <c r="Q695" s="161"/>
      <c r="R695" s="161"/>
      <c r="S695" s="161"/>
      <c r="T695" s="161"/>
      <c r="U695" s="161"/>
      <c r="V695" s="161"/>
      <c r="W695" s="161"/>
      <c r="X695" s="161"/>
      <c r="Y695" s="161"/>
      <c r="Z695" s="161"/>
    </row>
    <row r="696">
      <c r="A696" s="18"/>
      <c r="B696" s="18"/>
      <c r="C696" s="18"/>
      <c r="D696" s="161"/>
      <c r="E696" s="161"/>
      <c r="F696" s="511"/>
      <c r="G696" s="161"/>
      <c r="H696" s="161"/>
      <c r="I696" s="161"/>
      <c r="J696" s="161"/>
      <c r="K696" s="161"/>
      <c r="L696" s="161"/>
      <c r="M696" s="161"/>
      <c r="N696" s="161"/>
      <c r="O696" s="161"/>
      <c r="P696" s="161"/>
      <c r="Q696" s="161"/>
      <c r="R696" s="161"/>
      <c r="S696" s="161"/>
      <c r="T696" s="161"/>
      <c r="U696" s="161"/>
      <c r="V696" s="161"/>
      <c r="W696" s="161"/>
      <c r="X696" s="161"/>
      <c r="Y696" s="161"/>
      <c r="Z696" s="161"/>
    </row>
    <row r="697">
      <c r="A697" s="18"/>
      <c r="B697" s="18"/>
      <c r="C697" s="18"/>
      <c r="D697" s="161"/>
      <c r="E697" s="161"/>
      <c r="F697" s="511"/>
      <c r="G697" s="161"/>
      <c r="H697" s="161"/>
      <c r="I697" s="161"/>
      <c r="J697" s="161"/>
      <c r="K697" s="161"/>
      <c r="L697" s="161"/>
      <c r="M697" s="161"/>
      <c r="N697" s="161"/>
      <c r="O697" s="161"/>
      <c r="P697" s="161"/>
      <c r="Q697" s="161"/>
      <c r="R697" s="161"/>
      <c r="S697" s="161"/>
      <c r="T697" s="161"/>
      <c r="U697" s="161"/>
      <c r="V697" s="161"/>
      <c r="W697" s="161"/>
      <c r="X697" s="161"/>
      <c r="Y697" s="161"/>
      <c r="Z697" s="161"/>
    </row>
    <row r="698">
      <c r="A698" s="18"/>
      <c r="B698" s="18"/>
      <c r="C698" s="18"/>
      <c r="D698" s="161"/>
      <c r="E698" s="161"/>
      <c r="F698" s="511"/>
      <c r="G698" s="161"/>
      <c r="H698" s="161"/>
      <c r="I698" s="161"/>
      <c r="J698" s="161"/>
      <c r="K698" s="161"/>
      <c r="L698" s="161"/>
      <c r="M698" s="161"/>
      <c r="N698" s="161"/>
      <c r="O698" s="161"/>
      <c r="P698" s="161"/>
      <c r="Q698" s="161"/>
      <c r="R698" s="161"/>
      <c r="S698" s="161"/>
      <c r="T698" s="161"/>
      <c r="U698" s="161"/>
      <c r="V698" s="161"/>
      <c r="W698" s="161"/>
      <c r="X698" s="161"/>
      <c r="Y698" s="161"/>
      <c r="Z698" s="161"/>
    </row>
    <row r="699">
      <c r="A699" s="18"/>
      <c r="B699" s="18"/>
      <c r="C699" s="18"/>
      <c r="D699" s="161"/>
      <c r="E699" s="161"/>
      <c r="F699" s="511"/>
      <c r="G699" s="161"/>
      <c r="H699" s="161"/>
      <c r="I699" s="161"/>
      <c r="J699" s="161"/>
      <c r="K699" s="161"/>
      <c r="L699" s="161"/>
      <c r="M699" s="161"/>
      <c r="N699" s="161"/>
      <c r="O699" s="161"/>
      <c r="P699" s="161"/>
      <c r="Q699" s="161"/>
      <c r="R699" s="161"/>
      <c r="S699" s="161"/>
      <c r="T699" s="161"/>
      <c r="U699" s="161"/>
      <c r="V699" s="161"/>
      <c r="W699" s="161"/>
      <c r="X699" s="161"/>
      <c r="Y699" s="161"/>
      <c r="Z699" s="161"/>
    </row>
    <row r="700">
      <c r="A700" s="18"/>
      <c r="B700" s="18"/>
      <c r="C700" s="18"/>
      <c r="D700" s="161"/>
      <c r="E700" s="161"/>
      <c r="F700" s="511"/>
      <c r="G700" s="161"/>
      <c r="H700" s="161"/>
      <c r="I700" s="161"/>
      <c r="J700" s="161"/>
      <c r="K700" s="161"/>
      <c r="L700" s="161"/>
      <c r="M700" s="161"/>
      <c r="N700" s="161"/>
      <c r="O700" s="161"/>
      <c r="P700" s="161"/>
      <c r="Q700" s="161"/>
      <c r="R700" s="161"/>
      <c r="S700" s="161"/>
      <c r="T700" s="161"/>
      <c r="U700" s="161"/>
      <c r="V700" s="161"/>
      <c r="W700" s="161"/>
      <c r="X700" s="161"/>
      <c r="Y700" s="161"/>
      <c r="Z700" s="161"/>
    </row>
    <row r="701">
      <c r="A701" s="18"/>
      <c r="B701" s="18"/>
      <c r="C701" s="18"/>
      <c r="D701" s="161"/>
      <c r="E701" s="161"/>
      <c r="F701" s="511"/>
      <c r="G701" s="161"/>
      <c r="H701" s="161"/>
      <c r="I701" s="161"/>
      <c r="J701" s="161"/>
      <c r="K701" s="161"/>
      <c r="L701" s="161"/>
      <c r="M701" s="161"/>
      <c r="N701" s="161"/>
      <c r="O701" s="161"/>
      <c r="P701" s="161"/>
      <c r="Q701" s="161"/>
      <c r="R701" s="161"/>
      <c r="S701" s="161"/>
      <c r="T701" s="161"/>
      <c r="U701" s="161"/>
      <c r="V701" s="161"/>
      <c r="W701" s="161"/>
      <c r="X701" s="161"/>
      <c r="Y701" s="161"/>
      <c r="Z701" s="161"/>
    </row>
    <row r="702">
      <c r="A702" s="18"/>
      <c r="B702" s="18"/>
      <c r="C702" s="18"/>
      <c r="D702" s="161"/>
      <c r="E702" s="161"/>
      <c r="F702" s="511"/>
      <c r="G702" s="161"/>
      <c r="H702" s="161"/>
      <c r="I702" s="161"/>
      <c r="J702" s="161"/>
      <c r="K702" s="161"/>
      <c r="L702" s="161"/>
      <c r="M702" s="161"/>
      <c r="N702" s="161"/>
      <c r="O702" s="161"/>
      <c r="P702" s="161"/>
      <c r="Q702" s="161"/>
      <c r="R702" s="161"/>
      <c r="S702" s="161"/>
      <c r="T702" s="161"/>
      <c r="U702" s="161"/>
      <c r="V702" s="161"/>
      <c r="W702" s="161"/>
      <c r="X702" s="161"/>
      <c r="Y702" s="161"/>
      <c r="Z702" s="161"/>
    </row>
    <row r="703">
      <c r="A703" s="18"/>
      <c r="B703" s="18"/>
      <c r="C703" s="18"/>
      <c r="D703" s="161"/>
      <c r="E703" s="161"/>
      <c r="F703" s="511"/>
      <c r="G703" s="161"/>
      <c r="H703" s="161"/>
      <c r="I703" s="161"/>
      <c r="J703" s="161"/>
      <c r="K703" s="161"/>
      <c r="L703" s="161"/>
      <c r="M703" s="161"/>
      <c r="N703" s="161"/>
      <c r="O703" s="161"/>
      <c r="P703" s="161"/>
      <c r="Q703" s="161"/>
      <c r="R703" s="161"/>
      <c r="S703" s="161"/>
      <c r="T703" s="161"/>
      <c r="U703" s="161"/>
      <c r="V703" s="161"/>
      <c r="W703" s="161"/>
      <c r="X703" s="161"/>
      <c r="Y703" s="161"/>
      <c r="Z703" s="161"/>
    </row>
    <row r="704">
      <c r="A704" s="18"/>
      <c r="B704" s="18"/>
      <c r="C704" s="18"/>
      <c r="D704" s="161"/>
      <c r="E704" s="161"/>
      <c r="F704" s="511"/>
      <c r="G704" s="161"/>
      <c r="H704" s="161"/>
      <c r="I704" s="161"/>
      <c r="J704" s="161"/>
      <c r="K704" s="161"/>
      <c r="L704" s="161"/>
      <c r="M704" s="161"/>
      <c r="N704" s="161"/>
      <c r="O704" s="161"/>
      <c r="P704" s="161"/>
      <c r="Q704" s="161"/>
      <c r="R704" s="161"/>
      <c r="S704" s="161"/>
      <c r="T704" s="161"/>
      <c r="U704" s="161"/>
      <c r="V704" s="161"/>
      <c r="W704" s="161"/>
      <c r="X704" s="161"/>
      <c r="Y704" s="161"/>
      <c r="Z704" s="161"/>
    </row>
    <row r="705">
      <c r="A705" s="18"/>
      <c r="B705" s="18"/>
      <c r="C705" s="18"/>
      <c r="D705" s="161"/>
      <c r="E705" s="161"/>
      <c r="F705" s="511"/>
      <c r="G705" s="161"/>
      <c r="H705" s="161"/>
      <c r="I705" s="161"/>
      <c r="J705" s="161"/>
      <c r="K705" s="161"/>
      <c r="L705" s="161"/>
      <c r="M705" s="161"/>
      <c r="N705" s="161"/>
      <c r="O705" s="161"/>
      <c r="P705" s="161"/>
      <c r="Q705" s="161"/>
      <c r="R705" s="161"/>
      <c r="S705" s="161"/>
      <c r="T705" s="161"/>
      <c r="U705" s="161"/>
      <c r="V705" s="161"/>
      <c r="W705" s="161"/>
      <c r="X705" s="161"/>
      <c r="Y705" s="161"/>
      <c r="Z705" s="161"/>
    </row>
    <row r="706">
      <c r="A706" s="18"/>
      <c r="B706" s="18"/>
      <c r="C706" s="18"/>
      <c r="D706" s="161"/>
      <c r="E706" s="161"/>
      <c r="F706" s="511"/>
      <c r="G706" s="161"/>
      <c r="H706" s="161"/>
      <c r="I706" s="161"/>
      <c r="J706" s="161"/>
      <c r="K706" s="161"/>
      <c r="L706" s="161"/>
      <c r="M706" s="161"/>
      <c r="N706" s="161"/>
      <c r="O706" s="161"/>
      <c r="P706" s="161"/>
      <c r="Q706" s="161"/>
      <c r="R706" s="161"/>
      <c r="S706" s="161"/>
      <c r="T706" s="161"/>
      <c r="U706" s="161"/>
      <c r="V706" s="161"/>
      <c r="W706" s="161"/>
      <c r="X706" s="161"/>
      <c r="Y706" s="161"/>
      <c r="Z706" s="161"/>
    </row>
    <row r="707">
      <c r="A707" s="18"/>
      <c r="B707" s="18"/>
      <c r="C707" s="18"/>
      <c r="D707" s="161"/>
      <c r="E707" s="161"/>
      <c r="F707" s="511"/>
      <c r="G707" s="161"/>
      <c r="H707" s="161"/>
      <c r="I707" s="161"/>
      <c r="J707" s="161"/>
      <c r="K707" s="161"/>
      <c r="L707" s="161"/>
      <c r="M707" s="161"/>
      <c r="N707" s="161"/>
      <c r="O707" s="161"/>
      <c r="P707" s="161"/>
      <c r="Q707" s="161"/>
      <c r="R707" s="161"/>
      <c r="S707" s="161"/>
      <c r="T707" s="161"/>
      <c r="U707" s="161"/>
      <c r="V707" s="161"/>
      <c r="W707" s="161"/>
      <c r="X707" s="161"/>
      <c r="Y707" s="161"/>
      <c r="Z707" s="161"/>
    </row>
    <row r="708">
      <c r="A708" s="18"/>
      <c r="B708" s="18"/>
      <c r="C708" s="18"/>
      <c r="D708" s="161"/>
      <c r="E708" s="161"/>
      <c r="F708" s="511"/>
      <c r="G708" s="161"/>
      <c r="H708" s="161"/>
      <c r="I708" s="161"/>
      <c r="J708" s="161"/>
      <c r="K708" s="161"/>
      <c r="L708" s="161"/>
      <c r="M708" s="161"/>
      <c r="N708" s="161"/>
      <c r="O708" s="161"/>
      <c r="P708" s="161"/>
      <c r="Q708" s="161"/>
      <c r="R708" s="161"/>
      <c r="S708" s="161"/>
      <c r="T708" s="161"/>
      <c r="U708" s="161"/>
      <c r="V708" s="161"/>
      <c r="W708" s="161"/>
      <c r="X708" s="161"/>
      <c r="Y708" s="161"/>
      <c r="Z708" s="161"/>
    </row>
    <row r="709">
      <c r="A709" s="18"/>
      <c r="B709" s="18"/>
      <c r="C709" s="18"/>
      <c r="D709" s="161"/>
      <c r="E709" s="161"/>
      <c r="F709" s="511"/>
      <c r="G709" s="161"/>
      <c r="H709" s="161"/>
      <c r="I709" s="161"/>
      <c r="J709" s="161"/>
      <c r="K709" s="161"/>
      <c r="L709" s="161"/>
      <c r="M709" s="161"/>
      <c r="N709" s="161"/>
      <c r="O709" s="161"/>
      <c r="P709" s="161"/>
      <c r="Q709" s="161"/>
      <c r="R709" s="161"/>
      <c r="S709" s="161"/>
      <c r="T709" s="161"/>
      <c r="U709" s="161"/>
      <c r="V709" s="161"/>
      <c r="W709" s="161"/>
      <c r="X709" s="161"/>
      <c r="Y709" s="161"/>
      <c r="Z709" s="161"/>
    </row>
    <row r="710">
      <c r="A710" s="18"/>
      <c r="B710" s="18"/>
      <c r="C710" s="18"/>
      <c r="D710" s="161"/>
      <c r="E710" s="161"/>
      <c r="F710" s="511"/>
      <c r="G710" s="161"/>
      <c r="H710" s="161"/>
      <c r="I710" s="161"/>
      <c r="J710" s="161"/>
      <c r="K710" s="161"/>
      <c r="L710" s="161"/>
      <c r="M710" s="161"/>
      <c r="N710" s="161"/>
      <c r="O710" s="161"/>
      <c r="P710" s="161"/>
      <c r="Q710" s="161"/>
      <c r="R710" s="161"/>
      <c r="S710" s="161"/>
      <c r="T710" s="161"/>
      <c r="U710" s="161"/>
      <c r="V710" s="161"/>
      <c r="W710" s="161"/>
      <c r="X710" s="161"/>
      <c r="Y710" s="161"/>
      <c r="Z710" s="161"/>
    </row>
    <row r="711">
      <c r="A711" s="18"/>
      <c r="B711" s="18"/>
      <c r="C711" s="18"/>
      <c r="D711" s="161"/>
      <c r="E711" s="161"/>
      <c r="F711" s="511"/>
      <c r="G711" s="161"/>
      <c r="H711" s="161"/>
      <c r="I711" s="161"/>
      <c r="J711" s="161"/>
      <c r="K711" s="161"/>
      <c r="L711" s="161"/>
      <c r="M711" s="161"/>
      <c r="N711" s="161"/>
      <c r="O711" s="161"/>
      <c r="P711" s="161"/>
      <c r="Q711" s="161"/>
      <c r="R711" s="161"/>
      <c r="S711" s="161"/>
      <c r="T711" s="161"/>
      <c r="U711" s="161"/>
      <c r="V711" s="161"/>
      <c r="W711" s="161"/>
      <c r="X711" s="161"/>
      <c r="Y711" s="161"/>
      <c r="Z711" s="161"/>
    </row>
    <row r="712">
      <c r="A712" s="18"/>
      <c r="B712" s="18"/>
      <c r="C712" s="18"/>
      <c r="D712" s="161"/>
      <c r="E712" s="161"/>
      <c r="F712" s="511"/>
      <c r="G712" s="161"/>
      <c r="H712" s="161"/>
      <c r="I712" s="161"/>
      <c r="J712" s="161"/>
      <c r="K712" s="161"/>
      <c r="L712" s="161"/>
      <c r="M712" s="161"/>
      <c r="N712" s="161"/>
      <c r="O712" s="161"/>
      <c r="P712" s="161"/>
      <c r="Q712" s="161"/>
      <c r="R712" s="161"/>
      <c r="S712" s="161"/>
      <c r="T712" s="161"/>
      <c r="U712" s="161"/>
      <c r="V712" s="161"/>
      <c r="W712" s="161"/>
      <c r="X712" s="161"/>
      <c r="Y712" s="161"/>
      <c r="Z712" s="161"/>
    </row>
    <row r="713">
      <c r="A713" s="18"/>
      <c r="B713" s="18"/>
      <c r="C713" s="18"/>
      <c r="D713" s="161"/>
      <c r="E713" s="161"/>
      <c r="F713" s="511"/>
      <c r="G713" s="161"/>
      <c r="H713" s="161"/>
      <c r="I713" s="161"/>
      <c r="J713" s="161"/>
      <c r="K713" s="161"/>
      <c r="L713" s="161"/>
      <c r="M713" s="161"/>
      <c r="N713" s="161"/>
      <c r="O713" s="161"/>
      <c r="P713" s="161"/>
      <c r="Q713" s="161"/>
      <c r="R713" s="161"/>
      <c r="S713" s="161"/>
      <c r="T713" s="161"/>
      <c r="U713" s="161"/>
      <c r="V713" s="161"/>
      <c r="W713" s="161"/>
      <c r="X713" s="161"/>
      <c r="Y713" s="161"/>
      <c r="Z713" s="161"/>
    </row>
    <row r="714">
      <c r="A714" s="18"/>
      <c r="B714" s="18"/>
      <c r="C714" s="18"/>
      <c r="D714" s="161"/>
      <c r="E714" s="161"/>
      <c r="F714" s="511"/>
      <c r="G714" s="161"/>
      <c r="H714" s="161"/>
      <c r="I714" s="161"/>
      <c r="J714" s="161"/>
      <c r="K714" s="161"/>
      <c r="L714" s="161"/>
      <c r="M714" s="161"/>
      <c r="N714" s="161"/>
      <c r="O714" s="161"/>
      <c r="P714" s="161"/>
      <c r="Q714" s="161"/>
      <c r="R714" s="161"/>
      <c r="S714" s="161"/>
      <c r="T714" s="161"/>
      <c r="U714" s="161"/>
      <c r="V714" s="161"/>
      <c r="W714" s="161"/>
      <c r="X714" s="161"/>
      <c r="Y714" s="161"/>
      <c r="Z714" s="161"/>
    </row>
    <row r="715">
      <c r="A715" s="18"/>
      <c r="B715" s="18"/>
      <c r="C715" s="18"/>
      <c r="D715" s="161"/>
      <c r="E715" s="161"/>
      <c r="F715" s="511"/>
      <c r="G715" s="161"/>
      <c r="H715" s="161"/>
      <c r="I715" s="161"/>
      <c r="J715" s="161"/>
      <c r="K715" s="161"/>
      <c r="L715" s="161"/>
      <c r="M715" s="161"/>
      <c r="N715" s="161"/>
      <c r="O715" s="161"/>
      <c r="P715" s="161"/>
      <c r="Q715" s="161"/>
      <c r="R715" s="161"/>
      <c r="S715" s="161"/>
      <c r="T715" s="161"/>
      <c r="U715" s="161"/>
      <c r="V715" s="161"/>
      <c r="W715" s="161"/>
      <c r="X715" s="161"/>
      <c r="Y715" s="161"/>
      <c r="Z715" s="161"/>
    </row>
    <row r="716">
      <c r="A716" s="18"/>
      <c r="B716" s="18"/>
      <c r="C716" s="18"/>
      <c r="D716" s="161"/>
      <c r="E716" s="161"/>
      <c r="F716" s="511"/>
      <c r="G716" s="161"/>
      <c r="H716" s="161"/>
      <c r="I716" s="161"/>
      <c r="J716" s="161"/>
      <c r="K716" s="161"/>
      <c r="L716" s="161"/>
      <c r="M716" s="161"/>
      <c r="N716" s="161"/>
      <c r="O716" s="161"/>
      <c r="P716" s="161"/>
      <c r="Q716" s="161"/>
      <c r="R716" s="161"/>
      <c r="S716" s="161"/>
      <c r="T716" s="161"/>
      <c r="U716" s="161"/>
      <c r="V716" s="161"/>
      <c r="W716" s="161"/>
      <c r="X716" s="161"/>
      <c r="Y716" s="161"/>
      <c r="Z716" s="161"/>
    </row>
    <row r="717">
      <c r="A717" s="18"/>
      <c r="B717" s="18"/>
      <c r="C717" s="18"/>
      <c r="D717" s="161"/>
      <c r="E717" s="161"/>
      <c r="F717" s="511"/>
      <c r="G717" s="161"/>
      <c r="H717" s="161"/>
      <c r="I717" s="161"/>
      <c r="J717" s="161"/>
      <c r="K717" s="161"/>
      <c r="L717" s="161"/>
      <c r="M717" s="161"/>
      <c r="N717" s="161"/>
      <c r="O717" s="161"/>
      <c r="P717" s="161"/>
      <c r="Q717" s="161"/>
      <c r="R717" s="161"/>
      <c r="S717" s="161"/>
      <c r="T717" s="161"/>
      <c r="U717" s="161"/>
      <c r="V717" s="161"/>
      <c r="W717" s="161"/>
      <c r="X717" s="161"/>
      <c r="Y717" s="161"/>
      <c r="Z717" s="161"/>
    </row>
    <row r="718">
      <c r="A718" s="18"/>
      <c r="B718" s="18"/>
      <c r="C718" s="18"/>
      <c r="D718" s="161"/>
      <c r="E718" s="161"/>
      <c r="F718" s="511"/>
      <c r="G718" s="161"/>
      <c r="H718" s="161"/>
      <c r="I718" s="161"/>
      <c r="J718" s="161"/>
      <c r="K718" s="161"/>
      <c r="L718" s="161"/>
      <c r="M718" s="161"/>
      <c r="N718" s="161"/>
      <c r="O718" s="161"/>
      <c r="P718" s="161"/>
      <c r="Q718" s="161"/>
      <c r="R718" s="161"/>
      <c r="S718" s="161"/>
      <c r="T718" s="161"/>
      <c r="U718" s="161"/>
      <c r="V718" s="161"/>
      <c r="W718" s="161"/>
      <c r="X718" s="161"/>
      <c r="Y718" s="161"/>
      <c r="Z718" s="161"/>
    </row>
    <row r="719">
      <c r="A719" s="18"/>
      <c r="B719" s="18"/>
      <c r="C719" s="18"/>
      <c r="D719" s="161"/>
      <c r="E719" s="161"/>
      <c r="F719" s="511"/>
      <c r="G719" s="161"/>
      <c r="H719" s="161"/>
      <c r="I719" s="161"/>
      <c r="J719" s="161"/>
      <c r="K719" s="161"/>
      <c r="L719" s="161"/>
      <c r="M719" s="161"/>
      <c r="N719" s="161"/>
      <c r="O719" s="161"/>
      <c r="P719" s="161"/>
      <c r="Q719" s="161"/>
      <c r="R719" s="161"/>
      <c r="S719" s="161"/>
      <c r="T719" s="161"/>
      <c r="U719" s="161"/>
      <c r="V719" s="161"/>
      <c r="W719" s="161"/>
      <c r="X719" s="161"/>
      <c r="Y719" s="161"/>
      <c r="Z719" s="161"/>
    </row>
    <row r="720">
      <c r="A720" s="18"/>
      <c r="B720" s="18"/>
      <c r="C720" s="18"/>
      <c r="D720" s="161"/>
      <c r="E720" s="161"/>
      <c r="F720" s="511"/>
      <c r="G720" s="161"/>
      <c r="H720" s="161"/>
      <c r="I720" s="161"/>
      <c r="J720" s="161"/>
      <c r="K720" s="161"/>
      <c r="L720" s="161"/>
      <c r="M720" s="161"/>
      <c r="N720" s="161"/>
      <c r="O720" s="161"/>
      <c r="P720" s="161"/>
      <c r="Q720" s="161"/>
      <c r="R720" s="161"/>
      <c r="S720" s="161"/>
      <c r="T720" s="161"/>
      <c r="U720" s="161"/>
      <c r="V720" s="161"/>
      <c r="W720" s="161"/>
      <c r="X720" s="161"/>
      <c r="Y720" s="161"/>
      <c r="Z720" s="161"/>
    </row>
    <row r="721">
      <c r="A721" s="18"/>
      <c r="B721" s="18"/>
      <c r="C721" s="18"/>
      <c r="D721" s="161"/>
      <c r="E721" s="161"/>
      <c r="F721" s="511"/>
      <c r="G721" s="161"/>
      <c r="H721" s="161"/>
      <c r="I721" s="161"/>
      <c r="J721" s="161"/>
      <c r="K721" s="161"/>
      <c r="L721" s="161"/>
      <c r="M721" s="161"/>
      <c r="N721" s="161"/>
      <c r="O721" s="161"/>
      <c r="P721" s="161"/>
      <c r="Q721" s="161"/>
      <c r="R721" s="161"/>
      <c r="S721" s="161"/>
      <c r="T721" s="161"/>
      <c r="U721" s="161"/>
      <c r="V721" s="161"/>
      <c r="W721" s="161"/>
      <c r="X721" s="161"/>
      <c r="Y721" s="161"/>
      <c r="Z721" s="161"/>
    </row>
    <row r="722">
      <c r="A722" s="18"/>
      <c r="B722" s="18"/>
      <c r="C722" s="18"/>
      <c r="D722" s="161"/>
      <c r="E722" s="161"/>
      <c r="F722" s="511"/>
      <c r="G722" s="161"/>
      <c r="H722" s="161"/>
      <c r="I722" s="161"/>
      <c r="J722" s="161"/>
      <c r="K722" s="161"/>
      <c r="L722" s="161"/>
      <c r="M722" s="161"/>
      <c r="N722" s="161"/>
      <c r="O722" s="161"/>
      <c r="P722" s="161"/>
      <c r="Q722" s="161"/>
      <c r="R722" s="161"/>
      <c r="S722" s="161"/>
      <c r="T722" s="161"/>
      <c r="U722" s="161"/>
      <c r="V722" s="161"/>
      <c r="W722" s="161"/>
      <c r="X722" s="161"/>
      <c r="Y722" s="161"/>
      <c r="Z722" s="161"/>
    </row>
    <row r="723">
      <c r="A723" s="18"/>
      <c r="B723" s="18"/>
      <c r="C723" s="18"/>
      <c r="D723" s="161"/>
      <c r="E723" s="161"/>
      <c r="F723" s="511"/>
      <c r="G723" s="161"/>
      <c r="H723" s="161"/>
      <c r="I723" s="161"/>
      <c r="J723" s="161"/>
      <c r="K723" s="161"/>
      <c r="L723" s="161"/>
      <c r="M723" s="161"/>
      <c r="N723" s="161"/>
      <c r="O723" s="161"/>
      <c r="P723" s="161"/>
      <c r="Q723" s="161"/>
      <c r="R723" s="161"/>
      <c r="S723" s="161"/>
      <c r="T723" s="161"/>
      <c r="U723" s="161"/>
      <c r="V723" s="161"/>
      <c r="W723" s="161"/>
      <c r="X723" s="161"/>
      <c r="Y723" s="161"/>
      <c r="Z723" s="161"/>
    </row>
    <row r="724">
      <c r="A724" s="18"/>
      <c r="B724" s="18"/>
      <c r="C724" s="18"/>
      <c r="D724" s="161"/>
      <c r="E724" s="161"/>
      <c r="F724" s="511"/>
      <c r="G724" s="161"/>
      <c r="H724" s="161"/>
      <c r="I724" s="161"/>
      <c r="J724" s="161"/>
      <c r="K724" s="161"/>
      <c r="L724" s="161"/>
      <c r="M724" s="161"/>
      <c r="N724" s="161"/>
      <c r="O724" s="161"/>
      <c r="P724" s="161"/>
      <c r="Q724" s="161"/>
      <c r="R724" s="161"/>
      <c r="S724" s="161"/>
      <c r="T724" s="161"/>
      <c r="U724" s="161"/>
      <c r="V724" s="161"/>
      <c r="W724" s="161"/>
      <c r="X724" s="161"/>
      <c r="Y724" s="161"/>
      <c r="Z724" s="161"/>
    </row>
    <row r="725">
      <c r="A725" s="18"/>
      <c r="B725" s="18"/>
      <c r="C725" s="18"/>
      <c r="D725" s="161"/>
      <c r="E725" s="161"/>
      <c r="F725" s="511"/>
      <c r="G725" s="161"/>
      <c r="H725" s="161"/>
      <c r="I725" s="161"/>
      <c r="J725" s="161"/>
      <c r="K725" s="161"/>
      <c r="L725" s="161"/>
      <c r="M725" s="161"/>
      <c r="N725" s="161"/>
      <c r="O725" s="161"/>
      <c r="P725" s="161"/>
      <c r="Q725" s="161"/>
      <c r="R725" s="161"/>
      <c r="S725" s="161"/>
      <c r="T725" s="161"/>
      <c r="U725" s="161"/>
      <c r="V725" s="161"/>
      <c r="W725" s="161"/>
      <c r="X725" s="161"/>
      <c r="Y725" s="161"/>
      <c r="Z725" s="161"/>
    </row>
    <row r="726">
      <c r="A726" s="18"/>
      <c r="B726" s="18"/>
      <c r="C726" s="18"/>
      <c r="D726" s="161"/>
      <c r="E726" s="161"/>
      <c r="F726" s="511"/>
      <c r="G726" s="161"/>
      <c r="H726" s="161"/>
      <c r="I726" s="161"/>
      <c r="J726" s="161"/>
      <c r="K726" s="161"/>
      <c r="L726" s="161"/>
      <c r="M726" s="161"/>
      <c r="N726" s="161"/>
      <c r="O726" s="161"/>
      <c r="P726" s="161"/>
      <c r="Q726" s="161"/>
      <c r="R726" s="161"/>
      <c r="S726" s="161"/>
      <c r="T726" s="161"/>
      <c r="U726" s="161"/>
      <c r="V726" s="161"/>
      <c r="W726" s="161"/>
      <c r="X726" s="161"/>
      <c r="Y726" s="161"/>
      <c r="Z726" s="161"/>
    </row>
    <row r="727">
      <c r="A727" s="18"/>
      <c r="B727" s="18"/>
      <c r="C727" s="18"/>
      <c r="D727" s="161"/>
      <c r="E727" s="161"/>
      <c r="F727" s="511"/>
      <c r="G727" s="161"/>
      <c r="H727" s="161"/>
      <c r="I727" s="161"/>
      <c r="J727" s="161"/>
      <c r="K727" s="161"/>
      <c r="L727" s="161"/>
      <c r="M727" s="161"/>
      <c r="N727" s="161"/>
      <c r="O727" s="161"/>
      <c r="P727" s="161"/>
      <c r="Q727" s="161"/>
      <c r="R727" s="161"/>
      <c r="S727" s="161"/>
      <c r="T727" s="161"/>
      <c r="U727" s="161"/>
      <c r="V727" s="161"/>
      <c r="W727" s="161"/>
      <c r="X727" s="161"/>
      <c r="Y727" s="161"/>
      <c r="Z727" s="161"/>
    </row>
    <row r="728">
      <c r="A728" s="18"/>
      <c r="B728" s="18"/>
      <c r="C728" s="18"/>
      <c r="D728" s="161"/>
      <c r="E728" s="161"/>
      <c r="F728" s="511"/>
      <c r="G728" s="161"/>
      <c r="H728" s="161"/>
      <c r="I728" s="161"/>
      <c r="J728" s="161"/>
      <c r="K728" s="161"/>
      <c r="L728" s="161"/>
      <c r="M728" s="161"/>
      <c r="N728" s="161"/>
      <c r="O728" s="161"/>
      <c r="P728" s="161"/>
      <c r="Q728" s="161"/>
      <c r="R728" s="161"/>
      <c r="S728" s="161"/>
      <c r="T728" s="161"/>
      <c r="U728" s="161"/>
      <c r="V728" s="161"/>
      <c r="W728" s="161"/>
      <c r="X728" s="161"/>
      <c r="Y728" s="161"/>
      <c r="Z728" s="161"/>
    </row>
    <row r="729">
      <c r="A729" s="18"/>
      <c r="B729" s="18"/>
      <c r="C729" s="18"/>
      <c r="D729" s="161"/>
      <c r="E729" s="161"/>
      <c r="F729" s="511"/>
      <c r="G729" s="161"/>
      <c r="H729" s="161"/>
      <c r="I729" s="161"/>
      <c r="J729" s="161"/>
      <c r="K729" s="161"/>
      <c r="L729" s="161"/>
      <c r="M729" s="161"/>
      <c r="N729" s="161"/>
      <c r="O729" s="161"/>
      <c r="P729" s="161"/>
      <c r="Q729" s="161"/>
      <c r="R729" s="161"/>
      <c r="S729" s="161"/>
      <c r="T729" s="161"/>
      <c r="U729" s="161"/>
      <c r="V729" s="161"/>
      <c r="W729" s="161"/>
      <c r="X729" s="161"/>
      <c r="Y729" s="161"/>
      <c r="Z729" s="161"/>
    </row>
    <row r="730">
      <c r="A730" s="18"/>
      <c r="B730" s="18"/>
      <c r="C730" s="18"/>
      <c r="D730" s="161"/>
      <c r="E730" s="161"/>
      <c r="F730" s="511"/>
      <c r="G730" s="161"/>
      <c r="H730" s="161"/>
      <c r="I730" s="161"/>
      <c r="J730" s="161"/>
      <c r="K730" s="161"/>
      <c r="L730" s="161"/>
      <c r="M730" s="161"/>
      <c r="N730" s="161"/>
      <c r="O730" s="161"/>
      <c r="P730" s="161"/>
      <c r="Q730" s="161"/>
      <c r="R730" s="161"/>
      <c r="S730" s="161"/>
      <c r="T730" s="161"/>
      <c r="U730" s="161"/>
      <c r="V730" s="161"/>
      <c r="W730" s="161"/>
      <c r="X730" s="161"/>
      <c r="Y730" s="161"/>
      <c r="Z730" s="161"/>
    </row>
    <row r="731">
      <c r="A731" s="18"/>
      <c r="B731" s="18"/>
      <c r="C731" s="18"/>
      <c r="D731" s="161"/>
      <c r="E731" s="161"/>
      <c r="F731" s="511"/>
      <c r="G731" s="161"/>
      <c r="H731" s="161"/>
      <c r="I731" s="161"/>
      <c r="J731" s="161"/>
      <c r="K731" s="161"/>
      <c r="L731" s="161"/>
      <c r="M731" s="161"/>
      <c r="N731" s="161"/>
      <c r="O731" s="161"/>
      <c r="P731" s="161"/>
      <c r="Q731" s="161"/>
      <c r="R731" s="161"/>
      <c r="S731" s="161"/>
      <c r="T731" s="161"/>
      <c r="U731" s="161"/>
      <c r="V731" s="161"/>
      <c r="W731" s="161"/>
      <c r="X731" s="161"/>
      <c r="Y731" s="161"/>
      <c r="Z731" s="161"/>
    </row>
    <row r="732">
      <c r="A732" s="18"/>
      <c r="B732" s="18"/>
      <c r="C732" s="18"/>
      <c r="D732" s="161"/>
      <c r="E732" s="161"/>
      <c r="F732" s="511"/>
      <c r="G732" s="161"/>
      <c r="H732" s="161"/>
      <c r="I732" s="161"/>
      <c r="J732" s="161"/>
      <c r="K732" s="161"/>
      <c r="L732" s="161"/>
      <c r="M732" s="161"/>
      <c r="N732" s="161"/>
      <c r="O732" s="161"/>
      <c r="P732" s="161"/>
      <c r="Q732" s="161"/>
      <c r="R732" s="161"/>
      <c r="S732" s="161"/>
      <c r="T732" s="161"/>
      <c r="U732" s="161"/>
      <c r="V732" s="161"/>
      <c r="W732" s="161"/>
      <c r="X732" s="161"/>
      <c r="Y732" s="161"/>
      <c r="Z732" s="161"/>
    </row>
    <row r="733">
      <c r="A733" s="18"/>
      <c r="B733" s="18"/>
      <c r="C733" s="18"/>
      <c r="D733" s="161"/>
      <c r="E733" s="161"/>
      <c r="F733" s="511"/>
      <c r="G733" s="161"/>
      <c r="H733" s="161"/>
      <c r="I733" s="161"/>
      <c r="J733" s="161"/>
      <c r="K733" s="161"/>
      <c r="L733" s="161"/>
      <c r="M733" s="161"/>
      <c r="N733" s="161"/>
      <c r="O733" s="161"/>
      <c r="P733" s="161"/>
      <c r="Q733" s="161"/>
      <c r="R733" s="161"/>
      <c r="S733" s="161"/>
      <c r="T733" s="161"/>
      <c r="U733" s="161"/>
      <c r="V733" s="161"/>
      <c r="W733" s="161"/>
      <c r="X733" s="161"/>
      <c r="Y733" s="161"/>
      <c r="Z733" s="161"/>
    </row>
    <row r="734">
      <c r="A734" s="18"/>
      <c r="B734" s="18"/>
      <c r="C734" s="18"/>
      <c r="D734" s="161"/>
      <c r="E734" s="161"/>
      <c r="F734" s="511"/>
      <c r="G734" s="161"/>
      <c r="H734" s="161"/>
      <c r="I734" s="161"/>
      <c r="J734" s="161"/>
      <c r="K734" s="161"/>
      <c r="L734" s="161"/>
      <c r="M734" s="161"/>
      <c r="N734" s="161"/>
      <c r="O734" s="161"/>
      <c r="P734" s="161"/>
      <c r="Q734" s="161"/>
      <c r="R734" s="161"/>
      <c r="S734" s="161"/>
      <c r="T734" s="161"/>
      <c r="U734" s="161"/>
      <c r="V734" s="161"/>
      <c r="W734" s="161"/>
      <c r="X734" s="161"/>
      <c r="Y734" s="161"/>
      <c r="Z734" s="161"/>
    </row>
    <row r="735">
      <c r="A735" s="18"/>
      <c r="B735" s="18"/>
      <c r="C735" s="18"/>
      <c r="D735" s="161"/>
      <c r="E735" s="161"/>
      <c r="F735" s="511"/>
      <c r="G735" s="161"/>
      <c r="H735" s="161"/>
      <c r="I735" s="161"/>
      <c r="J735" s="161"/>
      <c r="K735" s="161"/>
      <c r="L735" s="161"/>
      <c r="M735" s="161"/>
      <c r="N735" s="161"/>
      <c r="O735" s="161"/>
      <c r="P735" s="161"/>
      <c r="Q735" s="161"/>
      <c r="R735" s="161"/>
      <c r="S735" s="161"/>
      <c r="T735" s="161"/>
      <c r="U735" s="161"/>
      <c r="V735" s="161"/>
      <c r="W735" s="161"/>
      <c r="X735" s="161"/>
      <c r="Y735" s="161"/>
      <c r="Z735" s="161"/>
    </row>
    <row r="736">
      <c r="A736" s="18"/>
      <c r="B736" s="18"/>
      <c r="C736" s="18"/>
      <c r="D736" s="161"/>
      <c r="E736" s="161"/>
      <c r="F736" s="511"/>
      <c r="G736" s="161"/>
      <c r="H736" s="161"/>
      <c r="I736" s="161"/>
      <c r="J736" s="161"/>
      <c r="K736" s="161"/>
      <c r="L736" s="161"/>
      <c r="M736" s="161"/>
      <c r="N736" s="161"/>
      <c r="O736" s="161"/>
      <c r="P736" s="161"/>
      <c r="Q736" s="161"/>
      <c r="R736" s="161"/>
      <c r="S736" s="161"/>
      <c r="T736" s="161"/>
      <c r="U736" s="161"/>
      <c r="V736" s="161"/>
      <c r="W736" s="161"/>
      <c r="X736" s="161"/>
      <c r="Y736" s="161"/>
      <c r="Z736" s="161"/>
    </row>
    <row r="737">
      <c r="A737" s="18"/>
      <c r="B737" s="18"/>
      <c r="C737" s="18"/>
      <c r="D737" s="161"/>
      <c r="E737" s="161"/>
      <c r="F737" s="511"/>
      <c r="G737" s="161"/>
      <c r="H737" s="161"/>
      <c r="I737" s="161"/>
      <c r="J737" s="161"/>
      <c r="K737" s="161"/>
      <c r="L737" s="161"/>
      <c r="M737" s="161"/>
      <c r="N737" s="161"/>
      <c r="O737" s="161"/>
      <c r="P737" s="161"/>
      <c r="Q737" s="161"/>
      <c r="R737" s="161"/>
      <c r="S737" s="161"/>
      <c r="T737" s="161"/>
      <c r="U737" s="161"/>
      <c r="V737" s="161"/>
      <c r="W737" s="161"/>
      <c r="X737" s="161"/>
      <c r="Y737" s="161"/>
      <c r="Z737" s="161"/>
    </row>
    <row r="738">
      <c r="A738" s="18"/>
      <c r="B738" s="18"/>
      <c r="C738" s="18"/>
      <c r="D738" s="161"/>
      <c r="E738" s="161"/>
      <c r="F738" s="511"/>
      <c r="G738" s="161"/>
      <c r="H738" s="161"/>
      <c r="I738" s="161"/>
      <c r="J738" s="161"/>
      <c r="K738" s="161"/>
      <c r="L738" s="161"/>
      <c r="M738" s="161"/>
      <c r="N738" s="161"/>
      <c r="O738" s="161"/>
      <c r="P738" s="161"/>
      <c r="Q738" s="161"/>
      <c r="R738" s="161"/>
      <c r="S738" s="161"/>
      <c r="T738" s="161"/>
      <c r="U738" s="161"/>
      <c r="V738" s="161"/>
      <c r="W738" s="161"/>
      <c r="X738" s="161"/>
      <c r="Y738" s="161"/>
      <c r="Z738" s="161"/>
    </row>
    <row r="739">
      <c r="A739" s="18"/>
      <c r="B739" s="18"/>
      <c r="C739" s="18"/>
      <c r="D739" s="161"/>
      <c r="E739" s="161"/>
      <c r="F739" s="511"/>
      <c r="G739" s="161"/>
      <c r="H739" s="161"/>
      <c r="I739" s="161"/>
      <c r="J739" s="161"/>
      <c r="K739" s="161"/>
      <c r="L739" s="161"/>
      <c r="M739" s="161"/>
      <c r="N739" s="161"/>
      <c r="O739" s="161"/>
      <c r="P739" s="161"/>
      <c r="Q739" s="161"/>
      <c r="R739" s="161"/>
      <c r="S739" s="161"/>
      <c r="T739" s="161"/>
      <c r="U739" s="161"/>
      <c r="V739" s="161"/>
      <c r="W739" s="161"/>
      <c r="X739" s="161"/>
      <c r="Y739" s="161"/>
      <c r="Z739" s="161"/>
    </row>
    <row r="740">
      <c r="A740" s="18"/>
      <c r="B740" s="18"/>
      <c r="C740" s="18"/>
      <c r="D740" s="161"/>
      <c r="E740" s="161"/>
      <c r="F740" s="511"/>
      <c r="G740" s="161"/>
      <c r="H740" s="161"/>
      <c r="I740" s="161"/>
      <c r="J740" s="161"/>
      <c r="K740" s="161"/>
      <c r="L740" s="161"/>
      <c r="M740" s="161"/>
      <c r="N740" s="161"/>
      <c r="O740" s="161"/>
      <c r="P740" s="161"/>
      <c r="Q740" s="161"/>
      <c r="R740" s="161"/>
      <c r="S740" s="161"/>
      <c r="T740" s="161"/>
      <c r="U740" s="161"/>
      <c r="V740" s="161"/>
      <c r="W740" s="161"/>
      <c r="X740" s="161"/>
      <c r="Y740" s="161"/>
      <c r="Z740" s="161"/>
    </row>
    <row r="741">
      <c r="A741" s="18"/>
      <c r="B741" s="18"/>
      <c r="C741" s="18"/>
      <c r="D741" s="161"/>
      <c r="E741" s="161"/>
      <c r="F741" s="511"/>
      <c r="G741" s="161"/>
      <c r="H741" s="161"/>
      <c r="I741" s="161"/>
      <c r="J741" s="161"/>
      <c r="K741" s="161"/>
      <c r="L741" s="161"/>
      <c r="M741" s="161"/>
      <c r="N741" s="161"/>
      <c r="O741" s="161"/>
      <c r="P741" s="161"/>
      <c r="Q741" s="161"/>
      <c r="R741" s="161"/>
      <c r="S741" s="161"/>
      <c r="T741" s="161"/>
      <c r="U741" s="161"/>
      <c r="V741" s="161"/>
      <c r="W741" s="161"/>
      <c r="X741" s="161"/>
      <c r="Y741" s="161"/>
      <c r="Z741" s="161"/>
    </row>
    <row r="742">
      <c r="A742" s="18"/>
      <c r="B742" s="18"/>
      <c r="C742" s="18"/>
      <c r="D742" s="161"/>
      <c r="E742" s="161"/>
      <c r="F742" s="511"/>
      <c r="G742" s="161"/>
      <c r="H742" s="161"/>
      <c r="I742" s="161"/>
      <c r="J742" s="161"/>
      <c r="K742" s="161"/>
      <c r="L742" s="161"/>
      <c r="M742" s="161"/>
      <c r="N742" s="161"/>
      <c r="O742" s="161"/>
      <c r="P742" s="161"/>
      <c r="Q742" s="161"/>
      <c r="R742" s="161"/>
      <c r="S742" s="161"/>
      <c r="T742" s="161"/>
      <c r="U742" s="161"/>
      <c r="V742" s="161"/>
      <c r="W742" s="161"/>
      <c r="X742" s="161"/>
      <c r="Y742" s="161"/>
      <c r="Z742" s="161"/>
    </row>
    <row r="743">
      <c r="A743" s="18"/>
      <c r="B743" s="18"/>
      <c r="C743" s="18"/>
      <c r="D743" s="161"/>
      <c r="E743" s="161"/>
      <c r="F743" s="511"/>
      <c r="G743" s="161"/>
      <c r="H743" s="161"/>
      <c r="I743" s="161"/>
      <c r="J743" s="161"/>
      <c r="K743" s="161"/>
      <c r="L743" s="161"/>
      <c r="M743" s="161"/>
      <c r="N743" s="161"/>
      <c r="O743" s="161"/>
      <c r="P743" s="161"/>
      <c r="Q743" s="161"/>
      <c r="R743" s="161"/>
      <c r="S743" s="161"/>
      <c r="T743" s="161"/>
      <c r="U743" s="161"/>
      <c r="V743" s="161"/>
      <c r="W743" s="161"/>
      <c r="X743" s="161"/>
      <c r="Y743" s="161"/>
      <c r="Z743" s="161"/>
    </row>
    <row r="744">
      <c r="A744" s="18"/>
      <c r="B744" s="18"/>
      <c r="C744" s="18"/>
      <c r="D744" s="161"/>
      <c r="E744" s="161"/>
      <c r="F744" s="511"/>
      <c r="G744" s="161"/>
      <c r="H744" s="161"/>
      <c r="I744" s="161"/>
      <c r="J744" s="161"/>
      <c r="K744" s="161"/>
      <c r="L744" s="161"/>
      <c r="M744" s="161"/>
      <c r="N744" s="161"/>
      <c r="O744" s="161"/>
      <c r="P744" s="161"/>
      <c r="Q744" s="161"/>
      <c r="R744" s="161"/>
      <c r="S744" s="161"/>
      <c r="T744" s="161"/>
      <c r="U744" s="161"/>
      <c r="V744" s="161"/>
      <c r="W744" s="161"/>
      <c r="X744" s="161"/>
      <c r="Y744" s="161"/>
      <c r="Z744" s="161"/>
    </row>
    <row r="745">
      <c r="A745" s="18"/>
      <c r="B745" s="18"/>
      <c r="C745" s="18"/>
      <c r="D745" s="161"/>
      <c r="E745" s="161"/>
      <c r="F745" s="511"/>
      <c r="G745" s="161"/>
      <c r="H745" s="161"/>
      <c r="I745" s="161"/>
      <c r="J745" s="161"/>
      <c r="K745" s="161"/>
      <c r="L745" s="161"/>
      <c r="M745" s="161"/>
      <c r="N745" s="161"/>
      <c r="O745" s="161"/>
      <c r="P745" s="161"/>
      <c r="Q745" s="161"/>
      <c r="R745" s="161"/>
      <c r="S745" s="161"/>
      <c r="T745" s="161"/>
      <c r="U745" s="161"/>
      <c r="V745" s="161"/>
      <c r="W745" s="161"/>
      <c r="X745" s="161"/>
      <c r="Y745" s="161"/>
      <c r="Z745" s="161"/>
    </row>
    <row r="746">
      <c r="A746" s="18"/>
      <c r="B746" s="18"/>
      <c r="C746" s="18"/>
      <c r="D746" s="161"/>
      <c r="E746" s="161"/>
      <c r="F746" s="511"/>
      <c r="G746" s="161"/>
      <c r="H746" s="161"/>
      <c r="I746" s="161"/>
      <c r="J746" s="161"/>
      <c r="K746" s="161"/>
      <c r="L746" s="161"/>
      <c r="M746" s="161"/>
      <c r="N746" s="161"/>
      <c r="O746" s="161"/>
      <c r="P746" s="161"/>
      <c r="Q746" s="161"/>
      <c r="R746" s="161"/>
      <c r="S746" s="161"/>
      <c r="T746" s="161"/>
      <c r="U746" s="161"/>
      <c r="V746" s="161"/>
      <c r="W746" s="161"/>
      <c r="X746" s="161"/>
      <c r="Y746" s="161"/>
      <c r="Z746" s="161"/>
    </row>
    <row r="747">
      <c r="A747" s="18"/>
      <c r="B747" s="18"/>
      <c r="C747" s="18"/>
      <c r="D747" s="161"/>
      <c r="E747" s="161"/>
      <c r="F747" s="511"/>
      <c r="G747" s="161"/>
      <c r="H747" s="161"/>
      <c r="I747" s="161"/>
      <c r="J747" s="161"/>
      <c r="K747" s="161"/>
      <c r="L747" s="161"/>
      <c r="M747" s="161"/>
      <c r="N747" s="161"/>
      <c r="O747" s="161"/>
      <c r="P747" s="161"/>
      <c r="Q747" s="161"/>
      <c r="R747" s="161"/>
      <c r="S747" s="161"/>
      <c r="T747" s="161"/>
      <c r="U747" s="161"/>
      <c r="V747" s="161"/>
      <c r="W747" s="161"/>
      <c r="X747" s="161"/>
      <c r="Y747" s="161"/>
      <c r="Z747" s="161"/>
    </row>
    <row r="748">
      <c r="A748" s="18"/>
      <c r="B748" s="18"/>
      <c r="C748" s="18"/>
      <c r="D748" s="161"/>
      <c r="E748" s="161"/>
      <c r="F748" s="511"/>
      <c r="G748" s="161"/>
      <c r="H748" s="161"/>
      <c r="I748" s="161"/>
      <c r="J748" s="161"/>
      <c r="K748" s="161"/>
      <c r="L748" s="161"/>
      <c r="M748" s="161"/>
      <c r="N748" s="161"/>
      <c r="O748" s="161"/>
      <c r="P748" s="161"/>
      <c r="Q748" s="161"/>
      <c r="R748" s="161"/>
      <c r="S748" s="161"/>
      <c r="T748" s="161"/>
      <c r="U748" s="161"/>
      <c r="V748" s="161"/>
      <c r="W748" s="161"/>
      <c r="X748" s="161"/>
      <c r="Y748" s="161"/>
      <c r="Z748" s="161"/>
    </row>
    <row r="749">
      <c r="A749" s="18"/>
      <c r="B749" s="18"/>
      <c r="C749" s="18"/>
      <c r="D749" s="161"/>
      <c r="E749" s="161"/>
      <c r="F749" s="511"/>
      <c r="G749" s="161"/>
      <c r="H749" s="161"/>
      <c r="I749" s="161"/>
      <c r="J749" s="161"/>
      <c r="K749" s="161"/>
      <c r="L749" s="161"/>
      <c r="M749" s="161"/>
      <c r="N749" s="161"/>
      <c r="O749" s="161"/>
      <c r="P749" s="161"/>
      <c r="Q749" s="161"/>
      <c r="R749" s="161"/>
      <c r="S749" s="161"/>
      <c r="T749" s="161"/>
      <c r="U749" s="161"/>
      <c r="V749" s="161"/>
      <c r="W749" s="161"/>
      <c r="X749" s="161"/>
      <c r="Y749" s="161"/>
      <c r="Z749" s="161"/>
    </row>
    <row r="750">
      <c r="A750" s="18"/>
      <c r="B750" s="18"/>
      <c r="C750" s="18"/>
      <c r="D750" s="161"/>
      <c r="E750" s="161"/>
      <c r="F750" s="511"/>
      <c r="G750" s="161"/>
      <c r="H750" s="161"/>
      <c r="I750" s="161"/>
      <c r="J750" s="161"/>
      <c r="K750" s="161"/>
      <c r="L750" s="161"/>
      <c r="M750" s="161"/>
      <c r="N750" s="161"/>
      <c r="O750" s="161"/>
      <c r="P750" s="161"/>
      <c r="Q750" s="161"/>
      <c r="R750" s="161"/>
      <c r="S750" s="161"/>
      <c r="T750" s="161"/>
      <c r="U750" s="161"/>
      <c r="V750" s="161"/>
      <c r="W750" s="161"/>
      <c r="X750" s="161"/>
      <c r="Y750" s="161"/>
      <c r="Z750" s="161"/>
    </row>
    <row r="751">
      <c r="A751" s="18"/>
      <c r="B751" s="18"/>
      <c r="C751" s="18"/>
      <c r="D751" s="161"/>
      <c r="E751" s="161"/>
      <c r="F751" s="511"/>
      <c r="G751" s="161"/>
      <c r="H751" s="161"/>
      <c r="I751" s="161"/>
      <c r="J751" s="161"/>
      <c r="K751" s="161"/>
      <c r="L751" s="161"/>
      <c r="M751" s="161"/>
      <c r="N751" s="161"/>
      <c r="O751" s="161"/>
      <c r="P751" s="161"/>
      <c r="Q751" s="161"/>
      <c r="R751" s="161"/>
      <c r="S751" s="161"/>
      <c r="T751" s="161"/>
      <c r="U751" s="161"/>
      <c r="V751" s="161"/>
      <c r="W751" s="161"/>
      <c r="X751" s="161"/>
      <c r="Y751" s="161"/>
      <c r="Z751" s="161"/>
    </row>
    <row r="752">
      <c r="A752" s="18"/>
      <c r="B752" s="18"/>
      <c r="C752" s="18"/>
      <c r="D752" s="161"/>
      <c r="E752" s="161"/>
      <c r="F752" s="511"/>
      <c r="G752" s="161"/>
      <c r="H752" s="161"/>
      <c r="I752" s="161"/>
      <c r="J752" s="161"/>
      <c r="K752" s="161"/>
      <c r="L752" s="161"/>
      <c r="M752" s="161"/>
      <c r="N752" s="161"/>
      <c r="O752" s="161"/>
      <c r="P752" s="161"/>
      <c r="Q752" s="161"/>
      <c r="R752" s="161"/>
      <c r="S752" s="161"/>
      <c r="T752" s="161"/>
      <c r="U752" s="161"/>
      <c r="V752" s="161"/>
      <c r="W752" s="161"/>
      <c r="X752" s="161"/>
      <c r="Y752" s="161"/>
      <c r="Z752" s="161"/>
    </row>
    <row r="753">
      <c r="A753" s="18"/>
      <c r="B753" s="18"/>
      <c r="C753" s="18"/>
      <c r="D753" s="161"/>
      <c r="E753" s="161"/>
      <c r="F753" s="511"/>
      <c r="G753" s="161"/>
      <c r="H753" s="161"/>
      <c r="I753" s="161"/>
      <c r="J753" s="161"/>
      <c r="K753" s="161"/>
      <c r="L753" s="161"/>
      <c r="M753" s="161"/>
      <c r="N753" s="161"/>
      <c r="O753" s="161"/>
      <c r="P753" s="161"/>
      <c r="Q753" s="161"/>
      <c r="R753" s="161"/>
      <c r="S753" s="161"/>
      <c r="T753" s="161"/>
      <c r="U753" s="161"/>
      <c r="V753" s="161"/>
      <c r="W753" s="161"/>
      <c r="X753" s="161"/>
      <c r="Y753" s="161"/>
      <c r="Z753" s="161"/>
    </row>
    <row r="754">
      <c r="A754" s="18"/>
      <c r="B754" s="18"/>
      <c r="C754" s="18"/>
      <c r="D754" s="161"/>
      <c r="E754" s="161"/>
      <c r="F754" s="511"/>
      <c r="G754" s="161"/>
      <c r="H754" s="161"/>
      <c r="I754" s="161"/>
      <c r="J754" s="161"/>
      <c r="K754" s="161"/>
      <c r="L754" s="161"/>
      <c r="M754" s="161"/>
      <c r="N754" s="161"/>
      <c r="O754" s="161"/>
      <c r="P754" s="161"/>
      <c r="Q754" s="161"/>
      <c r="R754" s="161"/>
      <c r="S754" s="161"/>
      <c r="T754" s="161"/>
      <c r="U754" s="161"/>
      <c r="V754" s="161"/>
      <c r="W754" s="161"/>
      <c r="X754" s="161"/>
      <c r="Y754" s="161"/>
      <c r="Z754" s="161"/>
    </row>
    <row r="755">
      <c r="A755" s="18"/>
      <c r="B755" s="18"/>
      <c r="C755" s="18"/>
      <c r="D755" s="161"/>
      <c r="E755" s="161"/>
      <c r="F755" s="511"/>
      <c r="G755" s="161"/>
      <c r="H755" s="161"/>
      <c r="I755" s="161"/>
      <c r="J755" s="161"/>
      <c r="K755" s="161"/>
      <c r="L755" s="161"/>
      <c r="M755" s="161"/>
      <c r="N755" s="161"/>
      <c r="O755" s="161"/>
      <c r="P755" s="161"/>
      <c r="Q755" s="161"/>
      <c r="R755" s="161"/>
      <c r="S755" s="161"/>
      <c r="T755" s="161"/>
      <c r="U755" s="161"/>
      <c r="V755" s="161"/>
      <c r="W755" s="161"/>
      <c r="X755" s="161"/>
      <c r="Y755" s="161"/>
      <c r="Z755" s="161"/>
    </row>
    <row r="756">
      <c r="A756" s="18"/>
      <c r="B756" s="18"/>
      <c r="C756" s="18"/>
      <c r="D756" s="161"/>
      <c r="E756" s="161"/>
      <c r="F756" s="511"/>
      <c r="G756" s="161"/>
      <c r="H756" s="161"/>
      <c r="I756" s="161"/>
      <c r="J756" s="161"/>
      <c r="K756" s="161"/>
      <c r="L756" s="161"/>
      <c r="M756" s="161"/>
      <c r="N756" s="161"/>
      <c r="O756" s="161"/>
      <c r="P756" s="161"/>
      <c r="Q756" s="161"/>
      <c r="R756" s="161"/>
      <c r="S756" s="161"/>
      <c r="T756" s="161"/>
      <c r="U756" s="161"/>
      <c r="V756" s="161"/>
      <c r="W756" s="161"/>
      <c r="X756" s="161"/>
      <c r="Y756" s="161"/>
      <c r="Z756" s="161"/>
    </row>
    <row r="757">
      <c r="A757" s="18"/>
      <c r="B757" s="18"/>
      <c r="C757" s="18"/>
      <c r="D757" s="161"/>
      <c r="E757" s="161"/>
      <c r="F757" s="511"/>
      <c r="G757" s="161"/>
      <c r="H757" s="161"/>
      <c r="I757" s="161"/>
      <c r="J757" s="161"/>
      <c r="K757" s="161"/>
      <c r="L757" s="161"/>
      <c r="M757" s="161"/>
      <c r="N757" s="161"/>
      <c r="O757" s="161"/>
      <c r="P757" s="161"/>
      <c r="Q757" s="161"/>
      <c r="R757" s="161"/>
      <c r="S757" s="161"/>
      <c r="T757" s="161"/>
      <c r="U757" s="161"/>
      <c r="V757" s="161"/>
      <c r="W757" s="161"/>
      <c r="X757" s="161"/>
      <c r="Y757" s="161"/>
      <c r="Z757" s="161"/>
    </row>
    <row r="758">
      <c r="A758" s="18"/>
      <c r="B758" s="18"/>
      <c r="C758" s="18"/>
      <c r="D758" s="161"/>
      <c r="E758" s="161"/>
      <c r="F758" s="511"/>
      <c r="G758" s="161"/>
      <c r="H758" s="161"/>
      <c r="I758" s="161"/>
      <c r="J758" s="161"/>
      <c r="K758" s="161"/>
      <c r="L758" s="161"/>
      <c r="M758" s="161"/>
      <c r="N758" s="161"/>
      <c r="O758" s="161"/>
      <c r="P758" s="161"/>
      <c r="Q758" s="161"/>
      <c r="R758" s="161"/>
      <c r="S758" s="161"/>
      <c r="T758" s="161"/>
      <c r="U758" s="161"/>
      <c r="V758" s="161"/>
      <c r="W758" s="161"/>
      <c r="X758" s="161"/>
      <c r="Y758" s="161"/>
      <c r="Z758" s="161"/>
    </row>
    <row r="759">
      <c r="A759" s="18"/>
      <c r="B759" s="18"/>
      <c r="C759" s="18"/>
      <c r="D759" s="161"/>
      <c r="E759" s="161"/>
      <c r="F759" s="511"/>
      <c r="G759" s="161"/>
      <c r="H759" s="161"/>
      <c r="I759" s="161"/>
      <c r="J759" s="161"/>
      <c r="K759" s="161"/>
      <c r="L759" s="161"/>
      <c r="M759" s="161"/>
      <c r="N759" s="161"/>
      <c r="O759" s="161"/>
      <c r="P759" s="161"/>
      <c r="Q759" s="161"/>
      <c r="R759" s="161"/>
      <c r="S759" s="161"/>
      <c r="T759" s="161"/>
      <c r="U759" s="161"/>
      <c r="V759" s="161"/>
      <c r="W759" s="161"/>
      <c r="X759" s="161"/>
      <c r="Y759" s="161"/>
      <c r="Z759" s="161"/>
    </row>
    <row r="760">
      <c r="A760" s="18"/>
      <c r="B760" s="18"/>
      <c r="C760" s="18"/>
      <c r="D760" s="161"/>
      <c r="E760" s="161"/>
      <c r="F760" s="511"/>
      <c r="G760" s="161"/>
      <c r="H760" s="161"/>
      <c r="I760" s="161"/>
      <c r="J760" s="161"/>
      <c r="K760" s="161"/>
      <c r="L760" s="161"/>
      <c r="M760" s="161"/>
      <c r="N760" s="161"/>
      <c r="O760" s="161"/>
      <c r="P760" s="161"/>
      <c r="Q760" s="161"/>
      <c r="R760" s="161"/>
      <c r="S760" s="161"/>
      <c r="T760" s="161"/>
      <c r="U760" s="161"/>
      <c r="V760" s="161"/>
      <c r="W760" s="161"/>
      <c r="X760" s="161"/>
      <c r="Y760" s="161"/>
      <c r="Z760" s="161"/>
    </row>
    <row r="761">
      <c r="A761" s="18"/>
      <c r="B761" s="18"/>
      <c r="C761" s="18"/>
      <c r="D761" s="161"/>
      <c r="E761" s="161"/>
      <c r="F761" s="511"/>
      <c r="G761" s="161"/>
      <c r="H761" s="161"/>
      <c r="I761" s="161"/>
      <c r="J761" s="161"/>
      <c r="K761" s="161"/>
      <c r="L761" s="161"/>
      <c r="M761" s="161"/>
      <c r="N761" s="161"/>
      <c r="O761" s="161"/>
      <c r="P761" s="161"/>
      <c r="Q761" s="161"/>
      <c r="R761" s="161"/>
      <c r="S761" s="161"/>
      <c r="T761" s="161"/>
      <c r="U761" s="161"/>
      <c r="V761" s="161"/>
      <c r="W761" s="161"/>
      <c r="X761" s="161"/>
      <c r="Y761" s="161"/>
      <c r="Z761" s="161"/>
    </row>
    <row r="762">
      <c r="A762" s="18"/>
      <c r="B762" s="18"/>
      <c r="C762" s="18"/>
      <c r="D762" s="161"/>
      <c r="E762" s="161"/>
      <c r="F762" s="511"/>
      <c r="G762" s="161"/>
      <c r="H762" s="161"/>
      <c r="I762" s="161"/>
      <c r="J762" s="161"/>
      <c r="K762" s="161"/>
      <c r="L762" s="161"/>
      <c r="M762" s="161"/>
      <c r="N762" s="161"/>
      <c r="O762" s="161"/>
      <c r="P762" s="161"/>
      <c r="Q762" s="161"/>
      <c r="R762" s="161"/>
      <c r="S762" s="161"/>
      <c r="T762" s="161"/>
      <c r="U762" s="161"/>
      <c r="V762" s="161"/>
      <c r="W762" s="161"/>
      <c r="X762" s="161"/>
      <c r="Y762" s="161"/>
      <c r="Z762" s="161"/>
    </row>
    <row r="763">
      <c r="A763" s="18"/>
      <c r="B763" s="18"/>
      <c r="C763" s="18"/>
      <c r="D763" s="161"/>
      <c r="E763" s="161"/>
      <c r="F763" s="511"/>
      <c r="G763" s="161"/>
      <c r="H763" s="161"/>
      <c r="I763" s="161"/>
      <c r="J763" s="161"/>
      <c r="K763" s="161"/>
      <c r="L763" s="161"/>
      <c r="M763" s="161"/>
      <c r="N763" s="161"/>
      <c r="O763" s="161"/>
      <c r="P763" s="161"/>
      <c r="Q763" s="161"/>
      <c r="R763" s="161"/>
      <c r="S763" s="161"/>
      <c r="T763" s="161"/>
      <c r="U763" s="161"/>
      <c r="V763" s="161"/>
      <c r="W763" s="161"/>
      <c r="X763" s="161"/>
      <c r="Y763" s="161"/>
      <c r="Z763" s="161"/>
    </row>
    <row r="764">
      <c r="A764" s="18"/>
      <c r="B764" s="18"/>
      <c r="C764" s="18"/>
      <c r="D764" s="161"/>
      <c r="E764" s="161"/>
      <c r="F764" s="511"/>
      <c r="G764" s="161"/>
      <c r="H764" s="161"/>
      <c r="I764" s="161"/>
      <c r="J764" s="161"/>
      <c r="K764" s="161"/>
      <c r="L764" s="161"/>
      <c r="M764" s="161"/>
      <c r="N764" s="161"/>
      <c r="O764" s="161"/>
      <c r="P764" s="161"/>
      <c r="Q764" s="161"/>
      <c r="R764" s="161"/>
      <c r="S764" s="161"/>
      <c r="T764" s="161"/>
      <c r="U764" s="161"/>
      <c r="V764" s="161"/>
      <c r="W764" s="161"/>
      <c r="X764" s="161"/>
      <c r="Y764" s="161"/>
      <c r="Z764" s="161"/>
    </row>
    <row r="765">
      <c r="A765" s="18"/>
      <c r="B765" s="18"/>
      <c r="C765" s="18"/>
      <c r="D765" s="161"/>
      <c r="E765" s="161"/>
      <c r="F765" s="511"/>
      <c r="G765" s="161"/>
      <c r="H765" s="161"/>
      <c r="I765" s="161"/>
      <c r="J765" s="161"/>
      <c r="K765" s="161"/>
      <c r="L765" s="161"/>
      <c r="M765" s="161"/>
      <c r="N765" s="161"/>
      <c r="O765" s="161"/>
      <c r="P765" s="161"/>
      <c r="Q765" s="161"/>
      <c r="R765" s="161"/>
      <c r="S765" s="161"/>
      <c r="T765" s="161"/>
      <c r="U765" s="161"/>
      <c r="V765" s="161"/>
      <c r="W765" s="161"/>
      <c r="X765" s="161"/>
      <c r="Y765" s="161"/>
      <c r="Z765" s="161"/>
    </row>
    <row r="766">
      <c r="A766" s="18"/>
      <c r="B766" s="18"/>
      <c r="C766" s="18"/>
      <c r="D766" s="161"/>
      <c r="E766" s="161"/>
      <c r="F766" s="511"/>
      <c r="G766" s="161"/>
      <c r="H766" s="161"/>
      <c r="I766" s="161"/>
      <c r="J766" s="161"/>
      <c r="K766" s="161"/>
      <c r="L766" s="161"/>
      <c r="M766" s="161"/>
      <c r="N766" s="161"/>
      <c r="O766" s="161"/>
      <c r="P766" s="161"/>
      <c r="Q766" s="161"/>
      <c r="R766" s="161"/>
      <c r="S766" s="161"/>
      <c r="T766" s="161"/>
      <c r="U766" s="161"/>
      <c r="V766" s="161"/>
      <c r="W766" s="161"/>
      <c r="X766" s="161"/>
      <c r="Y766" s="161"/>
      <c r="Z766" s="161"/>
    </row>
    <row r="767">
      <c r="A767" s="18"/>
      <c r="B767" s="18"/>
      <c r="C767" s="18"/>
      <c r="D767" s="161"/>
      <c r="E767" s="161"/>
      <c r="F767" s="511"/>
      <c r="G767" s="161"/>
      <c r="H767" s="161"/>
      <c r="I767" s="161"/>
      <c r="J767" s="161"/>
      <c r="K767" s="161"/>
      <c r="L767" s="161"/>
      <c r="M767" s="161"/>
      <c r="N767" s="161"/>
      <c r="O767" s="161"/>
      <c r="P767" s="161"/>
      <c r="Q767" s="161"/>
      <c r="R767" s="161"/>
      <c r="S767" s="161"/>
      <c r="T767" s="161"/>
      <c r="U767" s="161"/>
      <c r="V767" s="161"/>
      <c r="W767" s="161"/>
      <c r="X767" s="161"/>
      <c r="Y767" s="161"/>
      <c r="Z767" s="161"/>
    </row>
    <row r="768">
      <c r="A768" s="18"/>
      <c r="B768" s="18"/>
      <c r="C768" s="18"/>
      <c r="D768" s="161"/>
      <c r="E768" s="161"/>
      <c r="F768" s="511"/>
      <c r="G768" s="161"/>
      <c r="H768" s="161"/>
      <c r="I768" s="161"/>
      <c r="J768" s="161"/>
      <c r="K768" s="161"/>
      <c r="L768" s="161"/>
      <c r="M768" s="161"/>
      <c r="N768" s="161"/>
      <c r="O768" s="161"/>
      <c r="P768" s="161"/>
      <c r="Q768" s="161"/>
      <c r="R768" s="161"/>
      <c r="S768" s="161"/>
      <c r="T768" s="161"/>
      <c r="U768" s="161"/>
      <c r="V768" s="161"/>
      <c r="W768" s="161"/>
      <c r="X768" s="161"/>
      <c r="Y768" s="161"/>
      <c r="Z768" s="161"/>
    </row>
    <row r="769">
      <c r="A769" s="18"/>
      <c r="B769" s="18"/>
      <c r="C769" s="18"/>
      <c r="D769" s="161"/>
      <c r="E769" s="161"/>
      <c r="F769" s="511"/>
      <c r="G769" s="161"/>
      <c r="H769" s="161"/>
      <c r="I769" s="161"/>
      <c r="J769" s="161"/>
      <c r="K769" s="161"/>
      <c r="L769" s="161"/>
      <c r="M769" s="161"/>
      <c r="N769" s="161"/>
      <c r="O769" s="161"/>
      <c r="P769" s="161"/>
      <c r="Q769" s="161"/>
      <c r="R769" s="161"/>
      <c r="S769" s="161"/>
      <c r="T769" s="161"/>
      <c r="U769" s="161"/>
      <c r="V769" s="161"/>
      <c r="W769" s="161"/>
      <c r="X769" s="161"/>
      <c r="Y769" s="161"/>
      <c r="Z769" s="161"/>
    </row>
    <row r="770">
      <c r="A770" s="18"/>
      <c r="B770" s="18"/>
      <c r="C770" s="18"/>
      <c r="D770" s="161"/>
      <c r="E770" s="161"/>
      <c r="F770" s="511"/>
      <c r="G770" s="161"/>
      <c r="H770" s="161"/>
      <c r="I770" s="161"/>
      <c r="J770" s="161"/>
      <c r="K770" s="161"/>
      <c r="L770" s="161"/>
      <c r="M770" s="161"/>
      <c r="N770" s="161"/>
      <c r="O770" s="161"/>
      <c r="P770" s="161"/>
      <c r="Q770" s="161"/>
      <c r="R770" s="161"/>
      <c r="S770" s="161"/>
      <c r="T770" s="161"/>
      <c r="U770" s="161"/>
      <c r="V770" s="161"/>
      <c r="W770" s="161"/>
      <c r="X770" s="161"/>
      <c r="Y770" s="161"/>
      <c r="Z770" s="161"/>
    </row>
    <row r="771">
      <c r="A771" s="18"/>
      <c r="B771" s="18"/>
      <c r="C771" s="18"/>
      <c r="D771" s="161"/>
      <c r="E771" s="161"/>
      <c r="F771" s="511"/>
      <c r="G771" s="161"/>
      <c r="H771" s="161"/>
      <c r="I771" s="161"/>
      <c r="J771" s="161"/>
      <c r="K771" s="161"/>
      <c r="L771" s="161"/>
      <c r="M771" s="161"/>
      <c r="N771" s="161"/>
      <c r="O771" s="161"/>
      <c r="P771" s="161"/>
      <c r="Q771" s="161"/>
      <c r="R771" s="161"/>
      <c r="S771" s="161"/>
      <c r="T771" s="161"/>
      <c r="U771" s="161"/>
      <c r="V771" s="161"/>
      <c r="W771" s="161"/>
      <c r="X771" s="161"/>
      <c r="Y771" s="161"/>
      <c r="Z771" s="161"/>
    </row>
    <row r="772">
      <c r="A772" s="18"/>
      <c r="B772" s="18"/>
      <c r="C772" s="18"/>
      <c r="D772" s="161"/>
      <c r="E772" s="161"/>
      <c r="F772" s="511"/>
      <c r="G772" s="161"/>
      <c r="H772" s="161"/>
      <c r="I772" s="161"/>
      <c r="J772" s="161"/>
      <c r="K772" s="161"/>
      <c r="L772" s="161"/>
      <c r="M772" s="161"/>
      <c r="N772" s="161"/>
      <c r="O772" s="161"/>
      <c r="P772" s="161"/>
      <c r="Q772" s="161"/>
      <c r="R772" s="161"/>
      <c r="S772" s="161"/>
      <c r="T772" s="161"/>
      <c r="U772" s="161"/>
      <c r="V772" s="161"/>
      <c r="W772" s="161"/>
      <c r="X772" s="161"/>
      <c r="Y772" s="161"/>
      <c r="Z772" s="161"/>
    </row>
    <row r="773">
      <c r="A773" s="18"/>
      <c r="B773" s="18"/>
      <c r="C773" s="18"/>
      <c r="D773" s="161"/>
      <c r="E773" s="161"/>
      <c r="F773" s="511"/>
      <c r="G773" s="161"/>
      <c r="H773" s="161"/>
      <c r="I773" s="161"/>
      <c r="J773" s="161"/>
      <c r="K773" s="161"/>
      <c r="L773" s="161"/>
      <c r="M773" s="161"/>
      <c r="N773" s="161"/>
      <c r="O773" s="161"/>
      <c r="P773" s="161"/>
      <c r="Q773" s="161"/>
      <c r="R773" s="161"/>
      <c r="S773" s="161"/>
      <c r="T773" s="161"/>
      <c r="U773" s="161"/>
      <c r="V773" s="161"/>
      <c r="W773" s="161"/>
      <c r="X773" s="161"/>
      <c r="Y773" s="161"/>
      <c r="Z773" s="161"/>
    </row>
    <row r="774">
      <c r="A774" s="18"/>
      <c r="B774" s="18"/>
      <c r="C774" s="18"/>
      <c r="D774" s="161"/>
      <c r="E774" s="161"/>
      <c r="F774" s="511"/>
      <c r="G774" s="161"/>
      <c r="H774" s="161"/>
      <c r="I774" s="161"/>
      <c r="J774" s="161"/>
      <c r="K774" s="161"/>
      <c r="L774" s="161"/>
      <c r="M774" s="161"/>
      <c r="N774" s="161"/>
      <c r="O774" s="161"/>
      <c r="P774" s="161"/>
      <c r="Q774" s="161"/>
      <c r="R774" s="161"/>
      <c r="S774" s="161"/>
      <c r="T774" s="161"/>
      <c r="U774" s="161"/>
      <c r="V774" s="161"/>
      <c r="W774" s="161"/>
      <c r="X774" s="161"/>
      <c r="Y774" s="161"/>
      <c r="Z774" s="161"/>
    </row>
    <row r="775">
      <c r="A775" s="18"/>
      <c r="B775" s="18"/>
      <c r="C775" s="18"/>
      <c r="D775" s="161"/>
      <c r="E775" s="161"/>
      <c r="F775" s="511"/>
      <c r="G775" s="161"/>
      <c r="H775" s="161"/>
      <c r="I775" s="161"/>
      <c r="J775" s="161"/>
      <c r="K775" s="161"/>
      <c r="L775" s="161"/>
      <c r="M775" s="161"/>
      <c r="N775" s="161"/>
      <c r="O775" s="161"/>
      <c r="P775" s="161"/>
      <c r="Q775" s="161"/>
      <c r="R775" s="161"/>
      <c r="S775" s="161"/>
      <c r="T775" s="161"/>
      <c r="U775" s="161"/>
      <c r="V775" s="161"/>
      <c r="W775" s="161"/>
      <c r="X775" s="161"/>
      <c r="Y775" s="161"/>
      <c r="Z775" s="161"/>
    </row>
    <row r="776">
      <c r="A776" s="18"/>
      <c r="B776" s="18"/>
      <c r="C776" s="18"/>
      <c r="D776" s="161"/>
      <c r="E776" s="161"/>
      <c r="F776" s="511"/>
      <c r="G776" s="161"/>
      <c r="H776" s="161"/>
      <c r="I776" s="161"/>
      <c r="J776" s="161"/>
      <c r="K776" s="161"/>
      <c r="L776" s="161"/>
      <c r="M776" s="161"/>
      <c r="N776" s="161"/>
      <c r="O776" s="161"/>
      <c r="P776" s="161"/>
      <c r="Q776" s="161"/>
      <c r="R776" s="161"/>
      <c r="S776" s="161"/>
      <c r="T776" s="161"/>
      <c r="U776" s="161"/>
      <c r="V776" s="161"/>
      <c r="W776" s="161"/>
      <c r="X776" s="161"/>
      <c r="Y776" s="161"/>
      <c r="Z776" s="161"/>
    </row>
    <row r="777">
      <c r="A777" s="18"/>
      <c r="B777" s="18"/>
      <c r="C777" s="18"/>
      <c r="D777" s="161"/>
      <c r="E777" s="161"/>
      <c r="F777" s="511"/>
      <c r="G777" s="161"/>
      <c r="H777" s="161"/>
      <c r="I777" s="161"/>
      <c r="J777" s="161"/>
      <c r="K777" s="161"/>
      <c r="L777" s="161"/>
      <c r="M777" s="161"/>
      <c r="N777" s="161"/>
      <c r="O777" s="161"/>
      <c r="P777" s="161"/>
      <c r="Q777" s="161"/>
      <c r="R777" s="161"/>
      <c r="S777" s="161"/>
      <c r="T777" s="161"/>
      <c r="U777" s="161"/>
      <c r="V777" s="161"/>
      <c r="W777" s="161"/>
      <c r="X777" s="161"/>
      <c r="Y777" s="161"/>
      <c r="Z777" s="161"/>
    </row>
    <row r="778">
      <c r="A778" s="18"/>
      <c r="B778" s="18"/>
      <c r="C778" s="18"/>
      <c r="D778" s="161"/>
      <c r="E778" s="161"/>
      <c r="F778" s="511"/>
      <c r="G778" s="161"/>
      <c r="H778" s="161"/>
      <c r="I778" s="161"/>
      <c r="J778" s="161"/>
      <c r="K778" s="161"/>
      <c r="L778" s="161"/>
      <c r="M778" s="161"/>
      <c r="N778" s="161"/>
      <c r="O778" s="161"/>
      <c r="P778" s="161"/>
      <c r="Q778" s="161"/>
      <c r="R778" s="161"/>
      <c r="S778" s="161"/>
      <c r="T778" s="161"/>
      <c r="U778" s="161"/>
      <c r="V778" s="161"/>
      <c r="W778" s="161"/>
      <c r="X778" s="161"/>
      <c r="Y778" s="161"/>
      <c r="Z778" s="161"/>
    </row>
    <row r="779">
      <c r="A779" s="18"/>
      <c r="B779" s="18"/>
      <c r="C779" s="18"/>
      <c r="D779" s="161"/>
      <c r="E779" s="161"/>
      <c r="F779" s="511"/>
      <c r="G779" s="161"/>
      <c r="H779" s="161"/>
      <c r="I779" s="161"/>
      <c r="J779" s="161"/>
      <c r="K779" s="161"/>
      <c r="L779" s="161"/>
      <c r="M779" s="161"/>
      <c r="N779" s="161"/>
      <c r="O779" s="161"/>
      <c r="P779" s="161"/>
      <c r="Q779" s="161"/>
      <c r="R779" s="161"/>
      <c r="S779" s="161"/>
      <c r="T779" s="161"/>
      <c r="U779" s="161"/>
      <c r="V779" s="161"/>
      <c r="W779" s="161"/>
      <c r="X779" s="161"/>
      <c r="Y779" s="161"/>
      <c r="Z779" s="161"/>
    </row>
    <row r="780">
      <c r="A780" s="18"/>
      <c r="B780" s="18"/>
      <c r="C780" s="18"/>
      <c r="D780" s="161"/>
      <c r="E780" s="161"/>
      <c r="F780" s="511"/>
      <c r="G780" s="161"/>
      <c r="H780" s="161"/>
      <c r="I780" s="161"/>
      <c r="J780" s="161"/>
      <c r="K780" s="161"/>
      <c r="L780" s="161"/>
      <c r="M780" s="161"/>
      <c r="N780" s="161"/>
      <c r="O780" s="161"/>
      <c r="P780" s="161"/>
      <c r="Q780" s="161"/>
      <c r="R780" s="161"/>
      <c r="S780" s="161"/>
      <c r="T780" s="161"/>
      <c r="U780" s="161"/>
      <c r="V780" s="161"/>
      <c r="W780" s="161"/>
      <c r="X780" s="161"/>
      <c r="Y780" s="161"/>
      <c r="Z780" s="161"/>
    </row>
    <row r="781">
      <c r="A781" s="18"/>
      <c r="B781" s="18"/>
      <c r="C781" s="18"/>
      <c r="D781" s="161"/>
      <c r="E781" s="161"/>
      <c r="F781" s="511"/>
      <c r="G781" s="161"/>
      <c r="H781" s="161"/>
      <c r="I781" s="161"/>
      <c r="J781" s="161"/>
      <c r="K781" s="161"/>
      <c r="L781" s="161"/>
      <c r="M781" s="161"/>
      <c r="N781" s="161"/>
      <c r="O781" s="161"/>
      <c r="P781" s="161"/>
      <c r="Q781" s="161"/>
      <c r="R781" s="161"/>
      <c r="S781" s="161"/>
      <c r="T781" s="161"/>
      <c r="U781" s="161"/>
      <c r="V781" s="161"/>
      <c r="W781" s="161"/>
      <c r="X781" s="161"/>
      <c r="Y781" s="161"/>
      <c r="Z781" s="161"/>
    </row>
    <row r="782">
      <c r="A782" s="18"/>
      <c r="B782" s="18"/>
      <c r="C782" s="18"/>
      <c r="D782" s="161"/>
      <c r="E782" s="161"/>
      <c r="F782" s="511"/>
      <c r="G782" s="161"/>
      <c r="H782" s="161"/>
      <c r="I782" s="161"/>
      <c r="J782" s="161"/>
      <c r="K782" s="161"/>
      <c r="L782" s="161"/>
      <c r="M782" s="161"/>
      <c r="N782" s="161"/>
      <c r="O782" s="161"/>
      <c r="P782" s="161"/>
      <c r="Q782" s="161"/>
      <c r="R782" s="161"/>
      <c r="S782" s="161"/>
      <c r="T782" s="161"/>
      <c r="U782" s="161"/>
      <c r="V782" s="161"/>
      <c r="W782" s="161"/>
      <c r="X782" s="161"/>
      <c r="Y782" s="161"/>
      <c r="Z782" s="161"/>
    </row>
    <row r="783">
      <c r="A783" s="18"/>
      <c r="B783" s="18"/>
      <c r="C783" s="18"/>
      <c r="D783" s="161"/>
      <c r="E783" s="161"/>
      <c r="F783" s="511"/>
      <c r="G783" s="161"/>
      <c r="H783" s="161"/>
      <c r="I783" s="161"/>
      <c r="J783" s="161"/>
      <c r="K783" s="161"/>
      <c r="L783" s="161"/>
      <c r="M783" s="161"/>
      <c r="N783" s="161"/>
      <c r="O783" s="161"/>
      <c r="P783" s="161"/>
      <c r="Q783" s="161"/>
      <c r="R783" s="161"/>
      <c r="S783" s="161"/>
      <c r="T783" s="161"/>
      <c r="U783" s="161"/>
      <c r="V783" s="161"/>
      <c r="W783" s="161"/>
      <c r="X783" s="161"/>
      <c r="Y783" s="161"/>
      <c r="Z783" s="161"/>
    </row>
    <row r="784">
      <c r="A784" s="18"/>
      <c r="B784" s="18"/>
      <c r="C784" s="18"/>
      <c r="D784" s="161"/>
      <c r="E784" s="161"/>
      <c r="F784" s="511"/>
      <c r="G784" s="161"/>
      <c r="H784" s="161"/>
      <c r="I784" s="161"/>
      <c r="J784" s="161"/>
      <c r="K784" s="161"/>
      <c r="L784" s="161"/>
      <c r="M784" s="161"/>
      <c r="N784" s="161"/>
      <c r="O784" s="161"/>
      <c r="P784" s="161"/>
      <c r="Q784" s="161"/>
      <c r="R784" s="161"/>
      <c r="S784" s="161"/>
      <c r="T784" s="161"/>
      <c r="U784" s="161"/>
      <c r="V784" s="161"/>
      <c r="W784" s="161"/>
      <c r="X784" s="161"/>
      <c r="Y784" s="161"/>
      <c r="Z784" s="161"/>
    </row>
    <row r="785">
      <c r="A785" s="18"/>
      <c r="B785" s="18"/>
      <c r="C785" s="18"/>
      <c r="D785" s="161"/>
      <c r="E785" s="161"/>
      <c r="F785" s="511"/>
      <c r="G785" s="161"/>
      <c r="H785" s="161"/>
      <c r="I785" s="161"/>
      <c r="J785" s="161"/>
      <c r="K785" s="161"/>
      <c r="L785" s="161"/>
      <c r="M785" s="161"/>
      <c r="N785" s="161"/>
      <c r="O785" s="161"/>
      <c r="P785" s="161"/>
      <c r="Q785" s="161"/>
      <c r="R785" s="161"/>
      <c r="S785" s="161"/>
      <c r="T785" s="161"/>
      <c r="U785" s="161"/>
      <c r="V785" s="161"/>
      <c r="W785" s="161"/>
      <c r="X785" s="161"/>
      <c r="Y785" s="161"/>
      <c r="Z785" s="161"/>
    </row>
    <row r="786">
      <c r="A786" s="18"/>
      <c r="B786" s="18"/>
      <c r="C786" s="18"/>
      <c r="D786" s="161"/>
      <c r="E786" s="161"/>
      <c r="F786" s="511"/>
      <c r="G786" s="161"/>
      <c r="H786" s="161"/>
      <c r="I786" s="161"/>
      <c r="J786" s="161"/>
      <c r="K786" s="161"/>
      <c r="L786" s="161"/>
      <c r="M786" s="161"/>
      <c r="N786" s="161"/>
      <c r="O786" s="161"/>
      <c r="P786" s="161"/>
      <c r="Q786" s="161"/>
      <c r="R786" s="161"/>
      <c r="S786" s="161"/>
      <c r="T786" s="161"/>
      <c r="U786" s="161"/>
      <c r="V786" s="161"/>
      <c r="W786" s="161"/>
      <c r="X786" s="161"/>
      <c r="Y786" s="161"/>
      <c r="Z786" s="161"/>
    </row>
    <row r="787">
      <c r="A787" s="18"/>
      <c r="B787" s="18"/>
      <c r="C787" s="18"/>
      <c r="D787" s="161"/>
      <c r="E787" s="161"/>
      <c r="F787" s="511"/>
      <c r="G787" s="161"/>
      <c r="H787" s="161"/>
      <c r="I787" s="161"/>
      <c r="J787" s="161"/>
      <c r="K787" s="161"/>
      <c r="L787" s="161"/>
      <c r="M787" s="161"/>
      <c r="N787" s="161"/>
      <c r="O787" s="161"/>
      <c r="P787" s="161"/>
      <c r="Q787" s="161"/>
      <c r="R787" s="161"/>
      <c r="S787" s="161"/>
      <c r="T787" s="161"/>
      <c r="U787" s="161"/>
      <c r="V787" s="161"/>
      <c r="W787" s="161"/>
      <c r="X787" s="161"/>
      <c r="Y787" s="161"/>
      <c r="Z787" s="161"/>
    </row>
    <row r="788">
      <c r="A788" s="18"/>
      <c r="B788" s="18"/>
      <c r="C788" s="18"/>
      <c r="D788" s="161"/>
      <c r="E788" s="161"/>
      <c r="F788" s="511"/>
      <c r="G788" s="161"/>
      <c r="H788" s="161"/>
      <c r="I788" s="161"/>
      <c r="J788" s="161"/>
      <c r="K788" s="161"/>
      <c r="L788" s="161"/>
      <c r="M788" s="161"/>
      <c r="N788" s="161"/>
      <c r="O788" s="161"/>
      <c r="P788" s="161"/>
      <c r="Q788" s="161"/>
      <c r="R788" s="161"/>
      <c r="S788" s="161"/>
      <c r="T788" s="161"/>
      <c r="U788" s="161"/>
      <c r="V788" s="161"/>
      <c r="W788" s="161"/>
      <c r="X788" s="161"/>
      <c r="Y788" s="161"/>
      <c r="Z788" s="161"/>
    </row>
    <row r="789">
      <c r="A789" s="18"/>
      <c r="B789" s="18"/>
      <c r="C789" s="18"/>
      <c r="D789" s="161"/>
      <c r="E789" s="161"/>
      <c r="F789" s="511"/>
      <c r="G789" s="161"/>
      <c r="H789" s="161"/>
      <c r="I789" s="161"/>
      <c r="J789" s="161"/>
      <c r="K789" s="161"/>
      <c r="L789" s="161"/>
      <c r="M789" s="161"/>
      <c r="N789" s="161"/>
      <c r="O789" s="161"/>
      <c r="P789" s="161"/>
      <c r="Q789" s="161"/>
      <c r="R789" s="161"/>
      <c r="S789" s="161"/>
      <c r="T789" s="161"/>
      <c r="U789" s="161"/>
      <c r="V789" s="161"/>
      <c r="W789" s="161"/>
      <c r="X789" s="161"/>
      <c r="Y789" s="161"/>
      <c r="Z789" s="161"/>
    </row>
    <row r="790">
      <c r="A790" s="18"/>
      <c r="B790" s="18"/>
      <c r="C790" s="18"/>
      <c r="D790" s="161"/>
      <c r="E790" s="161"/>
      <c r="F790" s="511"/>
      <c r="G790" s="161"/>
      <c r="H790" s="161"/>
      <c r="I790" s="161"/>
      <c r="J790" s="161"/>
      <c r="K790" s="161"/>
      <c r="L790" s="161"/>
      <c r="M790" s="161"/>
      <c r="N790" s="161"/>
      <c r="O790" s="161"/>
      <c r="P790" s="161"/>
      <c r="Q790" s="161"/>
      <c r="R790" s="161"/>
      <c r="S790" s="161"/>
      <c r="T790" s="161"/>
      <c r="U790" s="161"/>
      <c r="V790" s="161"/>
      <c r="W790" s="161"/>
      <c r="X790" s="161"/>
      <c r="Y790" s="161"/>
      <c r="Z790" s="161"/>
    </row>
    <row r="791">
      <c r="A791" s="18"/>
      <c r="B791" s="18"/>
      <c r="C791" s="18"/>
      <c r="D791" s="161"/>
      <c r="E791" s="161"/>
      <c r="F791" s="511"/>
      <c r="G791" s="161"/>
      <c r="H791" s="161"/>
      <c r="I791" s="161"/>
      <c r="J791" s="161"/>
      <c r="K791" s="161"/>
      <c r="L791" s="161"/>
      <c r="M791" s="161"/>
      <c r="N791" s="161"/>
      <c r="O791" s="161"/>
      <c r="P791" s="161"/>
      <c r="Q791" s="161"/>
      <c r="R791" s="161"/>
      <c r="S791" s="161"/>
      <c r="T791" s="161"/>
      <c r="U791" s="161"/>
      <c r="V791" s="161"/>
      <c r="W791" s="161"/>
      <c r="X791" s="161"/>
      <c r="Y791" s="161"/>
      <c r="Z791" s="161"/>
    </row>
    <row r="792">
      <c r="A792" s="18"/>
      <c r="B792" s="18"/>
      <c r="C792" s="18"/>
      <c r="D792" s="161"/>
      <c r="E792" s="161"/>
      <c r="F792" s="511"/>
      <c r="G792" s="161"/>
      <c r="H792" s="161"/>
      <c r="I792" s="161"/>
      <c r="J792" s="161"/>
      <c r="K792" s="161"/>
      <c r="L792" s="161"/>
      <c r="M792" s="161"/>
      <c r="N792" s="161"/>
      <c r="O792" s="161"/>
      <c r="P792" s="161"/>
      <c r="Q792" s="161"/>
      <c r="R792" s="161"/>
      <c r="S792" s="161"/>
      <c r="T792" s="161"/>
      <c r="U792" s="161"/>
      <c r="V792" s="161"/>
      <c r="W792" s="161"/>
      <c r="X792" s="161"/>
      <c r="Y792" s="161"/>
      <c r="Z792" s="161"/>
    </row>
    <row r="793">
      <c r="A793" s="18"/>
      <c r="B793" s="18"/>
      <c r="C793" s="18"/>
      <c r="D793" s="161"/>
      <c r="E793" s="161"/>
      <c r="F793" s="511"/>
      <c r="G793" s="161"/>
      <c r="H793" s="161"/>
      <c r="I793" s="161"/>
      <c r="J793" s="161"/>
      <c r="K793" s="161"/>
      <c r="L793" s="161"/>
      <c r="M793" s="161"/>
      <c r="N793" s="161"/>
      <c r="O793" s="161"/>
      <c r="P793" s="161"/>
      <c r="Q793" s="161"/>
      <c r="R793" s="161"/>
      <c r="S793" s="161"/>
      <c r="T793" s="161"/>
      <c r="U793" s="161"/>
      <c r="V793" s="161"/>
      <c r="W793" s="161"/>
      <c r="X793" s="161"/>
      <c r="Y793" s="161"/>
      <c r="Z793" s="161"/>
    </row>
    <row r="794">
      <c r="A794" s="18"/>
      <c r="B794" s="18"/>
      <c r="C794" s="18"/>
      <c r="D794" s="161"/>
      <c r="E794" s="161"/>
      <c r="F794" s="511"/>
      <c r="G794" s="161"/>
      <c r="H794" s="161"/>
      <c r="I794" s="161"/>
      <c r="J794" s="161"/>
      <c r="K794" s="161"/>
      <c r="L794" s="161"/>
      <c r="M794" s="161"/>
      <c r="N794" s="161"/>
      <c r="O794" s="161"/>
      <c r="P794" s="161"/>
      <c r="Q794" s="161"/>
      <c r="R794" s="161"/>
      <c r="S794" s="161"/>
      <c r="T794" s="161"/>
      <c r="U794" s="161"/>
      <c r="V794" s="161"/>
      <c r="W794" s="161"/>
      <c r="X794" s="161"/>
      <c r="Y794" s="161"/>
      <c r="Z794" s="161"/>
    </row>
    <row r="795">
      <c r="A795" s="18"/>
      <c r="B795" s="18"/>
      <c r="C795" s="18"/>
      <c r="D795" s="161"/>
      <c r="E795" s="161"/>
      <c r="F795" s="511"/>
      <c r="G795" s="161"/>
      <c r="H795" s="161"/>
      <c r="I795" s="161"/>
      <c r="J795" s="161"/>
      <c r="K795" s="161"/>
      <c r="L795" s="161"/>
      <c r="M795" s="161"/>
      <c r="N795" s="161"/>
      <c r="O795" s="161"/>
      <c r="P795" s="161"/>
      <c r="Q795" s="161"/>
      <c r="R795" s="161"/>
      <c r="S795" s="161"/>
      <c r="T795" s="161"/>
      <c r="U795" s="161"/>
      <c r="V795" s="161"/>
      <c r="W795" s="161"/>
      <c r="X795" s="161"/>
      <c r="Y795" s="161"/>
      <c r="Z795" s="161"/>
    </row>
    <row r="796">
      <c r="A796" s="18"/>
      <c r="B796" s="18"/>
      <c r="C796" s="18"/>
      <c r="D796" s="161"/>
      <c r="E796" s="161"/>
      <c r="F796" s="511"/>
      <c r="G796" s="161"/>
      <c r="H796" s="161"/>
      <c r="I796" s="161"/>
      <c r="J796" s="161"/>
      <c r="K796" s="161"/>
      <c r="L796" s="161"/>
      <c r="M796" s="161"/>
      <c r="N796" s="161"/>
      <c r="O796" s="161"/>
      <c r="P796" s="161"/>
      <c r="Q796" s="161"/>
      <c r="R796" s="161"/>
      <c r="S796" s="161"/>
      <c r="T796" s="161"/>
      <c r="U796" s="161"/>
      <c r="V796" s="161"/>
      <c r="W796" s="161"/>
      <c r="X796" s="161"/>
      <c r="Y796" s="161"/>
      <c r="Z796" s="161"/>
    </row>
    <row r="797">
      <c r="A797" s="18"/>
      <c r="B797" s="18"/>
      <c r="C797" s="18"/>
      <c r="D797" s="161"/>
      <c r="E797" s="161"/>
      <c r="F797" s="511"/>
      <c r="G797" s="161"/>
      <c r="H797" s="161"/>
      <c r="I797" s="161"/>
      <c r="J797" s="161"/>
      <c r="K797" s="161"/>
      <c r="L797" s="161"/>
      <c r="M797" s="161"/>
      <c r="N797" s="161"/>
      <c r="O797" s="161"/>
      <c r="P797" s="161"/>
      <c r="Q797" s="161"/>
      <c r="R797" s="161"/>
      <c r="S797" s="161"/>
      <c r="T797" s="161"/>
      <c r="U797" s="161"/>
      <c r="V797" s="161"/>
      <c r="W797" s="161"/>
      <c r="X797" s="161"/>
      <c r="Y797" s="161"/>
      <c r="Z797" s="161"/>
    </row>
    <row r="798">
      <c r="A798" s="18"/>
      <c r="B798" s="18"/>
      <c r="C798" s="18"/>
      <c r="D798" s="161"/>
      <c r="E798" s="161"/>
      <c r="F798" s="511"/>
      <c r="G798" s="161"/>
      <c r="H798" s="161"/>
      <c r="I798" s="161"/>
      <c r="J798" s="161"/>
      <c r="K798" s="161"/>
      <c r="L798" s="161"/>
      <c r="M798" s="161"/>
      <c r="N798" s="161"/>
      <c r="O798" s="161"/>
      <c r="P798" s="161"/>
      <c r="Q798" s="161"/>
      <c r="R798" s="161"/>
      <c r="S798" s="161"/>
      <c r="T798" s="161"/>
      <c r="U798" s="161"/>
      <c r="V798" s="161"/>
      <c r="W798" s="161"/>
      <c r="X798" s="161"/>
      <c r="Y798" s="161"/>
      <c r="Z798" s="161"/>
    </row>
    <row r="799">
      <c r="A799" s="18"/>
      <c r="B799" s="18"/>
      <c r="C799" s="18"/>
      <c r="D799" s="161"/>
      <c r="E799" s="161"/>
      <c r="F799" s="511"/>
      <c r="G799" s="161"/>
      <c r="H799" s="161"/>
      <c r="I799" s="161"/>
      <c r="J799" s="161"/>
      <c r="K799" s="161"/>
      <c r="L799" s="161"/>
      <c r="M799" s="161"/>
      <c r="N799" s="161"/>
      <c r="O799" s="161"/>
      <c r="P799" s="161"/>
      <c r="Q799" s="161"/>
      <c r="R799" s="161"/>
      <c r="S799" s="161"/>
      <c r="T799" s="161"/>
      <c r="U799" s="161"/>
      <c r="V799" s="161"/>
      <c r="W799" s="161"/>
      <c r="X799" s="161"/>
      <c r="Y799" s="161"/>
      <c r="Z799" s="161"/>
    </row>
    <row r="800">
      <c r="A800" s="18"/>
      <c r="B800" s="18"/>
      <c r="C800" s="18"/>
      <c r="D800" s="161"/>
      <c r="E800" s="161"/>
      <c r="F800" s="511"/>
      <c r="G800" s="161"/>
      <c r="H800" s="161"/>
      <c r="I800" s="161"/>
      <c r="J800" s="161"/>
      <c r="K800" s="161"/>
      <c r="L800" s="161"/>
      <c r="M800" s="161"/>
      <c r="N800" s="161"/>
      <c r="O800" s="161"/>
      <c r="P800" s="161"/>
      <c r="Q800" s="161"/>
      <c r="R800" s="161"/>
      <c r="S800" s="161"/>
      <c r="T800" s="161"/>
      <c r="U800" s="161"/>
      <c r="V800" s="161"/>
      <c r="W800" s="161"/>
      <c r="X800" s="161"/>
      <c r="Y800" s="161"/>
      <c r="Z800" s="161"/>
    </row>
    <row r="801">
      <c r="A801" s="18"/>
      <c r="B801" s="18"/>
      <c r="C801" s="18"/>
      <c r="D801" s="161"/>
      <c r="E801" s="161"/>
      <c r="F801" s="511"/>
      <c r="G801" s="161"/>
      <c r="H801" s="161"/>
      <c r="I801" s="161"/>
      <c r="J801" s="161"/>
      <c r="K801" s="161"/>
      <c r="L801" s="161"/>
      <c r="M801" s="161"/>
      <c r="N801" s="161"/>
      <c r="O801" s="161"/>
      <c r="P801" s="161"/>
      <c r="Q801" s="161"/>
      <c r="R801" s="161"/>
      <c r="S801" s="161"/>
      <c r="T801" s="161"/>
      <c r="U801" s="161"/>
      <c r="V801" s="161"/>
      <c r="W801" s="161"/>
      <c r="X801" s="161"/>
      <c r="Y801" s="161"/>
      <c r="Z801" s="161"/>
    </row>
    <row r="802">
      <c r="A802" s="18"/>
      <c r="B802" s="18"/>
      <c r="C802" s="18"/>
      <c r="D802" s="161"/>
      <c r="E802" s="161"/>
      <c r="F802" s="511"/>
      <c r="G802" s="161"/>
      <c r="H802" s="161"/>
      <c r="I802" s="161"/>
      <c r="J802" s="161"/>
      <c r="K802" s="161"/>
      <c r="L802" s="161"/>
      <c r="M802" s="161"/>
      <c r="N802" s="161"/>
      <c r="O802" s="161"/>
      <c r="P802" s="161"/>
      <c r="Q802" s="161"/>
      <c r="R802" s="161"/>
      <c r="S802" s="161"/>
      <c r="T802" s="161"/>
      <c r="U802" s="161"/>
      <c r="V802" s="161"/>
      <c r="W802" s="161"/>
      <c r="X802" s="161"/>
      <c r="Y802" s="161"/>
      <c r="Z802" s="161"/>
    </row>
    <row r="803">
      <c r="A803" s="18"/>
      <c r="B803" s="18"/>
      <c r="C803" s="18"/>
      <c r="D803" s="161"/>
      <c r="E803" s="161"/>
      <c r="F803" s="511"/>
      <c r="G803" s="161"/>
      <c r="H803" s="161"/>
      <c r="I803" s="161"/>
      <c r="J803" s="161"/>
      <c r="K803" s="161"/>
      <c r="L803" s="161"/>
      <c r="M803" s="161"/>
      <c r="N803" s="161"/>
      <c r="O803" s="161"/>
      <c r="P803" s="161"/>
      <c r="Q803" s="161"/>
      <c r="R803" s="161"/>
      <c r="S803" s="161"/>
      <c r="T803" s="161"/>
      <c r="U803" s="161"/>
      <c r="V803" s="161"/>
      <c r="W803" s="161"/>
      <c r="X803" s="161"/>
      <c r="Y803" s="161"/>
      <c r="Z803" s="161"/>
    </row>
    <row r="804">
      <c r="A804" s="18"/>
      <c r="B804" s="18"/>
      <c r="C804" s="18"/>
      <c r="D804" s="161"/>
      <c r="E804" s="161"/>
      <c r="F804" s="511"/>
      <c r="G804" s="161"/>
      <c r="H804" s="161"/>
      <c r="I804" s="161"/>
      <c r="J804" s="161"/>
      <c r="K804" s="161"/>
      <c r="L804" s="161"/>
      <c r="M804" s="161"/>
      <c r="N804" s="161"/>
      <c r="O804" s="161"/>
      <c r="P804" s="161"/>
      <c r="Q804" s="161"/>
      <c r="R804" s="161"/>
      <c r="S804" s="161"/>
      <c r="T804" s="161"/>
      <c r="U804" s="161"/>
      <c r="V804" s="161"/>
      <c r="W804" s="161"/>
      <c r="X804" s="161"/>
      <c r="Y804" s="161"/>
      <c r="Z804" s="161"/>
    </row>
    <row r="805">
      <c r="A805" s="18"/>
      <c r="B805" s="18"/>
      <c r="C805" s="18"/>
      <c r="D805" s="161"/>
      <c r="E805" s="161"/>
      <c r="F805" s="511"/>
      <c r="G805" s="161"/>
      <c r="H805" s="161"/>
      <c r="I805" s="161"/>
      <c r="J805" s="161"/>
      <c r="K805" s="161"/>
      <c r="L805" s="161"/>
      <c r="M805" s="161"/>
      <c r="N805" s="161"/>
      <c r="O805" s="161"/>
      <c r="P805" s="161"/>
      <c r="Q805" s="161"/>
      <c r="R805" s="161"/>
      <c r="S805" s="161"/>
      <c r="T805" s="161"/>
      <c r="U805" s="161"/>
      <c r="V805" s="161"/>
      <c r="W805" s="161"/>
      <c r="X805" s="161"/>
      <c r="Y805" s="161"/>
      <c r="Z805" s="161"/>
    </row>
    <row r="806">
      <c r="A806" s="18"/>
      <c r="B806" s="18"/>
      <c r="C806" s="18"/>
      <c r="D806" s="161"/>
      <c r="E806" s="161"/>
      <c r="F806" s="511"/>
      <c r="G806" s="161"/>
      <c r="H806" s="161"/>
      <c r="I806" s="161"/>
      <c r="J806" s="161"/>
      <c r="K806" s="161"/>
      <c r="L806" s="161"/>
      <c r="M806" s="161"/>
      <c r="N806" s="161"/>
      <c r="O806" s="161"/>
      <c r="P806" s="161"/>
      <c r="Q806" s="161"/>
      <c r="R806" s="161"/>
      <c r="S806" s="161"/>
      <c r="T806" s="161"/>
      <c r="U806" s="161"/>
      <c r="V806" s="161"/>
      <c r="W806" s="161"/>
      <c r="X806" s="161"/>
      <c r="Y806" s="161"/>
      <c r="Z806" s="161"/>
    </row>
    <row r="807">
      <c r="A807" s="18"/>
      <c r="B807" s="18"/>
      <c r="C807" s="18"/>
      <c r="D807" s="161"/>
      <c r="E807" s="161"/>
      <c r="F807" s="511"/>
      <c r="G807" s="161"/>
      <c r="H807" s="161"/>
      <c r="I807" s="161"/>
      <c r="J807" s="161"/>
      <c r="K807" s="161"/>
      <c r="L807" s="161"/>
      <c r="M807" s="161"/>
      <c r="N807" s="161"/>
      <c r="O807" s="161"/>
      <c r="P807" s="161"/>
      <c r="Q807" s="161"/>
      <c r="R807" s="161"/>
      <c r="S807" s="161"/>
      <c r="T807" s="161"/>
      <c r="U807" s="161"/>
      <c r="V807" s="161"/>
      <c r="W807" s="161"/>
      <c r="X807" s="161"/>
      <c r="Y807" s="161"/>
      <c r="Z807" s="161"/>
    </row>
    <row r="808">
      <c r="A808" s="18"/>
      <c r="B808" s="18"/>
      <c r="C808" s="18"/>
      <c r="D808" s="161"/>
      <c r="E808" s="161"/>
      <c r="F808" s="511"/>
      <c r="G808" s="161"/>
      <c r="H808" s="161"/>
      <c r="I808" s="161"/>
      <c r="J808" s="161"/>
      <c r="K808" s="161"/>
      <c r="L808" s="161"/>
      <c r="M808" s="161"/>
      <c r="N808" s="161"/>
      <c r="O808" s="161"/>
      <c r="P808" s="161"/>
      <c r="Q808" s="161"/>
      <c r="R808" s="161"/>
      <c r="S808" s="161"/>
      <c r="T808" s="161"/>
      <c r="U808" s="161"/>
      <c r="V808" s="161"/>
      <c r="W808" s="161"/>
      <c r="X808" s="161"/>
      <c r="Y808" s="161"/>
      <c r="Z808" s="161"/>
    </row>
    <row r="809">
      <c r="A809" s="18"/>
      <c r="B809" s="18"/>
      <c r="C809" s="18"/>
      <c r="D809" s="161"/>
      <c r="E809" s="161"/>
      <c r="F809" s="511"/>
      <c r="G809" s="161"/>
      <c r="H809" s="161"/>
      <c r="I809" s="161"/>
      <c r="J809" s="161"/>
      <c r="K809" s="161"/>
      <c r="L809" s="161"/>
      <c r="M809" s="161"/>
      <c r="N809" s="161"/>
      <c r="O809" s="161"/>
      <c r="P809" s="161"/>
      <c r="Q809" s="161"/>
      <c r="R809" s="161"/>
      <c r="S809" s="161"/>
      <c r="T809" s="161"/>
      <c r="U809" s="161"/>
      <c r="V809" s="161"/>
      <c r="W809" s="161"/>
      <c r="X809" s="161"/>
      <c r="Y809" s="161"/>
      <c r="Z809" s="161"/>
    </row>
    <row r="810">
      <c r="A810" s="18"/>
      <c r="B810" s="18"/>
      <c r="C810" s="18"/>
      <c r="D810" s="161"/>
      <c r="E810" s="161"/>
      <c r="F810" s="511"/>
      <c r="G810" s="161"/>
      <c r="H810" s="161"/>
      <c r="I810" s="161"/>
      <c r="J810" s="161"/>
      <c r="K810" s="161"/>
      <c r="L810" s="161"/>
      <c r="M810" s="161"/>
      <c r="N810" s="161"/>
      <c r="O810" s="161"/>
      <c r="P810" s="161"/>
      <c r="Q810" s="161"/>
      <c r="R810" s="161"/>
      <c r="S810" s="161"/>
      <c r="T810" s="161"/>
      <c r="U810" s="161"/>
      <c r="V810" s="161"/>
      <c r="W810" s="161"/>
      <c r="X810" s="161"/>
      <c r="Y810" s="161"/>
      <c r="Z810" s="161"/>
    </row>
    <row r="811">
      <c r="A811" s="18"/>
      <c r="B811" s="18"/>
      <c r="C811" s="18"/>
      <c r="D811" s="161"/>
      <c r="E811" s="161"/>
      <c r="F811" s="511"/>
      <c r="G811" s="161"/>
      <c r="H811" s="161"/>
      <c r="I811" s="161"/>
      <c r="J811" s="161"/>
      <c r="K811" s="161"/>
      <c r="L811" s="161"/>
      <c r="M811" s="161"/>
      <c r="N811" s="161"/>
      <c r="O811" s="161"/>
      <c r="P811" s="161"/>
      <c r="Q811" s="161"/>
      <c r="R811" s="161"/>
      <c r="S811" s="161"/>
      <c r="T811" s="161"/>
      <c r="U811" s="161"/>
      <c r="V811" s="161"/>
      <c r="W811" s="161"/>
      <c r="X811" s="161"/>
      <c r="Y811" s="161"/>
      <c r="Z811" s="161"/>
    </row>
    <row r="812">
      <c r="A812" s="18"/>
      <c r="B812" s="18"/>
      <c r="C812" s="18"/>
      <c r="D812" s="161"/>
      <c r="E812" s="161"/>
      <c r="F812" s="511"/>
      <c r="G812" s="161"/>
      <c r="H812" s="161"/>
      <c r="I812" s="161"/>
      <c r="J812" s="161"/>
      <c r="K812" s="161"/>
      <c r="L812" s="161"/>
      <c r="M812" s="161"/>
      <c r="N812" s="161"/>
      <c r="O812" s="161"/>
      <c r="P812" s="161"/>
      <c r="Q812" s="161"/>
      <c r="R812" s="161"/>
      <c r="S812" s="161"/>
      <c r="T812" s="161"/>
      <c r="U812" s="161"/>
      <c r="V812" s="161"/>
      <c r="W812" s="161"/>
      <c r="X812" s="161"/>
      <c r="Y812" s="161"/>
      <c r="Z812" s="161"/>
    </row>
    <row r="813">
      <c r="A813" s="18"/>
      <c r="B813" s="18"/>
      <c r="C813" s="18"/>
      <c r="D813" s="161"/>
      <c r="E813" s="161"/>
      <c r="F813" s="511"/>
      <c r="G813" s="161"/>
      <c r="H813" s="161"/>
      <c r="I813" s="161"/>
      <c r="J813" s="161"/>
      <c r="K813" s="161"/>
      <c r="L813" s="161"/>
      <c r="M813" s="161"/>
      <c r="N813" s="161"/>
      <c r="O813" s="161"/>
      <c r="P813" s="161"/>
      <c r="Q813" s="161"/>
      <c r="R813" s="161"/>
      <c r="S813" s="161"/>
      <c r="T813" s="161"/>
      <c r="U813" s="161"/>
      <c r="V813" s="161"/>
      <c r="W813" s="161"/>
      <c r="X813" s="161"/>
      <c r="Y813" s="161"/>
      <c r="Z813" s="161"/>
    </row>
    <row r="814">
      <c r="A814" s="18"/>
      <c r="B814" s="18"/>
      <c r="C814" s="18"/>
      <c r="D814" s="161"/>
      <c r="E814" s="161"/>
      <c r="F814" s="511"/>
      <c r="G814" s="161"/>
      <c r="H814" s="161"/>
      <c r="I814" s="161"/>
      <c r="J814" s="161"/>
      <c r="K814" s="161"/>
      <c r="L814" s="161"/>
      <c r="M814" s="161"/>
      <c r="N814" s="161"/>
      <c r="O814" s="161"/>
      <c r="P814" s="161"/>
      <c r="Q814" s="161"/>
      <c r="R814" s="161"/>
      <c r="S814" s="161"/>
      <c r="T814" s="161"/>
      <c r="U814" s="161"/>
      <c r="V814" s="161"/>
      <c r="W814" s="161"/>
      <c r="X814" s="161"/>
      <c r="Y814" s="161"/>
      <c r="Z814" s="161"/>
    </row>
    <row r="815">
      <c r="A815" s="18"/>
      <c r="B815" s="18"/>
      <c r="C815" s="18"/>
      <c r="D815" s="161"/>
      <c r="E815" s="161"/>
      <c r="F815" s="511"/>
      <c r="G815" s="161"/>
      <c r="H815" s="161"/>
      <c r="I815" s="161"/>
      <c r="J815" s="161"/>
      <c r="K815" s="161"/>
      <c r="L815" s="161"/>
      <c r="M815" s="161"/>
      <c r="N815" s="161"/>
      <c r="O815" s="161"/>
      <c r="P815" s="161"/>
      <c r="Q815" s="161"/>
      <c r="R815" s="161"/>
      <c r="S815" s="161"/>
      <c r="T815" s="161"/>
      <c r="U815" s="161"/>
      <c r="V815" s="161"/>
      <c r="W815" s="161"/>
      <c r="X815" s="161"/>
      <c r="Y815" s="161"/>
      <c r="Z815" s="161"/>
    </row>
    <row r="816">
      <c r="A816" s="18"/>
      <c r="B816" s="18"/>
      <c r="C816" s="18"/>
      <c r="D816" s="161"/>
      <c r="E816" s="161"/>
      <c r="F816" s="511"/>
      <c r="G816" s="161"/>
      <c r="H816" s="161"/>
      <c r="I816" s="161"/>
      <c r="J816" s="161"/>
      <c r="K816" s="161"/>
      <c r="L816" s="161"/>
      <c r="M816" s="161"/>
      <c r="N816" s="161"/>
      <c r="O816" s="161"/>
      <c r="P816" s="161"/>
      <c r="Q816" s="161"/>
      <c r="R816" s="161"/>
      <c r="S816" s="161"/>
      <c r="T816" s="161"/>
      <c r="U816" s="161"/>
      <c r="V816" s="161"/>
      <c r="W816" s="161"/>
      <c r="X816" s="161"/>
      <c r="Y816" s="161"/>
      <c r="Z816" s="161"/>
    </row>
    <row r="817">
      <c r="A817" s="18"/>
      <c r="B817" s="18"/>
      <c r="C817" s="18"/>
      <c r="D817" s="161"/>
      <c r="E817" s="161"/>
      <c r="F817" s="511"/>
      <c r="G817" s="161"/>
      <c r="H817" s="161"/>
      <c r="I817" s="161"/>
      <c r="J817" s="161"/>
      <c r="K817" s="161"/>
      <c r="L817" s="161"/>
      <c r="M817" s="161"/>
      <c r="N817" s="161"/>
      <c r="O817" s="161"/>
      <c r="P817" s="161"/>
      <c r="Q817" s="161"/>
      <c r="R817" s="161"/>
      <c r="S817" s="161"/>
      <c r="T817" s="161"/>
      <c r="U817" s="161"/>
      <c r="V817" s="161"/>
      <c r="W817" s="161"/>
      <c r="X817" s="161"/>
      <c r="Y817" s="161"/>
      <c r="Z817" s="161"/>
    </row>
    <row r="818">
      <c r="A818" s="18"/>
      <c r="B818" s="18"/>
      <c r="C818" s="18"/>
      <c r="D818" s="161"/>
      <c r="E818" s="161"/>
      <c r="F818" s="511"/>
      <c r="G818" s="161"/>
      <c r="H818" s="161"/>
      <c r="I818" s="161"/>
      <c r="J818" s="161"/>
      <c r="K818" s="161"/>
      <c r="L818" s="161"/>
      <c r="M818" s="161"/>
      <c r="N818" s="161"/>
      <c r="O818" s="161"/>
      <c r="P818" s="161"/>
      <c r="Q818" s="161"/>
      <c r="R818" s="161"/>
      <c r="S818" s="161"/>
      <c r="T818" s="161"/>
      <c r="U818" s="161"/>
      <c r="V818" s="161"/>
      <c r="W818" s="161"/>
      <c r="X818" s="161"/>
      <c r="Y818" s="161"/>
      <c r="Z818" s="161"/>
    </row>
    <row r="819">
      <c r="A819" s="18"/>
      <c r="B819" s="18"/>
      <c r="C819" s="18"/>
      <c r="D819" s="161"/>
      <c r="E819" s="161"/>
      <c r="F819" s="511"/>
      <c r="G819" s="161"/>
      <c r="H819" s="161"/>
      <c r="I819" s="161"/>
      <c r="J819" s="161"/>
      <c r="K819" s="161"/>
      <c r="L819" s="161"/>
      <c r="M819" s="161"/>
      <c r="N819" s="161"/>
      <c r="O819" s="161"/>
      <c r="P819" s="161"/>
      <c r="Q819" s="161"/>
      <c r="R819" s="161"/>
      <c r="S819" s="161"/>
      <c r="T819" s="161"/>
      <c r="U819" s="161"/>
      <c r="V819" s="161"/>
      <c r="W819" s="161"/>
      <c r="X819" s="161"/>
      <c r="Y819" s="161"/>
      <c r="Z819" s="161"/>
    </row>
    <row r="820">
      <c r="A820" s="18"/>
      <c r="B820" s="18"/>
      <c r="C820" s="18"/>
      <c r="D820" s="161"/>
      <c r="E820" s="161"/>
      <c r="F820" s="511"/>
      <c r="G820" s="161"/>
      <c r="H820" s="161"/>
      <c r="I820" s="161"/>
      <c r="J820" s="161"/>
      <c r="K820" s="161"/>
      <c r="L820" s="161"/>
      <c r="M820" s="161"/>
      <c r="N820" s="161"/>
      <c r="O820" s="161"/>
      <c r="P820" s="161"/>
      <c r="Q820" s="161"/>
      <c r="R820" s="161"/>
      <c r="S820" s="161"/>
      <c r="T820" s="161"/>
      <c r="U820" s="161"/>
      <c r="V820" s="161"/>
      <c r="W820" s="161"/>
      <c r="X820" s="161"/>
      <c r="Y820" s="161"/>
      <c r="Z820" s="161"/>
    </row>
    <row r="821">
      <c r="A821" s="18"/>
      <c r="B821" s="18"/>
      <c r="C821" s="18"/>
      <c r="D821" s="161"/>
      <c r="E821" s="161"/>
      <c r="F821" s="511"/>
      <c r="G821" s="161"/>
      <c r="H821" s="161"/>
      <c r="I821" s="161"/>
      <c r="J821" s="161"/>
      <c r="K821" s="161"/>
      <c r="L821" s="161"/>
      <c r="M821" s="161"/>
      <c r="N821" s="161"/>
      <c r="O821" s="161"/>
      <c r="P821" s="161"/>
      <c r="Q821" s="161"/>
      <c r="R821" s="161"/>
      <c r="S821" s="161"/>
      <c r="T821" s="161"/>
      <c r="U821" s="161"/>
      <c r="V821" s="161"/>
      <c r="W821" s="161"/>
      <c r="X821" s="161"/>
      <c r="Y821" s="161"/>
      <c r="Z821" s="161"/>
    </row>
    <row r="822">
      <c r="A822" s="18"/>
      <c r="B822" s="18"/>
      <c r="C822" s="18"/>
      <c r="D822" s="161"/>
      <c r="E822" s="161"/>
      <c r="F822" s="511"/>
      <c r="G822" s="161"/>
      <c r="H822" s="161"/>
      <c r="I822" s="161"/>
      <c r="J822" s="161"/>
      <c r="K822" s="161"/>
      <c r="L822" s="161"/>
      <c r="M822" s="161"/>
      <c r="N822" s="161"/>
      <c r="O822" s="161"/>
      <c r="P822" s="161"/>
      <c r="Q822" s="161"/>
      <c r="R822" s="161"/>
      <c r="S822" s="161"/>
      <c r="T822" s="161"/>
      <c r="U822" s="161"/>
      <c r="V822" s="161"/>
      <c r="W822" s="161"/>
      <c r="X822" s="161"/>
      <c r="Y822" s="161"/>
      <c r="Z822" s="161"/>
    </row>
    <row r="823">
      <c r="A823" s="18"/>
      <c r="B823" s="18"/>
      <c r="C823" s="18"/>
      <c r="D823" s="161"/>
      <c r="E823" s="161"/>
      <c r="F823" s="511"/>
      <c r="G823" s="161"/>
      <c r="H823" s="161"/>
      <c r="I823" s="161"/>
      <c r="J823" s="161"/>
      <c r="K823" s="161"/>
      <c r="L823" s="161"/>
      <c r="M823" s="161"/>
      <c r="N823" s="161"/>
      <c r="O823" s="161"/>
      <c r="P823" s="161"/>
      <c r="Q823" s="161"/>
      <c r="R823" s="161"/>
      <c r="S823" s="161"/>
      <c r="T823" s="161"/>
      <c r="U823" s="161"/>
      <c r="V823" s="161"/>
      <c r="W823" s="161"/>
      <c r="X823" s="161"/>
      <c r="Y823" s="161"/>
      <c r="Z823" s="161"/>
    </row>
    <row r="824">
      <c r="A824" s="18"/>
      <c r="B824" s="18"/>
      <c r="C824" s="18"/>
      <c r="D824" s="161"/>
      <c r="E824" s="161"/>
      <c r="F824" s="511"/>
      <c r="G824" s="161"/>
      <c r="H824" s="161"/>
      <c r="I824" s="161"/>
      <c r="J824" s="161"/>
      <c r="K824" s="161"/>
      <c r="L824" s="161"/>
      <c r="M824" s="161"/>
      <c r="N824" s="161"/>
      <c r="O824" s="161"/>
      <c r="P824" s="161"/>
      <c r="Q824" s="161"/>
      <c r="R824" s="161"/>
      <c r="S824" s="161"/>
      <c r="T824" s="161"/>
      <c r="U824" s="161"/>
      <c r="V824" s="161"/>
      <c r="W824" s="161"/>
      <c r="X824" s="161"/>
      <c r="Y824" s="161"/>
      <c r="Z824" s="161"/>
    </row>
    <row r="825">
      <c r="A825" s="18"/>
      <c r="B825" s="18"/>
      <c r="C825" s="18"/>
      <c r="D825" s="161"/>
      <c r="E825" s="161"/>
      <c r="F825" s="511"/>
      <c r="G825" s="161"/>
      <c r="H825" s="161"/>
      <c r="I825" s="161"/>
      <c r="J825" s="161"/>
      <c r="K825" s="161"/>
      <c r="L825" s="161"/>
      <c r="M825" s="161"/>
      <c r="N825" s="161"/>
      <c r="O825" s="161"/>
      <c r="P825" s="161"/>
      <c r="Q825" s="161"/>
      <c r="R825" s="161"/>
      <c r="S825" s="161"/>
      <c r="T825" s="161"/>
      <c r="U825" s="161"/>
      <c r="V825" s="161"/>
      <c r="W825" s="161"/>
      <c r="X825" s="161"/>
      <c r="Y825" s="161"/>
      <c r="Z825" s="161"/>
    </row>
    <row r="826">
      <c r="A826" s="18"/>
      <c r="B826" s="18"/>
      <c r="C826" s="18"/>
      <c r="D826" s="161"/>
      <c r="E826" s="161"/>
      <c r="F826" s="511"/>
      <c r="G826" s="161"/>
      <c r="H826" s="161"/>
      <c r="I826" s="161"/>
      <c r="J826" s="161"/>
      <c r="K826" s="161"/>
      <c r="L826" s="161"/>
      <c r="M826" s="161"/>
      <c r="N826" s="161"/>
      <c r="O826" s="161"/>
      <c r="P826" s="161"/>
      <c r="Q826" s="161"/>
      <c r="R826" s="161"/>
      <c r="S826" s="161"/>
      <c r="T826" s="161"/>
      <c r="U826" s="161"/>
      <c r="V826" s="161"/>
      <c r="W826" s="161"/>
      <c r="X826" s="161"/>
      <c r="Y826" s="161"/>
      <c r="Z826" s="161"/>
    </row>
    <row r="827">
      <c r="A827" s="18"/>
      <c r="B827" s="18"/>
      <c r="C827" s="18"/>
      <c r="D827" s="161"/>
      <c r="E827" s="161"/>
      <c r="F827" s="511"/>
      <c r="G827" s="161"/>
      <c r="H827" s="161"/>
      <c r="I827" s="161"/>
      <c r="J827" s="161"/>
      <c r="K827" s="161"/>
      <c r="L827" s="161"/>
      <c r="M827" s="161"/>
      <c r="N827" s="161"/>
      <c r="O827" s="161"/>
      <c r="P827" s="161"/>
      <c r="Q827" s="161"/>
      <c r="R827" s="161"/>
      <c r="S827" s="161"/>
      <c r="T827" s="161"/>
      <c r="U827" s="161"/>
      <c r="V827" s="161"/>
      <c r="W827" s="161"/>
      <c r="X827" s="161"/>
      <c r="Y827" s="161"/>
      <c r="Z827" s="161"/>
    </row>
    <row r="828">
      <c r="A828" s="18"/>
      <c r="B828" s="18"/>
      <c r="C828" s="18"/>
      <c r="D828" s="161"/>
      <c r="E828" s="161"/>
      <c r="F828" s="511"/>
      <c r="G828" s="161"/>
      <c r="H828" s="161"/>
      <c r="I828" s="161"/>
      <c r="J828" s="161"/>
      <c r="K828" s="161"/>
      <c r="L828" s="161"/>
      <c r="M828" s="161"/>
      <c r="N828" s="161"/>
      <c r="O828" s="161"/>
      <c r="P828" s="161"/>
      <c r="Q828" s="161"/>
      <c r="R828" s="161"/>
      <c r="S828" s="161"/>
      <c r="T828" s="161"/>
      <c r="U828" s="161"/>
      <c r="V828" s="161"/>
      <c r="W828" s="161"/>
      <c r="X828" s="161"/>
      <c r="Y828" s="161"/>
      <c r="Z828" s="161"/>
    </row>
    <row r="829">
      <c r="A829" s="18"/>
      <c r="B829" s="18"/>
      <c r="C829" s="18"/>
      <c r="D829" s="161"/>
      <c r="E829" s="161"/>
      <c r="F829" s="511"/>
      <c r="G829" s="161"/>
      <c r="H829" s="161"/>
      <c r="I829" s="161"/>
      <c r="J829" s="161"/>
      <c r="K829" s="161"/>
      <c r="L829" s="161"/>
      <c r="M829" s="161"/>
      <c r="N829" s="161"/>
      <c r="O829" s="161"/>
      <c r="P829" s="161"/>
      <c r="Q829" s="161"/>
      <c r="R829" s="161"/>
      <c r="S829" s="161"/>
      <c r="T829" s="161"/>
      <c r="U829" s="161"/>
      <c r="V829" s="161"/>
      <c r="W829" s="161"/>
      <c r="X829" s="161"/>
      <c r="Y829" s="161"/>
      <c r="Z829" s="161"/>
    </row>
    <row r="830">
      <c r="A830" s="18"/>
      <c r="B830" s="18"/>
      <c r="C830" s="18"/>
      <c r="D830" s="161"/>
      <c r="E830" s="161"/>
      <c r="F830" s="511"/>
      <c r="G830" s="161"/>
      <c r="H830" s="161"/>
      <c r="I830" s="161"/>
      <c r="J830" s="161"/>
      <c r="K830" s="161"/>
      <c r="L830" s="161"/>
      <c r="M830" s="161"/>
      <c r="N830" s="161"/>
      <c r="O830" s="161"/>
      <c r="P830" s="161"/>
      <c r="Q830" s="161"/>
      <c r="R830" s="161"/>
      <c r="S830" s="161"/>
      <c r="T830" s="161"/>
      <c r="U830" s="161"/>
      <c r="V830" s="161"/>
      <c r="W830" s="161"/>
      <c r="X830" s="161"/>
      <c r="Y830" s="161"/>
      <c r="Z830" s="161"/>
    </row>
    <row r="831">
      <c r="A831" s="18"/>
      <c r="B831" s="18"/>
      <c r="C831" s="18"/>
      <c r="D831" s="161"/>
      <c r="E831" s="161"/>
      <c r="F831" s="511"/>
      <c r="G831" s="161"/>
      <c r="H831" s="161"/>
      <c r="I831" s="161"/>
      <c r="J831" s="161"/>
      <c r="K831" s="161"/>
      <c r="L831" s="161"/>
      <c r="M831" s="161"/>
      <c r="N831" s="161"/>
      <c r="O831" s="161"/>
      <c r="P831" s="161"/>
      <c r="Q831" s="161"/>
      <c r="R831" s="161"/>
      <c r="S831" s="161"/>
      <c r="T831" s="161"/>
      <c r="U831" s="161"/>
      <c r="V831" s="161"/>
      <c r="W831" s="161"/>
      <c r="X831" s="161"/>
      <c r="Y831" s="161"/>
      <c r="Z831" s="161"/>
    </row>
    <row r="832">
      <c r="A832" s="18"/>
      <c r="B832" s="18"/>
      <c r="C832" s="18"/>
      <c r="D832" s="161"/>
      <c r="E832" s="161"/>
      <c r="F832" s="511"/>
      <c r="G832" s="161"/>
      <c r="H832" s="161"/>
      <c r="I832" s="161"/>
      <c r="J832" s="161"/>
      <c r="K832" s="161"/>
      <c r="L832" s="161"/>
      <c r="M832" s="161"/>
      <c r="N832" s="161"/>
      <c r="O832" s="161"/>
      <c r="P832" s="161"/>
      <c r="Q832" s="161"/>
      <c r="R832" s="161"/>
      <c r="S832" s="161"/>
      <c r="T832" s="161"/>
      <c r="U832" s="161"/>
      <c r="V832" s="161"/>
      <c r="W832" s="161"/>
      <c r="X832" s="161"/>
      <c r="Y832" s="161"/>
      <c r="Z832" s="161"/>
    </row>
    <row r="833">
      <c r="A833" s="18"/>
      <c r="B833" s="18"/>
      <c r="C833" s="18"/>
      <c r="D833" s="161"/>
      <c r="E833" s="161"/>
      <c r="F833" s="511"/>
      <c r="G833" s="161"/>
      <c r="H833" s="161"/>
      <c r="I833" s="161"/>
      <c r="J833" s="161"/>
      <c r="K833" s="161"/>
      <c r="L833" s="161"/>
      <c r="M833" s="161"/>
      <c r="N833" s="161"/>
      <c r="O833" s="161"/>
      <c r="P833" s="161"/>
      <c r="Q833" s="161"/>
      <c r="R833" s="161"/>
      <c r="S833" s="161"/>
      <c r="T833" s="161"/>
      <c r="U833" s="161"/>
      <c r="V833" s="161"/>
      <c r="W833" s="161"/>
      <c r="X833" s="161"/>
      <c r="Y833" s="161"/>
      <c r="Z833" s="161"/>
    </row>
    <row r="834">
      <c r="A834" s="18"/>
      <c r="B834" s="18"/>
      <c r="C834" s="18"/>
      <c r="D834" s="161"/>
      <c r="E834" s="161"/>
      <c r="F834" s="511"/>
      <c r="G834" s="161"/>
      <c r="H834" s="161"/>
      <c r="I834" s="161"/>
      <c r="J834" s="161"/>
      <c r="K834" s="161"/>
      <c r="L834" s="161"/>
      <c r="M834" s="161"/>
      <c r="N834" s="161"/>
      <c r="O834" s="161"/>
      <c r="P834" s="161"/>
      <c r="Q834" s="161"/>
      <c r="R834" s="161"/>
      <c r="S834" s="161"/>
      <c r="T834" s="161"/>
      <c r="U834" s="161"/>
      <c r="V834" s="161"/>
      <c r="W834" s="161"/>
      <c r="X834" s="161"/>
      <c r="Y834" s="161"/>
      <c r="Z834" s="161"/>
    </row>
    <row r="835">
      <c r="A835" s="18"/>
      <c r="B835" s="18"/>
      <c r="C835" s="18"/>
      <c r="D835" s="161"/>
      <c r="E835" s="161"/>
      <c r="F835" s="511"/>
      <c r="G835" s="161"/>
      <c r="H835" s="161"/>
      <c r="I835" s="161"/>
      <c r="J835" s="161"/>
      <c r="K835" s="161"/>
      <c r="L835" s="161"/>
      <c r="M835" s="161"/>
      <c r="N835" s="161"/>
      <c r="O835" s="161"/>
      <c r="P835" s="161"/>
      <c r="Q835" s="161"/>
      <c r="R835" s="161"/>
      <c r="S835" s="161"/>
      <c r="T835" s="161"/>
      <c r="U835" s="161"/>
      <c r="V835" s="161"/>
      <c r="W835" s="161"/>
      <c r="X835" s="161"/>
      <c r="Y835" s="161"/>
      <c r="Z835" s="161"/>
    </row>
    <row r="836">
      <c r="A836" s="18"/>
      <c r="B836" s="18"/>
      <c r="C836" s="18"/>
      <c r="D836" s="161"/>
      <c r="E836" s="161"/>
      <c r="F836" s="511"/>
      <c r="G836" s="161"/>
      <c r="H836" s="161"/>
      <c r="I836" s="161"/>
      <c r="J836" s="161"/>
      <c r="K836" s="161"/>
      <c r="L836" s="161"/>
      <c r="M836" s="161"/>
      <c r="N836" s="161"/>
      <c r="O836" s="161"/>
      <c r="P836" s="161"/>
      <c r="Q836" s="161"/>
      <c r="R836" s="161"/>
      <c r="S836" s="161"/>
      <c r="T836" s="161"/>
      <c r="U836" s="161"/>
      <c r="V836" s="161"/>
      <c r="W836" s="161"/>
      <c r="X836" s="161"/>
      <c r="Y836" s="161"/>
      <c r="Z836" s="161"/>
    </row>
    <row r="837">
      <c r="A837" s="18"/>
      <c r="B837" s="18"/>
      <c r="C837" s="18"/>
      <c r="D837" s="161"/>
      <c r="E837" s="161"/>
      <c r="F837" s="511"/>
      <c r="G837" s="161"/>
      <c r="H837" s="161"/>
      <c r="I837" s="161"/>
      <c r="J837" s="161"/>
      <c r="K837" s="161"/>
      <c r="L837" s="161"/>
      <c r="M837" s="161"/>
      <c r="N837" s="161"/>
      <c r="O837" s="161"/>
      <c r="P837" s="161"/>
      <c r="Q837" s="161"/>
      <c r="R837" s="161"/>
      <c r="S837" s="161"/>
      <c r="T837" s="161"/>
      <c r="U837" s="161"/>
      <c r="V837" s="161"/>
      <c r="W837" s="161"/>
      <c r="X837" s="161"/>
      <c r="Y837" s="161"/>
      <c r="Z837" s="161"/>
    </row>
    <row r="838">
      <c r="A838" s="18"/>
      <c r="B838" s="18"/>
      <c r="C838" s="18"/>
      <c r="D838" s="161"/>
      <c r="E838" s="161"/>
      <c r="F838" s="511"/>
      <c r="G838" s="161"/>
      <c r="H838" s="161"/>
      <c r="I838" s="161"/>
      <c r="J838" s="161"/>
      <c r="K838" s="161"/>
      <c r="L838" s="161"/>
      <c r="M838" s="161"/>
      <c r="N838" s="161"/>
      <c r="O838" s="161"/>
      <c r="P838" s="161"/>
      <c r="Q838" s="161"/>
      <c r="R838" s="161"/>
      <c r="S838" s="161"/>
      <c r="T838" s="161"/>
      <c r="U838" s="161"/>
      <c r="V838" s="161"/>
      <c r="W838" s="161"/>
      <c r="X838" s="161"/>
      <c r="Y838" s="161"/>
      <c r="Z838" s="161"/>
    </row>
    <row r="839">
      <c r="A839" s="18"/>
      <c r="B839" s="18"/>
      <c r="C839" s="18"/>
      <c r="D839" s="161"/>
      <c r="E839" s="161"/>
      <c r="F839" s="511"/>
      <c r="G839" s="161"/>
      <c r="H839" s="161"/>
      <c r="I839" s="161"/>
      <c r="J839" s="161"/>
      <c r="K839" s="161"/>
      <c r="L839" s="161"/>
      <c r="M839" s="161"/>
      <c r="N839" s="161"/>
      <c r="O839" s="161"/>
      <c r="P839" s="161"/>
      <c r="Q839" s="161"/>
      <c r="R839" s="161"/>
      <c r="S839" s="161"/>
      <c r="T839" s="161"/>
      <c r="U839" s="161"/>
      <c r="V839" s="161"/>
      <c r="W839" s="161"/>
      <c r="X839" s="161"/>
      <c r="Y839" s="161"/>
      <c r="Z839" s="161"/>
    </row>
    <row r="840">
      <c r="A840" s="18"/>
      <c r="B840" s="18"/>
      <c r="C840" s="18"/>
      <c r="D840" s="161"/>
      <c r="E840" s="161"/>
      <c r="F840" s="511"/>
      <c r="G840" s="161"/>
      <c r="H840" s="161"/>
      <c r="I840" s="161"/>
      <c r="J840" s="161"/>
      <c r="K840" s="161"/>
      <c r="L840" s="161"/>
      <c r="M840" s="161"/>
      <c r="N840" s="161"/>
      <c r="O840" s="161"/>
      <c r="P840" s="161"/>
      <c r="Q840" s="161"/>
      <c r="R840" s="161"/>
      <c r="S840" s="161"/>
      <c r="T840" s="161"/>
      <c r="U840" s="161"/>
      <c r="V840" s="161"/>
      <c r="W840" s="161"/>
      <c r="X840" s="161"/>
      <c r="Y840" s="161"/>
      <c r="Z840" s="161"/>
    </row>
    <row r="841">
      <c r="A841" s="18"/>
      <c r="B841" s="18"/>
      <c r="C841" s="18"/>
      <c r="D841" s="161"/>
      <c r="E841" s="161"/>
      <c r="F841" s="511"/>
      <c r="G841" s="161"/>
      <c r="H841" s="161"/>
      <c r="I841" s="161"/>
      <c r="J841" s="161"/>
      <c r="K841" s="161"/>
      <c r="L841" s="161"/>
      <c r="M841" s="161"/>
      <c r="N841" s="161"/>
      <c r="O841" s="161"/>
      <c r="P841" s="161"/>
      <c r="Q841" s="161"/>
      <c r="R841" s="161"/>
      <c r="S841" s="161"/>
      <c r="T841" s="161"/>
      <c r="U841" s="161"/>
      <c r="V841" s="161"/>
      <c r="W841" s="161"/>
      <c r="X841" s="161"/>
      <c r="Y841" s="161"/>
      <c r="Z841" s="161"/>
    </row>
    <row r="842">
      <c r="A842" s="18"/>
      <c r="B842" s="18"/>
      <c r="C842" s="18"/>
      <c r="D842" s="161"/>
      <c r="E842" s="161"/>
      <c r="F842" s="511"/>
      <c r="G842" s="161"/>
      <c r="H842" s="161"/>
      <c r="I842" s="161"/>
      <c r="J842" s="161"/>
      <c r="K842" s="161"/>
      <c r="L842" s="161"/>
      <c r="M842" s="161"/>
      <c r="N842" s="161"/>
      <c r="O842" s="161"/>
      <c r="P842" s="161"/>
      <c r="Q842" s="161"/>
      <c r="R842" s="161"/>
      <c r="S842" s="161"/>
      <c r="T842" s="161"/>
      <c r="U842" s="161"/>
      <c r="V842" s="161"/>
      <c r="W842" s="161"/>
      <c r="X842" s="161"/>
      <c r="Y842" s="161"/>
      <c r="Z842" s="161"/>
    </row>
    <row r="843">
      <c r="A843" s="18"/>
      <c r="B843" s="18"/>
      <c r="C843" s="18"/>
      <c r="D843" s="161"/>
      <c r="E843" s="161"/>
      <c r="F843" s="511"/>
      <c r="G843" s="161"/>
      <c r="H843" s="161"/>
      <c r="I843" s="161"/>
      <c r="J843" s="161"/>
      <c r="K843" s="161"/>
      <c r="L843" s="161"/>
      <c r="M843" s="161"/>
      <c r="N843" s="161"/>
      <c r="O843" s="161"/>
      <c r="P843" s="161"/>
      <c r="Q843" s="161"/>
      <c r="R843" s="161"/>
      <c r="S843" s="161"/>
      <c r="T843" s="161"/>
      <c r="U843" s="161"/>
      <c r="V843" s="161"/>
      <c r="W843" s="161"/>
      <c r="X843" s="161"/>
      <c r="Y843" s="161"/>
      <c r="Z843" s="161"/>
    </row>
    <row r="844">
      <c r="A844" s="18"/>
      <c r="B844" s="18"/>
      <c r="C844" s="18"/>
      <c r="D844" s="161"/>
      <c r="E844" s="161"/>
      <c r="F844" s="511"/>
      <c r="G844" s="161"/>
      <c r="H844" s="161"/>
      <c r="I844" s="161"/>
      <c r="J844" s="161"/>
      <c r="K844" s="161"/>
      <c r="L844" s="161"/>
      <c r="M844" s="161"/>
      <c r="N844" s="161"/>
      <c r="O844" s="161"/>
      <c r="P844" s="161"/>
      <c r="Q844" s="161"/>
      <c r="R844" s="161"/>
      <c r="S844" s="161"/>
      <c r="T844" s="161"/>
      <c r="U844" s="161"/>
      <c r="V844" s="161"/>
      <c r="W844" s="161"/>
      <c r="X844" s="161"/>
      <c r="Y844" s="161"/>
      <c r="Z844" s="161"/>
    </row>
    <row r="845">
      <c r="A845" s="18"/>
      <c r="B845" s="18"/>
      <c r="C845" s="18"/>
      <c r="D845" s="161"/>
      <c r="E845" s="161"/>
      <c r="F845" s="511"/>
      <c r="G845" s="161"/>
      <c r="H845" s="161"/>
      <c r="I845" s="161"/>
      <c r="J845" s="161"/>
      <c r="K845" s="161"/>
      <c r="L845" s="161"/>
      <c r="M845" s="161"/>
      <c r="N845" s="161"/>
      <c r="O845" s="161"/>
      <c r="P845" s="161"/>
      <c r="Q845" s="161"/>
      <c r="R845" s="161"/>
      <c r="S845" s="161"/>
      <c r="T845" s="161"/>
      <c r="U845" s="161"/>
      <c r="V845" s="161"/>
      <c r="W845" s="161"/>
      <c r="X845" s="161"/>
      <c r="Y845" s="161"/>
      <c r="Z845" s="161"/>
    </row>
    <row r="846">
      <c r="A846" s="18"/>
      <c r="B846" s="18"/>
      <c r="C846" s="18"/>
      <c r="D846" s="161"/>
      <c r="E846" s="161"/>
      <c r="F846" s="511"/>
      <c r="G846" s="161"/>
      <c r="H846" s="161"/>
      <c r="I846" s="161"/>
      <c r="J846" s="161"/>
      <c r="K846" s="161"/>
      <c r="L846" s="161"/>
      <c r="M846" s="161"/>
      <c r="N846" s="161"/>
      <c r="O846" s="161"/>
      <c r="P846" s="161"/>
      <c r="Q846" s="161"/>
      <c r="R846" s="161"/>
      <c r="S846" s="161"/>
      <c r="T846" s="161"/>
      <c r="U846" s="161"/>
      <c r="V846" s="161"/>
      <c r="W846" s="161"/>
      <c r="X846" s="161"/>
      <c r="Y846" s="161"/>
      <c r="Z846" s="161"/>
    </row>
    <row r="847">
      <c r="A847" s="18"/>
      <c r="B847" s="18"/>
      <c r="C847" s="18"/>
      <c r="D847" s="161"/>
      <c r="E847" s="161"/>
      <c r="F847" s="511"/>
      <c r="G847" s="161"/>
      <c r="H847" s="161"/>
      <c r="I847" s="161"/>
      <c r="J847" s="161"/>
      <c r="K847" s="161"/>
      <c r="L847" s="161"/>
      <c r="M847" s="161"/>
      <c r="N847" s="161"/>
      <c r="O847" s="161"/>
      <c r="P847" s="161"/>
      <c r="Q847" s="161"/>
      <c r="R847" s="161"/>
      <c r="S847" s="161"/>
      <c r="T847" s="161"/>
      <c r="U847" s="161"/>
      <c r="V847" s="161"/>
      <c r="W847" s="161"/>
      <c r="X847" s="161"/>
      <c r="Y847" s="161"/>
      <c r="Z847" s="161"/>
    </row>
    <row r="848">
      <c r="A848" s="18"/>
      <c r="B848" s="18"/>
      <c r="C848" s="18"/>
      <c r="D848" s="161"/>
      <c r="E848" s="161"/>
      <c r="F848" s="511"/>
      <c r="G848" s="161"/>
      <c r="H848" s="161"/>
      <c r="I848" s="161"/>
      <c r="J848" s="161"/>
      <c r="K848" s="161"/>
      <c r="L848" s="161"/>
      <c r="M848" s="161"/>
      <c r="N848" s="161"/>
      <c r="O848" s="161"/>
      <c r="P848" s="161"/>
      <c r="Q848" s="161"/>
      <c r="R848" s="161"/>
      <c r="S848" s="161"/>
      <c r="T848" s="161"/>
      <c r="U848" s="161"/>
      <c r="V848" s="161"/>
      <c r="W848" s="161"/>
      <c r="X848" s="161"/>
      <c r="Y848" s="161"/>
      <c r="Z848" s="161"/>
    </row>
    <row r="849">
      <c r="A849" s="18"/>
      <c r="B849" s="18"/>
      <c r="C849" s="18"/>
      <c r="D849" s="161"/>
      <c r="E849" s="161"/>
      <c r="F849" s="511"/>
      <c r="G849" s="161"/>
      <c r="H849" s="161"/>
      <c r="I849" s="161"/>
      <c r="J849" s="161"/>
      <c r="K849" s="161"/>
      <c r="L849" s="161"/>
      <c r="M849" s="161"/>
      <c r="N849" s="161"/>
      <c r="O849" s="161"/>
      <c r="P849" s="161"/>
      <c r="Q849" s="161"/>
      <c r="R849" s="161"/>
      <c r="S849" s="161"/>
      <c r="T849" s="161"/>
      <c r="U849" s="161"/>
      <c r="V849" s="161"/>
      <c r="W849" s="161"/>
      <c r="X849" s="161"/>
      <c r="Y849" s="161"/>
      <c r="Z849" s="161"/>
    </row>
    <row r="850">
      <c r="A850" s="18"/>
      <c r="B850" s="18"/>
      <c r="C850" s="18"/>
      <c r="D850" s="161"/>
      <c r="E850" s="161"/>
      <c r="F850" s="511"/>
      <c r="G850" s="161"/>
      <c r="H850" s="161"/>
      <c r="I850" s="161"/>
      <c r="J850" s="161"/>
      <c r="K850" s="161"/>
      <c r="L850" s="161"/>
      <c r="M850" s="161"/>
      <c r="N850" s="161"/>
      <c r="O850" s="161"/>
      <c r="P850" s="161"/>
      <c r="Q850" s="161"/>
      <c r="R850" s="161"/>
      <c r="S850" s="161"/>
      <c r="T850" s="161"/>
      <c r="U850" s="161"/>
      <c r="V850" s="161"/>
      <c r="W850" s="161"/>
      <c r="X850" s="161"/>
      <c r="Y850" s="161"/>
      <c r="Z850" s="161"/>
    </row>
    <row r="851">
      <c r="A851" s="18"/>
      <c r="B851" s="18"/>
      <c r="C851" s="18"/>
      <c r="D851" s="161"/>
      <c r="E851" s="161"/>
      <c r="F851" s="511"/>
      <c r="G851" s="161"/>
      <c r="H851" s="161"/>
      <c r="I851" s="161"/>
      <c r="J851" s="161"/>
      <c r="K851" s="161"/>
      <c r="L851" s="161"/>
      <c r="M851" s="161"/>
      <c r="N851" s="161"/>
      <c r="O851" s="161"/>
      <c r="P851" s="161"/>
      <c r="Q851" s="161"/>
      <c r="R851" s="161"/>
      <c r="S851" s="161"/>
      <c r="T851" s="161"/>
      <c r="U851" s="161"/>
      <c r="V851" s="161"/>
      <c r="W851" s="161"/>
      <c r="X851" s="161"/>
      <c r="Y851" s="161"/>
      <c r="Z851" s="161"/>
    </row>
    <row r="852">
      <c r="A852" s="18"/>
      <c r="B852" s="18"/>
      <c r="C852" s="18"/>
      <c r="D852" s="161"/>
      <c r="E852" s="161"/>
      <c r="F852" s="511"/>
      <c r="G852" s="161"/>
      <c r="H852" s="161"/>
      <c r="I852" s="161"/>
      <c r="J852" s="161"/>
      <c r="K852" s="161"/>
      <c r="L852" s="161"/>
      <c r="M852" s="161"/>
      <c r="N852" s="161"/>
      <c r="O852" s="161"/>
      <c r="P852" s="161"/>
      <c r="Q852" s="161"/>
      <c r="R852" s="161"/>
      <c r="S852" s="161"/>
      <c r="T852" s="161"/>
      <c r="U852" s="161"/>
      <c r="V852" s="161"/>
      <c r="W852" s="161"/>
      <c r="X852" s="161"/>
      <c r="Y852" s="161"/>
      <c r="Z852" s="161"/>
    </row>
    <row r="853">
      <c r="A853" s="18"/>
      <c r="B853" s="18"/>
      <c r="C853" s="18"/>
      <c r="D853" s="161"/>
      <c r="E853" s="161"/>
      <c r="F853" s="511"/>
      <c r="G853" s="161"/>
      <c r="H853" s="161"/>
      <c r="I853" s="161"/>
      <c r="J853" s="161"/>
      <c r="K853" s="161"/>
      <c r="L853" s="161"/>
      <c r="M853" s="161"/>
      <c r="N853" s="161"/>
      <c r="O853" s="161"/>
      <c r="P853" s="161"/>
      <c r="Q853" s="161"/>
      <c r="R853" s="161"/>
      <c r="S853" s="161"/>
      <c r="T853" s="161"/>
      <c r="U853" s="161"/>
      <c r="V853" s="161"/>
      <c r="W853" s="161"/>
      <c r="X853" s="161"/>
      <c r="Y853" s="161"/>
      <c r="Z853" s="161"/>
    </row>
    <row r="854">
      <c r="A854" s="18"/>
      <c r="B854" s="18"/>
      <c r="C854" s="18"/>
      <c r="D854" s="161"/>
      <c r="E854" s="161"/>
      <c r="F854" s="511"/>
      <c r="G854" s="161"/>
      <c r="H854" s="161"/>
      <c r="I854" s="161"/>
      <c r="J854" s="161"/>
      <c r="K854" s="161"/>
      <c r="L854" s="161"/>
      <c r="M854" s="161"/>
      <c r="N854" s="161"/>
      <c r="O854" s="161"/>
      <c r="P854" s="161"/>
      <c r="Q854" s="161"/>
      <c r="R854" s="161"/>
      <c r="S854" s="161"/>
      <c r="T854" s="161"/>
      <c r="U854" s="161"/>
      <c r="V854" s="161"/>
      <c r="W854" s="161"/>
      <c r="X854" s="161"/>
      <c r="Y854" s="161"/>
      <c r="Z854" s="161"/>
    </row>
    <row r="855">
      <c r="A855" s="18"/>
      <c r="B855" s="18"/>
      <c r="C855" s="18"/>
      <c r="D855" s="161"/>
      <c r="E855" s="161"/>
      <c r="F855" s="511"/>
      <c r="G855" s="161"/>
      <c r="H855" s="161"/>
      <c r="I855" s="161"/>
      <c r="J855" s="161"/>
      <c r="K855" s="161"/>
      <c r="L855" s="161"/>
      <c r="M855" s="161"/>
      <c r="N855" s="161"/>
      <c r="O855" s="161"/>
      <c r="P855" s="161"/>
      <c r="Q855" s="161"/>
      <c r="R855" s="161"/>
      <c r="S855" s="161"/>
      <c r="T855" s="161"/>
      <c r="U855" s="161"/>
      <c r="V855" s="161"/>
      <c r="W855" s="161"/>
      <c r="X855" s="161"/>
      <c r="Y855" s="161"/>
      <c r="Z855" s="161"/>
    </row>
    <row r="856">
      <c r="A856" s="18"/>
      <c r="B856" s="18"/>
      <c r="C856" s="18"/>
      <c r="D856" s="161"/>
      <c r="E856" s="161"/>
      <c r="F856" s="511"/>
      <c r="G856" s="161"/>
      <c r="H856" s="161"/>
      <c r="I856" s="161"/>
      <c r="J856" s="161"/>
      <c r="K856" s="161"/>
      <c r="L856" s="161"/>
      <c r="M856" s="161"/>
      <c r="N856" s="161"/>
      <c r="O856" s="161"/>
      <c r="P856" s="161"/>
      <c r="Q856" s="161"/>
      <c r="R856" s="161"/>
      <c r="S856" s="161"/>
      <c r="T856" s="161"/>
      <c r="U856" s="161"/>
      <c r="V856" s="161"/>
      <c r="W856" s="161"/>
      <c r="X856" s="161"/>
      <c r="Y856" s="161"/>
      <c r="Z856" s="161"/>
    </row>
    <row r="857">
      <c r="A857" s="18"/>
      <c r="B857" s="18"/>
      <c r="C857" s="18"/>
      <c r="D857" s="161"/>
      <c r="E857" s="161"/>
      <c r="F857" s="511"/>
      <c r="G857" s="161"/>
      <c r="H857" s="161"/>
      <c r="I857" s="161"/>
      <c r="J857" s="161"/>
      <c r="K857" s="161"/>
      <c r="L857" s="161"/>
      <c r="M857" s="161"/>
      <c r="N857" s="161"/>
      <c r="O857" s="161"/>
      <c r="P857" s="161"/>
      <c r="Q857" s="161"/>
      <c r="R857" s="161"/>
      <c r="S857" s="161"/>
      <c r="T857" s="161"/>
      <c r="U857" s="161"/>
      <c r="V857" s="161"/>
      <c r="W857" s="161"/>
      <c r="X857" s="161"/>
      <c r="Y857" s="161"/>
      <c r="Z857" s="161"/>
    </row>
    <row r="858">
      <c r="A858" s="18"/>
      <c r="B858" s="18"/>
      <c r="C858" s="18"/>
      <c r="D858" s="161"/>
      <c r="E858" s="161"/>
      <c r="F858" s="511"/>
      <c r="G858" s="161"/>
      <c r="H858" s="161"/>
      <c r="I858" s="161"/>
      <c r="J858" s="161"/>
      <c r="K858" s="161"/>
      <c r="L858" s="161"/>
      <c r="M858" s="161"/>
      <c r="N858" s="161"/>
      <c r="O858" s="161"/>
      <c r="P858" s="161"/>
      <c r="Q858" s="161"/>
      <c r="R858" s="161"/>
      <c r="S858" s="161"/>
      <c r="T858" s="161"/>
      <c r="U858" s="161"/>
      <c r="V858" s="161"/>
      <c r="W858" s="161"/>
      <c r="X858" s="161"/>
      <c r="Y858" s="161"/>
      <c r="Z858" s="161"/>
    </row>
    <row r="859">
      <c r="A859" s="18"/>
      <c r="B859" s="18"/>
      <c r="C859" s="18"/>
      <c r="D859" s="161"/>
      <c r="E859" s="161"/>
      <c r="F859" s="511"/>
      <c r="G859" s="161"/>
      <c r="H859" s="161"/>
      <c r="I859" s="161"/>
      <c r="J859" s="161"/>
      <c r="K859" s="161"/>
      <c r="L859" s="161"/>
      <c r="M859" s="161"/>
      <c r="N859" s="161"/>
      <c r="O859" s="161"/>
      <c r="P859" s="161"/>
      <c r="Q859" s="161"/>
      <c r="R859" s="161"/>
      <c r="S859" s="161"/>
      <c r="T859" s="161"/>
      <c r="U859" s="161"/>
      <c r="V859" s="161"/>
      <c r="W859" s="161"/>
      <c r="X859" s="161"/>
      <c r="Y859" s="161"/>
      <c r="Z859" s="161"/>
    </row>
    <row r="860">
      <c r="A860" s="18"/>
      <c r="B860" s="18"/>
      <c r="C860" s="18"/>
      <c r="D860" s="161"/>
      <c r="E860" s="161"/>
      <c r="F860" s="511"/>
      <c r="G860" s="161"/>
      <c r="H860" s="161"/>
      <c r="I860" s="161"/>
      <c r="J860" s="161"/>
      <c r="K860" s="161"/>
      <c r="L860" s="161"/>
      <c r="M860" s="161"/>
      <c r="N860" s="161"/>
      <c r="O860" s="161"/>
      <c r="P860" s="161"/>
      <c r="Q860" s="161"/>
      <c r="R860" s="161"/>
      <c r="S860" s="161"/>
      <c r="T860" s="161"/>
      <c r="U860" s="161"/>
      <c r="V860" s="161"/>
      <c r="W860" s="161"/>
      <c r="X860" s="161"/>
      <c r="Y860" s="161"/>
      <c r="Z860" s="161"/>
    </row>
    <row r="861">
      <c r="A861" s="18"/>
      <c r="B861" s="18"/>
      <c r="C861" s="18"/>
      <c r="D861" s="161"/>
      <c r="E861" s="161"/>
      <c r="F861" s="511"/>
      <c r="G861" s="161"/>
      <c r="H861" s="161"/>
      <c r="I861" s="161"/>
      <c r="J861" s="161"/>
      <c r="K861" s="161"/>
      <c r="L861" s="161"/>
      <c r="M861" s="161"/>
      <c r="N861" s="161"/>
      <c r="O861" s="161"/>
      <c r="P861" s="161"/>
      <c r="Q861" s="161"/>
      <c r="R861" s="161"/>
      <c r="S861" s="161"/>
      <c r="T861" s="161"/>
      <c r="U861" s="161"/>
      <c r="V861" s="161"/>
      <c r="W861" s="161"/>
      <c r="X861" s="161"/>
      <c r="Y861" s="161"/>
      <c r="Z861" s="161"/>
    </row>
    <row r="862">
      <c r="A862" s="18"/>
      <c r="B862" s="18"/>
      <c r="C862" s="18"/>
      <c r="D862" s="161"/>
      <c r="E862" s="161"/>
      <c r="F862" s="511"/>
      <c r="G862" s="161"/>
      <c r="H862" s="161"/>
      <c r="I862" s="161"/>
      <c r="J862" s="161"/>
      <c r="K862" s="161"/>
      <c r="L862" s="161"/>
      <c r="M862" s="161"/>
      <c r="N862" s="161"/>
      <c r="O862" s="161"/>
      <c r="P862" s="161"/>
      <c r="Q862" s="161"/>
      <c r="R862" s="161"/>
      <c r="S862" s="161"/>
      <c r="T862" s="161"/>
      <c r="U862" s="161"/>
      <c r="V862" s="161"/>
      <c r="W862" s="161"/>
      <c r="X862" s="161"/>
      <c r="Y862" s="161"/>
      <c r="Z862" s="161"/>
    </row>
    <row r="863">
      <c r="A863" s="18"/>
      <c r="B863" s="18"/>
      <c r="C863" s="18"/>
      <c r="D863" s="161"/>
      <c r="E863" s="161"/>
      <c r="F863" s="511"/>
      <c r="G863" s="161"/>
      <c r="H863" s="161"/>
      <c r="I863" s="161"/>
      <c r="J863" s="161"/>
      <c r="K863" s="161"/>
      <c r="L863" s="161"/>
      <c r="M863" s="161"/>
      <c r="N863" s="161"/>
      <c r="O863" s="161"/>
      <c r="P863" s="161"/>
      <c r="Q863" s="161"/>
      <c r="R863" s="161"/>
      <c r="S863" s="161"/>
      <c r="T863" s="161"/>
      <c r="U863" s="161"/>
      <c r="V863" s="161"/>
      <c r="W863" s="161"/>
      <c r="X863" s="161"/>
      <c r="Y863" s="161"/>
      <c r="Z863" s="161"/>
    </row>
    <row r="864">
      <c r="A864" s="18"/>
      <c r="B864" s="18"/>
      <c r="C864" s="18"/>
      <c r="D864" s="161"/>
      <c r="E864" s="161"/>
      <c r="F864" s="511"/>
      <c r="G864" s="161"/>
      <c r="H864" s="161"/>
      <c r="I864" s="161"/>
      <c r="J864" s="161"/>
      <c r="K864" s="161"/>
      <c r="L864" s="161"/>
      <c r="M864" s="161"/>
      <c r="N864" s="161"/>
      <c r="O864" s="161"/>
      <c r="P864" s="161"/>
      <c r="Q864" s="161"/>
      <c r="R864" s="161"/>
      <c r="S864" s="161"/>
      <c r="T864" s="161"/>
      <c r="U864" s="161"/>
      <c r="V864" s="161"/>
      <c r="W864" s="161"/>
      <c r="X864" s="161"/>
      <c r="Y864" s="161"/>
      <c r="Z864" s="161"/>
    </row>
    <row r="865">
      <c r="A865" s="18"/>
      <c r="B865" s="18"/>
      <c r="C865" s="18"/>
      <c r="D865" s="161"/>
      <c r="E865" s="161"/>
      <c r="F865" s="511"/>
      <c r="G865" s="161"/>
      <c r="H865" s="161"/>
      <c r="I865" s="161"/>
      <c r="J865" s="161"/>
      <c r="K865" s="161"/>
      <c r="L865" s="161"/>
      <c r="M865" s="161"/>
      <c r="N865" s="161"/>
      <c r="O865" s="161"/>
      <c r="P865" s="161"/>
      <c r="Q865" s="161"/>
      <c r="R865" s="161"/>
      <c r="S865" s="161"/>
      <c r="T865" s="161"/>
      <c r="U865" s="161"/>
      <c r="V865" s="161"/>
      <c r="W865" s="161"/>
      <c r="X865" s="161"/>
      <c r="Y865" s="161"/>
      <c r="Z865" s="161"/>
    </row>
    <row r="866">
      <c r="A866" s="18"/>
      <c r="B866" s="18"/>
      <c r="C866" s="18"/>
      <c r="D866" s="161"/>
      <c r="E866" s="161"/>
      <c r="F866" s="511"/>
      <c r="G866" s="161"/>
      <c r="H866" s="161"/>
      <c r="I866" s="161"/>
      <c r="J866" s="161"/>
      <c r="K866" s="161"/>
      <c r="L866" s="161"/>
      <c r="M866" s="161"/>
      <c r="N866" s="161"/>
      <c r="O866" s="161"/>
      <c r="P866" s="161"/>
      <c r="Q866" s="161"/>
      <c r="R866" s="161"/>
      <c r="S866" s="161"/>
      <c r="T866" s="161"/>
      <c r="U866" s="161"/>
      <c r="V866" s="161"/>
      <c r="W866" s="161"/>
      <c r="X866" s="161"/>
      <c r="Y866" s="161"/>
      <c r="Z866" s="161"/>
    </row>
    <row r="867">
      <c r="A867" s="18"/>
      <c r="B867" s="18"/>
      <c r="C867" s="18"/>
      <c r="D867" s="161"/>
      <c r="E867" s="161"/>
      <c r="F867" s="511"/>
      <c r="G867" s="161"/>
      <c r="H867" s="161"/>
      <c r="I867" s="161"/>
      <c r="J867" s="161"/>
      <c r="K867" s="161"/>
      <c r="L867" s="161"/>
      <c r="M867" s="161"/>
      <c r="N867" s="161"/>
      <c r="O867" s="161"/>
      <c r="P867" s="161"/>
      <c r="Q867" s="161"/>
      <c r="R867" s="161"/>
      <c r="S867" s="161"/>
      <c r="T867" s="161"/>
      <c r="U867" s="161"/>
      <c r="V867" s="161"/>
      <c r="W867" s="161"/>
      <c r="X867" s="161"/>
      <c r="Y867" s="161"/>
      <c r="Z867" s="161"/>
    </row>
    <row r="868">
      <c r="A868" s="18"/>
      <c r="B868" s="18"/>
      <c r="C868" s="18"/>
      <c r="D868" s="161"/>
      <c r="E868" s="161"/>
      <c r="F868" s="511"/>
      <c r="G868" s="161"/>
      <c r="H868" s="161"/>
      <c r="I868" s="161"/>
      <c r="J868" s="161"/>
      <c r="K868" s="161"/>
      <c r="L868" s="161"/>
      <c r="M868" s="161"/>
      <c r="N868" s="161"/>
      <c r="O868" s="161"/>
      <c r="P868" s="161"/>
      <c r="Q868" s="161"/>
      <c r="R868" s="161"/>
      <c r="S868" s="161"/>
      <c r="T868" s="161"/>
      <c r="U868" s="161"/>
      <c r="V868" s="161"/>
      <c r="W868" s="161"/>
      <c r="X868" s="161"/>
      <c r="Y868" s="161"/>
      <c r="Z868" s="161"/>
    </row>
    <row r="869">
      <c r="A869" s="18"/>
      <c r="B869" s="18"/>
      <c r="C869" s="18"/>
      <c r="D869" s="161"/>
      <c r="E869" s="161"/>
      <c r="F869" s="511"/>
      <c r="G869" s="161"/>
      <c r="H869" s="161"/>
      <c r="I869" s="161"/>
      <c r="J869" s="161"/>
      <c r="K869" s="161"/>
      <c r="L869" s="161"/>
      <c r="M869" s="161"/>
      <c r="N869" s="161"/>
      <c r="O869" s="161"/>
      <c r="P869" s="161"/>
      <c r="Q869" s="161"/>
      <c r="R869" s="161"/>
      <c r="S869" s="161"/>
      <c r="T869" s="161"/>
      <c r="U869" s="161"/>
      <c r="V869" s="161"/>
      <c r="W869" s="161"/>
      <c r="X869" s="161"/>
      <c r="Y869" s="161"/>
      <c r="Z869" s="161"/>
    </row>
    <row r="870">
      <c r="A870" s="18"/>
      <c r="B870" s="18"/>
      <c r="C870" s="18"/>
      <c r="D870" s="161"/>
      <c r="E870" s="161"/>
      <c r="F870" s="511"/>
      <c r="G870" s="161"/>
      <c r="H870" s="161"/>
      <c r="I870" s="161"/>
      <c r="J870" s="161"/>
      <c r="K870" s="161"/>
      <c r="L870" s="161"/>
      <c r="M870" s="161"/>
      <c r="N870" s="161"/>
      <c r="O870" s="161"/>
      <c r="P870" s="161"/>
      <c r="Q870" s="161"/>
      <c r="R870" s="161"/>
      <c r="S870" s="161"/>
      <c r="T870" s="161"/>
      <c r="U870" s="161"/>
      <c r="V870" s="161"/>
      <c r="W870" s="161"/>
      <c r="X870" s="161"/>
      <c r="Y870" s="161"/>
      <c r="Z870" s="161"/>
    </row>
    <row r="871">
      <c r="A871" s="18"/>
      <c r="B871" s="18"/>
      <c r="C871" s="18"/>
      <c r="D871" s="161"/>
      <c r="E871" s="161"/>
      <c r="F871" s="511"/>
      <c r="G871" s="161"/>
      <c r="H871" s="161"/>
      <c r="I871" s="161"/>
      <c r="J871" s="161"/>
      <c r="K871" s="161"/>
      <c r="L871" s="161"/>
      <c r="M871" s="161"/>
      <c r="N871" s="161"/>
      <c r="O871" s="161"/>
      <c r="P871" s="161"/>
      <c r="Q871" s="161"/>
      <c r="R871" s="161"/>
      <c r="S871" s="161"/>
      <c r="T871" s="161"/>
      <c r="U871" s="161"/>
      <c r="V871" s="161"/>
      <c r="W871" s="161"/>
      <c r="X871" s="161"/>
      <c r="Y871" s="161"/>
      <c r="Z871" s="161"/>
    </row>
    <row r="872">
      <c r="A872" s="18"/>
      <c r="B872" s="18"/>
      <c r="C872" s="18"/>
      <c r="D872" s="161"/>
      <c r="E872" s="161"/>
      <c r="F872" s="511"/>
      <c r="G872" s="161"/>
      <c r="H872" s="161"/>
      <c r="I872" s="161"/>
      <c r="J872" s="161"/>
      <c r="K872" s="161"/>
      <c r="L872" s="161"/>
      <c r="M872" s="161"/>
      <c r="N872" s="161"/>
      <c r="O872" s="161"/>
      <c r="P872" s="161"/>
      <c r="Q872" s="161"/>
      <c r="R872" s="161"/>
      <c r="S872" s="161"/>
      <c r="T872" s="161"/>
      <c r="U872" s="161"/>
      <c r="V872" s="161"/>
      <c r="W872" s="161"/>
      <c r="X872" s="161"/>
      <c r="Y872" s="161"/>
      <c r="Z872" s="161"/>
    </row>
    <row r="873">
      <c r="A873" s="18"/>
      <c r="B873" s="18"/>
      <c r="C873" s="18"/>
      <c r="D873" s="161"/>
      <c r="E873" s="161"/>
      <c r="F873" s="511"/>
      <c r="G873" s="161"/>
      <c r="H873" s="161"/>
      <c r="I873" s="161"/>
      <c r="J873" s="161"/>
      <c r="K873" s="161"/>
      <c r="L873" s="161"/>
      <c r="M873" s="161"/>
      <c r="N873" s="161"/>
      <c r="O873" s="161"/>
      <c r="P873" s="161"/>
      <c r="Q873" s="161"/>
      <c r="R873" s="161"/>
      <c r="S873" s="161"/>
      <c r="T873" s="161"/>
      <c r="U873" s="161"/>
      <c r="V873" s="161"/>
      <c r="W873" s="161"/>
      <c r="X873" s="161"/>
      <c r="Y873" s="161"/>
      <c r="Z873" s="161"/>
    </row>
    <row r="874">
      <c r="A874" s="18"/>
      <c r="B874" s="18"/>
      <c r="C874" s="18"/>
      <c r="D874" s="161"/>
      <c r="E874" s="161"/>
      <c r="F874" s="511"/>
      <c r="G874" s="161"/>
      <c r="H874" s="161"/>
      <c r="I874" s="161"/>
      <c r="J874" s="161"/>
      <c r="K874" s="161"/>
      <c r="L874" s="161"/>
      <c r="M874" s="161"/>
      <c r="N874" s="161"/>
      <c r="O874" s="161"/>
      <c r="P874" s="161"/>
      <c r="Q874" s="161"/>
      <c r="R874" s="161"/>
      <c r="S874" s="161"/>
      <c r="T874" s="161"/>
      <c r="U874" s="161"/>
      <c r="V874" s="161"/>
      <c r="W874" s="161"/>
      <c r="X874" s="161"/>
      <c r="Y874" s="161"/>
      <c r="Z874" s="161"/>
    </row>
    <row r="875">
      <c r="A875" s="18"/>
      <c r="B875" s="18"/>
      <c r="C875" s="18"/>
      <c r="D875" s="161"/>
      <c r="E875" s="161"/>
      <c r="F875" s="511"/>
      <c r="G875" s="161"/>
      <c r="H875" s="161"/>
      <c r="I875" s="161"/>
      <c r="J875" s="161"/>
      <c r="K875" s="161"/>
      <c r="L875" s="161"/>
      <c r="M875" s="161"/>
      <c r="N875" s="161"/>
      <c r="O875" s="161"/>
      <c r="P875" s="161"/>
      <c r="Q875" s="161"/>
      <c r="R875" s="161"/>
      <c r="S875" s="161"/>
      <c r="T875" s="161"/>
      <c r="U875" s="161"/>
      <c r="V875" s="161"/>
      <c r="W875" s="161"/>
      <c r="X875" s="161"/>
      <c r="Y875" s="161"/>
      <c r="Z875" s="161"/>
    </row>
    <row r="876">
      <c r="A876" s="18"/>
      <c r="B876" s="18"/>
      <c r="C876" s="18"/>
      <c r="D876" s="161"/>
      <c r="E876" s="161"/>
      <c r="F876" s="511"/>
      <c r="G876" s="161"/>
      <c r="H876" s="161"/>
      <c r="I876" s="161"/>
      <c r="J876" s="161"/>
      <c r="K876" s="161"/>
      <c r="L876" s="161"/>
      <c r="M876" s="161"/>
      <c r="N876" s="161"/>
      <c r="O876" s="161"/>
      <c r="P876" s="161"/>
      <c r="Q876" s="161"/>
      <c r="R876" s="161"/>
      <c r="S876" s="161"/>
      <c r="T876" s="161"/>
      <c r="U876" s="161"/>
      <c r="V876" s="161"/>
      <c r="W876" s="161"/>
      <c r="X876" s="161"/>
      <c r="Y876" s="161"/>
      <c r="Z876" s="161"/>
    </row>
    <row r="877">
      <c r="A877" s="18"/>
      <c r="B877" s="18"/>
      <c r="C877" s="18"/>
      <c r="D877" s="161"/>
      <c r="E877" s="161"/>
      <c r="F877" s="511"/>
      <c r="G877" s="161"/>
      <c r="H877" s="161"/>
      <c r="I877" s="161"/>
      <c r="J877" s="161"/>
      <c r="K877" s="161"/>
      <c r="L877" s="161"/>
      <c r="M877" s="161"/>
      <c r="N877" s="161"/>
      <c r="O877" s="161"/>
      <c r="P877" s="161"/>
      <c r="Q877" s="161"/>
      <c r="R877" s="161"/>
      <c r="S877" s="161"/>
      <c r="T877" s="161"/>
      <c r="U877" s="161"/>
      <c r="V877" s="161"/>
      <c r="W877" s="161"/>
      <c r="X877" s="161"/>
      <c r="Y877" s="161"/>
      <c r="Z877" s="161"/>
    </row>
    <row r="878">
      <c r="A878" s="18"/>
      <c r="B878" s="18"/>
      <c r="C878" s="18"/>
      <c r="D878" s="161"/>
      <c r="E878" s="161"/>
      <c r="F878" s="511"/>
      <c r="G878" s="161"/>
      <c r="H878" s="161"/>
      <c r="I878" s="161"/>
      <c r="J878" s="161"/>
      <c r="K878" s="161"/>
      <c r="L878" s="161"/>
      <c r="M878" s="161"/>
      <c r="N878" s="161"/>
      <c r="O878" s="161"/>
      <c r="P878" s="161"/>
      <c r="Q878" s="161"/>
      <c r="R878" s="161"/>
      <c r="S878" s="161"/>
      <c r="T878" s="161"/>
      <c r="U878" s="161"/>
      <c r="V878" s="161"/>
      <c r="W878" s="161"/>
      <c r="X878" s="161"/>
      <c r="Y878" s="161"/>
      <c r="Z878" s="161"/>
    </row>
    <row r="879">
      <c r="A879" s="18"/>
      <c r="B879" s="18"/>
      <c r="C879" s="18"/>
      <c r="D879" s="161"/>
      <c r="E879" s="161"/>
      <c r="F879" s="511"/>
      <c r="G879" s="161"/>
      <c r="H879" s="161"/>
      <c r="I879" s="161"/>
      <c r="J879" s="161"/>
      <c r="K879" s="161"/>
      <c r="L879" s="161"/>
      <c r="M879" s="161"/>
      <c r="N879" s="161"/>
      <c r="O879" s="161"/>
      <c r="P879" s="161"/>
      <c r="Q879" s="161"/>
      <c r="R879" s="161"/>
      <c r="S879" s="161"/>
      <c r="T879" s="161"/>
      <c r="U879" s="161"/>
      <c r="V879" s="161"/>
      <c r="W879" s="161"/>
      <c r="X879" s="161"/>
      <c r="Y879" s="161"/>
      <c r="Z879" s="161"/>
    </row>
    <row r="880">
      <c r="A880" s="18"/>
      <c r="B880" s="18"/>
      <c r="C880" s="18"/>
      <c r="D880" s="161"/>
      <c r="E880" s="161"/>
      <c r="F880" s="511"/>
      <c r="G880" s="161"/>
      <c r="H880" s="161"/>
      <c r="I880" s="161"/>
      <c r="J880" s="161"/>
      <c r="K880" s="161"/>
      <c r="L880" s="161"/>
      <c r="M880" s="161"/>
      <c r="N880" s="161"/>
      <c r="O880" s="161"/>
      <c r="P880" s="161"/>
      <c r="Q880" s="161"/>
      <c r="R880" s="161"/>
      <c r="S880" s="161"/>
      <c r="T880" s="161"/>
      <c r="U880" s="161"/>
      <c r="V880" s="161"/>
      <c r="W880" s="161"/>
      <c r="X880" s="161"/>
      <c r="Y880" s="161"/>
      <c r="Z880" s="161"/>
    </row>
    <row r="881">
      <c r="A881" s="18"/>
      <c r="B881" s="18"/>
      <c r="C881" s="18"/>
      <c r="D881" s="161"/>
      <c r="E881" s="161"/>
      <c r="F881" s="511"/>
      <c r="G881" s="161"/>
      <c r="H881" s="161"/>
      <c r="I881" s="161"/>
      <c r="J881" s="161"/>
      <c r="K881" s="161"/>
      <c r="L881" s="161"/>
      <c r="M881" s="161"/>
      <c r="N881" s="161"/>
      <c r="O881" s="161"/>
      <c r="P881" s="161"/>
      <c r="Q881" s="161"/>
      <c r="R881" s="161"/>
      <c r="S881" s="161"/>
      <c r="T881" s="161"/>
      <c r="U881" s="161"/>
      <c r="V881" s="161"/>
      <c r="W881" s="161"/>
      <c r="X881" s="161"/>
      <c r="Y881" s="161"/>
      <c r="Z881" s="161"/>
    </row>
    <row r="882">
      <c r="A882" s="18"/>
      <c r="B882" s="18"/>
      <c r="C882" s="18"/>
      <c r="D882" s="161"/>
      <c r="E882" s="161"/>
      <c r="F882" s="511"/>
      <c r="G882" s="161"/>
      <c r="H882" s="161"/>
      <c r="I882" s="161"/>
      <c r="J882" s="161"/>
      <c r="K882" s="161"/>
      <c r="L882" s="161"/>
      <c r="M882" s="161"/>
      <c r="N882" s="161"/>
      <c r="O882" s="161"/>
      <c r="P882" s="161"/>
      <c r="Q882" s="161"/>
      <c r="R882" s="161"/>
      <c r="S882" s="161"/>
      <c r="T882" s="161"/>
      <c r="U882" s="161"/>
      <c r="V882" s="161"/>
      <c r="W882" s="161"/>
      <c r="X882" s="161"/>
      <c r="Y882" s="161"/>
      <c r="Z882" s="161"/>
    </row>
    <row r="883">
      <c r="A883" s="18"/>
      <c r="B883" s="18"/>
      <c r="C883" s="18"/>
      <c r="D883" s="161"/>
      <c r="E883" s="161"/>
      <c r="F883" s="511"/>
      <c r="G883" s="161"/>
      <c r="H883" s="161"/>
      <c r="I883" s="161"/>
      <c r="J883" s="161"/>
      <c r="K883" s="161"/>
      <c r="L883" s="161"/>
      <c r="M883" s="161"/>
      <c r="N883" s="161"/>
      <c r="O883" s="161"/>
      <c r="P883" s="161"/>
      <c r="Q883" s="161"/>
      <c r="R883" s="161"/>
      <c r="S883" s="161"/>
      <c r="T883" s="161"/>
      <c r="U883" s="161"/>
      <c r="V883" s="161"/>
      <c r="W883" s="161"/>
      <c r="X883" s="161"/>
      <c r="Y883" s="161"/>
      <c r="Z883" s="161"/>
    </row>
    <row r="884">
      <c r="A884" s="18"/>
      <c r="B884" s="18"/>
      <c r="C884" s="18"/>
      <c r="D884" s="161"/>
      <c r="E884" s="161"/>
      <c r="F884" s="511"/>
      <c r="G884" s="161"/>
      <c r="H884" s="161"/>
      <c r="I884" s="161"/>
      <c r="J884" s="161"/>
      <c r="K884" s="161"/>
      <c r="L884" s="161"/>
      <c r="M884" s="161"/>
      <c r="N884" s="161"/>
      <c r="O884" s="161"/>
      <c r="P884" s="161"/>
      <c r="Q884" s="161"/>
      <c r="R884" s="161"/>
      <c r="S884" s="161"/>
      <c r="T884" s="161"/>
      <c r="U884" s="161"/>
      <c r="V884" s="161"/>
      <c r="W884" s="161"/>
      <c r="X884" s="161"/>
      <c r="Y884" s="161"/>
      <c r="Z884" s="161"/>
    </row>
    <row r="885">
      <c r="A885" s="18"/>
      <c r="B885" s="18"/>
      <c r="C885" s="18"/>
      <c r="D885" s="161"/>
      <c r="E885" s="161"/>
      <c r="F885" s="511"/>
      <c r="G885" s="161"/>
      <c r="H885" s="161"/>
      <c r="I885" s="161"/>
      <c r="J885" s="161"/>
      <c r="K885" s="161"/>
      <c r="L885" s="161"/>
      <c r="M885" s="161"/>
      <c r="N885" s="161"/>
      <c r="O885" s="161"/>
      <c r="P885" s="161"/>
      <c r="Q885" s="161"/>
      <c r="R885" s="161"/>
      <c r="S885" s="161"/>
      <c r="T885" s="161"/>
      <c r="U885" s="161"/>
      <c r="V885" s="161"/>
      <c r="W885" s="161"/>
      <c r="X885" s="161"/>
      <c r="Y885" s="161"/>
      <c r="Z885" s="161"/>
    </row>
    <row r="886">
      <c r="A886" s="18"/>
      <c r="B886" s="18"/>
      <c r="C886" s="18"/>
      <c r="D886" s="161"/>
      <c r="E886" s="161"/>
      <c r="F886" s="511"/>
      <c r="G886" s="161"/>
      <c r="H886" s="161"/>
      <c r="I886" s="161"/>
      <c r="J886" s="161"/>
      <c r="K886" s="161"/>
      <c r="L886" s="161"/>
      <c r="M886" s="161"/>
      <c r="N886" s="161"/>
      <c r="O886" s="161"/>
      <c r="P886" s="161"/>
      <c r="Q886" s="161"/>
      <c r="R886" s="161"/>
      <c r="S886" s="161"/>
      <c r="T886" s="161"/>
      <c r="U886" s="161"/>
      <c r="V886" s="161"/>
      <c r="W886" s="161"/>
      <c r="X886" s="161"/>
      <c r="Y886" s="161"/>
      <c r="Z886" s="161"/>
    </row>
    <row r="887">
      <c r="A887" s="18"/>
      <c r="B887" s="18"/>
      <c r="C887" s="18"/>
      <c r="D887" s="161"/>
      <c r="E887" s="161"/>
      <c r="F887" s="511"/>
      <c r="G887" s="161"/>
      <c r="H887" s="161"/>
      <c r="I887" s="161"/>
      <c r="J887" s="161"/>
      <c r="K887" s="161"/>
      <c r="L887" s="161"/>
      <c r="M887" s="161"/>
      <c r="N887" s="161"/>
      <c r="O887" s="161"/>
      <c r="P887" s="161"/>
      <c r="Q887" s="161"/>
      <c r="R887" s="161"/>
      <c r="S887" s="161"/>
      <c r="T887" s="161"/>
      <c r="U887" s="161"/>
      <c r="V887" s="161"/>
      <c r="W887" s="161"/>
      <c r="X887" s="161"/>
      <c r="Y887" s="161"/>
      <c r="Z887" s="161"/>
    </row>
    <row r="888">
      <c r="A888" s="18"/>
      <c r="B888" s="18"/>
      <c r="C888" s="18"/>
      <c r="D888" s="161"/>
      <c r="E888" s="161"/>
      <c r="F888" s="511"/>
      <c r="G888" s="161"/>
      <c r="H888" s="161"/>
      <c r="I888" s="161"/>
      <c r="J888" s="161"/>
      <c r="K888" s="161"/>
      <c r="L888" s="161"/>
      <c r="M888" s="161"/>
      <c r="N888" s="161"/>
      <c r="O888" s="161"/>
      <c r="P888" s="161"/>
      <c r="Q888" s="161"/>
      <c r="R888" s="161"/>
      <c r="S888" s="161"/>
      <c r="T888" s="161"/>
      <c r="U888" s="161"/>
      <c r="V888" s="161"/>
      <c r="W888" s="161"/>
      <c r="X888" s="161"/>
      <c r="Y888" s="161"/>
      <c r="Z888" s="161"/>
    </row>
    <row r="889">
      <c r="A889" s="18"/>
      <c r="B889" s="18"/>
      <c r="C889" s="18"/>
      <c r="D889" s="161"/>
      <c r="E889" s="161"/>
      <c r="F889" s="511"/>
      <c r="G889" s="161"/>
      <c r="H889" s="161"/>
      <c r="I889" s="161"/>
      <c r="J889" s="161"/>
      <c r="K889" s="161"/>
      <c r="L889" s="161"/>
      <c r="M889" s="161"/>
      <c r="N889" s="161"/>
      <c r="O889" s="161"/>
      <c r="P889" s="161"/>
      <c r="Q889" s="161"/>
      <c r="R889" s="161"/>
      <c r="S889" s="161"/>
      <c r="T889" s="161"/>
      <c r="U889" s="161"/>
      <c r="V889" s="161"/>
      <c r="W889" s="161"/>
      <c r="X889" s="161"/>
      <c r="Y889" s="161"/>
      <c r="Z889" s="161"/>
    </row>
    <row r="890">
      <c r="A890" s="18"/>
      <c r="B890" s="18"/>
      <c r="C890" s="18"/>
      <c r="D890" s="161"/>
      <c r="E890" s="161"/>
      <c r="F890" s="511"/>
      <c r="G890" s="161"/>
      <c r="H890" s="161"/>
      <c r="I890" s="161"/>
      <c r="J890" s="161"/>
      <c r="K890" s="161"/>
      <c r="L890" s="161"/>
      <c r="M890" s="161"/>
      <c r="N890" s="161"/>
      <c r="O890" s="161"/>
      <c r="P890" s="161"/>
      <c r="Q890" s="161"/>
      <c r="R890" s="161"/>
      <c r="S890" s="161"/>
      <c r="T890" s="161"/>
      <c r="U890" s="161"/>
      <c r="V890" s="161"/>
      <c r="W890" s="161"/>
      <c r="X890" s="161"/>
      <c r="Y890" s="161"/>
      <c r="Z890" s="161"/>
    </row>
    <row r="891">
      <c r="A891" s="18"/>
      <c r="B891" s="18"/>
      <c r="C891" s="18"/>
      <c r="D891" s="161"/>
      <c r="E891" s="161"/>
      <c r="F891" s="511"/>
      <c r="G891" s="161"/>
      <c r="H891" s="161"/>
      <c r="I891" s="161"/>
      <c r="J891" s="161"/>
      <c r="K891" s="161"/>
      <c r="L891" s="161"/>
      <c r="M891" s="161"/>
      <c r="N891" s="161"/>
      <c r="O891" s="161"/>
      <c r="P891" s="161"/>
      <c r="Q891" s="161"/>
      <c r="R891" s="161"/>
      <c r="S891" s="161"/>
      <c r="T891" s="161"/>
      <c r="U891" s="161"/>
      <c r="V891" s="161"/>
      <c r="W891" s="161"/>
      <c r="X891" s="161"/>
      <c r="Y891" s="161"/>
      <c r="Z891" s="161"/>
    </row>
    <row r="892">
      <c r="A892" s="18"/>
      <c r="B892" s="18"/>
      <c r="C892" s="18"/>
      <c r="D892" s="161"/>
      <c r="E892" s="161"/>
      <c r="F892" s="511"/>
      <c r="G892" s="161"/>
      <c r="H892" s="161"/>
      <c r="I892" s="161"/>
      <c r="J892" s="161"/>
      <c r="K892" s="161"/>
      <c r="L892" s="161"/>
      <c r="M892" s="161"/>
      <c r="N892" s="161"/>
      <c r="O892" s="161"/>
      <c r="P892" s="161"/>
      <c r="Q892" s="161"/>
      <c r="R892" s="161"/>
      <c r="S892" s="161"/>
      <c r="T892" s="161"/>
      <c r="U892" s="161"/>
      <c r="V892" s="161"/>
      <c r="W892" s="161"/>
      <c r="X892" s="161"/>
      <c r="Y892" s="161"/>
      <c r="Z892" s="161"/>
    </row>
    <row r="893">
      <c r="A893" s="18"/>
      <c r="B893" s="18"/>
      <c r="C893" s="18"/>
      <c r="D893" s="161"/>
      <c r="E893" s="161"/>
      <c r="F893" s="511"/>
      <c r="G893" s="161"/>
      <c r="H893" s="161"/>
      <c r="I893" s="161"/>
      <c r="J893" s="161"/>
      <c r="K893" s="161"/>
      <c r="L893" s="161"/>
      <c r="M893" s="161"/>
      <c r="N893" s="161"/>
      <c r="O893" s="161"/>
      <c r="P893" s="161"/>
      <c r="Q893" s="161"/>
      <c r="R893" s="161"/>
      <c r="S893" s="161"/>
      <c r="T893" s="161"/>
      <c r="U893" s="161"/>
      <c r="V893" s="161"/>
      <c r="W893" s="161"/>
      <c r="X893" s="161"/>
      <c r="Y893" s="161"/>
      <c r="Z893" s="161"/>
    </row>
    <row r="894">
      <c r="A894" s="18"/>
      <c r="B894" s="18"/>
      <c r="C894" s="18"/>
      <c r="D894" s="161"/>
      <c r="E894" s="161"/>
      <c r="F894" s="511"/>
      <c r="G894" s="161"/>
      <c r="H894" s="161"/>
      <c r="I894" s="161"/>
      <c r="J894" s="161"/>
      <c r="K894" s="161"/>
      <c r="L894" s="161"/>
      <c r="M894" s="161"/>
      <c r="N894" s="161"/>
      <c r="O894" s="161"/>
      <c r="P894" s="161"/>
      <c r="Q894" s="161"/>
      <c r="R894" s="161"/>
      <c r="S894" s="161"/>
      <c r="T894" s="161"/>
      <c r="U894" s="161"/>
      <c r="V894" s="161"/>
      <c r="W894" s="161"/>
      <c r="X894" s="161"/>
      <c r="Y894" s="161"/>
      <c r="Z894" s="161"/>
    </row>
    <row r="895">
      <c r="A895" s="18"/>
      <c r="B895" s="18"/>
      <c r="C895" s="18"/>
      <c r="D895" s="161"/>
      <c r="E895" s="161"/>
      <c r="F895" s="511"/>
      <c r="G895" s="161"/>
      <c r="H895" s="161"/>
      <c r="I895" s="161"/>
      <c r="J895" s="161"/>
      <c r="K895" s="161"/>
      <c r="L895" s="161"/>
      <c r="M895" s="161"/>
      <c r="N895" s="161"/>
      <c r="O895" s="161"/>
      <c r="P895" s="161"/>
      <c r="Q895" s="161"/>
      <c r="R895" s="161"/>
      <c r="S895" s="161"/>
      <c r="T895" s="161"/>
      <c r="U895" s="161"/>
      <c r="V895" s="161"/>
      <c r="W895" s="161"/>
      <c r="X895" s="161"/>
      <c r="Y895" s="161"/>
      <c r="Z895" s="161"/>
    </row>
    <row r="896">
      <c r="A896" s="18"/>
      <c r="B896" s="18"/>
      <c r="C896" s="18"/>
      <c r="D896" s="161"/>
      <c r="E896" s="161"/>
      <c r="F896" s="511"/>
      <c r="G896" s="161"/>
      <c r="H896" s="161"/>
      <c r="I896" s="161"/>
      <c r="J896" s="161"/>
      <c r="K896" s="161"/>
      <c r="L896" s="161"/>
      <c r="M896" s="161"/>
      <c r="N896" s="161"/>
      <c r="O896" s="161"/>
      <c r="P896" s="161"/>
      <c r="Q896" s="161"/>
      <c r="R896" s="161"/>
      <c r="S896" s="161"/>
      <c r="T896" s="161"/>
      <c r="U896" s="161"/>
      <c r="V896" s="161"/>
      <c r="W896" s="161"/>
      <c r="X896" s="161"/>
      <c r="Y896" s="161"/>
      <c r="Z896" s="161"/>
    </row>
    <row r="897">
      <c r="A897" s="18"/>
      <c r="B897" s="18"/>
      <c r="C897" s="18"/>
      <c r="D897" s="161"/>
      <c r="E897" s="161"/>
      <c r="F897" s="511"/>
      <c r="G897" s="161"/>
      <c r="H897" s="161"/>
      <c r="I897" s="161"/>
      <c r="J897" s="161"/>
      <c r="K897" s="161"/>
      <c r="L897" s="161"/>
      <c r="M897" s="161"/>
      <c r="N897" s="161"/>
      <c r="O897" s="161"/>
      <c r="P897" s="161"/>
      <c r="Q897" s="161"/>
      <c r="R897" s="161"/>
      <c r="S897" s="161"/>
      <c r="T897" s="161"/>
      <c r="U897" s="161"/>
      <c r="V897" s="161"/>
      <c r="W897" s="161"/>
      <c r="X897" s="161"/>
      <c r="Y897" s="161"/>
      <c r="Z897" s="161"/>
    </row>
    <row r="898">
      <c r="A898" s="18"/>
      <c r="B898" s="18"/>
      <c r="C898" s="18"/>
      <c r="D898" s="161"/>
      <c r="E898" s="161"/>
      <c r="F898" s="511"/>
      <c r="G898" s="161"/>
      <c r="H898" s="161"/>
      <c r="I898" s="161"/>
      <c r="J898" s="161"/>
      <c r="K898" s="161"/>
      <c r="L898" s="161"/>
      <c r="M898" s="161"/>
      <c r="N898" s="161"/>
      <c r="O898" s="161"/>
      <c r="P898" s="161"/>
      <c r="Q898" s="161"/>
      <c r="R898" s="161"/>
      <c r="S898" s="161"/>
      <c r="T898" s="161"/>
      <c r="U898" s="161"/>
      <c r="V898" s="161"/>
      <c r="W898" s="161"/>
      <c r="X898" s="161"/>
      <c r="Y898" s="161"/>
      <c r="Z898" s="161"/>
    </row>
    <row r="899">
      <c r="A899" s="18"/>
      <c r="B899" s="18"/>
      <c r="C899" s="18"/>
      <c r="D899" s="161"/>
      <c r="E899" s="161"/>
      <c r="F899" s="511"/>
      <c r="G899" s="161"/>
      <c r="H899" s="161"/>
      <c r="I899" s="161"/>
      <c r="J899" s="161"/>
      <c r="K899" s="161"/>
      <c r="L899" s="161"/>
      <c r="M899" s="161"/>
      <c r="N899" s="161"/>
      <c r="O899" s="161"/>
      <c r="P899" s="161"/>
      <c r="Q899" s="161"/>
      <c r="R899" s="161"/>
      <c r="S899" s="161"/>
      <c r="T899" s="161"/>
      <c r="U899" s="161"/>
      <c r="V899" s="161"/>
      <c r="W899" s="161"/>
      <c r="X899" s="161"/>
      <c r="Y899" s="161"/>
      <c r="Z899" s="161"/>
    </row>
    <row r="900">
      <c r="A900" s="18"/>
      <c r="B900" s="18"/>
      <c r="C900" s="18"/>
      <c r="D900" s="161"/>
      <c r="E900" s="161"/>
      <c r="F900" s="511"/>
      <c r="G900" s="161"/>
      <c r="H900" s="161"/>
      <c r="I900" s="161"/>
      <c r="J900" s="161"/>
      <c r="K900" s="161"/>
      <c r="L900" s="161"/>
      <c r="M900" s="161"/>
      <c r="N900" s="161"/>
      <c r="O900" s="161"/>
      <c r="P900" s="161"/>
      <c r="Q900" s="161"/>
      <c r="R900" s="161"/>
      <c r="S900" s="161"/>
      <c r="T900" s="161"/>
      <c r="U900" s="161"/>
      <c r="V900" s="161"/>
      <c r="W900" s="161"/>
      <c r="X900" s="161"/>
      <c r="Y900" s="161"/>
      <c r="Z900" s="161"/>
    </row>
    <row r="901">
      <c r="A901" s="18"/>
      <c r="B901" s="18"/>
      <c r="C901" s="18"/>
      <c r="D901" s="161"/>
      <c r="E901" s="161"/>
      <c r="F901" s="511"/>
      <c r="G901" s="161"/>
      <c r="H901" s="161"/>
      <c r="I901" s="161"/>
      <c r="J901" s="161"/>
      <c r="K901" s="161"/>
      <c r="L901" s="161"/>
      <c r="M901" s="161"/>
      <c r="N901" s="161"/>
      <c r="O901" s="161"/>
      <c r="P901" s="161"/>
      <c r="Q901" s="161"/>
      <c r="R901" s="161"/>
      <c r="S901" s="161"/>
      <c r="T901" s="161"/>
      <c r="U901" s="161"/>
      <c r="V901" s="161"/>
      <c r="W901" s="161"/>
      <c r="X901" s="161"/>
      <c r="Y901" s="161"/>
      <c r="Z901" s="161"/>
    </row>
    <row r="902">
      <c r="A902" s="18"/>
      <c r="B902" s="18"/>
      <c r="C902" s="18"/>
      <c r="D902" s="161"/>
      <c r="E902" s="161"/>
      <c r="F902" s="511"/>
      <c r="G902" s="161"/>
      <c r="H902" s="161"/>
      <c r="I902" s="161"/>
      <c r="J902" s="161"/>
      <c r="K902" s="161"/>
      <c r="L902" s="161"/>
      <c r="M902" s="161"/>
      <c r="N902" s="161"/>
      <c r="O902" s="161"/>
      <c r="P902" s="161"/>
      <c r="Q902" s="161"/>
      <c r="R902" s="161"/>
      <c r="S902" s="161"/>
      <c r="T902" s="161"/>
      <c r="U902" s="161"/>
      <c r="V902" s="161"/>
      <c r="W902" s="161"/>
      <c r="X902" s="161"/>
      <c r="Y902" s="161"/>
      <c r="Z902" s="161"/>
    </row>
    <row r="903">
      <c r="A903" s="18"/>
      <c r="B903" s="18"/>
      <c r="C903" s="18"/>
      <c r="D903" s="161"/>
      <c r="E903" s="161"/>
      <c r="F903" s="511"/>
      <c r="G903" s="161"/>
      <c r="H903" s="161"/>
      <c r="I903" s="161"/>
      <c r="J903" s="161"/>
      <c r="K903" s="161"/>
      <c r="L903" s="161"/>
      <c r="M903" s="161"/>
      <c r="N903" s="161"/>
      <c r="O903" s="161"/>
      <c r="P903" s="161"/>
      <c r="Q903" s="161"/>
      <c r="R903" s="161"/>
      <c r="S903" s="161"/>
      <c r="T903" s="161"/>
      <c r="U903" s="161"/>
      <c r="V903" s="161"/>
      <c r="W903" s="161"/>
      <c r="X903" s="161"/>
      <c r="Y903" s="161"/>
      <c r="Z903" s="161"/>
    </row>
    <row r="904">
      <c r="A904" s="18"/>
      <c r="B904" s="18"/>
      <c r="C904" s="18"/>
      <c r="D904" s="161"/>
      <c r="E904" s="161"/>
      <c r="F904" s="511"/>
      <c r="G904" s="161"/>
      <c r="H904" s="161"/>
      <c r="I904" s="161"/>
      <c r="J904" s="161"/>
      <c r="K904" s="161"/>
      <c r="L904" s="161"/>
      <c r="M904" s="161"/>
      <c r="N904" s="161"/>
      <c r="O904" s="161"/>
      <c r="P904" s="161"/>
      <c r="Q904" s="161"/>
      <c r="R904" s="161"/>
      <c r="S904" s="161"/>
      <c r="T904" s="161"/>
      <c r="U904" s="161"/>
      <c r="V904" s="161"/>
      <c r="W904" s="161"/>
      <c r="X904" s="161"/>
      <c r="Y904" s="161"/>
      <c r="Z904" s="161"/>
    </row>
    <row r="905">
      <c r="A905" s="18"/>
      <c r="B905" s="18"/>
      <c r="C905" s="18"/>
      <c r="D905" s="161"/>
      <c r="E905" s="161"/>
      <c r="F905" s="511"/>
      <c r="G905" s="161"/>
      <c r="H905" s="161"/>
      <c r="I905" s="161"/>
      <c r="J905" s="161"/>
      <c r="K905" s="161"/>
      <c r="L905" s="161"/>
      <c r="M905" s="161"/>
      <c r="N905" s="161"/>
      <c r="O905" s="161"/>
      <c r="P905" s="161"/>
      <c r="Q905" s="161"/>
      <c r="R905" s="161"/>
      <c r="S905" s="161"/>
      <c r="T905" s="161"/>
      <c r="U905" s="161"/>
      <c r="V905" s="161"/>
      <c r="W905" s="161"/>
      <c r="X905" s="161"/>
      <c r="Y905" s="161"/>
      <c r="Z905" s="161"/>
    </row>
    <row r="906">
      <c r="A906" s="18"/>
      <c r="B906" s="18"/>
      <c r="C906" s="18"/>
      <c r="D906" s="161"/>
      <c r="E906" s="161"/>
      <c r="F906" s="511"/>
      <c r="G906" s="161"/>
      <c r="H906" s="161"/>
      <c r="I906" s="161"/>
      <c r="J906" s="161"/>
      <c r="K906" s="161"/>
      <c r="L906" s="161"/>
      <c r="M906" s="161"/>
      <c r="N906" s="161"/>
      <c r="O906" s="161"/>
      <c r="P906" s="161"/>
      <c r="Q906" s="161"/>
      <c r="R906" s="161"/>
      <c r="S906" s="161"/>
      <c r="T906" s="161"/>
      <c r="U906" s="161"/>
      <c r="V906" s="161"/>
      <c r="W906" s="161"/>
      <c r="X906" s="161"/>
      <c r="Y906" s="161"/>
      <c r="Z906" s="161"/>
    </row>
    <row r="907">
      <c r="A907" s="18"/>
      <c r="B907" s="18"/>
      <c r="C907" s="18"/>
      <c r="D907" s="161"/>
      <c r="E907" s="161"/>
      <c r="F907" s="511"/>
      <c r="G907" s="161"/>
      <c r="H907" s="161"/>
      <c r="I907" s="161"/>
      <c r="J907" s="161"/>
      <c r="K907" s="161"/>
      <c r="L907" s="161"/>
      <c r="M907" s="161"/>
      <c r="N907" s="161"/>
      <c r="O907" s="161"/>
      <c r="P907" s="161"/>
      <c r="Q907" s="161"/>
      <c r="R907" s="161"/>
      <c r="S907" s="161"/>
      <c r="T907" s="161"/>
      <c r="U907" s="161"/>
      <c r="V907" s="161"/>
      <c r="W907" s="161"/>
      <c r="X907" s="161"/>
      <c r="Y907" s="161"/>
      <c r="Z907" s="161"/>
    </row>
    <row r="908">
      <c r="A908" s="18"/>
      <c r="B908" s="18"/>
      <c r="C908" s="18"/>
      <c r="D908" s="161"/>
      <c r="E908" s="161"/>
      <c r="F908" s="511"/>
      <c r="G908" s="161"/>
      <c r="H908" s="161"/>
      <c r="I908" s="161"/>
      <c r="J908" s="161"/>
      <c r="K908" s="161"/>
      <c r="L908" s="161"/>
      <c r="M908" s="161"/>
      <c r="N908" s="161"/>
      <c r="O908" s="161"/>
      <c r="P908" s="161"/>
      <c r="Q908" s="161"/>
      <c r="R908" s="161"/>
      <c r="S908" s="161"/>
      <c r="T908" s="161"/>
      <c r="U908" s="161"/>
      <c r="V908" s="161"/>
      <c r="W908" s="161"/>
      <c r="X908" s="161"/>
      <c r="Y908" s="161"/>
      <c r="Z908" s="161"/>
    </row>
    <row r="909">
      <c r="A909" s="18"/>
      <c r="B909" s="18"/>
      <c r="C909" s="18"/>
      <c r="D909" s="161"/>
      <c r="E909" s="161"/>
      <c r="F909" s="511"/>
      <c r="G909" s="161"/>
      <c r="H909" s="161"/>
      <c r="I909" s="161"/>
      <c r="J909" s="161"/>
      <c r="K909" s="161"/>
      <c r="L909" s="161"/>
      <c r="M909" s="161"/>
      <c r="N909" s="161"/>
      <c r="O909" s="161"/>
      <c r="P909" s="161"/>
      <c r="Q909" s="161"/>
      <c r="R909" s="161"/>
      <c r="S909" s="161"/>
      <c r="T909" s="161"/>
      <c r="U909" s="161"/>
      <c r="V909" s="161"/>
      <c r="W909" s="161"/>
      <c r="X909" s="161"/>
      <c r="Y909" s="161"/>
      <c r="Z909" s="161"/>
    </row>
    <row r="910">
      <c r="A910" s="18"/>
      <c r="B910" s="18"/>
      <c r="C910" s="18"/>
      <c r="D910" s="161"/>
      <c r="E910" s="161"/>
      <c r="F910" s="511"/>
      <c r="G910" s="161"/>
      <c r="H910" s="161"/>
      <c r="I910" s="161"/>
      <c r="J910" s="161"/>
      <c r="K910" s="161"/>
      <c r="L910" s="161"/>
      <c r="M910" s="161"/>
      <c r="N910" s="161"/>
      <c r="O910" s="161"/>
      <c r="P910" s="161"/>
      <c r="Q910" s="161"/>
      <c r="R910" s="161"/>
      <c r="S910" s="161"/>
      <c r="T910" s="161"/>
      <c r="U910" s="161"/>
      <c r="V910" s="161"/>
      <c r="W910" s="161"/>
      <c r="X910" s="161"/>
      <c r="Y910" s="161"/>
      <c r="Z910" s="161"/>
    </row>
    <row r="911">
      <c r="A911" s="18"/>
      <c r="B911" s="18"/>
      <c r="C911" s="18"/>
      <c r="D911" s="161"/>
      <c r="E911" s="161"/>
      <c r="F911" s="511"/>
      <c r="G911" s="161"/>
      <c r="H911" s="161"/>
      <c r="I911" s="161"/>
      <c r="J911" s="161"/>
      <c r="K911" s="161"/>
      <c r="L911" s="161"/>
      <c r="M911" s="161"/>
      <c r="N911" s="161"/>
      <c r="O911" s="161"/>
      <c r="P911" s="161"/>
      <c r="Q911" s="161"/>
      <c r="R911" s="161"/>
      <c r="S911" s="161"/>
      <c r="T911" s="161"/>
      <c r="U911" s="161"/>
      <c r="V911" s="161"/>
      <c r="W911" s="161"/>
      <c r="X911" s="161"/>
      <c r="Y911" s="161"/>
      <c r="Z911" s="161"/>
    </row>
    <row r="912">
      <c r="A912" s="18"/>
      <c r="B912" s="18"/>
      <c r="C912" s="18"/>
      <c r="D912" s="161"/>
      <c r="E912" s="161"/>
      <c r="F912" s="511"/>
      <c r="G912" s="161"/>
      <c r="H912" s="161"/>
      <c r="I912" s="161"/>
      <c r="J912" s="161"/>
      <c r="K912" s="161"/>
      <c r="L912" s="161"/>
      <c r="M912" s="161"/>
      <c r="N912" s="161"/>
      <c r="O912" s="161"/>
      <c r="P912" s="161"/>
      <c r="Q912" s="161"/>
      <c r="R912" s="161"/>
      <c r="S912" s="161"/>
      <c r="T912" s="161"/>
      <c r="U912" s="161"/>
      <c r="V912" s="161"/>
      <c r="W912" s="161"/>
      <c r="X912" s="161"/>
      <c r="Y912" s="161"/>
      <c r="Z912" s="161"/>
    </row>
    <row r="913">
      <c r="A913" s="18"/>
      <c r="B913" s="18"/>
      <c r="C913" s="18"/>
      <c r="D913" s="161"/>
      <c r="E913" s="161"/>
      <c r="F913" s="511"/>
      <c r="G913" s="161"/>
      <c r="H913" s="161"/>
      <c r="I913" s="161"/>
      <c r="J913" s="161"/>
      <c r="K913" s="161"/>
      <c r="L913" s="161"/>
      <c r="M913" s="161"/>
      <c r="N913" s="161"/>
      <c r="O913" s="161"/>
      <c r="P913" s="161"/>
      <c r="Q913" s="161"/>
      <c r="R913" s="161"/>
      <c r="S913" s="161"/>
      <c r="T913" s="161"/>
      <c r="U913" s="161"/>
      <c r="V913" s="161"/>
      <c r="W913" s="161"/>
      <c r="X913" s="161"/>
      <c r="Y913" s="161"/>
      <c r="Z913" s="161"/>
    </row>
    <row r="914">
      <c r="A914" s="18"/>
      <c r="B914" s="18"/>
      <c r="C914" s="18"/>
      <c r="D914" s="161"/>
      <c r="E914" s="161"/>
      <c r="F914" s="511"/>
      <c r="G914" s="161"/>
      <c r="H914" s="161"/>
      <c r="I914" s="161"/>
      <c r="J914" s="161"/>
      <c r="K914" s="161"/>
      <c r="L914" s="161"/>
      <c r="M914" s="161"/>
      <c r="N914" s="161"/>
      <c r="O914" s="161"/>
      <c r="P914" s="161"/>
      <c r="Q914" s="161"/>
      <c r="R914" s="161"/>
      <c r="S914" s="161"/>
      <c r="T914" s="161"/>
      <c r="U914" s="161"/>
      <c r="V914" s="161"/>
      <c r="W914" s="161"/>
      <c r="X914" s="161"/>
      <c r="Y914" s="161"/>
      <c r="Z914" s="161"/>
    </row>
    <row r="915">
      <c r="A915" s="18"/>
      <c r="B915" s="18"/>
      <c r="C915" s="18"/>
      <c r="D915" s="161"/>
      <c r="E915" s="161"/>
      <c r="F915" s="511"/>
      <c r="G915" s="161"/>
      <c r="H915" s="161"/>
      <c r="I915" s="161"/>
      <c r="J915" s="161"/>
      <c r="K915" s="161"/>
      <c r="L915" s="161"/>
      <c r="M915" s="161"/>
      <c r="N915" s="161"/>
      <c r="O915" s="161"/>
      <c r="P915" s="161"/>
      <c r="Q915" s="161"/>
      <c r="R915" s="161"/>
      <c r="S915" s="161"/>
      <c r="T915" s="161"/>
      <c r="U915" s="161"/>
      <c r="V915" s="161"/>
      <c r="W915" s="161"/>
      <c r="X915" s="161"/>
      <c r="Y915" s="161"/>
      <c r="Z915" s="161"/>
    </row>
    <row r="916">
      <c r="A916" s="18"/>
      <c r="B916" s="18"/>
      <c r="C916" s="18"/>
      <c r="D916" s="161"/>
      <c r="E916" s="161"/>
      <c r="F916" s="511"/>
      <c r="G916" s="161"/>
      <c r="H916" s="161"/>
      <c r="I916" s="161"/>
      <c r="J916" s="161"/>
      <c r="K916" s="161"/>
      <c r="L916" s="161"/>
      <c r="M916" s="161"/>
      <c r="N916" s="161"/>
      <c r="O916" s="161"/>
      <c r="P916" s="161"/>
      <c r="Q916" s="161"/>
      <c r="R916" s="161"/>
      <c r="S916" s="161"/>
      <c r="T916" s="161"/>
      <c r="U916" s="161"/>
      <c r="V916" s="161"/>
      <c r="W916" s="161"/>
      <c r="X916" s="161"/>
      <c r="Y916" s="161"/>
      <c r="Z916" s="161"/>
    </row>
    <row r="917">
      <c r="A917" s="18"/>
      <c r="B917" s="18"/>
      <c r="C917" s="18"/>
      <c r="D917" s="161"/>
      <c r="E917" s="161"/>
      <c r="F917" s="511"/>
      <c r="G917" s="161"/>
      <c r="H917" s="161"/>
      <c r="I917" s="161"/>
      <c r="J917" s="161"/>
      <c r="K917" s="161"/>
      <c r="L917" s="161"/>
      <c r="M917" s="161"/>
      <c r="N917" s="161"/>
      <c r="O917" s="161"/>
      <c r="P917" s="161"/>
      <c r="Q917" s="161"/>
      <c r="R917" s="161"/>
      <c r="S917" s="161"/>
      <c r="T917" s="161"/>
      <c r="U917" s="161"/>
      <c r="V917" s="161"/>
      <c r="W917" s="161"/>
      <c r="X917" s="161"/>
      <c r="Y917" s="161"/>
      <c r="Z917" s="161"/>
    </row>
    <row r="918">
      <c r="A918" s="18"/>
      <c r="B918" s="18"/>
      <c r="C918" s="18"/>
      <c r="D918" s="161"/>
      <c r="E918" s="161"/>
      <c r="F918" s="511"/>
      <c r="G918" s="161"/>
      <c r="H918" s="161"/>
      <c r="I918" s="161"/>
      <c r="J918" s="161"/>
      <c r="K918" s="161"/>
      <c r="L918" s="161"/>
      <c r="M918" s="161"/>
      <c r="N918" s="161"/>
      <c r="O918" s="161"/>
      <c r="P918" s="161"/>
      <c r="Q918" s="161"/>
      <c r="R918" s="161"/>
      <c r="S918" s="161"/>
      <c r="T918" s="161"/>
      <c r="U918" s="161"/>
      <c r="V918" s="161"/>
      <c r="W918" s="161"/>
      <c r="X918" s="161"/>
      <c r="Y918" s="161"/>
      <c r="Z918" s="161"/>
    </row>
    <row r="919">
      <c r="A919" s="18"/>
      <c r="B919" s="18"/>
      <c r="C919" s="18"/>
      <c r="D919" s="161"/>
      <c r="E919" s="161"/>
      <c r="F919" s="511"/>
      <c r="G919" s="161"/>
      <c r="H919" s="161"/>
      <c r="I919" s="161"/>
      <c r="J919" s="161"/>
      <c r="K919" s="161"/>
      <c r="L919" s="161"/>
      <c r="M919" s="161"/>
      <c r="N919" s="161"/>
      <c r="O919" s="161"/>
      <c r="P919" s="161"/>
      <c r="Q919" s="161"/>
      <c r="R919" s="161"/>
      <c r="S919" s="161"/>
      <c r="T919" s="161"/>
      <c r="U919" s="161"/>
      <c r="V919" s="161"/>
      <c r="W919" s="161"/>
      <c r="X919" s="161"/>
      <c r="Y919" s="161"/>
      <c r="Z919" s="161"/>
    </row>
    <row r="920">
      <c r="A920" s="18"/>
      <c r="B920" s="18"/>
      <c r="C920" s="18"/>
      <c r="D920" s="161"/>
      <c r="E920" s="161"/>
      <c r="F920" s="511"/>
      <c r="G920" s="161"/>
      <c r="H920" s="161"/>
      <c r="I920" s="161"/>
      <c r="J920" s="161"/>
      <c r="K920" s="161"/>
      <c r="L920" s="161"/>
      <c r="M920" s="161"/>
      <c r="N920" s="161"/>
      <c r="O920" s="161"/>
      <c r="P920" s="161"/>
      <c r="Q920" s="161"/>
      <c r="R920" s="161"/>
      <c r="S920" s="161"/>
      <c r="T920" s="161"/>
      <c r="U920" s="161"/>
      <c r="V920" s="161"/>
      <c r="W920" s="161"/>
      <c r="X920" s="161"/>
      <c r="Y920" s="161"/>
      <c r="Z920" s="161"/>
    </row>
    <row r="921">
      <c r="A921" s="18"/>
      <c r="B921" s="18"/>
      <c r="C921" s="18"/>
      <c r="D921" s="161"/>
      <c r="E921" s="161"/>
      <c r="F921" s="511"/>
      <c r="G921" s="161"/>
      <c r="H921" s="161"/>
      <c r="I921" s="161"/>
      <c r="J921" s="161"/>
      <c r="K921" s="161"/>
      <c r="L921" s="161"/>
      <c r="M921" s="161"/>
      <c r="N921" s="161"/>
      <c r="O921" s="161"/>
      <c r="P921" s="161"/>
      <c r="Q921" s="161"/>
      <c r="R921" s="161"/>
      <c r="S921" s="161"/>
      <c r="T921" s="161"/>
      <c r="U921" s="161"/>
      <c r="V921" s="161"/>
      <c r="W921" s="161"/>
      <c r="X921" s="161"/>
      <c r="Y921" s="161"/>
      <c r="Z921" s="161"/>
    </row>
    <row r="922">
      <c r="A922" s="18"/>
      <c r="B922" s="18"/>
      <c r="C922" s="18"/>
      <c r="D922" s="161"/>
      <c r="E922" s="161"/>
      <c r="F922" s="511"/>
      <c r="G922" s="161"/>
      <c r="H922" s="161"/>
      <c r="I922" s="161"/>
      <c r="J922" s="161"/>
      <c r="K922" s="161"/>
      <c r="L922" s="161"/>
      <c r="M922" s="161"/>
      <c r="N922" s="161"/>
      <c r="O922" s="161"/>
      <c r="P922" s="161"/>
      <c r="Q922" s="161"/>
      <c r="R922" s="161"/>
      <c r="S922" s="161"/>
      <c r="T922" s="161"/>
      <c r="U922" s="161"/>
      <c r="V922" s="161"/>
      <c r="W922" s="161"/>
      <c r="X922" s="161"/>
      <c r="Y922" s="161"/>
      <c r="Z922" s="161"/>
    </row>
    <row r="923">
      <c r="A923" s="18"/>
      <c r="B923" s="18"/>
      <c r="C923" s="18"/>
      <c r="D923" s="161"/>
      <c r="E923" s="161"/>
      <c r="F923" s="511"/>
      <c r="G923" s="161"/>
      <c r="H923" s="161"/>
      <c r="I923" s="161"/>
      <c r="J923" s="161"/>
      <c r="K923" s="161"/>
      <c r="L923" s="161"/>
      <c r="M923" s="161"/>
      <c r="N923" s="161"/>
      <c r="O923" s="161"/>
      <c r="P923" s="161"/>
      <c r="Q923" s="161"/>
      <c r="R923" s="161"/>
      <c r="S923" s="161"/>
      <c r="T923" s="161"/>
      <c r="U923" s="161"/>
      <c r="V923" s="161"/>
      <c r="W923" s="161"/>
      <c r="X923" s="161"/>
      <c r="Y923" s="161"/>
      <c r="Z923" s="161"/>
    </row>
    <row r="924">
      <c r="A924" s="18"/>
      <c r="B924" s="18"/>
      <c r="C924" s="18"/>
      <c r="D924" s="161"/>
      <c r="E924" s="161"/>
      <c r="F924" s="511"/>
      <c r="G924" s="161"/>
      <c r="H924" s="161"/>
      <c r="I924" s="161"/>
      <c r="J924" s="161"/>
      <c r="K924" s="161"/>
      <c r="L924" s="161"/>
      <c r="M924" s="161"/>
      <c r="N924" s="161"/>
      <c r="O924" s="161"/>
      <c r="P924" s="161"/>
      <c r="Q924" s="161"/>
      <c r="R924" s="161"/>
      <c r="S924" s="161"/>
      <c r="T924" s="161"/>
      <c r="U924" s="161"/>
      <c r="V924" s="161"/>
      <c r="W924" s="161"/>
      <c r="X924" s="161"/>
      <c r="Y924" s="161"/>
      <c r="Z924" s="161"/>
    </row>
    <row r="925">
      <c r="A925" s="18"/>
      <c r="B925" s="18"/>
      <c r="C925" s="18"/>
      <c r="D925" s="161"/>
      <c r="E925" s="161"/>
      <c r="F925" s="511"/>
      <c r="G925" s="161"/>
      <c r="H925" s="161"/>
      <c r="I925" s="161"/>
      <c r="J925" s="161"/>
      <c r="K925" s="161"/>
      <c r="L925" s="161"/>
      <c r="M925" s="161"/>
      <c r="N925" s="161"/>
      <c r="O925" s="161"/>
      <c r="P925" s="161"/>
      <c r="Q925" s="161"/>
      <c r="R925" s="161"/>
      <c r="S925" s="161"/>
      <c r="T925" s="161"/>
      <c r="U925" s="161"/>
      <c r="V925" s="161"/>
      <c r="W925" s="161"/>
      <c r="X925" s="161"/>
      <c r="Y925" s="161"/>
      <c r="Z925" s="161"/>
    </row>
    <row r="926">
      <c r="A926" s="18"/>
      <c r="B926" s="18"/>
      <c r="C926" s="18"/>
      <c r="D926" s="161"/>
      <c r="E926" s="161"/>
      <c r="F926" s="511"/>
      <c r="G926" s="161"/>
      <c r="H926" s="161"/>
      <c r="I926" s="161"/>
      <c r="J926" s="161"/>
      <c r="K926" s="161"/>
      <c r="L926" s="161"/>
      <c r="M926" s="161"/>
      <c r="N926" s="161"/>
      <c r="O926" s="161"/>
      <c r="P926" s="161"/>
      <c r="Q926" s="161"/>
      <c r="R926" s="161"/>
      <c r="S926" s="161"/>
      <c r="T926" s="161"/>
      <c r="U926" s="161"/>
      <c r="V926" s="161"/>
      <c r="W926" s="161"/>
      <c r="X926" s="161"/>
      <c r="Y926" s="161"/>
      <c r="Z926" s="161"/>
    </row>
    <row r="927">
      <c r="A927" s="18"/>
      <c r="B927" s="18"/>
      <c r="C927" s="18"/>
      <c r="D927" s="161"/>
      <c r="E927" s="161"/>
      <c r="F927" s="511"/>
      <c r="G927" s="161"/>
      <c r="H927" s="161"/>
      <c r="I927" s="161"/>
      <c r="J927" s="161"/>
      <c r="K927" s="161"/>
      <c r="L927" s="161"/>
      <c r="M927" s="161"/>
      <c r="N927" s="161"/>
      <c r="O927" s="161"/>
      <c r="P927" s="161"/>
      <c r="Q927" s="161"/>
      <c r="R927" s="161"/>
      <c r="S927" s="161"/>
      <c r="T927" s="161"/>
      <c r="U927" s="161"/>
      <c r="V927" s="161"/>
      <c r="W927" s="161"/>
      <c r="X927" s="161"/>
      <c r="Y927" s="161"/>
      <c r="Z927" s="161"/>
    </row>
    <row r="928">
      <c r="A928" s="18"/>
      <c r="B928" s="18"/>
      <c r="C928" s="18"/>
      <c r="D928" s="161"/>
      <c r="E928" s="161"/>
      <c r="F928" s="511"/>
      <c r="G928" s="161"/>
      <c r="H928" s="161"/>
      <c r="I928" s="161"/>
      <c r="J928" s="161"/>
      <c r="K928" s="161"/>
      <c r="L928" s="161"/>
      <c r="M928" s="161"/>
      <c r="N928" s="161"/>
      <c r="O928" s="161"/>
      <c r="P928" s="161"/>
      <c r="Q928" s="161"/>
      <c r="R928" s="161"/>
      <c r="S928" s="161"/>
      <c r="T928" s="161"/>
      <c r="U928" s="161"/>
      <c r="V928" s="161"/>
      <c r="W928" s="161"/>
      <c r="X928" s="161"/>
      <c r="Y928" s="161"/>
      <c r="Z928" s="161"/>
    </row>
    <row r="929">
      <c r="A929" s="18"/>
      <c r="B929" s="18"/>
      <c r="C929" s="18"/>
      <c r="D929" s="161"/>
      <c r="E929" s="161"/>
      <c r="F929" s="511"/>
      <c r="G929" s="161"/>
      <c r="H929" s="161"/>
      <c r="I929" s="161"/>
      <c r="J929" s="161"/>
      <c r="K929" s="161"/>
      <c r="L929" s="161"/>
      <c r="M929" s="161"/>
      <c r="N929" s="161"/>
      <c r="O929" s="161"/>
      <c r="P929" s="161"/>
      <c r="Q929" s="161"/>
      <c r="R929" s="161"/>
      <c r="S929" s="161"/>
      <c r="T929" s="161"/>
      <c r="U929" s="161"/>
      <c r="V929" s="161"/>
      <c r="W929" s="161"/>
      <c r="X929" s="161"/>
      <c r="Y929" s="161"/>
      <c r="Z929" s="161"/>
    </row>
    <row r="930">
      <c r="A930" s="18"/>
      <c r="B930" s="18"/>
      <c r="C930" s="18"/>
      <c r="D930" s="161"/>
      <c r="E930" s="161"/>
      <c r="F930" s="511"/>
      <c r="G930" s="161"/>
      <c r="H930" s="161"/>
      <c r="I930" s="161"/>
      <c r="J930" s="161"/>
      <c r="K930" s="161"/>
      <c r="L930" s="161"/>
      <c r="M930" s="161"/>
      <c r="N930" s="161"/>
      <c r="O930" s="161"/>
      <c r="P930" s="161"/>
      <c r="Q930" s="161"/>
      <c r="R930" s="161"/>
      <c r="S930" s="161"/>
      <c r="T930" s="161"/>
      <c r="U930" s="161"/>
      <c r="V930" s="161"/>
      <c r="W930" s="161"/>
      <c r="X930" s="161"/>
      <c r="Y930" s="161"/>
      <c r="Z930" s="161"/>
    </row>
    <row r="931">
      <c r="A931" s="18"/>
      <c r="B931" s="18"/>
      <c r="C931" s="18"/>
      <c r="D931" s="161"/>
      <c r="E931" s="161"/>
      <c r="F931" s="511"/>
      <c r="G931" s="161"/>
      <c r="H931" s="161"/>
      <c r="I931" s="161"/>
      <c r="J931" s="161"/>
      <c r="K931" s="161"/>
      <c r="L931" s="161"/>
      <c r="M931" s="161"/>
      <c r="N931" s="161"/>
      <c r="O931" s="161"/>
      <c r="P931" s="161"/>
      <c r="Q931" s="161"/>
      <c r="R931" s="161"/>
      <c r="S931" s="161"/>
      <c r="T931" s="161"/>
      <c r="U931" s="161"/>
      <c r="V931" s="161"/>
      <c r="W931" s="161"/>
      <c r="X931" s="161"/>
      <c r="Y931" s="161"/>
      <c r="Z931" s="161"/>
    </row>
    <row r="932">
      <c r="A932" s="18"/>
      <c r="B932" s="18"/>
      <c r="C932" s="18"/>
      <c r="D932" s="161"/>
      <c r="E932" s="161"/>
      <c r="F932" s="511"/>
      <c r="G932" s="161"/>
      <c r="H932" s="161"/>
      <c r="I932" s="161"/>
      <c r="J932" s="161"/>
      <c r="K932" s="161"/>
      <c r="L932" s="161"/>
      <c r="M932" s="161"/>
      <c r="N932" s="161"/>
      <c r="O932" s="161"/>
      <c r="P932" s="161"/>
      <c r="Q932" s="161"/>
      <c r="R932" s="161"/>
      <c r="S932" s="161"/>
      <c r="T932" s="161"/>
      <c r="U932" s="161"/>
      <c r="V932" s="161"/>
      <c r="W932" s="161"/>
      <c r="X932" s="161"/>
      <c r="Y932" s="161"/>
      <c r="Z932" s="161"/>
    </row>
    <row r="933">
      <c r="A933" s="18"/>
      <c r="B933" s="18"/>
      <c r="C933" s="18"/>
      <c r="D933" s="161"/>
      <c r="E933" s="161"/>
      <c r="F933" s="511"/>
      <c r="G933" s="161"/>
      <c r="H933" s="161"/>
      <c r="I933" s="161"/>
      <c r="J933" s="161"/>
      <c r="K933" s="161"/>
      <c r="L933" s="161"/>
      <c r="M933" s="161"/>
      <c r="N933" s="161"/>
      <c r="O933" s="161"/>
      <c r="P933" s="161"/>
      <c r="Q933" s="161"/>
      <c r="R933" s="161"/>
      <c r="S933" s="161"/>
      <c r="T933" s="161"/>
      <c r="U933" s="161"/>
      <c r="V933" s="161"/>
      <c r="W933" s="161"/>
      <c r="X933" s="161"/>
      <c r="Y933" s="161"/>
      <c r="Z933" s="161"/>
    </row>
    <row r="934">
      <c r="A934" s="18"/>
      <c r="B934" s="18"/>
      <c r="C934" s="18"/>
      <c r="D934" s="161"/>
      <c r="E934" s="161"/>
      <c r="F934" s="511"/>
      <c r="G934" s="161"/>
      <c r="H934" s="161"/>
      <c r="I934" s="161"/>
      <c r="J934" s="161"/>
      <c r="K934" s="161"/>
      <c r="L934" s="161"/>
      <c r="M934" s="161"/>
      <c r="N934" s="161"/>
      <c r="O934" s="161"/>
      <c r="P934" s="161"/>
      <c r="Q934" s="161"/>
      <c r="R934" s="161"/>
      <c r="S934" s="161"/>
      <c r="T934" s="161"/>
      <c r="U934" s="161"/>
      <c r="V934" s="161"/>
      <c r="W934" s="161"/>
      <c r="X934" s="161"/>
      <c r="Y934" s="161"/>
      <c r="Z934" s="161"/>
    </row>
    <row r="935">
      <c r="A935" s="18"/>
      <c r="B935" s="18"/>
      <c r="C935" s="18"/>
      <c r="D935" s="161"/>
      <c r="E935" s="161"/>
      <c r="F935" s="511"/>
      <c r="G935" s="161"/>
      <c r="H935" s="161"/>
      <c r="I935" s="161"/>
      <c r="J935" s="161"/>
      <c r="K935" s="161"/>
      <c r="L935" s="161"/>
      <c r="M935" s="161"/>
      <c r="N935" s="161"/>
      <c r="O935" s="161"/>
      <c r="P935" s="161"/>
      <c r="Q935" s="161"/>
      <c r="R935" s="161"/>
      <c r="S935" s="161"/>
      <c r="T935" s="161"/>
      <c r="U935" s="161"/>
      <c r="V935" s="161"/>
      <c r="W935" s="161"/>
      <c r="X935" s="161"/>
      <c r="Y935" s="161"/>
      <c r="Z935" s="161"/>
    </row>
    <row r="936">
      <c r="A936" s="18"/>
      <c r="B936" s="18"/>
      <c r="C936" s="18"/>
      <c r="D936" s="161"/>
      <c r="E936" s="161"/>
      <c r="F936" s="511"/>
      <c r="G936" s="161"/>
      <c r="H936" s="161"/>
      <c r="I936" s="161"/>
      <c r="J936" s="161"/>
      <c r="K936" s="161"/>
      <c r="L936" s="161"/>
      <c r="M936" s="161"/>
      <c r="N936" s="161"/>
      <c r="O936" s="161"/>
      <c r="P936" s="161"/>
      <c r="Q936" s="161"/>
      <c r="R936" s="161"/>
      <c r="S936" s="161"/>
      <c r="T936" s="161"/>
      <c r="U936" s="161"/>
      <c r="V936" s="161"/>
      <c r="W936" s="161"/>
      <c r="X936" s="161"/>
      <c r="Y936" s="161"/>
      <c r="Z936" s="161"/>
    </row>
    <row r="937">
      <c r="A937" s="18"/>
      <c r="B937" s="18"/>
      <c r="C937" s="18"/>
      <c r="D937" s="161"/>
      <c r="E937" s="161"/>
      <c r="F937" s="511"/>
      <c r="G937" s="161"/>
      <c r="H937" s="161"/>
      <c r="I937" s="161"/>
      <c r="J937" s="161"/>
      <c r="K937" s="161"/>
      <c r="L937" s="161"/>
      <c r="M937" s="161"/>
      <c r="N937" s="161"/>
      <c r="O937" s="161"/>
      <c r="P937" s="161"/>
      <c r="Q937" s="161"/>
      <c r="R937" s="161"/>
      <c r="S937" s="161"/>
      <c r="T937" s="161"/>
      <c r="U937" s="161"/>
      <c r="V937" s="161"/>
      <c r="W937" s="161"/>
      <c r="X937" s="161"/>
      <c r="Y937" s="161"/>
      <c r="Z937" s="161"/>
    </row>
    <row r="938">
      <c r="A938" s="18"/>
      <c r="B938" s="18"/>
      <c r="C938" s="18"/>
      <c r="D938" s="161"/>
      <c r="E938" s="161"/>
      <c r="F938" s="511"/>
      <c r="G938" s="161"/>
      <c r="H938" s="161"/>
      <c r="I938" s="161"/>
      <c r="J938" s="161"/>
      <c r="K938" s="161"/>
      <c r="L938" s="161"/>
      <c r="M938" s="161"/>
      <c r="N938" s="161"/>
      <c r="O938" s="161"/>
      <c r="P938" s="161"/>
      <c r="Q938" s="161"/>
      <c r="R938" s="161"/>
      <c r="S938" s="161"/>
      <c r="T938" s="161"/>
      <c r="U938" s="161"/>
      <c r="V938" s="161"/>
      <c r="W938" s="161"/>
      <c r="X938" s="161"/>
      <c r="Y938" s="161"/>
      <c r="Z938" s="161"/>
    </row>
    <row r="939">
      <c r="A939" s="18"/>
      <c r="B939" s="18"/>
      <c r="C939" s="18"/>
      <c r="D939" s="161"/>
      <c r="E939" s="161"/>
      <c r="F939" s="511"/>
      <c r="G939" s="161"/>
      <c r="H939" s="161"/>
      <c r="I939" s="161"/>
      <c r="J939" s="161"/>
      <c r="K939" s="161"/>
      <c r="L939" s="161"/>
      <c r="M939" s="161"/>
      <c r="N939" s="161"/>
      <c r="O939" s="161"/>
      <c r="P939" s="161"/>
      <c r="Q939" s="161"/>
      <c r="R939" s="161"/>
      <c r="S939" s="161"/>
      <c r="T939" s="161"/>
      <c r="U939" s="161"/>
      <c r="V939" s="161"/>
      <c r="W939" s="161"/>
      <c r="X939" s="161"/>
      <c r="Y939" s="161"/>
      <c r="Z939" s="161"/>
    </row>
    <row r="940">
      <c r="A940" s="18"/>
      <c r="B940" s="18"/>
      <c r="C940" s="18"/>
      <c r="D940" s="161"/>
      <c r="E940" s="161"/>
      <c r="F940" s="511"/>
      <c r="G940" s="161"/>
      <c r="H940" s="161"/>
      <c r="I940" s="161"/>
      <c r="J940" s="161"/>
      <c r="K940" s="161"/>
      <c r="L940" s="161"/>
      <c r="M940" s="161"/>
      <c r="N940" s="161"/>
      <c r="O940" s="161"/>
      <c r="P940" s="161"/>
      <c r="Q940" s="161"/>
      <c r="R940" s="161"/>
      <c r="S940" s="161"/>
      <c r="T940" s="161"/>
      <c r="U940" s="161"/>
      <c r="V940" s="161"/>
      <c r="W940" s="161"/>
      <c r="X940" s="161"/>
      <c r="Y940" s="161"/>
      <c r="Z940" s="161"/>
    </row>
    <row r="941">
      <c r="A941" s="18"/>
      <c r="B941" s="18"/>
      <c r="C941" s="18"/>
      <c r="D941" s="161"/>
      <c r="E941" s="161"/>
      <c r="F941" s="511"/>
      <c r="G941" s="161"/>
      <c r="H941" s="161"/>
      <c r="I941" s="161"/>
      <c r="J941" s="161"/>
      <c r="K941" s="161"/>
      <c r="L941" s="161"/>
      <c r="M941" s="161"/>
      <c r="N941" s="161"/>
      <c r="O941" s="161"/>
      <c r="P941" s="161"/>
      <c r="Q941" s="161"/>
      <c r="R941" s="161"/>
      <c r="S941" s="161"/>
      <c r="T941" s="161"/>
      <c r="U941" s="161"/>
      <c r="V941" s="161"/>
      <c r="W941" s="161"/>
      <c r="X941" s="161"/>
      <c r="Y941" s="161"/>
      <c r="Z941" s="161"/>
    </row>
    <row r="942">
      <c r="A942" s="18"/>
      <c r="B942" s="18"/>
      <c r="C942" s="18"/>
      <c r="D942" s="161"/>
      <c r="E942" s="161"/>
      <c r="F942" s="511"/>
      <c r="G942" s="161"/>
      <c r="H942" s="161"/>
      <c r="I942" s="161"/>
      <c r="J942" s="161"/>
      <c r="K942" s="161"/>
      <c r="L942" s="161"/>
      <c r="M942" s="161"/>
      <c r="N942" s="161"/>
      <c r="O942" s="161"/>
      <c r="P942" s="161"/>
      <c r="Q942" s="161"/>
      <c r="R942" s="161"/>
      <c r="S942" s="161"/>
      <c r="T942" s="161"/>
      <c r="U942" s="161"/>
      <c r="V942" s="161"/>
      <c r="W942" s="161"/>
      <c r="X942" s="161"/>
      <c r="Y942" s="161"/>
      <c r="Z942" s="161"/>
    </row>
    <row r="943">
      <c r="A943" s="18"/>
      <c r="B943" s="18"/>
      <c r="C943" s="18"/>
      <c r="D943" s="161"/>
      <c r="E943" s="161"/>
      <c r="F943" s="511"/>
      <c r="G943" s="161"/>
      <c r="H943" s="161"/>
      <c r="I943" s="161"/>
      <c r="J943" s="161"/>
      <c r="K943" s="161"/>
      <c r="L943" s="161"/>
      <c r="M943" s="161"/>
      <c r="N943" s="161"/>
      <c r="O943" s="161"/>
      <c r="P943" s="161"/>
      <c r="Q943" s="161"/>
      <c r="R943" s="161"/>
      <c r="S943" s="161"/>
      <c r="T943" s="161"/>
      <c r="U943" s="161"/>
      <c r="V943" s="161"/>
      <c r="W943" s="161"/>
      <c r="X943" s="161"/>
      <c r="Y943" s="161"/>
      <c r="Z943" s="161"/>
    </row>
    <row r="944">
      <c r="A944" s="18"/>
      <c r="B944" s="18"/>
      <c r="C944" s="18"/>
      <c r="D944" s="161"/>
      <c r="E944" s="161"/>
      <c r="F944" s="511"/>
      <c r="G944" s="161"/>
      <c r="H944" s="161"/>
      <c r="I944" s="161"/>
      <c r="J944" s="161"/>
      <c r="K944" s="161"/>
      <c r="L944" s="161"/>
      <c r="M944" s="161"/>
      <c r="N944" s="161"/>
      <c r="O944" s="161"/>
      <c r="P944" s="161"/>
      <c r="Q944" s="161"/>
      <c r="R944" s="161"/>
      <c r="S944" s="161"/>
      <c r="T944" s="161"/>
      <c r="U944" s="161"/>
      <c r="V944" s="161"/>
      <c r="W944" s="161"/>
      <c r="X944" s="161"/>
      <c r="Y944" s="161"/>
      <c r="Z944" s="161"/>
    </row>
    <row r="945">
      <c r="A945" s="18"/>
      <c r="B945" s="18"/>
      <c r="C945" s="18"/>
      <c r="D945" s="161"/>
      <c r="E945" s="161"/>
      <c r="F945" s="511"/>
      <c r="G945" s="161"/>
      <c r="H945" s="161"/>
      <c r="I945" s="161"/>
      <c r="J945" s="161"/>
      <c r="K945" s="161"/>
      <c r="L945" s="161"/>
      <c r="M945" s="161"/>
      <c r="N945" s="161"/>
      <c r="O945" s="161"/>
      <c r="P945" s="161"/>
      <c r="Q945" s="161"/>
      <c r="R945" s="161"/>
      <c r="S945" s="161"/>
      <c r="T945" s="161"/>
      <c r="U945" s="161"/>
      <c r="V945" s="161"/>
      <c r="W945" s="161"/>
      <c r="X945" s="161"/>
      <c r="Y945" s="161"/>
      <c r="Z945" s="161"/>
    </row>
    <row r="946">
      <c r="A946" s="18"/>
      <c r="B946" s="18"/>
      <c r="C946" s="18"/>
      <c r="D946" s="161"/>
      <c r="E946" s="161"/>
      <c r="F946" s="511"/>
      <c r="G946" s="161"/>
      <c r="H946" s="161"/>
      <c r="I946" s="161"/>
      <c r="J946" s="161"/>
      <c r="K946" s="161"/>
      <c r="L946" s="161"/>
      <c r="M946" s="161"/>
      <c r="N946" s="161"/>
      <c r="O946" s="161"/>
      <c r="P946" s="161"/>
      <c r="Q946" s="161"/>
      <c r="R946" s="161"/>
      <c r="S946" s="161"/>
      <c r="T946" s="161"/>
      <c r="U946" s="161"/>
      <c r="V946" s="161"/>
      <c r="W946" s="161"/>
      <c r="X946" s="161"/>
      <c r="Y946" s="161"/>
      <c r="Z946" s="161"/>
    </row>
    <row r="947">
      <c r="A947" s="18"/>
      <c r="B947" s="18"/>
      <c r="C947" s="18"/>
      <c r="D947" s="161"/>
      <c r="E947" s="161"/>
      <c r="F947" s="511"/>
      <c r="G947" s="161"/>
      <c r="H947" s="161"/>
      <c r="I947" s="161"/>
      <c r="J947" s="161"/>
      <c r="K947" s="161"/>
      <c r="L947" s="161"/>
      <c r="M947" s="161"/>
      <c r="N947" s="161"/>
      <c r="O947" s="161"/>
      <c r="P947" s="161"/>
      <c r="Q947" s="161"/>
      <c r="R947" s="161"/>
      <c r="S947" s="161"/>
      <c r="T947" s="161"/>
      <c r="U947" s="161"/>
      <c r="V947" s="161"/>
      <c r="W947" s="161"/>
      <c r="X947" s="161"/>
      <c r="Y947" s="161"/>
      <c r="Z947" s="161"/>
    </row>
    <row r="948">
      <c r="A948" s="18"/>
      <c r="B948" s="18"/>
      <c r="C948" s="18"/>
      <c r="D948" s="161"/>
      <c r="E948" s="161"/>
      <c r="F948" s="511"/>
      <c r="G948" s="161"/>
      <c r="H948" s="161"/>
      <c r="I948" s="161"/>
      <c r="J948" s="161"/>
      <c r="K948" s="161"/>
      <c r="L948" s="161"/>
      <c r="M948" s="161"/>
      <c r="N948" s="161"/>
      <c r="O948" s="161"/>
      <c r="P948" s="161"/>
      <c r="Q948" s="161"/>
      <c r="R948" s="161"/>
      <c r="S948" s="161"/>
      <c r="T948" s="161"/>
      <c r="U948" s="161"/>
      <c r="V948" s="161"/>
      <c r="W948" s="161"/>
      <c r="X948" s="161"/>
      <c r="Y948" s="161"/>
      <c r="Z948" s="161"/>
    </row>
    <row r="949">
      <c r="A949" s="18"/>
      <c r="B949" s="18"/>
      <c r="C949" s="18"/>
      <c r="D949" s="161"/>
      <c r="E949" s="161"/>
      <c r="F949" s="511"/>
      <c r="G949" s="161"/>
      <c r="H949" s="161"/>
      <c r="I949" s="161"/>
      <c r="J949" s="161"/>
      <c r="K949" s="161"/>
      <c r="L949" s="161"/>
      <c r="M949" s="161"/>
      <c r="N949" s="161"/>
      <c r="O949" s="161"/>
      <c r="P949" s="161"/>
      <c r="Q949" s="161"/>
      <c r="R949" s="161"/>
      <c r="S949" s="161"/>
      <c r="T949" s="161"/>
      <c r="U949" s="161"/>
      <c r="V949" s="161"/>
      <c r="W949" s="161"/>
      <c r="X949" s="161"/>
      <c r="Y949" s="161"/>
      <c r="Z949" s="161"/>
    </row>
    <row r="950">
      <c r="A950" s="18"/>
      <c r="B950" s="18"/>
      <c r="C950" s="18"/>
      <c r="D950" s="161"/>
      <c r="E950" s="161"/>
      <c r="F950" s="511"/>
      <c r="G950" s="161"/>
      <c r="H950" s="161"/>
      <c r="I950" s="161"/>
      <c r="J950" s="161"/>
      <c r="K950" s="161"/>
      <c r="L950" s="161"/>
      <c r="M950" s="161"/>
      <c r="N950" s="161"/>
      <c r="O950" s="161"/>
      <c r="P950" s="161"/>
      <c r="Q950" s="161"/>
      <c r="R950" s="161"/>
      <c r="S950" s="161"/>
      <c r="T950" s="161"/>
      <c r="U950" s="161"/>
      <c r="V950" s="161"/>
      <c r="W950" s="161"/>
      <c r="X950" s="161"/>
      <c r="Y950" s="161"/>
      <c r="Z950" s="161"/>
    </row>
    <row r="951">
      <c r="A951" s="18"/>
      <c r="B951" s="18"/>
      <c r="C951" s="18"/>
      <c r="D951" s="161"/>
      <c r="E951" s="161"/>
      <c r="F951" s="511"/>
      <c r="G951" s="161"/>
      <c r="H951" s="161"/>
      <c r="I951" s="161"/>
      <c r="J951" s="161"/>
      <c r="K951" s="161"/>
      <c r="L951" s="161"/>
      <c r="M951" s="161"/>
      <c r="N951" s="161"/>
      <c r="O951" s="161"/>
      <c r="P951" s="161"/>
      <c r="Q951" s="161"/>
      <c r="R951" s="161"/>
      <c r="S951" s="161"/>
      <c r="T951" s="161"/>
      <c r="U951" s="161"/>
      <c r="V951" s="161"/>
      <c r="W951" s="161"/>
      <c r="X951" s="161"/>
      <c r="Y951" s="161"/>
      <c r="Z951" s="161"/>
    </row>
    <row r="952">
      <c r="A952" s="18"/>
      <c r="B952" s="18"/>
      <c r="C952" s="18"/>
      <c r="D952" s="161"/>
      <c r="E952" s="161"/>
      <c r="F952" s="511"/>
      <c r="G952" s="161"/>
      <c r="H952" s="161"/>
      <c r="I952" s="161"/>
      <c r="J952" s="161"/>
      <c r="K952" s="161"/>
      <c r="L952" s="161"/>
      <c r="M952" s="161"/>
      <c r="N952" s="161"/>
      <c r="O952" s="161"/>
      <c r="P952" s="161"/>
      <c r="Q952" s="161"/>
      <c r="R952" s="161"/>
      <c r="S952" s="161"/>
      <c r="T952" s="161"/>
      <c r="U952" s="161"/>
      <c r="V952" s="161"/>
      <c r="W952" s="161"/>
      <c r="X952" s="161"/>
      <c r="Y952" s="161"/>
      <c r="Z952" s="161"/>
    </row>
    <row r="953">
      <c r="A953" s="18"/>
      <c r="B953" s="18"/>
      <c r="C953" s="18"/>
      <c r="D953" s="161"/>
      <c r="E953" s="161"/>
      <c r="F953" s="511"/>
      <c r="G953" s="161"/>
      <c r="H953" s="161"/>
      <c r="I953" s="161"/>
      <c r="J953" s="161"/>
      <c r="K953" s="161"/>
      <c r="L953" s="161"/>
      <c r="M953" s="161"/>
      <c r="N953" s="161"/>
      <c r="O953" s="161"/>
      <c r="P953" s="161"/>
      <c r="Q953" s="161"/>
      <c r="R953" s="161"/>
      <c r="S953" s="161"/>
      <c r="T953" s="161"/>
      <c r="U953" s="161"/>
      <c r="V953" s="161"/>
      <c r="W953" s="161"/>
      <c r="X953" s="161"/>
      <c r="Y953" s="161"/>
      <c r="Z953" s="161"/>
    </row>
    <row r="954">
      <c r="A954" s="18"/>
      <c r="B954" s="18"/>
      <c r="C954" s="18"/>
      <c r="D954" s="161"/>
      <c r="E954" s="161"/>
      <c r="F954" s="511"/>
      <c r="G954" s="161"/>
      <c r="H954" s="161"/>
      <c r="I954" s="161"/>
      <c r="J954" s="161"/>
      <c r="K954" s="161"/>
      <c r="L954" s="161"/>
      <c r="M954" s="161"/>
      <c r="N954" s="161"/>
      <c r="O954" s="161"/>
      <c r="P954" s="161"/>
      <c r="Q954" s="161"/>
      <c r="R954" s="161"/>
      <c r="S954" s="161"/>
      <c r="T954" s="161"/>
      <c r="U954" s="161"/>
      <c r="V954" s="161"/>
      <c r="W954" s="161"/>
      <c r="X954" s="161"/>
      <c r="Y954" s="161"/>
      <c r="Z954" s="161"/>
    </row>
    <row r="955">
      <c r="A955" s="18"/>
      <c r="B955" s="18"/>
      <c r="C955" s="18"/>
      <c r="D955" s="161"/>
      <c r="E955" s="161"/>
      <c r="F955" s="511"/>
      <c r="G955" s="161"/>
      <c r="H955" s="161"/>
      <c r="I955" s="161"/>
      <c r="J955" s="161"/>
      <c r="K955" s="161"/>
      <c r="L955" s="161"/>
      <c r="M955" s="161"/>
      <c r="N955" s="161"/>
      <c r="O955" s="161"/>
      <c r="P955" s="161"/>
      <c r="Q955" s="161"/>
      <c r="R955" s="161"/>
      <c r="S955" s="161"/>
      <c r="T955" s="161"/>
      <c r="U955" s="161"/>
      <c r="V955" s="161"/>
      <c r="W955" s="161"/>
      <c r="X955" s="161"/>
      <c r="Y955" s="161"/>
      <c r="Z955" s="161"/>
    </row>
    <row r="956">
      <c r="A956" s="18"/>
      <c r="B956" s="18"/>
      <c r="C956" s="18"/>
      <c r="D956" s="161"/>
      <c r="E956" s="161"/>
      <c r="F956" s="511"/>
      <c r="G956" s="161"/>
      <c r="H956" s="161"/>
      <c r="I956" s="161"/>
      <c r="J956" s="161"/>
      <c r="K956" s="161"/>
      <c r="L956" s="161"/>
      <c r="M956" s="161"/>
      <c r="N956" s="161"/>
      <c r="O956" s="161"/>
      <c r="P956" s="161"/>
      <c r="Q956" s="161"/>
      <c r="R956" s="161"/>
      <c r="S956" s="161"/>
      <c r="T956" s="161"/>
      <c r="U956" s="161"/>
      <c r="V956" s="161"/>
      <c r="W956" s="161"/>
      <c r="X956" s="161"/>
      <c r="Y956" s="161"/>
      <c r="Z956" s="161"/>
    </row>
    <row r="957">
      <c r="A957" s="18"/>
      <c r="B957" s="18"/>
      <c r="C957" s="18"/>
      <c r="D957" s="161"/>
      <c r="E957" s="161"/>
      <c r="F957" s="511"/>
      <c r="G957" s="161"/>
      <c r="H957" s="161"/>
      <c r="I957" s="161"/>
      <c r="J957" s="161"/>
      <c r="K957" s="161"/>
      <c r="L957" s="161"/>
      <c r="M957" s="161"/>
      <c r="N957" s="161"/>
      <c r="O957" s="161"/>
      <c r="P957" s="161"/>
      <c r="Q957" s="161"/>
      <c r="R957" s="161"/>
      <c r="S957" s="161"/>
      <c r="T957" s="161"/>
      <c r="U957" s="161"/>
      <c r="V957" s="161"/>
      <c r="W957" s="161"/>
      <c r="X957" s="161"/>
      <c r="Y957" s="161"/>
      <c r="Z957" s="161"/>
    </row>
    <row r="958">
      <c r="A958" s="18"/>
      <c r="B958" s="18"/>
      <c r="C958" s="18"/>
      <c r="D958" s="161"/>
      <c r="E958" s="161"/>
      <c r="F958" s="511"/>
      <c r="G958" s="161"/>
      <c r="H958" s="161"/>
      <c r="I958" s="161"/>
      <c r="J958" s="161"/>
      <c r="K958" s="161"/>
      <c r="L958" s="161"/>
      <c r="M958" s="161"/>
      <c r="N958" s="161"/>
      <c r="O958" s="161"/>
      <c r="P958" s="161"/>
      <c r="Q958" s="161"/>
      <c r="R958" s="161"/>
      <c r="S958" s="161"/>
      <c r="T958" s="161"/>
      <c r="U958" s="161"/>
      <c r="V958" s="161"/>
      <c r="W958" s="161"/>
      <c r="X958" s="161"/>
      <c r="Y958" s="161"/>
      <c r="Z958" s="161"/>
    </row>
    <row r="959">
      <c r="A959" s="18"/>
      <c r="B959" s="18"/>
      <c r="C959" s="18"/>
      <c r="D959" s="161"/>
      <c r="E959" s="161"/>
      <c r="F959" s="511"/>
      <c r="G959" s="161"/>
      <c r="H959" s="161"/>
      <c r="I959" s="161"/>
      <c r="J959" s="161"/>
      <c r="K959" s="161"/>
      <c r="L959" s="161"/>
      <c r="M959" s="161"/>
      <c r="N959" s="161"/>
      <c r="O959" s="161"/>
      <c r="P959" s="161"/>
      <c r="Q959" s="161"/>
      <c r="R959" s="161"/>
      <c r="S959" s="161"/>
      <c r="T959" s="161"/>
      <c r="U959" s="161"/>
      <c r="V959" s="161"/>
      <c r="W959" s="161"/>
      <c r="X959" s="161"/>
      <c r="Y959" s="161"/>
      <c r="Z959" s="161"/>
    </row>
    <row r="960">
      <c r="A960" s="18"/>
      <c r="B960" s="18"/>
      <c r="C960" s="18"/>
      <c r="D960" s="161"/>
      <c r="E960" s="161"/>
      <c r="F960" s="511"/>
      <c r="G960" s="161"/>
      <c r="H960" s="161"/>
      <c r="I960" s="161"/>
      <c r="J960" s="161"/>
      <c r="K960" s="161"/>
      <c r="L960" s="161"/>
      <c r="M960" s="161"/>
      <c r="N960" s="161"/>
      <c r="O960" s="161"/>
      <c r="P960" s="161"/>
      <c r="Q960" s="161"/>
      <c r="R960" s="161"/>
      <c r="S960" s="161"/>
      <c r="T960" s="161"/>
      <c r="U960" s="161"/>
      <c r="V960" s="161"/>
      <c r="W960" s="161"/>
      <c r="X960" s="161"/>
      <c r="Y960" s="161"/>
      <c r="Z960" s="161"/>
    </row>
    <row r="961">
      <c r="A961" s="18"/>
      <c r="B961" s="18"/>
      <c r="C961" s="18"/>
      <c r="D961" s="161"/>
      <c r="E961" s="161"/>
      <c r="F961" s="511"/>
      <c r="G961" s="161"/>
      <c r="H961" s="161"/>
      <c r="I961" s="161"/>
      <c r="J961" s="161"/>
      <c r="K961" s="161"/>
      <c r="L961" s="161"/>
      <c r="M961" s="161"/>
      <c r="N961" s="161"/>
      <c r="O961" s="161"/>
      <c r="P961" s="161"/>
      <c r="Q961" s="161"/>
      <c r="R961" s="161"/>
      <c r="S961" s="161"/>
      <c r="T961" s="161"/>
      <c r="U961" s="161"/>
      <c r="V961" s="161"/>
      <c r="W961" s="161"/>
      <c r="X961" s="161"/>
      <c r="Y961" s="161"/>
      <c r="Z961" s="161"/>
    </row>
    <row r="962">
      <c r="A962" s="18"/>
      <c r="B962" s="18"/>
      <c r="C962" s="18"/>
      <c r="D962" s="161"/>
      <c r="E962" s="161"/>
      <c r="F962" s="511"/>
      <c r="G962" s="161"/>
      <c r="H962" s="161"/>
      <c r="I962" s="161"/>
      <c r="J962" s="161"/>
      <c r="K962" s="161"/>
      <c r="L962" s="161"/>
      <c r="M962" s="161"/>
      <c r="N962" s="161"/>
      <c r="O962" s="161"/>
      <c r="P962" s="161"/>
      <c r="Q962" s="161"/>
      <c r="R962" s="161"/>
      <c r="S962" s="161"/>
      <c r="T962" s="161"/>
      <c r="U962" s="161"/>
      <c r="V962" s="161"/>
      <c r="W962" s="161"/>
      <c r="X962" s="161"/>
      <c r="Y962" s="161"/>
      <c r="Z962" s="161"/>
    </row>
    <row r="963">
      <c r="A963" s="18"/>
      <c r="B963" s="18"/>
      <c r="C963" s="18"/>
      <c r="D963" s="161"/>
      <c r="E963" s="161"/>
      <c r="F963" s="511"/>
      <c r="G963" s="161"/>
      <c r="H963" s="161"/>
      <c r="I963" s="161"/>
      <c r="J963" s="161"/>
      <c r="K963" s="161"/>
      <c r="L963" s="161"/>
      <c r="M963" s="161"/>
      <c r="N963" s="161"/>
      <c r="O963" s="161"/>
      <c r="P963" s="161"/>
      <c r="Q963" s="161"/>
      <c r="R963" s="161"/>
      <c r="S963" s="161"/>
      <c r="T963" s="161"/>
      <c r="U963" s="161"/>
      <c r="V963" s="161"/>
      <c r="W963" s="161"/>
      <c r="X963" s="161"/>
      <c r="Y963" s="161"/>
      <c r="Z963" s="161"/>
    </row>
    <row r="964">
      <c r="A964" s="18"/>
      <c r="B964" s="18"/>
      <c r="C964" s="18"/>
      <c r="D964" s="161"/>
      <c r="E964" s="161"/>
      <c r="F964" s="511"/>
      <c r="G964" s="161"/>
      <c r="H964" s="161"/>
      <c r="I964" s="161"/>
      <c r="J964" s="161"/>
      <c r="K964" s="161"/>
      <c r="L964" s="161"/>
      <c r="M964" s="161"/>
      <c r="N964" s="161"/>
      <c r="O964" s="161"/>
      <c r="P964" s="161"/>
      <c r="Q964" s="161"/>
      <c r="R964" s="161"/>
      <c r="S964" s="161"/>
      <c r="T964" s="161"/>
      <c r="U964" s="161"/>
      <c r="V964" s="161"/>
      <c r="W964" s="161"/>
      <c r="X964" s="161"/>
      <c r="Y964" s="161"/>
      <c r="Z964" s="161"/>
    </row>
    <row r="965">
      <c r="A965" s="18"/>
      <c r="B965" s="18"/>
      <c r="C965" s="18"/>
      <c r="D965" s="161"/>
      <c r="E965" s="161"/>
      <c r="F965" s="511"/>
      <c r="G965" s="161"/>
      <c r="H965" s="161"/>
      <c r="I965" s="161"/>
      <c r="J965" s="161"/>
      <c r="K965" s="161"/>
      <c r="L965" s="161"/>
      <c r="M965" s="161"/>
      <c r="N965" s="161"/>
      <c r="O965" s="161"/>
      <c r="P965" s="161"/>
      <c r="Q965" s="161"/>
      <c r="R965" s="161"/>
      <c r="S965" s="161"/>
      <c r="T965" s="161"/>
      <c r="U965" s="161"/>
      <c r="V965" s="161"/>
      <c r="W965" s="161"/>
      <c r="X965" s="161"/>
      <c r="Y965" s="161"/>
      <c r="Z965" s="161"/>
    </row>
    <row r="966">
      <c r="A966" s="18"/>
      <c r="B966" s="18"/>
      <c r="C966" s="18"/>
      <c r="D966" s="161"/>
      <c r="E966" s="161"/>
      <c r="F966" s="511"/>
      <c r="G966" s="161"/>
      <c r="H966" s="161"/>
      <c r="I966" s="161"/>
      <c r="J966" s="161"/>
      <c r="K966" s="161"/>
      <c r="L966" s="161"/>
      <c r="M966" s="161"/>
      <c r="N966" s="161"/>
      <c r="O966" s="161"/>
      <c r="P966" s="161"/>
      <c r="Q966" s="161"/>
      <c r="R966" s="161"/>
      <c r="S966" s="161"/>
      <c r="T966" s="161"/>
      <c r="U966" s="161"/>
      <c r="V966" s="161"/>
      <c r="W966" s="161"/>
      <c r="X966" s="161"/>
      <c r="Y966" s="161"/>
      <c r="Z966" s="161"/>
    </row>
    <row r="967">
      <c r="A967" s="18"/>
      <c r="B967" s="18"/>
      <c r="C967" s="18"/>
      <c r="D967" s="161"/>
      <c r="E967" s="161"/>
      <c r="F967" s="511"/>
      <c r="G967" s="161"/>
      <c r="H967" s="161"/>
      <c r="I967" s="161"/>
      <c r="J967" s="161"/>
      <c r="K967" s="161"/>
      <c r="L967" s="161"/>
      <c r="M967" s="161"/>
      <c r="N967" s="161"/>
      <c r="O967" s="161"/>
      <c r="P967" s="161"/>
      <c r="Q967" s="161"/>
      <c r="R967" s="161"/>
      <c r="S967" s="161"/>
      <c r="T967" s="161"/>
      <c r="U967" s="161"/>
      <c r="V967" s="161"/>
      <c r="W967" s="161"/>
      <c r="X967" s="161"/>
      <c r="Y967" s="161"/>
      <c r="Z967" s="161"/>
    </row>
    <row r="968">
      <c r="A968" s="18"/>
      <c r="B968" s="18"/>
      <c r="C968" s="18"/>
      <c r="D968" s="161"/>
      <c r="E968" s="161"/>
      <c r="F968" s="511"/>
      <c r="G968" s="161"/>
      <c r="H968" s="161"/>
      <c r="I968" s="161"/>
      <c r="J968" s="161"/>
      <c r="K968" s="161"/>
      <c r="L968" s="161"/>
      <c r="M968" s="161"/>
      <c r="N968" s="161"/>
      <c r="O968" s="161"/>
      <c r="P968" s="161"/>
      <c r="Q968" s="161"/>
      <c r="R968" s="161"/>
      <c r="S968" s="161"/>
      <c r="T968" s="161"/>
      <c r="U968" s="161"/>
      <c r="V968" s="161"/>
      <c r="W968" s="161"/>
      <c r="X968" s="161"/>
      <c r="Y968" s="161"/>
      <c r="Z968" s="161"/>
    </row>
    <row r="969">
      <c r="A969" s="18"/>
      <c r="B969" s="18"/>
      <c r="C969" s="18"/>
      <c r="D969" s="161"/>
      <c r="E969" s="161"/>
      <c r="F969" s="511"/>
      <c r="G969" s="161"/>
      <c r="H969" s="161"/>
      <c r="I969" s="161"/>
      <c r="J969" s="161"/>
      <c r="K969" s="161"/>
      <c r="L969" s="161"/>
      <c r="M969" s="161"/>
      <c r="N969" s="161"/>
      <c r="O969" s="161"/>
      <c r="P969" s="161"/>
      <c r="Q969" s="161"/>
      <c r="R969" s="161"/>
      <c r="S969" s="161"/>
      <c r="T969" s="161"/>
      <c r="U969" s="161"/>
      <c r="V969" s="161"/>
      <c r="W969" s="161"/>
      <c r="X969" s="161"/>
      <c r="Y969" s="161"/>
      <c r="Z969" s="161"/>
    </row>
  </sheetData>
  <hyperlinks>
    <hyperlink r:id="rId1" ref="A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7.25"/>
    <col customWidth="1" min="3" max="3" width="29.75"/>
    <col customWidth="1" min="4" max="5" width="9.25"/>
    <col customWidth="1" min="9" max="9" width="50.88"/>
  </cols>
  <sheetData>
    <row r="1">
      <c r="A1" s="515"/>
      <c r="B1" s="515" t="s">
        <v>2078</v>
      </c>
      <c r="C1" s="515" t="s">
        <v>2079</v>
      </c>
      <c r="D1" s="515" t="s">
        <v>2080</v>
      </c>
      <c r="E1" s="515" t="s">
        <v>2081</v>
      </c>
      <c r="F1" s="515" t="s">
        <v>2082</v>
      </c>
      <c r="G1" s="515"/>
      <c r="H1" s="515"/>
      <c r="I1" s="515"/>
    </row>
    <row r="2">
      <c r="A2" s="516">
        <v>1.0</v>
      </c>
      <c r="B2" s="517" t="s">
        <v>2083</v>
      </c>
      <c r="C2" s="518" t="s">
        <v>2084</v>
      </c>
      <c r="D2" s="519" t="s">
        <v>34</v>
      </c>
      <c r="E2" s="519" t="s">
        <v>34</v>
      </c>
      <c r="F2" s="519" t="s">
        <v>2085</v>
      </c>
      <c r="G2" s="520" t="s">
        <v>2086</v>
      </c>
      <c r="H2" s="521" t="s">
        <v>2087</v>
      </c>
      <c r="I2" s="522" t="s">
        <v>2088</v>
      </c>
    </row>
    <row r="3">
      <c r="A3" s="519">
        <v>2.0</v>
      </c>
      <c r="B3" s="523" t="s">
        <v>2089</v>
      </c>
      <c r="C3" s="524" t="s">
        <v>2090</v>
      </c>
      <c r="D3" s="519" t="s">
        <v>34</v>
      </c>
      <c r="E3" s="519" t="s">
        <v>27</v>
      </c>
      <c r="F3" s="519" t="s">
        <v>2085</v>
      </c>
      <c r="G3" s="525" t="s">
        <v>2091</v>
      </c>
      <c r="H3" s="521" t="s">
        <v>2092</v>
      </c>
      <c r="I3" s="522" t="s">
        <v>2088</v>
      </c>
    </row>
    <row r="4">
      <c r="A4" s="516">
        <v>3.0</v>
      </c>
      <c r="B4" s="517" t="s">
        <v>2093</v>
      </c>
      <c r="C4" s="524" t="s">
        <v>2094</v>
      </c>
      <c r="D4" s="519" t="s">
        <v>27</v>
      </c>
      <c r="E4" s="519" t="s">
        <v>27</v>
      </c>
      <c r="F4" s="519" t="s">
        <v>1997</v>
      </c>
      <c r="G4" s="520" t="s">
        <v>2095</v>
      </c>
      <c r="H4" s="521" t="s">
        <v>2092</v>
      </c>
      <c r="I4" s="522" t="s">
        <v>2096</v>
      </c>
    </row>
    <row r="5">
      <c r="A5" s="519">
        <v>4.0</v>
      </c>
      <c r="B5" s="517" t="s">
        <v>2097</v>
      </c>
      <c r="C5" s="524" t="s">
        <v>2098</v>
      </c>
      <c r="D5" s="519" t="s">
        <v>27</v>
      </c>
      <c r="E5" s="519" t="s">
        <v>34</v>
      </c>
      <c r="F5" s="519" t="s">
        <v>1997</v>
      </c>
      <c r="G5" s="520" t="s">
        <v>2099</v>
      </c>
      <c r="H5" s="521" t="s">
        <v>2087</v>
      </c>
      <c r="I5" s="522" t="s">
        <v>2096</v>
      </c>
    </row>
    <row r="6">
      <c r="A6" s="516">
        <v>5.0</v>
      </c>
      <c r="B6" s="517" t="s">
        <v>2100</v>
      </c>
      <c r="C6" s="526" t="s">
        <v>2101</v>
      </c>
      <c r="D6" s="519" t="s">
        <v>27</v>
      </c>
      <c r="E6" s="519" t="s">
        <v>27</v>
      </c>
      <c r="F6" s="527"/>
      <c r="G6" s="520" t="s">
        <v>2102</v>
      </c>
      <c r="H6" s="521" t="s">
        <v>2092</v>
      </c>
      <c r="I6" s="528"/>
    </row>
    <row r="7">
      <c r="A7" s="529"/>
      <c r="B7" s="530"/>
      <c r="F7" s="376"/>
    </row>
    <row r="8">
      <c r="A8" s="376"/>
      <c r="F8" s="376"/>
    </row>
    <row r="9">
      <c r="A9" s="376"/>
      <c r="F9" s="376"/>
    </row>
    <row r="10">
      <c r="A10" s="376"/>
      <c r="F10" s="376"/>
    </row>
    <row r="11">
      <c r="A11" s="376"/>
      <c r="F11" s="376"/>
    </row>
    <row r="12">
      <c r="A12" s="376"/>
      <c r="F12" s="376"/>
    </row>
    <row r="13">
      <c r="A13" s="376"/>
      <c r="F13" s="376"/>
    </row>
    <row r="14">
      <c r="A14" s="376"/>
      <c r="F14" s="376"/>
    </row>
    <row r="15">
      <c r="A15" s="376"/>
      <c r="F15" s="376"/>
    </row>
    <row r="16">
      <c r="A16" s="376"/>
      <c r="F16" s="376"/>
    </row>
    <row r="17">
      <c r="A17" s="376"/>
      <c r="F17" s="376"/>
    </row>
    <row r="18">
      <c r="A18" s="376"/>
      <c r="F18" s="376"/>
    </row>
    <row r="19">
      <c r="A19" s="376"/>
      <c r="F19" s="376"/>
    </row>
    <row r="20">
      <c r="A20" s="376"/>
      <c r="F20" s="376"/>
    </row>
    <row r="21">
      <c r="A21" s="376"/>
      <c r="F21" s="376"/>
    </row>
    <row r="22">
      <c r="A22" s="376"/>
      <c r="F22" s="376"/>
    </row>
    <row r="23">
      <c r="A23" s="376"/>
      <c r="F23" s="376"/>
    </row>
    <row r="24">
      <c r="A24" s="376"/>
      <c r="F24" s="376"/>
    </row>
    <row r="25">
      <c r="A25" s="376"/>
      <c r="F25" s="376"/>
    </row>
    <row r="26">
      <c r="A26" s="376"/>
      <c r="F26" s="376"/>
    </row>
    <row r="27">
      <c r="A27" s="376"/>
      <c r="F27" s="376"/>
    </row>
    <row r="28">
      <c r="A28" s="376"/>
      <c r="F28" s="376"/>
    </row>
    <row r="29">
      <c r="A29" s="376"/>
      <c r="F29" s="376"/>
    </row>
    <row r="30">
      <c r="A30" s="376"/>
      <c r="F30" s="376"/>
    </row>
    <row r="31">
      <c r="A31" s="376"/>
      <c r="F31" s="376"/>
    </row>
    <row r="32">
      <c r="A32" s="376"/>
      <c r="F32" s="376"/>
    </row>
    <row r="33">
      <c r="A33" s="376"/>
      <c r="F33" s="376"/>
    </row>
    <row r="34">
      <c r="A34" s="376"/>
      <c r="F34" s="376"/>
    </row>
    <row r="35">
      <c r="A35" s="376"/>
      <c r="F35" s="376"/>
    </row>
    <row r="36">
      <c r="A36" s="376"/>
      <c r="F36" s="376"/>
    </row>
    <row r="37">
      <c r="A37" s="376"/>
      <c r="F37" s="376"/>
    </row>
    <row r="38">
      <c r="A38" s="376"/>
      <c r="F38" s="376"/>
    </row>
    <row r="39">
      <c r="A39" s="376"/>
      <c r="F39" s="376"/>
    </row>
    <row r="40">
      <c r="A40" s="376"/>
      <c r="F40" s="376"/>
    </row>
    <row r="41">
      <c r="A41" s="376"/>
      <c r="F41" s="376"/>
    </row>
    <row r="42">
      <c r="A42" s="376"/>
      <c r="F42" s="376"/>
    </row>
    <row r="43">
      <c r="A43" s="376"/>
      <c r="F43" s="376"/>
    </row>
    <row r="44">
      <c r="A44" s="376"/>
      <c r="F44" s="376"/>
    </row>
    <row r="45">
      <c r="A45" s="376"/>
      <c r="F45" s="376"/>
    </row>
    <row r="46">
      <c r="A46" s="376"/>
      <c r="F46" s="376"/>
    </row>
    <row r="47">
      <c r="A47" s="376"/>
      <c r="F47" s="376"/>
    </row>
    <row r="48">
      <c r="A48" s="376"/>
      <c r="F48" s="376"/>
    </row>
    <row r="49">
      <c r="A49" s="376"/>
      <c r="F49" s="376"/>
    </row>
    <row r="50">
      <c r="A50" s="376"/>
      <c r="F50" s="376"/>
    </row>
    <row r="51">
      <c r="A51" s="376"/>
      <c r="F51" s="376"/>
    </row>
    <row r="52">
      <c r="A52" s="376"/>
      <c r="F52" s="376"/>
    </row>
    <row r="53">
      <c r="A53" s="376"/>
      <c r="F53" s="376"/>
    </row>
    <row r="54">
      <c r="A54" s="376"/>
      <c r="F54" s="376"/>
    </row>
    <row r="55">
      <c r="A55" s="376"/>
      <c r="F55" s="376"/>
    </row>
    <row r="56">
      <c r="A56" s="376"/>
      <c r="F56" s="376"/>
    </row>
    <row r="57">
      <c r="A57" s="376"/>
      <c r="F57" s="376"/>
    </row>
    <row r="58">
      <c r="A58" s="376"/>
      <c r="F58" s="376"/>
    </row>
    <row r="59">
      <c r="A59" s="376"/>
      <c r="F59" s="376"/>
    </row>
    <row r="60">
      <c r="A60" s="376"/>
      <c r="F60" s="376"/>
    </row>
    <row r="61">
      <c r="A61" s="376"/>
      <c r="F61" s="376"/>
    </row>
    <row r="62">
      <c r="A62" s="376"/>
      <c r="F62" s="376"/>
    </row>
    <row r="63">
      <c r="A63" s="376"/>
      <c r="F63" s="376"/>
    </row>
    <row r="64">
      <c r="A64" s="376"/>
      <c r="F64" s="376"/>
    </row>
    <row r="65">
      <c r="A65" s="376"/>
      <c r="F65" s="376"/>
    </row>
    <row r="66">
      <c r="A66" s="376"/>
      <c r="F66" s="376"/>
    </row>
    <row r="67">
      <c r="A67" s="376"/>
      <c r="F67" s="376"/>
    </row>
    <row r="68">
      <c r="A68" s="376"/>
      <c r="F68" s="376"/>
    </row>
    <row r="69">
      <c r="A69" s="376"/>
      <c r="F69" s="376"/>
    </row>
    <row r="70">
      <c r="A70" s="376"/>
      <c r="F70" s="376"/>
    </row>
    <row r="71">
      <c r="A71" s="376"/>
      <c r="F71" s="376"/>
    </row>
    <row r="72">
      <c r="A72" s="376"/>
      <c r="F72" s="376"/>
    </row>
    <row r="73">
      <c r="A73" s="376"/>
      <c r="F73" s="376"/>
    </row>
    <row r="74">
      <c r="A74" s="376"/>
      <c r="F74" s="376"/>
    </row>
    <row r="75">
      <c r="A75" s="376"/>
      <c r="F75" s="376"/>
    </row>
    <row r="76">
      <c r="A76" s="376"/>
      <c r="F76" s="376"/>
    </row>
    <row r="77">
      <c r="A77" s="376"/>
      <c r="F77" s="376"/>
    </row>
    <row r="78">
      <c r="A78" s="376"/>
      <c r="F78" s="376"/>
    </row>
    <row r="79">
      <c r="A79" s="376"/>
      <c r="F79" s="376"/>
    </row>
    <row r="80">
      <c r="A80" s="376"/>
      <c r="F80" s="376"/>
    </row>
    <row r="81">
      <c r="A81" s="376"/>
      <c r="F81" s="376"/>
    </row>
    <row r="82">
      <c r="A82" s="376"/>
      <c r="F82" s="376"/>
    </row>
    <row r="83">
      <c r="A83" s="376"/>
      <c r="F83" s="376"/>
    </row>
    <row r="84">
      <c r="A84" s="376"/>
      <c r="F84" s="376"/>
    </row>
    <row r="85">
      <c r="A85" s="376"/>
      <c r="F85" s="376"/>
    </row>
    <row r="86">
      <c r="A86" s="376"/>
      <c r="F86" s="376"/>
    </row>
    <row r="87">
      <c r="A87" s="376"/>
      <c r="F87" s="376"/>
    </row>
    <row r="88">
      <c r="A88" s="376"/>
      <c r="F88" s="376"/>
    </row>
    <row r="89">
      <c r="A89" s="376"/>
      <c r="F89" s="376"/>
    </row>
    <row r="90">
      <c r="A90" s="376"/>
      <c r="F90" s="376"/>
    </row>
    <row r="91">
      <c r="A91" s="376"/>
      <c r="F91" s="376"/>
    </row>
    <row r="92">
      <c r="A92" s="376"/>
      <c r="F92" s="376"/>
    </row>
    <row r="93">
      <c r="A93" s="376"/>
      <c r="F93" s="376"/>
    </row>
    <row r="94">
      <c r="A94" s="376"/>
      <c r="F94" s="376"/>
    </row>
    <row r="95">
      <c r="A95" s="376"/>
      <c r="F95" s="376"/>
    </row>
    <row r="96">
      <c r="A96" s="376"/>
      <c r="F96" s="376"/>
    </row>
    <row r="97">
      <c r="A97" s="376"/>
      <c r="F97" s="376"/>
    </row>
    <row r="98">
      <c r="A98" s="376"/>
      <c r="F98" s="376"/>
    </row>
    <row r="99">
      <c r="A99" s="376"/>
      <c r="F99" s="376"/>
    </row>
    <row r="100">
      <c r="A100" s="376"/>
      <c r="F100" s="376"/>
    </row>
    <row r="101">
      <c r="A101" s="376"/>
      <c r="F101" s="376"/>
    </row>
    <row r="102">
      <c r="A102" s="376"/>
      <c r="F102" s="376"/>
    </row>
    <row r="103">
      <c r="A103" s="376"/>
      <c r="F103" s="376"/>
    </row>
    <row r="104">
      <c r="A104" s="376"/>
      <c r="F104" s="376"/>
    </row>
    <row r="105">
      <c r="A105" s="376"/>
      <c r="F105" s="376"/>
    </row>
    <row r="106">
      <c r="A106" s="376"/>
      <c r="F106" s="376"/>
    </row>
    <row r="107">
      <c r="A107" s="376"/>
      <c r="F107" s="376"/>
    </row>
    <row r="108">
      <c r="A108" s="376"/>
      <c r="F108" s="376"/>
    </row>
    <row r="109">
      <c r="A109" s="376"/>
      <c r="F109" s="376"/>
    </row>
    <row r="110">
      <c r="A110" s="376"/>
      <c r="F110" s="376"/>
    </row>
    <row r="111">
      <c r="A111" s="376"/>
      <c r="F111" s="376"/>
    </row>
    <row r="112">
      <c r="A112" s="376"/>
      <c r="F112" s="376"/>
    </row>
    <row r="113">
      <c r="A113" s="376"/>
      <c r="F113" s="376"/>
    </row>
    <row r="114">
      <c r="A114" s="376"/>
      <c r="F114" s="376"/>
    </row>
    <row r="115">
      <c r="A115" s="376"/>
      <c r="F115" s="376"/>
    </row>
    <row r="116">
      <c r="A116" s="376"/>
      <c r="F116" s="376"/>
    </row>
    <row r="117">
      <c r="A117" s="376"/>
      <c r="F117" s="376"/>
    </row>
    <row r="118">
      <c r="A118" s="376"/>
      <c r="F118" s="376"/>
    </row>
    <row r="119">
      <c r="A119" s="376"/>
      <c r="F119" s="376"/>
    </row>
    <row r="120">
      <c r="A120" s="376"/>
      <c r="F120" s="376"/>
    </row>
    <row r="121">
      <c r="A121" s="376"/>
      <c r="F121" s="376"/>
    </row>
    <row r="122">
      <c r="A122" s="376"/>
      <c r="F122" s="376"/>
    </row>
    <row r="123">
      <c r="A123" s="376"/>
      <c r="F123" s="376"/>
    </row>
    <row r="124">
      <c r="A124" s="376"/>
      <c r="F124" s="376"/>
    </row>
    <row r="125">
      <c r="A125" s="376"/>
      <c r="F125" s="376"/>
    </row>
    <row r="126">
      <c r="A126" s="376"/>
      <c r="F126" s="376"/>
    </row>
    <row r="127">
      <c r="A127" s="376"/>
      <c r="F127" s="376"/>
    </row>
    <row r="128">
      <c r="A128" s="376"/>
      <c r="F128" s="376"/>
    </row>
    <row r="129">
      <c r="A129" s="376"/>
      <c r="F129" s="376"/>
    </row>
    <row r="130">
      <c r="A130" s="376"/>
      <c r="F130" s="376"/>
    </row>
    <row r="131">
      <c r="A131" s="376"/>
      <c r="F131" s="376"/>
    </row>
    <row r="132">
      <c r="A132" s="376"/>
      <c r="F132" s="376"/>
    </row>
    <row r="133">
      <c r="A133" s="376"/>
      <c r="F133" s="376"/>
    </row>
    <row r="134">
      <c r="A134" s="376"/>
      <c r="F134" s="376"/>
    </row>
    <row r="135">
      <c r="A135" s="376"/>
      <c r="F135" s="376"/>
    </row>
    <row r="136">
      <c r="A136" s="376"/>
      <c r="F136" s="376"/>
    </row>
    <row r="137">
      <c r="A137" s="376"/>
      <c r="F137" s="376"/>
    </row>
    <row r="138">
      <c r="A138" s="376"/>
      <c r="F138" s="376"/>
    </row>
    <row r="139">
      <c r="A139" s="376"/>
      <c r="F139" s="376"/>
    </row>
    <row r="140">
      <c r="A140" s="376"/>
      <c r="F140" s="376"/>
    </row>
    <row r="141">
      <c r="A141" s="376"/>
      <c r="F141" s="376"/>
    </row>
    <row r="142">
      <c r="A142" s="376"/>
      <c r="F142" s="376"/>
    </row>
    <row r="143">
      <c r="A143" s="376"/>
      <c r="F143" s="376"/>
    </row>
    <row r="144">
      <c r="A144" s="376"/>
      <c r="F144" s="376"/>
    </row>
    <row r="145">
      <c r="A145" s="376"/>
      <c r="F145" s="376"/>
    </row>
    <row r="146">
      <c r="A146" s="376"/>
      <c r="F146" s="376"/>
    </row>
    <row r="147">
      <c r="A147" s="376"/>
      <c r="F147" s="376"/>
    </row>
    <row r="148">
      <c r="A148" s="376"/>
      <c r="F148" s="376"/>
    </row>
    <row r="149">
      <c r="A149" s="376"/>
      <c r="F149" s="376"/>
    </row>
    <row r="150">
      <c r="A150" s="376"/>
      <c r="F150" s="376"/>
    </row>
    <row r="151">
      <c r="A151" s="376"/>
      <c r="F151" s="376"/>
    </row>
    <row r="152">
      <c r="A152" s="376"/>
      <c r="F152" s="376"/>
    </row>
    <row r="153">
      <c r="A153" s="376"/>
      <c r="F153" s="376"/>
    </row>
    <row r="154">
      <c r="A154" s="376"/>
      <c r="F154" s="376"/>
    </row>
    <row r="155">
      <c r="A155" s="376"/>
      <c r="F155" s="376"/>
    </row>
    <row r="156">
      <c r="A156" s="376"/>
      <c r="F156" s="376"/>
    </row>
    <row r="157">
      <c r="A157" s="376"/>
      <c r="F157" s="376"/>
    </row>
    <row r="158">
      <c r="A158" s="376"/>
      <c r="F158" s="376"/>
    </row>
    <row r="159">
      <c r="A159" s="376"/>
      <c r="F159" s="376"/>
    </row>
    <row r="160">
      <c r="A160" s="376"/>
      <c r="F160" s="376"/>
    </row>
    <row r="161">
      <c r="A161" s="376"/>
      <c r="F161" s="376"/>
    </row>
    <row r="162">
      <c r="A162" s="376"/>
      <c r="F162" s="376"/>
    </row>
    <row r="163">
      <c r="A163" s="376"/>
      <c r="F163" s="376"/>
    </row>
    <row r="164">
      <c r="A164" s="376"/>
      <c r="F164" s="376"/>
    </row>
    <row r="165">
      <c r="A165" s="376"/>
      <c r="F165" s="376"/>
    </row>
    <row r="166">
      <c r="A166" s="376"/>
      <c r="F166" s="376"/>
    </row>
    <row r="167">
      <c r="A167" s="376"/>
      <c r="F167" s="376"/>
    </row>
    <row r="168">
      <c r="A168" s="376"/>
      <c r="F168" s="376"/>
    </row>
    <row r="169">
      <c r="A169" s="376"/>
      <c r="F169" s="376"/>
    </row>
    <row r="170">
      <c r="A170" s="376"/>
      <c r="F170" s="376"/>
    </row>
    <row r="171">
      <c r="A171" s="376"/>
      <c r="F171" s="376"/>
    </row>
    <row r="172">
      <c r="A172" s="376"/>
      <c r="F172" s="376"/>
    </row>
    <row r="173">
      <c r="A173" s="376"/>
      <c r="F173" s="376"/>
    </row>
    <row r="174">
      <c r="A174" s="376"/>
      <c r="F174" s="376"/>
    </row>
    <row r="175">
      <c r="A175" s="376"/>
      <c r="F175" s="376"/>
    </row>
    <row r="176">
      <c r="A176" s="376"/>
      <c r="F176" s="376"/>
    </row>
    <row r="177">
      <c r="A177" s="376"/>
      <c r="F177" s="376"/>
    </row>
    <row r="178">
      <c r="A178" s="376"/>
      <c r="F178" s="376"/>
    </row>
    <row r="179">
      <c r="A179" s="376"/>
      <c r="F179" s="376"/>
    </row>
    <row r="180">
      <c r="A180" s="376"/>
      <c r="F180" s="376"/>
    </row>
    <row r="181">
      <c r="A181" s="376"/>
      <c r="F181" s="376"/>
    </row>
    <row r="182">
      <c r="A182" s="376"/>
      <c r="F182" s="376"/>
    </row>
    <row r="183">
      <c r="A183" s="376"/>
      <c r="F183" s="376"/>
    </row>
    <row r="184">
      <c r="A184" s="376"/>
      <c r="F184" s="376"/>
    </row>
    <row r="185">
      <c r="A185" s="376"/>
      <c r="F185" s="376"/>
    </row>
    <row r="186">
      <c r="A186" s="376"/>
      <c r="F186" s="376"/>
    </row>
    <row r="187">
      <c r="A187" s="376"/>
      <c r="F187" s="376"/>
    </row>
    <row r="188">
      <c r="A188" s="376"/>
      <c r="F188" s="376"/>
    </row>
    <row r="189">
      <c r="A189" s="376"/>
      <c r="F189" s="376"/>
    </row>
    <row r="190">
      <c r="A190" s="376"/>
      <c r="F190" s="376"/>
    </row>
    <row r="191">
      <c r="A191" s="376"/>
      <c r="F191" s="376"/>
    </row>
    <row r="192">
      <c r="A192" s="376"/>
      <c r="F192" s="376"/>
    </row>
    <row r="193">
      <c r="A193" s="376"/>
      <c r="F193" s="376"/>
    </row>
    <row r="194">
      <c r="A194" s="376"/>
      <c r="F194" s="376"/>
    </row>
    <row r="195">
      <c r="A195" s="376"/>
      <c r="F195" s="376"/>
    </row>
    <row r="196">
      <c r="A196" s="376"/>
      <c r="F196" s="376"/>
    </row>
    <row r="197">
      <c r="A197" s="376"/>
      <c r="F197" s="376"/>
    </row>
    <row r="198">
      <c r="A198" s="376"/>
      <c r="F198" s="376"/>
    </row>
    <row r="199">
      <c r="A199" s="376"/>
      <c r="F199" s="376"/>
    </row>
    <row r="200">
      <c r="A200" s="376"/>
      <c r="F200" s="376"/>
    </row>
    <row r="201">
      <c r="A201" s="376"/>
      <c r="F201" s="376"/>
    </row>
    <row r="202">
      <c r="A202" s="376"/>
      <c r="F202" s="376"/>
    </row>
    <row r="203">
      <c r="A203" s="376"/>
      <c r="F203" s="376"/>
    </row>
    <row r="204">
      <c r="A204" s="376"/>
      <c r="F204" s="376"/>
    </row>
    <row r="205">
      <c r="A205" s="376"/>
      <c r="F205" s="376"/>
    </row>
    <row r="206">
      <c r="A206" s="376"/>
      <c r="F206" s="376"/>
    </row>
    <row r="207">
      <c r="A207" s="376"/>
      <c r="F207" s="376"/>
    </row>
    <row r="208">
      <c r="A208" s="376"/>
      <c r="F208" s="376"/>
    </row>
    <row r="209">
      <c r="A209" s="376"/>
      <c r="F209" s="376"/>
    </row>
    <row r="210">
      <c r="A210" s="376"/>
      <c r="F210" s="376"/>
    </row>
    <row r="211">
      <c r="A211" s="376"/>
      <c r="F211" s="376"/>
    </row>
    <row r="212">
      <c r="A212" s="376"/>
      <c r="F212" s="376"/>
    </row>
    <row r="213">
      <c r="A213" s="376"/>
      <c r="F213" s="376"/>
    </row>
    <row r="214">
      <c r="A214" s="376"/>
      <c r="F214" s="376"/>
    </row>
    <row r="215">
      <c r="A215" s="376"/>
      <c r="F215" s="376"/>
    </row>
    <row r="216">
      <c r="A216" s="376"/>
      <c r="F216" s="376"/>
    </row>
    <row r="217">
      <c r="A217" s="376"/>
      <c r="F217" s="376"/>
    </row>
    <row r="218">
      <c r="A218" s="376"/>
      <c r="F218" s="376"/>
    </row>
    <row r="219">
      <c r="A219" s="376"/>
      <c r="F219" s="376"/>
    </row>
    <row r="220">
      <c r="A220" s="376"/>
      <c r="F220" s="376"/>
    </row>
    <row r="221">
      <c r="A221" s="376"/>
      <c r="F221" s="376"/>
    </row>
    <row r="222">
      <c r="A222" s="376"/>
      <c r="F222" s="376"/>
    </row>
    <row r="223">
      <c r="A223" s="376"/>
      <c r="F223" s="376"/>
    </row>
    <row r="224">
      <c r="A224" s="376"/>
      <c r="F224" s="376"/>
    </row>
    <row r="225">
      <c r="A225" s="376"/>
      <c r="F225" s="376"/>
    </row>
    <row r="226">
      <c r="A226" s="376"/>
      <c r="F226" s="376"/>
    </row>
    <row r="227">
      <c r="A227" s="376"/>
      <c r="F227" s="376"/>
    </row>
    <row r="228">
      <c r="A228" s="376"/>
      <c r="F228" s="376"/>
    </row>
    <row r="229">
      <c r="A229" s="376"/>
      <c r="F229" s="376"/>
    </row>
    <row r="230">
      <c r="A230" s="376"/>
      <c r="F230" s="376"/>
    </row>
    <row r="231">
      <c r="A231" s="376"/>
      <c r="F231" s="376"/>
    </row>
    <row r="232">
      <c r="A232" s="376"/>
      <c r="F232" s="376"/>
    </row>
    <row r="233">
      <c r="A233" s="376"/>
      <c r="F233" s="376"/>
    </row>
    <row r="234">
      <c r="A234" s="376"/>
      <c r="F234" s="376"/>
    </row>
    <row r="235">
      <c r="A235" s="376"/>
      <c r="F235" s="376"/>
    </row>
    <row r="236">
      <c r="A236" s="376"/>
      <c r="F236" s="376"/>
    </row>
    <row r="237">
      <c r="A237" s="376"/>
      <c r="F237" s="376"/>
    </row>
    <row r="238">
      <c r="A238" s="376"/>
      <c r="F238" s="376"/>
    </row>
    <row r="239">
      <c r="A239" s="376"/>
      <c r="F239" s="376"/>
    </row>
    <row r="240">
      <c r="A240" s="376"/>
      <c r="F240" s="376"/>
    </row>
    <row r="241">
      <c r="A241" s="376"/>
      <c r="F241" s="376"/>
    </row>
    <row r="242">
      <c r="A242" s="376"/>
      <c r="F242" s="376"/>
    </row>
    <row r="243">
      <c r="A243" s="376"/>
      <c r="F243" s="376"/>
    </row>
    <row r="244">
      <c r="A244" s="376"/>
      <c r="F244" s="376"/>
    </row>
    <row r="245">
      <c r="A245" s="376"/>
      <c r="F245" s="376"/>
    </row>
    <row r="246">
      <c r="A246" s="376"/>
      <c r="F246" s="376"/>
    </row>
    <row r="247">
      <c r="A247" s="376"/>
      <c r="F247" s="376"/>
    </row>
    <row r="248">
      <c r="A248" s="376"/>
      <c r="F248" s="376"/>
    </row>
    <row r="249">
      <c r="A249" s="376"/>
      <c r="F249" s="376"/>
    </row>
    <row r="250">
      <c r="A250" s="376"/>
      <c r="F250" s="376"/>
    </row>
    <row r="251">
      <c r="A251" s="376"/>
      <c r="F251" s="376"/>
    </row>
    <row r="252">
      <c r="A252" s="376"/>
      <c r="F252" s="376"/>
    </row>
    <row r="253">
      <c r="A253" s="376"/>
      <c r="F253" s="376"/>
    </row>
    <row r="254">
      <c r="A254" s="376"/>
      <c r="F254" s="376"/>
    </row>
    <row r="255">
      <c r="A255" s="376"/>
      <c r="F255" s="376"/>
    </row>
    <row r="256">
      <c r="A256" s="376"/>
      <c r="F256" s="376"/>
    </row>
    <row r="257">
      <c r="A257" s="376"/>
      <c r="F257" s="376"/>
    </row>
    <row r="258">
      <c r="A258" s="376"/>
      <c r="F258" s="376"/>
    </row>
    <row r="259">
      <c r="A259" s="376"/>
      <c r="F259" s="376"/>
    </row>
    <row r="260">
      <c r="A260" s="376"/>
      <c r="F260" s="376"/>
    </row>
    <row r="261">
      <c r="A261" s="376"/>
      <c r="F261" s="376"/>
    </row>
    <row r="262">
      <c r="A262" s="376"/>
      <c r="F262" s="376"/>
    </row>
    <row r="263">
      <c r="A263" s="376"/>
      <c r="F263" s="376"/>
    </row>
    <row r="264">
      <c r="A264" s="376"/>
      <c r="F264" s="376"/>
    </row>
    <row r="265">
      <c r="A265" s="376"/>
      <c r="F265" s="376"/>
    </row>
    <row r="266">
      <c r="A266" s="376"/>
      <c r="F266" s="376"/>
    </row>
    <row r="267">
      <c r="A267" s="376"/>
      <c r="F267" s="376"/>
    </row>
    <row r="268">
      <c r="A268" s="376"/>
      <c r="F268" s="376"/>
    </row>
    <row r="269">
      <c r="A269" s="376"/>
      <c r="F269" s="376"/>
    </row>
    <row r="270">
      <c r="A270" s="376"/>
      <c r="F270" s="376"/>
    </row>
    <row r="271">
      <c r="A271" s="376"/>
      <c r="F271" s="376"/>
    </row>
    <row r="272">
      <c r="A272" s="376"/>
      <c r="F272" s="376"/>
    </row>
    <row r="273">
      <c r="A273" s="376"/>
      <c r="F273" s="376"/>
    </row>
    <row r="274">
      <c r="A274" s="376"/>
      <c r="F274" s="376"/>
    </row>
    <row r="275">
      <c r="A275" s="376"/>
      <c r="F275" s="376"/>
    </row>
    <row r="276">
      <c r="A276" s="376"/>
      <c r="F276" s="376"/>
    </row>
    <row r="277">
      <c r="A277" s="376"/>
      <c r="F277" s="376"/>
    </row>
    <row r="278">
      <c r="A278" s="376"/>
      <c r="F278" s="376"/>
    </row>
    <row r="279">
      <c r="A279" s="376"/>
      <c r="F279" s="376"/>
    </row>
    <row r="280">
      <c r="A280" s="376"/>
      <c r="F280" s="376"/>
    </row>
    <row r="281">
      <c r="A281" s="376"/>
      <c r="F281" s="376"/>
    </row>
    <row r="282">
      <c r="A282" s="376"/>
      <c r="F282" s="376"/>
    </row>
    <row r="283">
      <c r="A283" s="376"/>
      <c r="F283" s="376"/>
    </row>
    <row r="284">
      <c r="A284" s="376"/>
      <c r="F284" s="376"/>
    </row>
    <row r="285">
      <c r="A285" s="376"/>
      <c r="F285" s="376"/>
    </row>
    <row r="286">
      <c r="A286" s="376"/>
      <c r="F286" s="376"/>
    </row>
    <row r="287">
      <c r="A287" s="376"/>
      <c r="F287" s="376"/>
    </row>
    <row r="288">
      <c r="A288" s="376"/>
      <c r="F288" s="376"/>
    </row>
    <row r="289">
      <c r="A289" s="376"/>
      <c r="F289" s="376"/>
    </row>
    <row r="290">
      <c r="A290" s="376"/>
      <c r="F290" s="376"/>
    </row>
    <row r="291">
      <c r="A291" s="376"/>
      <c r="F291" s="376"/>
    </row>
    <row r="292">
      <c r="A292" s="376"/>
      <c r="F292" s="376"/>
    </row>
    <row r="293">
      <c r="A293" s="376"/>
      <c r="F293" s="376"/>
    </row>
    <row r="294">
      <c r="A294" s="376"/>
      <c r="F294" s="376"/>
    </row>
    <row r="295">
      <c r="A295" s="376"/>
      <c r="F295" s="376"/>
    </row>
    <row r="296">
      <c r="A296" s="376"/>
      <c r="F296" s="376"/>
    </row>
    <row r="297">
      <c r="A297" s="376"/>
      <c r="F297" s="376"/>
    </row>
    <row r="298">
      <c r="A298" s="376"/>
      <c r="F298" s="376"/>
    </row>
    <row r="299">
      <c r="A299" s="376"/>
      <c r="F299" s="376"/>
    </row>
    <row r="300">
      <c r="A300" s="376"/>
      <c r="F300" s="376"/>
    </row>
    <row r="301">
      <c r="A301" s="376"/>
      <c r="F301" s="376"/>
    </row>
    <row r="302">
      <c r="A302" s="376"/>
      <c r="F302" s="376"/>
    </row>
    <row r="303">
      <c r="A303" s="376"/>
      <c r="F303" s="376"/>
    </row>
    <row r="304">
      <c r="A304" s="376"/>
      <c r="F304" s="376"/>
    </row>
    <row r="305">
      <c r="A305" s="376"/>
      <c r="F305" s="376"/>
    </row>
    <row r="306">
      <c r="A306" s="376"/>
      <c r="F306" s="376"/>
    </row>
    <row r="307">
      <c r="A307" s="376"/>
      <c r="F307" s="376"/>
    </row>
    <row r="308">
      <c r="A308" s="376"/>
      <c r="F308" s="376"/>
    </row>
    <row r="309">
      <c r="A309" s="376"/>
      <c r="F309" s="376"/>
    </row>
    <row r="310">
      <c r="A310" s="376"/>
      <c r="F310" s="376"/>
    </row>
    <row r="311">
      <c r="A311" s="376"/>
      <c r="F311" s="376"/>
    </row>
    <row r="312">
      <c r="A312" s="376"/>
      <c r="F312" s="376"/>
    </row>
    <row r="313">
      <c r="A313" s="376"/>
      <c r="F313" s="376"/>
    </row>
    <row r="314">
      <c r="A314" s="376"/>
      <c r="F314" s="376"/>
    </row>
    <row r="315">
      <c r="A315" s="376"/>
      <c r="F315" s="376"/>
    </row>
    <row r="316">
      <c r="A316" s="376"/>
      <c r="F316" s="376"/>
    </row>
    <row r="317">
      <c r="A317" s="376"/>
      <c r="F317" s="376"/>
    </row>
    <row r="318">
      <c r="A318" s="376"/>
      <c r="F318" s="376"/>
    </row>
    <row r="319">
      <c r="A319" s="376"/>
      <c r="F319" s="376"/>
    </row>
    <row r="320">
      <c r="A320" s="376"/>
      <c r="F320" s="376"/>
    </row>
    <row r="321">
      <c r="A321" s="376"/>
      <c r="F321" s="376"/>
    </row>
    <row r="322">
      <c r="A322" s="376"/>
      <c r="F322" s="376"/>
    </row>
    <row r="323">
      <c r="A323" s="376"/>
      <c r="F323" s="376"/>
    </row>
    <row r="324">
      <c r="A324" s="376"/>
      <c r="F324" s="376"/>
    </row>
    <row r="325">
      <c r="A325" s="376"/>
      <c r="F325" s="376"/>
    </row>
    <row r="326">
      <c r="A326" s="376"/>
      <c r="F326" s="376"/>
    </row>
    <row r="327">
      <c r="A327" s="376"/>
      <c r="F327" s="376"/>
    </row>
    <row r="328">
      <c r="A328" s="376"/>
      <c r="F328" s="376"/>
    </row>
    <row r="329">
      <c r="A329" s="376"/>
      <c r="F329" s="376"/>
    </row>
    <row r="330">
      <c r="A330" s="376"/>
      <c r="F330" s="376"/>
    </row>
    <row r="331">
      <c r="A331" s="376"/>
      <c r="F331" s="376"/>
    </row>
    <row r="332">
      <c r="A332" s="376"/>
      <c r="F332" s="376"/>
    </row>
    <row r="333">
      <c r="A333" s="376"/>
      <c r="F333" s="376"/>
    </row>
    <row r="334">
      <c r="A334" s="376"/>
      <c r="F334" s="376"/>
    </row>
    <row r="335">
      <c r="A335" s="376"/>
      <c r="F335" s="376"/>
    </row>
    <row r="336">
      <c r="A336" s="376"/>
      <c r="F336" s="376"/>
    </row>
    <row r="337">
      <c r="A337" s="376"/>
      <c r="F337" s="376"/>
    </row>
    <row r="338">
      <c r="A338" s="376"/>
      <c r="F338" s="376"/>
    </row>
    <row r="339">
      <c r="A339" s="376"/>
      <c r="F339" s="376"/>
    </row>
    <row r="340">
      <c r="A340" s="376"/>
      <c r="F340" s="376"/>
    </row>
    <row r="341">
      <c r="A341" s="376"/>
      <c r="F341" s="376"/>
    </row>
    <row r="342">
      <c r="A342" s="376"/>
      <c r="F342" s="376"/>
    </row>
    <row r="343">
      <c r="A343" s="376"/>
      <c r="F343" s="376"/>
    </row>
    <row r="344">
      <c r="A344" s="376"/>
      <c r="F344" s="376"/>
    </row>
    <row r="345">
      <c r="A345" s="376"/>
      <c r="F345" s="376"/>
    </row>
    <row r="346">
      <c r="A346" s="376"/>
      <c r="F346" s="376"/>
    </row>
    <row r="347">
      <c r="A347" s="376"/>
      <c r="F347" s="376"/>
    </row>
    <row r="348">
      <c r="A348" s="376"/>
      <c r="F348" s="376"/>
    </row>
    <row r="349">
      <c r="A349" s="376"/>
      <c r="F349" s="376"/>
    </row>
    <row r="350">
      <c r="A350" s="376"/>
      <c r="F350" s="376"/>
    </row>
    <row r="351">
      <c r="A351" s="376"/>
      <c r="F351" s="376"/>
    </row>
    <row r="352">
      <c r="A352" s="376"/>
      <c r="F352" s="376"/>
    </row>
    <row r="353">
      <c r="A353" s="376"/>
      <c r="F353" s="376"/>
    </row>
    <row r="354">
      <c r="A354" s="376"/>
      <c r="F354" s="376"/>
    </row>
    <row r="355">
      <c r="A355" s="376"/>
      <c r="F355" s="376"/>
    </row>
    <row r="356">
      <c r="A356" s="376"/>
      <c r="F356" s="376"/>
    </row>
    <row r="357">
      <c r="A357" s="376"/>
      <c r="F357" s="376"/>
    </row>
    <row r="358">
      <c r="A358" s="376"/>
      <c r="F358" s="376"/>
    </row>
    <row r="359">
      <c r="A359" s="376"/>
      <c r="F359" s="376"/>
    </row>
    <row r="360">
      <c r="A360" s="376"/>
      <c r="F360" s="376"/>
    </row>
    <row r="361">
      <c r="A361" s="376"/>
      <c r="F361" s="376"/>
    </row>
    <row r="362">
      <c r="A362" s="376"/>
      <c r="F362" s="376"/>
    </row>
    <row r="363">
      <c r="A363" s="376"/>
      <c r="F363" s="376"/>
    </row>
    <row r="364">
      <c r="A364" s="376"/>
      <c r="F364" s="376"/>
    </row>
    <row r="365">
      <c r="A365" s="376"/>
      <c r="F365" s="376"/>
    </row>
    <row r="366">
      <c r="A366" s="376"/>
      <c r="F366" s="376"/>
    </row>
    <row r="367">
      <c r="A367" s="376"/>
      <c r="F367" s="376"/>
    </row>
    <row r="368">
      <c r="A368" s="376"/>
      <c r="F368" s="376"/>
    </row>
    <row r="369">
      <c r="A369" s="376"/>
      <c r="F369" s="376"/>
    </row>
    <row r="370">
      <c r="A370" s="376"/>
      <c r="F370" s="376"/>
    </row>
    <row r="371">
      <c r="A371" s="376"/>
      <c r="F371" s="376"/>
    </row>
    <row r="372">
      <c r="A372" s="376"/>
      <c r="F372" s="376"/>
    </row>
    <row r="373">
      <c r="A373" s="376"/>
      <c r="F373" s="376"/>
    </row>
    <row r="374">
      <c r="A374" s="376"/>
      <c r="F374" s="376"/>
    </row>
    <row r="375">
      <c r="A375" s="376"/>
      <c r="F375" s="376"/>
    </row>
    <row r="376">
      <c r="A376" s="376"/>
      <c r="F376" s="376"/>
    </row>
    <row r="377">
      <c r="A377" s="376"/>
      <c r="F377" s="376"/>
    </row>
    <row r="378">
      <c r="A378" s="376"/>
      <c r="F378" s="376"/>
    </row>
    <row r="379">
      <c r="A379" s="376"/>
      <c r="F379" s="376"/>
    </row>
    <row r="380">
      <c r="A380" s="376"/>
      <c r="F380" s="376"/>
    </row>
    <row r="381">
      <c r="A381" s="376"/>
      <c r="F381" s="376"/>
    </row>
    <row r="382">
      <c r="A382" s="376"/>
      <c r="F382" s="376"/>
    </row>
    <row r="383">
      <c r="A383" s="376"/>
      <c r="F383" s="376"/>
    </row>
    <row r="384">
      <c r="A384" s="376"/>
      <c r="F384" s="376"/>
    </row>
    <row r="385">
      <c r="A385" s="376"/>
      <c r="F385" s="376"/>
    </row>
    <row r="386">
      <c r="A386" s="376"/>
      <c r="F386" s="376"/>
    </row>
    <row r="387">
      <c r="A387" s="376"/>
      <c r="F387" s="376"/>
    </row>
    <row r="388">
      <c r="A388" s="376"/>
      <c r="F388" s="376"/>
    </row>
    <row r="389">
      <c r="A389" s="376"/>
      <c r="F389" s="376"/>
    </row>
    <row r="390">
      <c r="A390" s="376"/>
      <c r="F390" s="376"/>
    </row>
    <row r="391">
      <c r="A391" s="376"/>
      <c r="F391" s="376"/>
    </row>
    <row r="392">
      <c r="A392" s="376"/>
      <c r="F392" s="376"/>
    </row>
    <row r="393">
      <c r="A393" s="376"/>
      <c r="F393" s="376"/>
    </row>
    <row r="394">
      <c r="A394" s="376"/>
      <c r="F394" s="376"/>
    </row>
    <row r="395">
      <c r="A395" s="376"/>
      <c r="F395" s="376"/>
    </row>
    <row r="396">
      <c r="A396" s="376"/>
      <c r="F396" s="376"/>
    </row>
    <row r="397">
      <c r="A397" s="376"/>
      <c r="F397" s="376"/>
    </row>
    <row r="398">
      <c r="A398" s="376"/>
      <c r="F398" s="376"/>
    </row>
    <row r="399">
      <c r="A399" s="376"/>
      <c r="F399" s="376"/>
    </row>
    <row r="400">
      <c r="A400" s="376"/>
      <c r="F400" s="376"/>
    </row>
    <row r="401">
      <c r="A401" s="376"/>
      <c r="F401" s="376"/>
    </row>
    <row r="402">
      <c r="A402" s="376"/>
      <c r="F402" s="376"/>
    </row>
    <row r="403">
      <c r="A403" s="376"/>
      <c r="F403" s="376"/>
    </row>
    <row r="404">
      <c r="A404" s="376"/>
      <c r="F404" s="376"/>
    </row>
    <row r="405">
      <c r="A405" s="376"/>
      <c r="F405" s="376"/>
    </row>
    <row r="406">
      <c r="A406" s="376"/>
      <c r="F406" s="376"/>
    </row>
    <row r="407">
      <c r="A407" s="376"/>
      <c r="F407" s="376"/>
    </row>
    <row r="408">
      <c r="A408" s="376"/>
      <c r="F408" s="376"/>
    </row>
    <row r="409">
      <c r="A409" s="376"/>
      <c r="F409" s="376"/>
    </row>
    <row r="410">
      <c r="A410" s="376"/>
      <c r="F410" s="376"/>
    </row>
    <row r="411">
      <c r="A411" s="376"/>
      <c r="F411" s="376"/>
    </row>
    <row r="412">
      <c r="A412" s="376"/>
      <c r="F412" s="376"/>
    </row>
    <row r="413">
      <c r="A413" s="376"/>
      <c r="F413" s="376"/>
    </row>
    <row r="414">
      <c r="A414" s="376"/>
      <c r="F414" s="376"/>
    </row>
    <row r="415">
      <c r="A415" s="376"/>
      <c r="F415" s="376"/>
    </row>
    <row r="416">
      <c r="A416" s="376"/>
      <c r="F416" s="376"/>
    </row>
    <row r="417">
      <c r="A417" s="376"/>
      <c r="F417" s="376"/>
    </row>
    <row r="418">
      <c r="A418" s="376"/>
      <c r="F418" s="376"/>
    </row>
    <row r="419">
      <c r="A419" s="376"/>
      <c r="F419" s="376"/>
    </row>
    <row r="420">
      <c r="A420" s="376"/>
      <c r="F420" s="376"/>
    </row>
    <row r="421">
      <c r="A421" s="376"/>
      <c r="F421" s="376"/>
    </row>
    <row r="422">
      <c r="A422" s="376"/>
      <c r="F422" s="376"/>
    </row>
    <row r="423">
      <c r="A423" s="376"/>
      <c r="F423" s="376"/>
    </row>
    <row r="424">
      <c r="A424" s="376"/>
      <c r="F424" s="376"/>
    </row>
    <row r="425">
      <c r="A425" s="376"/>
      <c r="F425" s="376"/>
    </row>
    <row r="426">
      <c r="A426" s="376"/>
      <c r="F426" s="376"/>
    </row>
    <row r="427">
      <c r="A427" s="376"/>
      <c r="F427" s="376"/>
    </row>
    <row r="428">
      <c r="A428" s="376"/>
      <c r="F428" s="376"/>
    </row>
    <row r="429">
      <c r="A429" s="376"/>
      <c r="F429" s="376"/>
    </row>
    <row r="430">
      <c r="A430" s="376"/>
      <c r="F430" s="376"/>
    </row>
    <row r="431">
      <c r="A431" s="376"/>
      <c r="F431" s="376"/>
    </row>
    <row r="432">
      <c r="A432" s="376"/>
      <c r="F432" s="376"/>
    </row>
    <row r="433">
      <c r="A433" s="376"/>
      <c r="F433" s="376"/>
    </row>
    <row r="434">
      <c r="A434" s="376"/>
      <c r="F434" s="376"/>
    </row>
    <row r="435">
      <c r="A435" s="376"/>
      <c r="F435" s="376"/>
    </row>
    <row r="436">
      <c r="A436" s="376"/>
      <c r="F436" s="376"/>
    </row>
    <row r="437">
      <c r="A437" s="376"/>
      <c r="F437" s="376"/>
    </row>
    <row r="438">
      <c r="A438" s="376"/>
      <c r="F438" s="376"/>
    </row>
    <row r="439">
      <c r="A439" s="376"/>
      <c r="F439" s="376"/>
    </row>
    <row r="440">
      <c r="A440" s="376"/>
      <c r="F440" s="376"/>
    </row>
    <row r="441">
      <c r="A441" s="376"/>
      <c r="F441" s="376"/>
    </row>
    <row r="442">
      <c r="A442" s="376"/>
      <c r="F442" s="376"/>
    </row>
    <row r="443">
      <c r="A443" s="376"/>
      <c r="F443" s="376"/>
    </row>
    <row r="444">
      <c r="A444" s="376"/>
      <c r="F444" s="376"/>
    </row>
    <row r="445">
      <c r="A445" s="376"/>
      <c r="F445" s="376"/>
    </row>
    <row r="446">
      <c r="A446" s="376"/>
      <c r="F446" s="376"/>
    </row>
    <row r="447">
      <c r="A447" s="376"/>
      <c r="F447" s="376"/>
    </row>
    <row r="448">
      <c r="A448" s="376"/>
      <c r="F448" s="376"/>
    </row>
    <row r="449">
      <c r="A449" s="376"/>
      <c r="F449" s="376"/>
    </row>
    <row r="450">
      <c r="A450" s="376"/>
      <c r="F450" s="376"/>
    </row>
    <row r="451">
      <c r="A451" s="376"/>
      <c r="F451" s="376"/>
    </row>
    <row r="452">
      <c r="A452" s="376"/>
      <c r="F452" s="376"/>
    </row>
    <row r="453">
      <c r="A453" s="376"/>
      <c r="F453" s="376"/>
    </row>
    <row r="454">
      <c r="A454" s="376"/>
      <c r="F454" s="376"/>
    </row>
    <row r="455">
      <c r="A455" s="376"/>
      <c r="F455" s="376"/>
    </row>
    <row r="456">
      <c r="A456" s="376"/>
      <c r="F456" s="376"/>
    </row>
    <row r="457">
      <c r="A457" s="376"/>
      <c r="F457" s="376"/>
    </row>
    <row r="458">
      <c r="A458" s="376"/>
      <c r="F458" s="376"/>
    </row>
    <row r="459">
      <c r="A459" s="376"/>
      <c r="F459" s="376"/>
    </row>
    <row r="460">
      <c r="A460" s="376"/>
      <c r="F460" s="376"/>
    </row>
    <row r="461">
      <c r="A461" s="376"/>
      <c r="F461" s="376"/>
    </row>
    <row r="462">
      <c r="A462" s="376"/>
      <c r="F462" s="376"/>
    </row>
    <row r="463">
      <c r="A463" s="376"/>
      <c r="F463" s="376"/>
    </row>
    <row r="464">
      <c r="A464" s="376"/>
      <c r="F464" s="376"/>
    </row>
    <row r="465">
      <c r="A465" s="376"/>
      <c r="F465" s="376"/>
    </row>
    <row r="466">
      <c r="A466" s="376"/>
      <c r="F466" s="376"/>
    </row>
    <row r="467">
      <c r="A467" s="376"/>
      <c r="F467" s="376"/>
    </row>
    <row r="468">
      <c r="A468" s="376"/>
      <c r="F468" s="376"/>
    </row>
    <row r="469">
      <c r="A469" s="376"/>
      <c r="F469" s="376"/>
    </row>
    <row r="470">
      <c r="A470" s="376"/>
      <c r="F470" s="376"/>
    </row>
    <row r="471">
      <c r="A471" s="376"/>
      <c r="F471" s="376"/>
    </row>
    <row r="472">
      <c r="A472" s="376"/>
      <c r="F472" s="376"/>
    </row>
    <row r="473">
      <c r="A473" s="376"/>
      <c r="F473" s="376"/>
    </row>
    <row r="474">
      <c r="A474" s="376"/>
      <c r="F474" s="376"/>
    </row>
    <row r="475">
      <c r="A475" s="376"/>
      <c r="F475" s="376"/>
    </row>
    <row r="476">
      <c r="A476" s="376"/>
      <c r="F476" s="376"/>
    </row>
    <row r="477">
      <c r="A477" s="376"/>
      <c r="F477" s="376"/>
    </row>
    <row r="478">
      <c r="A478" s="376"/>
      <c r="F478" s="376"/>
    </row>
    <row r="479">
      <c r="A479" s="376"/>
      <c r="F479" s="376"/>
    </row>
    <row r="480">
      <c r="A480" s="376"/>
      <c r="F480" s="376"/>
    </row>
    <row r="481">
      <c r="A481" s="376"/>
      <c r="F481" s="376"/>
    </row>
    <row r="482">
      <c r="A482" s="376"/>
      <c r="F482" s="376"/>
    </row>
    <row r="483">
      <c r="A483" s="376"/>
      <c r="F483" s="376"/>
    </row>
    <row r="484">
      <c r="A484" s="376"/>
      <c r="F484" s="376"/>
    </row>
    <row r="485">
      <c r="A485" s="376"/>
      <c r="F485" s="376"/>
    </row>
    <row r="486">
      <c r="A486" s="376"/>
      <c r="F486" s="376"/>
    </row>
    <row r="487">
      <c r="A487" s="376"/>
      <c r="F487" s="376"/>
    </row>
    <row r="488">
      <c r="A488" s="376"/>
      <c r="F488" s="376"/>
    </row>
    <row r="489">
      <c r="A489" s="376"/>
      <c r="F489" s="376"/>
    </row>
    <row r="490">
      <c r="A490" s="376"/>
      <c r="F490" s="376"/>
    </row>
    <row r="491">
      <c r="A491" s="376"/>
      <c r="F491" s="376"/>
    </row>
    <row r="492">
      <c r="A492" s="376"/>
      <c r="F492" s="376"/>
    </row>
    <row r="493">
      <c r="A493" s="376"/>
      <c r="F493" s="376"/>
    </row>
    <row r="494">
      <c r="A494" s="376"/>
      <c r="F494" s="376"/>
    </row>
    <row r="495">
      <c r="A495" s="376"/>
      <c r="F495" s="376"/>
    </row>
    <row r="496">
      <c r="A496" s="376"/>
      <c r="F496" s="376"/>
    </row>
    <row r="497">
      <c r="A497" s="376"/>
      <c r="F497" s="376"/>
    </row>
    <row r="498">
      <c r="A498" s="376"/>
      <c r="F498" s="376"/>
    </row>
    <row r="499">
      <c r="A499" s="376"/>
      <c r="F499" s="376"/>
    </row>
    <row r="500">
      <c r="A500" s="376"/>
      <c r="F500" s="376"/>
    </row>
    <row r="501">
      <c r="A501" s="376"/>
      <c r="F501" s="376"/>
    </row>
    <row r="502">
      <c r="A502" s="376"/>
      <c r="F502" s="376"/>
    </row>
    <row r="503">
      <c r="A503" s="376"/>
      <c r="F503" s="376"/>
    </row>
    <row r="504">
      <c r="A504" s="376"/>
      <c r="F504" s="376"/>
    </row>
    <row r="505">
      <c r="A505" s="376"/>
      <c r="F505" s="376"/>
    </row>
    <row r="506">
      <c r="A506" s="376"/>
      <c r="F506" s="376"/>
    </row>
    <row r="507">
      <c r="A507" s="376"/>
      <c r="F507" s="376"/>
    </row>
    <row r="508">
      <c r="A508" s="376"/>
      <c r="F508" s="376"/>
    </row>
    <row r="509">
      <c r="A509" s="376"/>
      <c r="F509" s="376"/>
    </row>
    <row r="510">
      <c r="A510" s="376"/>
      <c r="F510" s="376"/>
    </row>
    <row r="511">
      <c r="A511" s="376"/>
      <c r="F511" s="376"/>
    </row>
    <row r="512">
      <c r="A512" s="376"/>
      <c r="F512" s="376"/>
    </row>
    <row r="513">
      <c r="A513" s="376"/>
      <c r="F513" s="376"/>
    </row>
    <row r="514">
      <c r="A514" s="376"/>
      <c r="F514" s="376"/>
    </row>
    <row r="515">
      <c r="A515" s="376"/>
      <c r="F515" s="376"/>
    </row>
    <row r="516">
      <c r="A516" s="376"/>
      <c r="F516" s="376"/>
    </row>
    <row r="517">
      <c r="A517" s="376"/>
      <c r="F517" s="376"/>
    </row>
    <row r="518">
      <c r="A518" s="376"/>
      <c r="F518" s="376"/>
    </row>
    <row r="519">
      <c r="A519" s="376"/>
      <c r="F519" s="376"/>
    </row>
    <row r="520">
      <c r="A520" s="376"/>
      <c r="F520" s="376"/>
    </row>
    <row r="521">
      <c r="A521" s="376"/>
      <c r="F521" s="376"/>
    </row>
    <row r="522">
      <c r="A522" s="376"/>
      <c r="F522" s="376"/>
    </row>
    <row r="523">
      <c r="A523" s="376"/>
      <c r="F523" s="376"/>
    </row>
    <row r="524">
      <c r="A524" s="376"/>
      <c r="F524" s="376"/>
    </row>
    <row r="525">
      <c r="A525" s="376"/>
      <c r="F525" s="376"/>
    </row>
    <row r="526">
      <c r="A526" s="376"/>
      <c r="F526" s="376"/>
    </row>
    <row r="527">
      <c r="A527" s="376"/>
      <c r="F527" s="376"/>
    </row>
    <row r="528">
      <c r="A528" s="376"/>
      <c r="F528" s="376"/>
    </row>
    <row r="529">
      <c r="A529" s="376"/>
      <c r="F529" s="376"/>
    </row>
    <row r="530">
      <c r="A530" s="376"/>
      <c r="F530" s="376"/>
    </row>
    <row r="531">
      <c r="A531" s="376"/>
      <c r="F531" s="376"/>
    </row>
    <row r="532">
      <c r="A532" s="376"/>
      <c r="F532" s="376"/>
    </row>
    <row r="533">
      <c r="A533" s="376"/>
      <c r="F533" s="376"/>
    </row>
    <row r="534">
      <c r="A534" s="376"/>
      <c r="F534" s="376"/>
    </row>
    <row r="535">
      <c r="A535" s="376"/>
      <c r="F535" s="376"/>
    </row>
    <row r="536">
      <c r="A536" s="376"/>
      <c r="F536" s="376"/>
    </row>
    <row r="537">
      <c r="A537" s="376"/>
      <c r="F537" s="376"/>
    </row>
    <row r="538">
      <c r="A538" s="376"/>
      <c r="F538" s="376"/>
    </row>
    <row r="539">
      <c r="A539" s="376"/>
      <c r="F539" s="376"/>
    </row>
    <row r="540">
      <c r="A540" s="376"/>
      <c r="F540" s="376"/>
    </row>
    <row r="541">
      <c r="A541" s="376"/>
      <c r="F541" s="376"/>
    </row>
    <row r="542">
      <c r="A542" s="376"/>
      <c r="F542" s="376"/>
    </row>
    <row r="543">
      <c r="A543" s="376"/>
      <c r="F543" s="376"/>
    </row>
    <row r="544">
      <c r="A544" s="376"/>
      <c r="F544" s="376"/>
    </row>
    <row r="545">
      <c r="A545" s="376"/>
      <c r="F545" s="376"/>
    </row>
    <row r="546">
      <c r="A546" s="376"/>
      <c r="F546" s="376"/>
    </row>
    <row r="547">
      <c r="A547" s="376"/>
      <c r="F547" s="376"/>
    </row>
    <row r="548">
      <c r="A548" s="376"/>
      <c r="F548" s="376"/>
    </row>
    <row r="549">
      <c r="A549" s="376"/>
      <c r="F549" s="376"/>
    </row>
    <row r="550">
      <c r="A550" s="376"/>
      <c r="F550" s="376"/>
    </row>
    <row r="551">
      <c r="A551" s="376"/>
      <c r="F551" s="376"/>
    </row>
    <row r="552">
      <c r="A552" s="376"/>
      <c r="F552" s="376"/>
    </row>
    <row r="553">
      <c r="A553" s="376"/>
      <c r="F553" s="376"/>
    </row>
    <row r="554">
      <c r="A554" s="376"/>
      <c r="F554" s="376"/>
    </row>
    <row r="555">
      <c r="A555" s="376"/>
      <c r="F555" s="376"/>
    </row>
    <row r="556">
      <c r="A556" s="376"/>
      <c r="F556" s="376"/>
    </row>
    <row r="557">
      <c r="A557" s="376"/>
      <c r="F557" s="376"/>
    </row>
    <row r="558">
      <c r="A558" s="376"/>
      <c r="F558" s="376"/>
    </row>
    <row r="559">
      <c r="A559" s="376"/>
      <c r="F559" s="376"/>
    </row>
    <row r="560">
      <c r="A560" s="376"/>
      <c r="F560" s="376"/>
    </row>
    <row r="561">
      <c r="A561" s="376"/>
      <c r="F561" s="376"/>
    </row>
    <row r="562">
      <c r="A562" s="376"/>
      <c r="F562" s="376"/>
    </row>
    <row r="563">
      <c r="A563" s="376"/>
      <c r="F563" s="376"/>
    </row>
    <row r="564">
      <c r="A564" s="376"/>
      <c r="F564" s="376"/>
    </row>
    <row r="565">
      <c r="A565" s="376"/>
      <c r="F565" s="376"/>
    </row>
    <row r="566">
      <c r="A566" s="376"/>
      <c r="F566" s="376"/>
    </row>
    <row r="567">
      <c r="A567" s="376"/>
      <c r="F567" s="376"/>
    </row>
    <row r="568">
      <c r="A568" s="376"/>
      <c r="F568" s="376"/>
    </row>
    <row r="569">
      <c r="A569" s="376"/>
      <c r="F569" s="376"/>
    </row>
    <row r="570">
      <c r="A570" s="376"/>
      <c r="F570" s="376"/>
    </row>
    <row r="571">
      <c r="A571" s="376"/>
      <c r="F571" s="376"/>
    </row>
    <row r="572">
      <c r="A572" s="376"/>
      <c r="F572" s="376"/>
    </row>
    <row r="573">
      <c r="A573" s="376"/>
      <c r="F573" s="376"/>
    </row>
    <row r="574">
      <c r="A574" s="376"/>
      <c r="F574" s="376"/>
    </row>
    <row r="575">
      <c r="A575" s="376"/>
      <c r="F575" s="376"/>
    </row>
    <row r="576">
      <c r="A576" s="376"/>
      <c r="F576" s="376"/>
    </row>
    <row r="577">
      <c r="A577" s="376"/>
      <c r="F577" s="376"/>
    </row>
    <row r="578">
      <c r="A578" s="376"/>
      <c r="F578" s="376"/>
    </row>
    <row r="579">
      <c r="A579" s="376"/>
      <c r="F579" s="376"/>
    </row>
    <row r="580">
      <c r="A580" s="376"/>
      <c r="F580" s="376"/>
    </row>
    <row r="581">
      <c r="A581" s="376"/>
      <c r="F581" s="376"/>
    </row>
    <row r="582">
      <c r="A582" s="376"/>
      <c r="F582" s="376"/>
    </row>
    <row r="583">
      <c r="A583" s="376"/>
      <c r="F583" s="376"/>
    </row>
    <row r="584">
      <c r="A584" s="376"/>
      <c r="F584" s="376"/>
    </row>
    <row r="585">
      <c r="A585" s="376"/>
      <c r="F585" s="376"/>
    </row>
    <row r="586">
      <c r="A586" s="376"/>
      <c r="F586" s="376"/>
    </row>
    <row r="587">
      <c r="A587" s="376"/>
      <c r="F587" s="376"/>
    </row>
    <row r="588">
      <c r="A588" s="376"/>
      <c r="F588" s="376"/>
    </row>
    <row r="589">
      <c r="A589" s="376"/>
      <c r="F589" s="376"/>
    </row>
    <row r="590">
      <c r="A590" s="376"/>
      <c r="F590" s="376"/>
    </row>
    <row r="591">
      <c r="A591" s="376"/>
      <c r="F591" s="376"/>
    </row>
    <row r="592">
      <c r="A592" s="376"/>
      <c r="F592" s="376"/>
    </row>
    <row r="593">
      <c r="A593" s="376"/>
      <c r="F593" s="376"/>
    </row>
    <row r="594">
      <c r="A594" s="376"/>
      <c r="F594" s="376"/>
    </row>
    <row r="595">
      <c r="A595" s="376"/>
      <c r="F595" s="376"/>
    </row>
    <row r="596">
      <c r="A596" s="376"/>
      <c r="F596" s="376"/>
    </row>
    <row r="597">
      <c r="A597" s="376"/>
      <c r="F597" s="376"/>
    </row>
    <row r="598">
      <c r="A598" s="376"/>
      <c r="F598" s="376"/>
    </row>
    <row r="599">
      <c r="A599" s="376"/>
      <c r="F599" s="376"/>
    </row>
    <row r="600">
      <c r="A600" s="376"/>
      <c r="F600" s="376"/>
    </row>
    <row r="601">
      <c r="A601" s="376"/>
      <c r="F601" s="376"/>
    </row>
    <row r="602">
      <c r="A602" s="376"/>
      <c r="F602" s="376"/>
    </row>
    <row r="603">
      <c r="A603" s="376"/>
      <c r="F603" s="376"/>
    </row>
    <row r="604">
      <c r="A604" s="376"/>
      <c r="F604" s="376"/>
    </row>
    <row r="605">
      <c r="A605" s="376"/>
      <c r="F605" s="376"/>
    </row>
    <row r="606">
      <c r="A606" s="376"/>
      <c r="F606" s="376"/>
    </row>
    <row r="607">
      <c r="A607" s="376"/>
      <c r="F607" s="376"/>
    </row>
    <row r="608">
      <c r="A608" s="376"/>
      <c r="F608" s="376"/>
    </row>
    <row r="609">
      <c r="A609" s="376"/>
      <c r="F609" s="376"/>
    </row>
    <row r="610">
      <c r="A610" s="376"/>
      <c r="F610" s="376"/>
    </row>
    <row r="611">
      <c r="A611" s="376"/>
      <c r="F611" s="376"/>
    </row>
    <row r="612">
      <c r="A612" s="376"/>
      <c r="F612" s="376"/>
    </row>
    <row r="613">
      <c r="A613" s="376"/>
      <c r="F613" s="376"/>
    </row>
    <row r="614">
      <c r="A614" s="376"/>
      <c r="F614" s="376"/>
    </row>
    <row r="615">
      <c r="A615" s="376"/>
      <c r="F615" s="376"/>
    </row>
    <row r="616">
      <c r="A616" s="376"/>
      <c r="F616" s="376"/>
    </row>
    <row r="617">
      <c r="A617" s="376"/>
      <c r="F617" s="376"/>
    </row>
    <row r="618">
      <c r="A618" s="376"/>
      <c r="F618" s="376"/>
    </row>
    <row r="619">
      <c r="A619" s="376"/>
      <c r="F619" s="376"/>
    </row>
    <row r="620">
      <c r="A620" s="376"/>
      <c r="F620" s="376"/>
    </row>
    <row r="621">
      <c r="A621" s="376"/>
      <c r="F621" s="376"/>
    </row>
    <row r="622">
      <c r="A622" s="376"/>
      <c r="F622" s="376"/>
    </row>
    <row r="623">
      <c r="A623" s="376"/>
      <c r="F623" s="376"/>
    </row>
    <row r="624">
      <c r="A624" s="376"/>
      <c r="F624" s="376"/>
    </row>
    <row r="625">
      <c r="A625" s="376"/>
      <c r="F625" s="376"/>
    </row>
    <row r="626">
      <c r="A626" s="376"/>
      <c r="F626" s="376"/>
    </row>
    <row r="627">
      <c r="A627" s="376"/>
      <c r="F627" s="376"/>
    </row>
    <row r="628">
      <c r="A628" s="376"/>
      <c r="F628" s="376"/>
    </row>
    <row r="629">
      <c r="A629" s="376"/>
      <c r="F629" s="376"/>
    </row>
    <row r="630">
      <c r="A630" s="376"/>
      <c r="F630" s="376"/>
    </row>
    <row r="631">
      <c r="A631" s="376"/>
      <c r="F631" s="376"/>
    </row>
    <row r="632">
      <c r="A632" s="376"/>
      <c r="F632" s="376"/>
    </row>
    <row r="633">
      <c r="A633" s="376"/>
      <c r="F633" s="376"/>
    </row>
    <row r="634">
      <c r="A634" s="376"/>
      <c r="F634" s="376"/>
    </row>
    <row r="635">
      <c r="A635" s="376"/>
      <c r="F635" s="376"/>
    </row>
    <row r="636">
      <c r="A636" s="376"/>
      <c r="F636" s="376"/>
    </row>
    <row r="637">
      <c r="A637" s="376"/>
      <c r="F637" s="376"/>
    </row>
    <row r="638">
      <c r="A638" s="376"/>
      <c r="F638" s="376"/>
    </row>
    <row r="639">
      <c r="A639" s="376"/>
      <c r="F639" s="376"/>
    </row>
    <row r="640">
      <c r="A640" s="376"/>
      <c r="F640" s="376"/>
    </row>
    <row r="641">
      <c r="A641" s="376"/>
      <c r="F641" s="376"/>
    </row>
    <row r="642">
      <c r="A642" s="376"/>
      <c r="F642" s="376"/>
    </row>
    <row r="643">
      <c r="A643" s="376"/>
      <c r="F643" s="376"/>
    </row>
    <row r="644">
      <c r="A644" s="376"/>
      <c r="F644" s="376"/>
    </row>
    <row r="645">
      <c r="A645" s="376"/>
      <c r="F645" s="376"/>
    </row>
    <row r="646">
      <c r="A646" s="376"/>
      <c r="F646" s="376"/>
    </row>
    <row r="647">
      <c r="A647" s="376"/>
      <c r="F647" s="376"/>
    </row>
    <row r="648">
      <c r="A648" s="376"/>
      <c r="F648" s="376"/>
    </row>
    <row r="649">
      <c r="A649" s="376"/>
      <c r="F649" s="376"/>
    </row>
    <row r="650">
      <c r="A650" s="376"/>
      <c r="F650" s="376"/>
    </row>
    <row r="651">
      <c r="A651" s="376"/>
      <c r="F651" s="376"/>
    </row>
    <row r="652">
      <c r="A652" s="376"/>
      <c r="F652" s="376"/>
    </row>
    <row r="653">
      <c r="A653" s="376"/>
      <c r="F653" s="376"/>
    </row>
    <row r="654">
      <c r="A654" s="376"/>
      <c r="F654" s="376"/>
    </row>
    <row r="655">
      <c r="A655" s="376"/>
      <c r="F655" s="376"/>
    </row>
    <row r="656">
      <c r="A656" s="376"/>
      <c r="F656" s="376"/>
    </row>
    <row r="657">
      <c r="A657" s="376"/>
      <c r="F657" s="376"/>
    </row>
    <row r="658">
      <c r="A658" s="376"/>
      <c r="F658" s="376"/>
    </row>
    <row r="659">
      <c r="A659" s="376"/>
      <c r="F659" s="376"/>
    </row>
    <row r="660">
      <c r="A660" s="376"/>
      <c r="F660" s="376"/>
    </row>
    <row r="661">
      <c r="A661" s="376"/>
      <c r="F661" s="376"/>
    </row>
    <row r="662">
      <c r="A662" s="376"/>
      <c r="F662" s="376"/>
    </row>
    <row r="663">
      <c r="A663" s="376"/>
      <c r="F663" s="376"/>
    </row>
    <row r="664">
      <c r="A664" s="376"/>
      <c r="F664" s="376"/>
    </row>
    <row r="665">
      <c r="A665" s="376"/>
      <c r="F665" s="376"/>
    </row>
    <row r="666">
      <c r="A666" s="376"/>
      <c r="F666" s="376"/>
    </row>
    <row r="667">
      <c r="A667" s="376"/>
      <c r="F667" s="376"/>
    </row>
    <row r="668">
      <c r="A668" s="376"/>
      <c r="F668" s="376"/>
    </row>
    <row r="669">
      <c r="A669" s="376"/>
      <c r="F669" s="376"/>
    </row>
    <row r="670">
      <c r="A670" s="376"/>
      <c r="F670" s="376"/>
    </row>
    <row r="671">
      <c r="A671" s="376"/>
      <c r="F671" s="376"/>
    </row>
    <row r="672">
      <c r="A672" s="376"/>
      <c r="F672" s="376"/>
    </row>
    <row r="673">
      <c r="A673" s="376"/>
      <c r="F673" s="376"/>
    </row>
    <row r="674">
      <c r="A674" s="376"/>
      <c r="F674" s="376"/>
    </row>
    <row r="675">
      <c r="A675" s="376"/>
      <c r="F675" s="376"/>
    </row>
    <row r="676">
      <c r="A676" s="376"/>
      <c r="F676" s="376"/>
    </row>
    <row r="677">
      <c r="A677" s="376"/>
      <c r="F677" s="376"/>
    </row>
    <row r="678">
      <c r="A678" s="376"/>
      <c r="F678" s="376"/>
    </row>
    <row r="679">
      <c r="A679" s="376"/>
      <c r="F679" s="376"/>
    </row>
    <row r="680">
      <c r="A680" s="376"/>
      <c r="F680" s="376"/>
    </row>
    <row r="681">
      <c r="A681" s="376"/>
      <c r="F681" s="376"/>
    </row>
    <row r="682">
      <c r="A682" s="376"/>
      <c r="F682" s="376"/>
    </row>
    <row r="683">
      <c r="A683" s="376"/>
      <c r="F683" s="376"/>
    </row>
    <row r="684">
      <c r="A684" s="376"/>
      <c r="F684" s="376"/>
    </row>
    <row r="685">
      <c r="A685" s="376"/>
      <c r="F685" s="376"/>
    </row>
    <row r="686">
      <c r="A686" s="376"/>
      <c r="F686" s="376"/>
    </row>
    <row r="687">
      <c r="A687" s="376"/>
      <c r="F687" s="376"/>
    </row>
    <row r="688">
      <c r="A688" s="376"/>
      <c r="F688" s="376"/>
    </row>
    <row r="689">
      <c r="A689" s="376"/>
      <c r="F689" s="376"/>
    </row>
    <row r="690">
      <c r="A690" s="376"/>
      <c r="F690" s="376"/>
    </row>
    <row r="691">
      <c r="A691" s="376"/>
      <c r="F691" s="376"/>
    </row>
    <row r="692">
      <c r="A692" s="376"/>
      <c r="F692" s="376"/>
    </row>
    <row r="693">
      <c r="A693" s="376"/>
      <c r="F693" s="376"/>
    </row>
    <row r="694">
      <c r="A694" s="376"/>
      <c r="F694" s="376"/>
    </row>
    <row r="695">
      <c r="A695" s="376"/>
      <c r="F695" s="376"/>
    </row>
    <row r="696">
      <c r="A696" s="376"/>
      <c r="F696" s="376"/>
    </row>
    <row r="697">
      <c r="A697" s="376"/>
      <c r="F697" s="376"/>
    </row>
    <row r="698">
      <c r="A698" s="376"/>
      <c r="F698" s="376"/>
    </row>
    <row r="699">
      <c r="A699" s="376"/>
      <c r="F699" s="376"/>
    </row>
    <row r="700">
      <c r="A700" s="376"/>
      <c r="F700" s="376"/>
    </row>
    <row r="701">
      <c r="A701" s="376"/>
      <c r="F701" s="376"/>
    </row>
    <row r="702">
      <c r="A702" s="376"/>
      <c r="F702" s="376"/>
    </row>
    <row r="703">
      <c r="A703" s="376"/>
      <c r="F703" s="376"/>
    </row>
    <row r="704">
      <c r="A704" s="376"/>
      <c r="F704" s="376"/>
    </row>
    <row r="705">
      <c r="A705" s="376"/>
      <c r="F705" s="376"/>
    </row>
    <row r="706">
      <c r="A706" s="376"/>
      <c r="F706" s="376"/>
    </row>
    <row r="707">
      <c r="A707" s="376"/>
      <c r="F707" s="376"/>
    </row>
    <row r="708">
      <c r="A708" s="376"/>
      <c r="F708" s="376"/>
    </row>
    <row r="709">
      <c r="A709" s="376"/>
      <c r="F709" s="376"/>
    </row>
    <row r="710">
      <c r="A710" s="376"/>
      <c r="F710" s="376"/>
    </row>
    <row r="711">
      <c r="A711" s="376"/>
      <c r="F711" s="376"/>
    </row>
    <row r="712">
      <c r="A712" s="376"/>
      <c r="F712" s="376"/>
    </row>
    <row r="713">
      <c r="A713" s="376"/>
      <c r="F713" s="376"/>
    </row>
    <row r="714">
      <c r="A714" s="376"/>
      <c r="F714" s="376"/>
    </row>
    <row r="715">
      <c r="A715" s="376"/>
      <c r="F715" s="376"/>
    </row>
    <row r="716">
      <c r="A716" s="376"/>
      <c r="F716" s="376"/>
    </row>
    <row r="717">
      <c r="A717" s="376"/>
      <c r="F717" s="376"/>
    </row>
    <row r="718">
      <c r="A718" s="376"/>
      <c r="F718" s="376"/>
    </row>
    <row r="719">
      <c r="A719" s="376"/>
      <c r="F719" s="376"/>
    </row>
    <row r="720">
      <c r="A720" s="376"/>
      <c r="F720" s="376"/>
    </row>
    <row r="721">
      <c r="A721" s="376"/>
      <c r="F721" s="376"/>
    </row>
    <row r="722">
      <c r="A722" s="376"/>
      <c r="F722" s="376"/>
    </row>
    <row r="723">
      <c r="A723" s="376"/>
      <c r="F723" s="376"/>
    </row>
    <row r="724">
      <c r="A724" s="376"/>
      <c r="F724" s="376"/>
    </row>
    <row r="725">
      <c r="A725" s="376"/>
      <c r="F725" s="376"/>
    </row>
    <row r="726">
      <c r="A726" s="376"/>
      <c r="F726" s="376"/>
    </row>
    <row r="727">
      <c r="A727" s="376"/>
      <c r="F727" s="376"/>
    </row>
    <row r="728">
      <c r="A728" s="376"/>
      <c r="F728" s="376"/>
    </row>
    <row r="729">
      <c r="A729" s="376"/>
      <c r="F729" s="376"/>
    </row>
    <row r="730">
      <c r="A730" s="376"/>
      <c r="F730" s="376"/>
    </row>
    <row r="731">
      <c r="A731" s="376"/>
      <c r="F731" s="376"/>
    </row>
    <row r="732">
      <c r="A732" s="376"/>
      <c r="F732" s="376"/>
    </row>
    <row r="733">
      <c r="A733" s="376"/>
      <c r="F733" s="376"/>
    </row>
    <row r="734">
      <c r="A734" s="376"/>
      <c r="F734" s="376"/>
    </row>
    <row r="735">
      <c r="A735" s="376"/>
      <c r="F735" s="376"/>
    </row>
    <row r="736">
      <c r="A736" s="376"/>
      <c r="F736" s="376"/>
    </row>
    <row r="737">
      <c r="A737" s="376"/>
      <c r="F737" s="376"/>
    </row>
    <row r="738">
      <c r="A738" s="376"/>
      <c r="F738" s="376"/>
    </row>
    <row r="739">
      <c r="A739" s="376"/>
      <c r="F739" s="376"/>
    </row>
    <row r="740">
      <c r="A740" s="376"/>
      <c r="F740" s="376"/>
    </row>
    <row r="741">
      <c r="A741" s="376"/>
      <c r="F741" s="376"/>
    </row>
    <row r="742">
      <c r="A742" s="376"/>
      <c r="F742" s="376"/>
    </row>
    <row r="743">
      <c r="A743" s="376"/>
      <c r="F743" s="376"/>
    </row>
    <row r="744">
      <c r="A744" s="376"/>
      <c r="F744" s="376"/>
    </row>
    <row r="745">
      <c r="A745" s="376"/>
      <c r="F745" s="376"/>
    </row>
    <row r="746">
      <c r="A746" s="376"/>
      <c r="F746" s="376"/>
    </row>
    <row r="747">
      <c r="A747" s="376"/>
      <c r="F747" s="376"/>
    </row>
    <row r="748">
      <c r="A748" s="376"/>
      <c r="F748" s="376"/>
    </row>
    <row r="749">
      <c r="A749" s="376"/>
      <c r="F749" s="376"/>
    </row>
    <row r="750">
      <c r="A750" s="376"/>
      <c r="F750" s="376"/>
    </row>
    <row r="751">
      <c r="A751" s="376"/>
      <c r="F751" s="376"/>
    </row>
    <row r="752">
      <c r="A752" s="376"/>
      <c r="F752" s="376"/>
    </row>
    <row r="753">
      <c r="A753" s="376"/>
      <c r="F753" s="376"/>
    </row>
    <row r="754">
      <c r="A754" s="376"/>
      <c r="F754" s="376"/>
    </row>
    <row r="755">
      <c r="A755" s="376"/>
      <c r="F755" s="376"/>
    </row>
    <row r="756">
      <c r="A756" s="376"/>
      <c r="F756" s="376"/>
    </row>
    <row r="757">
      <c r="A757" s="376"/>
      <c r="F757" s="376"/>
    </row>
    <row r="758">
      <c r="A758" s="376"/>
      <c r="F758" s="376"/>
    </row>
    <row r="759">
      <c r="A759" s="376"/>
      <c r="F759" s="376"/>
    </row>
    <row r="760">
      <c r="A760" s="376"/>
      <c r="F760" s="376"/>
    </row>
    <row r="761">
      <c r="A761" s="376"/>
      <c r="F761" s="376"/>
    </row>
    <row r="762">
      <c r="A762" s="376"/>
      <c r="F762" s="376"/>
    </row>
    <row r="763">
      <c r="A763" s="376"/>
      <c r="F763" s="376"/>
    </row>
    <row r="764">
      <c r="A764" s="376"/>
      <c r="F764" s="376"/>
    </row>
    <row r="765">
      <c r="A765" s="376"/>
      <c r="F765" s="376"/>
    </row>
    <row r="766">
      <c r="A766" s="376"/>
      <c r="F766" s="376"/>
    </row>
    <row r="767">
      <c r="A767" s="376"/>
      <c r="F767" s="376"/>
    </row>
    <row r="768">
      <c r="A768" s="376"/>
      <c r="F768" s="376"/>
    </row>
    <row r="769">
      <c r="A769" s="376"/>
      <c r="F769" s="376"/>
    </row>
    <row r="770">
      <c r="A770" s="376"/>
      <c r="F770" s="376"/>
    </row>
    <row r="771">
      <c r="A771" s="376"/>
      <c r="F771" s="376"/>
    </row>
    <row r="772">
      <c r="A772" s="376"/>
      <c r="F772" s="376"/>
    </row>
    <row r="773">
      <c r="A773" s="376"/>
      <c r="F773" s="376"/>
    </row>
    <row r="774">
      <c r="A774" s="376"/>
      <c r="F774" s="376"/>
    </row>
    <row r="775">
      <c r="A775" s="376"/>
      <c r="F775" s="376"/>
    </row>
    <row r="776">
      <c r="A776" s="376"/>
      <c r="F776" s="376"/>
    </row>
    <row r="777">
      <c r="A777" s="376"/>
      <c r="F777" s="376"/>
    </row>
    <row r="778">
      <c r="A778" s="376"/>
      <c r="F778" s="376"/>
    </row>
    <row r="779">
      <c r="A779" s="376"/>
      <c r="F779" s="376"/>
    </row>
    <row r="780">
      <c r="A780" s="376"/>
      <c r="F780" s="376"/>
    </row>
    <row r="781">
      <c r="A781" s="376"/>
      <c r="F781" s="376"/>
    </row>
    <row r="782">
      <c r="A782" s="376"/>
      <c r="F782" s="376"/>
    </row>
    <row r="783">
      <c r="A783" s="376"/>
      <c r="F783" s="376"/>
    </row>
    <row r="784">
      <c r="A784" s="376"/>
      <c r="F784" s="376"/>
    </row>
    <row r="785">
      <c r="A785" s="376"/>
      <c r="F785" s="376"/>
    </row>
    <row r="786">
      <c r="A786" s="376"/>
      <c r="F786" s="376"/>
    </row>
    <row r="787">
      <c r="A787" s="376"/>
      <c r="F787" s="376"/>
    </row>
    <row r="788">
      <c r="A788" s="376"/>
      <c r="F788" s="376"/>
    </row>
    <row r="789">
      <c r="A789" s="376"/>
      <c r="F789" s="376"/>
    </row>
    <row r="790">
      <c r="A790" s="376"/>
      <c r="F790" s="376"/>
    </row>
    <row r="791">
      <c r="A791" s="376"/>
      <c r="F791" s="376"/>
    </row>
    <row r="792">
      <c r="A792" s="376"/>
      <c r="F792" s="376"/>
    </row>
    <row r="793">
      <c r="A793" s="376"/>
      <c r="F793" s="376"/>
    </row>
    <row r="794">
      <c r="A794" s="376"/>
      <c r="F794" s="376"/>
    </row>
    <row r="795">
      <c r="A795" s="376"/>
      <c r="F795" s="376"/>
    </row>
    <row r="796">
      <c r="A796" s="376"/>
      <c r="F796" s="376"/>
    </row>
    <row r="797">
      <c r="A797" s="376"/>
      <c r="F797" s="376"/>
    </row>
    <row r="798">
      <c r="A798" s="376"/>
      <c r="F798" s="376"/>
    </row>
    <row r="799">
      <c r="A799" s="376"/>
      <c r="F799" s="376"/>
    </row>
    <row r="800">
      <c r="A800" s="376"/>
      <c r="F800" s="376"/>
    </row>
    <row r="801">
      <c r="A801" s="376"/>
      <c r="F801" s="376"/>
    </row>
    <row r="802">
      <c r="A802" s="376"/>
      <c r="F802" s="376"/>
    </row>
    <row r="803">
      <c r="A803" s="376"/>
      <c r="F803" s="376"/>
    </row>
    <row r="804">
      <c r="A804" s="376"/>
      <c r="F804" s="376"/>
    </row>
    <row r="805">
      <c r="A805" s="376"/>
      <c r="F805" s="376"/>
    </row>
    <row r="806">
      <c r="A806" s="376"/>
      <c r="F806" s="376"/>
    </row>
    <row r="807">
      <c r="A807" s="376"/>
      <c r="F807" s="376"/>
    </row>
    <row r="808">
      <c r="A808" s="376"/>
      <c r="F808" s="376"/>
    </row>
    <row r="809">
      <c r="A809" s="376"/>
      <c r="F809" s="376"/>
    </row>
    <row r="810">
      <c r="A810" s="376"/>
      <c r="F810" s="376"/>
    </row>
    <row r="811">
      <c r="A811" s="376"/>
      <c r="F811" s="376"/>
    </row>
    <row r="812">
      <c r="A812" s="376"/>
      <c r="F812" s="376"/>
    </row>
    <row r="813">
      <c r="A813" s="376"/>
      <c r="F813" s="376"/>
    </row>
    <row r="814">
      <c r="A814" s="376"/>
      <c r="F814" s="376"/>
    </row>
    <row r="815">
      <c r="A815" s="376"/>
      <c r="F815" s="376"/>
    </row>
    <row r="816">
      <c r="A816" s="376"/>
      <c r="F816" s="376"/>
    </row>
    <row r="817">
      <c r="A817" s="376"/>
      <c r="F817" s="376"/>
    </row>
    <row r="818">
      <c r="A818" s="376"/>
      <c r="F818" s="376"/>
    </row>
    <row r="819">
      <c r="A819" s="376"/>
      <c r="F819" s="376"/>
    </row>
    <row r="820">
      <c r="A820" s="376"/>
      <c r="F820" s="376"/>
    </row>
    <row r="821">
      <c r="A821" s="376"/>
      <c r="F821" s="376"/>
    </row>
    <row r="822">
      <c r="A822" s="376"/>
      <c r="F822" s="376"/>
    </row>
    <row r="823">
      <c r="A823" s="376"/>
      <c r="F823" s="376"/>
    </row>
    <row r="824">
      <c r="A824" s="376"/>
      <c r="F824" s="376"/>
    </row>
    <row r="825">
      <c r="A825" s="376"/>
      <c r="F825" s="376"/>
    </row>
    <row r="826">
      <c r="A826" s="376"/>
      <c r="F826" s="376"/>
    </row>
    <row r="827">
      <c r="A827" s="376"/>
      <c r="F827" s="376"/>
    </row>
    <row r="828">
      <c r="A828" s="376"/>
      <c r="F828" s="376"/>
    </row>
    <row r="829">
      <c r="A829" s="376"/>
      <c r="F829" s="376"/>
    </row>
    <row r="830">
      <c r="A830" s="376"/>
      <c r="F830" s="376"/>
    </row>
    <row r="831">
      <c r="A831" s="376"/>
      <c r="F831" s="376"/>
    </row>
    <row r="832">
      <c r="A832" s="376"/>
      <c r="F832" s="376"/>
    </row>
    <row r="833">
      <c r="A833" s="376"/>
      <c r="F833" s="376"/>
    </row>
    <row r="834">
      <c r="A834" s="376"/>
      <c r="F834" s="376"/>
    </row>
    <row r="835">
      <c r="A835" s="376"/>
      <c r="F835" s="376"/>
    </row>
    <row r="836">
      <c r="A836" s="376"/>
      <c r="F836" s="376"/>
    </row>
    <row r="837">
      <c r="A837" s="376"/>
      <c r="F837" s="376"/>
    </row>
    <row r="838">
      <c r="A838" s="376"/>
      <c r="F838" s="376"/>
    </row>
    <row r="839">
      <c r="A839" s="376"/>
      <c r="F839" s="376"/>
    </row>
    <row r="840">
      <c r="A840" s="376"/>
      <c r="F840" s="376"/>
    </row>
    <row r="841">
      <c r="A841" s="376"/>
      <c r="F841" s="376"/>
    </row>
    <row r="842">
      <c r="A842" s="376"/>
      <c r="F842" s="376"/>
    </row>
    <row r="843">
      <c r="A843" s="376"/>
      <c r="F843" s="376"/>
    </row>
    <row r="844">
      <c r="A844" s="376"/>
      <c r="F844" s="376"/>
    </row>
    <row r="845">
      <c r="A845" s="376"/>
      <c r="F845" s="376"/>
    </row>
    <row r="846">
      <c r="A846" s="376"/>
      <c r="F846" s="376"/>
    </row>
    <row r="847">
      <c r="A847" s="376"/>
      <c r="F847" s="376"/>
    </row>
    <row r="848">
      <c r="A848" s="376"/>
      <c r="F848" s="376"/>
    </row>
    <row r="849">
      <c r="A849" s="376"/>
      <c r="F849" s="376"/>
    </row>
    <row r="850">
      <c r="A850" s="376"/>
      <c r="F850" s="376"/>
    </row>
    <row r="851">
      <c r="A851" s="376"/>
      <c r="F851" s="376"/>
    </row>
    <row r="852">
      <c r="A852" s="376"/>
      <c r="F852" s="376"/>
    </row>
    <row r="853">
      <c r="A853" s="376"/>
      <c r="F853" s="376"/>
    </row>
    <row r="854">
      <c r="A854" s="376"/>
      <c r="F854" s="376"/>
    </row>
    <row r="855">
      <c r="A855" s="376"/>
      <c r="F855" s="376"/>
    </row>
    <row r="856">
      <c r="A856" s="376"/>
      <c r="F856" s="376"/>
    </row>
    <row r="857">
      <c r="A857" s="376"/>
      <c r="F857" s="376"/>
    </row>
    <row r="858">
      <c r="A858" s="376"/>
      <c r="F858" s="376"/>
    </row>
    <row r="859">
      <c r="A859" s="376"/>
      <c r="F859" s="376"/>
    </row>
    <row r="860">
      <c r="A860" s="376"/>
      <c r="F860" s="376"/>
    </row>
    <row r="861">
      <c r="A861" s="376"/>
      <c r="F861" s="376"/>
    </row>
    <row r="862">
      <c r="A862" s="376"/>
      <c r="F862" s="376"/>
    </row>
    <row r="863">
      <c r="A863" s="376"/>
      <c r="F863" s="376"/>
    </row>
    <row r="864">
      <c r="A864" s="376"/>
      <c r="F864" s="376"/>
    </row>
    <row r="865">
      <c r="A865" s="376"/>
      <c r="F865" s="376"/>
    </row>
    <row r="866">
      <c r="A866" s="376"/>
      <c r="F866" s="376"/>
    </row>
    <row r="867">
      <c r="A867" s="376"/>
      <c r="F867" s="376"/>
    </row>
    <row r="868">
      <c r="A868" s="376"/>
      <c r="F868" s="376"/>
    </row>
    <row r="869">
      <c r="A869" s="376"/>
      <c r="F869" s="376"/>
    </row>
    <row r="870">
      <c r="A870" s="376"/>
      <c r="F870" s="376"/>
    </row>
    <row r="871">
      <c r="A871" s="376"/>
      <c r="F871" s="376"/>
    </row>
    <row r="872">
      <c r="A872" s="376"/>
      <c r="F872" s="376"/>
    </row>
    <row r="873">
      <c r="A873" s="376"/>
      <c r="F873" s="376"/>
    </row>
    <row r="874">
      <c r="A874" s="376"/>
      <c r="F874" s="376"/>
    </row>
    <row r="875">
      <c r="A875" s="376"/>
      <c r="F875" s="376"/>
    </row>
    <row r="876">
      <c r="A876" s="376"/>
      <c r="F876" s="376"/>
    </row>
    <row r="877">
      <c r="A877" s="376"/>
      <c r="F877" s="376"/>
    </row>
    <row r="878">
      <c r="A878" s="376"/>
      <c r="F878" s="376"/>
    </row>
    <row r="879">
      <c r="A879" s="376"/>
      <c r="F879" s="376"/>
    </row>
    <row r="880">
      <c r="A880" s="376"/>
      <c r="F880" s="376"/>
    </row>
    <row r="881">
      <c r="A881" s="376"/>
      <c r="F881" s="376"/>
    </row>
    <row r="882">
      <c r="A882" s="376"/>
      <c r="F882" s="376"/>
    </row>
    <row r="883">
      <c r="A883" s="376"/>
      <c r="F883" s="376"/>
    </row>
    <row r="884">
      <c r="A884" s="376"/>
      <c r="F884" s="376"/>
    </row>
    <row r="885">
      <c r="A885" s="376"/>
      <c r="F885" s="376"/>
    </row>
    <row r="886">
      <c r="A886" s="376"/>
      <c r="F886" s="376"/>
    </row>
    <row r="887">
      <c r="A887" s="376"/>
      <c r="F887" s="376"/>
    </row>
    <row r="888">
      <c r="A888" s="376"/>
      <c r="F888" s="376"/>
    </row>
    <row r="889">
      <c r="A889" s="376"/>
      <c r="F889" s="376"/>
    </row>
    <row r="890">
      <c r="A890" s="376"/>
      <c r="F890" s="376"/>
    </row>
    <row r="891">
      <c r="A891" s="376"/>
      <c r="F891" s="376"/>
    </row>
    <row r="892">
      <c r="A892" s="376"/>
      <c r="F892" s="376"/>
    </row>
    <row r="893">
      <c r="A893" s="376"/>
      <c r="F893" s="376"/>
    </row>
    <row r="894">
      <c r="A894" s="376"/>
      <c r="F894" s="376"/>
    </row>
    <row r="895">
      <c r="A895" s="376"/>
      <c r="F895" s="376"/>
    </row>
    <row r="896">
      <c r="A896" s="376"/>
      <c r="F896" s="376"/>
    </row>
    <row r="897">
      <c r="A897" s="376"/>
      <c r="F897" s="376"/>
    </row>
    <row r="898">
      <c r="A898" s="376"/>
      <c r="F898" s="376"/>
    </row>
    <row r="899">
      <c r="A899" s="376"/>
      <c r="F899" s="376"/>
    </row>
    <row r="900">
      <c r="A900" s="376"/>
      <c r="F900" s="376"/>
    </row>
    <row r="901">
      <c r="A901" s="376"/>
      <c r="F901" s="376"/>
    </row>
    <row r="902">
      <c r="A902" s="376"/>
      <c r="F902" s="376"/>
    </row>
    <row r="903">
      <c r="A903" s="376"/>
      <c r="F903" s="376"/>
    </row>
    <row r="904">
      <c r="A904" s="376"/>
      <c r="F904" s="376"/>
    </row>
    <row r="905">
      <c r="A905" s="376"/>
      <c r="F905" s="376"/>
    </row>
    <row r="906">
      <c r="A906" s="376"/>
      <c r="F906" s="376"/>
    </row>
    <row r="907">
      <c r="A907" s="376"/>
      <c r="F907" s="376"/>
    </row>
    <row r="908">
      <c r="A908" s="376"/>
      <c r="F908" s="376"/>
    </row>
    <row r="909">
      <c r="A909" s="376"/>
      <c r="F909" s="376"/>
    </row>
    <row r="910">
      <c r="A910" s="376"/>
      <c r="F910" s="376"/>
    </row>
    <row r="911">
      <c r="A911" s="376"/>
      <c r="F911" s="376"/>
    </row>
    <row r="912">
      <c r="A912" s="376"/>
      <c r="F912" s="376"/>
    </row>
    <row r="913">
      <c r="A913" s="376"/>
      <c r="F913" s="376"/>
    </row>
    <row r="914">
      <c r="A914" s="376"/>
      <c r="F914" s="376"/>
    </row>
    <row r="915">
      <c r="A915" s="376"/>
      <c r="F915" s="376"/>
    </row>
    <row r="916">
      <c r="A916" s="376"/>
      <c r="F916" s="376"/>
    </row>
    <row r="917">
      <c r="A917" s="376"/>
      <c r="F917" s="376"/>
    </row>
    <row r="918">
      <c r="A918" s="376"/>
      <c r="F918" s="376"/>
    </row>
    <row r="919">
      <c r="A919" s="376"/>
      <c r="F919" s="376"/>
    </row>
    <row r="920">
      <c r="A920" s="376"/>
      <c r="F920" s="376"/>
    </row>
    <row r="921">
      <c r="A921" s="376"/>
      <c r="F921" s="376"/>
    </row>
    <row r="922">
      <c r="A922" s="376"/>
      <c r="F922" s="376"/>
    </row>
    <row r="923">
      <c r="A923" s="376"/>
      <c r="F923" s="376"/>
    </row>
    <row r="924">
      <c r="A924" s="376"/>
      <c r="F924" s="376"/>
    </row>
    <row r="925">
      <c r="A925" s="376"/>
      <c r="F925" s="376"/>
    </row>
    <row r="926">
      <c r="A926" s="376"/>
      <c r="F926" s="376"/>
    </row>
    <row r="927">
      <c r="A927" s="376"/>
      <c r="F927" s="376"/>
    </row>
    <row r="928">
      <c r="A928" s="376"/>
      <c r="F928" s="376"/>
    </row>
    <row r="929">
      <c r="A929" s="376"/>
      <c r="F929" s="376"/>
    </row>
    <row r="930">
      <c r="A930" s="376"/>
      <c r="F930" s="376"/>
    </row>
    <row r="931">
      <c r="A931" s="376"/>
      <c r="F931" s="376"/>
    </row>
    <row r="932">
      <c r="A932" s="376"/>
      <c r="F932" s="376"/>
    </row>
    <row r="933">
      <c r="A933" s="376"/>
      <c r="F933" s="376"/>
    </row>
    <row r="934">
      <c r="A934" s="376"/>
      <c r="F934" s="376"/>
    </row>
    <row r="935">
      <c r="A935" s="376"/>
      <c r="F935" s="376"/>
    </row>
    <row r="936">
      <c r="A936" s="376"/>
      <c r="F936" s="376"/>
    </row>
    <row r="937">
      <c r="A937" s="376"/>
      <c r="F937" s="376"/>
    </row>
    <row r="938">
      <c r="A938" s="376"/>
      <c r="F938" s="376"/>
    </row>
    <row r="939">
      <c r="A939" s="376"/>
      <c r="F939" s="376"/>
    </row>
    <row r="940">
      <c r="A940" s="376"/>
      <c r="F940" s="376"/>
    </row>
    <row r="941">
      <c r="A941" s="376"/>
      <c r="F941" s="376"/>
    </row>
    <row r="942">
      <c r="A942" s="376"/>
      <c r="F942" s="376"/>
    </row>
    <row r="943">
      <c r="A943" s="376"/>
      <c r="F943" s="376"/>
    </row>
    <row r="944">
      <c r="A944" s="376"/>
      <c r="F944" s="376"/>
    </row>
    <row r="945">
      <c r="A945" s="376"/>
      <c r="F945" s="376"/>
    </row>
    <row r="946">
      <c r="A946" s="376"/>
      <c r="F946" s="376"/>
    </row>
    <row r="947">
      <c r="A947" s="376"/>
      <c r="F947" s="376"/>
    </row>
    <row r="948">
      <c r="A948" s="376"/>
      <c r="F948" s="376"/>
    </row>
    <row r="949">
      <c r="A949" s="376"/>
      <c r="F949" s="376"/>
    </row>
    <row r="950">
      <c r="A950" s="376"/>
      <c r="F950" s="376"/>
    </row>
    <row r="951">
      <c r="A951" s="376"/>
      <c r="F951" s="376"/>
    </row>
    <row r="952">
      <c r="A952" s="376"/>
      <c r="F952" s="376"/>
    </row>
    <row r="953">
      <c r="A953" s="376"/>
      <c r="F953" s="376"/>
    </row>
    <row r="954">
      <c r="A954" s="376"/>
      <c r="F954" s="376"/>
    </row>
    <row r="955">
      <c r="A955" s="376"/>
      <c r="F955" s="376"/>
    </row>
    <row r="956">
      <c r="A956" s="376"/>
      <c r="F956" s="376"/>
    </row>
    <row r="957">
      <c r="A957" s="376"/>
      <c r="F957" s="376"/>
    </row>
    <row r="958">
      <c r="A958" s="376"/>
      <c r="F958" s="376"/>
    </row>
    <row r="959">
      <c r="A959" s="376"/>
      <c r="F959" s="376"/>
    </row>
    <row r="960">
      <c r="A960" s="376"/>
      <c r="F960" s="376"/>
    </row>
    <row r="961">
      <c r="A961" s="376"/>
      <c r="F961" s="376"/>
    </row>
    <row r="962">
      <c r="A962" s="376"/>
      <c r="F962" s="376"/>
    </row>
    <row r="963">
      <c r="A963" s="376"/>
      <c r="F963" s="376"/>
    </row>
    <row r="964">
      <c r="A964" s="376"/>
      <c r="F964" s="376"/>
    </row>
    <row r="965">
      <c r="A965" s="376"/>
      <c r="F965" s="376"/>
    </row>
    <row r="966">
      <c r="A966" s="376"/>
      <c r="F966" s="376"/>
    </row>
    <row r="967">
      <c r="A967" s="376"/>
      <c r="F967" s="376"/>
    </row>
    <row r="968">
      <c r="A968" s="376"/>
      <c r="F968" s="376"/>
    </row>
    <row r="969">
      <c r="A969" s="376"/>
      <c r="F969" s="376"/>
    </row>
    <row r="970">
      <c r="A970" s="376"/>
      <c r="F970" s="376"/>
    </row>
    <row r="971">
      <c r="A971" s="376"/>
      <c r="F971" s="376"/>
    </row>
    <row r="972">
      <c r="A972" s="376"/>
      <c r="F972" s="376"/>
    </row>
    <row r="973">
      <c r="A973" s="376"/>
      <c r="F973" s="376"/>
    </row>
    <row r="974">
      <c r="A974" s="376"/>
      <c r="F974" s="376"/>
    </row>
    <row r="975">
      <c r="A975" s="376"/>
      <c r="F975" s="376"/>
    </row>
    <row r="976">
      <c r="A976" s="376"/>
      <c r="F976" s="376"/>
    </row>
    <row r="977">
      <c r="A977" s="376"/>
      <c r="F977" s="376"/>
    </row>
    <row r="978">
      <c r="A978" s="376"/>
      <c r="F978" s="376"/>
    </row>
    <row r="979">
      <c r="A979" s="376"/>
      <c r="F979" s="376"/>
    </row>
    <row r="980">
      <c r="A980" s="376"/>
      <c r="F980" s="376"/>
    </row>
    <row r="981">
      <c r="A981" s="376"/>
      <c r="F981" s="376"/>
    </row>
    <row r="982">
      <c r="A982" s="376"/>
      <c r="F982" s="376"/>
    </row>
    <row r="983">
      <c r="A983" s="376"/>
      <c r="F983" s="376"/>
    </row>
    <row r="984">
      <c r="A984" s="376"/>
      <c r="F984" s="376"/>
    </row>
    <row r="985">
      <c r="A985" s="376"/>
      <c r="F985" s="376"/>
    </row>
    <row r="986">
      <c r="A986" s="376"/>
      <c r="F986" s="376"/>
    </row>
    <row r="987">
      <c r="A987" s="376"/>
      <c r="F987" s="376"/>
    </row>
    <row r="988">
      <c r="A988" s="376"/>
      <c r="F988" s="376"/>
    </row>
    <row r="989">
      <c r="A989" s="376"/>
      <c r="F989" s="376"/>
    </row>
    <row r="990">
      <c r="A990" s="376"/>
      <c r="F990" s="376"/>
    </row>
    <row r="991">
      <c r="A991" s="376"/>
      <c r="F991" s="376"/>
    </row>
    <row r="992">
      <c r="A992" s="376"/>
      <c r="F992" s="376"/>
    </row>
    <row r="993">
      <c r="A993" s="376"/>
      <c r="F993" s="376"/>
    </row>
    <row r="994">
      <c r="A994" s="376"/>
      <c r="F994" s="376"/>
    </row>
    <row r="995">
      <c r="A995" s="376"/>
      <c r="F995" s="376"/>
    </row>
    <row r="996">
      <c r="A996" s="376"/>
      <c r="F996" s="376"/>
    </row>
    <row r="997">
      <c r="A997" s="376"/>
      <c r="F997" s="376"/>
    </row>
    <row r="998">
      <c r="A998" s="376"/>
      <c r="F998" s="376"/>
    </row>
    <row r="999">
      <c r="A999" s="376"/>
      <c r="F999" s="376"/>
    </row>
    <row r="1000">
      <c r="A1000" s="376"/>
      <c r="F1000" s="376"/>
    </row>
  </sheetData>
  <hyperlinks>
    <hyperlink r:id="rId1" ref="C2"/>
    <hyperlink r:id="rId2" ref="G2"/>
    <hyperlink r:id="rId3" ref="C3"/>
    <hyperlink r:id="rId4" ref="G3"/>
    <hyperlink r:id="rId5" ref="C4"/>
    <hyperlink r:id="rId6" ref="G4"/>
    <hyperlink r:id="rId7" ref="C5"/>
    <hyperlink r:id="rId8" ref="G5"/>
    <hyperlink r:id="rId9" ref="G6"/>
  </hyperlinks>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16.25"/>
    <col customWidth="1" min="3" max="3" width="40.63"/>
    <col customWidth="1" min="4" max="4" width="23.88"/>
    <col customWidth="1" min="5" max="5" width="10.75"/>
    <col customWidth="1" min="6" max="6" width="10.25"/>
    <col customWidth="1" min="7" max="7" width="12.38"/>
  </cols>
  <sheetData>
    <row r="1">
      <c r="A1" s="531" t="s">
        <v>2103</v>
      </c>
      <c r="B1" s="532" t="s">
        <v>2078</v>
      </c>
      <c r="C1" s="533" t="s">
        <v>2104</v>
      </c>
      <c r="D1" s="532" t="s">
        <v>2079</v>
      </c>
      <c r="E1" s="532" t="s">
        <v>2080</v>
      </c>
      <c r="F1" s="532" t="s">
        <v>2081</v>
      </c>
      <c r="G1" s="532" t="s">
        <v>2082</v>
      </c>
      <c r="H1" s="534"/>
    </row>
    <row r="2">
      <c r="A2" s="535">
        <v>1.0</v>
      </c>
      <c r="B2" s="536" t="s">
        <v>2105</v>
      </c>
      <c r="C2" s="537" t="s">
        <v>2106</v>
      </c>
      <c r="D2" s="538" t="s">
        <v>2107</v>
      </c>
      <c r="E2" s="539" t="s">
        <v>34</v>
      </c>
      <c r="F2" s="539" t="s">
        <v>34</v>
      </c>
      <c r="G2" s="539" t="s">
        <v>2067</v>
      </c>
      <c r="H2" s="534"/>
    </row>
    <row r="3">
      <c r="A3" s="540">
        <v>2.0</v>
      </c>
      <c r="B3" s="541" t="s">
        <v>2108</v>
      </c>
      <c r="C3" s="537" t="s">
        <v>2109</v>
      </c>
      <c r="D3" s="538" t="s">
        <v>2110</v>
      </c>
      <c r="E3" s="539" t="s">
        <v>34</v>
      </c>
      <c r="F3" s="540" t="s">
        <v>27</v>
      </c>
      <c r="G3" s="539" t="s">
        <v>2067</v>
      </c>
      <c r="H3" s="534"/>
    </row>
    <row r="4">
      <c r="A4" s="535">
        <v>3.0</v>
      </c>
      <c r="B4" s="536" t="s">
        <v>2111</v>
      </c>
      <c r="C4" s="537" t="s">
        <v>2112</v>
      </c>
      <c r="D4" s="538" t="s">
        <v>2113</v>
      </c>
      <c r="E4" s="540" t="s">
        <v>27</v>
      </c>
      <c r="F4" s="540" t="s">
        <v>27</v>
      </c>
      <c r="G4" s="540" t="s">
        <v>1997</v>
      </c>
      <c r="H4" s="542" t="s">
        <v>2114</v>
      </c>
    </row>
    <row r="5">
      <c r="A5" s="540">
        <v>4.0</v>
      </c>
      <c r="B5" s="536" t="s">
        <v>2115</v>
      </c>
      <c r="C5" s="543" t="s">
        <v>2116</v>
      </c>
      <c r="D5" s="538" t="s">
        <v>2117</v>
      </c>
      <c r="E5" s="540" t="s">
        <v>27</v>
      </c>
      <c r="F5" s="539" t="s">
        <v>34</v>
      </c>
      <c r="G5" s="540" t="s">
        <v>1997</v>
      </c>
      <c r="H5" s="542" t="s">
        <v>2114</v>
      </c>
    </row>
    <row r="6">
      <c r="A6" s="535">
        <v>5.0</v>
      </c>
      <c r="B6" s="536" t="s">
        <v>2118</v>
      </c>
      <c r="C6" s="544" t="s">
        <v>2119</v>
      </c>
      <c r="D6" s="545" t="s">
        <v>2101</v>
      </c>
      <c r="E6" s="540" t="s">
        <v>27</v>
      </c>
      <c r="F6" s="540" t="s">
        <v>27</v>
      </c>
      <c r="G6" s="546"/>
      <c r="H6" s="534"/>
    </row>
  </sheetData>
  <hyperlinks>
    <hyperlink r:id="rId1" ref="C2"/>
    <hyperlink r:id="rId2" ref="D2"/>
    <hyperlink r:id="rId3" ref="C3"/>
    <hyperlink r:id="rId4" ref="D3"/>
    <hyperlink r:id="rId5" ref="C4"/>
    <hyperlink r:id="rId6" ref="D4"/>
    <hyperlink r:id="rId7" ref="C5"/>
    <hyperlink r:id="rId8" ref="D5"/>
    <hyperlink r:id="rId9" ref="C6"/>
  </hyperlinks>
  <drawing r:id="rId1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63"/>
    <col customWidth="1" min="3" max="3" width="23.75"/>
    <col customWidth="1" min="4" max="4" width="45.5"/>
    <col customWidth="1" min="5" max="5" width="15.88"/>
    <col customWidth="1" min="6" max="6" width="43.0"/>
    <col customWidth="1" min="7" max="7" width="20.5"/>
    <col customWidth="1" min="8" max="8" width="37.13"/>
    <col customWidth="1" min="9" max="9" width="20.5"/>
    <col customWidth="1" min="10" max="10" width="15.63"/>
  </cols>
  <sheetData>
    <row r="1">
      <c r="A1" s="1" t="s">
        <v>2120</v>
      </c>
      <c r="B1" s="2" t="s">
        <v>1</v>
      </c>
      <c r="C1" s="2" t="s">
        <v>1728</v>
      </c>
      <c r="D1" s="547" t="s">
        <v>2121</v>
      </c>
      <c r="E1" s="2" t="s">
        <v>9</v>
      </c>
      <c r="F1" s="2" t="s">
        <v>2122</v>
      </c>
      <c r="G1" s="2" t="s">
        <v>3</v>
      </c>
      <c r="H1" s="547" t="s">
        <v>2123</v>
      </c>
      <c r="I1" s="2" t="s">
        <v>1734</v>
      </c>
      <c r="J1" s="2" t="s">
        <v>1727</v>
      </c>
      <c r="K1" s="1" t="s">
        <v>2124</v>
      </c>
      <c r="L1" s="1" t="s">
        <v>1720</v>
      </c>
      <c r="M1" s="161"/>
      <c r="N1" s="161"/>
      <c r="O1" s="161"/>
      <c r="P1" s="161"/>
      <c r="Q1" s="161"/>
      <c r="R1" s="161"/>
      <c r="S1" s="161"/>
      <c r="T1" s="161"/>
      <c r="U1" s="161"/>
      <c r="V1" s="161"/>
      <c r="W1" s="161"/>
      <c r="X1" s="161"/>
      <c r="Y1" s="161"/>
      <c r="Z1" s="161"/>
      <c r="AA1" s="161"/>
      <c r="AB1" s="161"/>
    </row>
    <row r="2">
      <c r="A2" s="548" t="s">
        <v>118</v>
      </c>
      <c r="B2" s="549" t="s">
        <v>166</v>
      </c>
      <c r="C2" s="315" t="s">
        <v>54</v>
      </c>
      <c r="D2" s="550" t="s">
        <v>2125</v>
      </c>
      <c r="E2" s="298" t="s">
        <v>55</v>
      </c>
      <c r="F2" s="550" t="s">
        <v>2126</v>
      </c>
      <c r="G2" s="156" t="s">
        <v>24</v>
      </c>
      <c r="H2" s="551" t="s">
        <v>2127</v>
      </c>
      <c r="I2" s="156" t="s">
        <v>2128</v>
      </c>
      <c r="J2" s="156" t="s">
        <v>2129</v>
      </c>
      <c r="K2" s="200" t="s">
        <v>79</v>
      </c>
      <c r="L2" s="301" t="s">
        <v>1738</v>
      </c>
      <c r="M2" s="161"/>
      <c r="N2" s="161"/>
      <c r="O2" s="161"/>
      <c r="P2" s="161"/>
      <c r="Q2" s="161"/>
      <c r="R2" s="161"/>
      <c r="S2" s="161"/>
      <c r="T2" s="161"/>
      <c r="U2" s="161"/>
      <c r="V2" s="161"/>
      <c r="W2" s="161"/>
      <c r="X2" s="161"/>
      <c r="Y2" s="161"/>
      <c r="Z2" s="161"/>
      <c r="AA2" s="161"/>
      <c r="AB2" s="161"/>
    </row>
    <row r="3">
      <c r="A3" s="548" t="s">
        <v>118</v>
      </c>
      <c r="B3" s="549" t="s">
        <v>119</v>
      </c>
      <c r="C3" s="315" t="s">
        <v>2130</v>
      </c>
      <c r="D3" s="550" t="s">
        <v>2131</v>
      </c>
      <c r="E3" s="298" t="s">
        <v>27</v>
      </c>
      <c r="F3" s="550" t="s">
        <v>2132</v>
      </c>
      <c r="G3" s="298" t="s">
        <v>53</v>
      </c>
      <c r="H3" s="551" t="s">
        <v>2133</v>
      </c>
      <c r="I3" s="298" t="s">
        <v>1741</v>
      </c>
      <c r="J3" s="484" t="s">
        <v>1744</v>
      </c>
      <c r="K3" s="301" t="s">
        <v>115</v>
      </c>
      <c r="L3" s="200" t="s">
        <v>1743</v>
      </c>
      <c r="M3" s="161"/>
      <c r="N3" s="161"/>
      <c r="O3" s="161"/>
      <c r="P3" s="161"/>
      <c r="Q3" s="161"/>
      <c r="R3" s="161"/>
      <c r="S3" s="161"/>
      <c r="T3" s="161"/>
      <c r="U3" s="161"/>
      <c r="V3" s="161"/>
      <c r="W3" s="161"/>
      <c r="X3" s="161"/>
      <c r="Y3" s="161"/>
      <c r="Z3" s="161"/>
      <c r="AA3" s="161"/>
      <c r="AB3" s="161"/>
    </row>
    <row r="4">
      <c r="A4" s="548" t="s">
        <v>118</v>
      </c>
      <c r="B4" s="549" t="s">
        <v>1312</v>
      </c>
      <c r="C4" s="315" t="s">
        <v>39</v>
      </c>
      <c r="D4" s="550" t="s">
        <v>2134</v>
      </c>
      <c r="E4" s="298" t="s">
        <v>80</v>
      </c>
      <c r="F4" s="550" t="s">
        <v>2135</v>
      </c>
      <c r="G4" s="156" t="s">
        <v>186</v>
      </c>
      <c r="H4" s="551" t="s">
        <v>2136</v>
      </c>
      <c r="I4" s="156" t="s">
        <v>2137</v>
      </c>
      <c r="J4" s="298" t="s">
        <v>1739</v>
      </c>
      <c r="K4" s="223" t="s">
        <v>25</v>
      </c>
      <c r="L4" s="301" t="s">
        <v>2138</v>
      </c>
      <c r="M4" s="161"/>
      <c r="N4" s="161"/>
      <c r="O4" s="161"/>
      <c r="P4" s="161"/>
      <c r="Q4" s="161"/>
      <c r="R4" s="161"/>
      <c r="S4" s="161"/>
      <c r="T4" s="161"/>
      <c r="U4" s="161"/>
      <c r="V4" s="161"/>
      <c r="W4" s="161"/>
      <c r="X4" s="161"/>
      <c r="Y4" s="161"/>
      <c r="Z4" s="161"/>
      <c r="AA4" s="161"/>
      <c r="AB4" s="161"/>
    </row>
    <row r="5">
      <c r="A5" s="548" t="s">
        <v>118</v>
      </c>
      <c r="B5" s="549" t="s">
        <v>246</v>
      </c>
      <c r="C5" s="430" t="s">
        <v>44</v>
      </c>
      <c r="D5" s="550" t="s">
        <v>2139</v>
      </c>
      <c r="E5" s="298" t="s">
        <v>34</v>
      </c>
      <c r="F5" s="550" t="s">
        <v>2140</v>
      </c>
      <c r="G5" s="156" t="s">
        <v>354</v>
      </c>
      <c r="H5" s="551" t="s">
        <v>2141</v>
      </c>
      <c r="I5" s="156" t="s">
        <v>2142</v>
      </c>
      <c r="J5" s="156"/>
      <c r="K5" s="301" t="s">
        <v>146</v>
      </c>
      <c r="L5" s="301" t="s">
        <v>2143</v>
      </c>
      <c r="M5" s="161"/>
      <c r="N5" s="161"/>
      <c r="O5" s="161"/>
      <c r="P5" s="161"/>
      <c r="Q5" s="161"/>
      <c r="R5" s="161"/>
      <c r="S5" s="161"/>
      <c r="T5" s="161"/>
      <c r="U5" s="161"/>
      <c r="V5" s="161"/>
      <c r="W5" s="161"/>
      <c r="X5" s="161"/>
      <c r="Y5" s="161"/>
      <c r="Z5" s="161"/>
      <c r="AA5" s="161"/>
      <c r="AB5" s="161"/>
    </row>
    <row r="6">
      <c r="A6" s="548" t="s">
        <v>118</v>
      </c>
      <c r="B6" s="549" t="s">
        <v>128</v>
      </c>
      <c r="C6" s="430" t="s">
        <v>103</v>
      </c>
      <c r="D6" s="550" t="s">
        <v>2144</v>
      </c>
      <c r="E6" s="317"/>
      <c r="F6" s="317"/>
      <c r="G6" s="156" t="s">
        <v>421</v>
      </c>
      <c r="H6" s="551" t="s">
        <v>2145</v>
      </c>
      <c r="I6" s="156"/>
      <c r="J6" s="156"/>
      <c r="K6" s="301" t="s">
        <v>170</v>
      </c>
      <c r="L6" s="301" t="s">
        <v>2146</v>
      </c>
      <c r="M6" s="161"/>
      <c r="N6" s="161"/>
      <c r="O6" s="161"/>
      <c r="P6" s="161"/>
      <c r="Q6" s="161"/>
      <c r="R6" s="161"/>
      <c r="S6" s="161"/>
      <c r="T6" s="161"/>
      <c r="U6" s="161"/>
      <c r="V6" s="161"/>
      <c r="W6" s="161"/>
      <c r="X6" s="161"/>
      <c r="Y6" s="161"/>
      <c r="Z6" s="161"/>
      <c r="AA6" s="161"/>
      <c r="AB6" s="161"/>
    </row>
    <row r="7">
      <c r="A7" s="548" t="s">
        <v>118</v>
      </c>
      <c r="B7" s="552" t="s">
        <v>201</v>
      </c>
      <c r="C7" s="315" t="s">
        <v>26</v>
      </c>
      <c r="D7" s="550" t="s">
        <v>2147</v>
      </c>
      <c r="E7" s="317"/>
      <c r="F7" s="317"/>
      <c r="G7" s="156"/>
      <c r="H7" s="553"/>
      <c r="I7" s="156"/>
      <c r="J7" s="156"/>
      <c r="K7" s="301" t="s">
        <v>1742</v>
      </c>
      <c r="L7" s="301" t="s">
        <v>2148</v>
      </c>
      <c r="M7" s="161"/>
      <c r="N7" s="161"/>
      <c r="O7" s="161"/>
      <c r="P7" s="161"/>
      <c r="Q7" s="161"/>
      <c r="R7" s="161"/>
      <c r="S7" s="161"/>
      <c r="T7" s="161"/>
      <c r="U7" s="161"/>
      <c r="V7" s="161"/>
      <c r="W7" s="161"/>
      <c r="X7" s="161"/>
      <c r="Y7" s="161"/>
      <c r="Z7" s="161"/>
      <c r="AA7" s="161"/>
      <c r="AB7" s="161"/>
    </row>
    <row r="8">
      <c r="A8" s="548" t="s">
        <v>21</v>
      </c>
      <c r="B8" s="552" t="s">
        <v>22</v>
      </c>
      <c r="C8" s="430" t="s">
        <v>2149</v>
      </c>
      <c r="D8" s="550" t="s">
        <v>2150</v>
      </c>
      <c r="E8" s="317"/>
      <c r="F8" s="317"/>
      <c r="G8" s="156"/>
      <c r="H8" s="553"/>
      <c r="I8" s="156"/>
      <c r="J8" s="156"/>
      <c r="K8" s="301" t="s">
        <v>33</v>
      </c>
      <c r="M8" s="161"/>
      <c r="N8" s="161"/>
      <c r="O8" s="161"/>
      <c r="P8" s="161"/>
      <c r="Q8" s="161"/>
      <c r="R8" s="161"/>
      <c r="S8" s="161"/>
      <c r="T8" s="161"/>
      <c r="U8" s="161"/>
      <c r="V8" s="161"/>
      <c r="W8" s="161"/>
      <c r="X8" s="161"/>
      <c r="Y8" s="161"/>
      <c r="Z8" s="161"/>
      <c r="AA8" s="161"/>
      <c r="AB8" s="161"/>
    </row>
    <row r="9">
      <c r="A9" s="548" t="s">
        <v>21</v>
      </c>
      <c r="B9" s="552" t="s">
        <v>59</v>
      </c>
      <c r="C9" s="315" t="s">
        <v>2151</v>
      </c>
      <c r="D9" s="550" t="s">
        <v>2152</v>
      </c>
      <c r="E9" s="317"/>
      <c r="F9" s="317"/>
      <c r="G9" s="156"/>
      <c r="H9" s="554"/>
      <c r="I9" s="156"/>
      <c r="J9" s="156"/>
      <c r="M9" s="161"/>
      <c r="N9" s="161"/>
      <c r="O9" s="161"/>
      <c r="P9" s="161"/>
      <c r="Q9" s="161"/>
      <c r="R9" s="161"/>
      <c r="S9" s="161"/>
      <c r="T9" s="161"/>
      <c r="U9" s="161"/>
      <c r="V9" s="161"/>
      <c r="W9" s="161"/>
      <c r="X9" s="161"/>
      <c r="Y9" s="161"/>
      <c r="Z9" s="161"/>
      <c r="AA9" s="161"/>
      <c r="AB9" s="161"/>
    </row>
    <row r="10">
      <c r="A10" s="307" t="s">
        <v>63</v>
      </c>
      <c r="B10" s="555" t="s">
        <v>64</v>
      </c>
      <c r="C10" s="315" t="s">
        <v>161</v>
      </c>
      <c r="D10" s="550" t="s">
        <v>2153</v>
      </c>
      <c r="E10" s="317"/>
      <c r="F10" s="317"/>
      <c r="G10" s="156"/>
      <c r="H10" s="556"/>
      <c r="I10" s="156"/>
      <c r="J10" s="156"/>
      <c r="K10" s="301"/>
      <c r="L10" s="301"/>
      <c r="M10" s="161"/>
      <c r="N10" s="161"/>
      <c r="O10" s="161"/>
      <c r="P10" s="161"/>
      <c r="Q10" s="161"/>
      <c r="R10" s="161"/>
      <c r="S10" s="161"/>
      <c r="T10" s="161"/>
      <c r="U10" s="161"/>
      <c r="V10" s="161"/>
      <c r="W10" s="161"/>
      <c r="X10" s="161"/>
      <c r="Y10" s="161"/>
      <c r="Z10" s="161"/>
      <c r="AA10" s="161"/>
      <c r="AB10" s="161"/>
    </row>
    <row r="11">
      <c r="A11" s="307" t="s">
        <v>63</v>
      </c>
      <c r="B11" s="557" t="s">
        <v>163</v>
      </c>
      <c r="C11" s="430" t="s">
        <v>248</v>
      </c>
      <c r="D11" s="550" t="s">
        <v>2154</v>
      </c>
      <c r="E11" s="317"/>
      <c r="F11" s="317"/>
      <c r="G11" s="156"/>
      <c r="H11" s="556"/>
      <c r="I11" s="156"/>
      <c r="J11" s="156"/>
      <c r="K11" s="301"/>
      <c r="L11" s="301"/>
      <c r="M11" s="161"/>
      <c r="N11" s="161"/>
      <c r="O11" s="161"/>
      <c r="P11" s="161"/>
      <c r="Q11" s="161"/>
      <c r="R11" s="161"/>
      <c r="S11" s="161"/>
      <c r="T11" s="161"/>
      <c r="U11" s="161"/>
      <c r="V11" s="161"/>
      <c r="W11" s="161"/>
      <c r="X11" s="161"/>
      <c r="Y11" s="161"/>
      <c r="Z11" s="161"/>
      <c r="AA11" s="161"/>
      <c r="AB11" s="161"/>
    </row>
    <row r="12">
      <c r="A12" s="129" t="s">
        <v>139</v>
      </c>
      <c r="B12" s="558" t="s">
        <v>140</v>
      </c>
      <c r="C12" s="315" t="s">
        <v>211</v>
      </c>
      <c r="D12" s="550" t="s">
        <v>2155</v>
      </c>
      <c r="E12" s="317"/>
      <c r="F12" s="317"/>
      <c r="G12" s="160"/>
      <c r="H12" s="554"/>
      <c r="I12" s="160"/>
      <c r="J12" s="160"/>
      <c r="K12" s="172"/>
      <c r="L12" s="172"/>
      <c r="M12" s="161"/>
      <c r="N12" s="161"/>
      <c r="O12" s="161"/>
      <c r="P12" s="161"/>
      <c r="Q12" s="161"/>
      <c r="R12" s="161"/>
      <c r="S12" s="161"/>
      <c r="T12" s="161"/>
      <c r="U12" s="161"/>
      <c r="V12" s="161"/>
      <c r="W12" s="161"/>
      <c r="X12" s="161"/>
      <c r="Y12" s="161"/>
      <c r="Z12" s="161"/>
      <c r="AA12" s="161"/>
      <c r="AB12" s="161"/>
    </row>
    <row r="13">
      <c r="A13" s="129" t="s">
        <v>1321</v>
      </c>
      <c r="B13" s="558" t="s">
        <v>1320</v>
      </c>
      <c r="C13" s="430" t="s">
        <v>282</v>
      </c>
      <c r="D13" s="550" t="s">
        <v>2156</v>
      </c>
      <c r="E13" s="317"/>
      <c r="F13" s="317"/>
      <c r="G13" s="160"/>
      <c r="H13" s="559"/>
      <c r="I13" s="160"/>
      <c r="J13" s="160"/>
      <c r="K13" s="172"/>
      <c r="L13" s="172"/>
      <c r="M13" s="161"/>
      <c r="N13" s="161"/>
      <c r="O13" s="161"/>
      <c r="P13" s="161"/>
      <c r="Q13" s="161"/>
      <c r="R13" s="161"/>
      <c r="S13" s="161"/>
      <c r="T13" s="161"/>
      <c r="U13" s="161"/>
      <c r="V13" s="161"/>
      <c r="W13" s="161"/>
      <c r="X13" s="161"/>
      <c r="Y13" s="161"/>
      <c r="Z13" s="161"/>
      <c r="AA13" s="161"/>
      <c r="AB13" s="161"/>
    </row>
    <row r="14">
      <c r="A14" s="500"/>
      <c r="B14" s="497"/>
      <c r="C14" s="497"/>
      <c r="D14" s="497"/>
      <c r="E14" s="497"/>
      <c r="F14" s="497"/>
      <c r="G14" s="497"/>
      <c r="H14" s="560"/>
      <c r="I14" s="497"/>
      <c r="J14" s="497"/>
      <c r="K14" s="500"/>
      <c r="L14" s="500"/>
      <c r="M14" s="161"/>
      <c r="N14" s="161"/>
      <c r="O14" s="161"/>
      <c r="P14" s="161"/>
      <c r="Q14" s="161"/>
      <c r="R14" s="161"/>
      <c r="S14" s="161"/>
      <c r="T14" s="161"/>
      <c r="U14" s="161"/>
      <c r="V14" s="161"/>
      <c r="W14" s="161"/>
      <c r="X14" s="161"/>
      <c r="Y14" s="161"/>
      <c r="Z14" s="161"/>
      <c r="AA14" s="161"/>
      <c r="AB14" s="161"/>
    </row>
    <row r="15">
      <c r="A15" s="500"/>
      <c r="B15" s="497"/>
      <c r="C15" s="497"/>
      <c r="D15" s="497"/>
      <c r="E15" s="497"/>
      <c r="F15" s="497"/>
      <c r="G15" s="497"/>
      <c r="H15" s="560"/>
      <c r="I15" s="497"/>
      <c r="J15" s="497"/>
      <c r="K15" s="500"/>
      <c r="L15" s="500"/>
      <c r="M15" s="161"/>
      <c r="N15" s="161"/>
      <c r="O15" s="161"/>
      <c r="P15" s="161"/>
      <c r="Q15" s="161"/>
      <c r="R15" s="161"/>
      <c r="S15" s="161"/>
      <c r="T15" s="161"/>
      <c r="U15" s="161"/>
      <c r="V15" s="161"/>
      <c r="W15" s="161"/>
      <c r="X15" s="161"/>
      <c r="Y15" s="161"/>
      <c r="Z15" s="161"/>
      <c r="AA15" s="161"/>
      <c r="AB15" s="161"/>
    </row>
    <row r="16">
      <c r="A16" s="500"/>
      <c r="B16" s="161"/>
      <c r="C16" s="497"/>
      <c r="D16" s="497"/>
      <c r="E16" s="497"/>
      <c r="F16" s="497"/>
      <c r="G16" s="497"/>
      <c r="H16" s="561"/>
      <c r="I16" s="497"/>
      <c r="J16" s="497"/>
      <c r="K16" s="500"/>
      <c r="L16" s="500"/>
      <c r="M16" s="161"/>
      <c r="N16" s="161"/>
      <c r="O16" s="161"/>
      <c r="P16" s="161"/>
      <c r="Q16" s="161"/>
      <c r="R16" s="161"/>
      <c r="S16" s="161"/>
      <c r="T16" s="161"/>
      <c r="U16" s="161"/>
      <c r="V16" s="161"/>
      <c r="W16" s="161"/>
      <c r="X16" s="161"/>
      <c r="Y16" s="161"/>
      <c r="Z16" s="161"/>
      <c r="AA16" s="161"/>
      <c r="AB16" s="161"/>
    </row>
    <row r="17">
      <c r="A17" s="511"/>
      <c r="C17" s="161"/>
      <c r="D17" s="161"/>
      <c r="E17" s="161"/>
      <c r="F17" s="161"/>
      <c r="G17" s="161"/>
      <c r="H17" s="562"/>
      <c r="I17" s="161"/>
      <c r="J17" s="161"/>
      <c r="K17" s="511"/>
      <c r="L17" s="511"/>
      <c r="M17" s="161"/>
      <c r="N17" s="161"/>
      <c r="O17" s="161"/>
      <c r="P17" s="161"/>
      <c r="Q17" s="161"/>
      <c r="R17" s="161"/>
      <c r="S17" s="161"/>
      <c r="T17" s="161"/>
      <c r="U17" s="161"/>
      <c r="V17" s="161"/>
      <c r="W17" s="161"/>
      <c r="X17" s="161"/>
      <c r="Y17" s="161"/>
      <c r="Z17" s="161"/>
      <c r="AA17" s="161"/>
      <c r="AB17" s="161"/>
    </row>
    <row r="18">
      <c r="A18" s="563"/>
      <c r="B18" s="564"/>
      <c r="C18" s="161"/>
      <c r="D18" s="161"/>
      <c r="E18" s="161"/>
      <c r="F18" s="161"/>
      <c r="G18" s="161"/>
      <c r="H18" s="161"/>
      <c r="I18" s="161"/>
      <c r="J18" s="161"/>
      <c r="K18" s="511"/>
      <c r="L18" s="511"/>
      <c r="M18" s="161"/>
      <c r="N18" s="161"/>
      <c r="O18" s="161"/>
      <c r="P18" s="161"/>
      <c r="Q18" s="161"/>
      <c r="R18" s="161"/>
      <c r="S18" s="161"/>
      <c r="T18" s="161"/>
      <c r="U18" s="161"/>
      <c r="V18" s="161"/>
      <c r="W18" s="161"/>
      <c r="X18" s="161"/>
      <c r="Y18" s="161"/>
      <c r="Z18" s="161"/>
      <c r="AA18" s="161"/>
      <c r="AB18" s="161"/>
    </row>
    <row r="19">
      <c r="A19" s="563"/>
      <c r="B19" s="564"/>
      <c r="C19" s="161"/>
      <c r="D19" s="161"/>
      <c r="E19" s="161"/>
      <c r="F19" s="161"/>
      <c r="G19" s="161"/>
      <c r="H19" s="161"/>
      <c r="I19" s="161"/>
      <c r="J19" s="161"/>
      <c r="K19" s="511"/>
      <c r="L19" s="511"/>
      <c r="M19" s="161"/>
      <c r="N19" s="161"/>
      <c r="O19" s="161"/>
      <c r="P19" s="161"/>
      <c r="Q19" s="161"/>
      <c r="R19" s="161"/>
      <c r="S19" s="161"/>
      <c r="T19" s="161"/>
      <c r="U19" s="161"/>
      <c r="V19" s="161"/>
      <c r="W19" s="161"/>
      <c r="X19" s="161"/>
      <c r="Y19" s="161"/>
      <c r="Z19" s="161"/>
      <c r="AA19" s="161"/>
      <c r="AB19" s="161"/>
    </row>
    <row r="20">
      <c r="A20" s="563"/>
      <c r="B20" s="564"/>
      <c r="C20" s="161"/>
      <c r="D20" s="161"/>
      <c r="E20" s="161"/>
      <c r="F20" s="161"/>
      <c r="G20" s="161"/>
      <c r="H20" s="161"/>
      <c r="I20" s="161"/>
      <c r="J20" s="161"/>
      <c r="K20" s="511"/>
      <c r="L20" s="511"/>
      <c r="M20" s="161"/>
      <c r="N20" s="161"/>
      <c r="O20" s="161"/>
      <c r="P20" s="161"/>
      <c r="Q20" s="161"/>
      <c r="R20" s="161"/>
      <c r="S20" s="161"/>
      <c r="T20" s="161"/>
      <c r="U20" s="161"/>
      <c r="V20" s="161"/>
      <c r="W20" s="161"/>
      <c r="X20" s="161"/>
      <c r="Y20" s="161"/>
      <c r="Z20" s="161"/>
      <c r="AA20" s="161"/>
      <c r="AB20" s="161"/>
    </row>
    <row r="21">
      <c r="A21" s="563"/>
      <c r="B21" s="565"/>
      <c r="C21" s="565"/>
      <c r="D21" s="161"/>
      <c r="E21" s="161"/>
      <c r="F21" s="161"/>
      <c r="G21" s="161"/>
      <c r="H21" s="161"/>
      <c r="I21" s="161"/>
      <c r="J21" s="161"/>
      <c r="K21" s="511"/>
      <c r="L21" s="511"/>
      <c r="M21" s="161"/>
      <c r="N21" s="161"/>
      <c r="O21" s="161"/>
      <c r="P21" s="161"/>
      <c r="Q21" s="161"/>
      <c r="R21" s="161"/>
      <c r="S21" s="161"/>
      <c r="T21" s="161"/>
      <c r="U21" s="161"/>
      <c r="V21" s="161"/>
      <c r="W21" s="161"/>
      <c r="X21" s="161"/>
      <c r="Y21" s="161"/>
      <c r="Z21" s="161"/>
      <c r="AA21" s="161"/>
      <c r="AB21" s="161"/>
    </row>
    <row r="22">
      <c r="A22" s="563"/>
      <c r="B22" s="566"/>
      <c r="C22" s="161"/>
      <c r="D22" s="161"/>
      <c r="E22" s="161"/>
      <c r="F22" s="161"/>
      <c r="G22" s="161"/>
      <c r="H22" s="161"/>
      <c r="I22" s="161"/>
      <c r="J22" s="161"/>
      <c r="K22" s="511"/>
      <c r="L22" s="511"/>
      <c r="M22" s="161"/>
      <c r="N22" s="161"/>
      <c r="O22" s="161"/>
      <c r="P22" s="161"/>
      <c r="Q22" s="161"/>
      <c r="R22" s="161"/>
      <c r="S22" s="161"/>
      <c r="T22" s="161"/>
      <c r="U22" s="161"/>
      <c r="V22" s="161"/>
      <c r="W22" s="161"/>
      <c r="X22" s="161"/>
      <c r="Y22" s="161"/>
      <c r="Z22" s="161"/>
      <c r="AA22" s="161"/>
      <c r="AB22" s="161"/>
    </row>
    <row r="23">
      <c r="A23" s="511"/>
      <c r="B23" s="566"/>
      <c r="C23" s="161"/>
      <c r="D23" s="161"/>
      <c r="E23" s="161"/>
      <c r="F23" s="161"/>
      <c r="G23" s="161"/>
      <c r="H23" s="161"/>
      <c r="I23" s="161"/>
      <c r="J23" s="161"/>
      <c r="K23" s="511"/>
      <c r="L23" s="511"/>
      <c r="M23" s="161"/>
      <c r="N23" s="161"/>
      <c r="O23" s="161"/>
      <c r="P23" s="161"/>
      <c r="Q23" s="161"/>
      <c r="R23" s="161"/>
      <c r="S23" s="161"/>
      <c r="T23" s="161"/>
      <c r="U23" s="161"/>
      <c r="V23" s="161"/>
      <c r="W23" s="161"/>
      <c r="X23" s="161"/>
      <c r="Y23" s="161"/>
      <c r="Z23" s="161"/>
      <c r="AA23" s="161"/>
      <c r="AB23" s="161"/>
    </row>
    <row r="24">
      <c r="A24" s="511"/>
      <c r="B24" s="566"/>
      <c r="C24" s="161"/>
      <c r="D24" s="161"/>
      <c r="E24" s="161"/>
      <c r="F24" s="161"/>
      <c r="G24" s="161"/>
      <c r="H24" s="161"/>
      <c r="I24" s="161"/>
      <c r="J24" s="161"/>
      <c r="K24" s="511"/>
      <c r="L24" s="511"/>
      <c r="M24" s="161"/>
      <c r="N24" s="161"/>
      <c r="O24" s="161"/>
      <c r="P24" s="161"/>
      <c r="Q24" s="161"/>
      <c r="R24" s="161"/>
      <c r="S24" s="161"/>
      <c r="T24" s="161"/>
      <c r="U24" s="161"/>
      <c r="V24" s="161"/>
      <c r="W24" s="161"/>
      <c r="X24" s="161"/>
      <c r="Y24" s="161"/>
      <c r="Z24" s="161"/>
      <c r="AA24" s="161"/>
      <c r="AB24" s="161"/>
    </row>
    <row r="25">
      <c r="A25" s="511"/>
      <c r="B25" s="566"/>
      <c r="C25" s="161"/>
      <c r="D25" s="161"/>
      <c r="E25" s="161"/>
      <c r="F25" s="161"/>
      <c r="G25" s="161"/>
      <c r="H25" s="161"/>
      <c r="I25" s="161"/>
      <c r="J25" s="161"/>
      <c r="K25" s="511"/>
      <c r="L25" s="511"/>
      <c r="M25" s="161"/>
      <c r="N25" s="161"/>
      <c r="O25" s="161"/>
      <c r="P25" s="161"/>
      <c r="Q25" s="161"/>
      <c r="R25" s="161"/>
      <c r="S25" s="161"/>
      <c r="T25" s="161"/>
      <c r="U25" s="161"/>
      <c r="V25" s="161"/>
      <c r="W25" s="161"/>
      <c r="X25" s="161"/>
      <c r="Y25" s="161"/>
      <c r="Z25" s="161"/>
      <c r="AA25" s="161"/>
      <c r="AB25" s="161"/>
    </row>
    <row r="26">
      <c r="A26" s="511"/>
      <c r="B26" s="566"/>
      <c r="C26" s="565"/>
      <c r="D26" s="161"/>
      <c r="E26" s="161"/>
      <c r="F26" s="161"/>
      <c r="G26" s="161"/>
      <c r="H26" s="161"/>
      <c r="I26" s="161"/>
      <c r="J26" s="161"/>
      <c r="K26" s="511"/>
      <c r="L26" s="511"/>
      <c r="M26" s="161"/>
      <c r="N26" s="161"/>
      <c r="O26" s="161"/>
      <c r="P26" s="161"/>
      <c r="Q26" s="161"/>
      <c r="R26" s="161"/>
      <c r="S26" s="161"/>
      <c r="T26" s="161"/>
      <c r="U26" s="161"/>
      <c r="V26" s="161"/>
      <c r="W26" s="161"/>
      <c r="X26" s="161"/>
      <c r="Y26" s="161"/>
      <c r="Z26" s="161"/>
      <c r="AA26" s="161"/>
      <c r="AB26" s="161"/>
    </row>
    <row r="27">
      <c r="A27" s="511"/>
      <c r="B27" s="566"/>
      <c r="C27" s="565"/>
      <c r="D27" s="161"/>
      <c r="E27" s="161"/>
      <c r="F27" s="161"/>
      <c r="G27" s="161"/>
      <c r="H27" s="161"/>
      <c r="I27" s="161"/>
      <c r="J27" s="161"/>
      <c r="K27" s="511"/>
      <c r="L27" s="511"/>
      <c r="M27" s="161"/>
      <c r="N27" s="161"/>
      <c r="O27" s="161"/>
      <c r="P27" s="161"/>
      <c r="Q27" s="161"/>
      <c r="R27" s="161"/>
      <c r="S27" s="161"/>
      <c r="T27" s="161"/>
      <c r="U27" s="161"/>
      <c r="V27" s="161"/>
      <c r="W27" s="161"/>
      <c r="X27" s="161"/>
      <c r="Y27" s="161"/>
      <c r="Z27" s="161"/>
      <c r="AA27" s="161"/>
      <c r="AB27" s="161"/>
    </row>
    <row r="28">
      <c r="A28" s="511"/>
      <c r="B28" s="566"/>
      <c r="C28" s="565"/>
      <c r="D28" s="161"/>
      <c r="E28" s="161"/>
      <c r="F28" s="161"/>
      <c r="G28" s="161"/>
      <c r="H28" s="161"/>
      <c r="I28" s="161"/>
      <c r="J28" s="161"/>
      <c r="K28" s="511"/>
      <c r="L28" s="511"/>
      <c r="M28" s="161"/>
      <c r="N28" s="161"/>
      <c r="O28" s="161"/>
      <c r="P28" s="161"/>
      <c r="Q28" s="161"/>
      <c r="R28" s="161"/>
      <c r="S28" s="161"/>
      <c r="T28" s="161"/>
      <c r="U28" s="161"/>
      <c r="V28" s="161"/>
      <c r="W28" s="161"/>
      <c r="X28" s="161"/>
      <c r="Y28" s="161"/>
      <c r="Z28" s="161"/>
      <c r="AA28" s="161"/>
      <c r="AB28" s="161"/>
    </row>
    <row r="29">
      <c r="A29" s="511"/>
      <c r="B29" s="566"/>
      <c r="C29" s="565"/>
      <c r="D29" s="161"/>
      <c r="E29" s="161"/>
      <c r="F29" s="161"/>
      <c r="G29" s="161"/>
      <c r="H29" s="161"/>
      <c r="I29" s="161"/>
      <c r="J29" s="161"/>
      <c r="K29" s="511"/>
      <c r="L29" s="511"/>
      <c r="M29" s="161"/>
      <c r="N29" s="161"/>
      <c r="O29" s="161"/>
      <c r="P29" s="161"/>
      <c r="Q29" s="161"/>
      <c r="R29" s="161"/>
      <c r="S29" s="161"/>
      <c r="T29" s="161"/>
      <c r="U29" s="161"/>
      <c r="V29" s="161"/>
      <c r="W29" s="161"/>
      <c r="X29" s="161"/>
      <c r="Y29" s="161"/>
      <c r="Z29" s="161"/>
      <c r="AA29" s="161"/>
      <c r="AB29" s="161"/>
    </row>
    <row r="30">
      <c r="A30" s="511"/>
      <c r="B30" s="566"/>
      <c r="C30" s="565"/>
      <c r="D30" s="161"/>
      <c r="E30" s="161"/>
      <c r="F30" s="161"/>
      <c r="G30" s="161"/>
      <c r="H30" s="161"/>
      <c r="I30" s="161"/>
      <c r="J30" s="161"/>
      <c r="K30" s="511"/>
      <c r="L30" s="511"/>
      <c r="M30" s="161"/>
      <c r="N30" s="161"/>
      <c r="O30" s="161"/>
      <c r="P30" s="161"/>
      <c r="Q30" s="161"/>
      <c r="R30" s="161"/>
      <c r="S30" s="161"/>
      <c r="T30" s="161"/>
      <c r="U30" s="161"/>
      <c r="V30" s="161"/>
      <c r="W30" s="161"/>
      <c r="X30" s="161"/>
      <c r="Y30" s="161"/>
      <c r="Z30" s="161"/>
      <c r="AA30" s="161"/>
      <c r="AB30" s="161"/>
    </row>
    <row r="31">
      <c r="A31" s="511"/>
      <c r="B31" s="566"/>
      <c r="C31" s="565"/>
      <c r="D31" s="161"/>
      <c r="E31" s="161"/>
      <c r="F31" s="161"/>
      <c r="G31" s="161"/>
      <c r="H31" s="161"/>
      <c r="I31" s="161"/>
      <c r="J31" s="161"/>
      <c r="K31" s="511"/>
      <c r="L31" s="511"/>
      <c r="M31" s="161"/>
      <c r="N31" s="161"/>
      <c r="O31" s="161"/>
      <c r="P31" s="161"/>
      <c r="Q31" s="161"/>
      <c r="R31" s="161"/>
      <c r="S31" s="161"/>
      <c r="T31" s="161"/>
      <c r="U31" s="161"/>
      <c r="V31" s="161"/>
      <c r="W31" s="161"/>
      <c r="X31" s="161"/>
      <c r="Y31" s="161"/>
      <c r="Z31" s="161"/>
      <c r="AA31" s="161"/>
      <c r="AB31" s="161"/>
    </row>
    <row r="32">
      <c r="A32" s="511"/>
      <c r="B32" s="566"/>
      <c r="C32" s="565"/>
      <c r="D32" s="161"/>
      <c r="E32" s="161"/>
      <c r="F32" s="161"/>
      <c r="G32" s="161"/>
      <c r="H32" s="161"/>
      <c r="I32" s="161"/>
      <c r="J32" s="161"/>
      <c r="K32" s="511"/>
      <c r="L32" s="511"/>
      <c r="M32" s="161"/>
      <c r="N32" s="161"/>
      <c r="O32" s="161"/>
      <c r="P32" s="161"/>
      <c r="Q32" s="161"/>
      <c r="R32" s="161"/>
      <c r="S32" s="161"/>
      <c r="T32" s="161"/>
      <c r="U32" s="161"/>
      <c r="V32" s="161"/>
      <c r="W32" s="161"/>
      <c r="X32" s="161"/>
      <c r="Y32" s="161"/>
      <c r="Z32" s="161"/>
      <c r="AA32" s="161"/>
      <c r="AB32" s="161"/>
    </row>
    <row r="33">
      <c r="A33" s="511"/>
      <c r="B33" s="566"/>
      <c r="C33" s="565"/>
      <c r="D33" s="161"/>
      <c r="E33" s="161"/>
      <c r="F33" s="161"/>
      <c r="G33" s="161"/>
      <c r="H33" s="161"/>
      <c r="I33" s="161"/>
      <c r="J33" s="161"/>
      <c r="K33" s="511"/>
      <c r="L33" s="511"/>
      <c r="M33" s="161"/>
      <c r="N33" s="161"/>
      <c r="O33" s="161"/>
      <c r="P33" s="161"/>
      <c r="Q33" s="161"/>
      <c r="R33" s="161"/>
      <c r="S33" s="161"/>
      <c r="T33" s="161"/>
      <c r="U33" s="161"/>
      <c r="V33" s="161"/>
      <c r="W33" s="161"/>
      <c r="X33" s="161"/>
      <c r="Y33" s="161"/>
      <c r="Z33" s="161"/>
      <c r="AA33" s="161"/>
      <c r="AB33" s="161"/>
    </row>
    <row r="34">
      <c r="A34" s="511"/>
      <c r="B34" s="566"/>
      <c r="C34" s="565"/>
      <c r="D34" s="161"/>
      <c r="E34" s="161"/>
      <c r="F34" s="161"/>
      <c r="G34" s="161"/>
      <c r="H34" s="161"/>
      <c r="I34" s="161"/>
      <c r="J34" s="161"/>
      <c r="K34" s="511"/>
      <c r="L34" s="511"/>
      <c r="M34" s="161"/>
      <c r="N34" s="161"/>
      <c r="O34" s="161"/>
      <c r="P34" s="161"/>
      <c r="Q34" s="161"/>
      <c r="R34" s="161"/>
      <c r="S34" s="161"/>
      <c r="T34" s="161"/>
      <c r="U34" s="161"/>
      <c r="V34" s="161"/>
      <c r="W34" s="161"/>
      <c r="X34" s="161"/>
      <c r="Y34" s="161"/>
      <c r="Z34" s="161"/>
      <c r="AA34" s="161"/>
      <c r="AB34" s="161"/>
    </row>
    <row r="35">
      <c r="A35" s="511"/>
      <c r="B35" s="161"/>
      <c r="C35" s="161"/>
      <c r="D35" s="161"/>
      <c r="E35" s="161"/>
      <c r="F35" s="161"/>
      <c r="G35" s="161"/>
      <c r="H35" s="161"/>
      <c r="I35" s="161"/>
      <c r="J35" s="161"/>
      <c r="K35" s="511"/>
      <c r="L35" s="511"/>
      <c r="M35" s="161"/>
      <c r="N35" s="161"/>
      <c r="O35" s="161"/>
      <c r="P35" s="161"/>
      <c r="Q35" s="161"/>
      <c r="R35" s="161"/>
      <c r="S35" s="161"/>
      <c r="T35" s="161"/>
      <c r="U35" s="161"/>
      <c r="V35" s="161"/>
      <c r="W35" s="161"/>
      <c r="X35" s="161"/>
      <c r="Y35" s="161"/>
      <c r="Z35" s="161"/>
      <c r="AA35" s="161"/>
      <c r="AB35" s="161"/>
    </row>
    <row r="36">
      <c r="A36" s="511"/>
      <c r="B36" s="161"/>
      <c r="C36" s="161"/>
      <c r="D36" s="161"/>
      <c r="E36" s="161"/>
      <c r="F36" s="161"/>
      <c r="G36" s="161"/>
      <c r="H36" s="161"/>
      <c r="I36" s="161"/>
      <c r="J36" s="161"/>
      <c r="K36" s="511"/>
      <c r="L36" s="511"/>
      <c r="M36" s="161"/>
      <c r="N36" s="161"/>
      <c r="O36" s="161"/>
      <c r="P36" s="161"/>
      <c r="Q36" s="161"/>
      <c r="R36" s="161"/>
      <c r="S36" s="161"/>
      <c r="T36" s="161"/>
      <c r="U36" s="161"/>
      <c r="V36" s="161"/>
      <c r="W36" s="161"/>
      <c r="X36" s="161"/>
      <c r="Y36" s="161"/>
      <c r="Z36" s="161"/>
      <c r="AA36" s="161"/>
      <c r="AB36" s="161"/>
    </row>
    <row r="37">
      <c r="A37" s="511"/>
      <c r="B37" s="161"/>
      <c r="C37" s="161"/>
      <c r="D37" s="161"/>
      <c r="E37" s="161"/>
      <c r="F37" s="161"/>
      <c r="G37" s="161"/>
      <c r="H37" s="161"/>
      <c r="I37" s="161"/>
      <c r="J37" s="161"/>
      <c r="K37" s="511"/>
      <c r="L37" s="511"/>
      <c r="M37" s="161"/>
      <c r="N37" s="161"/>
      <c r="O37" s="161"/>
      <c r="P37" s="161"/>
      <c r="Q37" s="161"/>
      <c r="R37" s="161"/>
      <c r="S37" s="161"/>
      <c r="T37" s="161"/>
      <c r="U37" s="161"/>
      <c r="V37" s="161"/>
      <c r="W37" s="161"/>
      <c r="X37" s="161"/>
      <c r="Y37" s="161"/>
      <c r="Z37" s="161"/>
      <c r="AA37" s="161"/>
      <c r="AB37" s="161"/>
    </row>
    <row r="38">
      <c r="A38" s="511"/>
      <c r="B38" s="161"/>
      <c r="C38" s="161"/>
      <c r="D38" s="161"/>
      <c r="E38" s="161"/>
      <c r="F38" s="161"/>
      <c r="G38" s="161"/>
      <c r="H38" s="161"/>
      <c r="I38" s="161"/>
      <c r="J38" s="161"/>
      <c r="K38" s="511"/>
      <c r="L38" s="511"/>
      <c r="M38" s="161"/>
      <c r="N38" s="161"/>
      <c r="O38" s="161"/>
      <c r="P38" s="161"/>
      <c r="Q38" s="161"/>
      <c r="R38" s="161"/>
      <c r="S38" s="161"/>
      <c r="T38" s="161"/>
      <c r="U38" s="161"/>
      <c r="V38" s="161"/>
      <c r="W38" s="161"/>
      <c r="X38" s="161"/>
      <c r="Y38" s="161"/>
      <c r="Z38" s="161"/>
      <c r="AA38" s="161"/>
      <c r="AB38" s="161"/>
    </row>
    <row r="39">
      <c r="A39" s="511"/>
      <c r="B39" s="161"/>
      <c r="C39" s="161"/>
      <c r="D39" s="161"/>
      <c r="E39" s="161"/>
      <c r="F39" s="161"/>
      <c r="G39" s="161"/>
      <c r="H39" s="161"/>
      <c r="I39" s="161"/>
      <c r="J39" s="161"/>
      <c r="K39" s="511"/>
      <c r="L39" s="511"/>
      <c r="M39" s="161"/>
      <c r="N39" s="161"/>
      <c r="O39" s="161"/>
      <c r="P39" s="161"/>
      <c r="Q39" s="161"/>
      <c r="R39" s="161"/>
      <c r="S39" s="161"/>
      <c r="T39" s="161"/>
      <c r="U39" s="161"/>
      <c r="V39" s="161"/>
      <c r="W39" s="161"/>
      <c r="X39" s="161"/>
      <c r="Y39" s="161"/>
      <c r="Z39" s="161"/>
      <c r="AA39" s="161"/>
      <c r="AB39" s="161"/>
    </row>
    <row r="40">
      <c r="A40" s="511"/>
      <c r="B40" s="161"/>
      <c r="C40" s="161"/>
      <c r="D40" s="161"/>
      <c r="E40" s="161"/>
      <c r="F40" s="161"/>
      <c r="G40" s="161"/>
      <c r="H40" s="161"/>
      <c r="I40" s="161"/>
      <c r="J40" s="161"/>
      <c r="K40" s="511"/>
      <c r="L40" s="511"/>
      <c r="M40" s="161"/>
      <c r="N40" s="161"/>
      <c r="O40" s="161"/>
      <c r="P40" s="161"/>
      <c r="Q40" s="161"/>
      <c r="R40" s="161"/>
      <c r="S40" s="161"/>
      <c r="T40" s="161"/>
      <c r="U40" s="161"/>
      <c r="V40" s="161"/>
      <c r="W40" s="161"/>
      <c r="X40" s="161"/>
      <c r="Y40" s="161"/>
      <c r="Z40" s="161"/>
      <c r="AA40" s="161"/>
      <c r="AB40" s="161"/>
    </row>
    <row r="41">
      <c r="A41" s="511"/>
      <c r="B41" s="161"/>
      <c r="C41" s="161"/>
      <c r="D41" s="161"/>
      <c r="E41" s="161"/>
      <c r="F41" s="161"/>
      <c r="G41" s="161"/>
      <c r="H41" s="161"/>
      <c r="I41" s="161"/>
      <c r="J41" s="161"/>
      <c r="K41" s="511"/>
      <c r="L41" s="511"/>
      <c r="M41" s="161"/>
      <c r="N41" s="161"/>
      <c r="O41" s="161"/>
      <c r="P41" s="161"/>
      <c r="Q41" s="161"/>
      <c r="R41" s="161"/>
      <c r="S41" s="161"/>
      <c r="T41" s="161"/>
      <c r="U41" s="161"/>
      <c r="V41" s="161"/>
      <c r="W41" s="161"/>
      <c r="X41" s="161"/>
      <c r="Y41" s="161"/>
      <c r="Z41" s="161"/>
      <c r="AA41" s="161"/>
      <c r="AB41" s="161"/>
    </row>
    <row r="42">
      <c r="A42" s="511"/>
      <c r="B42" s="161"/>
      <c r="C42" s="161"/>
      <c r="D42" s="161"/>
      <c r="E42" s="161"/>
      <c r="F42" s="161"/>
      <c r="G42" s="161"/>
      <c r="H42" s="161"/>
      <c r="I42" s="161"/>
      <c r="J42" s="161"/>
      <c r="K42" s="511"/>
      <c r="L42" s="511"/>
      <c r="M42" s="161"/>
      <c r="N42" s="161"/>
      <c r="O42" s="161"/>
      <c r="P42" s="161"/>
      <c r="Q42" s="161"/>
      <c r="R42" s="161"/>
      <c r="S42" s="161"/>
      <c r="T42" s="161"/>
      <c r="U42" s="161"/>
      <c r="V42" s="161"/>
      <c r="W42" s="161"/>
      <c r="X42" s="161"/>
      <c r="Y42" s="161"/>
      <c r="Z42" s="161"/>
      <c r="AA42" s="161"/>
      <c r="AB42" s="161"/>
    </row>
    <row r="43">
      <c r="A43" s="511"/>
      <c r="B43" s="161"/>
      <c r="C43" s="161"/>
      <c r="D43" s="161"/>
      <c r="E43" s="161"/>
      <c r="F43" s="161"/>
      <c r="G43" s="161"/>
      <c r="H43" s="161"/>
      <c r="I43" s="161"/>
      <c r="J43" s="161"/>
      <c r="K43" s="511"/>
      <c r="L43" s="511"/>
      <c r="M43" s="161"/>
      <c r="N43" s="161"/>
      <c r="O43" s="161"/>
      <c r="P43" s="161"/>
      <c r="Q43" s="161"/>
      <c r="R43" s="161"/>
      <c r="S43" s="161"/>
      <c r="T43" s="161"/>
      <c r="U43" s="161"/>
      <c r="V43" s="161"/>
      <c r="W43" s="161"/>
      <c r="X43" s="161"/>
      <c r="Y43" s="161"/>
      <c r="Z43" s="161"/>
      <c r="AA43" s="161"/>
      <c r="AB43" s="161"/>
    </row>
    <row r="44">
      <c r="A44" s="511"/>
      <c r="B44" s="161"/>
      <c r="C44" s="161"/>
      <c r="D44" s="161"/>
      <c r="E44" s="161"/>
      <c r="F44" s="161"/>
      <c r="G44" s="161"/>
      <c r="H44" s="161"/>
      <c r="I44" s="161"/>
      <c r="J44" s="161"/>
      <c r="K44" s="511"/>
      <c r="L44" s="511"/>
      <c r="M44" s="161"/>
      <c r="N44" s="161"/>
      <c r="O44" s="161"/>
      <c r="P44" s="161"/>
      <c r="Q44" s="161"/>
      <c r="R44" s="161"/>
      <c r="S44" s="161"/>
      <c r="T44" s="161"/>
      <c r="U44" s="161"/>
      <c r="V44" s="161"/>
      <c r="W44" s="161"/>
      <c r="X44" s="161"/>
      <c r="Y44" s="161"/>
      <c r="Z44" s="161"/>
      <c r="AA44" s="161"/>
      <c r="AB44" s="161"/>
    </row>
    <row r="45">
      <c r="A45" s="511"/>
      <c r="B45" s="161"/>
      <c r="C45" s="161"/>
      <c r="D45" s="161"/>
      <c r="E45" s="161"/>
      <c r="F45" s="161"/>
      <c r="G45" s="161"/>
      <c r="H45" s="161"/>
      <c r="I45" s="161"/>
      <c r="J45" s="161"/>
      <c r="K45" s="511"/>
      <c r="L45" s="511"/>
      <c r="M45" s="161"/>
      <c r="N45" s="161"/>
      <c r="O45" s="161"/>
      <c r="P45" s="161"/>
      <c r="Q45" s="161"/>
      <c r="R45" s="161"/>
      <c r="S45" s="161"/>
      <c r="T45" s="161"/>
      <c r="U45" s="161"/>
      <c r="V45" s="161"/>
      <c r="W45" s="161"/>
      <c r="X45" s="161"/>
      <c r="Y45" s="161"/>
      <c r="Z45" s="161"/>
      <c r="AA45" s="161"/>
      <c r="AB45" s="161"/>
    </row>
    <row r="46">
      <c r="A46" s="511"/>
      <c r="B46" s="161"/>
      <c r="C46" s="161"/>
      <c r="D46" s="161"/>
      <c r="E46" s="161"/>
      <c r="F46" s="161"/>
      <c r="G46" s="161"/>
      <c r="H46" s="161"/>
      <c r="I46" s="161"/>
      <c r="J46" s="161"/>
      <c r="K46" s="511"/>
      <c r="L46" s="511"/>
      <c r="M46" s="161"/>
      <c r="N46" s="161"/>
      <c r="O46" s="161"/>
      <c r="P46" s="161"/>
      <c r="Q46" s="161"/>
      <c r="R46" s="161"/>
      <c r="S46" s="161"/>
      <c r="T46" s="161"/>
      <c r="U46" s="161"/>
      <c r="V46" s="161"/>
      <c r="W46" s="161"/>
      <c r="X46" s="161"/>
      <c r="Y46" s="161"/>
      <c r="Z46" s="161"/>
      <c r="AA46" s="161"/>
      <c r="AB46" s="161"/>
    </row>
    <row r="47">
      <c r="A47" s="511"/>
      <c r="B47" s="161"/>
      <c r="C47" s="161"/>
      <c r="D47" s="161"/>
      <c r="E47" s="161"/>
      <c r="F47" s="161"/>
      <c r="G47" s="161"/>
      <c r="H47" s="161"/>
      <c r="I47" s="161"/>
      <c r="J47" s="161"/>
      <c r="K47" s="511"/>
      <c r="L47" s="511"/>
      <c r="M47" s="161"/>
      <c r="N47" s="161"/>
      <c r="O47" s="161"/>
      <c r="P47" s="161"/>
      <c r="Q47" s="161"/>
      <c r="R47" s="161"/>
      <c r="S47" s="161"/>
      <c r="T47" s="161"/>
      <c r="U47" s="161"/>
      <c r="V47" s="161"/>
      <c r="W47" s="161"/>
      <c r="X47" s="161"/>
      <c r="Y47" s="161"/>
      <c r="Z47" s="161"/>
      <c r="AA47" s="161"/>
      <c r="AB47" s="161"/>
    </row>
    <row r="48">
      <c r="A48" s="511"/>
      <c r="B48" s="161"/>
      <c r="C48" s="161"/>
      <c r="D48" s="161"/>
      <c r="E48" s="161"/>
      <c r="F48" s="161"/>
      <c r="G48" s="161"/>
      <c r="H48" s="161"/>
      <c r="I48" s="161"/>
      <c r="J48" s="161"/>
      <c r="K48" s="511"/>
      <c r="L48" s="511"/>
      <c r="M48" s="161"/>
      <c r="N48" s="161"/>
      <c r="O48" s="161"/>
      <c r="P48" s="161"/>
      <c r="Q48" s="161"/>
      <c r="R48" s="161"/>
      <c r="S48" s="161"/>
      <c r="T48" s="161"/>
      <c r="U48" s="161"/>
      <c r="V48" s="161"/>
      <c r="W48" s="161"/>
      <c r="X48" s="161"/>
      <c r="Y48" s="161"/>
      <c r="Z48" s="161"/>
      <c r="AA48" s="161"/>
      <c r="AB48" s="161"/>
    </row>
    <row r="49">
      <c r="A49" s="511"/>
      <c r="B49" s="161"/>
      <c r="C49" s="161"/>
      <c r="D49" s="161"/>
      <c r="E49" s="161"/>
      <c r="F49" s="161"/>
      <c r="G49" s="161"/>
      <c r="H49" s="161"/>
      <c r="I49" s="161"/>
      <c r="J49" s="161"/>
      <c r="K49" s="511"/>
      <c r="L49" s="511"/>
      <c r="M49" s="161"/>
      <c r="N49" s="161"/>
      <c r="O49" s="161"/>
      <c r="P49" s="161"/>
      <c r="Q49" s="161"/>
      <c r="R49" s="161"/>
      <c r="S49" s="161"/>
      <c r="T49" s="161"/>
      <c r="U49" s="161"/>
      <c r="V49" s="161"/>
      <c r="W49" s="161"/>
      <c r="X49" s="161"/>
      <c r="Y49" s="161"/>
      <c r="Z49" s="161"/>
      <c r="AA49" s="161"/>
      <c r="AB49" s="161"/>
    </row>
    <row r="50">
      <c r="A50" s="511"/>
      <c r="B50" s="161"/>
      <c r="C50" s="161"/>
      <c r="D50" s="161"/>
      <c r="E50" s="161"/>
      <c r="F50" s="161"/>
      <c r="G50" s="161"/>
      <c r="H50" s="161"/>
      <c r="I50" s="161"/>
      <c r="J50" s="161"/>
      <c r="K50" s="511"/>
      <c r="L50" s="511"/>
      <c r="M50" s="161"/>
      <c r="N50" s="161"/>
      <c r="O50" s="161"/>
      <c r="P50" s="161"/>
      <c r="Q50" s="161"/>
      <c r="R50" s="161"/>
      <c r="S50" s="161"/>
      <c r="T50" s="161"/>
      <c r="U50" s="161"/>
      <c r="V50" s="161"/>
      <c r="W50" s="161"/>
      <c r="X50" s="161"/>
      <c r="Y50" s="161"/>
      <c r="Z50" s="161"/>
      <c r="AA50" s="161"/>
      <c r="AB50" s="161"/>
    </row>
    <row r="51">
      <c r="A51" s="511"/>
      <c r="B51" s="161"/>
      <c r="C51" s="161"/>
      <c r="D51" s="161"/>
      <c r="E51" s="161"/>
      <c r="F51" s="161"/>
      <c r="G51" s="161"/>
      <c r="H51" s="161"/>
      <c r="I51" s="161"/>
      <c r="J51" s="161"/>
      <c r="K51" s="511"/>
      <c r="L51" s="511"/>
      <c r="M51" s="161"/>
      <c r="N51" s="161"/>
      <c r="O51" s="161"/>
      <c r="P51" s="161"/>
      <c r="Q51" s="161"/>
      <c r="R51" s="161"/>
      <c r="S51" s="161"/>
      <c r="T51" s="161"/>
      <c r="U51" s="161"/>
      <c r="V51" s="161"/>
      <c r="W51" s="161"/>
      <c r="X51" s="161"/>
      <c r="Y51" s="161"/>
      <c r="Z51" s="161"/>
      <c r="AA51" s="161"/>
      <c r="AB51" s="161"/>
    </row>
    <row r="52">
      <c r="A52" s="511"/>
      <c r="B52" s="161"/>
      <c r="C52" s="161"/>
      <c r="D52" s="161"/>
      <c r="E52" s="161"/>
      <c r="F52" s="161"/>
      <c r="G52" s="161"/>
      <c r="H52" s="161"/>
      <c r="I52" s="161"/>
      <c r="J52" s="161"/>
      <c r="K52" s="511"/>
      <c r="L52" s="511"/>
      <c r="M52" s="161"/>
      <c r="N52" s="161"/>
      <c r="O52" s="161"/>
      <c r="P52" s="161"/>
      <c r="Q52" s="161"/>
      <c r="R52" s="161"/>
      <c r="S52" s="161"/>
      <c r="T52" s="161"/>
      <c r="U52" s="161"/>
      <c r="V52" s="161"/>
      <c r="W52" s="161"/>
      <c r="X52" s="161"/>
      <c r="Y52" s="161"/>
      <c r="Z52" s="161"/>
      <c r="AA52" s="161"/>
      <c r="AB52" s="161"/>
    </row>
    <row r="53">
      <c r="A53" s="511"/>
      <c r="B53" s="161"/>
      <c r="C53" s="161"/>
      <c r="D53" s="161"/>
      <c r="E53" s="161"/>
      <c r="F53" s="161"/>
      <c r="G53" s="161"/>
      <c r="H53" s="161"/>
      <c r="I53" s="161"/>
      <c r="J53" s="161"/>
      <c r="K53" s="511"/>
      <c r="L53" s="511"/>
      <c r="M53" s="161"/>
      <c r="N53" s="161"/>
      <c r="O53" s="161"/>
      <c r="P53" s="161"/>
      <c r="Q53" s="161"/>
      <c r="R53" s="161"/>
      <c r="S53" s="161"/>
      <c r="T53" s="161"/>
      <c r="U53" s="161"/>
      <c r="V53" s="161"/>
      <c r="W53" s="161"/>
      <c r="X53" s="161"/>
      <c r="Y53" s="161"/>
      <c r="Z53" s="161"/>
      <c r="AA53" s="161"/>
      <c r="AB53" s="161"/>
    </row>
    <row r="54">
      <c r="A54" s="511"/>
      <c r="B54" s="161"/>
      <c r="C54" s="161"/>
      <c r="D54" s="161"/>
      <c r="E54" s="161"/>
      <c r="F54" s="161"/>
      <c r="G54" s="161"/>
      <c r="H54" s="161"/>
      <c r="I54" s="161"/>
      <c r="J54" s="161"/>
      <c r="K54" s="511"/>
      <c r="L54" s="511"/>
      <c r="M54" s="161"/>
      <c r="N54" s="161"/>
      <c r="O54" s="161"/>
      <c r="P54" s="161"/>
      <c r="Q54" s="161"/>
      <c r="R54" s="161"/>
      <c r="S54" s="161"/>
      <c r="T54" s="161"/>
      <c r="U54" s="161"/>
      <c r="V54" s="161"/>
      <c r="W54" s="161"/>
      <c r="X54" s="161"/>
      <c r="Y54" s="161"/>
      <c r="Z54" s="161"/>
      <c r="AA54" s="161"/>
      <c r="AB54" s="161"/>
    </row>
    <row r="55">
      <c r="A55" s="511"/>
      <c r="B55" s="161"/>
      <c r="C55" s="161"/>
      <c r="D55" s="161"/>
      <c r="E55" s="161"/>
      <c r="F55" s="161"/>
      <c r="G55" s="161"/>
      <c r="H55" s="161"/>
      <c r="I55" s="161"/>
      <c r="J55" s="161"/>
      <c r="K55" s="511"/>
      <c r="L55" s="511"/>
      <c r="M55" s="161"/>
      <c r="N55" s="161"/>
      <c r="O55" s="161"/>
      <c r="P55" s="161"/>
      <c r="Q55" s="161"/>
      <c r="R55" s="161"/>
      <c r="S55" s="161"/>
      <c r="T55" s="161"/>
      <c r="U55" s="161"/>
      <c r="V55" s="161"/>
      <c r="W55" s="161"/>
      <c r="X55" s="161"/>
      <c r="Y55" s="161"/>
      <c r="Z55" s="161"/>
      <c r="AA55" s="161"/>
      <c r="AB55" s="161"/>
    </row>
    <row r="56">
      <c r="A56" s="511"/>
      <c r="B56" s="161"/>
      <c r="C56" s="161"/>
      <c r="D56" s="161"/>
      <c r="E56" s="161"/>
      <c r="F56" s="161"/>
      <c r="G56" s="161"/>
      <c r="H56" s="161"/>
      <c r="I56" s="161"/>
      <c r="J56" s="161"/>
      <c r="K56" s="511"/>
      <c r="L56" s="511"/>
      <c r="M56" s="161"/>
      <c r="N56" s="161"/>
      <c r="O56" s="161"/>
      <c r="P56" s="161"/>
      <c r="Q56" s="161"/>
      <c r="R56" s="161"/>
      <c r="S56" s="161"/>
      <c r="T56" s="161"/>
      <c r="U56" s="161"/>
      <c r="V56" s="161"/>
      <c r="W56" s="161"/>
      <c r="X56" s="161"/>
      <c r="Y56" s="161"/>
      <c r="Z56" s="161"/>
      <c r="AA56" s="161"/>
      <c r="AB56" s="161"/>
    </row>
    <row r="57">
      <c r="A57" s="511"/>
      <c r="B57" s="161"/>
      <c r="C57" s="161"/>
      <c r="D57" s="161"/>
      <c r="E57" s="161"/>
      <c r="F57" s="161"/>
      <c r="G57" s="161"/>
      <c r="H57" s="161"/>
      <c r="I57" s="161"/>
      <c r="J57" s="161"/>
      <c r="K57" s="511"/>
      <c r="L57" s="511"/>
      <c r="M57" s="161"/>
      <c r="N57" s="161"/>
      <c r="O57" s="161"/>
      <c r="P57" s="161"/>
      <c r="Q57" s="161"/>
      <c r="R57" s="161"/>
      <c r="S57" s="161"/>
      <c r="T57" s="161"/>
      <c r="U57" s="161"/>
      <c r="V57" s="161"/>
      <c r="W57" s="161"/>
      <c r="X57" s="161"/>
      <c r="Y57" s="161"/>
      <c r="Z57" s="161"/>
      <c r="AA57" s="161"/>
      <c r="AB57" s="161"/>
    </row>
    <row r="58">
      <c r="A58" s="511"/>
      <c r="B58" s="161"/>
      <c r="C58" s="161"/>
      <c r="D58" s="161"/>
      <c r="E58" s="161"/>
      <c r="F58" s="161"/>
      <c r="G58" s="161"/>
      <c r="H58" s="161"/>
      <c r="I58" s="161"/>
      <c r="J58" s="161"/>
      <c r="K58" s="511"/>
      <c r="L58" s="511"/>
      <c r="M58" s="161"/>
      <c r="N58" s="161"/>
      <c r="O58" s="161"/>
      <c r="P58" s="161"/>
      <c r="Q58" s="161"/>
      <c r="R58" s="161"/>
      <c r="S58" s="161"/>
      <c r="T58" s="161"/>
      <c r="U58" s="161"/>
      <c r="V58" s="161"/>
      <c r="W58" s="161"/>
      <c r="X58" s="161"/>
      <c r="Y58" s="161"/>
      <c r="Z58" s="161"/>
      <c r="AA58" s="161"/>
      <c r="AB58" s="161"/>
    </row>
    <row r="59">
      <c r="A59" s="511"/>
      <c r="B59" s="161"/>
      <c r="C59" s="161"/>
      <c r="D59" s="161"/>
      <c r="E59" s="161"/>
      <c r="F59" s="161"/>
      <c r="G59" s="161"/>
      <c r="H59" s="161"/>
      <c r="I59" s="161"/>
      <c r="J59" s="161"/>
      <c r="K59" s="511"/>
      <c r="L59" s="511"/>
      <c r="M59" s="161"/>
      <c r="N59" s="161"/>
      <c r="O59" s="161"/>
      <c r="P59" s="161"/>
      <c r="Q59" s="161"/>
      <c r="R59" s="161"/>
      <c r="S59" s="161"/>
      <c r="T59" s="161"/>
      <c r="U59" s="161"/>
      <c r="V59" s="161"/>
      <c r="W59" s="161"/>
      <c r="X59" s="161"/>
      <c r="Y59" s="161"/>
      <c r="Z59" s="161"/>
      <c r="AA59" s="161"/>
      <c r="AB59" s="161"/>
    </row>
    <row r="60">
      <c r="A60" s="511"/>
      <c r="B60" s="161"/>
      <c r="C60" s="161"/>
      <c r="D60" s="161"/>
      <c r="E60" s="161"/>
      <c r="F60" s="161"/>
      <c r="G60" s="161"/>
      <c r="H60" s="161"/>
      <c r="I60" s="161"/>
      <c r="J60" s="161"/>
      <c r="K60" s="511"/>
      <c r="L60" s="511"/>
      <c r="M60" s="161"/>
      <c r="N60" s="161"/>
      <c r="O60" s="161"/>
      <c r="P60" s="161"/>
      <c r="Q60" s="161"/>
      <c r="R60" s="161"/>
      <c r="S60" s="161"/>
      <c r="T60" s="161"/>
      <c r="U60" s="161"/>
      <c r="V60" s="161"/>
      <c r="W60" s="161"/>
      <c r="X60" s="161"/>
      <c r="Y60" s="161"/>
      <c r="Z60" s="161"/>
      <c r="AA60" s="161"/>
      <c r="AB60" s="161"/>
    </row>
    <row r="61">
      <c r="A61" s="511"/>
      <c r="B61" s="161"/>
      <c r="C61" s="161"/>
      <c r="D61" s="161"/>
      <c r="E61" s="161"/>
      <c r="F61" s="161"/>
      <c r="G61" s="161"/>
      <c r="H61" s="161"/>
      <c r="I61" s="161"/>
      <c r="J61" s="161"/>
      <c r="K61" s="511"/>
      <c r="L61" s="511"/>
      <c r="M61" s="161"/>
      <c r="N61" s="161"/>
      <c r="O61" s="161"/>
      <c r="P61" s="161"/>
      <c r="Q61" s="161"/>
      <c r="R61" s="161"/>
      <c r="S61" s="161"/>
      <c r="T61" s="161"/>
      <c r="U61" s="161"/>
      <c r="V61" s="161"/>
      <c r="W61" s="161"/>
      <c r="X61" s="161"/>
      <c r="Y61" s="161"/>
      <c r="Z61" s="161"/>
      <c r="AA61" s="161"/>
      <c r="AB61" s="161"/>
    </row>
    <row r="62">
      <c r="A62" s="511"/>
      <c r="B62" s="161"/>
      <c r="C62" s="161"/>
      <c r="D62" s="161"/>
      <c r="E62" s="161"/>
      <c r="F62" s="161"/>
      <c r="G62" s="161"/>
      <c r="H62" s="161"/>
      <c r="I62" s="161"/>
      <c r="J62" s="161"/>
      <c r="K62" s="511"/>
      <c r="L62" s="511"/>
      <c r="M62" s="161"/>
      <c r="N62" s="161"/>
      <c r="O62" s="161"/>
      <c r="P62" s="161"/>
      <c r="Q62" s="161"/>
      <c r="R62" s="161"/>
      <c r="S62" s="161"/>
      <c r="T62" s="161"/>
      <c r="U62" s="161"/>
      <c r="V62" s="161"/>
      <c r="W62" s="161"/>
      <c r="X62" s="161"/>
      <c r="Y62" s="161"/>
      <c r="Z62" s="161"/>
      <c r="AA62" s="161"/>
      <c r="AB62" s="161"/>
    </row>
    <row r="63">
      <c r="A63" s="511"/>
      <c r="B63" s="161"/>
      <c r="C63" s="161"/>
      <c r="D63" s="161"/>
      <c r="E63" s="161"/>
      <c r="F63" s="161"/>
      <c r="G63" s="161"/>
      <c r="H63" s="161"/>
      <c r="I63" s="161"/>
      <c r="J63" s="161"/>
      <c r="K63" s="511"/>
      <c r="L63" s="511"/>
      <c r="M63" s="161"/>
      <c r="N63" s="161"/>
      <c r="O63" s="161"/>
      <c r="P63" s="161"/>
      <c r="Q63" s="161"/>
      <c r="R63" s="161"/>
      <c r="S63" s="161"/>
      <c r="T63" s="161"/>
      <c r="U63" s="161"/>
      <c r="V63" s="161"/>
      <c r="W63" s="161"/>
      <c r="X63" s="161"/>
      <c r="Y63" s="161"/>
      <c r="Z63" s="161"/>
      <c r="AA63" s="161"/>
      <c r="AB63" s="161"/>
    </row>
    <row r="64">
      <c r="A64" s="511"/>
      <c r="B64" s="161"/>
      <c r="C64" s="161"/>
      <c r="D64" s="161"/>
      <c r="E64" s="161"/>
      <c r="F64" s="161"/>
      <c r="G64" s="161"/>
      <c r="H64" s="161"/>
      <c r="I64" s="161"/>
      <c r="J64" s="161"/>
      <c r="K64" s="511"/>
      <c r="L64" s="511"/>
      <c r="M64" s="161"/>
      <c r="N64" s="161"/>
      <c r="O64" s="161"/>
      <c r="P64" s="161"/>
      <c r="Q64" s="161"/>
      <c r="R64" s="161"/>
      <c r="S64" s="161"/>
      <c r="T64" s="161"/>
      <c r="U64" s="161"/>
      <c r="V64" s="161"/>
      <c r="W64" s="161"/>
      <c r="X64" s="161"/>
      <c r="Y64" s="161"/>
      <c r="Z64" s="161"/>
      <c r="AA64" s="161"/>
      <c r="AB64" s="161"/>
    </row>
    <row r="65">
      <c r="A65" s="511"/>
      <c r="B65" s="161"/>
      <c r="C65" s="161"/>
      <c r="D65" s="161"/>
      <c r="E65" s="161"/>
      <c r="F65" s="161"/>
      <c r="G65" s="161"/>
      <c r="H65" s="161"/>
      <c r="I65" s="161"/>
      <c r="J65" s="161"/>
      <c r="K65" s="511"/>
      <c r="L65" s="511"/>
      <c r="M65" s="161"/>
      <c r="N65" s="161"/>
      <c r="O65" s="161"/>
      <c r="P65" s="161"/>
      <c r="Q65" s="161"/>
      <c r="R65" s="161"/>
      <c r="S65" s="161"/>
      <c r="T65" s="161"/>
      <c r="U65" s="161"/>
      <c r="V65" s="161"/>
      <c r="W65" s="161"/>
      <c r="X65" s="161"/>
      <c r="Y65" s="161"/>
      <c r="Z65" s="161"/>
      <c r="AA65" s="161"/>
      <c r="AB65" s="161"/>
    </row>
    <row r="66">
      <c r="A66" s="511"/>
      <c r="B66" s="161"/>
      <c r="C66" s="161"/>
      <c r="D66" s="161"/>
      <c r="E66" s="161"/>
      <c r="F66" s="161"/>
      <c r="G66" s="161"/>
      <c r="H66" s="161"/>
      <c r="I66" s="161"/>
      <c r="J66" s="161"/>
      <c r="K66" s="511"/>
      <c r="L66" s="511"/>
      <c r="M66" s="161"/>
      <c r="N66" s="161"/>
      <c r="O66" s="161"/>
      <c r="P66" s="161"/>
      <c r="Q66" s="161"/>
      <c r="R66" s="161"/>
      <c r="S66" s="161"/>
      <c r="T66" s="161"/>
      <c r="U66" s="161"/>
      <c r="V66" s="161"/>
      <c r="W66" s="161"/>
      <c r="X66" s="161"/>
      <c r="Y66" s="161"/>
      <c r="Z66" s="161"/>
      <c r="AA66" s="161"/>
      <c r="AB66" s="161"/>
    </row>
    <row r="67">
      <c r="A67" s="511"/>
      <c r="B67" s="161"/>
      <c r="C67" s="161"/>
      <c r="D67" s="161"/>
      <c r="E67" s="161"/>
      <c r="F67" s="161"/>
      <c r="G67" s="161"/>
      <c r="H67" s="161"/>
      <c r="I67" s="161"/>
      <c r="J67" s="161"/>
      <c r="K67" s="511"/>
      <c r="L67" s="511"/>
      <c r="M67" s="161"/>
      <c r="N67" s="161"/>
      <c r="O67" s="161"/>
      <c r="P67" s="161"/>
      <c r="Q67" s="161"/>
      <c r="R67" s="161"/>
      <c r="S67" s="161"/>
      <c r="T67" s="161"/>
      <c r="U67" s="161"/>
      <c r="V67" s="161"/>
      <c r="W67" s="161"/>
      <c r="X67" s="161"/>
      <c r="Y67" s="161"/>
      <c r="Z67" s="161"/>
      <c r="AA67" s="161"/>
      <c r="AB67" s="161"/>
    </row>
    <row r="68">
      <c r="A68" s="511"/>
      <c r="B68" s="161"/>
      <c r="C68" s="161"/>
      <c r="D68" s="161"/>
      <c r="E68" s="161"/>
      <c r="F68" s="161"/>
      <c r="G68" s="161"/>
      <c r="H68" s="161"/>
      <c r="I68" s="161"/>
      <c r="J68" s="161"/>
      <c r="K68" s="511"/>
      <c r="L68" s="511"/>
      <c r="M68" s="161"/>
      <c r="N68" s="161"/>
      <c r="O68" s="161"/>
      <c r="P68" s="161"/>
      <c r="Q68" s="161"/>
      <c r="R68" s="161"/>
      <c r="S68" s="161"/>
      <c r="T68" s="161"/>
      <c r="U68" s="161"/>
      <c r="V68" s="161"/>
      <c r="W68" s="161"/>
      <c r="X68" s="161"/>
      <c r="Y68" s="161"/>
      <c r="Z68" s="161"/>
      <c r="AA68" s="161"/>
      <c r="AB68" s="161"/>
    </row>
    <row r="69">
      <c r="A69" s="511"/>
      <c r="B69" s="161"/>
      <c r="C69" s="161"/>
      <c r="D69" s="161"/>
      <c r="E69" s="161"/>
      <c r="F69" s="161"/>
      <c r="G69" s="161"/>
      <c r="H69" s="161"/>
      <c r="I69" s="161"/>
      <c r="J69" s="161"/>
      <c r="K69" s="511"/>
      <c r="L69" s="511"/>
      <c r="M69" s="161"/>
      <c r="N69" s="161"/>
      <c r="O69" s="161"/>
      <c r="P69" s="161"/>
      <c r="Q69" s="161"/>
      <c r="R69" s="161"/>
      <c r="S69" s="161"/>
      <c r="T69" s="161"/>
      <c r="U69" s="161"/>
      <c r="V69" s="161"/>
      <c r="W69" s="161"/>
      <c r="X69" s="161"/>
      <c r="Y69" s="161"/>
      <c r="Z69" s="161"/>
      <c r="AA69" s="161"/>
      <c r="AB69" s="161"/>
    </row>
    <row r="70">
      <c r="A70" s="511"/>
      <c r="B70" s="161"/>
      <c r="C70" s="161"/>
      <c r="D70" s="161"/>
      <c r="E70" s="161"/>
      <c r="F70" s="161"/>
      <c r="G70" s="161"/>
      <c r="H70" s="161"/>
      <c r="I70" s="161"/>
      <c r="J70" s="161"/>
      <c r="K70" s="511"/>
      <c r="L70" s="511"/>
      <c r="M70" s="161"/>
      <c r="N70" s="161"/>
      <c r="O70" s="161"/>
      <c r="P70" s="161"/>
      <c r="Q70" s="161"/>
      <c r="R70" s="161"/>
      <c r="S70" s="161"/>
      <c r="T70" s="161"/>
      <c r="U70" s="161"/>
      <c r="V70" s="161"/>
      <c r="W70" s="161"/>
      <c r="X70" s="161"/>
      <c r="Y70" s="161"/>
      <c r="Z70" s="161"/>
      <c r="AA70" s="161"/>
      <c r="AB70" s="161"/>
    </row>
    <row r="71">
      <c r="A71" s="511"/>
      <c r="B71" s="161"/>
      <c r="C71" s="161"/>
      <c r="D71" s="161"/>
      <c r="E71" s="161"/>
      <c r="F71" s="161"/>
      <c r="G71" s="161"/>
      <c r="H71" s="161"/>
      <c r="I71" s="161"/>
      <c r="J71" s="161"/>
      <c r="K71" s="511"/>
      <c r="L71" s="511"/>
      <c r="M71" s="161"/>
      <c r="N71" s="161"/>
      <c r="O71" s="161"/>
      <c r="P71" s="161"/>
      <c r="Q71" s="161"/>
      <c r="R71" s="161"/>
      <c r="S71" s="161"/>
      <c r="T71" s="161"/>
      <c r="U71" s="161"/>
      <c r="V71" s="161"/>
      <c r="W71" s="161"/>
      <c r="X71" s="161"/>
      <c r="Y71" s="161"/>
      <c r="Z71" s="161"/>
      <c r="AA71" s="161"/>
      <c r="AB71" s="161"/>
    </row>
    <row r="72">
      <c r="A72" s="511"/>
      <c r="B72" s="161"/>
      <c r="C72" s="161"/>
      <c r="D72" s="161"/>
      <c r="E72" s="161"/>
      <c r="F72" s="161"/>
      <c r="G72" s="161"/>
      <c r="H72" s="161"/>
      <c r="I72" s="161"/>
      <c r="J72" s="161"/>
      <c r="K72" s="511"/>
      <c r="L72" s="511"/>
      <c r="M72" s="161"/>
      <c r="N72" s="161"/>
      <c r="O72" s="161"/>
      <c r="P72" s="161"/>
      <c r="Q72" s="161"/>
      <c r="R72" s="161"/>
      <c r="S72" s="161"/>
      <c r="T72" s="161"/>
      <c r="U72" s="161"/>
      <c r="V72" s="161"/>
      <c r="W72" s="161"/>
      <c r="X72" s="161"/>
      <c r="Y72" s="161"/>
      <c r="Z72" s="161"/>
      <c r="AA72" s="161"/>
      <c r="AB72" s="161"/>
    </row>
    <row r="73">
      <c r="A73" s="511"/>
      <c r="B73" s="161"/>
      <c r="C73" s="161"/>
      <c r="D73" s="161"/>
      <c r="E73" s="161"/>
      <c r="F73" s="161"/>
      <c r="G73" s="161"/>
      <c r="H73" s="161"/>
      <c r="I73" s="161"/>
      <c r="J73" s="161"/>
      <c r="K73" s="511"/>
      <c r="L73" s="511"/>
      <c r="M73" s="161"/>
      <c r="N73" s="161"/>
      <c r="O73" s="161"/>
      <c r="P73" s="161"/>
      <c r="Q73" s="161"/>
      <c r="R73" s="161"/>
      <c r="S73" s="161"/>
      <c r="T73" s="161"/>
      <c r="U73" s="161"/>
      <c r="V73" s="161"/>
      <c r="W73" s="161"/>
      <c r="X73" s="161"/>
      <c r="Y73" s="161"/>
      <c r="Z73" s="161"/>
      <c r="AA73" s="161"/>
      <c r="AB73" s="161"/>
    </row>
    <row r="74">
      <c r="A74" s="511"/>
      <c r="B74" s="161"/>
      <c r="C74" s="161"/>
      <c r="D74" s="161"/>
      <c r="E74" s="161"/>
      <c r="F74" s="161"/>
      <c r="G74" s="161"/>
      <c r="H74" s="161"/>
      <c r="I74" s="161"/>
      <c r="J74" s="161"/>
      <c r="K74" s="511"/>
      <c r="L74" s="511"/>
      <c r="M74" s="161"/>
      <c r="N74" s="161"/>
      <c r="O74" s="161"/>
      <c r="P74" s="161"/>
      <c r="Q74" s="161"/>
      <c r="R74" s="161"/>
      <c r="S74" s="161"/>
      <c r="T74" s="161"/>
      <c r="U74" s="161"/>
      <c r="V74" s="161"/>
      <c r="W74" s="161"/>
      <c r="X74" s="161"/>
      <c r="Y74" s="161"/>
      <c r="Z74" s="161"/>
      <c r="AA74" s="161"/>
      <c r="AB74" s="161"/>
    </row>
    <row r="75">
      <c r="A75" s="511"/>
      <c r="B75" s="161"/>
      <c r="C75" s="161"/>
      <c r="D75" s="161"/>
      <c r="E75" s="161"/>
      <c r="F75" s="161"/>
      <c r="G75" s="161"/>
      <c r="H75" s="161"/>
      <c r="I75" s="161"/>
      <c r="J75" s="161"/>
      <c r="K75" s="511"/>
      <c r="L75" s="511"/>
      <c r="M75" s="161"/>
      <c r="N75" s="161"/>
      <c r="O75" s="161"/>
      <c r="P75" s="161"/>
      <c r="Q75" s="161"/>
      <c r="R75" s="161"/>
      <c r="S75" s="161"/>
      <c r="T75" s="161"/>
      <c r="U75" s="161"/>
      <c r="V75" s="161"/>
      <c r="W75" s="161"/>
      <c r="X75" s="161"/>
      <c r="Y75" s="161"/>
      <c r="Z75" s="161"/>
      <c r="AA75" s="161"/>
      <c r="AB75" s="161"/>
    </row>
    <row r="76">
      <c r="A76" s="511"/>
      <c r="B76" s="161"/>
      <c r="C76" s="161"/>
      <c r="D76" s="161"/>
      <c r="E76" s="161"/>
      <c r="F76" s="161"/>
      <c r="G76" s="161"/>
      <c r="H76" s="161"/>
      <c r="I76" s="161"/>
      <c r="J76" s="161"/>
      <c r="K76" s="511"/>
      <c r="L76" s="511"/>
      <c r="M76" s="161"/>
      <c r="N76" s="161"/>
      <c r="O76" s="161"/>
      <c r="P76" s="161"/>
      <c r="Q76" s="161"/>
      <c r="R76" s="161"/>
      <c r="S76" s="161"/>
      <c r="T76" s="161"/>
      <c r="U76" s="161"/>
      <c r="V76" s="161"/>
      <c r="W76" s="161"/>
      <c r="X76" s="161"/>
      <c r="Y76" s="161"/>
      <c r="Z76" s="161"/>
      <c r="AA76" s="161"/>
      <c r="AB76" s="161"/>
    </row>
    <row r="77">
      <c r="A77" s="511"/>
      <c r="B77" s="161"/>
      <c r="C77" s="161"/>
      <c r="D77" s="161"/>
      <c r="E77" s="161"/>
      <c r="F77" s="161"/>
      <c r="G77" s="161"/>
      <c r="H77" s="161"/>
      <c r="I77" s="161"/>
      <c r="J77" s="161"/>
      <c r="K77" s="511"/>
      <c r="L77" s="511"/>
      <c r="M77" s="161"/>
      <c r="N77" s="161"/>
      <c r="O77" s="161"/>
      <c r="P77" s="161"/>
      <c r="Q77" s="161"/>
      <c r="R77" s="161"/>
      <c r="S77" s="161"/>
      <c r="T77" s="161"/>
      <c r="U77" s="161"/>
      <c r="V77" s="161"/>
      <c r="W77" s="161"/>
      <c r="X77" s="161"/>
      <c r="Y77" s="161"/>
      <c r="Z77" s="161"/>
      <c r="AA77" s="161"/>
      <c r="AB77" s="161"/>
    </row>
    <row r="78">
      <c r="A78" s="511"/>
      <c r="B78" s="161"/>
      <c r="C78" s="161"/>
      <c r="D78" s="161"/>
      <c r="E78" s="161"/>
      <c r="F78" s="161"/>
      <c r="G78" s="161"/>
      <c r="H78" s="161"/>
      <c r="I78" s="161"/>
      <c r="J78" s="161"/>
      <c r="K78" s="511"/>
      <c r="L78" s="511"/>
      <c r="M78" s="161"/>
      <c r="N78" s="161"/>
      <c r="O78" s="161"/>
      <c r="P78" s="161"/>
      <c r="Q78" s="161"/>
      <c r="R78" s="161"/>
      <c r="S78" s="161"/>
      <c r="T78" s="161"/>
      <c r="U78" s="161"/>
      <c r="V78" s="161"/>
      <c r="W78" s="161"/>
      <c r="X78" s="161"/>
      <c r="Y78" s="161"/>
      <c r="Z78" s="161"/>
      <c r="AA78" s="161"/>
      <c r="AB78" s="161"/>
    </row>
    <row r="79">
      <c r="A79" s="511"/>
      <c r="B79" s="161"/>
      <c r="C79" s="161"/>
      <c r="D79" s="161"/>
      <c r="E79" s="161"/>
      <c r="F79" s="161"/>
      <c r="G79" s="161"/>
      <c r="H79" s="161"/>
      <c r="I79" s="161"/>
      <c r="J79" s="161"/>
      <c r="K79" s="511"/>
      <c r="L79" s="511"/>
      <c r="M79" s="161"/>
      <c r="N79" s="161"/>
      <c r="O79" s="161"/>
      <c r="P79" s="161"/>
      <c r="Q79" s="161"/>
      <c r="R79" s="161"/>
      <c r="S79" s="161"/>
      <c r="T79" s="161"/>
      <c r="U79" s="161"/>
      <c r="V79" s="161"/>
      <c r="W79" s="161"/>
      <c r="X79" s="161"/>
      <c r="Y79" s="161"/>
      <c r="Z79" s="161"/>
      <c r="AA79" s="161"/>
      <c r="AB79" s="161"/>
    </row>
    <row r="80">
      <c r="A80" s="511"/>
      <c r="B80" s="161"/>
      <c r="C80" s="161"/>
      <c r="D80" s="161"/>
      <c r="E80" s="161"/>
      <c r="F80" s="161"/>
      <c r="G80" s="161"/>
      <c r="H80" s="161"/>
      <c r="I80" s="161"/>
      <c r="J80" s="161"/>
      <c r="K80" s="511"/>
      <c r="L80" s="511"/>
      <c r="M80" s="161"/>
      <c r="N80" s="161"/>
      <c r="O80" s="161"/>
      <c r="P80" s="161"/>
      <c r="Q80" s="161"/>
      <c r="R80" s="161"/>
      <c r="S80" s="161"/>
      <c r="T80" s="161"/>
      <c r="U80" s="161"/>
      <c r="V80" s="161"/>
      <c r="W80" s="161"/>
      <c r="X80" s="161"/>
      <c r="Y80" s="161"/>
      <c r="Z80" s="161"/>
      <c r="AA80" s="161"/>
      <c r="AB80" s="161"/>
    </row>
    <row r="81">
      <c r="A81" s="511"/>
      <c r="B81" s="161"/>
      <c r="C81" s="161"/>
      <c r="D81" s="161"/>
      <c r="E81" s="161"/>
      <c r="F81" s="161"/>
      <c r="G81" s="161"/>
      <c r="H81" s="161"/>
      <c r="I81" s="161"/>
      <c r="J81" s="161"/>
      <c r="K81" s="511"/>
      <c r="L81" s="511"/>
      <c r="M81" s="161"/>
      <c r="N81" s="161"/>
      <c r="O81" s="161"/>
      <c r="P81" s="161"/>
      <c r="Q81" s="161"/>
      <c r="R81" s="161"/>
      <c r="S81" s="161"/>
      <c r="T81" s="161"/>
      <c r="U81" s="161"/>
      <c r="V81" s="161"/>
      <c r="W81" s="161"/>
      <c r="X81" s="161"/>
      <c r="Y81" s="161"/>
      <c r="Z81" s="161"/>
      <c r="AA81" s="161"/>
      <c r="AB81" s="161"/>
    </row>
    <row r="82">
      <c r="A82" s="511"/>
      <c r="B82" s="161"/>
      <c r="C82" s="161"/>
      <c r="D82" s="161"/>
      <c r="E82" s="161"/>
      <c r="F82" s="161"/>
      <c r="G82" s="161"/>
      <c r="H82" s="161"/>
      <c r="I82" s="161"/>
      <c r="J82" s="161"/>
      <c r="K82" s="511"/>
      <c r="L82" s="511"/>
      <c r="M82" s="161"/>
      <c r="N82" s="161"/>
      <c r="O82" s="161"/>
      <c r="P82" s="161"/>
      <c r="Q82" s="161"/>
      <c r="R82" s="161"/>
      <c r="S82" s="161"/>
      <c r="T82" s="161"/>
      <c r="U82" s="161"/>
      <c r="V82" s="161"/>
      <c r="W82" s="161"/>
      <c r="X82" s="161"/>
      <c r="Y82" s="161"/>
      <c r="Z82" s="161"/>
      <c r="AA82" s="161"/>
      <c r="AB82" s="161"/>
    </row>
    <row r="83">
      <c r="A83" s="511"/>
      <c r="B83" s="161"/>
      <c r="C83" s="161"/>
      <c r="D83" s="161"/>
      <c r="E83" s="161"/>
      <c r="F83" s="161"/>
      <c r="G83" s="161"/>
      <c r="H83" s="161"/>
      <c r="I83" s="161"/>
      <c r="J83" s="161"/>
      <c r="K83" s="511"/>
      <c r="L83" s="511"/>
      <c r="M83" s="161"/>
      <c r="N83" s="161"/>
      <c r="O83" s="161"/>
      <c r="P83" s="161"/>
      <c r="Q83" s="161"/>
      <c r="R83" s="161"/>
      <c r="S83" s="161"/>
      <c r="T83" s="161"/>
      <c r="U83" s="161"/>
      <c r="V83" s="161"/>
      <c r="W83" s="161"/>
      <c r="X83" s="161"/>
      <c r="Y83" s="161"/>
      <c r="Z83" s="161"/>
      <c r="AA83" s="161"/>
      <c r="AB83" s="161"/>
    </row>
    <row r="84">
      <c r="A84" s="511"/>
      <c r="B84" s="161"/>
      <c r="C84" s="161"/>
      <c r="D84" s="161"/>
      <c r="E84" s="161"/>
      <c r="F84" s="161"/>
      <c r="G84" s="161"/>
      <c r="H84" s="161"/>
      <c r="I84" s="161"/>
      <c r="J84" s="161"/>
      <c r="K84" s="511"/>
      <c r="L84" s="511"/>
      <c r="M84" s="161"/>
      <c r="N84" s="161"/>
      <c r="O84" s="161"/>
      <c r="P84" s="161"/>
      <c r="Q84" s="161"/>
      <c r="R84" s="161"/>
      <c r="S84" s="161"/>
      <c r="T84" s="161"/>
      <c r="U84" s="161"/>
      <c r="V84" s="161"/>
      <c r="W84" s="161"/>
      <c r="X84" s="161"/>
      <c r="Y84" s="161"/>
      <c r="Z84" s="161"/>
      <c r="AA84" s="161"/>
      <c r="AB84" s="161"/>
    </row>
    <row r="85">
      <c r="A85" s="511"/>
      <c r="B85" s="161"/>
      <c r="C85" s="161"/>
      <c r="D85" s="161"/>
      <c r="E85" s="161"/>
      <c r="F85" s="161"/>
      <c r="G85" s="161"/>
      <c r="H85" s="161"/>
      <c r="I85" s="161"/>
      <c r="J85" s="161"/>
      <c r="K85" s="511"/>
      <c r="L85" s="511"/>
      <c r="M85" s="161"/>
      <c r="N85" s="161"/>
      <c r="O85" s="161"/>
      <c r="P85" s="161"/>
      <c r="Q85" s="161"/>
      <c r="R85" s="161"/>
      <c r="S85" s="161"/>
      <c r="T85" s="161"/>
      <c r="U85" s="161"/>
      <c r="V85" s="161"/>
      <c r="W85" s="161"/>
      <c r="X85" s="161"/>
      <c r="Y85" s="161"/>
      <c r="Z85" s="161"/>
      <c r="AA85" s="161"/>
      <c r="AB85" s="161"/>
    </row>
    <row r="86">
      <c r="A86" s="511"/>
      <c r="B86" s="161"/>
      <c r="C86" s="161"/>
      <c r="D86" s="161"/>
      <c r="E86" s="161"/>
      <c r="F86" s="161"/>
      <c r="G86" s="161"/>
      <c r="H86" s="161"/>
      <c r="I86" s="161"/>
      <c r="J86" s="161"/>
      <c r="K86" s="511"/>
      <c r="L86" s="511"/>
      <c r="M86" s="161"/>
      <c r="N86" s="161"/>
      <c r="O86" s="161"/>
      <c r="P86" s="161"/>
      <c r="Q86" s="161"/>
      <c r="R86" s="161"/>
      <c r="S86" s="161"/>
      <c r="T86" s="161"/>
      <c r="U86" s="161"/>
      <c r="V86" s="161"/>
      <c r="W86" s="161"/>
      <c r="X86" s="161"/>
      <c r="Y86" s="161"/>
      <c r="Z86" s="161"/>
      <c r="AA86" s="161"/>
      <c r="AB86" s="161"/>
    </row>
    <row r="87">
      <c r="A87" s="511"/>
      <c r="B87" s="161"/>
      <c r="C87" s="161"/>
      <c r="D87" s="161"/>
      <c r="E87" s="161"/>
      <c r="F87" s="161"/>
      <c r="G87" s="161"/>
      <c r="H87" s="161"/>
      <c r="I87" s="161"/>
      <c r="J87" s="161"/>
      <c r="K87" s="511"/>
      <c r="L87" s="511"/>
      <c r="M87" s="161"/>
      <c r="N87" s="161"/>
      <c r="O87" s="161"/>
      <c r="P87" s="161"/>
      <c r="Q87" s="161"/>
      <c r="R87" s="161"/>
      <c r="S87" s="161"/>
      <c r="T87" s="161"/>
      <c r="U87" s="161"/>
      <c r="V87" s="161"/>
      <c r="W87" s="161"/>
      <c r="X87" s="161"/>
      <c r="Y87" s="161"/>
      <c r="Z87" s="161"/>
      <c r="AA87" s="161"/>
      <c r="AB87" s="161"/>
    </row>
    <row r="88">
      <c r="A88" s="511"/>
      <c r="B88" s="161"/>
      <c r="C88" s="161"/>
      <c r="D88" s="161"/>
      <c r="E88" s="161"/>
      <c r="F88" s="161"/>
      <c r="G88" s="161"/>
      <c r="H88" s="161"/>
      <c r="I88" s="161"/>
      <c r="J88" s="161"/>
      <c r="K88" s="511"/>
      <c r="L88" s="511"/>
      <c r="M88" s="161"/>
      <c r="N88" s="161"/>
      <c r="O88" s="161"/>
      <c r="P88" s="161"/>
      <c r="Q88" s="161"/>
      <c r="R88" s="161"/>
      <c r="S88" s="161"/>
      <c r="T88" s="161"/>
      <c r="U88" s="161"/>
      <c r="V88" s="161"/>
      <c r="W88" s="161"/>
      <c r="X88" s="161"/>
      <c r="Y88" s="161"/>
      <c r="Z88" s="161"/>
      <c r="AA88" s="161"/>
      <c r="AB88" s="161"/>
    </row>
    <row r="89">
      <c r="A89" s="511"/>
      <c r="B89" s="161"/>
      <c r="C89" s="161"/>
      <c r="D89" s="161"/>
      <c r="E89" s="161"/>
      <c r="F89" s="161"/>
      <c r="G89" s="161"/>
      <c r="H89" s="161"/>
      <c r="I89" s="161"/>
      <c r="J89" s="161"/>
      <c r="K89" s="511"/>
      <c r="L89" s="511"/>
      <c r="M89" s="161"/>
      <c r="N89" s="161"/>
      <c r="O89" s="161"/>
      <c r="P89" s="161"/>
      <c r="Q89" s="161"/>
      <c r="R89" s="161"/>
      <c r="S89" s="161"/>
      <c r="T89" s="161"/>
      <c r="U89" s="161"/>
      <c r="V89" s="161"/>
      <c r="W89" s="161"/>
      <c r="X89" s="161"/>
      <c r="Y89" s="161"/>
      <c r="Z89" s="161"/>
      <c r="AA89" s="161"/>
      <c r="AB89" s="161"/>
    </row>
    <row r="90">
      <c r="A90" s="511"/>
      <c r="B90" s="161"/>
      <c r="C90" s="161"/>
      <c r="D90" s="161"/>
      <c r="E90" s="161"/>
      <c r="F90" s="161"/>
      <c r="G90" s="161"/>
      <c r="H90" s="161"/>
      <c r="I90" s="161"/>
      <c r="J90" s="161"/>
      <c r="K90" s="511"/>
      <c r="L90" s="511"/>
      <c r="M90" s="161"/>
      <c r="N90" s="161"/>
      <c r="O90" s="161"/>
      <c r="P90" s="161"/>
      <c r="Q90" s="161"/>
      <c r="R90" s="161"/>
      <c r="S90" s="161"/>
      <c r="T90" s="161"/>
      <c r="U90" s="161"/>
      <c r="V90" s="161"/>
      <c r="W90" s="161"/>
      <c r="X90" s="161"/>
      <c r="Y90" s="161"/>
      <c r="Z90" s="161"/>
      <c r="AA90" s="161"/>
      <c r="AB90" s="161"/>
    </row>
    <row r="91">
      <c r="A91" s="511"/>
      <c r="B91" s="161"/>
      <c r="C91" s="161"/>
      <c r="D91" s="161"/>
      <c r="E91" s="161"/>
      <c r="F91" s="161"/>
      <c r="G91" s="161"/>
      <c r="H91" s="161"/>
      <c r="I91" s="161"/>
      <c r="J91" s="161"/>
      <c r="K91" s="511"/>
      <c r="L91" s="511"/>
      <c r="M91" s="161"/>
      <c r="N91" s="161"/>
      <c r="O91" s="161"/>
      <c r="P91" s="161"/>
      <c r="Q91" s="161"/>
      <c r="R91" s="161"/>
      <c r="S91" s="161"/>
      <c r="T91" s="161"/>
      <c r="U91" s="161"/>
      <c r="V91" s="161"/>
      <c r="W91" s="161"/>
      <c r="X91" s="161"/>
      <c r="Y91" s="161"/>
      <c r="Z91" s="161"/>
      <c r="AA91" s="161"/>
      <c r="AB91" s="161"/>
    </row>
    <row r="92">
      <c r="A92" s="511"/>
      <c r="B92" s="161"/>
      <c r="C92" s="161"/>
      <c r="D92" s="161"/>
      <c r="E92" s="161"/>
      <c r="F92" s="161"/>
      <c r="G92" s="161"/>
      <c r="H92" s="161"/>
      <c r="I92" s="161"/>
      <c r="J92" s="161"/>
      <c r="K92" s="511"/>
      <c r="L92" s="511"/>
      <c r="M92" s="161"/>
      <c r="N92" s="161"/>
      <c r="O92" s="161"/>
      <c r="P92" s="161"/>
      <c r="Q92" s="161"/>
      <c r="R92" s="161"/>
      <c r="S92" s="161"/>
      <c r="T92" s="161"/>
      <c r="U92" s="161"/>
      <c r="V92" s="161"/>
      <c r="W92" s="161"/>
      <c r="X92" s="161"/>
      <c r="Y92" s="161"/>
      <c r="Z92" s="161"/>
      <c r="AA92" s="161"/>
      <c r="AB92" s="161"/>
    </row>
    <row r="93">
      <c r="A93" s="511"/>
      <c r="B93" s="161"/>
      <c r="C93" s="161"/>
      <c r="D93" s="161"/>
      <c r="E93" s="161"/>
      <c r="F93" s="161"/>
      <c r="G93" s="161"/>
      <c r="H93" s="161"/>
      <c r="I93" s="161"/>
      <c r="J93" s="161"/>
      <c r="K93" s="511"/>
      <c r="L93" s="511"/>
      <c r="M93" s="161"/>
      <c r="N93" s="161"/>
      <c r="O93" s="161"/>
      <c r="P93" s="161"/>
      <c r="Q93" s="161"/>
      <c r="R93" s="161"/>
      <c r="S93" s="161"/>
      <c r="T93" s="161"/>
      <c r="U93" s="161"/>
      <c r="V93" s="161"/>
      <c r="W93" s="161"/>
      <c r="X93" s="161"/>
      <c r="Y93" s="161"/>
      <c r="Z93" s="161"/>
      <c r="AA93" s="161"/>
      <c r="AB93" s="161"/>
    </row>
    <row r="94">
      <c r="A94" s="511"/>
      <c r="B94" s="161"/>
      <c r="C94" s="161"/>
      <c r="D94" s="161"/>
      <c r="E94" s="161"/>
      <c r="F94" s="161"/>
      <c r="G94" s="161"/>
      <c r="H94" s="161"/>
      <c r="I94" s="161"/>
      <c r="J94" s="161"/>
      <c r="K94" s="511"/>
      <c r="L94" s="511"/>
      <c r="M94" s="161"/>
      <c r="N94" s="161"/>
      <c r="O94" s="161"/>
      <c r="P94" s="161"/>
      <c r="Q94" s="161"/>
      <c r="R94" s="161"/>
      <c r="S94" s="161"/>
      <c r="T94" s="161"/>
      <c r="U94" s="161"/>
      <c r="V94" s="161"/>
      <c r="W94" s="161"/>
      <c r="X94" s="161"/>
      <c r="Y94" s="161"/>
      <c r="Z94" s="161"/>
      <c r="AA94" s="161"/>
      <c r="AB94" s="161"/>
    </row>
    <row r="95">
      <c r="A95" s="511"/>
      <c r="B95" s="161"/>
      <c r="C95" s="161"/>
      <c r="D95" s="161"/>
      <c r="E95" s="161"/>
      <c r="F95" s="161"/>
      <c r="G95" s="161"/>
      <c r="H95" s="161"/>
      <c r="I95" s="161"/>
      <c r="J95" s="161"/>
      <c r="K95" s="511"/>
      <c r="L95" s="511"/>
      <c r="M95" s="161"/>
      <c r="N95" s="161"/>
      <c r="O95" s="161"/>
      <c r="P95" s="161"/>
      <c r="Q95" s="161"/>
      <c r="R95" s="161"/>
      <c r="S95" s="161"/>
      <c r="T95" s="161"/>
      <c r="U95" s="161"/>
      <c r="V95" s="161"/>
      <c r="W95" s="161"/>
      <c r="X95" s="161"/>
      <c r="Y95" s="161"/>
      <c r="Z95" s="161"/>
      <c r="AA95" s="161"/>
      <c r="AB95" s="161"/>
    </row>
    <row r="96">
      <c r="A96" s="511"/>
      <c r="B96" s="161"/>
      <c r="C96" s="161"/>
      <c r="D96" s="161"/>
      <c r="E96" s="161"/>
      <c r="F96" s="161"/>
      <c r="G96" s="161"/>
      <c r="H96" s="161"/>
      <c r="I96" s="161"/>
      <c r="J96" s="161"/>
      <c r="K96" s="511"/>
      <c r="L96" s="511"/>
      <c r="M96" s="161"/>
      <c r="N96" s="161"/>
      <c r="O96" s="161"/>
      <c r="P96" s="161"/>
      <c r="Q96" s="161"/>
      <c r="R96" s="161"/>
      <c r="S96" s="161"/>
      <c r="T96" s="161"/>
      <c r="U96" s="161"/>
      <c r="V96" s="161"/>
      <c r="W96" s="161"/>
      <c r="X96" s="161"/>
      <c r="Y96" s="161"/>
      <c r="Z96" s="161"/>
      <c r="AA96" s="161"/>
      <c r="AB96" s="161"/>
    </row>
    <row r="97">
      <c r="A97" s="511"/>
      <c r="B97" s="161"/>
      <c r="C97" s="161"/>
      <c r="D97" s="161"/>
      <c r="E97" s="161"/>
      <c r="F97" s="161"/>
      <c r="G97" s="161"/>
      <c r="H97" s="161"/>
      <c r="I97" s="161"/>
      <c r="J97" s="161"/>
      <c r="K97" s="511"/>
      <c r="L97" s="511"/>
      <c r="M97" s="161"/>
      <c r="N97" s="161"/>
      <c r="O97" s="161"/>
      <c r="P97" s="161"/>
      <c r="Q97" s="161"/>
      <c r="R97" s="161"/>
      <c r="S97" s="161"/>
      <c r="T97" s="161"/>
      <c r="U97" s="161"/>
      <c r="V97" s="161"/>
      <c r="W97" s="161"/>
      <c r="X97" s="161"/>
      <c r="Y97" s="161"/>
      <c r="Z97" s="161"/>
      <c r="AA97" s="161"/>
      <c r="AB97" s="161"/>
    </row>
    <row r="98">
      <c r="A98" s="511"/>
      <c r="B98" s="161"/>
      <c r="C98" s="161"/>
      <c r="D98" s="161"/>
      <c r="E98" s="161"/>
      <c r="F98" s="161"/>
      <c r="G98" s="161"/>
      <c r="H98" s="161"/>
      <c r="I98" s="161"/>
      <c r="J98" s="161"/>
      <c r="K98" s="511"/>
      <c r="L98" s="511"/>
      <c r="M98" s="161"/>
      <c r="N98" s="161"/>
      <c r="O98" s="161"/>
      <c r="P98" s="161"/>
      <c r="Q98" s="161"/>
      <c r="R98" s="161"/>
      <c r="S98" s="161"/>
      <c r="T98" s="161"/>
      <c r="U98" s="161"/>
      <c r="V98" s="161"/>
      <c r="W98" s="161"/>
      <c r="X98" s="161"/>
      <c r="Y98" s="161"/>
      <c r="Z98" s="161"/>
      <c r="AA98" s="161"/>
      <c r="AB98" s="161"/>
    </row>
    <row r="99">
      <c r="A99" s="511"/>
      <c r="B99" s="161"/>
      <c r="C99" s="161"/>
      <c r="D99" s="161"/>
      <c r="E99" s="161"/>
      <c r="F99" s="161"/>
      <c r="G99" s="161"/>
      <c r="H99" s="161"/>
      <c r="I99" s="161"/>
      <c r="J99" s="161"/>
      <c r="K99" s="511"/>
      <c r="L99" s="511"/>
      <c r="M99" s="161"/>
      <c r="N99" s="161"/>
      <c r="O99" s="161"/>
      <c r="P99" s="161"/>
      <c r="Q99" s="161"/>
      <c r="R99" s="161"/>
      <c r="S99" s="161"/>
      <c r="T99" s="161"/>
      <c r="U99" s="161"/>
      <c r="V99" s="161"/>
      <c r="W99" s="161"/>
      <c r="X99" s="161"/>
      <c r="Y99" s="161"/>
      <c r="Z99" s="161"/>
      <c r="AA99" s="161"/>
      <c r="AB99" s="161"/>
    </row>
    <row r="100">
      <c r="A100" s="511"/>
      <c r="B100" s="161"/>
      <c r="C100" s="161"/>
      <c r="D100" s="161"/>
      <c r="E100" s="161"/>
      <c r="F100" s="161"/>
      <c r="G100" s="161"/>
      <c r="H100" s="161"/>
      <c r="I100" s="161"/>
      <c r="J100" s="161"/>
      <c r="K100" s="511"/>
      <c r="L100" s="511"/>
      <c r="M100" s="161"/>
      <c r="N100" s="161"/>
      <c r="O100" s="161"/>
      <c r="P100" s="161"/>
      <c r="Q100" s="161"/>
      <c r="R100" s="161"/>
      <c r="S100" s="161"/>
      <c r="T100" s="161"/>
      <c r="U100" s="161"/>
      <c r="V100" s="161"/>
      <c r="W100" s="161"/>
      <c r="X100" s="161"/>
      <c r="Y100" s="161"/>
      <c r="Z100" s="161"/>
      <c r="AA100" s="161"/>
      <c r="AB100" s="161"/>
    </row>
    <row r="101">
      <c r="A101" s="511"/>
      <c r="B101" s="161"/>
      <c r="C101" s="161"/>
      <c r="D101" s="161"/>
      <c r="E101" s="161"/>
      <c r="F101" s="161"/>
      <c r="G101" s="161"/>
      <c r="H101" s="161"/>
      <c r="I101" s="161"/>
      <c r="J101" s="161"/>
      <c r="K101" s="511"/>
      <c r="L101" s="511"/>
      <c r="M101" s="161"/>
      <c r="N101" s="161"/>
      <c r="O101" s="161"/>
      <c r="P101" s="161"/>
      <c r="Q101" s="161"/>
      <c r="R101" s="161"/>
      <c r="S101" s="161"/>
      <c r="T101" s="161"/>
      <c r="U101" s="161"/>
      <c r="V101" s="161"/>
      <c r="W101" s="161"/>
      <c r="X101" s="161"/>
      <c r="Y101" s="161"/>
      <c r="Z101" s="161"/>
      <c r="AA101" s="161"/>
      <c r="AB101" s="161"/>
    </row>
    <row r="102">
      <c r="A102" s="511"/>
      <c r="B102" s="161"/>
      <c r="C102" s="161"/>
      <c r="D102" s="161"/>
      <c r="E102" s="161"/>
      <c r="F102" s="161"/>
      <c r="G102" s="161"/>
      <c r="H102" s="161"/>
      <c r="I102" s="161"/>
      <c r="J102" s="161"/>
      <c r="K102" s="511"/>
      <c r="L102" s="511"/>
      <c r="M102" s="161"/>
      <c r="N102" s="161"/>
      <c r="O102" s="161"/>
      <c r="P102" s="161"/>
      <c r="Q102" s="161"/>
      <c r="R102" s="161"/>
      <c r="S102" s="161"/>
      <c r="T102" s="161"/>
      <c r="U102" s="161"/>
      <c r="V102" s="161"/>
      <c r="W102" s="161"/>
      <c r="X102" s="161"/>
      <c r="Y102" s="161"/>
      <c r="Z102" s="161"/>
      <c r="AA102" s="161"/>
      <c r="AB102" s="161"/>
    </row>
    <row r="103">
      <c r="A103" s="511"/>
      <c r="B103" s="161"/>
      <c r="C103" s="161"/>
      <c r="D103" s="161"/>
      <c r="E103" s="161"/>
      <c r="F103" s="161"/>
      <c r="G103" s="161"/>
      <c r="H103" s="161"/>
      <c r="I103" s="161"/>
      <c r="J103" s="161"/>
      <c r="K103" s="511"/>
      <c r="L103" s="511"/>
      <c r="M103" s="161"/>
      <c r="N103" s="161"/>
      <c r="O103" s="161"/>
      <c r="P103" s="161"/>
      <c r="Q103" s="161"/>
      <c r="R103" s="161"/>
      <c r="S103" s="161"/>
      <c r="T103" s="161"/>
      <c r="U103" s="161"/>
      <c r="V103" s="161"/>
      <c r="W103" s="161"/>
      <c r="X103" s="161"/>
      <c r="Y103" s="161"/>
      <c r="Z103" s="161"/>
      <c r="AA103" s="161"/>
      <c r="AB103" s="161"/>
    </row>
    <row r="104">
      <c r="A104" s="511"/>
      <c r="B104" s="161"/>
      <c r="C104" s="161"/>
      <c r="D104" s="161"/>
      <c r="E104" s="161"/>
      <c r="F104" s="161"/>
      <c r="G104" s="161"/>
      <c r="H104" s="161"/>
      <c r="I104" s="161"/>
      <c r="J104" s="161"/>
      <c r="K104" s="511"/>
      <c r="L104" s="511"/>
      <c r="M104" s="161"/>
      <c r="N104" s="161"/>
      <c r="O104" s="161"/>
      <c r="P104" s="161"/>
      <c r="Q104" s="161"/>
      <c r="R104" s="161"/>
      <c r="S104" s="161"/>
      <c r="T104" s="161"/>
      <c r="U104" s="161"/>
      <c r="V104" s="161"/>
      <c r="W104" s="161"/>
      <c r="X104" s="161"/>
      <c r="Y104" s="161"/>
      <c r="Z104" s="161"/>
      <c r="AA104" s="161"/>
      <c r="AB104" s="161"/>
    </row>
    <row r="105">
      <c r="A105" s="511"/>
      <c r="B105" s="161"/>
      <c r="C105" s="161"/>
      <c r="D105" s="161"/>
      <c r="E105" s="161"/>
      <c r="F105" s="161"/>
      <c r="G105" s="161"/>
      <c r="H105" s="161"/>
      <c r="I105" s="161"/>
      <c r="J105" s="161"/>
      <c r="K105" s="511"/>
      <c r="L105" s="511"/>
      <c r="M105" s="161"/>
      <c r="N105" s="161"/>
      <c r="O105" s="161"/>
      <c r="P105" s="161"/>
      <c r="Q105" s="161"/>
      <c r="R105" s="161"/>
      <c r="S105" s="161"/>
      <c r="T105" s="161"/>
      <c r="U105" s="161"/>
      <c r="V105" s="161"/>
      <c r="W105" s="161"/>
      <c r="X105" s="161"/>
      <c r="Y105" s="161"/>
      <c r="Z105" s="161"/>
      <c r="AA105" s="161"/>
      <c r="AB105" s="161"/>
    </row>
    <row r="106">
      <c r="A106" s="511"/>
      <c r="B106" s="161"/>
      <c r="C106" s="161"/>
      <c r="D106" s="161"/>
      <c r="E106" s="161"/>
      <c r="F106" s="161"/>
      <c r="G106" s="161"/>
      <c r="H106" s="161"/>
      <c r="I106" s="161"/>
      <c r="J106" s="161"/>
      <c r="K106" s="511"/>
      <c r="L106" s="511"/>
      <c r="M106" s="161"/>
      <c r="N106" s="161"/>
      <c r="O106" s="161"/>
      <c r="P106" s="161"/>
      <c r="Q106" s="161"/>
      <c r="R106" s="161"/>
      <c r="S106" s="161"/>
      <c r="T106" s="161"/>
      <c r="U106" s="161"/>
      <c r="V106" s="161"/>
      <c r="W106" s="161"/>
      <c r="X106" s="161"/>
      <c r="Y106" s="161"/>
      <c r="Z106" s="161"/>
      <c r="AA106" s="161"/>
      <c r="AB106" s="161"/>
    </row>
    <row r="107">
      <c r="A107" s="511"/>
      <c r="B107" s="161"/>
      <c r="C107" s="161"/>
      <c r="D107" s="161"/>
      <c r="E107" s="161"/>
      <c r="F107" s="161"/>
      <c r="G107" s="161"/>
      <c r="H107" s="161"/>
      <c r="I107" s="161"/>
      <c r="J107" s="161"/>
      <c r="K107" s="511"/>
      <c r="L107" s="511"/>
      <c r="M107" s="161"/>
      <c r="N107" s="161"/>
      <c r="O107" s="161"/>
      <c r="P107" s="161"/>
      <c r="Q107" s="161"/>
      <c r="R107" s="161"/>
      <c r="S107" s="161"/>
      <c r="T107" s="161"/>
      <c r="U107" s="161"/>
      <c r="V107" s="161"/>
      <c r="W107" s="161"/>
      <c r="X107" s="161"/>
      <c r="Y107" s="161"/>
      <c r="Z107" s="161"/>
      <c r="AA107" s="161"/>
      <c r="AB107" s="161"/>
    </row>
    <row r="108">
      <c r="A108" s="511"/>
      <c r="B108" s="161"/>
      <c r="C108" s="161"/>
      <c r="D108" s="161"/>
      <c r="E108" s="161"/>
      <c r="F108" s="161"/>
      <c r="G108" s="161"/>
      <c r="H108" s="161"/>
      <c r="I108" s="161"/>
      <c r="J108" s="161"/>
      <c r="K108" s="511"/>
      <c r="L108" s="511"/>
      <c r="M108" s="161"/>
      <c r="N108" s="161"/>
      <c r="O108" s="161"/>
      <c r="P108" s="161"/>
      <c r="Q108" s="161"/>
      <c r="R108" s="161"/>
      <c r="S108" s="161"/>
      <c r="T108" s="161"/>
      <c r="U108" s="161"/>
      <c r="V108" s="161"/>
      <c r="W108" s="161"/>
      <c r="X108" s="161"/>
      <c r="Y108" s="161"/>
      <c r="Z108" s="161"/>
      <c r="AA108" s="161"/>
      <c r="AB108" s="161"/>
    </row>
    <row r="109">
      <c r="A109" s="511"/>
      <c r="B109" s="161"/>
      <c r="C109" s="161"/>
      <c r="D109" s="161"/>
      <c r="E109" s="161"/>
      <c r="F109" s="161"/>
      <c r="G109" s="161"/>
      <c r="H109" s="161"/>
      <c r="I109" s="161"/>
      <c r="J109" s="161"/>
      <c r="K109" s="511"/>
      <c r="L109" s="511"/>
      <c r="M109" s="161"/>
      <c r="N109" s="161"/>
      <c r="O109" s="161"/>
      <c r="P109" s="161"/>
      <c r="Q109" s="161"/>
      <c r="R109" s="161"/>
      <c r="S109" s="161"/>
      <c r="T109" s="161"/>
      <c r="U109" s="161"/>
      <c r="V109" s="161"/>
      <c r="W109" s="161"/>
      <c r="X109" s="161"/>
      <c r="Y109" s="161"/>
      <c r="Z109" s="161"/>
      <c r="AA109" s="161"/>
      <c r="AB109" s="161"/>
    </row>
    <row r="110">
      <c r="A110" s="511"/>
      <c r="B110" s="161"/>
      <c r="C110" s="161"/>
      <c r="D110" s="161"/>
      <c r="E110" s="161"/>
      <c r="F110" s="161"/>
      <c r="G110" s="161"/>
      <c r="H110" s="161"/>
      <c r="I110" s="161"/>
      <c r="J110" s="161"/>
      <c r="K110" s="511"/>
      <c r="L110" s="511"/>
      <c r="M110" s="161"/>
      <c r="N110" s="161"/>
      <c r="O110" s="161"/>
      <c r="P110" s="161"/>
      <c r="Q110" s="161"/>
      <c r="R110" s="161"/>
      <c r="S110" s="161"/>
      <c r="T110" s="161"/>
      <c r="U110" s="161"/>
      <c r="V110" s="161"/>
      <c r="W110" s="161"/>
      <c r="X110" s="161"/>
      <c r="Y110" s="161"/>
      <c r="Z110" s="161"/>
      <c r="AA110" s="161"/>
      <c r="AB110" s="161"/>
    </row>
    <row r="111">
      <c r="A111" s="511"/>
      <c r="B111" s="161"/>
      <c r="C111" s="161"/>
      <c r="D111" s="161"/>
      <c r="E111" s="161"/>
      <c r="F111" s="161"/>
      <c r="G111" s="161"/>
      <c r="H111" s="161"/>
      <c r="I111" s="161"/>
      <c r="J111" s="161"/>
      <c r="K111" s="511"/>
      <c r="L111" s="511"/>
      <c r="M111" s="161"/>
      <c r="N111" s="161"/>
      <c r="O111" s="161"/>
      <c r="P111" s="161"/>
      <c r="Q111" s="161"/>
      <c r="R111" s="161"/>
      <c r="S111" s="161"/>
      <c r="T111" s="161"/>
      <c r="U111" s="161"/>
      <c r="V111" s="161"/>
      <c r="W111" s="161"/>
      <c r="X111" s="161"/>
      <c r="Y111" s="161"/>
      <c r="Z111" s="161"/>
      <c r="AA111" s="161"/>
      <c r="AB111" s="161"/>
    </row>
    <row r="112">
      <c r="A112" s="511"/>
      <c r="B112" s="161"/>
      <c r="C112" s="161"/>
      <c r="D112" s="161"/>
      <c r="E112" s="161"/>
      <c r="F112" s="161"/>
      <c r="G112" s="161"/>
      <c r="H112" s="161"/>
      <c r="I112" s="161"/>
      <c r="J112" s="161"/>
      <c r="K112" s="511"/>
      <c r="L112" s="511"/>
      <c r="M112" s="161"/>
      <c r="N112" s="161"/>
      <c r="O112" s="161"/>
      <c r="P112" s="161"/>
      <c r="Q112" s="161"/>
      <c r="R112" s="161"/>
      <c r="S112" s="161"/>
      <c r="T112" s="161"/>
      <c r="U112" s="161"/>
      <c r="V112" s="161"/>
      <c r="W112" s="161"/>
      <c r="X112" s="161"/>
      <c r="Y112" s="161"/>
      <c r="Z112" s="161"/>
      <c r="AA112" s="161"/>
      <c r="AB112" s="161"/>
    </row>
    <row r="113">
      <c r="A113" s="511"/>
      <c r="B113" s="161"/>
      <c r="C113" s="161"/>
      <c r="D113" s="161"/>
      <c r="E113" s="161"/>
      <c r="F113" s="161"/>
      <c r="G113" s="161"/>
      <c r="H113" s="161"/>
      <c r="I113" s="161"/>
      <c r="J113" s="161"/>
      <c r="K113" s="511"/>
      <c r="L113" s="511"/>
      <c r="M113" s="161"/>
      <c r="N113" s="161"/>
      <c r="O113" s="161"/>
      <c r="P113" s="161"/>
      <c r="Q113" s="161"/>
      <c r="R113" s="161"/>
      <c r="S113" s="161"/>
      <c r="T113" s="161"/>
      <c r="U113" s="161"/>
      <c r="V113" s="161"/>
      <c r="W113" s="161"/>
      <c r="X113" s="161"/>
      <c r="Y113" s="161"/>
      <c r="Z113" s="161"/>
      <c r="AA113" s="161"/>
      <c r="AB113" s="161"/>
    </row>
    <row r="114">
      <c r="A114" s="511"/>
      <c r="B114" s="161"/>
      <c r="C114" s="161"/>
      <c r="D114" s="161"/>
      <c r="E114" s="161"/>
      <c r="F114" s="161"/>
      <c r="G114" s="161"/>
      <c r="H114" s="161"/>
      <c r="I114" s="161"/>
      <c r="J114" s="161"/>
      <c r="K114" s="511"/>
      <c r="L114" s="511"/>
      <c r="M114" s="161"/>
      <c r="N114" s="161"/>
      <c r="O114" s="161"/>
      <c r="P114" s="161"/>
      <c r="Q114" s="161"/>
      <c r="R114" s="161"/>
      <c r="S114" s="161"/>
      <c r="T114" s="161"/>
      <c r="U114" s="161"/>
      <c r="V114" s="161"/>
      <c r="W114" s="161"/>
      <c r="X114" s="161"/>
      <c r="Y114" s="161"/>
      <c r="Z114" s="161"/>
      <c r="AA114" s="161"/>
      <c r="AB114" s="161"/>
    </row>
    <row r="115">
      <c r="A115" s="511"/>
      <c r="B115" s="161"/>
      <c r="C115" s="161"/>
      <c r="D115" s="161"/>
      <c r="E115" s="161"/>
      <c r="F115" s="161"/>
      <c r="G115" s="161"/>
      <c r="H115" s="161"/>
      <c r="I115" s="161"/>
      <c r="J115" s="161"/>
      <c r="K115" s="511"/>
      <c r="L115" s="511"/>
      <c r="M115" s="161"/>
      <c r="N115" s="161"/>
      <c r="O115" s="161"/>
      <c r="P115" s="161"/>
      <c r="Q115" s="161"/>
      <c r="R115" s="161"/>
      <c r="S115" s="161"/>
      <c r="T115" s="161"/>
      <c r="U115" s="161"/>
      <c r="V115" s="161"/>
      <c r="W115" s="161"/>
      <c r="X115" s="161"/>
      <c r="Y115" s="161"/>
      <c r="Z115" s="161"/>
      <c r="AA115" s="161"/>
      <c r="AB115" s="161"/>
    </row>
    <row r="116">
      <c r="A116" s="511"/>
      <c r="B116" s="161"/>
      <c r="C116" s="161"/>
      <c r="D116" s="161"/>
      <c r="E116" s="161"/>
      <c r="F116" s="161"/>
      <c r="G116" s="161"/>
      <c r="H116" s="161"/>
      <c r="I116" s="161"/>
      <c r="J116" s="161"/>
      <c r="K116" s="511"/>
      <c r="L116" s="511"/>
      <c r="M116" s="161"/>
      <c r="N116" s="161"/>
      <c r="O116" s="161"/>
      <c r="P116" s="161"/>
      <c r="Q116" s="161"/>
      <c r="R116" s="161"/>
      <c r="S116" s="161"/>
      <c r="T116" s="161"/>
      <c r="U116" s="161"/>
      <c r="V116" s="161"/>
      <c r="W116" s="161"/>
      <c r="X116" s="161"/>
      <c r="Y116" s="161"/>
      <c r="Z116" s="161"/>
      <c r="AA116" s="161"/>
      <c r="AB116" s="161"/>
    </row>
    <row r="117">
      <c r="A117" s="511"/>
      <c r="B117" s="161"/>
      <c r="C117" s="161"/>
      <c r="D117" s="161"/>
      <c r="E117" s="161"/>
      <c r="F117" s="161"/>
      <c r="G117" s="161"/>
      <c r="H117" s="161"/>
      <c r="I117" s="161"/>
      <c r="J117" s="161"/>
      <c r="K117" s="511"/>
      <c r="L117" s="511"/>
      <c r="M117" s="161"/>
      <c r="N117" s="161"/>
      <c r="O117" s="161"/>
      <c r="P117" s="161"/>
      <c r="Q117" s="161"/>
      <c r="R117" s="161"/>
      <c r="S117" s="161"/>
      <c r="T117" s="161"/>
      <c r="U117" s="161"/>
      <c r="V117" s="161"/>
      <c r="W117" s="161"/>
      <c r="X117" s="161"/>
      <c r="Y117" s="161"/>
      <c r="Z117" s="161"/>
      <c r="AA117" s="161"/>
      <c r="AB117" s="161"/>
    </row>
    <row r="118">
      <c r="A118" s="511"/>
      <c r="B118" s="161"/>
      <c r="C118" s="161"/>
      <c r="D118" s="161"/>
      <c r="E118" s="161"/>
      <c r="F118" s="161"/>
      <c r="G118" s="161"/>
      <c r="H118" s="161"/>
      <c r="I118" s="161"/>
      <c r="J118" s="161"/>
      <c r="K118" s="511"/>
      <c r="L118" s="511"/>
      <c r="M118" s="161"/>
      <c r="N118" s="161"/>
      <c r="O118" s="161"/>
      <c r="P118" s="161"/>
      <c r="Q118" s="161"/>
      <c r="R118" s="161"/>
      <c r="S118" s="161"/>
      <c r="T118" s="161"/>
      <c r="U118" s="161"/>
      <c r="V118" s="161"/>
      <c r="W118" s="161"/>
      <c r="X118" s="161"/>
      <c r="Y118" s="161"/>
      <c r="Z118" s="161"/>
      <c r="AA118" s="161"/>
      <c r="AB118" s="161"/>
    </row>
    <row r="119">
      <c r="A119" s="511"/>
      <c r="B119" s="161"/>
      <c r="C119" s="161"/>
      <c r="D119" s="161"/>
      <c r="E119" s="161"/>
      <c r="F119" s="161"/>
      <c r="G119" s="161"/>
      <c r="H119" s="161"/>
      <c r="I119" s="161"/>
      <c r="J119" s="161"/>
      <c r="K119" s="511"/>
      <c r="L119" s="511"/>
      <c r="M119" s="161"/>
      <c r="N119" s="161"/>
      <c r="O119" s="161"/>
      <c r="P119" s="161"/>
      <c r="Q119" s="161"/>
      <c r="R119" s="161"/>
      <c r="S119" s="161"/>
      <c r="T119" s="161"/>
      <c r="U119" s="161"/>
      <c r="V119" s="161"/>
      <c r="W119" s="161"/>
      <c r="X119" s="161"/>
      <c r="Y119" s="161"/>
      <c r="Z119" s="161"/>
      <c r="AA119" s="161"/>
      <c r="AB119" s="161"/>
    </row>
    <row r="120">
      <c r="A120" s="511"/>
      <c r="B120" s="161"/>
      <c r="C120" s="161"/>
      <c r="D120" s="161"/>
      <c r="E120" s="161"/>
      <c r="F120" s="161"/>
      <c r="G120" s="161"/>
      <c r="H120" s="161"/>
      <c r="I120" s="161"/>
      <c r="J120" s="161"/>
      <c r="K120" s="511"/>
      <c r="L120" s="511"/>
      <c r="M120" s="161"/>
      <c r="N120" s="161"/>
      <c r="O120" s="161"/>
      <c r="P120" s="161"/>
      <c r="Q120" s="161"/>
      <c r="R120" s="161"/>
      <c r="S120" s="161"/>
      <c r="T120" s="161"/>
      <c r="U120" s="161"/>
      <c r="V120" s="161"/>
      <c r="W120" s="161"/>
      <c r="X120" s="161"/>
      <c r="Y120" s="161"/>
      <c r="Z120" s="161"/>
      <c r="AA120" s="161"/>
      <c r="AB120" s="161"/>
    </row>
    <row r="121">
      <c r="A121" s="511"/>
      <c r="B121" s="161"/>
      <c r="C121" s="161"/>
      <c r="D121" s="161"/>
      <c r="E121" s="161"/>
      <c r="F121" s="161"/>
      <c r="G121" s="161"/>
      <c r="H121" s="161"/>
      <c r="I121" s="161"/>
      <c r="J121" s="161"/>
      <c r="K121" s="511"/>
      <c r="L121" s="511"/>
      <c r="M121" s="161"/>
      <c r="N121" s="161"/>
      <c r="O121" s="161"/>
      <c r="P121" s="161"/>
      <c r="Q121" s="161"/>
      <c r="R121" s="161"/>
      <c r="S121" s="161"/>
      <c r="T121" s="161"/>
      <c r="U121" s="161"/>
      <c r="V121" s="161"/>
      <c r="W121" s="161"/>
      <c r="X121" s="161"/>
      <c r="Y121" s="161"/>
      <c r="Z121" s="161"/>
      <c r="AA121" s="161"/>
      <c r="AB121" s="161"/>
    </row>
    <row r="122">
      <c r="A122" s="511"/>
      <c r="B122" s="161"/>
      <c r="C122" s="161"/>
      <c r="D122" s="161"/>
      <c r="E122" s="161"/>
      <c r="F122" s="161"/>
      <c r="G122" s="161"/>
      <c r="H122" s="161"/>
      <c r="I122" s="161"/>
      <c r="J122" s="161"/>
      <c r="K122" s="511"/>
      <c r="L122" s="511"/>
      <c r="M122" s="161"/>
      <c r="N122" s="161"/>
      <c r="O122" s="161"/>
      <c r="P122" s="161"/>
      <c r="Q122" s="161"/>
      <c r="R122" s="161"/>
      <c r="S122" s="161"/>
      <c r="T122" s="161"/>
      <c r="U122" s="161"/>
      <c r="V122" s="161"/>
      <c r="W122" s="161"/>
      <c r="X122" s="161"/>
      <c r="Y122" s="161"/>
      <c r="Z122" s="161"/>
      <c r="AA122" s="161"/>
      <c r="AB122" s="161"/>
    </row>
    <row r="123">
      <c r="A123" s="511"/>
      <c r="B123" s="161"/>
      <c r="C123" s="161"/>
      <c r="D123" s="161"/>
      <c r="E123" s="161"/>
      <c r="F123" s="161"/>
      <c r="G123" s="161"/>
      <c r="H123" s="161"/>
      <c r="I123" s="161"/>
      <c r="J123" s="161"/>
      <c r="K123" s="511"/>
      <c r="L123" s="511"/>
      <c r="M123" s="161"/>
      <c r="N123" s="161"/>
      <c r="O123" s="161"/>
      <c r="P123" s="161"/>
      <c r="Q123" s="161"/>
      <c r="R123" s="161"/>
      <c r="S123" s="161"/>
      <c r="T123" s="161"/>
      <c r="U123" s="161"/>
      <c r="V123" s="161"/>
      <c r="W123" s="161"/>
      <c r="X123" s="161"/>
      <c r="Y123" s="161"/>
      <c r="Z123" s="161"/>
      <c r="AA123" s="161"/>
      <c r="AB123" s="161"/>
    </row>
    <row r="124">
      <c r="A124" s="511"/>
      <c r="B124" s="161"/>
      <c r="C124" s="161"/>
      <c r="D124" s="161"/>
      <c r="E124" s="161"/>
      <c r="F124" s="161"/>
      <c r="G124" s="161"/>
      <c r="H124" s="161"/>
      <c r="I124" s="161"/>
      <c r="J124" s="161"/>
      <c r="K124" s="511"/>
      <c r="L124" s="511"/>
      <c r="M124" s="161"/>
      <c r="N124" s="161"/>
      <c r="O124" s="161"/>
      <c r="P124" s="161"/>
      <c r="Q124" s="161"/>
      <c r="R124" s="161"/>
      <c r="S124" s="161"/>
      <c r="T124" s="161"/>
      <c r="U124" s="161"/>
      <c r="V124" s="161"/>
      <c r="W124" s="161"/>
      <c r="X124" s="161"/>
      <c r="Y124" s="161"/>
      <c r="Z124" s="161"/>
      <c r="AA124" s="161"/>
      <c r="AB124" s="161"/>
    </row>
    <row r="125">
      <c r="A125" s="511"/>
      <c r="B125" s="161"/>
      <c r="C125" s="161"/>
      <c r="D125" s="161"/>
      <c r="E125" s="161"/>
      <c r="F125" s="161"/>
      <c r="G125" s="161"/>
      <c r="H125" s="161"/>
      <c r="I125" s="161"/>
      <c r="J125" s="161"/>
      <c r="K125" s="511"/>
      <c r="L125" s="511"/>
      <c r="M125" s="161"/>
      <c r="N125" s="161"/>
      <c r="O125" s="161"/>
      <c r="P125" s="161"/>
      <c r="Q125" s="161"/>
      <c r="R125" s="161"/>
      <c r="S125" s="161"/>
      <c r="T125" s="161"/>
      <c r="U125" s="161"/>
      <c r="V125" s="161"/>
      <c r="W125" s="161"/>
      <c r="X125" s="161"/>
      <c r="Y125" s="161"/>
      <c r="Z125" s="161"/>
      <c r="AA125" s="161"/>
      <c r="AB125" s="161"/>
    </row>
    <row r="126">
      <c r="A126" s="511"/>
      <c r="B126" s="161"/>
      <c r="C126" s="161"/>
      <c r="D126" s="161"/>
      <c r="E126" s="161"/>
      <c r="F126" s="161"/>
      <c r="G126" s="161"/>
      <c r="H126" s="161"/>
      <c r="I126" s="161"/>
      <c r="J126" s="161"/>
      <c r="K126" s="511"/>
      <c r="L126" s="511"/>
      <c r="M126" s="161"/>
      <c r="N126" s="161"/>
      <c r="O126" s="161"/>
      <c r="P126" s="161"/>
      <c r="Q126" s="161"/>
      <c r="R126" s="161"/>
      <c r="S126" s="161"/>
      <c r="T126" s="161"/>
      <c r="U126" s="161"/>
      <c r="V126" s="161"/>
      <c r="W126" s="161"/>
      <c r="X126" s="161"/>
      <c r="Y126" s="161"/>
      <c r="Z126" s="161"/>
      <c r="AA126" s="161"/>
      <c r="AB126" s="161"/>
    </row>
    <row r="127">
      <c r="A127" s="511"/>
      <c r="B127" s="161"/>
      <c r="C127" s="161"/>
      <c r="D127" s="161"/>
      <c r="E127" s="161"/>
      <c r="F127" s="161"/>
      <c r="G127" s="161"/>
      <c r="H127" s="161"/>
      <c r="I127" s="161"/>
      <c r="J127" s="161"/>
      <c r="K127" s="511"/>
      <c r="L127" s="511"/>
      <c r="M127" s="161"/>
      <c r="N127" s="161"/>
      <c r="O127" s="161"/>
      <c r="P127" s="161"/>
      <c r="Q127" s="161"/>
      <c r="R127" s="161"/>
      <c r="S127" s="161"/>
      <c r="T127" s="161"/>
      <c r="U127" s="161"/>
      <c r="V127" s="161"/>
      <c r="W127" s="161"/>
      <c r="X127" s="161"/>
      <c r="Y127" s="161"/>
      <c r="Z127" s="161"/>
      <c r="AA127" s="161"/>
      <c r="AB127" s="161"/>
    </row>
    <row r="128">
      <c r="A128" s="511"/>
      <c r="B128" s="161"/>
      <c r="C128" s="161"/>
      <c r="D128" s="161"/>
      <c r="E128" s="161"/>
      <c r="F128" s="161"/>
      <c r="G128" s="161"/>
      <c r="H128" s="161"/>
      <c r="I128" s="161"/>
      <c r="J128" s="161"/>
      <c r="K128" s="511"/>
      <c r="L128" s="511"/>
      <c r="M128" s="161"/>
      <c r="N128" s="161"/>
      <c r="O128" s="161"/>
      <c r="P128" s="161"/>
      <c r="Q128" s="161"/>
      <c r="R128" s="161"/>
      <c r="S128" s="161"/>
      <c r="T128" s="161"/>
      <c r="U128" s="161"/>
      <c r="V128" s="161"/>
      <c r="W128" s="161"/>
      <c r="X128" s="161"/>
      <c r="Y128" s="161"/>
      <c r="Z128" s="161"/>
      <c r="AA128" s="161"/>
      <c r="AB128" s="161"/>
    </row>
    <row r="129">
      <c r="A129" s="511"/>
      <c r="B129" s="161"/>
      <c r="C129" s="161"/>
      <c r="D129" s="161"/>
      <c r="E129" s="161"/>
      <c r="F129" s="161"/>
      <c r="G129" s="161"/>
      <c r="H129" s="161"/>
      <c r="I129" s="161"/>
      <c r="J129" s="161"/>
      <c r="K129" s="511"/>
      <c r="L129" s="511"/>
      <c r="M129" s="161"/>
      <c r="N129" s="161"/>
      <c r="O129" s="161"/>
      <c r="P129" s="161"/>
      <c r="Q129" s="161"/>
      <c r="R129" s="161"/>
      <c r="S129" s="161"/>
      <c r="T129" s="161"/>
      <c r="U129" s="161"/>
      <c r="V129" s="161"/>
      <c r="W129" s="161"/>
      <c r="X129" s="161"/>
      <c r="Y129" s="161"/>
      <c r="Z129" s="161"/>
      <c r="AA129" s="161"/>
      <c r="AB129" s="161"/>
    </row>
    <row r="130">
      <c r="A130" s="511"/>
      <c r="B130" s="161"/>
      <c r="C130" s="161"/>
      <c r="D130" s="161"/>
      <c r="E130" s="161"/>
      <c r="F130" s="161"/>
      <c r="G130" s="161"/>
      <c r="H130" s="161"/>
      <c r="I130" s="161"/>
      <c r="J130" s="161"/>
      <c r="K130" s="511"/>
      <c r="L130" s="511"/>
      <c r="M130" s="161"/>
      <c r="N130" s="161"/>
      <c r="O130" s="161"/>
      <c r="P130" s="161"/>
      <c r="Q130" s="161"/>
      <c r="R130" s="161"/>
      <c r="S130" s="161"/>
      <c r="T130" s="161"/>
      <c r="U130" s="161"/>
      <c r="V130" s="161"/>
      <c r="W130" s="161"/>
      <c r="X130" s="161"/>
      <c r="Y130" s="161"/>
      <c r="Z130" s="161"/>
      <c r="AA130" s="161"/>
      <c r="AB130" s="161"/>
    </row>
    <row r="131">
      <c r="A131" s="511"/>
      <c r="B131" s="161"/>
      <c r="C131" s="161"/>
      <c r="D131" s="161"/>
      <c r="E131" s="161"/>
      <c r="F131" s="161"/>
      <c r="G131" s="161"/>
      <c r="H131" s="161"/>
      <c r="I131" s="161"/>
      <c r="J131" s="161"/>
      <c r="K131" s="511"/>
      <c r="L131" s="511"/>
      <c r="M131" s="161"/>
      <c r="N131" s="161"/>
      <c r="O131" s="161"/>
      <c r="P131" s="161"/>
      <c r="Q131" s="161"/>
      <c r="R131" s="161"/>
      <c r="S131" s="161"/>
      <c r="T131" s="161"/>
      <c r="U131" s="161"/>
      <c r="V131" s="161"/>
      <c r="W131" s="161"/>
      <c r="X131" s="161"/>
      <c r="Y131" s="161"/>
      <c r="Z131" s="161"/>
      <c r="AA131" s="161"/>
      <c r="AB131" s="161"/>
    </row>
    <row r="132">
      <c r="A132" s="511"/>
      <c r="B132" s="161"/>
      <c r="C132" s="161"/>
      <c r="D132" s="161"/>
      <c r="E132" s="161"/>
      <c r="F132" s="161"/>
      <c r="G132" s="161"/>
      <c r="H132" s="161"/>
      <c r="I132" s="161"/>
      <c r="J132" s="161"/>
      <c r="K132" s="511"/>
      <c r="L132" s="511"/>
      <c r="M132" s="161"/>
      <c r="N132" s="161"/>
      <c r="O132" s="161"/>
      <c r="P132" s="161"/>
      <c r="Q132" s="161"/>
      <c r="R132" s="161"/>
      <c r="S132" s="161"/>
      <c r="T132" s="161"/>
      <c r="U132" s="161"/>
      <c r="V132" s="161"/>
      <c r="W132" s="161"/>
      <c r="X132" s="161"/>
      <c r="Y132" s="161"/>
      <c r="Z132" s="161"/>
      <c r="AA132" s="161"/>
      <c r="AB132" s="161"/>
    </row>
    <row r="133">
      <c r="A133" s="511"/>
      <c r="B133" s="161"/>
      <c r="C133" s="161"/>
      <c r="D133" s="161"/>
      <c r="E133" s="161"/>
      <c r="F133" s="161"/>
      <c r="G133" s="161"/>
      <c r="H133" s="161"/>
      <c r="I133" s="161"/>
      <c r="J133" s="161"/>
      <c r="K133" s="511"/>
      <c r="L133" s="511"/>
      <c r="M133" s="161"/>
      <c r="N133" s="161"/>
      <c r="O133" s="161"/>
      <c r="P133" s="161"/>
      <c r="Q133" s="161"/>
      <c r="R133" s="161"/>
      <c r="S133" s="161"/>
      <c r="T133" s="161"/>
      <c r="U133" s="161"/>
      <c r="V133" s="161"/>
      <c r="W133" s="161"/>
      <c r="X133" s="161"/>
      <c r="Y133" s="161"/>
      <c r="Z133" s="161"/>
      <c r="AA133" s="161"/>
      <c r="AB133" s="161"/>
    </row>
    <row r="134">
      <c r="A134" s="511"/>
      <c r="B134" s="161"/>
      <c r="C134" s="161"/>
      <c r="D134" s="161"/>
      <c r="E134" s="161"/>
      <c r="F134" s="161"/>
      <c r="G134" s="161"/>
      <c r="H134" s="161"/>
      <c r="I134" s="161"/>
      <c r="J134" s="161"/>
      <c r="K134" s="511"/>
      <c r="L134" s="511"/>
      <c r="M134" s="161"/>
      <c r="N134" s="161"/>
      <c r="O134" s="161"/>
      <c r="P134" s="161"/>
      <c r="Q134" s="161"/>
      <c r="R134" s="161"/>
      <c r="S134" s="161"/>
      <c r="T134" s="161"/>
      <c r="U134" s="161"/>
      <c r="V134" s="161"/>
      <c r="W134" s="161"/>
      <c r="X134" s="161"/>
      <c r="Y134" s="161"/>
      <c r="Z134" s="161"/>
      <c r="AA134" s="161"/>
      <c r="AB134" s="161"/>
    </row>
    <row r="135">
      <c r="A135" s="511"/>
      <c r="B135" s="161"/>
      <c r="C135" s="161"/>
      <c r="D135" s="161"/>
      <c r="E135" s="161"/>
      <c r="F135" s="161"/>
      <c r="G135" s="161"/>
      <c r="H135" s="161"/>
      <c r="I135" s="161"/>
      <c r="J135" s="161"/>
      <c r="K135" s="511"/>
      <c r="L135" s="511"/>
      <c r="M135" s="161"/>
      <c r="N135" s="161"/>
      <c r="O135" s="161"/>
      <c r="P135" s="161"/>
      <c r="Q135" s="161"/>
      <c r="R135" s="161"/>
      <c r="S135" s="161"/>
      <c r="T135" s="161"/>
      <c r="U135" s="161"/>
      <c r="V135" s="161"/>
      <c r="W135" s="161"/>
      <c r="X135" s="161"/>
      <c r="Y135" s="161"/>
      <c r="Z135" s="161"/>
      <c r="AA135" s="161"/>
      <c r="AB135" s="161"/>
    </row>
    <row r="136">
      <c r="A136" s="511"/>
      <c r="B136" s="161"/>
      <c r="C136" s="161"/>
      <c r="D136" s="161"/>
      <c r="E136" s="161"/>
      <c r="F136" s="161"/>
      <c r="G136" s="161"/>
      <c r="H136" s="161"/>
      <c r="I136" s="161"/>
      <c r="J136" s="161"/>
      <c r="K136" s="511"/>
      <c r="L136" s="511"/>
      <c r="M136" s="161"/>
      <c r="N136" s="161"/>
      <c r="O136" s="161"/>
      <c r="P136" s="161"/>
      <c r="Q136" s="161"/>
      <c r="R136" s="161"/>
      <c r="S136" s="161"/>
      <c r="T136" s="161"/>
      <c r="U136" s="161"/>
      <c r="V136" s="161"/>
      <c r="W136" s="161"/>
      <c r="X136" s="161"/>
      <c r="Y136" s="161"/>
      <c r="Z136" s="161"/>
      <c r="AA136" s="161"/>
      <c r="AB136" s="161"/>
    </row>
    <row r="137">
      <c r="A137" s="511"/>
      <c r="B137" s="161"/>
      <c r="C137" s="161"/>
      <c r="D137" s="161"/>
      <c r="E137" s="161"/>
      <c r="F137" s="161"/>
      <c r="G137" s="161"/>
      <c r="H137" s="161"/>
      <c r="I137" s="161"/>
      <c r="J137" s="161"/>
      <c r="K137" s="511"/>
      <c r="L137" s="511"/>
      <c r="M137" s="161"/>
      <c r="N137" s="161"/>
      <c r="O137" s="161"/>
      <c r="P137" s="161"/>
      <c r="Q137" s="161"/>
      <c r="R137" s="161"/>
      <c r="S137" s="161"/>
      <c r="T137" s="161"/>
      <c r="U137" s="161"/>
      <c r="V137" s="161"/>
      <c r="W137" s="161"/>
      <c r="X137" s="161"/>
      <c r="Y137" s="161"/>
      <c r="Z137" s="161"/>
      <c r="AA137" s="161"/>
      <c r="AB137" s="161"/>
    </row>
    <row r="138">
      <c r="A138" s="511"/>
      <c r="B138" s="161"/>
      <c r="C138" s="161"/>
      <c r="D138" s="161"/>
      <c r="E138" s="161"/>
      <c r="F138" s="161"/>
      <c r="G138" s="161"/>
      <c r="H138" s="161"/>
      <c r="I138" s="161"/>
      <c r="J138" s="161"/>
      <c r="K138" s="511"/>
      <c r="L138" s="511"/>
      <c r="M138" s="161"/>
      <c r="N138" s="161"/>
      <c r="O138" s="161"/>
      <c r="P138" s="161"/>
      <c r="Q138" s="161"/>
      <c r="R138" s="161"/>
      <c r="S138" s="161"/>
      <c r="T138" s="161"/>
      <c r="U138" s="161"/>
      <c r="V138" s="161"/>
      <c r="W138" s="161"/>
      <c r="X138" s="161"/>
      <c r="Y138" s="161"/>
      <c r="Z138" s="161"/>
      <c r="AA138" s="161"/>
      <c r="AB138" s="161"/>
    </row>
    <row r="139">
      <c r="A139" s="511"/>
      <c r="B139" s="161"/>
      <c r="C139" s="161"/>
      <c r="D139" s="161"/>
      <c r="E139" s="161"/>
      <c r="F139" s="161"/>
      <c r="G139" s="161"/>
      <c r="H139" s="161"/>
      <c r="I139" s="161"/>
      <c r="J139" s="161"/>
      <c r="K139" s="511"/>
      <c r="L139" s="511"/>
      <c r="M139" s="161"/>
      <c r="N139" s="161"/>
      <c r="O139" s="161"/>
      <c r="P139" s="161"/>
      <c r="Q139" s="161"/>
      <c r="R139" s="161"/>
      <c r="S139" s="161"/>
      <c r="T139" s="161"/>
      <c r="U139" s="161"/>
      <c r="V139" s="161"/>
      <c r="W139" s="161"/>
      <c r="X139" s="161"/>
      <c r="Y139" s="161"/>
      <c r="Z139" s="161"/>
      <c r="AA139" s="161"/>
      <c r="AB139" s="161"/>
    </row>
    <row r="140">
      <c r="A140" s="511"/>
      <c r="B140" s="161"/>
      <c r="C140" s="161"/>
      <c r="D140" s="161"/>
      <c r="E140" s="161"/>
      <c r="F140" s="161"/>
      <c r="G140" s="161"/>
      <c r="H140" s="161"/>
      <c r="I140" s="161"/>
      <c r="J140" s="161"/>
      <c r="K140" s="511"/>
      <c r="L140" s="511"/>
      <c r="M140" s="161"/>
      <c r="N140" s="161"/>
      <c r="O140" s="161"/>
      <c r="P140" s="161"/>
      <c r="Q140" s="161"/>
      <c r="R140" s="161"/>
      <c r="S140" s="161"/>
      <c r="T140" s="161"/>
      <c r="U140" s="161"/>
      <c r="V140" s="161"/>
      <c r="W140" s="161"/>
      <c r="X140" s="161"/>
      <c r="Y140" s="161"/>
      <c r="Z140" s="161"/>
      <c r="AA140" s="161"/>
      <c r="AB140" s="161"/>
    </row>
    <row r="141">
      <c r="A141" s="511"/>
      <c r="B141" s="161"/>
      <c r="C141" s="161"/>
      <c r="D141" s="161"/>
      <c r="E141" s="161"/>
      <c r="F141" s="161"/>
      <c r="G141" s="161"/>
      <c r="H141" s="161"/>
      <c r="I141" s="161"/>
      <c r="J141" s="161"/>
      <c r="K141" s="511"/>
      <c r="L141" s="511"/>
      <c r="M141" s="161"/>
      <c r="N141" s="161"/>
      <c r="O141" s="161"/>
      <c r="P141" s="161"/>
      <c r="Q141" s="161"/>
      <c r="R141" s="161"/>
      <c r="S141" s="161"/>
      <c r="T141" s="161"/>
      <c r="U141" s="161"/>
      <c r="V141" s="161"/>
      <c r="W141" s="161"/>
      <c r="X141" s="161"/>
      <c r="Y141" s="161"/>
      <c r="Z141" s="161"/>
      <c r="AA141" s="161"/>
      <c r="AB141" s="161"/>
    </row>
    <row r="142">
      <c r="A142" s="511"/>
      <c r="B142" s="161"/>
      <c r="C142" s="161"/>
      <c r="D142" s="161"/>
      <c r="E142" s="161"/>
      <c r="F142" s="161"/>
      <c r="G142" s="161"/>
      <c r="H142" s="161"/>
      <c r="I142" s="161"/>
      <c r="J142" s="161"/>
      <c r="K142" s="511"/>
      <c r="L142" s="511"/>
      <c r="M142" s="161"/>
      <c r="N142" s="161"/>
      <c r="O142" s="161"/>
      <c r="P142" s="161"/>
      <c r="Q142" s="161"/>
      <c r="R142" s="161"/>
      <c r="S142" s="161"/>
      <c r="T142" s="161"/>
      <c r="U142" s="161"/>
      <c r="V142" s="161"/>
      <c r="W142" s="161"/>
      <c r="X142" s="161"/>
      <c r="Y142" s="161"/>
      <c r="Z142" s="161"/>
      <c r="AA142" s="161"/>
      <c r="AB142" s="161"/>
    </row>
    <row r="143">
      <c r="A143" s="511"/>
      <c r="B143" s="161"/>
      <c r="C143" s="161"/>
      <c r="D143" s="161"/>
      <c r="E143" s="161"/>
      <c r="F143" s="161"/>
      <c r="G143" s="161"/>
      <c r="H143" s="161"/>
      <c r="I143" s="161"/>
      <c r="J143" s="161"/>
      <c r="K143" s="511"/>
      <c r="L143" s="511"/>
      <c r="M143" s="161"/>
      <c r="N143" s="161"/>
      <c r="O143" s="161"/>
      <c r="P143" s="161"/>
      <c r="Q143" s="161"/>
      <c r="R143" s="161"/>
      <c r="S143" s="161"/>
      <c r="T143" s="161"/>
      <c r="U143" s="161"/>
      <c r="V143" s="161"/>
      <c r="W143" s="161"/>
      <c r="X143" s="161"/>
      <c r="Y143" s="161"/>
      <c r="Z143" s="161"/>
      <c r="AA143" s="161"/>
      <c r="AB143" s="161"/>
    </row>
    <row r="144">
      <c r="A144" s="511"/>
      <c r="B144" s="161"/>
      <c r="C144" s="161"/>
      <c r="D144" s="161"/>
      <c r="E144" s="161"/>
      <c r="F144" s="161"/>
      <c r="G144" s="161"/>
      <c r="H144" s="161"/>
      <c r="I144" s="161"/>
      <c r="J144" s="161"/>
      <c r="K144" s="511"/>
      <c r="L144" s="511"/>
      <c r="M144" s="161"/>
      <c r="N144" s="161"/>
      <c r="O144" s="161"/>
      <c r="P144" s="161"/>
      <c r="Q144" s="161"/>
      <c r="R144" s="161"/>
      <c r="S144" s="161"/>
      <c r="T144" s="161"/>
      <c r="U144" s="161"/>
      <c r="V144" s="161"/>
      <c r="W144" s="161"/>
      <c r="X144" s="161"/>
      <c r="Y144" s="161"/>
      <c r="Z144" s="161"/>
      <c r="AA144" s="161"/>
      <c r="AB144" s="161"/>
    </row>
    <row r="145">
      <c r="A145" s="511"/>
      <c r="B145" s="161"/>
      <c r="C145" s="161"/>
      <c r="D145" s="161"/>
      <c r="E145" s="161"/>
      <c r="F145" s="161"/>
      <c r="G145" s="161"/>
      <c r="H145" s="161"/>
      <c r="I145" s="161"/>
      <c r="J145" s="161"/>
      <c r="K145" s="511"/>
      <c r="L145" s="511"/>
      <c r="M145" s="161"/>
      <c r="N145" s="161"/>
      <c r="O145" s="161"/>
      <c r="P145" s="161"/>
      <c r="Q145" s="161"/>
      <c r="R145" s="161"/>
      <c r="S145" s="161"/>
      <c r="T145" s="161"/>
      <c r="U145" s="161"/>
      <c r="V145" s="161"/>
      <c r="W145" s="161"/>
      <c r="X145" s="161"/>
      <c r="Y145" s="161"/>
      <c r="Z145" s="161"/>
      <c r="AA145" s="161"/>
      <c r="AB145" s="161"/>
    </row>
    <row r="146">
      <c r="A146" s="511"/>
      <c r="B146" s="161"/>
      <c r="C146" s="161"/>
      <c r="D146" s="161"/>
      <c r="E146" s="161"/>
      <c r="F146" s="161"/>
      <c r="G146" s="161"/>
      <c r="H146" s="161"/>
      <c r="I146" s="161"/>
      <c r="J146" s="161"/>
      <c r="K146" s="511"/>
      <c r="L146" s="511"/>
      <c r="M146" s="161"/>
      <c r="N146" s="161"/>
      <c r="O146" s="161"/>
      <c r="P146" s="161"/>
      <c r="Q146" s="161"/>
      <c r="R146" s="161"/>
      <c r="S146" s="161"/>
      <c r="T146" s="161"/>
      <c r="U146" s="161"/>
      <c r="V146" s="161"/>
      <c r="W146" s="161"/>
      <c r="X146" s="161"/>
      <c r="Y146" s="161"/>
      <c r="Z146" s="161"/>
      <c r="AA146" s="161"/>
      <c r="AB146" s="161"/>
    </row>
    <row r="147">
      <c r="A147" s="511"/>
      <c r="B147" s="161"/>
      <c r="C147" s="161"/>
      <c r="D147" s="161"/>
      <c r="E147" s="161"/>
      <c r="F147" s="161"/>
      <c r="G147" s="161"/>
      <c r="H147" s="161"/>
      <c r="I147" s="161"/>
      <c r="J147" s="161"/>
      <c r="K147" s="511"/>
      <c r="L147" s="511"/>
      <c r="M147" s="161"/>
      <c r="N147" s="161"/>
      <c r="O147" s="161"/>
      <c r="P147" s="161"/>
      <c r="Q147" s="161"/>
      <c r="R147" s="161"/>
      <c r="S147" s="161"/>
      <c r="T147" s="161"/>
      <c r="U147" s="161"/>
      <c r="V147" s="161"/>
      <c r="W147" s="161"/>
      <c r="X147" s="161"/>
      <c r="Y147" s="161"/>
      <c r="Z147" s="161"/>
      <c r="AA147" s="161"/>
      <c r="AB147" s="161"/>
    </row>
    <row r="148">
      <c r="A148" s="511"/>
      <c r="B148" s="161"/>
      <c r="C148" s="161"/>
      <c r="D148" s="161"/>
      <c r="E148" s="161"/>
      <c r="F148" s="161"/>
      <c r="G148" s="161"/>
      <c r="H148" s="161"/>
      <c r="I148" s="161"/>
      <c r="J148" s="161"/>
      <c r="K148" s="511"/>
      <c r="L148" s="511"/>
      <c r="M148" s="161"/>
      <c r="N148" s="161"/>
      <c r="O148" s="161"/>
      <c r="P148" s="161"/>
      <c r="Q148" s="161"/>
      <c r="R148" s="161"/>
      <c r="S148" s="161"/>
      <c r="T148" s="161"/>
      <c r="U148" s="161"/>
      <c r="V148" s="161"/>
      <c r="W148" s="161"/>
      <c r="X148" s="161"/>
      <c r="Y148" s="161"/>
      <c r="Z148" s="161"/>
      <c r="AA148" s="161"/>
      <c r="AB148" s="161"/>
    </row>
    <row r="149">
      <c r="A149" s="511"/>
      <c r="B149" s="161"/>
      <c r="C149" s="161"/>
      <c r="D149" s="161"/>
      <c r="E149" s="161"/>
      <c r="F149" s="161"/>
      <c r="G149" s="161"/>
      <c r="H149" s="161"/>
      <c r="I149" s="161"/>
      <c r="J149" s="161"/>
      <c r="K149" s="511"/>
      <c r="L149" s="511"/>
      <c r="M149" s="161"/>
      <c r="N149" s="161"/>
      <c r="O149" s="161"/>
      <c r="P149" s="161"/>
      <c r="Q149" s="161"/>
      <c r="R149" s="161"/>
      <c r="S149" s="161"/>
      <c r="T149" s="161"/>
      <c r="U149" s="161"/>
      <c r="V149" s="161"/>
      <c r="W149" s="161"/>
      <c r="X149" s="161"/>
      <c r="Y149" s="161"/>
      <c r="Z149" s="161"/>
      <c r="AA149" s="161"/>
      <c r="AB149" s="161"/>
    </row>
    <row r="150">
      <c r="A150" s="511"/>
      <c r="B150" s="161"/>
      <c r="C150" s="161"/>
      <c r="D150" s="161"/>
      <c r="E150" s="161"/>
      <c r="F150" s="161"/>
      <c r="G150" s="161"/>
      <c r="H150" s="161"/>
      <c r="I150" s="161"/>
      <c r="J150" s="161"/>
      <c r="K150" s="511"/>
      <c r="L150" s="511"/>
      <c r="M150" s="161"/>
      <c r="N150" s="161"/>
      <c r="O150" s="161"/>
      <c r="P150" s="161"/>
      <c r="Q150" s="161"/>
      <c r="R150" s="161"/>
      <c r="S150" s="161"/>
      <c r="T150" s="161"/>
      <c r="U150" s="161"/>
      <c r="V150" s="161"/>
      <c r="W150" s="161"/>
      <c r="X150" s="161"/>
      <c r="Y150" s="161"/>
      <c r="Z150" s="161"/>
      <c r="AA150" s="161"/>
      <c r="AB150" s="161"/>
    </row>
    <row r="151">
      <c r="A151" s="511"/>
      <c r="B151" s="161"/>
      <c r="C151" s="161"/>
      <c r="D151" s="161"/>
      <c r="E151" s="161"/>
      <c r="F151" s="161"/>
      <c r="G151" s="161"/>
      <c r="H151" s="161"/>
      <c r="I151" s="161"/>
      <c r="J151" s="161"/>
      <c r="K151" s="511"/>
      <c r="L151" s="511"/>
      <c r="M151" s="161"/>
      <c r="N151" s="161"/>
      <c r="O151" s="161"/>
      <c r="P151" s="161"/>
      <c r="Q151" s="161"/>
      <c r="R151" s="161"/>
      <c r="S151" s="161"/>
      <c r="T151" s="161"/>
      <c r="U151" s="161"/>
      <c r="V151" s="161"/>
      <c r="W151" s="161"/>
      <c r="X151" s="161"/>
      <c r="Y151" s="161"/>
      <c r="Z151" s="161"/>
      <c r="AA151" s="161"/>
      <c r="AB151" s="161"/>
    </row>
    <row r="152">
      <c r="A152" s="511"/>
      <c r="B152" s="161"/>
      <c r="C152" s="161"/>
      <c r="D152" s="161"/>
      <c r="E152" s="161"/>
      <c r="F152" s="161"/>
      <c r="G152" s="161"/>
      <c r="H152" s="161"/>
      <c r="I152" s="161"/>
      <c r="J152" s="161"/>
      <c r="K152" s="511"/>
      <c r="L152" s="511"/>
      <c r="M152" s="161"/>
      <c r="N152" s="161"/>
      <c r="O152" s="161"/>
      <c r="P152" s="161"/>
      <c r="Q152" s="161"/>
      <c r="R152" s="161"/>
      <c r="S152" s="161"/>
      <c r="T152" s="161"/>
      <c r="U152" s="161"/>
      <c r="V152" s="161"/>
      <c r="W152" s="161"/>
      <c r="X152" s="161"/>
      <c r="Y152" s="161"/>
      <c r="Z152" s="161"/>
      <c r="AA152" s="161"/>
      <c r="AB152" s="161"/>
    </row>
    <row r="153">
      <c r="A153" s="511"/>
      <c r="B153" s="161"/>
      <c r="C153" s="161"/>
      <c r="D153" s="161"/>
      <c r="E153" s="161"/>
      <c r="F153" s="161"/>
      <c r="G153" s="161"/>
      <c r="H153" s="161"/>
      <c r="I153" s="161"/>
      <c r="J153" s="161"/>
      <c r="K153" s="511"/>
      <c r="L153" s="511"/>
      <c r="M153" s="161"/>
      <c r="N153" s="161"/>
      <c r="O153" s="161"/>
      <c r="P153" s="161"/>
      <c r="Q153" s="161"/>
      <c r="R153" s="161"/>
      <c r="S153" s="161"/>
      <c r="T153" s="161"/>
      <c r="U153" s="161"/>
      <c r="V153" s="161"/>
      <c r="W153" s="161"/>
      <c r="X153" s="161"/>
      <c r="Y153" s="161"/>
      <c r="Z153" s="161"/>
      <c r="AA153" s="161"/>
      <c r="AB153" s="161"/>
    </row>
    <row r="154">
      <c r="A154" s="511"/>
      <c r="B154" s="161"/>
      <c r="C154" s="161"/>
      <c r="D154" s="161"/>
      <c r="E154" s="161"/>
      <c r="F154" s="161"/>
      <c r="G154" s="161"/>
      <c r="H154" s="161"/>
      <c r="I154" s="161"/>
      <c r="J154" s="161"/>
      <c r="K154" s="511"/>
      <c r="L154" s="511"/>
      <c r="M154" s="161"/>
      <c r="N154" s="161"/>
      <c r="O154" s="161"/>
      <c r="P154" s="161"/>
      <c r="Q154" s="161"/>
      <c r="R154" s="161"/>
      <c r="S154" s="161"/>
      <c r="T154" s="161"/>
      <c r="U154" s="161"/>
      <c r="V154" s="161"/>
      <c r="W154" s="161"/>
      <c r="X154" s="161"/>
      <c r="Y154" s="161"/>
      <c r="Z154" s="161"/>
      <c r="AA154" s="161"/>
      <c r="AB154" s="161"/>
    </row>
    <row r="155">
      <c r="A155" s="511"/>
      <c r="B155" s="161"/>
      <c r="C155" s="161"/>
      <c r="D155" s="161"/>
      <c r="E155" s="161"/>
      <c r="F155" s="161"/>
      <c r="G155" s="161"/>
      <c r="H155" s="161"/>
      <c r="I155" s="161"/>
      <c r="J155" s="161"/>
      <c r="K155" s="511"/>
      <c r="L155" s="511"/>
      <c r="M155" s="161"/>
      <c r="N155" s="161"/>
      <c r="O155" s="161"/>
      <c r="P155" s="161"/>
      <c r="Q155" s="161"/>
      <c r="R155" s="161"/>
      <c r="S155" s="161"/>
      <c r="T155" s="161"/>
      <c r="U155" s="161"/>
      <c r="V155" s="161"/>
      <c r="W155" s="161"/>
      <c r="X155" s="161"/>
      <c r="Y155" s="161"/>
      <c r="Z155" s="161"/>
      <c r="AA155" s="161"/>
      <c r="AB155" s="161"/>
    </row>
    <row r="156">
      <c r="A156" s="511"/>
      <c r="B156" s="161"/>
      <c r="C156" s="161"/>
      <c r="D156" s="161"/>
      <c r="E156" s="161"/>
      <c r="F156" s="161"/>
      <c r="G156" s="161"/>
      <c r="H156" s="161"/>
      <c r="I156" s="161"/>
      <c r="J156" s="161"/>
      <c r="K156" s="511"/>
      <c r="L156" s="511"/>
      <c r="M156" s="161"/>
      <c r="N156" s="161"/>
      <c r="O156" s="161"/>
      <c r="P156" s="161"/>
      <c r="Q156" s="161"/>
      <c r="R156" s="161"/>
      <c r="S156" s="161"/>
      <c r="T156" s="161"/>
      <c r="U156" s="161"/>
      <c r="V156" s="161"/>
      <c r="W156" s="161"/>
      <c r="X156" s="161"/>
      <c r="Y156" s="161"/>
      <c r="Z156" s="161"/>
      <c r="AA156" s="161"/>
      <c r="AB156" s="161"/>
    </row>
    <row r="157">
      <c r="A157" s="511"/>
      <c r="B157" s="161"/>
      <c r="C157" s="161"/>
      <c r="D157" s="161"/>
      <c r="E157" s="161"/>
      <c r="F157" s="161"/>
      <c r="G157" s="161"/>
      <c r="H157" s="161"/>
      <c r="I157" s="161"/>
      <c r="J157" s="161"/>
      <c r="K157" s="511"/>
      <c r="L157" s="511"/>
      <c r="M157" s="161"/>
      <c r="N157" s="161"/>
      <c r="O157" s="161"/>
      <c r="P157" s="161"/>
      <c r="Q157" s="161"/>
      <c r="R157" s="161"/>
      <c r="S157" s="161"/>
      <c r="T157" s="161"/>
      <c r="U157" s="161"/>
      <c r="V157" s="161"/>
      <c r="W157" s="161"/>
      <c r="X157" s="161"/>
      <c r="Y157" s="161"/>
      <c r="Z157" s="161"/>
      <c r="AA157" s="161"/>
      <c r="AB157" s="161"/>
    </row>
    <row r="158">
      <c r="A158" s="511"/>
      <c r="B158" s="161"/>
      <c r="C158" s="161"/>
      <c r="D158" s="161"/>
      <c r="E158" s="161"/>
      <c r="F158" s="161"/>
      <c r="G158" s="161"/>
      <c r="H158" s="161"/>
      <c r="I158" s="161"/>
      <c r="J158" s="161"/>
      <c r="K158" s="511"/>
      <c r="L158" s="511"/>
      <c r="M158" s="161"/>
      <c r="N158" s="161"/>
      <c r="O158" s="161"/>
      <c r="P158" s="161"/>
      <c r="Q158" s="161"/>
      <c r="R158" s="161"/>
      <c r="S158" s="161"/>
      <c r="T158" s="161"/>
      <c r="U158" s="161"/>
      <c r="V158" s="161"/>
      <c r="W158" s="161"/>
      <c r="X158" s="161"/>
      <c r="Y158" s="161"/>
      <c r="Z158" s="161"/>
      <c r="AA158" s="161"/>
      <c r="AB158" s="161"/>
    </row>
    <row r="159">
      <c r="A159" s="511"/>
      <c r="B159" s="161"/>
      <c r="C159" s="161"/>
      <c r="D159" s="161"/>
      <c r="E159" s="161"/>
      <c r="F159" s="161"/>
      <c r="G159" s="161"/>
      <c r="H159" s="161"/>
      <c r="I159" s="161"/>
      <c r="J159" s="161"/>
      <c r="K159" s="511"/>
      <c r="L159" s="511"/>
      <c r="M159" s="161"/>
      <c r="N159" s="161"/>
      <c r="O159" s="161"/>
      <c r="P159" s="161"/>
      <c r="Q159" s="161"/>
      <c r="R159" s="161"/>
      <c r="S159" s="161"/>
      <c r="T159" s="161"/>
      <c r="U159" s="161"/>
      <c r="V159" s="161"/>
      <c r="W159" s="161"/>
      <c r="X159" s="161"/>
      <c r="Y159" s="161"/>
      <c r="Z159" s="161"/>
      <c r="AA159" s="161"/>
      <c r="AB159" s="161"/>
    </row>
    <row r="160">
      <c r="A160" s="511"/>
      <c r="B160" s="161"/>
      <c r="C160" s="161"/>
      <c r="D160" s="161"/>
      <c r="E160" s="161"/>
      <c r="F160" s="161"/>
      <c r="G160" s="161"/>
      <c r="H160" s="161"/>
      <c r="I160" s="161"/>
      <c r="J160" s="161"/>
      <c r="K160" s="511"/>
      <c r="L160" s="511"/>
      <c r="M160" s="161"/>
      <c r="N160" s="161"/>
      <c r="O160" s="161"/>
      <c r="P160" s="161"/>
      <c r="Q160" s="161"/>
      <c r="R160" s="161"/>
      <c r="S160" s="161"/>
      <c r="T160" s="161"/>
      <c r="U160" s="161"/>
      <c r="V160" s="161"/>
      <c r="W160" s="161"/>
      <c r="X160" s="161"/>
      <c r="Y160" s="161"/>
      <c r="Z160" s="161"/>
      <c r="AA160" s="161"/>
      <c r="AB160" s="161"/>
    </row>
    <row r="161">
      <c r="A161" s="511"/>
      <c r="B161" s="161"/>
      <c r="C161" s="161"/>
      <c r="D161" s="161"/>
      <c r="E161" s="161"/>
      <c r="F161" s="161"/>
      <c r="G161" s="161"/>
      <c r="H161" s="161"/>
      <c r="I161" s="161"/>
      <c r="J161" s="161"/>
      <c r="K161" s="511"/>
      <c r="L161" s="511"/>
      <c r="M161" s="161"/>
      <c r="N161" s="161"/>
      <c r="O161" s="161"/>
      <c r="P161" s="161"/>
      <c r="Q161" s="161"/>
      <c r="R161" s="161"/>
      <c r="S161" s="161"/>
      <c r="T161" s="161"/>
      <c r="U161" s="161"/>
      <c r="V161" s="161"/>
      <c r="W161" s="161"/>
      <c r="X161" s="161"/>
      <c r="Y161" s="161"/>
      <c r="Z161" s="161"/>
      <c r="AA161" s="161"/>
      <c r="AB161" s="161"/>
    </row>
    <row r="162">
      <c r="A162" s="511"/>
      <c r="B162" s="161"/>
      <c r="C162" s="161"/>
      <c r="D162" s="161"/>
      <c r="E162" s="161"/>
      <c r="F162" s="161"/>
      <c r="G162" s="161"/>
      <c r="H162" s="161"/>
      <c r="I162" s="161"/>
      <c r="J162" s="161"/>
      <c r="K162" s="511"/>
      <c r="L162" s="511"/>
      <c r="M162" s="161"/>
      <c r="N162" s="161"/>
      <c r="O162" s="161"/>
      <c r="P162" s="161"/>
      <c r="Q162" s="161"/>
      <c r="R162" s="161"/>
      <c r="S162" s="161"/>
      <c r="T162" s="161"/>
      <c r="U162" s="161"/>
      <c r="V162" s="161"/>
      <c r="W162" s="161"/>
      <c r="X162" s="161"/>
      <c r="Y162" s="161"/>
      <c r="Z162" s="161"/>
      <c r="AA162" s="161"/>
      <c r="AB162" s="161"/>
    </row>
    <row r="163">
      <c r="A163" s="511"/>
      <c r="B163" s="161"/>
      <c r="C163" s="161"/>
      <c r="D163" s="161"/>
      <c r="E163" s="161"/>
      <c r="F163" s="161"/>
      <c r="G163" s="161"/>
      <c r="H163" s="161"/>
      <c r="I163" s="161"/>
      <c r="J163" s="161"/>
      <c r="K163" s="511"/>
      <c r="L163" s="511"/>
      <c r="M163" s="161"/>
      <c r="N163" s="161"/>
      <c r="O163" s="161"/>
      <c r="P163" s="161"/>
      <c r="Q163" s="161"/>
      <c r="R163" s="161"/>
      <c r="S163" s="161"/>
      <c r="T163" s="161"/>
      <c r="U163" s="161"/>
      <c r="V163" s="161"/>
      <c r="W163" s="161"/>
      <c r="X163" s="161"/>
      <c r="Y163" s="161"/>
      <c r="Z163" s="161"/>
      <c r="AA163" s="161"/>
      <c r="AB163" s="161"/>
    </row>
    <row r="164">
      <c r="A164" s="511"/>
      <c r="B164" s="161"/>
      <c r="C164" s="161"/>
      <c r="D164" s="161"/>
      <c r="E164" s="161"/>
      <c r="F164" s="161"/>
      <c r="G164" s="161"/>
      <c r="H164" s="161"/>
      <c r="I164" s="161"/>
      <c r="J164" s="161"/>
      <c r="K164" s="511"/>
      <c r="L164" s="511"/>
      <c r="M164" s="161"/>
      <c r="N164" s="161"/>
      <c r="O164" s="161"/>
      <c r="P164" s="161"/>
      <c r="Q164" s="161"/>
      <c r="R164" s="161"/>
      <c r="S164" s="161"/>
      <c r="T164" s="161"/>
      <c r="U164" s="161"/>
      <c r="V164" s="161"/>
      <c r="W164" s="161"/>
      <c r="X164" s="161"/>
      <c r="Y164" s="161"/>
      <c r="Z164" s="161"/>
      <c r="AA164" s="161"/>
      <c r="AB164" s="161"/>
    </row>
    <row r="165">
      <c r="A165" s="511"/>
      <c r="B165" s="161"/>
      <c r="C165" s="161"/>
      <c r="D165" s="161"/>
      <c r="E165" s="161"/>
      <c r="F165" s="161"/>
      <c r="G165" s="161"/>
      <c r="H165" s="161"/>
      <c r="I165" s="161"/>
      <c r="J165" s="161"/>
      <c r="K165" s="511"/>
      <c r="L165" s="511"/>
      <c r="M165" s="161"/>
      <c r="N165" s="161"/>
      <c r="O165" s="161"/>
      <c r="P165" s="161"/>
      <c r="Q165" s="161"/>
      <c r="R165" s="161"/>
      <c r="S165" s="161"/>
      <c r="T165" s="161"/>
      <c r="U165" s="161"/>
      <c r="V165" s="161"/>
      <c r="W165" s="161"/>
      <c r="X165" s="161"/>
      <c r="Y165" s="161"/>
      <c r="Z165" s="161"/>
      <c r="AA165" s="161"/>
      <c r="AB165" s="161"/>
    </row>
    <row r="166">
      <c r="A166" s="511"/>
      <c r="B166" s="161"/>
      <c r="C166" s="161"/>
      <c r="D166" s="161"/>
      <c r="E166" s="161"/>
      <c r="F166" s="161"/>
      <c r="G166" s="161"/>
      <c r="H166" s="161"/>
      <c r="I166" s="161"/>
      <c r="J166" s="161"/>
      <c r="K166" s="511"/>
      <c r="L166" s="511"/>
      <c r="M166" s="161"/>
      <c r="N166" s="161"/>
      <c r="O166" s="161"/>
      <c r="P166" s="161"/>
      <c r="Q166" s="161"/>
      <c r="R166" s="161"/>
      <c r="S166" s="161"/>
      <c r="T166" s="161"/>
      <c r="U166" s="161"/>
      <c r="V166" s="161"/>
      <c r="W166" s="161"/>
      <c r="X166" s="161"/>
      <c r="Y166" s="161"/>
      <c r="Z166" s="161"/>
      <c r="AA166" s="161"/>
      <c r="AB166" s="161"/>
    </row>
    <row r="167">
      <c r="A167" s="511"/>
      <c r="B167" s="161"/>
      <c r="C167" s="161"/>
      <c r="D167" s="161"/>
      <c r="E167" s="161"/>
      <c r="F167" s="161"/>
      <c r="G167" s="161"/>
      <c r="H167" s="161"/>
      <c r="I167" s="161"/>
      <c r="J167" s="161"/>
      <c r="K167" s="511"/>
      <c r="L167" s="511"/>
      <c r="M167" s="161"/>
      <c r="N167" s="161"/>
      <c r="O167" s="161"/>
      <c r="P167" s="161"/>
      <c r="Q167" s="161"/>
      <c r="R167" s="161"/>
      <c r="S167" s="161"/>
      <c r="T167" s="161"/>
      <c r="U167" s="161"/>
      <c r="V167" s="161"/>
      <c r="W167" s="161"/>
      <c r="X167" s="161"/>
      <c r="Y167" s="161"/>
      <c r="Z167" s="161"/>
      <c r="AA167" s="161"/>
      <c r="AB167" s="161"/>
    </row>
    <row r="168">
      <c r="A168" s="511"/>
      <c r="B168" s="161"/>
      <c r="C168" s="161"/>
      <c r="D168" s="161"/>
      <c r="E168" s="161"/>
      <c r="F168" s="161"/>
      <c r="G168" s="161"/>
      <c r="H168" s="161"/>
      <c r="I168" s="161"/>
      <c r="J168" s="161"/>
      <c r="K168" s="511"/>
      <c r="L168" s="511"/>
      <c r="M168" s="161"/>
      <c r="N168" s="161"/>
      <c r="O168" s="161"/>
      <c r="P168" s="161"/>
      <c r="Q168" s="161"/>
      <c r="R168" s="161"/>
      <c r="S168" s="161"/>
      <c r="T168" s="161"/>
      <c r="U168" s="161"/>
      <c r="V168" s="161"/>
      <c r="W168" s="161"/>
      <c r="X168" s="161"/>
      <c r="Y168" s="161"/>
      <c r="Z168" s="161"/>
      <c r="AA168" s="161"/>
      <c r="AB168" s="161"/>
    </row>
    <row r="169">
      <c r="A169" s="511"/>
      <c r="B169" s="161"/>
      <c r="C169" s="161"/>
      <c r="D169" s="161"/>
      <c r="E169" s="161"/>
      <c r="F169" s="161"/>
      <c r="G169" s="161"/>
      <c r="H169" s="161"/>
      <c r="I169" s="161"/>
      <c r="J169" s="161"/>
      <c r="K169" s="511"/>
      <c r="L169" s="511"/>
      <c r="M169" s="161"/>
      <c r="N169" s="161"/>
      <c r="O169" s="161"/>
      <c r="P169" s="161"/>
      <c r="Q169" s="161"/>
      <c r="R169" s="161"/>
      <c r="S169" s="161"/>
      <c r="T169" s="161"/>
      <c r="U169" s="161"/>
      <c r="V169" s="161"/>
      <c r="W169" s="161"/>
      <c r="X169" s="161"/>
      <c r="Y169" s="161"/>
      <c r="Z169" s="161"/>
      <c r="AA169" s="161"/>
      <c r="AB169" s="161"/>
    </row>
    <row r="170">
      <c r="A170" s="511"/>
      <c r="B170" s="161"/>
      <c r="C170" s="161"/>
      <c r="D170" s="161"/>
      <c r="E170" s="161"/>
      <c r="F170" s="161"/>
      <c r="G170" s="161"/>
      <c r="H170" s="161"/>
      <c r="I170" s="161"/>
      <c r="J170" s="161"/>
      <c r="K170" s="511"/>
      <c r="L170" s="511"/>
      <c r="M170" s="161"/>
      <c r="N170" s="161"/>
      <c r="O170" s="161"/>
      <c r="P170" s="161"/>
      <c r="Q170" s="161"/>
      <c r="R170" s="161"/>
      <c r="S170" s="161"/>
      <c r="T170" s="161"/>
      <c r="U170" s="161"/>
      <c r="V170" s="161"/>
      <c r="W170" s="161"/>
      <c r="X170" s="161"/>
      <c r="Y170" s="161"/>
      <c r="Z170" s="161"/>
      <c r="AA170" s="161"/>
      <c r="AB170" s="161"/>
    </row>
    <row r="171">
      <c r="A171" s="511"/>
      <c r="B171" s="161"/>
      <c r="C171" s="161"/>
      <c r="D171" s="161"/>
      <c r="E171" s="161"/>
      <c r="F171" s="161"/>
      <c r="G171" s="161"/>
      <c r="H171" s="161"/>
      <c r="I171" s="161"/>
      <c r="J171" s="161"/>
      <c r="K171" s="511"/>
      <c r="L171" s="511"/>
      <c r="M171" s="161"/>
      <c r="N171" s="161"/>
      <c r="O171" s="161"/>
      <c r="P171" s="161"/>
      <c r="Q171" s="161"/>
      <c r="R171" s="161"/>
      <c r="S171" s="161"/>
      <c r="T171" s="161"/>
      <c r="U171" s="161"/>
      <c r="V171" s="161"/>
      <c r="W171" s="161"/>
      <c r="X171" s="161"/>
      <c r="Y171" s="161"/>
      <c r="Z171" s="161"/>
      <c r="AA171" s="161"/>
      <c r="AB171" s="161"/>
    </row>
    <row r="172">
      <c r="A172" s="511"/>
      <c r="B172" s="161"/>
      <c r="C172" s="161"/>
      <c r="D172" s="161"/>
      <c r="E172" s="161"/>
      <c r="F172" s="161"/>
      <c r="G172" s="161"/>
      <c r="H172" s="161"/>
      <c r="I172" s="161"/>
      <c r="J172" s="161"/>
      <c r="K172" s="511"/>
      <c r="L172" s="511"/>
      <c r="M172" s="161"/>
      <c r="N172" s="161"/>
      <c r="O172" s="161"/>
      <c r="P172" s="161"/>
      <c r="Q172" s="161"/>
      <c r="R172" s="161"/>
      <c r="S172" s="161"/>
      <c r="T172" s="161"/>
      <c r="U172" s="161"/>
      <c r="V172" s="161"/>
      <c r="W172" s="161"/>
      <c r="X172" s="161"/>
      <c r="Y172" s="161"/>
      <c r="Z172" s="161"/>
      <c r="AA172" s="161"/>
      <c r="AB172" s="161"/>
    </row>
    <row r="173">
      <c r="A173" s="511"/>
      <c r="B173" s="161"/>
      <c r="C173" s="161"/>
      <c r="D173" s="161"/>
      <c r="E173" s="161"/>
      <c r="F173" s="161"/>
      <c r="G173" s="161"/>
      <c r="H173" s="161"/>
      <c r="I173" s="161"/>
      <c r="J173" s="161"/>
      <c r="K173" s="511"/>
      <c r="L173" s="511"/>
      <c r="M173" s="161"/>
      <c r="N173" s="161"/>
      <c r="O173" s="161"/>
      <c r="P173" s="161"/>
      <c r="Q173" s="161"/>
      <c r="R173" s="161"/>
      <c r="S173" s="161"/>
      <c r="T173" s="161"/>
      <c r="U173" s="161"/>
      <c r="V173" s="161"/>
      <c r="W173" s="161"/>
      <c r="X173" s="161"/>
      <c r="Y173" s="161"/>
      <c r="Z173" s="161"/>
      <c r="AA173" s="161"/>
      <c r="AB173" s="161"/>
    </row>
    <row r="174">
      <c r="A174" s="511"/>
      <c r="B174" s="161"/>
      <c r="C174" s="161"/>
      <c r="D174" s="161"/>
      <c r="E174" s="161"/>
      <c r="F174" s="161"/>
      <c r="G174" s="161"/>
      <c r="H174" s="161"/>
      <c r="I174" s="161"/>
      <c r="J174" s="161"/>
      <c r="K174" s="511"/>
      <c r="L174" s="511"/>
      <c r="M174" s="161"/>
      <c r="N174" s="161"/>
      <c r="O174" s="161"/>
      <c r="P174" s="161"/>
      <c r="Q174" s="161"/>
      <c r="R174" s="161"/>
      <c r="S174" s="161"/>
      <c r="T174" s="161"/>
      <c r="U174" s="161"/>
      <c r="V174" s="161"/>
      <c r="W174" s="161"/>
      <c r="X174" s="161"/>
      <c r="Y174" s="161"/>
      <c r="Z174" s="161"/>
      <c r="AA174" s="161"/>
      <c r="AB174" s="161"/>
    </row>
    <row r="175">
      <c r="A175" s="511"/>
      <c r="B175" s="161"/>
      <c r="C175" s="161"/>
      <c r="D175" s="161"/>
      <c r="E175" s="161"/>
      <c r="F175" s="161"/>
      <c r="G175" s="161"/>
      <c r="H175" s="161"/>
      <c r="I175" s="161"/>
      <c r="J175" s="161"/>
      <c r="K175" s="511"/>
      <c r="L175" s="511"/>
      <c r="M175" s="161"/>
      <c r="N175" s="161"/>
      <c r="O175" s="161"/>
      <c r="P175" s="161"/>
      <c r="Q175" s="161"/>
      <c r="R175" s="161"/>
      <c r="S175" s="161"/>
      <c r="T175" s="161"/>
      <c r="U175" s="161"/>
      <c r="V175" s="161"/>
      <c r="W175" s="161"/>
      <c r="X175" s="161"/>
      <c r="Y175" s="161"/>
      <c r="Z175" s="161"/>
      <c r="AA175" s="161"/>
      <c r="AB175" s="161"/>
    </row>
    <row r="176">
      <c r="A176" s="511"/>
      <c r="B176" s="161"/>
      <c r="C176" s="161"/>
      <c r="D176" s="161"/>
      <c r="E176" s="161"/>
      <c r="F176" s="161"/>
      <c r="G176" s="161"/>
      <c r="H176" s="161"/>
      <c r="I176" s="161"/>
      <c r="J176" s="161"/>
      <c r="K176" s="511"/>
      <c r="L176" s="511"/>
      <c r="M176" s="161"/>
      <c r="N176" s="161"/>
      <c r="O176" s="161"/>
      <c r="P176" s="161"/>
      <c r="Q176" s="161"/>
      <c r="R176" s="161"/>
      <c r="S176" s="161"/>
      <c r="T176" s="161"/>
      <c r="U176" s="161"/>
      <c r="V176" s="161"/>
      <c r="W176" s="161"/>
      <c r="X176" s="161"/>
      <c r="Y176" s="161"/>
      <c r="Z176" s="161"/>
      <c r="AA176" s="161"/>
      <c r="AB176" s="161"/>
    </row>
    <row r="177">
      <c r="A177" s="511"/>
      <c r="B177" s="161"/>
      <c r="C177" s="161"/>
      <c r="D177" s="161"/>
      <c r="E177" s="161"/>
      <c r="F177" s="161"/>
      <c r="G177" s="161"/>
      <c r="H177" s="161"/>
      <c r="I177" s="161"/>
      <c r="J177" s="161"/>
      <c r="K177" s="511"/>
      <c r="L177" s="511"/>
      <c r="M177" s="161"/>
      <c r="N177" s="161"/>
      <c r="O177" s="161"/>
      <c r="P177" s="161"/>
      <c r="Q177" s="161"/>
      <c r="R177" s="161"/>
      <c r="S177" s="161"/>
      <c r="T177" s="161"/>
      <c r="U177" s="161"/>
      <c r="V177" s="161"/>
      <c r="W177" s="161"/>
      <c r="X177" s="161"/>
      <c r="Y177" s="161"/>
      <c r="Z177" s="161"/>
      <c r="AA177" s="161"/>
      <c r="AB177" s="161"/>
    </row>
    <row r="178">
      <c r="A178" s="511"/>
      <c r="B178" s="161"/>
      <c r="C178" s="161"/>
      <c r="D178" s="161"/>
      <c r="E178" s="161"/>
      <c r="F178" s="161"/>
      <c r="G178" s="161"/>
      <c r="H178" s="161"/>
      <c r="I178" s="161"/>
      <c r="J178" s="161"/>
      <c r="K178" s="511"/>
      <c r="L178" s="511"/>
      <c r="M178" s="161"/>
      <c r="N178" s="161"/>
      <c r="O178" s="161"/>
      <c r="P178" s="161"/>
      <c r="Q178" s="161"/>
      <c r="R178" s="161"/>
      <c r="S178" s="161"/>
      <c r="T178" s="161"/>
      <c r="U178" s="161"/>
      <c r="V178" s="161"/>
      <c r="W178" s="161"/>
      <c r="X178" s="161"/>
      <c r="Y178" s="161"/>
      <c r="Z178" s="161"/>
      <c r="AA178" s="161"/>
      <c r="AB178" s="161"/>
    </row>
    <row r="179">
      <c r="A179" s="511"/>
      <c r="B179" s="161"/>
      <c r="C179" s="161"/>
      <c r="D179" s="161"/>
      <c r="E179" s="161"/>
      <c r="F179" s="161"/>
      <c r="G179" s="161"/>
      <c r="H179" s="161"/>
      <c r="I179" s="161"/>
      <c r="J179" s="161"/>
      <c r="K179" s="511"/>
      <c r="L179" s="511"/>
      <c r="M179" s="161"/>
      <c r="N179" s="161"/>
      <c r="O179" s="161"/>
      <c r="P179" s="161"/>
      <c r="Q179" s="161"/>
      <c r="R179" s="161"/>
      <c r="S179" s="161"/>
      <c r="T179" s="161"/>
      <c r="U179" s="161"/>
      <c r="V179" s="161"/>
      <c r="W179" s="161"/>
      <c r="X179" s="161"/>
      <c r="Y179" s="161"/>
      <c r="Z179" s="161"/>
      <c r="AA179" s="161"/>
      <c r="AB179" s="161"/>
    </row>
    <row r="180">
      <c r="A180" s="511"/>
      <c r="B180" s="161"/>
      <c r="C180" s="161"/>
      <c r="D180" s="161"/>
      <c r="E180" s="161"/>
      <c r="F180" s="161"/>
      <c r="G180" s="161"/>
      <c r="H180" s="161"/>
      <c r="I180" s="161"/>
      <c r="J180" s="161"/>
      <c r="K180" s="511"/>
      <c r="L180" s="511"/>
      <c r="M180" s="161"/>
      <c r="N180" s="161"/>
      <c r="O180" s="161"/>
      <c r="P180" s="161"/>
      <c r="Q180" s="161"/>
      <c r="R180" s="161"/>
      <c r="S180" s="161"/>
      <c r="T180" s="161"/>
      <c r="U180" s="161"/>
      <c r="V180" s="161"/>
      <c r="W180" s="161"/>
      <c r="X180" s="161"/>
      <c r="Y180" s="161"/>
      <c r="Z180" s="161"/>
      <c r="AA180" s="161"/>
      <c r="AB180" s="161"/>
    </row>
    <row r="181">
      <c r="A181" s="511"/>
      <c r="B181" s="161"/>
      <c r="C181" s="161"/>
      <c r="D181" s="161"/>
      <c r="E181" s="161"/>
      <c r="F181" s="161"/>
      <c r="G181" s="161"/>
      <c r="H181" s="161"/>
      <c r="I181" s="161"/>
      <c r="J181" s="161"/>
      <c r="K181" s="511"/>
      <c r="L181" s="511"/>
      <c r="M181" s="161"/>
      <c r="N181" s="161"/>
      <c r="O181" s="161"/>
      <c r="P181" s="161"/>
      <c r="Q181" s="161"/>
      <c r="R181" s="161"/>
      <c r="S181" s="161"/>
      <c r="T181" s="161"/>
      <c r="U181" s="161"/>
      <c r="V181" s="161"/>
      <c r="W181" s="161"/>
      <c r="X181" s="161"/>
      <c r="Y181" s="161"/>
      <c r="Z181" s="161"/>
      <c r="AA181" s="161"/>
      <c r="AB181" s="161"/>
    </row>
    <row r="182">
      <c r="A182" s="511"/>
      <c r="B182" s="161"/>
      <c r="C182" s="161"/>
      <c r="D182" s="161"/>
      <c r="E182" s="161"/>
      <c r="F182" s="161"/>
      <c r="G182" s="161"/>
      <c r="H182" s="161"/>
      <c r="I182" s="161"/>
      <c r="J182" s="161"/>
      <c r="K182" s="511"/>
      <c r="L182" s="511"/>
      <c r="M182" s="161"/>
      <c r="N182" s="161"/>
      <c r="O182" s="161"/>
      <c r="P182" s="161"/>
      <c r="Q182" s="161"/>
      <c r="R182" s="161"/>
      <c r="S182" s="161"/>
      <c r="T182" s="161"/>
      <c r="U182" s="161"/>
      <c r="V182" s="161"/>
      <c r="W182" s="161"/>
      <c r="X182" s="161"/>
      <c r="Y182" s="161"/>
      <c r="Z182" s="161"/>
      <c r="AA182" s="161"/>
      <c r="AB182" s="161"/>
    </row>
    <row r="183">
      <c r="A183" s="511"/>
      <c r="B183" s="161"/>
      <c r="C183" s="161"/>
      <c r="D183" s="161"/>
      <c r="E183" s="161"/>
      <c r="F183" s="161"/>
      <c r="G183" s="161"/>
      <c r="H183" s="161"/>
      <c r="I183" s="161"/>
      <c r="J183" s="161"/>
      <c r="K183" s="511"/>
      <c r="L183" s="511"/>
      <c r="M183" s="161"/>
      <c r="N183" s="161"/>
      <c r="O183" s="161"/>
      <c r="P183" s="161"/>
      <c r="Q183" s="161"/>
      <c r="R183" s="161"/>
      <c r="S183" s="161"/>
      <c r="T183" s="161"/>
      <c r="U183" s="161"/>
      <c r="V183" s="161"/>
      <c r="W183" s="161"/>
      <c r="X183" s="161"/>
      <c r="Y183" s="161"/>
      <c r="Z183" s="161"/>
      <c r="AA183" s="161"/>
      <c r="AB183" s="161"/>
    </row>
    <row r="184">
      <c r="A184" s="511"/>
      <c r="B184" s="161"/>
      <c r="C184" s="161"/>
      <c r="D184" s="161"/>
      <c r="E184" s="161"/>
      <c r="F184" s="161"/>
      <c r="G184" s="161"/>
      <c r="H184" s="161"/>
      <c r="I184" s="161"/>
      <c r="J184" s="161"/>
      <c r="K184" s="511"/>
      <c r="L184" s="511"/>
      <c r="M184" s="161"/>
      <c r="N184" s="161"/>
      <c r="O184" s="161"/>
      <c r="P184" s="161"/>
      <c r="Q184" s="161"/>
      <c r="R184" s="161"/>
      <c r="S184" s="161"/>
      <c r="T184" s="161"/>
      <c r="U184" s="161"/>
      <c r="V184" s="161"/>
      <c r="W184" s="161"/>
      <c r="X184" s="161"/>
      <c r="Y184" s="161"/>
      <c r="Z184" s="161"/>
      <c r="AA184" s="161"/>
      <c r="AB184" s="161"/>
    </row>
    <row r="185">
      <c r="A185" s="511"/>
      <c r="B185" s="161"/>
      <c r="C185" s="161"/>
      <c r="D185" s="161"/>
      <c r="E185" s="161"/>
      <c r="F185" s="161"/>
      <c r="G185" s="161"/>
      <c r="H185" s="161"/>
      <c r="I185" s="161"/>
      <c r="J185" s="161"/>
      <c r="K185" s="511"/>
      <c r="L185" s="511"/>
      <c r="M185" s="161"/>
      <c r="N185" s="161"/>
      <c r="O185" s="161"/>
      <c r="P185" s="161"/>
      <c r="Q185" s="161"/>
      <c r="R185" s="161"/>
      <c r="S185" s="161"/>
      <c r="T185" s="161"/>
      <c r="U185" s="161"/>
      <c r="V185" s="161"/>
      <c r="W185" s="161"/>
      <c r="X185" s="161"/>
      <c r="Y185" s="161"/>
      <c r="Z185" s="161"/>
      <c r="AA185" s="161"/>
      <c r="AB185" s="161"/>
    </row>
    <row r="186">
      <c r="A186" s="511"/>
      <c r="B186" s="161"/>
      <c r="C186" s="161"/>
      <c r="D186" s="161"/>
      <c r="E186" s="161"/>
      <c r="F186" s="161"/>
      <c r="G186" s="161"/>
      <c r="H186" s="161"/>
      <c r="I186" s="161"/>
      <c r="J186" s="161"/>
      <c r="K186" s="511"/>
      <c r="L186" s="511"/>
      <c r="M186" s="161"/>
      <c r="N186" s="161"/>
      <c r="O186" s="161"/>
      <c r="P186" s="161"/>
      <c r="Q186" s="161"/>
      <c r="R186" s="161"/>
      <c r="S186" s="161"/>
      <c r="T186" s="161"/>
      <c r="U186" s="161"/>
      <c r="V186" s="161"/>
      <c r="W186" s="161"/>
      <c r="X186" s="161"/>
      <c r="Y186" s="161"/>
      <c r="Z186" s="161"/>
      <c r="AA186" s="161"/>
      <c r="AB186" s="161"/>
    </row>
    <row r="187">
      <c r="A187" s="511"/>
      <c r="B187" s="161"/>
      <c r="C187" s="161"/>
      <c r="D187" s="161"/>
      <c r="E187" s="161"/>
      <c r="F187" s="161"/>
      <c r="G187" s="161"/>
      <c r="H187" s="161"/>
      <c r="I187" s="161"/>
      <c r="J187" s="161"/>
      <c r="K187" s="511"/>
      <c r="L187" s="511"/>
      <c r="M187" s="161"/>
      <c r="N187" s="161"/>
      <c r="O187" s="161"/>
      <c r="P187" s="161"/>
      <c r="Q187" s="161"/>
      <c r="R187" s="161"/>
      <c r="S187" s="161"/>
      <c r="T187" s="161"/>
      <c r="U187" s="161"/>
      <c r="V187" s="161"/>
      <c r="W187" s="161"/>
      <c r="X187" s="161"/>
      <c r="Y187" s="161"/>
      <c r="Z187" s="161"/>
      <c r="AA187" s="161"/>
      <c r="AB187" s="161"/>
    </row>
    <row r="188">
      <c r="A188" s="511"/>
      <c r="B188" s="161"/>
      <c r="C188" s="161"/>
      <c r="D188" s="161"/>
      <c r="E188" s="161"/>
      <c r="F188" s="161"/>
      <c r="G188" s="161"/>
      <c r="H188" s="161"/>
      <c r="I188" s="161"/>
      <c r="J188" s="161"/>
      <c r="K188" s="511"/>
      <c r="L188" s="511"/>
      <c r="M188" s="161"/>
      <c r="N188" s="161"/>
      <c r="O188" s="161"/>
      <c r="P188" s="161"/>
      <c r="Q188" s="161"/>
      <c r="R188" s="161"/>
      <c r="S188" s="161"/>
      <c r="T188" s="161"/>
      <c r="U188" s="161"/>
      <c r="V188" s="161"/>
      <c r="W188" s="161"/>
      <c r="X188" s="161"/>
      <c r="Y188" s="161"/>
      <c r="Z188" s="161"/>
      <c r="AA188" s="161"/>
      <c r="AB188" s="161"/>
    </row>
    <row r="189">
      <c r="A189" s="511"/>
      <c r="B189" s="161"/>
      <c r="C189" s="161"/>
      <c r="D189" s="161"/>
      <c r="E189" s="161"/>
      <c r="F189" s="161"/>
      <c r="G189" s="161"/>
      <c r="H189" s="161"/>
      <c r="I189" s="161"/>
      <c r="J189" s="161"/>
      <c r="K189" s="511"/>
      <c r="L189" s="511"/>
      <c r="M189" s="161"/>
      <c r="N189" s="161"/>
      <c r="O189" s="161"/>
      <c r="P189" s="161"/>
      <c r="Q189" s="161"/>
      <c r="R189" s="161"/>
      <c r="S189" s="161"/>
      <c r="T189" s="161"/>
      <c r="U189" s="161"/>
      <c r="V189" s="161"/>
      <c r="W189" s="161"/>
      <c r="X189" s="161"/>
      <c r="Y189" s="161"/>
      <c r="Z189" s="161"/>
      <c r="AA189" s="161"/>
      <c r="AB189" s="161"/>
    </row>
    <row r="190">
      <c r="A190" s="511"/>
      <c r="B190" s="161"/>
      <c r="C190" s="161"/>
      <c r="D190" s="161"/>
      <c r="E190" s="161"/>
      <c r="F190" s="161"/>
      <c r="G190" s="161"/>
      <c r="H190" s="161"/>
      <c r="I190" s="161"/>
      <c r="J190" s="161"/>
      <c r="K190" s="511"/>
      <c r="L190" s="511"/>
      <c r="M190" s="161"/>
      <c r="N190" s="161"/>
      <c r="O190" s="161"/>
      <c r="P190" s="161"/>
      <c r="Q190" s="161"/>
      <c r="R190" s="161"/>
      <c r="S190" s="161"/>
      <c r="T190" s="161"/>
      <c r="U190" s="161"/>
      <c r="V190" s="161"/>
      <c r="W190" s="161"/>
      <c r="X190" s="161"/>
      <c r="Y190" s="161"/>
      <c r="Z190" s="161"/>
      <c r="AA190" s="161"/>
      <c r="AB190" s="161"/>
    </row>
    <row r="191">
      <c r="A191" s="511"/>
      <c r="B191" s="161"/>
      <c r="C191" s="161"/>
      <c r="D191" s="161"/>
      <c r="E191" s="161"/>
      <c r="F191" s="161"/>
      <c r="G191" s="161"/>
      <c r="H191" s="161"/>
      <c r="I191" s="161"/>
      <c r="J191" s="161"/>
      <c r="K191" s="511"/>
      <c r="L191" s="511"/>
      <c r="M191" s="161"/>
      <c r="N191" s="161"/>
      <c r="O191" s="161"/>
      <c r="P191" s="161"/>
      <c r="Q191" s="161"/>
      <c r="R191" s="161"/>
      <c r="S191" s="161"/>
      <c r="T191" s="161"/>
      <c r="U191" s="161"/>
      <c r="V191" s="161"/>
      <c r="W191" s="161"/>
      <c r="X191" s="161"/>
      <c r="Y191" s="161"/>
      <c r="Z191" s="161"/>
      <c r="AA191" s="161"/>
      <c r="AB191" s="161"/>
    </row>
    <row r="192">
      <c r="A192" s="511"/>
      <c r="B192" s="161"/>
      <c r="C192" s="161"/>
      <c r="D192" s="161"/>
      <c r="E192" s="161"/>
      <c r="F192" s="161"/>
      <c r="G192" s="161"/>
      <c r="H192" s="161"/>
      <c r="I192" s="161"/>
      <c r="J192" s="161"/>
      <c r="K192" s="511"/>
      <c r="L192" s="511"/>
      <c r="M192" s="161"/>
      <c r="N192" s="161"/>
      <c r="O192" s="161"/>
      <c r="P192" s="161"/>
      <c r="Q192" s="161"/>
      <c r="R192" s="161"/>
      <c r="S192" s="161"/>
      <c r="T192" s="161"/>
      <c r="U192" s="161"/>
      <c r="V192" s="161"/>
      <c r="W192" s="161"/>
      <c r="X192" s="161"/>
      <c r="Y192" s="161"/>
      <c r="Z192" s="161"/>
      <c r="AA192" s="161"/>
      <c r="AB192" s="161"/>
    </row>
    <row r="193">
      <c r="A193" s="511"/>
      <c r="B193" s="161"/>
      <c r="C193" s="161"/>
      <c r="D193" s="161"/>
      <c r="E193" s="161"/>
      <c r="F193" s="161"/>
      <c r="G193" s="161"/>
      <c r="H193" s="161"/>
      <c r="I193" s="161"/>
      <c r="J193" s="161"/>
      <c r="K193" s="511"/>
      <c r="L193" s="511"/>
      <c r="M193" s="161"/>
      <c r="N193" s="161"/>
      <c r="O193" s="161"/>
      <c r="P193" s="161"/>
      <c r="Q193" s="161"/>
      <c r="R193" s="161"/>
      <c r="S193" s="161"/>
      <c r="T193" s="161"/>
      <c r="U193" s="161"/>
      <c r="V193" s="161"/>
      <c r="W193" s="161"/>
      <c r="X193" s="161"/>
      <c r="Y193" s="161"/>
      <c r="Z193" s="161"/>
      <c r="AA193" s="161"/>
      <c r="AB193" s="161"/>
    </row>
    <row r="194">
      <c r="A194" s="511"/>
      <c r="B194" s="161"/>
      <c r="C194" s="161"/>
      <c r="D194" s="161"/>
      <c r="E194" s="161"/>
      <c r="F194" s="161"/>
      <c r="G194" s="161"/>
      <c r="H194" s="161"/>
      <c r="I194" s="161"/>
      <c r="J194" s="161"/>
      <c r="K194" s="511"/>
      <c r="L194" s="511"/>
      <c r="M194" s="161"/>
      <c r="N194" s="161"/>
      <c r="O194" s="161"/>
      <c r="P194" s="161"/>
      <c r="Q194" s="161"/>
      <c r="R194" s="161"/>
      <c r="S194" s="161"/>
      <c r="T194" s="161"/>
      <c r="U194" s="161"/>
      <c r="V194" s="161"/>
      <c r="W194" s="161"/>
      <c r="X194" s="161"/>
      <c r="Y194" s="161"/>
      <c r="Z194" s="161"/>
      <c r="AA194" s="161"/>
      <c r="AB194" s="161"/>
    </row>
    <row r="195">
      <c r="A195" s="511"/>
      <c r="B195" s="161"/>
      <c r="C195" s="161"/>
      <c r="D195" s="161"/>
      <c r="E195" s="161"/>
      <c r="F195" s="161"/>
      <c r="G195" s="161"/>
      <c r="H195" s="161"/>
      <c r="I195" s="161"/>
      <c r="J195" s="161"/>
      <c r="K195" s="511"/>
      <c r="L195" s="511"/>
      <c r="M195" s="161"/>
      <c r="N195" s="161"/>
      <c r="O195" s="161"/>
      <c r="P195" s="161"/>
      <c r="Q195" s="161"/>
      <c r="R195" s="161"/>
      <c r="S195" s="161"/>
      <c r="T195" s="161"/>
      <c r="U195" s="161"/>
      <c r="V195" s="161"/>
      <c r="W195" s="161"/>
      <c r="X195" s="161"/>
      <c r="Y195" s="161"/>
      <c r="Z195" s="161"/>
      <c r="AA195" s="161"/>
      <c r="AB195" s="161"/>
    </row>
    <row r="196">
      <c r="A196" s="511"/>
      <c r="B196" s="161"/>
      <c r="C196" s="161"/>
      <c r="D196" s="161"/>
      <c r="E196" s="161"/>
      <c r="F196" s="161"/>
      <c r="G196" s="161"/>
      <c r="H196" s="161"/>
      <c r="I196" s="161"/>
      <c r="J196" s="161"/>
      <c r="K196" s="511"/>
      <c r="L196" s="511"/>
      <c r="M196" s="161"/>
      <c r="N196" s="161"/>
      <c r="O196" s="161"/>
      <c r="P196" s="161"/>
      <c r="Q196" s="161"/>
      <c r="R196" s="161"/>
      <c r="S196" s="161"/>
      <c r="T196" s="161"/>
      <c r="U196" s="161"/>
      <c r="V196" s="161"/>
      <c r="W196" s="161"/>
      <c r="X196" s="161"/>
      <c r="Y196" s="161"/>
      <c r="Z196" s="161"/>
      <c r="AA196" s="161"/>
      <c r="AB196" s="161"/>
    </row>
    <row r="197">
      <c r="A197" s="511"/>
      <c r="B197" s="161"/>
      <c r="C197" s="161"/>
      <c r="D197" s="161"/>
      <c r="E197" s="161"/>
      <c r="F197" s="161"/>
      <c r="G197" s="161"/>
      <c r="H197" s="161"/>
      <c r="I197" s="161"/>
      <c r="J197" s="161"/>
      <c r="K197" s="511"/>
      <c r="L197" s="511"/>
      <c r="M197" s="161"/>
      <c r="N197" s="161"/>
      <c r="O197" s="161"/>
      <c r="P197" s="161"/>
      <c r="Q197" s="161"/>
      <c r="R197" s="161"/>
      <c r="S197" s="161"/>
      <c r="T197" s="161"/>
      <c r="U197" s="161"/>
      <c r="V197" s="161"/>
      <c r="W197" s="161"/>
      <c r="X197" s="161"/>
      <c r="Y197" s="161"/>
      <c r="Z197" s="161"/>
      <c r="AA197" s="161"/>
      <c r="AB197" s="161"/>
    </row>
    <row r="198">
      <c r="A198" s="511"/>
      <c r="B198" s="161"/>
      <c r="C198" s="161"/>
      <c r="D198" s="161"/>
      <c r="E198" s="161"/>
      <c r="F198" s="161"/>
      <c r="G198" s="161"/>
      <c r="H198" s="161"/>
      <c r="I198" s="161"/>
      <c r="J198" s="161"/>
      <c r="K198" s="511"/>
      <c r="L198" s="511"/>
      <c r="M198" s="161"/>
      <c r="N198" s="161"/>
      <c r="O198" s="161"/>
      <c r="P198" s="161"/>
      <c r="Q198" s="161"/>
      <c r="R198" s="161"/>
      <c r="S198" s="161"/>
      <c r="T198" s="161"/>
      <c r="U198" s="161"/>
      <c r="V198" s="161"/>
      <c r="W198" s="161"/>
      <c r="X198" s="161"/>
      <c r="Y198" s="161"/>
      <c r="Z198" s="161"/>
      <c r="AA198" s="161"/>
      <c r="AB198" s="161"/>
    </row>
    <row r="199">
      <c r="A199" s="511"/>
      <c r="B199" s="161"/>
      <c r="C199" s="161"/>
      <c r="D199" s="161"/>
      <c r="E199" s="161"/>
      <c r="F199" s="161"/>
      <c r="G199" s="161"/>
      <c r="H199" s="161"/>
      <c r="I199" s="161"/>
      <c r="J199" s="161"/>
      <c r="K199" s="511"/>
      <c r="L199" s="511"/>
      <c r="M199" s="161"/>
      <c r="N199" s="161"/>
      <c r="O199" s="161"/>
      <c r="P199" s="161"/>
      <c r="Q199" s="161"/>
      <c r="R199" s="161"/>
      <c r="S199" s="161"/>
      <c r="T199" s="161"/>
      <c r="U199" s="161"/>
      <c r="V199" s="161"/>
      <c r="W199" s="161"/>
      <c r="X199" s="161"/>
      <c r="Y199" s="161"/>
      <c r="Z199" s="161"/>
      <c r="AA199" s="161"/>
      <c r="AB199" s="161"/>
    </row>
    <row r="200">
      <c r="A200" s="511"/>
      <c r="B200" s="161"/>
      <c r="C200" s="161"/>
      <c r="D200" s="161"/>
      <c r="E200" s="161"/>
      <c r="F200" s="161"/>
      <c r="G200" s="161"/>
      <c r="H200" s="161"/>
      <c r="I200" s="161"/>
      <c r="J200" s="161"/>
      <c r="K200" s="511"/>
      <c r="L200" s="511"/>
      <c r="M200" s="161"/>
      <c r="N200" s="161"/>
      <c r="O200" s="161"/>
      <c r="P200" s="161"/>
      <c r="Q200" s="161"/>
      <c r="R200" s="161"/>
      <c r="S200" s="161"/>
      <c r="T200" s="161"/>
      <c r="U200" s="161"/>
      <c r="V200" s="161"/>
      <c r="W200" s="161"/>
      <c r="X200" s="161"/>
      <c r="Y200" s="161"/>
      <c r="Z200" s="161"/>
      <c r="AA200" s="161"/>
      <c r="AB200" s="161"/>
    </row>
    <row r="201">
      <c r="A201" s="511"/>
      <c r="B201" s="161"/>
      <c r="C201" s="161"/>
      <c r="D201" s="161"/>
      <c r="E201" s="161"/>
      <c r="F201" s="161"/>
      <c r="G201" s="161"/>
      <c r="H201" s="161"/>
      <c r="I201" s="161"/>
      <c r="J201" s="161"/>
      <c r="K201" s="511"/>
      <c r="L201" s="511"/>
      <c r="M201" s="161"/>
      <c r="N201" s="161"/>
      <c r="O201" s="161"/>
      <c r="P201" s="161"/>
      <c r="Q201" s="161"/>
      <c r="R201" s="161"/>
      <c r="S201" s="161"/>
      <c r="T201" s="161"/>
      <c r="U201" s="161"/>
      <c r="V201" s="161"/>
      <c r="W201" s="161"/>
      <c r="X201" s="161"/>
      <c r="Y201" s="161"/>
      <c r="Z201" s="161"/>
      <c r="AA201" s="161"/>
      <c r="AB201" s="161"/>
    </row>
    <row r="202">
      <c r="A202" s="511"/>
      <c r="B202" s="161"/>
      <c r="C202" s="161"/>
      <c r="D202" s="161"/>
      <c r="E202" s="161"/>
      <c r="F202" s="161"/>
      <c r="G202" s="161"/>
      <c r="H202" s="161"/>
      <c r="I202" s="161"/>
      <c r="J202" s="161"/>
      <c r="K202" s="511"/>
      <c r="L202" s="511"/>
      <c r="M202" s="161"/>
      <c r="N202" s="161"/>
      <c r="O202" s="161"/>
      <c r="P202" s="161"/>
      <c r="Q202" s="161"/>
      <c r="R202" s="161"/>
      <c r="S202" s="161"/>
      <c r="T202" s="161"/>
      <c r="U202" s="161"/>
      <c r="V202" s="161"/>
      <c r="W202" s="161"/>
      <c r="X202" s="161"/>
      <c r="Y202" s="161"/>
      <c r="Z202" s="161"/>
      <c r="AA202" s="161"/>
      <c r="AB202" s="161"/>
    </row>
    <row r="203">
      <c r="A203" s="511"/>
      <c r="B203" s="161"/>
      <c r="C203" s="161"/>
      <c r="D203" s="161"/>
      <c r="E203" s="161"/>
      <c r="F203" s="161"/>
      <c r="G203" s="161"/>
      <c r="H203" s="161"/>
      <c r="I203" s="161"/>
      <c r="J203" s="161"/>
      <c r="K203" s="511"/>
      <c r="L203" s="511"/>
      <c r="M203" s="161"/>
      <c r="N203" s="161"/>
      <c r="O203" s="161"/>
      <c r="P203" s="161"/>
      <c r="Q203" s="161"/>
      <c r="R203" s="161"/>
      <c r="S203" s="161"/>
      <c r="T203" s="161"/>
      <c r="U203" s="161"/>
      <c r="V203" s="161"/>
      <c r="W203" s="161"/>
      <c r="X203" s="161"/>
      <c r="Y203" s="161"/>
      <c r="Z203" s="161"/>
      <c r="AA203" s="161"/>
      <c r="AB203" s="161"/>
    </row>
    <row r="204">
      <c r="A204" s="511"/>
      <c r="B204" s="161"/>
      <c r="C204" s="161"/>
      <c r="D204" s="161"/>
      <c r="E204" s="161"/>
      <c r="F204" s="161"/>
      <c r="G204" s="161"/>
      <c r="H204" s="161"/>
      <c r="I204" s="161"/>
      <c r="J204" s="161"/>
      <c r="K204" s="511"/>
      <c r="L204" s="511"/>
      <c r="M204" s="161"/>
      <c r="N204" s="161"/>
      <c r="O204" s="161"/>
      <c r="P204" s="161"/>
      <c r="Q204" s="161"/>
      <c r="R204" s="161"/>
      <c r="S204" s="161"/>
      <c r="T204" s="161"/>
      <c r="U204" s="161"/>
      <c r="V204" s="161"/>
      <c r="W204" s="161"/>
      <c r="X204" s="161"/>
      <c r="Y204" s="161"/>
      <c r="Z204" s="161"/>
      <c r="AA204" s="161"/>
      <c r="AB204" s="161"/>
    </row>
    <row r="205">
      <c r="A205" s="511"/>
      <c r="B205" s="161"/>
      <c r="C205" s="161"/>
      <c r="D205" s="161"/>
      <c r="E205" s="161"/>
      <c r="F205" s="161"/>
      <c r="G205" s="161"/>
      <c r="H205" s="161"/>
      <c r="I205" s="161"/>
      <c r="J205" s="161"/>
      <c r="K205" s="511"/>
      <c r="L205" s="511"/>
      <c r="M205" s="161"/>
      <c r="N205" s="161"/>
      <c r="O205" s="161"/>
      <c r="P205" s="161"/>
      <c r="Q205" s="161"/>
      <c r="R205" s="161"/>
      <c r="S205" s="161"/>
      <c r="T205" s="161"/>
      <c r="U205" s="161"/>
      <c r="V205" s="161"/>
      <c r="W205" s="161"/>
      <c r="X205" s="161"/>
      <c r="Y205" s="161"/>
      <c r="Z205" s="161"/>
      <c r="AA205" s="161"/>
      <c r="AB205" s="161"/>
    </row>
    <row r="206">
      <c r="A206" s="511"/>
      <c r="B206" s="161"/>
      <c r="C206" s="161"/>
      <c r="D206" s="161"/>
      <c r="E206" s="161"/>
      <c r="F206" s="161"/>
      <c r="G206" s="161"/>
      <c r="H206" s="161"/>
      <c r="I206" s="161"/>
      <c r="J206" s="161"/>
      <c r="K206" s="511"/>
      <c r="L206" s="511"/>
      <c r="M206" s="161"/>
      <c r="N206" s="161"/>
      <c r="O206" s="161"/>
      <c r="P206" s="161"/>
      <c r="Q206" s="161"/>
      <c r="R206" s="161"/>
      <c r="S206" s="161"/>
      <c r="T206" s="161"/>
      <c r="U206" s="161"/>
      <c r="V206" s="161"/>
      <c r="W206" s="161"/>
      <c r="X206" s="161"/>
      <c r="Y206" s="161"/>
      <c r="Z206" s="161"/>
      <c r="AA206" s="161"/>
      <c r="AB206" s="161"/>
    </row>
    <row r="207">
      <c r="A207" s="511"/>
      <c r="B207" s="161"/>
      <c r="C207" s="161"/>
      <c r="D207" s="161"/>
      <c r="E207" s="161"/>
      <c r="F207" s="161"/>
      <c r="G207" s="161"/>
      <c r="H207" s="161"/>
      <c r="I207" s="161"/>
      <c r="J207" s="161"/>
      <c r="K207" s="511"/>
      <c r="L207" s="511"/>
      <c r="M207" s="161"/>
      <c r="N207" s="161"/>
      <c r="O207" s="161"/>
      <c r="P207" s="161"/>
      <c r="Q207" s="161"/>
      <c r="R207" s="161"/>
      <c r="S207" s="161"/>
      <c r="T207" s="161"/>
      <c r="U207" s="161"/>
      <c r="V207" s="161"/>
      <c r="W207" s="161"/>
      <c r="X207" s="161"/>
      <c r="Y207" s="161"/>
      <c r="Z207" s="161"/>
      <c r="AA207" s="161"/>
      <c r="AB207" s="161"/>
    </row>
    <row r="208">
      <c r="A208" s="511"/>
      <c r="B208" s="161"/>
      <c r="C208" s="161"/>
      <c r="D208" s="161"/>
      <c r="E208" s="161"/>
      <c r="F208" s="161"/>
      <c r="G208" s="161"/>
      <c r="H208" s="161"/>
      <c r="I208" s="161"/>
      <c r="J208" s="161"/>
      <c r="K208" s="511"/>
      <c r="L208" s="511"/>
      <c r="M208" s="161"/>
      <c r="N208" s="161"/>
      <c r="O208" s="161"/>
      <c r="P208" s="161"/>
      <c r="Q208" s="161"/>
      <c r="R208" s="161"/>
      <c r="S208" s="161"/>
      <c r="T208" s="161"/>
      <c r="U208" s="161"/>
      <c r="V208" s="161"/>
      <c r="W208" s="161"/>
      <c r="X208" s="161"/>
      <c r="Y208" s="161"/>
      <c r="Z208" s="161"/>
      <c r="AA208" s="161"/>
      <c r="AB208" s="161"/>
    </row>
    <row r="209">
      <c r="A209" s="511"/>
      <c r="B209" s="161"/>
      <c r="C209" s="161"/>
      <c r="D209" s="161"/>
      <c r="E209" s="161"/>
      <c r="F209" s="161"/>
      <c r="G209" s="161"/>
      <c r="H209" s="161"/>
      <c r="I209" s="161"/>
      <c r="J209" s="161"/>
      <c r="K209" s="511"/>
      <c r="L209" s="511"/>
      <c r="M209" s="161"/>
      <c r="N209" s="161"/>
      <c r="O209" s="161"/>
      <c r="P209" s="161"/>
      <c r="Q209" s="161"/>
      <c r="R209" s="161"/>
      <c r="S209" s="161"/>
      <c r="T209" s="161"/>
      <c r="U209" s="161"/>
      <c r="V209" s="161"/>
      <c r="W209" s="161"/>
      <c r="X209" s="161"/>
      <c r="Y209" s="161"/>
      <c r="Z209" s="161"/>
      <c r="AA209" s="161"/>
      <c r="AB209" s="161"/>
    </row>
    <row r="210">
      <c r="A210" s="511"/>
      <c r="B210" s="161"/>
      <c r="C210" s="161"/>
      <c r="D210" s="161"/>
      <c r="E210" s="161"/>
      <c r="F210" s="161"/>
      <c r="G210" s="161"/>
      <c r="H210" s="161"/>
      <c r="I210" s="161"/>
      <c r="J210" s="161"/>
      <c r="K210" s="511"/>
      <c r="L210" s="511"/>
      <c r="M210" s="161"/>
      <c r="N210" s="161"/>
      <c r="O210" s="161"/>
      <c r="P210" s="161"/>
      <c r="Q210" s="161"/>
      <c r="R210" s="161"/>
      <c r="S210" s="161"/>
      <c r="T210" s="161"/>
      <c r="U210" s="161"/>
      <c r="V210" s="161"/>
      <c r="W210" s="161"/>
      <c r="X210" s="161"/>
      <c r="Y210" s="161"/>
      <c r="Z210" s="161"/>
      <c r="AA210" s="161"/>
      <c r="AB210" s="161"/>
    </row>
    <row r="211">
      <c r="A211" s="511"/>
      <c r="B211" s="161"/>
      <c r="C211" s="161"/>
      <c r="D211" s="161"/>
      <c r="E211" s="161"/>
      <c r="F211" s="161"/>
      <c r="G211" s="161"/>
      <c r="H211" s="161"/>
      <c r="I211" s="161"/>
      <c r="J211" s="161"/>
      <c r="K211" s="511"/>
      <c r="L211" s="511"/>
      <c r="M211" s="161"/>
      <c r="N211" s="161"/>
      <c r="O211" s="161"/>
      <c r="P211" s="161"/>
      <c r="Q211" s="161"/>
      <c r="R211" s="161"/>
      <c r="S211" s="161"/>
      <c r="T211" s="161"/>
      <c r="U211" s="161"/>
      <c r="V211" s="161"/>
      <c r="W211" s="161"/>
      <c r="X211" s="161"/>
      <c r="Y211" s="161"/>
      <c r="Z211" s="161"/>
      <c r="AA211" s="161"/>
      <c r="AB211" s="161"/>
    </row>
    <row r="212">
      <c r="A212" s="511"/>
      <c r="B212" s="161"/>
      <c r="C212" s="161"/>
      <c r="D212" s="161"/>
      <c r="E212" s="161"/>
      <c r="F212" s="161"/>
      <c r="G212" s="161"/>
      <c r="H212" s="161"/>
      <c r="I212" s="161"/>
      <c r="J212" s="161"/>
      <c r="K212" s="511"/>
      <c r="L212" s="511"/>
      <c r="M212" s="161"/>
      <c r="N212" s="161"/>
      <c r="O212" s="161"/>
      <c r="P212" s="161"/>
      <c r="Q212" s="161"/>
      <c r="R212" s="161"/>
      <c r="S212" s="161"/>
      <c r="T212" s="161"/>
      <c r="U212" s="161"/>
      <c r="V212" s="161"/>
      <c r="W212" s="161"/>
      <c r="X212" s="161"/>
      <c r="Y212" s="161"/>
      <c r="Z212" s="161"/>
      <c r="AA212" s="161"/>
      <c r="AB212" s="161"/>
    </row>
    <row r="213">
      <c r="A213" s="511"/>
      <c r="B213" s="161"/>
      <c r="C213" s="161"/>
      <c r="D213" s="161"/>
      <c r="E213" s="161"/>
      <c r="F213" s="161"/>
      <c r="G213" s="161"/>
      <c r="H213" s="161"/>
      <c r="I213" s="161"/>
      <c r="J213" s="161"/>
      <c r="K213" s="511"/>
      <c r="L213" s="511"/>
      <c r="M213" s="161"/>
      <c r="N213" s="161"/>
      <c r="O213" s="161"/>
      <c r="P213" s="161"/>
      <c r="Q213" s="161"/>
      <c r="R213" s="161"/>
      <c r="S213" s="161"/>
      <c r="T213" s="161"/>
      <c r="U213" s="161"/>
      <c r="V213" s="161"/>
      <c r="W213" s="161"/>
      <c r="X213" s="161"/>
      <c r="Y213" s="161"/>
      <c r="Z213" s="161"/>
      <c r="AA213" s="161"/>
      <c r="AB213" s="161"/>
    </row>
    <row r="214">
      <c r="A214" s="511"/>
      <c r="B214" s="161"/>
      <c r="C214" s="161"/>
      <c r="D214" s="161"/>
      <c r="E214" s="161"/>
      <c r="F214" s="161"/>
      <c r="G214" s="161"/>
      <c r="H214" s="161"/>
      <c r="I214" s="161"/>
      <c r="J214" s="161"/>
      <c r="K214" s="511"/>
      <c r="L214" s="511"/>
      <c r="M214" s="161"/>
      <c r="N214" s="161"/>
      <c r="O214" s="161"/>
      <c r="P214" s="161"/>
      <c r="Q214" s="161"/>
      <c r="R214" s="161"/>
      <c r="S214" s="161"/>
      <c r="T214" s="161"/>
      <c r="U214" s="161"/>
      <c r="V214" s="161"/>
      <c r="W214" s="161"/>
      <c r="X214" s="161"/>
      <c r="Y214" s="161"/>
      <c r="Z214" s="161"/>
      <c r="AA214" s="161"/>
      <c r="AB214" s="161"/>
    </row>
    <row r="215">
      <c r="A215" s="511"/>
      <c r="B215" s="161"/>
      <c r="C215" s="161"/>
      <c r="D215" s="161"/>
      <c r="E215" s="161"/>
      <c r="F215" s="161"/>
      <c r="G215" s="161"/>
      <c r="H215" s="161"/>
      <c r="I215" s="161"/>
      <c r="J215" s="161"/>
      <c r="K215" s="511"/>
      <c r="L215" s="511"/>
      <c r="M215" s="161"/>
      <c r="N215" s="161"/>
      <c r="O215" s="161"/>
      <c r="P215" s="161"/>
      <c r="Q215" s="161"/>
      <c r="R215" s="161"/>
      <c r="S215" s="161"/>
      <c r="T215" s="161"/>
      <c r="U215" s="161"/>
      <c r="V215" s="161"/>
      <c r="W215" s="161"/>
      <c r="X215" s="161"/>
      <c r="Y215" s="161"/>
      <c r="Z215" s="161"/>
      <c r="AA215" s="161"/>
      <c r="AB215" s="161"/>
    </row>
    <row r="216">
      <c r="A216" s="511"/>
      <c r="B216" s="161"/>
      <c r="C216" s="161"/>
      <c r="D216" s="161"/>
      <c r="E216" s="161"/>
      <c r="F216" s="161"/>
      <c r="G216" s="161"/>
      <c r="H216" s="161"/>
      <c r="I216" s="161"/>
      <c r="J216" s="161"/>
      <c r="K216" s="511"/>
      <c r="L216" s="511"/>
      <c r="M216" s="161"/>
      <c r="N216" s="161"/>
      <c r="O216" s="161"/>
      <c r="P216" s="161"/>
      <c r="Q216" s="161"/>
      <c r="R216" s="161"/>
      <c r="S216" s="161"/>
      <c r="T216" s="161"/>
      <c r="U216" s="161"/>
      <c r="V216" s="161"/>
      <c r="W216" s="161"/>
      <c r="X216" s="161"/>
      <c r="Y216" s="161"/>
      <c r="Z216" s="161"/>
      <c r="AA216" s="161"/>
      <c r="AB216" s="161"/>
    </row>
    <row r="217">
      <c r="A217" s="511"/>
      <c r="B217" s="161"/>
      <c r="C217" s="161"/>
      <c r="D217" s="161"/>
      <c r="E217" s="161"/>
      <c r="F217" s="161"/>
      <c r="G217" s="161"/>
      <c r="H217" s="161"/>
      <c r="I217" s="161"/>
      <c r="J217" s="161"/>
      <c r="K217" s="511"/>
      <c r="L217" s="511"/>
      <c r="M217" s="161"/>
      <c r="N217" s="161"/>
      <c r="O217" s="161"/>
      <c r="P217" s="161"/>
      <c r="Q217" s="161"/>
      <c r="R217" s="161"/>
      <c r="S217" s="161"/>
      <c r="T217" s="161"/>
      <c r="U217" s="161"/>
      <c r="V217" s="161"/>
      <c r="W217" s="161"/>
      <c r="X217" s="161"/>
      <c r="Y217" s="161"/>
      <c r="Z217" s="161"/>
      <c r="AA217" s="161"/>
      <c r="AB217" s="161"/>
    </row>
    <row r="218">
      <c r="A218" s="511"/>
      <c r="B218" s="161"/>
      <c r="C218" s="161"/>
      <c r="D218" s="161"/>
      <c r="E218" s="161"/>
      <c r="F218" s="161"/>
      <c r="G218" s="161"/>
      <c r="H218" s="161"/>
      <c r="I218" s="161"/>
      <c r="J218" s="161"/>
      <c r="K218" s="511"/>
      <c r="L218" s="511"/>
      <c r="M218" s="161"/>
      <c r="N218" s="161"/>
      <c r="O218" s="161"/>
      <c r="P218" s="161"/>
      <c r="Q218" s="161"/>
      <c r="R218" s="161"/>
      <c r="S218" s="161"/>
      <c r="T218" s="161"/>
      <c r="U218" s="161"/>
      <c r="V218" s="161"/>
      <c r="W218" s="161"/>
      <c r="X218" s="161"/>
      <c r="Y218" s="161"/>
      <c r="Z218" s="161"/>
      <c r="AA218" s="161"/>
      <c r="AB218" s="161"/>
    </row>
    <row r="219">
      <c r="A219" s="511"/>
      <c r="B219" s="161"/>
      <c r="C219" s="161"/>
      <c r="D219" s="161"/>
      <c r="E219" s="161"/>
      <c r="F219" s="161"/>
      <c r="G219" s="161"/>
      <c r="H219" s="161"/>
      <c r="I219" s="161"/>
      <c r="J219" s="161"/>
      <c r="K219" s="511"/>
      <c r="L219" s="511"/>
      <c r="M219" s="161"/>
      <c r="N219" s="161"/>
      <c r="O219" s="161"/>
      <c r="P219" s="161"/>
      <c r="Q219" s="161"/>
      <c r="R219" s="161"/>
      <c r="S219" s="161"/>
      <c r="T219" s="161"/>
      <c r="U219" s="161"/>
      <c r="V219" s="161"/>
      <c r="W219" s="161"/>
      <c r="X219" s="161"/>
      <c r="Y219" s="161"/>
      <c r="Z219" s="161"/>
      <c r="AA219" s="161"/>
      <c r="AB219" s="161"/>
    </row>
    <row r="220">
      <c r="A220" s="511"/>
      <c r="B220" s="161"/>
      <c r="C220" s="161"/>
      <c r="D220" s="161"/>
      <c r="E220" s="161"/>
      <c r="F220" s="161"/>
      <c r="G220" s="161"/>
      <c r="H220" s="161"/>
      <c r="I220" s="161"/>
      <c r="J220" s="161"/>
      <c r="K220" s="511"/>
      <c r="L220" s="511"/>
      <c r="M220" s="161"/>
      <c r="N220" s="161"/>
      <c r="O220" s="161"/>
      <c r="P220" s="161"/>
      <c r="Q220" s="161"/>
      <c r="R220" s="161"/>
      <c r="S220" s="161"/>
      <c r="T220" s="161"/>
      <c r="U220" s="161"/>
      <c r="V220" s="161"/>
      <c r="W220" s="161"/>
      <c r="X220" s="161"/>
      <c r="Y220" s="161"/>
      <c r="Z220" s="161"/>
      <c r="AA220" s="161"/>
      <c r="AB220" s="161"/>
    </row>
    <row r="221">
      <c r="A221" s="511"/>
      <c r="B221" s="161"/>
      <c r="C221" s="161"/>
      <c r="D221" s="161"/>
      <c r="E221" s="161"/>
      <c r="F221" s="161"/>
      <c r="G221" s="161"/>
      <c r="H221" s="161"/>
      <c r="I221" s="161"/>
      <c r="J221" s="161"/>
      <c r="K221" s="511"/>
      <c r="L221" s="511"/>
      <c r="M221" s="161"/>
      <c r="N221" s="161"/>
      <c r="O221" s="161"/>
      <c r="P221" s="161"/>
      <c r="Q221" s="161"/>
      <c r="R221" s="161"/>
      <c r="S221" s="161"/>
      <c r="T221" s="161"/>
      <c r="U221" s="161"/>
      <c r="V221" s="161"/>
      <c r="W221" s="161"/>
      <c r="X221" s="161"/>
      <c r="Y221" s="161"/>
      <c r="Z221" s="161"/>
      <c r="AA221" s="161"/>
      <c r="AB221" s="161"/>
    </row>
    <row r="222">
      <c r="A222" s="511"/>
      <c r="B222" s="161"/>
      <c r="C222" s="161"/>
      <c r="D222" s="161"/>
      <c r="E222" s="161"/>
      <c r="F222" s="161"/>
      <c r="G222" s="161"/>
      <c r="H222" s="161"/>
      <c r="I222" s="161"/>
      <c r="J222" s="161"/>
      <c r="K222" s="511"/>
      <c r="L222" s="511"/>
      <c r="M222" s="161"/>
      <c r="N222" s="161"/>
      <c r="O222" s="161"/>
      <c r="P222" s="161"/>
      <c r="Q222" s="161"/>
      <c r="R222" s="161"/>
      <c r="S222" s="161"/>
      <c r="T222" s="161"/>
      <c r="U222" s="161"/>
      <c r="V222" s="161"/>
      <c r="W222" s="161"/>
      <c r="X222" s="161"/>
      <c r="Y222" s="161"/>
      <c r="Z222" s="161"/>
      <c r="AA222" s="161"/>
      <c r="AB222" s="161"/>
    </row>
    <row r="223">
      <c r="A223" s="511"/>
      <c r="B223" s="161"/>
      <c r="C223" s="161"/>
      <c r="D223" s="161"/>
      <c r="E223" s="161"/>
      <c r="F223" s="161"/>
      <c r="G223" s="161"/>
      <c r="H223" s="161"/>
      <c r="I223" s="161"/>
      <c r="J223" s="161"/>
      <c r="K223" s="511"/>
      <c r="L223" s="511"/>
      <c r="M223" s="161"/>
      <c r="N223" s="161"/>
      <c r="O223" s="161"/>
      <c r="P223" s="161"/>
      <c r="Q223" s="161"/>
      <c r="R223" s="161"/>
      <c r="S223" s="161"/>
      <c r="T223" s="161"/>
      <c r="U223" s="161"/>
      <c r="V223" s="161"/>
      <c r="W223" s="161"/>
      <c r="X223" s="161"/>
      <c r="Y223" s="161"/>
      <c r="Z223" s="161"/>
      <c r="AA223" s="161"/>
      <c r="AB223" s="161"/>
    </row>
    <row r="224">
      <c r="A224" s="511"/>
      <c r="B224" s="161"/>
      <c r="C224" s="161"/>
      <c r="D224" s="161"/>
      <c r="E224" s="161"/>
      <c r="F224" s="161"/>
      <c r="G224" s="161"/>
      <c r="H224" s="161"/>
      <c r="I224" s="161"/>
      <c r="J224" s="161"/>
      <c r="K224" s="511"/>
      <c r="L224" s="511"/>
      <c r="M224" s="161"/>
      <c r="N224" s="161"/>
      <c r="O224" s="161"/>
      <c r="P224" s="161"/>
      <c r="Q224" s="161"/>
      <c r="R224" s="161"/>
      <c r="S224" s="161"/>
      <c r="T224" s="161"/>
      <c r="U224" s="161"/>
      <c r="V224" s="161"/>
      <c r="W224" s="161"/>
      <c r="X224" s="161"/>
      <c r="Y224" s="161"/>
      <c r="Z224" s="161"/>
      <c r="AA224" s="161"/>
      <c r="AB224" s="161"/>
    </row>
    <row r="225">
      <c r="A225" s="511"/>
      <c r="B225" s="161"/>
      <c r="C225" s="161"/>
      <c r="D225" s="161"/>
      <c r="E225" s="161"/>
      <c r="F225" s="161"/>
      <c r="G225" s="161"/>
      <c r="H225" s="161"/>
      <c r="I225" s="161"/>
      <c r="J225" s="161"/>
      <c r="K225" s="511"/>
      <c r="L225" s="511"/>
      <c r="M225" s="161"/>
      <c r="N225" s="161"/>
      <c r="O225" s="161"/>
      <c r="P225" s="161"/>
      <c r="Q225" s="161"/>
      <c r="R225" s="161"/>
      <c r="S225" s="161"/>
      <c r="T225" s="161"/>
      <c r="U225" s="161"/>
      <c r="V225" s="161"/>
      <c r="W225" s="161"/>
      <c r="X225" s="161"/>
      <c r="Y225" s="161"/>
      <c r="Z225" s="161"/>
      <c r="AA225" s="161"/>
      <c r="AB225" s="161"/>
    </row>
    <row r="226">
      <c r="A226" s="511"/>
      <c r="B226" s="161"/>
      <c r="C226" s="161"/>
      <c r="D226" s="161"/>
      <c r="E226" s="161"/>
      <c r="F226" s="161"/>
      <c r="G226" s="161"/>
      <c r="H226" s="161"/>
      <c r="I226" s="161"/>
      <c r="J226" s="161"/>
      <c r="K226" s="511"/>
      <c r="L226" s="511"/>
      <c r="M226" s="161"/>
      <c r="N226" s="161"/>
      <c r="O226" s="161"/>
      <c r="P226" s="161"/>
      <c r="Q226" s="161"/>
      <c r="R226" s="161"/>
      <c r="S226" s="161"/>
      <c r="T226" s="161"/>
      <c r="U226" s="161"/>
      <c r="V226" s="161"/>
      <c r="W226" s="161"/>
      <c r="X226" s="161"/>
      <c r="Y226" s="161"/>
      <c r="Z226" s="161"/>
      <c r="AA226" s="161"/>
      <c r="AB226" s="161"/>
    </row>
    <row r="227">
      <c r="A227" s="511"/>
      <c r="B227" s="161"/>
      <c r="C227" s="161"/>
      <c r="D227" s="161"/>
      <c r="E227" s="161"/>
      <c r="F227" s="161"/>
      <c r="G227" s="161"/>
      <c r="H227" s="161"/>
      <c r="I227" s="161"/>
      <c r="J227" s="161"/>
      <c r="K227" s="511"/>
      <c r="L227" s="511"/>
      <c r="M227" s="161"/>
      <c r="N227" s="161"/>
      <c r="O227" s="161"/>
      <c r="P227" s="161"/>
      <c r="Q227" s="161"/>
      <c r="R227" s="161"/>
      <c r="S227" s="161"/>
      <c r="T227" s="161"/>
      <c r="U227" s="161"/>
      <c r="V227" s="161"/>
      <c r="W227" s="161"/>
      <c r="X227" s="161"/>
      <c r="Y227" s="161"/>
      <c r="Z227" s="161"/>
      <c r="AA227" s="161"/>
      <c r="AB227" s="161"/>
    </row>
    <row r="228">
      <c r="A228" s="511"/>
      <c r="B228" s="161"/>
      <c r="C228" s="161"/>
      <c r="D228" s="161"/>
      <c r="E228" s="161"/>
      <c r="F228" s="161"/>
      <c r="G228" s="161"/>
      <c r="H228" s="161"/>
      <c r="I228" s="161"/>
      <c r="J228" s="161"/>
      <c r="K228" s="511"/>
      <c r="L228" s="511"/>
      <c r="M228" s="161"/>
      <c r="N228" s="161"/>
      <c r="O228" s="161"/>
      <c r="P228" s="161"/>
      <c r="Q228" s="161"/>
      <c r="R228" s="161"/>
      <c r="S228" s="161"/>
      <c r="T228" s="161"/>
      <c r="U228" s="161"/>
      <c r="V228" s="161"/>
      <c r="W228" s="161"/>
      <c r="X228" s="161"/>
      <c r="Y228" s="161"/>
      <c r="Z228" s="161"/>
      <c r="AA228" s="161"/>
      <c r="AB228" s="161"/>
    </row>
    <row r="229">
      <c r="A229" s="511"/>
      <c r="B229" s="161"/>
      <c r="C229" s="161"/>
      <c r="D229" s="161"/>
      <c r="E229" s="161"/>
      <c r="F229" s="161"/>
      <c r="G229" s="161"/>
      <c r="H229" s="161"/>
      <c r="I229" s="161"/>
      <c r="J229" s="161"/>
      <c r="K229" s="511"/>
      <c r="L229" s="511"/>
      <c r="M229" s="161"/>
      <c r="N229" s="161"/>
      <c r="O229" s="161"/>
      <c r="P229" s="161"/>
      <c r="Q229" s="161"/>
      <c r="R229" s="161"/>
      <c r="S229" s="161"/>
      <c r="T229" s="161"/>
      <c r="U229" s="161"/>
      <c r="V229" s="161"/>
      <c r="W229" s="161"/>
      <c r="X229" s="161"/>
      <c r="Y229" s="161"/>
      <c r="Z229" s="161"/>
      <c r="AA229" s="161"/>
      <c r="AB229" s="161"/>
    </row>
    <row r="230">
      <c r="A230" s="511"/>
      <c r="B230" s="161"/>
      <c r="C230" s="161"/>
      <c r="D230" s="161"/>
      <c r="E230" s="161"/>
      <c r="F230" s="161"/>
      <c r="G230" s="161"/>
      <c r="H230" s="161"/>
      <c r="I230" s="161"/>
      <c r="J230" s="161"/>
      <c r="K230" s="511"/>
      <c r="L230" s="511"/>
      <c r="M230" s="161"/>
      <c r="N230" s="161"/>
      <c r="O230" s="161"/>
      <c r="P230" s="161"/>
      <c r="Q230" s="161"/>
      <c r="R230" s="161"/>
      <c r="S230" s="161"/>
      <c r="T230" s="161"/>
      <c r="U230" s="161"/>
      <c r="V230" s="161"/>
      <c r="W230" s="161"/>
      <c r="X230" s="161"/>
      <c r="Y230" s="161"/>
      <c r="Z230" s="161"/>
      <c r="AA230" s="161"/>
      <c r="AB230" s="161"/>
    </row>
    <row r="231">
      <c r="A231" s="511"/>
      <c r="B231" s="161"/>
      <c r="C231" s="161"/>
      <c r="D231" s="161"/>
      <c r="E231" s="161"/>
      <c r="F231" s="161"/>
      <c r="G231" s="161"/>
      <c r="H231" s="161"/>
      <c r="I231" s="161"/>
      <c r="J231" s="161"/>
      <c r="K231" s="511"/>
      <c r="L231" s="511"/>
      <c r="M231" s="161"/>
      <c r="N231" s="161"/>
      <c r="O231" s="161"/>
      <c r="P231" s="161"/>
      <c r="Q231" s="161"/>
      <c r="R231" s="161"/>
      <c r="S231" s="161"/>
      <c r="T231" s="161"/>
      <c r="U231" s="161"/>
      <c r="V231" s="161"/>
      <c r="W231" s="161"/>
      <c r="X231" s="161"/>
      <c r="Y231" s="161"/>
      <c r="Z231" s="161"/>
      <c r="AA231" s="161"/>
      <c r="AB231" s="161"/>
    </row>
    <row r="232">
      <c r="A232" s="511"/>
      <c r="B232" s="161"/>
      <c r="C232" s="161"/>
      <c r="D232" s="161"/>
      <c r="E232" s="161"/>
      <c r="F232" s="161"/>
      <c r="G232" s="161"/>
      <c r="H232" s="161"/>
      <c r="I232" s="161"/>
      <c r="J232" s="161"/>
      <c r="K232" s="511"/>
      <c r="L232" s="511"/>
      <c r="M232" s="161"/>
      <c r="N232" s="161"/>
      <c r="O232" s="161"/>
      <c r="P232" s="161"/>
      <c r="Q232" s="161"/>
      <c r="R232" s="161"/>
      <c r="S232" s="161"/>
      <c r="T232" s="161"/>
      <c r="U232" s="161"/>
      <c r="V232" s="161"/>
      <c r="W232" s="161"/>
      <c r="X232" s="161"/>
      <c r="Y232" s="161"/>
      <c r="Z232" s="161"/>
      <c r="AA232" s="161"/>
      <c r="AB232" s="161"/>
    </row>
    <row r="233">
      <c r="A233" s="511"/>
      <c r="B233" s="161"/>
      <c r="C233" s="161"/>
      <c r="D233" s="161"/>
      <c r="E233" s="161"/>
      <c r="F233" s="161"/>
      <c r="G233" s="161"/>
      <c r="H233" s="161"/>
      <c r="I233" s="161"/>
      <c r="J233" s="161"/>
      <c r="K233" s="511"/>
      <c r="L233" s="511"/>
      <c r="M233" s="161"/>
      <c r="N233" s="161"/>
      <c r="O233" s="161"/>
      <c r="P233" s="161"/>
      <c r="Q233" s="161"/>
      <c r="R233" s="161"/>
      <c r="S233" s="161"/>
      <c r="T233" s="161"/>
      <c r="U233" s="161"/>
      <c r="V233" s="161"/>
      <c r="W233" s="161"/>
      <c r="X233" s="161"/>
      <c r="Y233" s="161"/>
      <c r="Z233" s="161"/>
      <c r="AA233" s="161"/>
      <c r="AB233" s="161"/>
    </row>
    <row r="234">
      <c r="A234" s="511"/>
      <c r="B234" s="161"/>
      <c r="C234" s="161"/>
      <c r="D234" s="161"/>
      <c r="E234" s="161"/>
      <c r="F234" s="161"/>
      <c r="G234" s="161"/>
      <c r="H234" s="161"/>
      <c r="I234" s="161"/>
      <c r="J234" s="161"/>
      <c r="K234" s="511"/>
      <c r="L234" s="511"/>
      <c r="M234" s="161"/>
      <c r="N234" s="161"/>
      <c r="O234" s="161"/>
      <c r="P234" s="161"/>
      <c r="Q234" s="161"/>
      <c r="R234" s="161"/>
      <c r="S234" s="161"/>
      <c r="T234" s="161"/>
      <c r="U234" s="161"/>
      <c r="V234" s="161"/>
      <c r="W234" s="161"/>
      <c r="X234" s="161"/>
      <c r="Y234" s="161"/>
      <c r="Z234" s="161"/>
      <c r="AA234" s="161"/>
      <c r="AB234" s="161"/>
    </row>
    <row r="235">
      <c r="A235" s="511"/>
      <c r="B235" s="161"/>
      <c r="C235" s="161"/>
      <c r="D235" s="161"/>
      <c r="E235" s="161"/>
      <c r="F235" s="161"/>
      <c r="G235" s="161"/>
      <c r="H235" s="161"/>
      <c r="I235" s="161"/>
      <c r="J235" s="161"/>
      <c r="K235" s="511"/>
      <c r="L235" s="511"/>
      <c r="M235" s="161"/>
      <c r="N235" s="161"/>
      <c r="O235" s="161"/>
      <c r="P235" s="161"/>
      <c r="Q235" s="161"/>
      <c r="R235" s="161"/>
      <c r="S235" s="161"/>
      <c r="T235" s="161"/>
      <c r="U235" s="161"/>
      <c r="V235" s="161"/>
      <c r="W235" s="161"/>
      <c r="X235" s="161"/>
      <c r="Y235" s="161"/>
      <c r="Z235" s="161"/>
      <c r="AA235" s="161"/>
      <c r="AB235" s="161"/>
    </row>
    <row r="236">
      <c r="A236" s="511"/>
      <c r="B236" s="161"/>
      <c r="C236" s="161"/>
      <c r="D236" s="161"/>
      <c r="E236" s="161"/>
      <c r="F236" s="161"/>
      <c r="G236" s="161"/>
      <c r="H236" s="161"/>
      <c r="I236" s="161"/>
      <c r="J236" s="161"/>
      <c r="K236" s="511"/>
      <c r="L236" s="511"/>
      <c r="M236" s="161"/>
      <c r="N236" s="161"/>
      <c r="O236" s="161"/>
      <c r="P236" s="161"/>
      <c r="Q236" s="161"/>
      <c r="R236" s="161"/>
      <c r="S236" s="161"/>
      <c r="T236" s="161"/>
      <c r="U236" s="161"/>
      <c r="V236" s="161"/>
      <c r="W236" s="161"/>
      <c r="X236" s="161"/>
      <c r="Y236" s="161"/>
      <c r="Z236" s="161"/>
      <c r="AA236" s="161"/>
      <c r="AB236" s="161"/>
    </row>
    <row r="237">
      <c r="A237" s="511"/>
      <c r="B237" s="161"/>
      <c r="C237" s="161"/>
      <c r="D237" s="161"/>
      <c r="E237" s="161"/>
      <c r="F237" s="161"/>
      <c r="G237" s="161"/>
      <c r="H237" s="161"/>
      <c r="I237" s="161"/>
      <c r="J237" s="161"/>
      <c r="K237" s="511"/>
      <c r="L237" s="511"/>
      <c r="M237" s="161"/>
      <c r="N237" s="161"/>
      <c r="O237" s="161"/>
      <c r="P237" s="161"/>
      <c r="Q237" s="161"/>
      <c r="R237" s="161"/>
      <c r="S237" s="161"/>
      <c r="T237" s="161"/>
      <c r="U237" s="161"/>
      <c r="V237" s="161"/>
      <c r="W237" s="161"/>
      <c r="X237" s="161"/>
      <c r="Y237" s="161"/>
      <c r="Z237" s="161"/>
      <c r="AA237" s="161"/>
      <c r="AB237" s="161"/>
    </row>
    <row r="238">
      <c r="A238" s="511"/>
      <c r="B238" s="161"/>
      <c r="C238" s="161"/>
      <c r="D238" s="161"/>
      <c r="E238" s="161"/>
      <c r="F238" s="161"/>
      <c r="G238" s="161"/>
      <c r="H238" s="161"/>
      <c r="I238" s="161"/>
      <c r="J238" s="161"/>
      <c r="K238" s="511"/>
      <c r="L238" s="511"/>
      <c r="M238" s="161"/>
      <c r="N238" s="161"/>
      <c r="O238" s="161"/>
      <c r="P238" s="161"/>
      <c r="Q238" s="161"/>
      <c r="R238" s="161"/>
      <c r="S238" s="161"/>
      <c r="T238" s="161"/>
      <c r="U238" s="161"/>
      <c r="V238" s="161"/>
      <c r="W238" s="161"/>
      <c r="X238" s="161"/>
      <c r="Y238" s="161"/>
      <c r="Z238" s="161"/>
      <c r="AA238" s="161"/>
      <c r="AB238" s="161"/>
    </row>
    <row r="239">
      <c r="A239" s="511"/>
      <c r="B239" s="161"/>
      <c r="C239" s="161"/>
      <c r="D239" s="161"/>
      <c r="E239" s="161"/>
      <c r="F239" s="161"/>
      <c r="G239" s="161"/>
      <c r="H239" s="161"/>
      <c r="I239" s="161"/>
      <c r="J239" s="161"/>
      <c r="K239" s="511"/>
      <c r="L239" s="511"/>
      <c r="M239" s="161"/>
      <c r="N239" s="161"/>
      <c r="O239" s="161"/>
      <c r="P239" s="161"/>
      <c r="Q239" s="161"/>
      <c r="R239" s="161"/>
      <c r="S239" s="161"/>
      <c r="T239" s="161"/>
      <c r="U239" s="161"/>
      <c r="V239" s="161"/>
      <c r="W239" s="161"/>
      <c r="X239" s="161"/>
      <c r="Y239" s="161"/>
      <c r="Z239" s="161"/>
      <c r="AA239" s="161"/>
      <c r="AB239" s="161"/>
    </row>
    <row r="240">
      <c r="A240" s="511"/>
      <c r="B240" s="161"/>
      <c r="C240" s="161"/>
      <c r="D240" s="161"/>
      <c r="E240" s="161"/>
      <c r="F240" s="161"/>
      <c r="G240" s="161"/>
      <c r="H240" s="161"/>
      <c r="I240" s="161"/>
      <c r="J240" s="161"/>
      <c r="K240" s="511"/>
      <c r="L240" s="511"/>
      <c r="M240" s="161"/>
      <c r="N240" s="161"/>
      <c r="O240" s="161"/>
      <c r="P240" s="161"/>
      <c r="Q240" s="161"/>
      <c r="R240" s="161"/>
      <c r="S240" s="161"/>
      <c r="T240" s="161"/>
      <c r="U240" s="161"/>
      <c r="V240" s="161"/>
      <c r="W240" s="161"/>
      <c r="X240" s="161"/>
      <c r="Y240" s="161"/>
      <c r="Z240" s="161"/>
      <c r="AA240" s="161"/>
      <c r="AB240" s="161"/>
    </row>
    <row r="241">
      <c r="A241" s="511"/>
      <c r="B241" s="161"/>
      <c r="C241" s="161"/>
      <c r="D241" s="161"/>
      <c r="E241" s="161"/>
      <c r="F241" s="161"/>
      <c r="G241" s="161"/>
      <c r="H241" s="161"/>
      <c r="I241" s="161"/>
      <c r="J241" s="161"/>
      <c r="K241" s="511"/>
      <c r="L241" s="511"/>
      <c r="M241" s="161"/>
      <c r="N241" s="161"/>
      <c r="O241" s="161"/>
      <c r="P241" s="161"/>
      <c r="Q241" s="161"/>
      <c r="R241" s="161"/>
      <c r="S241" s="161"/>
      <c r="T241" s="161"/>
      <c r="U241" s="161"/>
      <c r="V241" s="161"/>
      <c r="W241" s="161"/>
      <c r="X241" s="161"/>
      <c r="Y241" s="161"/>
      <c r="Z241" s="161"/>
      <c r="AA241" s="161"/>
      <c r="AB241" s="161"/>
    </row>
    <row r="242">
      <c r="A242" s="511"/>
      <c r="B242" s="161"/>
      <c r="C242" s="161"/>
      <c r="D242" s="161"/>
      <c r="E242" s="161"/>
      <c r="F242" s="161"/>
      <c r="G242" s="161"/>
      <c r="H242" s="161"/>
      <c r="I242" s="161"/>
      <c r="J242" s="161"/>
      <c r="K242" s="511"/>
      <c r="L242" s="511"/>
      <c r="M242" s="161"/>
      <c r="N242" s="161"/>
      <c r="O242" s="161"/>
      <c r="P242" s="161"/>
      <c r="Q242" s="161"/>
      <c r="R242" s="161"/>
      <c r="S242" s="161"/>
      <c r="T242" s="161"/>
      <c r="U242" s="161"/>
      <c r="V242" s="161"/>
      <c r="W242" s="161"/>
      <c r="X242" s="161"/>
      <c r="Y242" s="161"/>
      <c r="Z242" s="161"/>
      <c r="AA242" s="161"/>
      <c r="AB242" s="161"/>
    </row>
    <row r="243">
      <c r="A243" s="511"/>
      <c r="B243" s="161"/>
      <c r="C243" s="161"/>
      <c r="D243" s="161"/>
      <c r="E243" s="161"/>
      <c r="F243" s="161"/>
      <c r="G243" s="161"/>
      <c r="H243" s="161"/>
      <c r="I243" s="161"/>
      <c r="J243" s="161"/>
      <c r="K243" s="511"/>
      <c r="L243" s="511"/>
      <c r="M243" s="161"/>
      <c r="N243" s="161"/>
      <c r="O243" s="161"/>
      <c r="P243" s="161"/>
      <c r="Q243" s="161"/>
      <c r="R243" s="161"/>
      <c r="S243" s="161"/>
      <c r="T243" s="161"/>
      <c r="U243" s="161"/>
      <c r="V243" s="161"/>
      <c r="W243" s="161"/>
      <c r="X243" s="161"/>
      <c r="Y243" s="161"/>
      <c r="Z243" s="161"/>
      <c r="AA243" s="161"/>
      <c r="AB243" s="161"/>
    </row>
    <row r="244">
      <c r="A244" s="511"/>
      <c r="B244" s="161"/>
      <c r="C244" s="161"/>
      <c r="D244" s="161"/>
      <c r="E244" s="161"/>
      <c r="F244" s="161"/>
      <c r="G244" s="161"/>
      <c r="H244" s="161"/>
      <c r="I244" s="161"/>
      <c r="J244" s="161"/>
      <c r="K244" s="511"/>
      <c r="L244" s="511"/>
      <c r="M244" s="161"/>
      <c r="N244" s="161"/>
      <c r="O244" s="161"/>
      <c r="P244" s="161"/>
      <c r="Q244" s="161"/>
      <c r="R244" s="161"/>
      <c r="S244" s="161"/>
      <c r="T244" s="161"/>
      <c r="U244" s="161"/>
      <c r="V244" s="161"/>
      <c r="W244" s="161"/>
      <c r="X244" s="161"/>
      <c r="Y244" s="161"/>
      <c r="Z244" s="161"/>
      <c r="AA244" s="161"/>
      <c r="AB244" s="161"/>
    </row>
    <row r="245">
      <c r="A245" s="511"/>
      <c r="B245" s="161"/>
      <c r="C245" s="161"/>
      <c r="D245" s="161"/>
      <c r="E245" s="161"/>
      <c r="F245" s="161"/>
      <c r="G245" s="161"/>
      <c r="H245" s="161"/>
      <c r="I245" s="161"/>
      <c r="J245" s="161"/>
      <c r="K245" s="511"/>
      <c r="L245" s="511"/>
      <c r="M245" s="161"/>
      <c r="N245" s="161"/>
      <c r="O245" s="161"/>
      <c r="P245" s="161"/>
      <c r="Q245" s="161"/>
      <c r="R245" s="161"/>
      <c r="S245" s="161"/>
      <c r="T245" s="161"/>
      <c r="U245" s="161"/>
      <c r="V245" s="161"/>
      <c r="W245" s="161"/>
      <c r="X245" s="161"/>
      <c r="Y245" s="161"/>
      <c r="Z245" s="161"/>
      <c r="AA245" s="161"/>
      <c r="AB245" s="161"/>
    </row>
    <row r="246">
      <c r="A246" s="511"/>
      <c r="B246" s="161"/>
      <c r="C246" s="161"/>
      <c r="D246" s="161"/>
      <c r="E246" s="161"/>
      <c r="F246" s="161"/>
      <c r="G246" s="161"/>
      <c r="H246" s="161"/>
      <c r="I246" s="161"/>
      <c r="J246" s="161"/>
      <c r="K246" s="511"/>
      <c r="L246" s="511"/>
      <c r="M246" s="161"/>
      <c r="N246" s="161"/>
      <c r="O246" s="161"/>
      <c r="P246" s="161"/>
      <c r="Q246" s="161"/>
      <c r="R246" s="161"/>
      <c r="S246" s="161"/>
      <c r="T246" s="161"/>
      <c r="U246" s="161"/>
      <c r="V246" s="161"/>
      <c r="W246" s="161"/>
      <c r="X246" s="161"/>
      <c r="Y246" s="161"/>
      <c r="Z246" s="161"/>
      <c r="AA246" s="161"/>
      <c r="AB246" s="161"/>
    </row>
    <row r="247">
      <c r="A247" s="511"/>
      <c r="B247" s="161"/>
      <c r="C247" s="161"/>
      <c r="D247" s="161"/>
      <c r="E247" s="161"/>
      <c r="F247" s="161"/>
      <c r="G247" s="161"/>
      <c r="H247" s="161"/>
      <c r="I247" s="161"/>
      <c r="J247" s="161"/>
      <c r="K247" s="511"/>
      <c r="L247" s="511"/>
      <c r="M247" s="161"/>
      <c r="N247" s="161"/>
      <c r="O247" s="161"/>
      <c r="P247" s="161"/>
      <c r="Q247" s="161"/>
      <c r="R247" s="161"/>
      <c r="S247" s="161"/>
      <c r="T247" s="161"/>
      <c r="U247" s="161"/>
      <c r="V247" s="161"/>
      <c r="W247" s="161"/>
      <c r="X247" s="161"/>
      <c r="Y247" s="161"/>
      <c r="Z247" s="161"/>
      <c r="AA247" s="161"/>
      <c r="AB247" s="161"/>
    </row>
    <row r="248">
      <c r="A248" s="511"/>
      <c r="B248" s="161"/>
      <c r="C248" s="161"/>
      <c r="D248" s="161"/>
      <c r="E248" s="161"/>
      <c r="F248" s="161"/>
      <c r="G248" s="161"/>
      <c r="H248" s="161"/>
      <c r="I248" s="161"/>
      <c r="J248" s="161"/>
      <c r="K248" s="511"/>
      <c r="L248" s="511"/>
      <c r="M248" s="161"/>
      <c r="N248" s="161"/>
      <c r="O248" s="161"/>
      <c r="P248" s="161"/>
      <c r="Q248" s="161"/>
      <c r="R248" s="161"/>
      <c r="S248" s="161"/>
      <c r="T248" s="161"/>
      <c r="U248" s="161"/>
      <c r="V248" s="161"/>
      <c r="W248" s="161"/>
      <c r="X248" s="161"/>
      <c r="Y248" s="161"/>
      <c r="Z248" s="161"/>
      <c r="AA248" s="161"/>
      <c r="AB248" s="161"/>
    </row>
    <row r="249">
      <c r="A249" s="511"/>
      <c r="B249" s="161"/>
      <c r="C249" s="161"/>
      <c r="D249" s="161"/>
      <c r="E249" s="161"/>
      <c r="F249" s="161"/>
      <c r="G249" s="161"/>
      <c r="H249" s="161"/>
      <c r="I249" s="161"/>
      <c r="J249" s="161"/>
      <c r="K249" s="511"/>
      <c r="L249" s="511"/>
      <c r="M249" s="161"/>
      <c r="N249" s="161"/>
      <c r="O249" s="161"/>
      <c r="P249" s="161"/>
      <c r="Q249" s="161"/>
      <c r="R249" s="161"/>
      <c r="S249" s="161"/>
      <c r="T249" s="161"/>
      <c r="U249" s="161"/>
      <c r="V249" s="161"/>
      <c r="W249" s="161"/>
      <c r="X249" s="161"/>
      <c r="Y249" s="161"/>
      <c r="Z249" s="161"/>
      <c r="AA249" s="161"/>
      <c r="AB249" s="161"/>
    </row>
    <row r="250">
      <c r="A250" s="511"/>
      <c r="B250" s="161"/>
      <c r="C250" s="161"/>
      <c r="D250" s="161"/>
      <c r="E250" s="161"/>
      <c r="F250" s="161"/>
      <c r="G250" s="161"/>
      <c r="H250" s="161"/>
      <c r="I250" s="161"/>
      <c r="J250" s="161"/>
      <c r="K250" s="511"/>
      <c r="L250" s="511"/>
      <c r="M250" s="161"/>
      <c r="N250" s="161"/>
      <c r="O250" s="161"/>
      <c r="P250" s="161"/>
      <c r="Q250" s="161"/>
      <c r="R250" s="161"/>
      <c r="S250" s="161"/>
      <c r="T250" s="161"/>
      <c r="U250" s="161"/>
      <c r="V250" s="161"/>
      <c r="W250" s="161"/>
      <c r="X250" s="161"/>
      <c r="Y250" s="161"/>
      <c r="Z250" s="161"/>
      <c r="AA250" s="161"/>
      <c r="AB250" s="161"/>
    </row>
    <row r="251">
      <c r="A251" s="511"/>
      <c r="B251" s="161"/>
      <c r="C251" s="161"/>
      <c r="D251" s="161"/>
      <c r="E251" s="161"/>
      <c r="F251" s="161"/>
      <c r="G251" s="161"/>
      <c r="H251" s="161"/>
      <c r="I251" s="161"/>
      <c r="J251" s="161"/>
      <c r="K251" s="511"/>
      <c r="L251" s="511"/>
      <c r="M251" s="161"/>
      <c r="N251" s="161"/>
      <c r="O251" s="161"/>
      <c r="P251" s="161"/>
      <c r="Q251" s="161"/>
      <c r="R251" s="161"/>
      <c r="S251" s="161"/>
      <c r="T251" s="161"/>
      <c r="U251" s="161"/>
      <c r="V251" s="161"/>
      <c r="W251" s="161"/>
      <c r="X251" s="161"/>
      <c r="Y251" s="161"/>
      <c r="Z251" s="161"/>
      <c r="AA251" s="161"/>
      <c r="AB251" s="161"/>
    </row>
    <row r="252">
      <c r="A252" s="511"/>
      <c r="B252" s="161"/>
      <c r="C252" s="161"/>
      <c r="D252" s="161"/>
      <c r="E252" s="161"/>
      <c r="F252" s="161"/>
      <c r="G252" s="161"/>
      <c r="H252" s="161"/>
      <c r="I252" s="161"/>
      <c r="J252" s="161"/>
      <c r="K252" s="511"/>
      <c r="L252" s="511"/>
      <c r="M252" s="161"/>
      <c r="N252" s="161"/>
      <c r="O252" s="161"/>
      <c r="P252" s="161"/>
      <c r="Q252" s="161"/>
      <c r="R252" s="161"/>
      <c r="S252" s="161"/>
      <c r="T252" s="161"/>
      <c r="U252" s="161"/>
      <c r="V252" s="161"/>
      <c r="W252" s="161"/>
      <c r="X252" s="161"/>
      <c r="Y252" s="161"/>
      <c r="Z252" s="161"/>
      <c r="AA252" s="161"/>
      <c r="AB252" s="161"/>
    </row>
    <row r="253">
      <c r="A253" s="511"/>
      <c r="B253" s="161"/>
      <c r="C253" s="161"/>
      <c r="D253" s="161"/>
      <c r="E253" s="161"/>
      <c r="F253" s="161"/>
      <c r="G253" s="161"/>
      <c r="H253" s="161"/>
      <c r="I253" s="161"/>
      <c r="J253" s="161"/>
      <c r="K253" s="511"/>
      <c r="L253" s="511"/>
      <c r="M253" s="161"/>
      <c r="N253" s="161"/>
      <c r="O253" s="161"/>
      <c r="P253" s="161"/>
      <c r="Q253" s="161"/>
      <c r="R253" s="161"/>
      <c r="S253" s="161"/>
      <c r="T253" s="161"/>
      <c r="U253" s="161"/>
      <c r="V253" s="161"/>
      <c r="W253" s="161"/>
      <c r="X253" s="161"/>
      <c r="Y253" s="161"/>
      <c r="Z253" s="161"/>
      <c r="AA253" s="161"/>
      <c r="AB253" s="161"/>
    </row>
    <row r="254">
      <c r="A254" s="511"/>
      <c r="B254" s="161"/>
      <c r="C254" s="161"/>
      <c r="D254" s="161"/>
      <c r="E254" s="161"/>
      <c r="F254" s="161"/>
      <c r="G254" s="161"/>
      <c r="H254" s="161"/>
      <c r="I254" s="161"/>
      <c r="J254" s="161"/>
      <c r="K254" s="511"/>
      <c r="L254" s="511"/>
      <c r="M254" s="161"/>
      <c r="N254" s="161"/>
      <c r="O254" s="161"/>
      <c r="P254" s="161"/>
      <c r="Q254" s="161"/>
      <c r="R254" s="161"/>
      <c r="S254" s="161"/>
      <c r="T254" s="161"/>
      <c r="U254" s="161"/>
      <c r="V254" s="161"/>
      <c r="W254" s="161"/>
      <c r="X254" s="161"/>
      <c r="Y254" s="161"/>
      <c r="Z254" s="161"/>
      <c r="AA254" s="161"/>
      <c r="AB254" s="161"/>
    </row>
    <row r="255">
      <c r="A255" s="511"/>
      <c r="B255" s="161"/>
      <c r="C255" s="161"/>
      <c r="D255" s="161"/>
      <c r="E255" s="161"/>
      <c r="F255" s="161"/>
      <c r="G255" s="161"/>
      <c r="H255" s="161"/>
      <c r="I255" s="161"/>
      <c r="J255" s="161"/>
      <c r="K255" s="511"/>
      <c r="L255" s="511"/>
      <c r="M255" s="161"/>
      <c r="N255" s="161"/>
      <c r="O255" s="161"/>
      <c r="P255" s="161"/>
      <c r="Q255" s="161"/>
      <c r="R255" s="161"/>
      <c r="S255" s="161"/>
      <c r="T255" s="161"/>
      <c r="U255" s="161"/>
      <c r="V255" s="161"/>
      <c r="W255" s="161"/>
      <c r="X255" s="161"/>
      <c r="Y255" s="161"/>
      <c r="Z255" s="161"/>
      <c r="AA255" s="161"/>
      <c r="AB255" s="161"/>
    </row>
    <row r="256">
      <c r="A256" s="511"/>
      <c r="B256" s="161"/>
      <c r="C256" s="161"/>
      <c r="D256" s="161"/>
      <c r="E256" s="161"/>
      <c r="F256" s="161"/>
      <c r="G256" s="161"/>
      <c r="H256" s="161"/>
      <c r="I256" s="161"/>
      <c r="J256" s="161"/>
      <c r="K256" s="511"/>
      <c r="L256" s="511"/>
      <c r="M256" s="161"/>
      <c r="N256" s="161"/>
      <c r="O256" s="161"/>
      <c r="P256" s="161"/>
      <c r="Q256" s="161"/>
      <c r="R256" s="161"/>
      <c r="S256" s="161"/>
      <c r="T256" s="161"/>
      <c r="U256" s="161"/>
      <c r="V256" s="161"/>
      <c r="W256" s="161"/>
      <c r="X256" s="161"/>
      <c r="Y256" s="161"/>
      <c r="Z256" s="161"/>
      <c r="AA256" s="161"/>
      <c r="AB256" s="161"/>
    </row>
    <row r="257">
      <c r="A257" s="511"/>
      <c r="B257" s="161"/>
      <c r="C257" s="161"/>
      <c r="D257" s="161"/>
      <c r="E257" s="161"/>
      <c r="F257" s="161"/>
      <c r="G257" s="161"/>
      <c r="H257" s="161"/>
      <c r="I257" s="161"/>
      <c r="J257" s="161"/>
      <c r="K257" s="511"/>
      <c r="L257" s="511"/>
      <c r="M257" s="161"/>
      <c r="N257" s="161"/>
      <c r="O257" s="161"/>
      <c r="P257" s="161"/>
      <c r="Q257" s="161"/>
      <c r="R257" s="161"/>
      <c r="S257" s="161"/>
      <c r="T257" s="161"/>
      <c r="U257" s="161"/>
      <c r="V257" s="161"/>
      <c r="W257" s="161"/>
      <c r="X257" s="161"/>
      <c r="Y257" s="161"/>
      <c r="Z257" s="161"/>
      <c r="AA257" s="161"/>
      <c r="AB257" s="161"/>
    </row>
    <row r="258">
      <c r="A258" s="511"/>
      <c r="B258" s="161"/>
      <c r="C258" s="161"/>
      <c r="D258" s="161"/>
      <c r="E258" s="161"/>
      <c r="F258" s="161"/>
      <c r="G258" s="161"/>
      <c r="H258" s="161"/>
      <c r="I258" s="161"/>
      <c r="J258" s="161"/>
      <c r="K258" s="511"/>
      <c r="L258" s="511"/>
      <c r="M258" s="161"/>
      <c r="N258" s="161"/>
      <c r="O258" s="161"/>
      <c r="P258" s="161"/>
      <c r="Q258" s="161"/>
      <c r="R258" s="161"/>
      <c r="S258" s="161"/>
      <c r="T258" s="161"/>
      <c r="U258" s="161"/>
      <c r="V258" s="161"/>
      <c r="W258" s="161"/>
      <c r="X258" s="161"/>
      <c r="Y258" s="161"/>
      <c r="Z258" s="161"/>
      <c r="AA258" s="161"/>
      <c r="AB258" s="161"/>
    </row>
    <row r="259">
      <c r="A259" s="511"/>
      <c r="B259" s="161"/>
      <c r="C259" s="161"/>
      <c r="D259" s="161"/>
      <c r="E259" s="161"/>
      <c r="F259" s="161"/>
      <c r="G259" s="161"/>
      <c r="H259" s="161"/>
      <c r="I259" s="161"/>
      <c r="J259" s="161"/>
      <c r="K259" s="511"/>
      <c r="L259" s="511"/>
      <c r="M259" s="161"/>
      <c r="N259" s="161"/>
      <c r="O259" s="161"/>
      <c r="P259" s="161"/>
      <c r="Q259" s="161"/>
      <c r="R259" s="161"/>
      <c r="S259" s="161"/>
      <c r="T259" s="161"/>
      <c r="U259" s="161"/>
      <c r="V259" s="161"/>
      <c r="W259" s="161"/>
      <c r="X259" s="161"/>
      <c r="Y259" s="161"/>
      <c r="Z259" s="161"/>
      <c r="AA259" s="161"/>
      <c r="AB259" s="161"/>
    </row>
    <row r="260">
      <c r="A260" s="511"/>
      <c r="B260" s="161"/>
      <c r="C260" s="161"/>
      <c r="D260" s="161"/>
      <c r="E260" s="161"/>
      <c r="F260" s="161"/>
      <c r="G260" s="161"/>
      <c r="H260" s="161"/>
      <c r="I260" s="161"/>
      <c r="J260" s="161"/>
      <c r="K260" s="511"/>
      <c r="L260" s="511"/>
      <c r="M260" s="161"/>
      <c r="N260" s="161"/>
      <c r="O260" s="161"/>
      <c r="P260" s="161"/>
      <c r="Q260" s="161"/>
      <c r="R260" s="161"/>
      <c r="S260" s="161"/>
      <c r="T260" s="161"/>
      <c r="U260" s="161"/>
      <c r="V260" s="161"/>
      <c r="W260" s="161"/>
      <c r="X260" s="161"/>
      <c r="Y260" s="161"/>
      <c r="Z260" s="161"/>
      <c r="AA260" s="161"/>
      <c r="AB260" s="161"/>
    </row>
    <row r="261">
      <c r="A261" s="511"/>
      <c r="B261" s="161"/>
      <c r="C261" s="161"/>
      <c r="D261" s="161"/>
      <c r="E261" s="161"/>
      <c r="F261" s="161"/>
      <c r="G261" s="161"/>
      <c r="H261" s="161"/>
      <c r="I261" s="161"/>
      <c r="J261" s="161"/>
      <c r="K261" s="511"/>
      <c r="L261" s="511"/>
      <c r="M261" s="161"/>
      <c r="N261" s="161"/>
      <c r="O261" s="161"/>
      <c r="P261" s="161"/>
      <c r="Q261" s="161"/>
      <c r="R261" s="161"/>
      <c r="S261" s="161"/>
      <c r="T261" s="161"/>
      <c r="U261" s="161"/>
      <c r="V261" s="161"/>
      <c r="W261" s="161"/>
      <c r="X261" s="161"/>
      <c r="Y261" s="161"/>
      <c r="Z261" s="161"/>
      <c r="AA261" s="161"/>
      <c r="AB261" s="161"/>
    </row>
    <row r="262">
      <c r="A262" s="511"/>
      <c r="B262" s="161"/>
      <c r="C262" s="161"/>
      <c r="D262" s="161"/>
      <c r="E262" s="161"/>
      <c r="F262" s="161"/>
      <c r="G262" s="161"/>
      <c r="H262" s="161"/>
      <c r="I262" s="161"/>
      <c r="J262" s="161"/>
      <c r="K262" s="511"/>
      <c r="L262" s="511"/>
      <c r="M262" s="161"/>
      <c r="N262" s="161"/>
      <c r="O262" s="161"/>
      <c r="P262" s="161"/>
      <c r="Q262" s="161"/>
      <c r="R262" s="161"/>
      <c r="S262" s="161"/>
      <c r="T262" s="161"/>
      <c r="U262" s="161"/>
      <c r="V262" s="161"/>
      <c r="W262" s="161"/>
      <c r="X262" s="161"/>
      <c r="Y262" s="161"/>
      <c r="Z262" s="161"/>
      <c r="AA262" s="161"/>
      <c r="AB262" s="161"/>
    </row>
    <row r="263">
      <c r="A263" s="511"/>
      <c r="B263" s="161"/>
      <c r="C263" s="161"/>
      <c r="D263" s="161"/>
      <c r="E263" s="161"/>
      <c r="F263" s="161"/>
      <c r="G263" s="161"/>
      <c r="H263" s="161"/>
      <c r="I263" s="161"/>
      <c r="J263" s="161"/>
      <c r="K263" s="511"/>
      <c r="L263" s="511"/>
      <c r="M263" s="161"/>
      <c r="N263" s="161"/>
      <c r="O263" s="161"/>
      <c r="P263" s="161"/>
      <c r="Q263" s="161"/>
      <c r="R263" s="161"/>
      <c r="S263" s="161"/>
      <c r="T263" s="161"/>
      <c r="U263" s="161"/>
      <c r="V263" s="161"/>
      <c r="W263" s="161"/>
      <c r="X263" s="161"/>
      <c r="Y263" s="161"/>
      <c r="Z263" s="161"/>
      <c r="AA263" s="161"/>
      <c r="AB263" s="161"/>
    </row>
    <row r="264">
      <c r="A264" s="511"/>
      <c r="B264" s="161"/>
      <c r="C264" s="161"/>
      <c r="D264" s="161"/>
      <c r="E264" s="161"/>
      <c r="F264" s="161"/>
      <c r="G264" s="161"/>
      <c r="H264" s="161"/>
      <c r="I264" s="161"/>
      <c r="J264" s="161"/>
      <c r="K264" s="511"/>
      <c r="L264" s="511"/>
      <c r="M264" s="161"/>
      <c r="N264" s="161"/>
      <c r="O264" s="161"/>
      <c r="P264" s="161"/>
      <c r="Q264" s="161"/>
      <c r="R264" s="161"/>
      <c r="S264" s="161"/>
      <c r="T264" s="161"/>
      <c r="U264" s="161"/>
      <c r="V264" s="161"/>
      <c r="W264" s="161"/>
      <c r="X264" s="161"/>
      <c r="Y264" s="161"/>
      <c r="Z264" s="161"/>
      <c r="AA264" s="161"/>
      <c r="AB264" s="161"/>
    </row>
    <row r="265">
      <c r="A265" s="511"/>
      <c r="B265" s="161"/>
      <c r="C265" s="161"/>
      <c r="D265" s="161"/>
      <c r="E265" s="161"/>
      <c r="F265" s="161"/>
      <c r="G265" s="161"/>
      <c r="H265" s="161"/>
      <c r="I265" s="161"/>
      <c r="J265" s="161"/>
      <c r="K265" s="511"/>
      <c r="L265" s="511"/>
      <c r="M265" s="161"/>
      <c r="N265" s="161"/>
      <c r="O265" s="161"/>
      <c r="P265" s="161"/>
      <c r="Q265" s="161"/>
      <c r="R265" s="161"/>
      <c r="S265" s="161"/>
      <c r="T265" s="161"/>
      <c r="U265" s="161"/>
      <c r="V265" s="161"/>
      <c r="W265" s="161"/>
      <c r="X265" s="161"/>
      <c r="Y265" s="161"/>
      <c r="Z265" s="161"/>
      <c r="AA265" s="161"/>
      <c r="AB265" s="161"/>
    </row>
    <row r="266">
      <c r="A266" s="511"/>
      <c r="B266" s="161"/>
      <c r="C266" s="161"/>
      <c r="D266" s="161"/>
      <c r="E266" s="161"/>
      <c r="F266" s="161"/>
      <c r="G266" s="161"/>
      <c r="H266" s="161"/>
      <c r="I266" s="161"/>
      <c r="J266" s="161"/>
      <c r="K266" s="511"/>
      <c r="L266" s="511"/>
      <c r="M266" s="161"/>
      <c r="N266" s="161"/>
      <c r="O266" s="161"/>
      <c r="P266" s="161"/>
      <c r="Q266" s="161"/>
      <c r="R266" s="161"/>
      <c r="S266" s="161"/>
      <c r="T266" s="161"/>
      <c r="U266" s="161"/>
      <c r="V266" s="161"/>
      <c r="W266" s="161"/>
      <c r="X266" s="161"/>
      <c r="Y266" s="161"/>
      <c r="Z266" s="161"/>
      <c r="AA266" s="161"/>
      <c r="AB266" s="161"/>
    </row>
    <row r="267">
      <c r="A267" s="511"/>
      <c r="B267" s="161"/>
      <c r="C267" s="161"/>
      <c r="D267" s="161"/>
      <c r="E267" s="161"/>
      <c r="F267" s="161"/>
      <c r="G267" s="161"/>
      <c r="H267" s="161"/>
      <c r="I267" s="161"/>
      <c r="J267" s="161"/>
      <c r="K267" s="511"/>
      <c r="L267" s="511"/>
      <c r="M267" s="161"/>
      <c r="N267" s="161"/>
      <c r="O267" s="161"/>
      <c r="P267" s="161"/>
      <c r="Q267" s="161"/>
      <c r="R267" s="161"/>
      <c r="S267" s="161"/>
      <c r="T267" s="161"/>
      <c r="U267" s="161"/>
      <c r="V267" s="161"/>
      <c r="W267" s="161"/>
      <c r="X267" s="161"/>
      <c r="Y267" s="161"/>
      <c r="Z267" s="161"/>
      <c r="AA267" s="161"/>
      <c r="AB267" s="161"/>
    </row>
    <row r="268">
      <c r="A268" s="511"/>
      <c r="B268" s="161"/>
      <c r="C268" s="161"/>
      <c r="D268" s="161"/>
      <c r="E268" s="161"/>
      <c r="F268" s="161"/>
      <c r="G268" s="161"/>
      <c r="H268" s="161"/>
      <c r="I268" s="161"/>
      <c r="J268" s="161"/>
      <c r="K268" s="511"/>
      <c r="L268" s="511"/>
      <c r="M268" s="161"/>
      <c r="N268" s="161"/>
      <c r="O268" s="161"/>
      <c r="P268" s="161"/>
      <c r="Q268" s="161"/>
      <c r="R268" s="161"/>
      <c r="S268" s="161"/>
      <c r="T268" s="161"/>
      <c r="U268" s="161"/>
      <c r="V268" s="161"/>
      <c r="W268" s="161"/>
      <c r="X268" s="161"/>
      <c r="Y268" s="161"/>
      <c r="Z268" s="161"/>
      <c r="AA268" s="161"/>
      <c r="AB268" s="161"/>
    </row>
    <row r="269">
      <c r="A269" s="511"/>
      <c r="B269" s="161"/>
      <c r="C269" s="161"/>
      <c r="D269" s="161"/>
      <c r="E269" s="161"/>
      <c r="F269" s="161"/>
      <c r="G269" s="161"/>
      <c r="H269" s="161"/>
      <c r="I269" s="161"/>
      <c r="J269" s="161"/>
      <c r="K269" s="511"/>
      <c r="L269" s="511"/>
      <c r="M269" s="161"/>
      <c r="N269" s="161"/>
      <c r="O269" s="161"/>
      <c r="P269" s="161"/>
      <c r="Q269" s="161"/>
      <c r="R269" s="161"/>
      <c r="S269" s="161"/>
      <c r="T269" s="161"/>
      <c r="U269" s="161"/>
      <c r="V269" s="161"/>
      <c r="W269" s="161"/>
      <c r="X269" s="161"/>
      <c r="Y269" s="161"/>
      <c r="Z269" s="161"/>
      <c r="AA269" s="161"/>
      <c r="AB269" s="161"/>
    </row>
    <row r="270">
      <c r="A270" s="511"/>
      <c r="B270" s="161"/>
      <c r="C270" s="161"/>
      <c r="D270" s="161"/>
      <c r="E270" s="161"/>
      <c r="F270" s="161"/>
      <c r="G270" s="161"/>
      <c r="H270" s="161"/>
      <c r="I270" s="161"/>
      <c r="J270" s="161"/>
      <c r="K270" s="511"/>
      <c r="L270" s="511"/>
      <c r="M270" s="161"/>
      <c r="N270" s="161"/>
      <c r="O270" s="161"/>
      <c r="P270" s="161"/>
      <c r="Q270" s="161"/>
      <c r="R270" s="161"/>
      <c r="S270" s="161"/>
      <c r="T270" s="161"/>
      <c r="U270" s="161"/>
      <c r="V270" s="161"/>
      <c r="W270" s="161"/>
      <c r="X270" s="161"/>
      <c r="Y270" s="161"/>
      <c r="Z270" s="161"/>
      <c r="AA270" s="161"/>
      <c r="AB270" s="161"/>
    </row>
    <row r="271">
      <c r="A271" s="511"/>
      <c r="B271" s="161"/>
      <c r="C271" s="161"/>
      <c r="D271" s="161"/>
      <c r="E271" s="161"/>
      <c r="F271" s="161"/>
      <c r="G271" s="161"/>
      <c r="H271" s="161"/>
      <c r="I271" s="161"/>
      <c r="J271" s="161"/>
      <c r="K271" s="511"/>
      <c r="L271" s="511"/>
      <c r="M271" s="161"/>
      <c r="N271" s="161"/>
      <c r="O271" s="161"/>
      <c r="P271" s="161"/>
      <c r="Q271" s="161"/>
      <c r="R271" s="161"/>
      <c r="S271" s="161"/>
      <c r="T271" s="161"/>
      <c r="U271" s="161"/>
      <c r="V271" s="161"/>
      <c r="W271" s="161"/>
      <c r="X271" s="161"/>
      <c r="Y271" s="161"/>
      <c r="Z271" s="161"/>
      <c r="AA271" s="161"/>
      <c r="AB271" s="161"/>
    </row>
    <row r="272">
      <c r="A272" s="511"/>
      <c r="B272" s="161"/>
      <c r="C272" s="161"/>
      <c r="D272" s="161"/>
      <c r="E272" s="161"/>
      <c r="F272" s="161"/>
      <c r="G272" s="161"/>
      <c r="H272" s="161"/>
      <c r="I272" s="161"/>
      <c r="J272" s="161"/>
      <c r="K272" s="511"/>
      <c r="L272" s="511"/>
      <c r="M272" s="161"/>
      <c r="N272" s="161"/>
      <c r="O272" s="161"/>
      <c r="P272" s="161"/>
      <c r="Q272" s="161"/>
      <c r="R272" s="161"/>
      <c r="S272" s="161"/>
      <c r="T272" s="161"/>
      <c r="U272" s="161"/>
      <c r="V272" s="161"/>
      <c r="W272" s="161"/>
      <c r="X272" s="161"/>
      <c r="Y272" s="161"/>
      <c r="Z272" s="161"/>
      <c r="AA272" s="161"/>
      <c r="AB272" s="161"/>
    </row>
    <row r="273">
      <c r="A273" s="511"/>
      <c r="B273" s="161"/>
      <c r="C273" s="161"/>
      <c r="D273" s="161"/>
      <c r="E273" s="161"/>
      <c r="F273" s="161"/>
      <c r="G273" s="161"/>
      <c r="H273" s="161"/>
      <c r="I273" s="161"/>
      <c r="J273" s="161"/>
      <c r="K273" s="511"/>
      <c r="L273" s="511"/>
      <c r="M273" s="161"/>
      <c r="N273" s="161"/>
      <c r="O273" s="161"/>
      <c r="P273" s="161"/>
      <c r="Q273" s="161"/>
      <c r="R273" s="161"/>
      <c r="S273" s="161"/>
      <c r="T273" s="161"/>
      <c r="U273" s="161"/>
      <c r="V273" s="161"/>
      <c r="W273" s="161"/>
      <c r="X273" s="161"/>
      <c r="Y273" s="161"/>
      <c r="Z273" s="161"/>
      <c r="AA273" s="161"/>
      <c r="AB273" s="161"/>
    </row>
    <row r="274">
      <c r="A274" s="511"/>
      <c r="B274" s="161"/>
      <c r="C274" s="161"/>
      <c r="D274" s="161"/>
      <c r="E274" s="161"/>
      <c r="F274" s="161"/>
      <c r="G274" s="161"/>
      <c r="H274" s="161"/>
      <c r="I274" s="161"/>
      <c r="J274" s="161"/>
      <c r="K274" s="511"/>
      <c r="L274" s="511"/>
      <c r="M274" s="161"/>
      <c r="N274" s="161"/>
      <c r="O274" s="161"/>
      <c r="P274" s="161"/>
      <c r="Q274" s="161"/>
      <c r="R274" s="161"/>
      <c r="S274" s="161"/>
      <c r="T274" s="161"/>
      <c r="U274" s="161"/>
      <c r="V274" s="161"/>
      <c r="W274" s="161"/>
      <c r="X274" s="161"/>
      <c r="Y274" s="161"/>
      <c r="Z274" s="161"/>
      <c r="AA274" s="161"/>
      <c r="AB274" s="161"/>
    </row>
    <row r="275">
      <c r="A275" s="511"/>
      <c r="B275" s="161"/>
      <c r="C275" s="161"/>
      <c r="D275" s="161"/>
      <c r="E275" s="161"/>
      <c r="F275" s="161"/>
      <c r="G275" s="161"/>
      <c r="H275" s="161"/>
      <c r="I275" s="161"/>
      <c r="J275" s="161"/>
      <c r="K275" s="511"/>
      <c r="L275" s="511"/>
      <c r="M275" s="161"/>
      <c r="N275" s="161"/>
      <c r="O275" s="161"/>
      <c r="P275" s="161"/>
      <c r="Q275" s="161"/>
      <c r="R275" s="161"/>
      <c r="S275" s="161"/>
      <c r="T275" s="161"/>
      <c r="U275" s="161"/>
      <c r="V275" s="161"/>
      <c r="W275" s="161"/>
      <c r="X275" s="161"/>
      <c r="Y275" s="161"/>
      <c r="Z275" s="161"/>
      <c r="AA275" s="161"/>
      <c r="AB275" s="161"/>
    </row>
    <row r="276">
      <c r="A276" s="511"/>
      <c r="B276" s="161"/>
      <c r="C276" s="161"/>
      <c r="D276" s="161"/>
      <c r="E276" s="161"/>
      <c r="F276" s="161"/>
      <c r="G276" s="161"/>
      <c r="H276" s="161"/>
      <c r="I276" s="161"/>
      <c r="J276" s="161"/>
      <c r="K276" s="511"/>
      <c r="L276" s="511"/>
      <c r="M276" s="161"/>
      <c r="N276" s="161"/>
      <c r="O276" s="161"/>
      <c r="P276" s="161"/>
      <c r="Q276" s="161"/>
      <c r="R276" s="161"/>
      <c r="S276" s="161"/>
      <c r="T276" s="161"/>
      <c r="U276" s="161"/>
      <c r="V276" s="161"/>
      <c r="W276" s="161"/>
      <c r="X276" s="161"/>
      <c r="Y276" s="161"/>
      <c r="Z276" s="161"/>
      <c r="AA276" s="161"/>
      <c r="AB276" s="161"/>
    </row>
    <row r="277">
      <c r="A277" s="511"/>
      <c r="B277" s="161"/>
      <c r="C277" s="161"/>
      <c r="D277" s="161"/>
      <c r="E277" s="161"/>
      <c r="F277" s="161"/>
      <c r="G277" s="161"/>
      <c r="H277" s="161"/>
      <c r="I277" s="161"/>
      <c r="J277" s="161"/>
      <c r="K277" s="511"/>
      <c r="L277" s="511"/>
      <c r="M277" s="161"/>
      <c r="N277" s="161"/>
      <c r="O277" s="161"/>
      <c r="P277" s="161"/>
      <c r="Q277" s="161"/>
      <c r="R277" s="161"/>
      <c r="S277" s="161"/>
      <c r="T277" s="161"/>
      <c r="U277" s="161"/>
      <c r="V277" s="161"/>
      <c r="W277" s="161"/>
      <c r="X277" s="161"/>
      <c r="Y277" s="161"/>
      <c r="Z277" s="161"/>
      <c r="AA277" s="161"/>
      <c r="AB277" s="161"/>
    </row>
    <row r="278">
      <c r="A278" s="511"/>
      <c r="B278" s="161"/>
      <c r="C278" s="161"/>
      <c r="D278" s="161"/>
      <c r="E278" s="161"/>
      <c r="F278" s="161"/>
      <c r="G278" s="161"/>
      <c r="H278" s="161"/>
      <c r="I278" s="161"/>
      <c r="J278" s="161"/>
      <c r="K278" s="511"/>
      <c r="L278" s="511"/>
      <c r="M278" s="161"/>
      <c r="N278" s="161"/>
      <c r="O278" s="161"/>
      <c r="P278" s="161"/>
      <c r="Q278" s="161"/>
      <c r="R278" s="161"/>
      <c r="S278" s="161"/>
      <c r="T278" s="161"/>
      <c r="U278" s="161"/>
      <c r="V278" s="161"/>
      <c r="W278" s="161"/>
      <c r="X278" s="161"/>
      <c r="Y278" s="161"/>
      <c r="Z278" s="161"/>
      <c r="AA278" s="161"/>
      <c r="AB278" s="161"/>
    </row>
    <row r="279">
      <c r="A279" s="511"/>
      <c r="B279" s="161"/>
      <c r="C279" s="161"/>
      <c r="D279" s="161"/>
      <c r="E279" s="161"/>
      <c r="F279" s="161"/>
      <c r="G279" s="161"/>
      <c r="H279" s="161"/>
      <c r="I279" s="161"/>
      <c r="J279" s="161"/>
      <c r="K279" s="511"/>
      <c r="L279" s="511"/>
      <c r="M279" s="161"/>
      <c r="N279" s="161"/>
      <c r="O279" s="161"/>
      <c r="P279" s="161"/>
      <c r="Q279" s="161"/>
      <c r="R279" s="161"/>
      <c r="S279" s="161"/>
      <c r="T279" s="161"/>
      <c r="U279" s="161"/>
      <c r="V279" s="161"/>
      <c r="W279" s="161"/>
      <c r="X279" s="161"/>
      <c r="Y279" s="161"/>
      <c r="Z279" s="161"/>
      <c r="AA279" s="161"/>
      <c r="AB279" s="161"/>
    </row>
    <row r="280">
      <c r="A280" s="511"/>
      <c r="B280" s="161"/>
      <c r="C280" s="161"/>
      <c r="D280" s="161"/>
      <c r="E280" s="161"/>
      <c r="F280" s="161"/>
      <c r="G280" s="161"/>
      <c r="H280" s="161"/>
      <c r="I280" s="161"/>
      <c r="J280" s="161"/>
      <c r="K280" s="511"/>
      <c r="L280" s="511"/>
      <c r="M280" s="161"/>
      <c r="N280" s="161"/>
      <c r="O280" s="161"/>
      <c r="P280" s="161"/>
      <c r="Q280" s="161"/>
      <c r="R280" s="161"/>
      <c r="S280" s="161"/>
      <c r="T280" s="161"/>
      <c r="U280" s="161"/>
      <c r="V280" s="161"/>
      <c r="W280" s="161"/>
      <c r="X280" s="161"/>
      <c r="Y280" s="161"/>
      <c r="Z280" s="161"/>
      <c r="AA280" s="161"/>
      <c r="AB280" s="161"/>
    </row>
    <row r="281">
      <c r="A281" s="511"/>
      <c r="B281" s="161"/>
      <c r="C281" s="161"/>
      <c r="D281" s="161"/>
      <c r="E281" s="161"/>
      <c r="F281" s="161"/>
      <c r="G281" s="161"/>
      <c r="H281" s="161"/>
      <c r="I281" s="161"/>
      <c r="J281" s="161"/>
      <c r="K281" s="511"/>
      <c r="L281" s="511"/>
      <c r="M281" s="161"/>
      <c r="N281" s="161"/>
      <c r="O281" s="161"/>
      <c r="P281" s="161"/>
      <c r="Q281" s="161"/>
      <c r="R281" s="161"/>
      <c r="S281" s="161"/>
      <c r="T281" s="161"/>
      <c r="U281" s="161"/>
      <c r="V281" s="161"/>
      <c r="W281" s="161"/>
      <c r="X281" s="161"/>
      <c r="Y281" s="161"/>
      <c r="Z281" s="161"/>
      <c r="AA281" s="161"/>
      <c r="AB281" s="161"/>
    </row>
    <row r="282">
      <c r="A282" s="511"/>
      <c r="B282" s="161"/>
      <c r="C282" s="161"/>
      <c r="D282" s="161"/>
      <c r="E282" s="161"/>
      <c r="F282" s="161"/>
      <c r="G282" s="161"/>
      <c r="H282" s="161"/>
      <c r="I282" s="161"/>
      <c r="J282" s="161"/>
      <c r="K282" s="511"/>
      <c r="L282" s="511"/>
      <c r="M282" s="161"/>
      <c r="N282" s="161"/>
      <c r="O282" s="161"/>
      <c r="P282" s="161"/>
      <c r="Q282" s="161"/>
      <c r="R282" s="161"/>
      <c r="S282" s="161"/>
      <c r="T282" s="161"/>
      <c r="U282" s="161"/>
      <c r="V282" s="161"/>
      <c r="W282" s="161"/>
      <c r="X282" s="161"/>
      <c r="Y282" s="161"/>
      <c r="Z282" s="161"/>
      <c r="AA282" s="161"/>
      <c r="AB282" s="161"/>
    </row>
    <row r="283">
      <c r="A283" s="511"/>
      <c r="B283" s="161"/>
      <c r="C283" s="161"/>
      <c r="D283" s="161"/>
      <c r="E283" s="161"/>
      <c r="F283" s="161"/>
      <c r="G283" s="161"/>
      <c r="H283" s="161"/>
      <c r="I283" s="161"/>
      <c r="J283" s="161"/>
      <c r="K283" s="511"/>
      <c r="L283" s="511"/>
      <c r="M283" s="161"/>
      <c r="N283" s="161"/>
      <c r="O283" s="161"/>
      <c r="P283" s="161"/>
      <c r="Q283" s="161"/>
      <c r="R283" s="161"/>
      <c r="S283" s="161"/>
      <c r="T283" s="161"/>
      <c r="U283" s="161"/>
      <c r="V283" s="161"/>
      <c r="W283" s="161"/>
      <c r="X283" s="161"/>
      <c r="Y283" s="161"/>
      <c r="Z283" s="161"/>
      <c r="AA283" s="161"/>
      <c r="AB283" s="161"/>
    </row>
    <row r="284">
      <c r="A284" s="511"/>
      <c r="B284" s="161"/>
      <c r="C284" s="161"/>
      <c r="D284" s="161"/>
      <c r="E284" s="161"/>
      <c r="F284" s="161"/>
      <c r="G284" s="161"/>
      <c r="H284" s="161"/>
      <c r="I284" s="161"/>
      <c r="J284" s="161"/>
      <c r="K284" s="511"/>
      <c r="L284" s="511"/>
      <c r="M284" s="161"/>
      <c r="N284" s="161"/>
      <c r="O284" s="161"/>
      <c r="P284" s="161"/>
      <c r="Q284" s="161"/>
      <c r="R284" s="161"/>
      <c r="S284" s="161"/>
      <c r="T284" s="161"/>
      <c r="U284" s="161"/>
      <c r="V284" s="161"/>
      <c r="W284" s="161"/>
      <c r="X284" s="161"/>
      <c r="Y284" s="161"/>
      <c r="Z284" s="161"/>
      <c r="AA284" s="161"/>
      <c r="AB284" s="161"/>
    </row>
    <row r="285">
      <c r="A285" s="511"/>
      <c r="B285" s="161"/>
      <c r="C285" s="161"/>
      <c r="D285" s="161"/>
      <c r="E285" s="161"/>
      <c r="F285" s="161"/>
      <c r="G285" s="161"/>
      <c r="H285" s="161"/>
      <c r="I285" s="161"/>
      <c r="J285" s="161"/>
      <c r="K285" s="511"/>
      <c r="L285" s="511"/>
      <c r="M285" s="161"/>
      <c r="N285" s="161"/>
      <c r="O285" s="161"/>
      <c r="P285" s="161"/>
      <c r="Q285" s="161"/>
      <c r="R285" s="161"/>
      <c r="S285" s="161"/>
      <c r="T285" s="161"/>
      <c r="U285" s="161"/>
      <c r="V285" s="161"/>
      <c r="W285" s="161"/>
      <c r="X285" s="161"/>
      <c r="Y285" s="161"/>
      <c r="Z285" s="161"/>
      <c r="AA285" s="161"/>
      <c r="AB285" s="161"/>
    </row>
    <row r="286">
      <c r="A286" s="511"/>
      <c r="B286" s="161"/>
      <c r="C286" s="161"/>
      <c r="D286" s="161"/>
      <c r="E286" s="161"/>
      <c r="F286" s="161"/>
      <c r="G286" s="161"/>
      <c r="H286" s="161"/>
      <c r="I286" s="161"/>
      <c r="J286" s="161"/>
      <c r="K286" s="511"/>
      <c r="L286" s="511"/>
      <c r="M286" s="161"/>
      <c r="N286" s="161"/>
      <c r="O286" s="161"/>
      <c r="P286" s="161"/>
      <c r="Q286" s="161"/>
      <c r="R286" s="161"/>
      <c r="S286" s="161"/>
      <c r="T286" s="161"/>
      <c r="U286" s="161"/>
      <c r="V286" s="161"/>
      <c r="W286" s="161"/>
      <c r="X286" s="161"/>
      <c r="Y286" s="161"/>
      <c r="Z286" s="161"/>
      <c r="AA286" s="161"/>
      <c r="AB286" s="161"/>
    </row>
    <row r="287">
      <c r="A287" s="511"/>
      <c r="B287" s="161"/>
      <c r="C287" s="161"/>
      <c r="D287" s="161"/>
      <c r="E287" s="161"/>
      <c r="F287" s="161"/>
      <c r="G287" s="161"/>
      <c r="H287" s="161"/>
      <c r="I287" s="161"/>
      <c r="J287" s="161"/>
      <c r="K287" s="511"/>
      <c r="L287" s="511"/>
      <c r="M287" s="161"/>
      <c r="N287" s="161"/>
      <c r="O287" s="161"/>
      <c r="P287" s="161"/>
      <c r="Q287" s="161"/>
      <c r="R287" s="161"/>
      <c r="S287" s="161"/>
      <c r="T287" s="161"/>
      <c r="U287" s="161"/>
      <c r="V287" s="161"/>
      <c r="W287" s="161"/>
      <c r="X287" s="161"/>
      <c r="Y287" s="161"/>
      <c r="Z287" s="161"/>
      <c r="AA287" s="161"/>
      <c r="AB287" s="161"/>
    </row>
    <row r="288">
      <c r="A288" s="511"/>
      <c r="B288" s="161"/>
      <c r="C288" s="161"/>
      <c r="D288" s="161"/>
      <c r="E288" s="161"/>
      <c r="F288" s="161"/>
      <c r="G288" s="161"/>
      <c r="H288" s="161"/>
      <c r="I288" s="161"/>
      <c r="J288" s="161"/>
      <c r="K288" s="511"/>
      <c r="L288" s="511"/>
      <c r="M288" s="161"/>
      <c r="N288" s="161"/>
      <c r="O288" s="161"/>
      <c r="P288" s="161"/>
      <c r="Q288" s="161"/>
      <c r="R288" s="161"/>
      <c r="S288" s="161"/>
      <c r="T288" s="161"/>
      <c r="U288" s="161"/>
      <c r="V288" s="161"/>
      <c r="W288" s="161"/>
      <c r="X288" s="161"/>
      <c r="Y288" s="161"/>
      <c r="Z288" s="161"/>
      <c r="AA288" s="161"/>
      <c r="AB288" s="161"/>
    </row>
    <row r="289">
      <c r="A289" s="511"/>
      <c r="B289" s="161"/>
      <c r="C289" s="161"/>
      <c r="D289" s="161"/>
      <c r="E289" s="161"/>
      <c r="F289" s="161"/>
      <c r="G289" s="161"/>
      <c r="H289" s="161"/>
      <c r="I289" s="161"/>
      <c r="J289" s="161"/>
      <c r="K289" s="511"/>
      <c r="L289" s="511"/>
      <c r="M289" s="161"/>
      <c r="N289" s="161"/>
      <c r="O289" s="161"/>
      <c r="P289" s="161"/>
      <c r="Q289" s="161"/>
      <c r="R289" s="161"/>
      <c r="S289" s="161"/>
      <c r="T289" s="161"/>
      <c r="U289" s="161"/>
      <c r="V289" s="161"/>
      <c r="W289" s="161"/>
      <c r="X289" s="161"/>
      <c r="Y289" s="161"/>
      <c r="Z289" s="161"/>
      <c r="AA289" s="161"/>
      <c r="AB289" s="161"/>
    </row>
    <row r="290">
      <c r="A290" s="511"/>
      <c r="B290" s="161"/>
      <c r="C290" s="161"/>
      <c r="D290" s="161"/>
      <c r="E290" s="161"/>
      <c r="F290" s="161"/>
      <c r="G290" s="161"/>
      <c r="H290" s="161"/>
      <c r="I290" s="161"/>
      <c r="J290" s="161"/>
      <c r="K290" s="511"/>
      <c r="L290" s="511"/>
      <c r="M290" s="161"/>
      <c r="N290" s="161"/>
      <c r="O290" s="161"/>
      <c r="P290" s="161"/>
      <c r="Q290" s="161"/>
      <c r="R290" s="161"/>
      <c r="S290" s="161"/>
      <c r="T290" s="161"/>
      <c r="U290" s="161"/>
      <c r="V290" s="161"/>
      <c r="W290" s="161"/>
      <c r="X290" s="161"/>
      <c r="Y290" s="161"/>
      <c r="Z290" s="161"/>
      <c r="AA290" s="161"/>
      <c r="AB290" s="161"/>
    </row>
    <row r="291">
      <c r="A291" s="511"/>
      <c r="B291" s="161"/>
      <c r="C291" s="161"/>
      <c r="D291" s="161"/>
      <c r="E291" s="161"/>
      <c r="F291" s="161"/>
      <c r="G291" s="161"/>
      <c r="H291" s="161"/>
      <c r="I291" s="161"/>
      <c r="J291" s="161"/>
      <c r="K291" s="511"/>
      <c r="L291" s="511"/>
      <c r="M291" s="161"/>
      <c r="N291" s="161"/>
      <c r="O291" s="161"/>
      <c r="P291" s="161"/>
      <c r="Q291" s="161"/>
      <c r="R291" s="161"/>
      <c r="S291" s="161"/>
      <c r="T291" s="161"/>
      <c r="U291" s="161"/>
      <c r="V291" s="161"/>
      <c r="W291" s="161"/>
      <c r="X291" s="161"/>
      <c r="Y291" s="161"/>
      <c r="Z291" s="161"/>
      <c r="AA291" s="161"/>
      <c r="AB291" s="161"/>
    </row>
    <row r="292">
      <c r="A292" s="511"/>
      <c r="B292" s="161"/>
      <c r="C292" s="161"/>
      <c r="D292" s="161"/>
      <c r="E292" s="161"/>
      <c r="F292" s="161"/>
      <c r="G292" s="161"/>
      <c r="H292" s="161"/>
      <c r="I292" s="161"/>
      <c r="J292" s="161"/>
      <c r="K292" s="511"/>
      <c r="L292" s="511"/>
      <c r="M292" s="161"/>
      <c r="N292" s="161"/>
      <c r="O292" s="161"/>
      <c r="P292" s="161"/>
      <c r="Q292" s="161"/>
      <c r="R292" s="161"/>
      <c r="S292" s="161"/>
      <c r="T292" s="161"/>
      <c r="U292" s="161"/>
      <c r="V292" s="161"/>
      <c r="W292" s="161"/>
      <c r="X292" s="161"/>
      <c r="Y292" s="161"/>
      <c r="Z292" s="161"/>
      <c r="AA292" s="161"/>
      <c r="AB292" s="161"/>
    </row>
    <row r="293">
      <c r="A293" s="511"/>
      <c r="B293" s="161"/>
      <c r="C293" s="161"/>
      <c r="D293" s="161"/>
      <c r="E293" s="161"/>
      <c r="F293" s="161"/>
      <c r="G293" s="161"/>
      <c r="H293" s="161"/>
      <c r="I293" s="161"/>
      <c r="J293" s="161"/>
      <c r="K293" s="511"/>
      <c r="L293" s="511"/>
      <c r="M293" s="161"/>
      <c r="N293" s="161"/>
      <c r="O293" s="161"/>
      <c r="P293" s="161"/>
      <c r="Q293" s="161"/>
      <c r="R293" s="161"/>
      <c r="S293" s="161"/>
      <c r="T293" s="161"/>
      <c r="U293" s="161"/>
      <c r="V293" s="161"/>
      <c r="W293" s="161"/>
      <c r="X293" s="161"/>
      <c r="Y293" s="161"/>
      <c r="Z293" s="161"/>
      <c r="AA293" s="161"/>
      <c r="AB293" s="161"/>
    </row>
    <row r="294">
      <c r="A294" s="511"/>
      <c r="B294" s="161"/>
      <c r="C294" s="161"/>
      <c r="D294" s="161"/>
      <c r="E294" s="161"/>
      <c r="F294" s="161"/>
      <c r="G294" s="161"/>
      <c r="H294" s="161"/>
      <c r="I294" s="161"/>
      <c r="J294" s="161"/>
      <c r="K294" s="511"/>
      <c r="L294" s="511"/>
      <c r="M294" s="161"/>
      <c r="N294" s="161"/>
      <c r="O294" s="161"/>
      <c r="P294" s="161"/>
      <c r="Q294" s="161"/>
      <c r="R294" s="161"/>
      <c r="S294" s="161"/>
      <c r="T294" s="161"/>
      <c r="U294" s="161"/>
      <c r="V294" s="161"/>
      <c r="W294" s="161"/>
      <c r="X294" s="161"/>
      <c r="Y294" s="161"/>
      <c r="Z294" s="161"/>
      <c r="AA294" s="161"/>
      <c r="AB294" s="161"/>
    </row>
    <row r="295">
      <c r="A295" s="511"/>
      <c r="B295" s="161"/>
      <c r="C295" s="161"/>
      <c r="D295" s="161"/>
      <c r="E295" s="161"/>
      <c r="F295" s="161"/>
      <c r="G295" s="161"/>
      <c r="H295" s="161"/>
      <c r="I295" s="161"/>
      <c r="J295" s="161"/>
      <c r="K295" s="511"/>
      <c r="L295" s="511"/>
      <c r="M295" s="161"/>
      <c r="N295" s="161"/>
      <c r="O295" s="161"/>
      <c r="P295" s="161"/>
      <c r="Q295" s="161"/>
      <c r="R295" s="161"/>
      <c r="S295" s="161"/>
      <c r="T295" s="161"/>
      <c r="U295" s="161"/>
      <c r="V295" s="161"/>
      <c r="W295" s="161"/>
      <c r="X295" s="161"/>
      <c r="Y295" s="161"/>
      <c r="Z295" s="161"/>
      <c r="AA295" s="161"/>
      <c r="AB295" s="161"/>
    </row>
    <row r="296">
      <c r="A296" s="511"/>
      <c r="B296" s="161"/>
      <c r="C296" s="161"/>
      <c r="D296" s="161"/>
      <c r="E296" s="161"/>
      <c r="F296" s="161"/>
      <c r="G296" s="161"/>
      <c r="H296" s="161"/>
      <c r="I296" s="161"/>
      <c r="J296" s="161"/>
      <c r="K296" s="511"/>
      <c r="L296" s="511"/>
      <c r="M296" s="161"/>
      <c r="N296" s="161"/>
      <c r="O296" s="161"/>
      <c r="P296" s="161"/>
      <c r="Q296" s="161"/>
      <c r="R296" s="161"/>
      <c r="S296" s="161"/>
      <c r="T296" s="161"/>
      <c r="U296" s="161"/>
      <c r="V296" s="161"/>
      <c r="W296" s="161"/>
      <c r="X296" s="161"/>
      <c r="Y296" s="161"/>
      <c r="Z296" s="161"/>
      <c r="AA296" s="161"/>
      <c r="AB296" s="161"/>
    </row>
    <row r="297">
      <c r="A297" s="511"/>
      <c r="B297" s="161"/>
      <c r="C297" s="161"/>
      <c r="D297" s="161"/>
      <c r="E297" s="161"/>
      <c r="F297" s="161"/>
      <c r="G297" s="161"/>
      <c r="H297" s="161"/>
      <c r="I297" s="161"/>
      <c r="J297" s="161"/>
      <c r="K297" s="511"/>
      <c r="L297" s="511"/>
      <c r="M297" s="161"/>
      <c r="N297" s="161"/>
      <c r="O297" s="161"/>
      <c r="P297" s="161"/>
      <c r="Q297" s="161"/>
      <c r="R297" s="161"/>
      <c r="S297" s="161"/>
      <c r="T297" s="161"/>
      <c r="U297" s="161"/>
      <c r="V297" s="161"/>
      <c r="W297" s="161"/>
      <c r="X297" s="161"/>
      <c r="Y297" s="161"/>
      <c r="Z297" s="161"/>
      <c r="AA297" s="161"/>
      <c r="AB297" s="161"/>
    </row>
    <row r="298">
      <c r="A298" s="511"/>
      <c r="B298" s="161"/>
      <c r="C298" s="161"/>
      <c r="D298" s="161"/>
      <c r="E298" s="161"/>
      <c r="F298" s="161"/>
      <c r="G298" s="161"/>
      <c r="H298" s="161"/>
      <c r="I298" s="161"/>
      <c r="J298" s="161"/>
      <c r="K298" s="511"/>
      <c r="L298" s="511"/>
      <c r="M298" s="161"/>
      <c r="N298" s="161"/>
      <c r="O298" s="161"/>
      <c r="P298" s="161"/>
      <c r="Q298" s="161"/>
      <c r="R298" s="161"/>
      <c r="S298" s="161"/>
      <c r="T298" s="161"/>
      <c r="U298" s="161"/>
      <c r="V298" s="161"/>
      <c r="W298" s="161"/>
      <c r="X298" s="161"/>
      <c r="Y298" s="161"/>
      <c r="Z298" s="161"/>
      <c r="AA298" s="161"/>
      <c r="AB298" s="161"/>
    </row>
    <row r="299">
      <c r="A299" s="511"/>
      <c r="B299" s="161"/>
      <c r="C299" s="161"/>
      <c r="D299" s="161"/>
      <c r="E299" s="161"/>
      <c r="F299" s="161"/>
      <c r="G299" s="161"/>
      <c r="H299" s="161"/>
      <c r="I299" s="161"/>
      <c r="J299" s="161"/>
      <c r="K299" s="511"/>
      <c r="L299" s="511"/>
      <c r="M299" s="161"/>
      <c r="N299" s="161"/>
      <c r="O299" s="161"/>
      <c r="P299" s="161"/>
      <c r="Q299" s="161"/>
      <c r="R299" s="161"/>
      <c r="S299" s="161"/>
      <c r="T299" s="161"/>
      <c r="U299" s="161"/>
      <c r="V299" s="161"/>
      <c r="W299" s="161"/>
      <c r="X299" s="161"/>
      <c r="Y299" s="161"/>
      <c r="Z299" s="161"/>
      <c r="AA299" s="161"/>
      <c r="AB299" s="161"/>
    </row>
    <row r="300">
      <c r="A300" s="511"/>
      <c r="B300" s="161"/>
      <c r="C300" s="161"/>
      <c r="D300" s="161"/>
      <c r="E300" s="161"/>
      <c r="F300" s="161"/>
      <c r="G300" s="161"/>
      <c r="H300" s="161"/>
      <c r="I300" s="161"/>
      <c r="J300" s="161"/>
      <c r="K300" s="511"/>
      <c r="L300" s="511"/>
      <c r="M300" s="161"/>
      <c r="N300" s="161"/>
      <c r="O300" s="161"/>
      <c r="P300" s="161"/>
      <c r="Q300" s="161"/>
      <c r="R300" s="161"/>
      <c r="S300" s="161"/>
      <c r="T300" s="161"/>
      <c r="U300" s="161"/>
      <c r="V300" s="161"/>
      <c r="W300" s="161"/>
      <c r="X300" s="161"/>
      <c r="Y300" s="161"/>
      <c r="Z300" s="161"/>
      <c r="AA300" s="161"/>
      <c r="AB300" s="161"/>
    </row>
    <row r="301">
      <c r="A301" s="511"/>
      <c r="B301" s="161"/>
      <c r="C301" s="161"/>
      <c r="D301" s="161"/>
      <c r="E301" s="161"/>
      <c r="F301" s="161"/>
      <c r="G301" s="161"/>
      <c r="H301" s="161"/>
      <c r="I301" s="161"/>
      <c r="J301" s="161"/>
      <c r="K301" s="511"/>
      <c r="L301" s="511"/>
      <c r="M301" s="161"/>
      <c r="N301" s="161"/>
      <c r="O301" s="161"/>
      <c r="P301" s="161"/>
      <c r="Q301" s="161"/>
      <c r="R301" s="161"/>
      <c r="S301" s="161"/>
      <c r="T301" s="161"/>
      <c r="U301" s="161"/>
      <c r="V301" s="161"/>
      <c r="W301" s="161"/>
      <c r="X301" s="161"/>
      <c r="Y301" s="161"/>
      <c r="Z301" s="161"/>
      <c r="AA301" s="161"/>
      <c r="AB301" s="161"/>
    </row>
    <row r="302">
      <c r="A302" s="511"/>
      <c r="B302" s="161"/>
      <c r="C302" s="161"/>
      <c r="D302" s="161"/>
      <c r="E302" s="161"/>
      <c r="F302" s="161"/>
      <c r="G302" s="161"/>
      <c r="H302" s="161"/>
      <c r="I302" s="161"/>
      <c r="J302" s="161"/>
      <c r="K302" s="511"/>
      <c r="L302" s="511"/>
      <c r="M302" s="161"/>
      <c r="N302" s="161"/>
      <c r="O302" s="161"/>
      <c r="P302" s="161"/>
      <c r="Q302" s="161"/>
      <c r="R302" s="161"/>
      <c r="S302" s="161"/>
      <c r="T302" s="161"/>
      <c r="U302" s="161"/>
      <c r="V302" s="161"/>
      <c r="W302" s="161"/>
      <c r="X302" s="161"/>
      <c r="Y302" s="161"/>
      <c r="Z302" s="161"/>
      <c r="AA302" s="161"/>
      <c r="AB302" s="161"/>
    </row>
    <row r="303">
      <c r="A303" s="511"/>
      <c r="B303" s="161"/>
      <c r="C303" s="161"/>
      <c r="D303" s="161"/>
      <c r="E303" s="161"/>
      <c r="F303" s="161"/>
      <c r="G303" s="161"/>
      <c r="H303" s="161"/>
      <c r="I303" s="161"/>
      <c r="J303" s="161"/>
      <c r="K303" s="511"/>
      <c r="L303" s="511"/>
      <c r="M303" s="161"/>
      <c r="N303" s="161"/>
      <c r="O303" s="161"/>
      <c r="P303" s="161"/>
      <c r="Q303" s="161"/>
      <c r="R303" s="161"/>
      <c r="S303" s="161"/>
      <c r="T303" s="161"/>
      <c r="U303" s="161"/>
      <c r="V303" s="161"/>
      <c r="W303" s="161"/>
      <c r="X303" s="161"/>
      <c r="Y303" s="161"/>
      <c r="Z303" s="161"/>
      <c r="AA303" s="161"/>
      <c r="AB303" s="161"/>
    </row>
    <row r="304">
      <c r="A304" s="511"/>
      <c r="B304" s="161"/>
      <c r="C304" s="161"/>
      <c r="D304" s="161"/>
      <c r="E304" s="161"/>
      <c r="F304" s="161"/>
      <c r="G304" s="161"/>
      <c r="H304" s="161"/>
      <c r="I304" s="161"/>
      <c r="J304" s="161"/>
      <c r="K304" s="511"/>
      <c r="L304" s="511"/>
      <c r="M304" s="161"/>
      <c r="N304" s="161"/>
      <c r="O304" s="161"/>
      <c r="P304" s="161"/>
      <c r="Q304" s="161"/>
      <c r="R304" s="161"/>
      <c r="S304" s="161"/>
      <c r="T304" s="161"/>
      <c r="U304" s="161"/>
      <c r="V304" s="161"/>
      <c r="W304" s="161"/>
      <c r="X304" s="161"/>
      <c r="Y304" s="161"/>
      <c r="Z304" s="161"/>
      <c r="AA304" s="161"/>
      <c r="AB304" s="161"/>
    </row>
    <row r="305">
      <c r="A305" s="511"/>
      <c r="B305" s="161"/>
      <c r="C305" s="161"/>
      <c r="D305" s="161"/>
      <c r="E305" s="161"/>
      <c r="F305" s="161"/>
      <c r="G305" s="161"/>
      <c r="H305" s="161"/>
      <c r="I305" s="161"/>
      <c r="J305" s="161"/>
      <c r="K305" s="511"/>
      <c r="L305" s="511"/>
      <c r="M305" s="161"/>
      <c r="N305" s="161"/>
      <c r="O305" s="161"/>
      <c r="P305" s="161"/>
      <c r="Q305" s="161"/>
      <c r="R305" s="161"/>
      <c r="S305" s="161"/>
      <c r="T305" s="161"/>
      <c r="U305" s="161"/>
      <c r="V305" s="161"/>
      <c r="W305" s="161"/>
      <c r="X305" s="161"/>
      <c r="Y305" s="161"/>
      <c r="Z305" s="161"/>
      <c r="AA305" s="161"/>
      <c r="AB305" s="161"/>
    </row>
    <row r="306">
      <c r="A306" s="511"/>
      <c r="B306" s="161"/>
      <c r="C306" s="161"/>
      <c r="D306" s="161"/>
      <c r="E306" s="161"/>
      <c r="F306" s="161"/>
      <c r="G306" s="161"/>
      <c r="H306" s="161"/>
      <c r="I306" s="161"/>
      <c r="J306" s="161"/>
      <c r="K306" s="511"/>
      <c r="L306" s="511"/>
      <c r="M306" s="161"/>
      <c r="N306" s="161"/>
      <c r="O306" s="161"/>
      <c r="P306" s="161"/>
      <c r="Q306" s="161"/>
      <c r="R306" s="161"/>
      <c r="S306" s="161"/>
      <c r="T306" s="161"/>
      <c r="U306" s="161"/>
      <c r="V306" s="161"/>
      <c r="W306" s="161"/>
      <c r="X306" s="161"/>
      <c r="Y306" s="161"/>
      <c r="Z306" s="161"/>
      <c r="AA306" s="161"/>
      <c r="AB306" s="161"/>
    </row>
    <row r="307">
      <c r="A307" s="511"/>
      <c r="B307" s="161"/>
      <c r="C307" s="161"/>
      <c r="D307" s="161"/>
      <c r="E307" s="161"/>
      <c r="F307" s="161"/>
      <c r="G307" s="161"/>
      <c r="H307" s="161"/>
      <c r="I307" s="161"/>
      <c r="J307" s="161"/>
      <c r="K307" s="511"/>
      <c r="L307" s="511"/>
      <c r="M307" s="161"/>
      <c r="N307" s="161"/>
      <c r="O307" s="161"/>
      <c r="P307" s="161"/>
      <c r="Q307" s="161"/>
      <c r="R307" s="161"/>
      <c r="S307" s="161"/>
      <c r="T307" s="161"/>
      <c r="U307" s="161"/>
      <c r="V307" s="161"/>
      <c r="W307" s="161"/>
      <c r="X307" s="161"/>
      <c r="Y307" s="161"/>
      <c r="Z307" s="161"/>
      <c r="AA307" s="161"/>
      <c r="AB307" s="161"/>
    </row>
    <row r="308">
      <c r="A308" s="511"/>
      <c r="B308" s="161"/>
      <c r="C308" s="161"/>
      <c r="D308" s="161"/>
      <c r="E308" s="161"/>
      <c r="F308" s="161"/>
      <c r="G308" s="161"/>
      <c r="H308" s="161"/>
      <c r="I308" s="161"/>
      <c r="J308" s="161"/>
      <c r="K308" s="511"/>
      <c r="L308" s="511"/>
      <c r="M308" s="161"/>
      <c r="N308" s="161"/>
      <c r="O308" s="161"/>
      <c r="P308" s="161"/>
      <c r="Q308" s="161"/>
      <c r="R308" s="161"/>
      <c r="S308" s="161"/>
      <c r="T308" s="161"/>
      <c r="U308" s="161"/>
      <c r="V308" s="161"/>
      <c r="W308" s="161"/>
      <c r="X308" s="161"/>
      <c r="Y308" s="161"/>
      <c r="Z308" s="161"/>
      <c r="AA308" s="161"/>
      <c r="AB308" s="161"/>
    </row>
    <row r="309">
      <c r="A309" s="511"/>
      <c r="B309" s="161"/>
      <c r="C309" s="161"/>
      <c r="D309" s="161"/>
      <c r="E309" s="161"/>
      <c r="F309" s="161"/>
      <c r="G309" s="161"/>
      <c r="H309" s="161"/>
      <c r="I309" s="161"/>
      <c r="J309" s="161"/>
      <c r="K309" s="511"/>
      <c r="L309" s="511"/>
      <c r="M309" s="161"/>
      <c r="N309" s="161"/>
      <c r="O309" s="161"/>
      <c r="P309" s="161"/>
      <c r="Q309" s="161"/>
      <c r="R309" s="161"/>
      <c r="S309" s="161"/>
      <c r="T309" s="161"/>
      <c r="U309" s="161"/>
      <c r="V309" s="161"/>
      <c r="W309" s="161"/>
      <c r="X309" s="161"/>
      <c r="Y309" s="161"/>
      <c r="Z309" s="161"/>
      <c r="AA309" s="161"/>
      <c r="AB309" s="161"/>
    </row>
    <row r="310">
      <c r="A310" s="511"/>
      <c r="B310" s="161"/>
      <c r="C310" s="161"/>
      <c r="D310" s="161"/>
      <c r="E310" s="161"/>
      <c r="F310" s="161"/>
      <c r="G310" s="161"/>
      <c r="H310" s="161"/>
      <c r="I310" s="161"/>
      <c r="J310" s="161"/>
      <c r="K310" s="511"/>
      <c r="L310" s="511"/>
      <c r="M310" s="161"/>
      <c r="N310" s="161"/>
      <c r="O310" s="161"/>
      <c r="P310" s="161"/>
      <c r="Q310" s="161"/>
      <c r="R310" s="161"/>
      <c r="S310" s="161"/>
      <c r="T310" s="161"/>
      <c r="U310" s="161"/>
      <c r="V310" s="161"/>
      <c r="W310" s="161"/>
      <c r="X310" s="161"/>
      <c r="Y310" s="161"/>
      <c r="Z310" s="161"/>
      <c r="AA310" s="161"/>
      <c r="AB310" s="161"/>
    </row>
    <row r="311">
      <c r="A311" s="511"/>
      <c r="B311" s="161"/>
      <c r="C311" s="161"/>
      <c r="D311" s="161"/>
      <c r="E311" s="161"/>
      <c r="F311" s="161"/>
      <c r="G311" s="161"/>
      <c r="H311" s="161"/>
      <c r="I311" s="161"/>
      <c r="J311" s="161"/>
      <c r="K311" s="511"/>
      <c r="L311" s="511"/>
      <c r="M311" s="161"/>
      <c r="N311" s="161"/>
      <c r="O311" s="161"/>
      <c r="P311" s="161"/>
      <c r="Q311" s="161"/>
      <c r="R311" s="161"/>
      <c r="S311" s="161"/>
      <c r="T311" s="161"/>
      <c r="U311" s="161"/>
      <c r="V311" s="161"/>
      <c r="W311" s="161"/>
      <c r="X311" s="161"/>
      <c r="Y311" s="161"/>
      <c r="Z311" s="161"/>
      <c r="AA311" s="161"/>
      <c r="AB311" s="161"/>
    </row>
    <row r="312">
      <c r="A312" s="511"/>
      <c r="B312" s="161"/>
      <c r="C312" s="161"/>
      <c r="D312" s="161"/>
      <c r="E312" s="161"/>
      <c r="F312" s="161"/>
      <c r="G312" s="161"/>
      <c r="H312" s="161"/>
      <c r="I312" s="161"/>
      <c r="J312" s="161"/>
      <c r="K312" s="511"/>
      <c r="L312" s="511"/>
      <c r="M312" s="161"/>
      <c r="N312" s="161"/>
      <c r="O312" s="161"/>
      <c r="P312" s="161"/>
      <c r="Q312" s="161"/>
      <c r="R312" s="161"/>
      <c r="S312" s="161"/>
      <c r="T312" s="161"/>
      <c r="U312" s="161"/>
      <c r="V312" s="161"/>
      <c r="W312" s="161"/>
      <c r="X312" s="161"/>
      <c r="Y312" s="161"/>
      <c r="Z312" s="161"/>
      <c r="AA312" s="161"/>
      <c r="AB312" s="161"/>
    </row>
    <row r="313">
      <c r="A313" s="511"/>
      <c r="B313" s="161"/>
      <c r="C313" s="161"/>
      <c r="D313" s="161"/>
      <c r="E313" s="161"/>
      <c r="F313" s="161"/>
      <c r="G313" s="161"/>
      <c r="H313" s="161"/>
      <c r="I313" s="161"/>
      <c r="J313" s="161"/>
      <c r="K313" s="511"/>
      <c r="L313" s="511"/>
      <c r="M313" s="161"/>
      <c r="N313" s="161"/>
      <c r="O313" s="161"/>
      <c r="P313" s="161"/>
      <c r="Q313" s="161"/>
      <c r="R313" s="161"/>
      <c r="S313" s="161"/>
      <c r="T313" s="161"/>
      <c r="U313" s="161"/>
      <c r="V313" s="161"/>
      <c r="W313" s="161"/>
      <c r="X313" s="161"/>
      <c r="Y313" s="161"/>
      <c r="Z313" s="161"/>
      <c r="AA313" s="161"/>
      <c r="AB313" s="161"/>
    </row>
    <row r="314">
      <c r="A314" s="511"/>
      <c r="B314" s="161"/>
      <c r="C314" s="161"/>
      <c r="D314" s="161"/>
      <c r="E314" s="161"/>
      <c r="F314" s="161"/>
      <c r="G314" s="161"/>
      <c r="H314" s="161"/>
      <c r="I314" s="161"/>
      <c r="J314" s="161"/>
      <c r="K314" s="511"/>
      <c r="L314" s="511"/>
      <c r="M314" s="161"/>
      <c r="N314" s="161"/>
      <c r="O314" s="161"/>
      <c r="P314" s="161"/>
      <c r="Q314" s="161"/>
      <c r="R314" s="161"/>
      <c r="S314" s="161"/>
      <c r="T314" s="161"/>
      <c r="U314" s="161"/>
      <c r="V314" s="161"/>
      <c r="W314" s="161"/>
      <c r="X314" s="161"/>
      <c r="Y314" s="161"/>
      <c r="Z314" s="161"/>
      <c r="AA314" s="161"/>
      <c r="AB314" s="161"/>
    </row>
    <row r="315">
      <c r="A315" s="511"/>
      <c r="B315" s="161"/>
      <c r="C315" s="161"/>
      <c r="D315" s="161"/>
      <c r="E315" s="161"/>
      <c r="F315" s="161"/>
      <c r="G315" s="161"/>
      <c r="H315" s="161"/>
      <c r="I315" s="161"/>
      <c r="J315" s="161"/>
      <c r="K315" s="511"/>
      <c r="L315" s="511"/>
      <c r="M315" s="161"/>
      <c r="N315" s="161"/>
      <c r="O315" s="161"/>
      <c r="P315" s="161"/>
      <c r="Q315" s="161"/>
      <c r="R315" s="161"/>
      <c r="S315" s="161"/>
      <c r="T315" s="161"/>
      <c r="U315" s="161"/>
      <c r="V315" s="161"/>
      <c r="W315" s="161"/>
      <c r="X315" s="161"/>
      <c r="Y315" s="161"/>
      <c r="Z315" s="161"/>
      <c r="AA315" s="161"/>
      <c r="AB315" s="161"/>
    </row>
    <row r="316">
      <c r="A316" s="511"/>
      <c r="B316" s="161"/>
      <c r="C316" s="161"/>
      <c r="D316" s="161"/>
      <c r="E316" s="161"/>
      <c r="F316" s="161"/>
      <c r="G316" s="161"/>
      <c r="H316" s="161"/>
      <c r="I316" s="161"/>
      <c r="J316" s="161"/>
      <c r="K316" s="511"/>
      <c r="L316" s="511"/>
      <c r="M316" s="161"/>
      <c r="N316" s="161"/>
      <c r="O316" s="161"/>
      <c r="P316" s="161"/>
      <c r="Q316" s="161"/>
      <c r="R316" s="161"/>
      <c r="S316" s="161"/>
      <c r="T316" s="161"/>
      <c r="U316" s="161"/>
      <c r="V316" s="161"/>
      <c r="W316" s="161"/>
      <c r="X316" s="161"/>
      <c r="Y316" s="161"/>
      <c r="Z316" s="161"/>
      <c r="AA316" s="161"/>
      <c r="AB316" s="161"/>
    </row>
    <row r="317">
      <c r="A317" s="511"/>
      <c r="B317" s="161"/>
      <c r="C317" s="161"/>
      <c r="D317" s="161"/>
      <c r="E317" s="161"/>
      <c r="F317" s="161"/>
      <c r="G317" s="161"/>
      <c r="H317" s="161"/>
      <c r="I317" s="161"/>
      <c r="J317" s="161"/>
      <c r="K317" s="511"/>
      <c r="L317" s="511"/>
      <c r="M317" s="161"/>
      <c r="N317" s="161"/>
      <c r="O317" s="161"/>
      <c r="P317" s="161"/>
      <c r="Q317" s="161"/>
      <c r="R317" s="161"/>
      <c r="S317" s="161"/>
      <c r="T317" s="161"/>
      <c r="U317" s="161"/>
      <c r="V317" s="161"/>
      <c r="W317" s="161"/>
      <c r="X317" s="161"/>
      <c r="Y317" s="161"/>
      <c r="Z317" s="161"/>
      <c r="AA317" s="161"/>
      <c r="AB317" s="161"/>
    </row>
    <row r="318">
      <c r="A318" s="511"/>
      <c r="B318" s="161"/>
      <c r="C318" s="161"/>
      <c r="D318" s="161"/>
      <c r="E318" s="161"/>
      <c r="F318" s="161"/>
      <c r="G318" s="161"/>
      <c r="H318" s="161"/>
      <c r="I318" s="161"/>
      <c r="J318" s="161"/>
      <c r="K318" s="511"/>
      <c r="L318" s="511"/>
      <c r="M318" s="161"/>
      <c r="N318" s="161"/>
      <c r="O318" s="161"/>
      <c r="P318" s="161"/>
      <c r="Q318" s="161"/>
      <c r="R318" s="161"/>
      <c r="S318" s="161"/>
      <c r="T318" s="161"/>
      <c r="U318" s="161"/>
      <c r="V318" s="161"/>
      <c r="W318" s="161"/>
      <c r="X318" s="161"/>
      <c r="Y318" s="161"/>
      <c r="Z318" s="161"/>
      <c r="AA318" s="161"/>
      <c r="AB318" s="161"/>
    </row>
    <row r="319">
      <c r="A319" s="511"/>
      <c r="B319" s="161"/>
      <c r="C319" s="161"/>
      <c r="D319" s="161"/>
      <c r="E319" s="161"/>
      <c r="F319" s="161"/>
      <c r="G319" s="161"/>
      <c r="H319" s="161"/>
      <c r="I319" s="161"/>
      <c r="J319" s="161"/>
      <c r="K319" s="511"/>
      <c r="L319" s="511"/>
      <c r="M319" s="161"/>
      <c r="N319" s="161"/>
      <c r="O319" s="161"/>
      <c r="P319" s="161"/>
      <c r="Q319" s="161"/>
      <c r="R319" s="161"/>
      <c r="S319" s="161"/>
      <c r="T319" s="161"/>
      <c r="U319" s="161"/>
      <c r="V319" s="161"/>
      <c r="W319" s="161"/>
      <c r="X319" s="161"/>
      <c r="Y319" s="161"/>
      <c r="Z319" s="161"/>
      <c r="AA319" s="161"/>
      <c r="AB319" s="161"/>
    </row>
    <row r="320">
      <c r="A320" s="511"/>
      <c r="B320" s="161"/>
      <c r="C320" s="161"/>
      <c r="D320" s="161"/>
      <c r="E320" s="161"/>
      <c r="F320" s="161"/>
      <c r="G320" s="161"/>
      <c r="H320" s="161"/>
      <c r="I320" s="161"/>
      <c r="J320" s="161"/>
      <c r="K320" s="511"/>
      <c r="L320" s="511"/>
      <c r="M320" s="161"/>
      <c r="N320" s="161"/>
      <c r="O320" s="161"/>
      <c r="P320" s="161"/>
      <c r="Q320" s="161"/>
      <c r="R320" s="161"/>
      <c r="S320" s="161"/>
      <c r="T320" s="161"/>
      <c r="U320" s="161"/>
      <c r="V320" s="161"/>
      <c r="W320" s="161"/>
      <c r="X320" s="161"/>
      <c r="Y320" s="161"/>
      <c r="Z320" s="161"/>
      <c r="AA320" s="161"/>
      <c r="AB320" s="161"/>
    </row>
    <row r="321">
      <c r="A321" s="511"/>
      <c r="B321" s="161"/>
      <c r="C321" s="161"/>
      <c r="D321" s="161"/>
      <c r="E321" s="161"/>
      <c r="F321" s="161"/>
      <c r="G321" s="161"/>
      <c r="H321" s="161"/>
      <c r="I321" s="161"/>
      <c r="J321" s="161"/>
      <c r="K321" s="511"/>
      <c r="L321" s="511"/>
      <c r="M321" s="161"/>
      <c r="N321" s="161"/>
      <c r="O321" s="161"/>
      <c r="P321" s="161"/>
      <c r="Q321" s="161"/>
      <c r="R321" s="161"/>
      <c r="S321" s="161"/>
      <c r="T321" s="161"/>
      <c r="U321" s="161"/>
      <c r="V321" s="161"/>
      <c r="W321" s="161"/>
      <c r="X321" s="161"/>
      <c r="Y321" s="161"/>
      <c r="Z321" s="161"/>
      <c r="AA321" s="161"/>
      <c r="AB321" s="161"/>
    </row>
    <row r="322">
      <c r="A322" s="511"/>
      <c r="B322" s="161"/>
      <c r="C322" s="161"/>
      <c r="D322" s="161"/>
      <c r="E322" s="161"/>
      <c r="F322" s="161"/>
      <c r="G322" s="161"/>
      <c r="H322" s="161"/>
      <c r="I322" s="161"/>
      <c r="J322" s="161"/>
      <c r="K322" s="511"/>
      <c r="L322" s="511"/>
      <c r="M322" s="161"/>
      <c r="N322" s="161"/>
      <c r="O322" s="161"/>
      <c r="P322" s="161"/>
      <c r="Q322" s="161"/>
      <c r="R322" s="161"/>
      <c r="S322" s="161"/>
      <c r="T322" s="161"/>
      <c r="U322" s="161"/>
      <c r="V322" s="161"/>
      <c r="W322" s="161"/>
      <c r="X322" s="161"/>
      <c r="Y322" s="161"/>
      <c r="Z322" s="161"/>
      <c r="AA322" s="161"/>
      <c r="AB322" s="161"/>
    </row>
    <row r="323">
      <c r="A323" s="511"/>
      <c r="B323" s="161"/>
      <c r="C323" s="161"/>
      <c r="D323" s="161"/>
      <c r="E323" s="161"/>
      <c r="F323" s="161"/>
      <c r="G323" s="161"/>
      <c r="H323" s="161"/>
      <c r="I323" s="161"/>
      <c r="J323" s="161"/>
      <c r="K323" s="511"/>
      <c r="L323" s="511"/>
      <c r="M323" s="161"/>
      <c r="N323" s="161"/>
      <c r="O323" s="161"/>
      <c r="P323" s="161"/>
      <c r="Q323" s="161"/>
      <c r="R323" s="161"/>
      <c r="S323" s="161"/>
      <c r="T323" s="161"/>
      <c r="U323" s="161"/>
      <c r="V323" s="161"/>
      <c r="W323" s="161"/>
      <c r="X323" s="161"/>
      <c r="Y323" s="161"/>
      <c r="Z323" s="161"/>
      <c r="AA323" s="161"/>
      <c r="AB323" s="161"/>
    </row>
    <row r="324">
      <c r="A324" s="511"/>
      <c r="B324" s="161"/>
      <c r="C324" s="161"/>
      <c r="D324" s="161"/>
      <c r="E324" s="161"/>
      <c r="F324" s="161"/>
      <c r="G324" s="161"/>
      <c r="H324" s="161"/>
      <c r="I324" s="161"/>
      <c r="J324" s="161"/>
      <c r="K324" s="511"/>
      <c r="L324" s="511"/>
      <c r="M324" s="161"/>
      <c r="N324" s="161"/>
      <c r="O324" s="161"/>
      <c r="P324" s="161"/>
      <c r="Q324" s="161"/>
      <c r="R324" s="161"/>
      <c r="S324" s="161"/>
      <c r="T324" s="161"/>
      <c r="U324" s="161"/>
      <c r="V324" s="161"/>
      <c r="W324" s="161"/>
      <c r="X324" s="161"/>
      <c r="Y324" s="161"/>
      <c r="Z324" s="161"/>
      <c r="AA324" s="161"/>
      <c r="AB324" s="161"/>
    </row>
    <row r="325">
      <c r="A325" s="511"/>
      <c r="B325" s="161"/>
      <c r="C325" s="161"/>
      <c r="D325" s="161"/>
      <c r="E325" s="161"/>
      <c r="F325" s="161"/>
      <c r="G325" s="161"/>
      <c r="H325" s="161"/>
      <c r="I325" s="161"/>
      <c r="J325" s="161"/>
      <c r="K325" s="511"/>
      <c r="L325" s="511"/>
      <c r="M325" s="161"/>
      <c r="N325" s="161"/>
      <c r="O325" s="161"/>
      <c r="P325" s="161"/>
      <c r="Q325" s="161"/>
      <c r="R325" s="161"/>
      <c r="S325" s="161"/>
      <c r="T325" s="161"/>
      <c r="U325" s="161"/>
      <c r="V325" s="161"/>
      <c r="W325" s="161"/>
      <c r="X325" s="161"/>
      <c r="Y325" s="161"/>
      <c r="Z325" s="161"/>
      <c r="AA325" s="161"/>
      <c r="AB325" s="161"/>
    </row>
    <row r="326">
      <c r="A326" s="511"/>
      <c r="B326" s="161"/>
      <c r="C326" s="161"/>
      <c r="D326" s="161"/>
      <c r="E326" s="161"/>
      <c r="F326" s="161"/>
      <c r="G326" s="161"/>
      <c r="H326" s="161"/>
      <c r="I326" s="161"/>
      <c r="J326" s="161"/>
      <c r="K326" s="511"/>
      <c r="L326" s="511"/>
      <c r="M326" s="161"/>
      <c r="N326" s="161"/>
      <c r="O326" s="161"/>
      <c r="P326" s="161"/>
      <c r="Q326" s="161"/>
      <c r="R326" s="161"/>
      <c r="S326" s="161"/>
      <c r="T326" s="161"/>
      <c r="U326" s="161"/>
      <c r="V326" s="161"/>
      <c r="W326" s="161"/>
      <c r="X326" s="161"/>
      <c r="Y326" s="161"/>
      <c r="Z326" s="161"/>
      <c r="AA326" s="161"/>
      <c r="AB326" s="161"/>
    </row>
    <row r="327">
      <c r="A327" s="511"/>
      <c r="B327" s="161"/>
      <c r="C327" s="161"/>
      <c r="D327" s="161"/>
      <c r="E327" s="161"/>
      <c r="F327" s="161"/>
      <c r="G327" s="161"/>
      <c r="H327" s="161"/>
      <c r="I327" s="161"/>
      <c r="J327" s="161"/>
      <c r="K327" s="511"/>
      <c r="L327" s="511"/>
      <c r="M327" s="161"/>
      <c r="N327" s="161"/>
      <c r="O327" s="161"/>
      <c r="P327" s="161"/>
      <c r="Q327" s="161"/>
      <c r="R327" s="161"/>
      <c r="S327" s="161"/>
      <c r="T327" s="161"/>
      <c r="U327" s="161"/>
      <c r="V327" s="161"/>
      <c r="W327" s="161"/>
      <c r="X327" s="161"/>
      <c r="Y327" s="161"/>
      <c r="Z327" s="161"/>
      <c r="AA327" s="161"/>
      <c r="AB327" s="161"/>
    </row>
    <row r="328">
      <c r="A328" s="511"/>
      <c r="B328" s="161"/>
      <c r="C328" s="161"/>
      <c r="D328" s="161"/>
      <c r="E328" s="161"/>
      <c r="F328" s="161"/>
      <c r="G328" s="161"/>
      <c r="H328" s="161"/>
      <c r="I328" s="161"/>
      <c r="J328" s="161"/>
      <c r="K328" s="511"/>
      <c r="L328" s="511"/>
      <c r="M328" s="161"/>
      <c r="N328" s="161"/>
      <c r="O328" s="161"/>
      <c r="P328" s="161"/>
      <c r="Q328" s="161"/>
      <c r="R328" s="161"/>
      <c r="S328" s="161"/>
      <c r="T328" s="161"/>
      <c r="U328" s="161"/>
      <c r="V328" s="161"/>
      <c r="W328" s="161"/>
      <c r="X328" s="161"/>
      <c r="Y328" s="161"/>
      <c r="Z328" s="161"/>
      <c r="AA328" s="161"/>
      <c r="AB328" s="161"/>
    </row>
    <row r="329">
      <c r="A329" s="511"/>
      <c r="B329" s="161"/>
      <c r="C329" s="161"/>
      <c r="D329" s="161"/>
      <c r="E329" s="161"/>
      <c r="F329" s="161"/>
      <c r="G329" s="161"/>
      <c r="H329" s="161"/>
      <c r="I329" s="161"/>
      <c r="J329" s="161"/>
      <c r="K329" s="511"/>
      <c r="L329" s="511"/>
      <c r="M329" s="161"/>
      <c r="N329" s="161"/>
      <c r="O329" s="161"/>
      <c r="P329" s="161"/>
      <c r="Q329" s="161"/>
      <c r="R329" s="161"/>
      <c r="S329" s="161"/>
      <c r="T329" s="161"/>
      <c r="U329" s="161"/>
      <c r="V329" s="161"/>
      <c r="W329" s="161"/>
      <c r="X329" s="161"/>
      <c r="Y329" s="161"/>
      <c r="Z329" s="161"/>
      <c r="AA329" s="161"/>
      <c r="AB329" s="161"/>
    </row>
    <row r="330">
      <c r="A330" s="511"/>
      <c r="B330" s="161"/>
      <c r="C330" s="161"/>
      <c r="D330" s="161"/>
      <c r="E330" s="161"/>
      <c r="F330" s="161"/>
      <c r="G330" s="161"/>
      <c r="H330" s="161"/>
      <c r="I330" s="161"/>
      <c r="J330" s="161"/>
      <c r="K330" s="511"/>
      <c r="L330" s="511"/>
      <c r="M330" s="161"/>
      <c r="N330" s="161"/>
      <c r="O330" s="161"/>
      <c r="P330" s="161"/>
      <c r="Q330" s="161"/>
      <c r="R330" s="161"/>
      <c r="S330" s="161"/>
      <c r="T330" s="161"/>
      <c r="U330" s="161"/>
      <c r="V330" s="161"/>
      <c r="W330" s="161"/>
      <c r="X330" s="161"/>
      <c r="Y330" s="161"/>
      <c r="Z330" s="161"/>
      <c r="AA330" s="161"/>
      <c r="AB330" s="161"/>
    </row>
    <row r="331">
      <c r="A331" s="511"/>
      <c r="B331" s="161"/>
      <c r="C331" s="161"/>
      <c r="D331" s="161"/>
      <c r="E331" s="161"/>
      <c r="F331" s="161"/>
      <c r="G331" s="161"/>
      <c r="H331" s="161"/>
      <c r="I331" s="161"/>
      <c r="J331" s="161"/>
      <c r="K331" s="511"/>
      <c r="L331" s="511"/>
      <c r="M331" s="161"/>
      <c r="N331" s="161"/>
      <c r="O331" s="161"/>
      <c r="P331" s="161"/>
      <c r="Q331" s="161"/>
      <c r="R331" s="161"/>
      <c r="S331" s="161"/>
      <c r="T331" s="161"/>
      <c r="U331" s="161"/>
      <c r="V331" s="161"/>
      <c r="W331" s="161"/>
      <c r="X331" s="161"/>
      <c r="Y331" s="161"/>
      <c r="Z331" s="161"/>
      <c r="AA331" s="161"/>
      <c r="AB331" s="161"/>
    </row>
    <row r="332">
      <c r="A332" s="511"/>
      <c r="B332" s="161"/>
      <c r="C332" s="161"/>
      <c r="D332" s="161"/>
      <c r="E332" s="161"/>
      <c r="F332" s="161"/>
      <c r="G332" s="161"/>
      <c r="H332" s="161"/>
      <c r="I332" s="161"/>
      <c r="J332" s="161"/>
      <c r="K332" s="511"/>
      <c r="L332" s="511"/>
      <c r="M332" s="161"/>
      <c r="N332" s="161"/>
      <c r="O332" s="161"/>
      <c r="P332" s="161"/>
      <c r="Q332" s="161"/>
      <c r="R332" s="161"/>
      <c r="S332" s="161"/>
      <c r="T332" s="161"/>
      <c r="U332" s="161"/>
      <c r="V332" s="161"/>
      <c r="W332" s="161"/>
      <c r="X332" s="161"/>
      <c r="Y332" s="161"/>
      <c r="Z332" s="161"/>
      <c r="AA332" s="161"/>
      <c r="AB332" s="161"/>
    </row>
    <row r="333">
      <c r="A333" s="511"/>
      <c r="B333" s="161"/>
      <c r="C333" s="161"/>
      <c r="D333" s="161"/>
      <c r="E333" s="161"/>
      <c r="F333" s="161"/>
      <c r="G333" s="161"/>
      <c r="H333" s="161"/>
      <c r="I333" s="161"/>
      <c r="J333" s="161"/>
      <c r="K333" s="511"/>
      <c r="L333" s="511"/>
      <c r="M333" s="161"/>
      <c r="N333" s="161"/>
      <c r="O333" s="161"/>
      <c r="P333" s="161"/>
      <c r="Q333" s="161"/>
      <c r="R333" s="161"/>
      <c r="S333" s="161"/>
      <c r="T333" s="161"/>
      <c r="U333" s="161"/>
      <c r="V333" s="161"/>
      <c r="W333" s="161"/>
      <c r="X333" s="161"/>
      <c r="Y333" s="161"/>
      <c r="Z333" s="161"/>
      <c r="AA333" s="161"/>
      <c r="AB333" s="161"/>
    </row>
    <row r="334">
      <c r="A334" s="511"/>
      <c r="B334" s="161"/>
      <c r="C334" s="161"/>
      <c r="D334" s="161"/>
      <c r="E334" s="161"/>
      <c r="F334" s="161"/>
      <c r="G334" s="161"/>
      <c r="H334" s="161"/>
      <c r="I334" s="161"/>
      <c r="J334" s="161"/>
      <c r="K334" s="511"/>
      <c r="L334" s="511"/>
      <c r="M334" s="161"/>
      <c r="N334" s="161"/>
      <c r="O334" s="161"/>
      <c r="P334" s="161"/>
      <c r="Q334" s="161"/>
      <c r="R334" s="161"/>
      <c r="S334" s="161"/>
      <c r="T334" s="161"/>
      <c r="U334" s="161"/>
      <c r="V334" s="161"/>
      <c r="W334" s="161"/>
      <c r="X334" s="161"/>
      <c r="Y334" s="161"/>
      <c r="Z334" s="161"/>
      <c r="AA334" s="161"/>
      <c r="AB334" s="161"/>
    </row>
    <row r="335">
      <c r="A335" s="511"/>
      <c r="B335" s="161"/>
      <c r="C335" s="161"/>
      <c r="D335" s="161"/>
      <c r="E335" s="161"/>
      <c r="F335" s="161"/>
      <c r="G335" s="161"/>
      <c r="H335" s="161"/>
      <c r="I335" s="161"/>
      <c r="J335" s="161"/>
      <c r="K335" s="511"/>
      <c r="L335" s="511"/>
      <c r="M335" s="161"/>
      <c r="N335" s="161"/>
      <c r="O335" s="161"/>
      <c r="P335" s="161"/>
      <c r="Q335" s="161"/>
      <c r="R335" s="161"/>
      <c r="S335" s="161"/>
      <c r="T335" s="161"/>
      <c r="U335" s="161"/>
      <c r="V335" s="161"/>
      <c r="W335" s="161"/>
      <c r="X335" s="161"/>
      <c r="Y335" s="161"/>
      <c r="Z335" s="161"/>
      <c r="AA335" s="161"/>
      <c r="AB335" s="161"/>
    </row>
    <row r="336">
      <c r="A336" s="511"/>
      <c r="B336" s="161"/>
      <c r="C336" s="161"/>
      <c r="D336" s="161"/>
      <c r="E336" s="161"/>
      <c r="F336" s="161"/>
      <c r="G336" s="161"/>
      <c r="H336" s="161"/>
      <c r="I336" s="161"/>
      <c r="J336" s="161"/>
      <c r="K336" s="511"/>
      <c r="L336" s="511"/>
      <c r="M336" s="161"/>
      <c r="N336" s="161"/>
      <c r="O336" s="161"/>
      <c r="P336" s="161"/>
      <c r="Q336" s="161"/>
      <c r="R336" s="161"/>
      <c r="S336" s="161"/>
      <c r="T336" s="161"/>
      <c r="U336" s="161"/>
      <c r="V336" s="161"/>
      <c r="W336" s="161"/>
      <c r="X336" s="161"/>
      <c r="Y336" s="161"/>
      <c r="Z336" s="161"/>
      <c r="AA336" s="161"/>
      <c r="AB336" s="161"/>
    </row>
    <row r="337">
      <c r="A337" s="511"/>
      <c r="B337" s="161"/>
      <c r="C337" s="161"/>
      <c r="D337" s="161"/>
      <c r="E337" s="161"/>
      <c r="F337" s="161"/>
      <c r="G337" s="161"/>
      <c r="H337" s="161"/>
      <c r="I337" s="161"/>
      <c r="J337" s="161"/>
      <c r="K337" s="511"/>
      <c r="L337" s="511"/>
      <c r="M337" s="161"/>
      <c r="N337" s="161"/>
      <c r="O337" s="161"/>
      <c r="P337" s="161"/>
      <c r="Q337" s="161"/>
      <c r="R337" s="161"/>
      <c r="S337" s="161"/>
      <c r="T337" s="161"/>
      <c r="U337" s="161"/>
      <c r="V337" s="161"/>
      <c r="W337" s="161"/>
      <c r="X337" s="161"/>
      <c r="Y337" s="161"/>
      <c r="Z337" s="161"/>
      <c r="AA337" s="161"/>
      <c r="AB337" s="161"/>
    </row>
    <row r="338">
      <c r="A338" s="511"/>
      <c r="B338" s="161"/>
      <c r="C338" s="161"/>
      <c r="D338" s="161"/>
      <c r="E338" s="161"/>
      <c r="F338" s="161"/>
      <c r="G338" s="161"/>
      <c r="H338" s="161"/>
      <c r="I338" s="161"/>
      <c r="J338" s="161"/>
      <c r="K338" s="511"/>
      <c r="L338" s="511"/>
      <c r="M338" s="161"/>
      <c r="N338" s="161"/>
      <c r="O338" s="161"/>
      <c r="P338" s="161"/>
      <c r="Q338" s="161"/>
      <c r="R338" s="161"/>
      <c r="S338" s="161"/>
      <c r="T338" s="161"/>
      <c r="U338" s="161"/>
      <c r="V338" s="161"/>
      <c r="W338" s="161"/>
      <c r="X338" s="161"/>
      <c r="Y338" s="161"/>
      <c r="Z338" s="161"/>
      <c r="AA338" s="161"/>
      <c r="AB338" s="161"/>
    </row>
    <row r="339">
      <c r="A339" s="511"/>
      <c r="B339" s="161"/>
      <c r="C339" s="161"/>
      <c r="D339" s="161"/>
      <c r="E339" s="161"/>
      <c r="F339" s="161"/>
      <c r="G339" s="161"/>
      <c r="H339" s="161"/>
      <c r="I339" s="161"/>
      <c r="J339" s="161"/>
      <c r="K339" s="511"/>
      <c r="L339" s="511"/>
      <c r="M339" s="161"/>
      <c r="N339" s="161"/>
      <c r="O339" s="161"/>
      <c r="P339" s="161"/>
      <c r="Q339" s="161"/>
      <c r="R339" s="161"/>
      <c r="S339" s="161"/>
      <c r="T339" s="161"/>
      <c r="U339" s="161"/>
      <c r="V339" s="161"/>
      <c r="W339" s="161"/>
      <c r="X339" s="161"/>
      <c r="Y339" s="161"/>
      <c r="Z339" s="161"/>
      <c r="AA339" s="161"/>
      <c r="AB339" s="161"/>
    </row>
    <row r="340">
      <c r="A340" s="511"/>
      <c r="B340" s="161"/>
      <c r="C340" s="161"/>
      <c r="D340" s="161"/>
      <c r="E340" s="161"/>
      <c r="F340" s="161"/>
      <c r="G340" s="161"/>
      <c r="H340" s="161"/>
      <c r="I340" s="161"/>
      <c r="J340" s="161"/>
      <c r="K340" s="511"/>
      <c r="L340" s="511"/>
      <c r="M340" s="161"/>
      <c r="N340" s="161"/>
      <c r="O340" s="161"/>
      <c r="P340" s="161"/>
      <c r="Q340" s="161"/>
      <c r="R340" s="161"/>
      <c r="S340" s="161"/>
      <c r="T340" s="161"/>
      <c r="U340" s="161"/>
      <c r="V340" s="161"/>
      <c r="W340" s="161"/>
      <c r="X340" s="161"/>
      <c r="Y340" s="161"/>
      <c r="Z340" s="161"/>
      <c r="AA340" s="161"/>
      <c r="AB340" s="161"/>
    </row>
    <row r="341">
      <c r="A341" s="511"/>
      <c r="B341" s="161"/>
      <c r="C341" s="161"/>
      <c r="D341" s="161"/>
      <c r="E341" s="161"/>
      <c r="F341" s="161"/>
      <c r="G341" s="161"/>
      <c r="H341" s="161"/>
      <c r="I341" s="161"/>
      <c r="J341" s="161"/>
      <c r="K341" s="511"/>
      <c r="L341" s="511"/>
      <c r="M341" s="161"/>
      <c r="N341" s="161"/>
      <c r="O341" s="161"/>
      <c r="P341" s="161"/>
      <c r="Q341" s="161"/>
      <c r="R341" s="161"/>
      <c r="S341" s="161"/>
      <c r="T341" s="161"/>
      <c r="U341" s="161"/>
      <c r="V341" s="161"/>
      <c r="W341" s="161"/>
      <c r="X341" s="161"/>
      <c r="Y341" s="161"/>
      <c r="Z341" s="161"/>
      <c r="AA341" s="161"/>
      <c r="AB341" s="161"/>
    </row>
    <row r="342">
      <c r="A342" s="511"/>
      <c r="B342" s="161"/>
      <c r="C342" s="161"/>
      <c r="D342" s="161"/>
      <c r="E342" s="161"/>
      <c r="F342" s="161"/>
      <c r="G342" s="161"/>
      <c r="H342" s="161"/>
      <c r="I342" s="161"/>
      <c r="J342" s="161"/>
      <c r="K342" s="511"/>
      <c r="L342" s="511"/>
      <c r="M342" s="161"/>
      <c r="N342" s="161"/>
      <c r="O342" s="161"/>
      <c r="P342" s="161"/>
      <c r="Q342" s="161"/>
      <c r="R342" s="161"/>
      <c r="S342" s="161"/>
      <c r="T342" s="161"/>
      <c r="U342" s="161"/>
      <c r="V342" s="161"/>
      <c r="W342" s="161"/>
      <c r="X342" s="161"/>
      <c r="Y342" s="161"/>
      <c r="Z342" s="161"/>
      <c r="AA342" s="161"/>
      <c r="AB342" s="161"/>
    </row>
    <row r="343">
      <c r="A343" s="511"/>
      <c r="B343" s="161"/>
      <c r="C343" s="161"/>
      <c r="D343" s="161"/>
      <c r="E343" s="161"/>
      <c r="F343" s="161"/>
      <c r="G343" s="161"/>
      <c r="H343" s="161"/>
      <c r="I343" s="161"/>
      <c r="J343" s="161"/>
      <c r="K343" s="511"/>
      <c r="L343" s="511"/>
      <c r="M343" s="161"/>
      <c r="N343" s="161"/>
      <c r="O343" s="161"/>
      <c r="P343" s="161"/>
      <c r="Q343" s="161"/>
      <c r="R343" s="161"/>
      <c r="S343" s="161"/>
      <c r="T343" s="161"/>
      <c r="U343" s="161"/>
      <c r="V343" s="161"/>
      <c r="W343" s="161"/>
      <c r="X343" s="161"/>
      <c r="Y343" s="161"/>
      <c r="Z343" s="161"/>
      <c r="AA343" s="161"/>
      <c r="AB343" s="161"/>
    </row>
    <row r="344">
      <c r="A344" s="511"/>
      <c r="B344" s="161"/>
      <c r="C344" s="161"/>
      <c r="D344" s="161"/>
      <c r="E344" s="161"/>
      <c r="F344" s="161"/>
      <c r="G344" s="161"/>
      <c r="H344" s="161"/>
      <c r="I344" s="161"/>
      <c r="J344" s="161"/>
      <c r="K344" s="511"/>
      <c r="L344" s="511"/>
      <c r="M344" s="161"/>
      <c r="N344" s="161"/>
      <c r="O344" s="161"/>
      <c r="P344" s="161"/>
      <c r="Q344" s="161"/>
      <c r="R344" s="161"/>
      <c r="S344" s="161"/>
      <c r="T344" s="161"/>
      <c r="U344" s="161"/>
      <c r="V344" s="161"/>
      <c r="W344" s="161"/>
      <c r="X344" s="161"/>
      <c r="Y344" s="161"/>
      <c r="Z344" s="161"/>
      <c r="AA344" s="161"/>
      <c r="AB344" s="161"/>
    </row>
    <row r="345">
      <c r="A345" s="511"/>
      <c r="B345" s="161"/>
      <c r="C345" s="161"/>
      <c r="D345" s="161"/>
      <c r="E345" s="161"/>
      <c r="F345" s="161"/>
      <c r="G345" s="161"/>
      <c r="H345" s="161"/>
      <c r="I345" s="161"/>
      <c r="J345" s="161"/>
      <c r="K345" s="511"/>
      <c r="L345" s="511"/>
      <c r="M345" s="161"/>
      <c r="N345" s="161"/>
      <c r="O345" s="161"/>
      <c r="P345" s="161"/>
      <c r="Q345" s="161"/>
      <c r="R345" s="161"/>
      <c r="S345" s="161"/>
      <c r="T345" s="161"/>
      <c r="U345" s="161"/>
      <c r="V345" s="161"/>
      <c r="W345" s="161"/>
      <c r="X345" s="161"/>
      <c r="Y345" s="161"/>
      <c r="Z345" s="161"/>
      <c r="AA345" s="161"/>
      <c r="AB345" s="161"/>
    </row>
    <row r="346">
      <c r="A346" s="511"/>
      <c r="B346" s="161"/>
      <c r="C346" s="161"/>
      <c r="D346" s="161"/>
      <c r="E346" s="161"/>
      <c r="F346" s="161"/>
      <c r="G346" s="161"/>
      <c r="H346" s="161"/>
      <c r="I346" s="161"/>
      <c r="J346" s="161"/>
      <c r="K346" s="511"/>
      <c r="L346" s="511"/>
      <c r="M346" s="161"/>
      <c r="N346" s="161"/>
      <c r="O346" s="161"/>
      <c r="P346" s="161"/>
      <c r="Q346" s="161"/>
      <c r="R346" s="161"/>
      <c r="S346" s="161"/>
      <c r="T346" s="161"/>
      <c r="U346" s="161"/>
      <c r="V346" s="161"/>
      <c r="W346" s="161"/>
      <c r="X346" s="161"/>
      <c r="Y346" s="161"/>
      <c r="Z346" s="161"/>
      <c r="AA346" s="161"/>
      <c r="AB346" s="161"/>
    </row>
    <row r="347">
      <c r="A347" s="511"/>
      <c r="B347" s="161"/>
      <c r="C347" s="161"/>
      <c r="D347" s="161"/>
      <c r="E347" s="161"/>
      <c r="F347" s="161"/>
      <c r="G347" s="161"/>
      <c r="H347" s="161"/>
      <c r="I347" s="161"/>
      <c r="J347" s="161"/>
      <c r="K347" s="511"/>
      <c r="L347" s="511"/>
      <c r="M347" s="161"/>
      <c r="N347" s="161"/>
      <c r="O347" s="161"/>
      <c r="P347" s="161"/>
      <c r="Q347" s="161"/>
      <c r="R347" s="161"/>
      <c r="S347" s="161"/>
      <c r="T347" s="161"/>
      <c r="U347" s="161"/>
      <c r="V347" s="161"/>
      <c r="W347" s="161"/>
      <c r="X347" s="161"/>
      <c r="Y347" s="161"/>
      <c r="Z347" s="161"/>
      <c r="AA347" s="161"/>
      <c r="AB347" s="161"/>
    </row>
    <row r="348">
      <c r="A348" s="511"/>
      <c r="B348" s="161"/>
      <c r="C348" s="161"/>
      <c r="D348" s="161"/>
      <c r="E348" s="161"/>
      <c r="F348" s="161"/>
      <c r="G348" s="161"/>
      <c r="H348" s="161"/>
      <c r="I348" s="161"/>
      <c r="J348" s="161"/>
      <c r="K348" s="511"/>
      <c r="L348" s="511"/>
      <c r="M348" s="161"/>
      <c r="N348" s="161"/>
      <c r="O348" s="161"/>
      <c r="P348" s="161"/>
      <c r="Q348" s="161"/>
      <c r="R348" s="161"/>
      <c r="S348" s="161"/>
      <c r="T348" s="161"/>
      <c r="U348" s="161"/>
      <c r="V348" s="161"/>
      <c r="W348" s="161"/>
      <c r="X348" s="161"/>
      <c r="Y348" s="161"/>
      <c r="Z348" s="161"/>
      <c r="AA348" s="161"/>
      <c r="AB348" s="161"/>
    </row>
    <row r="349">
      <c r="A349" s="511"/>
      <c r="B349" s="161"/>
      <c r="C349" s="161"/>
      <c r="D349" s="161"/>
      <c r="E349" s="161"/>
      <c r="F349" s="161"/>
      <c r="G349" s="161"/>
      <c r="H349" s="161"/>
      <c r="I349" s="161"/>
      <c r="J349" s="161"/>
      <c r="K349" s="511"/>
      <c r="L349" s="511"/>
      <c r="M349" s="161"/>
      <c r="N349" s="161"/>
      <c r="O349" s="161"/>
      <c r="P349" s="161"/>
      <c r="Q349" s="161"/>
      <c r="R349" s="161"/>
      <c r="S349" s="161"/>
      <c r="T349" s="161"/>
      <c r="U349" s="161"/>
      <c r="V349" s="161"/>
      <c r="W349" s="161"/>
      <c r="X349" s="161"/>
      <c r="Y349" s="161"/>
      <c r="Z349" s="161"/>
      <c r="AA349" s="161"/>
      <c r="AB349" s="161"/>
    </row>
    <row r="350">
      <c r="A350" s="511"/>
      <c r="B350" s="161"/>
      <c r="C350" s="161"/>
      <c r="D350" s="161"/>
      <c r="E350" s="161"/>
      <c r="F350" s="161"/>
      <c r="G350" s="161"/>
      <c r="H350" s="161"/>
      <c r="I350" s="161"/>
      <c r="J350" s="161"/>
      <c r="K350" s="511"/>
      <c r="L350" s="511"/>
      <c r="M350" s="161"/>
      <c r="N350" s="161"/>
      <c r="O350" s="161"/>
      <c r="P350" s="161"/>
      <c r="Q350" s="161"/>
      <c r="R350" s="161"/>
      <c r="S350" s="161"/>
      <c r="T350" s="161"/>
      <c r="U350" s="161"/>
      <c r="V350" s="161"/>
      <c r="W350" s="161"/>
      <c r="X350" s="161"/>
      <c r="Y350" s="161"/>
      <c r="Z350" s="161"/>
      <c r="AA350" s="161"/>
      <c r="AB350" s="161"/>
    </row>
    <row r="351">
      <c r="A351" s="511"/>
      <c r="B351" s="161"/>
      <c r="C351" s="161"/>
      <c r="D351" s="161"/>
      <c r="E351" s="161"/>
      <c r="F351" s="161"/>
      <c r="G351" s="161"/>
      <c r="H351" s="161"/>
      <c r="I351" s="161"/>
      <c r="J351" s="161"/>
      <c r="K351" s="511"/>
      <c r="L351" s="511"/>
      <c r="M351" s="161"/>
      <c r="N351" s="161"/>
      <c r="O351" s="161"/>
      <c r="P351" s="161"/>
      <c r="Q351" s="161"/>
      <c r="R351" s="161"/>
      <c r="S351" s="161"/>
      <c r="T351" s="161"/>
      <c r="U351" s="161"/>
      <c r="V351" s="161"/>
      <c r="W351" s="161"/>
      <c r="X351" s="161"/>
      <c r="Y351" s="161"/>
      <c r="Z351" s="161"/>
      <c r="AA351" s="161"/>
      <c r="AB351" s="161"/>
    </row>
    <row r="352">
      <c r="A352" s="511"/>
      <c r="B352" s="161"/>
      <c r="C352" s="161"/>
      <c r="D352" s="161"/>
      <c r="E352" s="161"/>
      <c r="F352" s="161"/>
      <c r="G352" s="161"/>
      <c r="H352" s="161"/>
      <c r="I352" s="161"/>
      <c r="J352" s="161"/>
      <c r="K352" s="511"/>
      <c r="L352" s="511"/>
      <c r="M352" s="161"/>
      <c r="N352" s="161"/>
      <c r="O352" s="161"/>
      <c r="P352" s="161"/>
      <c r="Q352" s="161"/>
      <c r="R352" s="161"/>
      <c r="S352" s="161"/>
      <c r="T352" s="161"/>
      <c r="U352" s="161"/>
      <c r="V352" s="161"/>
      <c r="W352" s="161"/>
      <c r="X352" s="161"/>
      <c r="Y352" s="161"/>
      <c r="Z352" s="161"/>
      <c r="AA352" s="161"/>
      <c r="AB352" s="161"/>
    </row>
    <row r="353">
      <c r="A353" s="511"/>
      <c r="B353" s="161"/>
      <c r="C353" s="161"/>
      <c r="D353" s="161"/>
      <c r="E353" s="161"/>
      <c r="F353" s="161"/>
      <c r="G353" s="161"/>
      <c r="H353" s="161"/>
      <c r="I353" s="161"/>
      <c r="J353" s="161"/>
      <c r="K353" s="511"/>
      <c r="L353" s="511"/>
      <c r="M353" s="161"/>
      <c r="N353" s="161"/>
      <c r="O353" s="161"/>
      <c r="P353" s="161"/>
      <c r="Q353" s="161"/>
      <c r="R353" s="161"/>
      <c r="S353" s="161"/>
      <c r="T353" s="161"/>
      <c r="U353" s="161"/>
      <c r="V353" s="161"/>
      <c r="W353" s="161"/>
      <c r="X353" s="161"/>
      <c r="Y353" s="161"/>
      <c r="Z353" s="161"/>
      <c r="AA353" s="161"/>
      <c r="AB353" s="161"/>
    </row>
    <row r="354">
      <c r="A354" s="511"/>
      <c r="B354" s="161"/>
      <c r="C354" s="161"/>
      <c r="D354" s="161"/>
      <c r="E354" s="161"/>
      <c r="F354" s="161"/>
      <c r="G354" s="161"/>
      <c r="H354" s="161"/>
      <c r="I354" s="161"/>
      <c r="J354" s="161"/>
      <c r="K354" s="511"/>
      <c r="L354" s="511"/>
      <c r="M354" s="161"/>
      <c r="N354" s="161"/>
      <c r="O354" s="161"/>
      <c r="P354" s="161"/>
      <c r="Q354" s="161"/>
      <c r="R354" s="161"/>
      <c r="S354" s="161"/>
      <c r="T354" s="161"/>
      <c r="U354" s="161"/>
      <c r="V354" s="161"/>
      <c r="W354" s="161"/>
      <c r="X354" s="161"/>
      <c r="Y354" s="161"/>
      <c r="Z354" s="161"/>
      <c r="AA354" s="161"/>
      <c r="AB354" s="161"/>
    </row>
    <row r="355">
      <c r="A355" s="511"/>
      <c r="B355" s="161"/>
      <c r="C355" s="161"/>
      <c r="D355" s="161"/>
      <c r="E355" s="161"/>
      <c r="F355" s="161"/>
      <c r="G355" s="161"/>
      <c r="H355" s="161"/>
      <c r="I355" s="161"/>
      <c r="J355" s="161"/>
      <c r="K355" s="511"/>
      <c r="L355" s="511"/>
      <c r="M355" s="161"/>
      <c r="N355" s="161"/>
      <c r="O355" s="161"/>
      <c r="P355" s="161"/>
      <c r="Q355" s="161"/>
      <c r="R355" s="161"/>
      <c r="S355" s="161"/>
      <c r="T355" s="161"/>
      <c r="U355" s="161"/>
      <c r="V355" s="161"/>
      <c r="W355" s="161"/>
      <c r="X355" s="161"/>
      <c r="Y355" s="161"/>
      <c r="Z355" s="161"/>
      <c r="AA355" s="161"/>
      <c r="AB355" s="161"/>
    </row>
    <row r="356">
      <c r="A356" s="511"/>
      <c r="B356" s="161"/>
      <c r="C356" s="161"/>
      <c r="D356" s="161"/>
      <c r="E356" s="161"/>
      <c r="F356" s="161"/>
      <c r="G356" s="161"/>
      <c r="H356" s="161"/>
      <c r="I356" s="161"/>
      <c r="J356" s="161"/>
      <c r="K356" s="511"/>
      <c r="L356" s="511"/>
      <c r="M356" s="161"/>
      <c r="N356" s="161"/>
      <c r="O356" s="161"/>
      <c r="P356" s="161"/>
      <c r="Q356" s="161"/>
      <c r="R356" s="161"/>
      <c r="S356" s="161"/>
      <c r="T356" s="161"/>
      <c r="U356" s="161"/>
      <c r="V356" s="161"/>
      <c r="W356" s="161"/>
      <c r="X356" s="161"/>
      <c r="Y356" s="161"/>
      <c r="Z356" s="161"/>
      <c r="AA356" s="161"/>
      <c r="AB356" s="161"/>
    </row>
    <row r="357">
      <c r="A357" s="511"/>
      <c r="B357" s="161"/>
      <c r="C357" s="161"/>
      <c r="D357" s="161"/>
      <c r="E357" s="161"/>
      <c r="F357" s="161"/>
      <c r="G357" s="161"/>
      <c r="H357" s="161"/>
      <c r="I357" s="161"/>
      <c r="J357" s="161"/>
      <c r="K357" s="511"/>
      <c r="L357" s="511"/>
      <c r="M357" s="161"/>
      <c r="N357" s="161"/>
      <c r="O357" s="161"/>
      <c r="P357" s="161"/>
      <c r="Q357" s="161"/>
      <c r="R357" s="161"/>
      <c r="S357" s="161"/>
      <c r="T357" s="161"/>
      <c r="U357" s="161"/>
      <c r="V357" s="161"/>
      <c r="W357" s="161"/>
      <c r="X357" s="161"/>
      <c r="Y357" s="161"/>
      <c r="Z357" s="161"/>
      <c r="AA357" s="161"/>
      <c r="AB357" s="161"/>
    </row>
    <row r="358">
      <c r="A358" s="511"/>
      <c r="B358" s="161"/>
      <c r="C358" s="161"/>
      <c r="D358" s="161"/>
      <c r="E358" s="161"/>
      <c r="F358" s="161"/>
      <c r="G358" s="161"/>
      <c r="H358" s="161"/>
      <c r="I358" s="161"/>
      <c r="J358" s="161"/>
      <c r="K358" s="511"/>
      <c r="L358" s="511"/>
      <c r="M358" s="161"/>
      <c r="N358" s="161"/>
      <c r="O358" s="161"/>
      <c r="P358" s="161"/>
      <c r="Q358" s="161"/>
      <c r="R358" s="161"/>
      <c r="S358" s="161"/>
      <c r="T358" s="161"/>
      <c r="U358" s="161"/>
      <c r="V358" s="161"/>
      <c r="W358" s="161"/>
      <c r="X358" s="161"/>
      <c r="Y358" s="161"/>
      <c r="Z358" s="161"/>
      <c r="AA358" s="161"/>
      <c r="AB358" s="161"/>
    </row>
    <row r="359">
      <c r="A359" s="511"/>
      <c r="B359" s="161"/>
      <c r="C359" s="161"/>
      <c r="D359" s="161"/>
      <c r="E359" s="161"/>
      <c r="F359" s="161"/>
      <c r="G359" s="161"/>
      <c r="H359" s="161"/>
      <c r="I359" s="161"/>
      <c r="J359" s="161"/>
      <c r="K359" s="511"/>
      <c r="L359" s="511"/>
      <c r="M359" s="161"/>
      <c r="N359" s="161"/>
      <c r="O359" s="161"/>
      <c r="P359" s="161"/>
      <c r="Q359" s="161"/>
      <c r="R359" s="161"/>
      <c r="S359" s="161"/>
      <c r="T359" s="161"/>
      <c r="U359" s="161"/>
      <c r="V359" s="161"/>
      <c r="W359" s="161"/>
      <c r="X359" s="161"/>
      <c r="Y359" s="161"/>
      <c r="Z359" s="161"/>
      <c r="AA359" s="161"/>
      <c r="AB359" s="161"/>
    </row>
    <row r="360">
      <c r="A360" s="511"/>
      <c r="B360" s="161"/>
      <c r="C360" s="161"/>
      <c r="D360" s="161"/>
      <c r="E360" s="161"/>
      <c r="F360" s="161"/>
      <c r="G360" s="161"/>
      <c r="H360" s="161"/>
      <c r="I360" s="161"/>
      <c r="J360" s="161"/>
      <c r="K360" s="511"/>
      <c r="L360" s="511"/>
      <c r="M360" s="161"/>
      <c r="N360" s="161"/>
      <c r="O360" s="161"/>
      <c r="P360" s="161"/>
      <c r="Q360" s="161"/>
      <c r="R360" s="161"/>
      <c r="S360" s="161"/>
      <c r="T360" s="161"/>
      <c r="U360" s="161"/>
      <c r="V360" s="161"/>
      <c r="W360" s="161"/>
      <c r="X360" s="161"/>
      <c r="Y360" s="161"/>
      <c r="Z360" s="161"/>
      <c r="AA360" s="161"/>
      <c r="AB360" s="161"/>
    </row>
    <row r="361">
      <c r="A361" s="511"/>
      <c r="B361" s="161"/>
      <c r="C361" s="161"/>
      <c r="D361" s="161"/>
      <c r="E361" s="161"/>
      <c r="F361" s="161"/>
      <c r="G361" s="161"/>
      <c r="H361" s="161"/>
      <c r="I361" s="161"/>
      <c r="J361" s="161"/>
      <c r="K361" s="511"/>
      <c r="L361" s="511"/>
      <c r="M361" s="161"/>
      <c r="N361" s="161"/>
      <c r="O361" s="161"/>
      <c r="P361" s="161"/>
      <c r="Q361" s="161"/>
      <c r="R361" s="161"/>
      <c r="S361" s="161"/>
      <c r="T361" s="161"/>
      <c r="U361" s="161"/>
      <c r="V361" s="161"/>
      <c r="W361" s="161"/>
      <c r="X361" s="161"/>
      <c r="Y361" s="161"/>
      <c r="Z361" s="161"/>
      <c r="AA361" s="161"/>
      <c r="AB361" s="161"/>
    </row>
    <row r="362">
      <c r="A362" s="511"/>
      <c r="B362" s="161"/>
      <c r="C362" s="161"/>
      <c r="D362" s="161"/>
      <c r="E362" s="161"/>
      <c r="F362" s="161"/>
      <c r="G362" s="161"/>
      <c r="H362" s="161"/>
      <c r="I362" s="161"/>
      <c r="J362" s="161"/>
      <c r="K362" s="511"/>
      <c r="L362" s="511"/>
      <c r="M362" s="161"/>
      <c r="N362" s="161"/>
      <c r="O362" s="161"/>
      <c r="P362" s="161"/>
      <c r="Q362" s="161"/>
      <c r="R362" s="161"/>
      <c r="S362" s="161"/>
      <c r="T362" s="161"/>
      <c r="U362" s="161"/>
      <c r="V362" s="161"/>
      <c r="W362" s="161"/>
      <c r="X362" s="161"/>
      <c r="Y362" s="161"/>
      <c r="Z362" s="161"/>
      <c r="AA362" s="161"/>
      <c r="AB362" s="161"/>
    </row>
    <row r="363">
      <c r="A363" s="511"/>
      <c r="B363" s="161"/>
      <c r="C363" s="161"/>
      <c r="D363" s="161"/>
      <c r="E363" s="161"/>
      <c r="F363" s="161"/>
      <c r="G363" s="161"/>
      <c r="H363" s="161"/>
      <c r="I363" s="161"/>
      <c r="J363" s="161"/>
      <c r="K363" s="511"/>
      <c r="L363" s="511"/>
      <c r="M363" s="161"/>
      <c r="N363" s="161"/>
      <c r="O363" s="161"/>
      <c r="P363" s="161"/>
      <c r="Q363" s="161"/>
      <c r="R363" s="161"/>
      <c r="S363" s="161"/>
      <c r="T363" s="161"/>
      <c r="U363" s="161"/>
      <c r="V363" s="161"/>
      <c r="W363" s="161"/>
      <c r="X363" s="161"/>
      <c r="Y363" s="161"/>
      <c r="Z363" s="161"/>
      <c r="AA363" s="161"/>
      <c r="AB363" s="161"/>
    </row>
    <row r="364">
      <c r="A364" s="511"/>
      <c r="B364" s="161"/>
      <c r="C364" s="161"/>
      <c r="D364" s="161"/>
      <c r="E364" s="161"/>
      <c r="F364" s="161"/>
      <c r="G364" s="161"/>
      <c r="H364" s="161"/>
      <c r="I364" s="161"/>
      <c r="J364" s="161"/>
      <c r="K364" s="511"/>
      <c r="L364" s="511"/>
      <c r="M364" s="161"/>
      <c r="N364" s="161"/>
      <c r="O364" s="161"/>
      <c r="P364" s="161"/>
      <c r="Q364" s="161"/>
      <c r="R364" s="161"/>
      <c r="S364" s="161"/>
      <c r="T364" s="161"/>
      <c r="U364" s="161"/>
      <c r="V364" s="161"/>
      <c r="W364" s="161"/>
      <c r="X364" s="161"/>
      <c r="Y364" s="161"/>
      <c r="Z364" s="161"/>
      <c r="AA364" s="161"/>
      <c r="AB364" s="161"/>
    </row>
    <row r="365">
      <c r="A365" s="511"/>
      <c r="B365" s="161"/>
      <c r="C365" s="161"/>
      <c r="D365" s="161"/>
      <c r="E365" s="161"/>
      <c r="F365" s="161"/>
      <c r="G365" s="161"/>
      <c r="H365" s="161"/>
      <c r="I365" s="161"/>
      <c r="J365" s="161"/>
      <c r="K365" s="511"/>
      <c r="L365" s="511"/>
      <c r="M365" s="161"/>
      <c r="N365" s="161"/>
      <c r="O365" s="161"/>
      <c r="P365" s="161"/>
      <c r="Q365" s="161"/>
      <c r="R365" s="161"/>
      <c r="S365" s="161"/>
      <c r="T365" s="161"/>
      <c r="U365" s="161"/>
      <c r="V365" s="161"/>
      <c r="W365" s="161"/>
      <c r="X365" s="161"/>
      <c r="Y365" s="161"/>
      <c r="Z365" s="161"/>
      <c r="AA365" s="161"/>
      <c r="AB365" s="161"/>
    </row>
    <row r="366">
      <c r="A366" s="511"/>
      <c r="B366" s="161"/>
      <c r="C366" s="161"/>
      <c r="D366" s="161"/>
      <c r="E366" s="161"/>
      <c r="F366" s="161"/>
      <c r="G366" s="161"/>
      <c r="H366" s="161"/>
      <c r="I366" s="161"/>
      <c r="J366" s="161"/>
      <c r="K366" s="511"/>
      <c r="L366" s="511"/>
      <c r="M366" s="161"/>
      <c r="N366" s="161"/>
      <c r="O366" s="161"/>
      <c r="P366" s="161"/>
      <c r="Q366" s="161"/>
      <c r="R366" s="161"/>
      <c r="S366" s="161"/>
      <c r="T366" s="161"/>
      <c r="U366" s="161"/>
      <c r="V366" s="161"/>
      <c r="W366" s="161"/>
      <c r="X366" s="161"/>
      <c r="Y366" s="161"/>
      <c r="Z366" s="161"/>
      <c r="AA366" s="161"/>
      <c r="AB366" s="161"/>
    </row>
    <row r="367">
      <c r="A367" s="511"/>
      <c r="B367" s="161"/>
      <c r="C367" s="161"/>
      <c r="D367" s="161"/>
      <c r="E367" s="161"/>
      <c r="F367" s="161"/>
      <c r="G367" s="161"/>
      <c r="H367" s="161"/>
      <c r="I367" s="161"/>
      <c r="J367" s="161"/>
      <c r="K367" s="511"/>
      <c r="L367" s="511"/>
      <c r="M367" s="161"/>
      <c r="N367" s="161"/>
      <c r="O367" s="161"/>
      <c r="P367" s="161"/>
      <c r="Q367" s="161"/>
      <c r="R367" s="161"/>
      <c r="S367" s="161"/>
      <c r="T367" s="161"/>
      <c r="U367" s="161"/>
      <c r="V367" s="161"/>
      <c r="W367" s="161"/>
      <c r="X367" s="161"/>
      <c r="Y367" s="161"/>
      <c r="Z367" s="161"/>
      <c r="AA367" s="161"/>
      <c r="AB367" s="161"/>
    </row>
    <row r="368">
      <c r="A368" s="511"/>
      <c r="B368" s="161"/>
      <c r="C368" s="161"/>
      <c r="D368" s="161"/>
      <c r="E368" s="161"/>
      <c r="F368" s="161"/>
      <c r="G368" s="161"/>
      <c r="H368" s="161"/>
      <c r="I368" s="161"/>
      <c r="J368" s="161"/>
      <c r="K368" s="511"/>
      <c r="L368" s="511"/>
      <c r="M368" s="161"/>
      <c r="N368" s="161"/>
      <c r="O368" s="161"/>
      <c r="P368" s="161"/>
      <c r="Q368" s="161"/>
      <c r="R368" s="161"/>
      <c r="S368" s="161"/>
      <c r="T368" s="161"/>
      <c r="U368" s="161"/>
      <c r="V368" s="161"/>
      <c r="W368" s="161"/>
      <c r="X368" s="161"/>
      <c r="Y368" s="161"/>
      <c r="Z368" s="161"/>
      <c r="AA368" s="161"/>
      <c r="AB368" s="161"/>
    </row>
    <row r="369">
      <c r="A369" s="511"/>
      <c r="B369" s="161"/>
      <c r="C369" s="161"/>
      <c r="D369" s="161"/>
      <c r="E369" s="161"/>
      <c r="F369" s="161"/>
      <c r="G369" s="161"/>
      <c r="H369" s="161"/>
      <c r="I369" s="161"/>
      <c r="J369" s="161"/>
      <c r="K369" s="511"/>
      <c r="L369" s="511"/>
      <c r="M369" s="161"/>
      <c r="N369" s="161"/>
      <c r="O369" s="161"/>
      <c r="P369" s="161"/>
      <c r="Q369" s="161"/>
      <c r="R369" s="161"/>
      <c r="S369" s="161"/>
      <c r="T369" s="161"/>
      <c r="U369" s="161"/>
      <c r="V369" s="161"/>
      <c r="W369" s="161"/>
      <c r="X369" s="161"/>
      <c r="Y369" s="161"/>
      <c r="Z369" s="161"/>
      <c r="AA369" s="161"/>
      <c r="AB369" s="161"/>
    </row>
    <row r="370">
      <c r="A370" s="511"/>
      <c r="B370" s="161"/>
      <c r="C370" s="161"/>
      <c r="D370" s="161"/>
      <c r="E370" s="161"/>
      <c r="F370" s="161"/>
      <c r="G370" s="161"/>
      <c r="H370" s="161"/>
      <c r="I370" s="161"/>
      <c r="J370" s="161"/>
      <c r="K370" s="511"/>
      <c r="L370" s="511"/>
      <c r="M370" s="161"/>
      <c r="N370" s="161"/>
      <c r="O370" s="161"/>
      <c r="P370" s="161"/>
      <c r="Q370" s="161"/>
      <c r="R370" s="161"/>
      <c r="S370" s="161"/>
      <c r="T370" s="161"/>
      <c r="U370" s="161"/>
      <c r="V370" s="161"/>
      <c r="W370" s="161"/>
      <c r="X370" s="161"/>
      <c r="Y370" s="161"/>
      <c r="Z370" s="161"/>
      <c r="AA370" s="161"/>
      <c r="AB370" s="161"/>
    </row>
    <row r="371">
      <c r="A371" s="511"/>
      <c r="B371" s="161"/>
      <c r="C371" s="161"/>
      <c r="D371" s="161"/>
      <c r="E371" s="161"/>
      <c r="F371" s="161"/>
      <c r="G371" s="161"/>
      <c r="H371" s="161"/>
      <c r="I371" s="161"/>
      <c r="J371" s="161"/>
      <c r="K371" s="511"/>
      <c r="L371" s="511"/>
      <c r="M371" s="161"/>
      <c r="N371" s="161"/>
      <c r="O371" s="161"/>
      <c r="P371" s="161"/>
      <c r="Q371" s="161"/>
      <c r="R371" s="161"/>
      <c r="S371" s="161"/>
      <c r="T371" s="161"/>
      <c r="U371" s="161"/>
      <c r="V371" s="161"/>
      <c r="W371" s="161"/>
      <c r="X371" s="161"/>
      <c r="Y371" s="161"/>
      <c r="Z371" s="161"/>
      <c r="AA371" s="161"/>
      <c r="AB371" s="161"/>
    </row>
    <row r="372">
      <c r="A372" s="511"/>
      <c r="B372" s="161"/>
      <c r="C372" s="161"/>
      <c r="D372" s="161"/>
      <c r="E372" s="161"/>
      <c r="F372" s="161"/>
      <c r="G372" s="161"/>
      <c r="H372" s="161"/>
      <c r="I372" s="161"/>
      <c r="J372" s="161"/>
      <c r="K372" s="511"/>
      <c r="L372" s="511"/>
      <c r="M372" s="161"/>
      <c r="N372" s="161"/>
      <c r="O372" s="161"/>
      <c r="P372" s="161"/>
      <c r="Q372" s="161"/>
      <c r="R372" s="161"/>
      <c r="S372" s="161"/>
      <c r="T372" s="161"/>
      <c r="U372" s="161"/>
      <c r="V372" s="161"/>
      <c r="W372" s="161"/>
      <c r="X372" s="161"/>
      <c r="Y372" s="161"/>
      <c r="Z372" s="161"/>
      <c r="AA372" s="161"/>
      <c r="AB372" s="161"/>
    </row>
    <row r="373">
      <c r="A373" s="511"/>
      <c r="B373" s="161"/>
      <c r="C373" s="161"/>
      <c r="D373" s="161"/>
      <c r="E373" s="161"/>
      <c r="F373" s="161"/>
      <c r="G373" s="161"/>
      <c r="H373" s="161"/>
      <c r="I373" s="161"/>
      <c r="J373" s="161"/>
      <c r="K373" s="511"/>
      <c r="L373" s="511"/>
      <c r="M373" s="161"/>
      <c r="N373" s="161"/>
      <c r="O373" s="161"/>
      <c r="P373" s="161"/>
      <c r="Q373" s="161"/>
      <c r="R373" s="161"/>
      <c r="S373" s="161"/>
      <c r="T373" s="161"/>
      <c r="U373" s="161"/>
      <c r="V373" s="161"/>
      <c r="W373" s="161"/>
      <c r="X373" s="161"/>
      <c r="Y373" s="161"/>
      <c r="Z373" s="161"/>
      <c r="AA373" s="161"/>
      <c r="AB373" s="161"/>
    </row>
    <row r="374">
      <c r="A374" s="511"/>
      <c r="B374" s="161"/>
      <c r="C374" s="161"/>
      <c r="D374" s="161"/>
      <c r="E374" s="161"/>
      <c r="F374" s="161"/>
      <c r="G374" s="161"/>
      <c r="H374" s="161"/>
      <c r="I374" s="161"/>
      <c r="J374" s="161"/>
      <c r="K374" s="511"/>
      <c r="L374" s="511"/>
      <c r="M374" s="161"/>
      <c r="N374" s="161"/>
      <c r="O374" s="161"/>
      <c r="P374" s="161"/>
      <c r="Q374" s="161"/>
      <c r="R374" s="161"/>
      <c r="S374" s="161"/>
      <c r="T374" s="161"/>
      <c r="U374" s="161"/>
      <c r="V374" s="161"/>
      <c r="W374" s="161"/>
      <c r="X374" s="161"/>
      <c r="Y374" s="161"/>
      <c r="Z374" s="161"/>
      <c r="AA374" s="161"/>
      <c r="AB374" s="161"/>
    </row>
    <row r="375">
      <c r="A375" s="511"/>
      <c r="B375" s="161"/>
      <c r="C375" s="161"/>
      <c r="D375" s="161"/>
      <c r="E375" s="161"/>
      <c r="F375" s="161"/>
      <c r="G375" s="161"/>
      <c r="H375" s="161"/>
      <c r="I375" s="161"/>
      <c r="J375" s="161"/>
      <c r="K375" s="511"/>
      <c r="L375" s="511"/>
      <c r="M375" s="161"/>
      <c r="N375" s="161"/>
      <c r="O375" s="161"/>
      <c r="P375" s="161"/>
      <c r="Q375" s="161"/>
      <c r="R375" s="161"/>
      <c r="S375" s="161"/>
      <c r="T375" s="161"/>
      <c r="U375" s="161"/>
      <c r="V375" s="161"/>
      <c r="W375" s="161"/>
      <c r="X375" s="161"/>
      <c r="Y375" s="161"/>
      <c r="Z375" s="161"/>
      <c r="AA375" s="161"/>
      <c r="AB375" s="161"/>
    </row>
    <row r="376">
      <c r="A376" s="511"/>
      <c r="B376" s="161"/>
      <c r="C376" s="161"/>
      <c r="D376" s="161"/>
      <c r="E376" s="161"/>
      <c r="F376" s="161"/>
      <c r="G376" s="161"/>
      <c r="H376" s="161"/>
      <c r="I376" s="161"/>
      <c r="J376" s="161"/>
      <c r="K376" s="511"/>
      <c r="L376" s="511"/>
      <c r="M376" s="161"/>
      <c r="N376" s="161"/>
      <c r="O376" s="161"/>
      <c r="P376" s="161"/>
      <c r="Q376" s="161"/>
      <c r="R376" s="161"/>
      <c r="S376" s="161"/>
      <c r="T376" s="161"/>
      <c r="U376" s="161"/>
      <c r="V376" s="161"/>
      <c r="W376" s="161"/>
      <c r="X376" s="161"/>
      <c r="Y376" s="161"/>
      <c r="Z376" s="161"/>
      <c r="AA376" s="161"/>
      <c r="AB376" s="161"/>
    </row>
    <row r="377">
      <c r="A377" s="511"/>
      <c r="B377" s="161"/>
      <c r="C377" s="161"/>
      <c r="D377" s="161"/>
      <c r="E377" s="161"/>
      <c r="F377" s="161"/>
      <c r="G377" s="161"/>
      <c r="H377" s="161"/>
      <c r="I377" s="161"/>
      <c r="J377" s="161"/>
      <c r="K377" s="511"/>
      <c r="L377" s="511"/>
      <c r="M377" s="161"/>
      <c r="N377" s="161"/>
      <c r="O377" s="161"/>
      <c r="P377" s="161"/>
      <c r="Q377" s="161"/>
      <c r="R377" s="161"/>
      <c r="S377" s="161"/>
      <c r="T377" s="161"/>
      <c r="U377" s="161"/>
      <c r="V377" s="161"/>
      <c r="W377" s="161"/>
      <c r="X377" s="161"/>
      <c r="Y377" s="161"/>
      <c r="Z377" s="161"/>
      <c r="AA377" s="161"/>
      <c r="AB377" s="161"/>
    </row>
    <row r="378">
      <c r="A378" s="511"/>
      <c r="B378" s="161"/>
      <c r="C378" s="161"/>
      <c r="D378" s="161"/>
      <c r="E378" s="161"/>
      <c r="F378" s="161"/>
      <c r="G378" s="161"/>
      <c r="H378" s="161"/>
      <c r="I378" s="161"/>
      <c r="J378" s="161"/>
      <c r="K378" s="511"/>
      <c r="L378" s="511"/>
      <c r="M378" s="161"/>
      <c r="N378" s="161"/>
      <c r="O378" s="161"/>
      <c r="P378" s="161"/>
      <c r="Q378" s="161"/>
      <c r="R378" s="161"/>
      <c r="S378" s="161"/>
      <c r="T378" s="161"/>
      <c r="U378" s="161"/>
      <c r="V378" s="161"/>
      <c r="W378" s="161"/>
      <c r="X378" s="161"/>
      <c r="Y378" s="161"/>
      <c r="Z378" s="161"/>
      <c r="AA378" s="161"/>
      <c r="AB378" s="161"/>
    </row>
    <row r="379">
      <c r="A379" s="511"/>
      <c r="B379" s="161"/>
      <c r="C379" s="161"/>
      <c r="D379" s="161"/>
      <c r="E379" s="161"/>
      <c r="F379" s="161"/>
      <c r="G379" s="161"/>
      <c r="H379" s="161"/>
      <c r="I379" s="161"/>
      <c r="J379" s="161"/>
      <c r="K379" s="511"/>
      <c r="L379" s="511"/>
      <c r="M379" s="161"/>
      <c r="N379" s="161"/>
      <c r="O379" s="161"/>
      <c r="P379" s="161"/>
      <c r="Q379" s="161"/>
      <c r="R379" s="161"/>
      <c r="S379" s="161"/>
      <c r="T379" s="161"/>
      <c r="U379" s="161"/>
      <c r="V379" s="161"/>
      <c r="W379" s="161"/>
      <c r="X379" s="161"/>
      <c r="Y379" s="161"/>
      <c r="Z379" s="161"/>
      <c r="AA379" s="161"/>
      <c r="AB379" s="161"/>
    </row>
    <row r="380">
      <c r="A380" s="511"/>
      <c r="B380" s="161"/>
      <c r="C380" s="161"/>
      <c r="D380" s="161"/>
      <c r="E380" s="161"/>
      <c r="F380" s="161"/>
      <c r="G380" s="161"/>
      <c r="H380" s="161"/>
      <c r="I380" s="161"/>
      <c r="J380" s="161"/>
      <c r="K380" s="511"/>
      <c r="L380" s="511"/>
      <c r="M380" s="161"/>
      <c r="N380" s="161"/>
      <c r="O380" s="161"/>
      <c r="P380" s="161"/>
      <c r="Q380" s="161"/>
      <c r="R380" s="161"/>
      <c r="S380" s="161"/>
      <c r="T380" s="161"/>
      <c r="U380" s="161"/>
      <c r="V380" s="161"/>
      <c r="W380" s="161"/>
      <c r="X380" s="161"/>
      <c r="Y380" s="161"/>
      <c r="Z380" s="161"/>
      <c r="AA380" s="161"/>
      <c r="AB380" s="161"/>
    </row>
    <row r="381">
      <c r="A381" s="511"/>
      <c r="B381" s="161"/>
      <c r="C381" s="161"/>
      <c r="D381" s="161"/>
      <c r="E381" s="161"/>
      <c r="F381" s="161"/>
      <c r="G381" s="161"/>
      <c r="H381" s="161"/>
      <c r="I381" s="161"/>
      <c r="J381" s="161"/>
      <c r="K381" s="511"/>
      <c r="L381" s="511"/>
      <c r="M381" s="161"/>
      <c r="N381" s="161"/>
      <c r="O381" s="161"/>
      <c r="P381" s="161"/>
      <c r="Q381" s="161"/>
      <c r="R381" s="161"/>
      <c r="S381" s="161"/>
      <c r="T381" s="161"/>
      <c r="U381" s="161"/>
      <c r="V381" s="161"/>
      <c r="W381" s="161"/>
      <c r="X381" s="161"/>
      <c r="Y381" s="161"/>
      <c r="Z381" s="161"/>
      <c r="AA381" s="161"/>
      <c r="AB381" s="161"/>
    </row>
    <row r="382">
      <c r="A382" s="511"/>
      <c r="B382" s="161"/>
      <c r="C382" s="161"/>
      <c r="D382" s="161"/>
      <c r="E382" s="161"/>
      <c r="F382" s="161"/>
      <c r="G382" s="161"/>
      <c r="H382" s="161"/>
      <c r="I382" s="161"/>
      <c r="J382" s="161"/>
      <c r="K382" s="511"/>
      <c r="L382" s="511"/>
      <c r="M382" s="161"/>
      <c r="N382" s="161"/>
      <c r="O382" s="161"/>
      <c r="P382" s="161"/>
      <c r="Q382" s="161"/>
      <c r="R382" s="161"/>
      <c r="S382" s="161"/>
      <c r="T382" s="161"/>
      <c r="U382" s="161"/>
      <c r="V382" s="161"/>
      <c r="W382" s="161"/>
      <c r="X382" s="161"/>
      <c r="Y382" s="161"/>
      <c r="Z382" s="161"/>
      <c r="AA382" s="161"/>
      <c r="AB382" s="161"/>
    </row>
    <row r="383">
      <c r="A383" s="511"/>
      <c r="B383" s="161"/>
      <c r="C383" s="161"/>
      <c r="D383" s="161"/>
      <c r="E383" s="161"/>
      <c r="F383" s="161"/>
      <c r="G383" s="161"/>
      <c r="H383" s="161"/>
      <c r="I383" s="161"/>
      <c r="J383" s="161"/>
      <c r="K383" s="511"/>
      <c r="L383" s="511"/>
      <c r="M383" s="161"/>
      <c r="N383" s="161"/>
      <c r="O383" s="161"/>
      <c r="P383" s="161"/>
      <c r="Q383" s="161"/>
      <c r="R383" s="161"/>
      <c r="S383" s="161"/>
      <c r="T383" s="161"/>
      <c r="U383" s="161"/>
      <c r="V383" s="161"/>
      <c r="W383" s="161"/>
      <c r="X383" s="161"/>
      <c r="Y383" s="161"/>
      <c r="Z383" s="161"/>
      <c r="AA383" s="161"/>
      <c r="AB383" s="161"/>
    </row>
    <row r="384">
      <c r="A384" s="511"/>
      <c r="B384" s="161"/>
      <c r="C384" s="161"/>
      <c r="D384" s="161"/>
      <c r="E384" s="161"/>
      <c r="F384" s="161"/>
      <c r="G384" s="161"/>
      <c r="H384" s="161"/>
      <c r="I384" s="161"/>
      <c r="J384" s="161"/>
      <c r="K384" s="511"/>
      <c r="L384" s="511"/>
      <c r="M384" s="161"/>
      <c r="N384" s="161"/>
      <c r="O384" s="161"/>
      <c r="P384" s="161"/>
      <c r="Q384" s="161"/>
      <c r="R384" s="161"/>
      <c r="S384" s="161"/>
      <c r="T384" s="161"/>
      <c r="U384" s="161"/>
      <c r="V384" s="161"/>
      <c r="W384" s="161"/>
      <c r="X384" s="161"/>
      <c r="Y384" s="161"/>
      <c r="Z384" s="161"/>
      <c r="AA384" s="161"/>
      <c r="AB384" s="161"/>
    </row>
    <row r="385">
      <c r="A385" s="511"/>
      <c r="B385" s="161"/>
      <c r="C385" s="161"/>
      <c r="D385" s="161"/>
      <c r="E385" s="161"/>
      <c r="F385" s="161"/>
      <c r="G385" s="161"/>
      <c r="H385" s="161"/>
      <c r="I385" s="161"/>
      <c r="J385" s="161"/>
      <c r="K385" s="511"/>
      <c r="L385" s="511"/>
      <c r="M385" s="161"/>
      <c r="N385" s="161"/>
      <c r="O385" s="161"/>
      <c r="P385" s="161"/>
      <c r="Q385" s="161"/>
      <c r="R385" s="161"/>
      <c r="S385" s="161"/>
      <c r="T385" s="161"/>
      <c r="U385" s="161"/>
      <c r="V385" s="161"/>
      <c r="W385" s="161"/>
      <c r="X385" s="161"/>
      <c r="Y385" s="161"/>
      <c r="Z385" s="161"/>
      <c r="AA385" s="161"/>
      <c r="AB385" s="161"/>
    </row>
    <row r="386">
      <c r="A386" s="511"/>
      <c r="B386" s="161"/>
      <c r="C386" s="161"/>
      <c r="D386" s="161"/>
      <c r="E386" s="161"/>
      <c r="F386" s="161"/>
      <c r="G386" s="161"/>
      <c r="H386" s="161"/>
      <c r="I386" s="161"/>
      <c r="J386" s="161"/>
      <c r="K386" s="511"/>
      <c r="L386" s="511"/>
      <c r="M386" s="161"/>
      <c r="N386" s="161"/>
      <c r="O386" s="161"/>
      <c r="P386" s="161"/>
      <c r="Q386" s="161"/>
      <c r="R386" s="161"/>
      <c r="S386" s="161"/>
      <c r="T386" s="161"/>
      <c r="U386" s="161"/>
      <c r="V386" s="161"/>
      <c r="W386" s="161"/>
      <c r="X386" s="161"/>
      <c r="Y386" s="161"/>
      <c r="Z386" s="161"/>
      <c r="AA386" s="161"/>
      <c r="AB386" s="161"/>
    </row>
    <row r="387">
      <c r="A387" s="511"/>
      <c r="B387" s="161"/>
      <c r="C387" s="161"/>
      <c r="D387" s="161"/>
      <c r="E387" s="161"/>
      <c r="F387" s="161"/>
      <c r="G387" s="161"/>
      <c r="H387" s="161"/>
      <c r="I387" s="161"/>
      <c r="J387" s="161"/>
      <c r="K387" s="511"/>
      <c r="L387" s="511"/>
      <c r="M387" s="161"/>
      <c r="N387" s="161"/>
      <c r="O387" s="161"/>
      <c r="P387" s="161"/>
      <c r="Q387" s="161"/>
      <c r="R387" s="161"/>
      <c r="S387" s="161"/>
      <c r="T387" s="161"/>
      <c r="U387" s="161"/>
      <c r="V387" s="161"/>
      <c r="W387" s="161"/>
      <c r="X387" s="161"/>
      <c r="Y387" s="161"/>
      <c r="Z387" s="161"/>
      <c r="AA387" s="161"/>
      <c r="AB387" s="161"/>
    </row>
    <row r="388">
      <c r="A388" s="511"/>
      <c r="B388" s="161"/>
      <c r="C388" s="161"/>
      <c r="D388" s="161"/>
      <c r="E388" s="161"/>
      <c r="F388" s="161"/>
      <c r="G388" s="161"/>
      <c r="H388" s="161"/>
      <c r="I388" s="161"/>
      <c r="J388" s="161"/>
      <c r="K388" s="511"/>
      <c r="L388" s="511"/>
      <c r="M388" s="161"/>
      <c r="N388" s="161"/>
      <c r="O388" s="161"/>
      <c r="P388" s="161"/>
      <c r="Q388" s="161"/>
      <c r="R388" s="161"/>
      <c r="S388" s="161"/>
      <c r="T388" s="161"/>
      <c r="U388" s="161"/>
      <c r="V388" s="161"/>
      <c r="W388" s="161"/>
      <c r="X388" s="161"/>
      <c r="Y388" s="161"/>
      <c r="Z388" s="161"/>
      <c r="AA388" s="161"/>
      <c r="AB388" s="161"/>
    </row>
    <row r="389">
      <c r="A389" s="511"/>
      <c r="B389" s="161"/>
      <c r="C389" s="161"/>
      <c r="D389" s="161"/>
      <c r="E389" s="161"/>
      <c r="F389" s="161"/>
      <c r="G389" s="161"/>
      <c r="H389" s="161"/>
      <c r="I389" s="161"/>
      <c r="J389" s="161"/>
      <c r="K389" s="511"/>
      <c r="L389" s="511"/>
      <c r="M389" s="161"/>
      <c r="N389" s="161"/>
      <c r="O389" s="161"/>
      <c r="P389" s="161"/>
      <c r="Q389" s="161"/>
      <c r="R389" s="161"/>
      <c r="S389" s="161"/>
      <c r="T389" s="161"/>
      <c r="U389" s="161"/>
      <c r="V389" s="161"/>
      <c r="W389" s="161"/>
      <c r="X389" s="161"/>
      <c r="Y389" s="161"/>
      <c r="Z389" s="161"/>
      <c r="AA389" s="161"/>
      <c r="AB389" s="161"/>
    </row>
    <row r="390">
      <c r="A390" s="511"/>
      <c r="B390" s="161"/>
      <c r="C390" s="161"/>
      <c r="D390" s="161"/>
      <c r="E390" s="161"/>
      <c r="F390" s="161"/>
      <c r="G390" s="161"/>
      <c r="H390" s="161"/>
      <c r="I390" s="161"/>
      <c r="J390" s="161"/>
      <c r="K390" s="511"/>
      <c r="L390" s="511"/>
      <c r="M390" s="161"/>
      <c r="N390" s="161"/>
      <c r="O390" s="161"/>
      <c r="P390" s="161"/>
      <c r="Q390" s="161"/>
      <c r="R390" s="161"/>
      <c r="S390" s="161"/>
      <c r="T390" s="161"/>
      <c r="U390" s="161"/>
      <c r="V390" s="161"/>
      <c r="W390" s="161"/>
      <c r="X390" s="161"/>
      <c r="Y390" s="161"/>
      <c r="Z390" s="161"/>
      <c r="AA390" s="161"/>
      <c r="AB390" s="161"/>
    </row>
    <row r="391">
      <c r="A391" s="511"/>
      <c r="B391" s="161"/>
      <c r="C391" s="161"/>
      <c r="D391" s="161"/>
      <c r="E391" s="161"/>
      <c r="F391" s="161"/>
      <c r="G391" s="161"/>
      <c r="H391" s="161"/>
      <c r="I391" s="161"/>
      <c r="J391" s="161"/>
      <c r="K391" s="511"/>
      <c r="L391" s="511"/>
      <c r="M391" s="161"/>
      <c r="N391" s="161"/>
      <c r="O391" s="161"/>
      <c r="P391" s="161"/>
      <c r="Q391" s="161"/>
      <c r="R391" s="161"/>
      <c r="S391" s="161"/>
      <c r="T391" s="161"/>
      <c r="U391" s="161"/>
      <c r="V391" s="161"/>
      <c r="W391" s="161"/>
      <c r="X391" s="161"/>
      <c r="Y391" s="161"/>
      <c r="Z391" s="161"/>
      <c r="AA391" s="161"/>
      <c r="AB391" s="161"/>
    </row>
    <row r="392">
      <c r="A392" s="511"/>
      <c r="B392" s="161"/>
      <c r="C392" s="161"/>
      <c r="D392" s="161"/>
      <c r="E392" s="161"/>
      <c r="F392" s="161"/>
      <c r="G392" s="161"/>
      <c r="H392" s="161"/>
      <c r="I392" s="161"/>
      <c r="J392" s="161"/>
      <c r="K392" s="511"/>
      <c r="L392" s="511"/>
      <c r="M392" s="161"/>
      <c r="N392" s="161"/>
      <c r="O392" s="161"/>
      <c r="P392" s="161"/>
      <c r="Q392" s="161"/>
      <c r="R392" s="161"/>
      <c r="S392" s="161"/>
      <c r="T392" s="161"/>
      <c r="U392" s="161"/>
      <c r="V392" s="161"/>
      <c r="W392" s="161"/>
      <c r="X392" s="161"/>
      <c r="Y392" s="161"/>
      <c r="Z392" s="161"/>
      <c r="AA392" s="161"/>
      <c r="AB392" s="161"/>
    </row>
    <row r="393">
      <c r="A393" s="511"/>
      <c r="B393" s="161"/>
      <c r="C393" s="161"/>
      <c r="D393" s="161"/>
      <c r="E393" s="161"/>
      <c r="F393" s="161"/>
      <c r="G393" s="161"/>
      <c r="H393" s="161"/>
      <c r="I393" s="161"/>
      <c r="J393" s="161"/>
      <c r="K393" s="511"/>
      <c r="L393" s="511"/>
      <c r="M393" s="161"/>
      <c r="N393" s="161"/>
      <c r="O393" s="161"/>
      <c r="P393" s="161"/>
      <c r="Q393" s="161"/>
      <c r="R393" s="161"/>
      <c r="S393" s="161"/>
      <c r="T393" s="161"/>
      <c r="U393" s="161"/>
      <c r="V393" s="161"/>
      <c r="W393" s="161"/>
      <c r="X393" s="161"/>
      <c r="Y393" s="161"/>
      <c r="Z393" s="161"/>
      <c r="AA393" s="161"/>
      <c r="AB393" s="161"/>
    </row>
    <row r="394">
      <c r="A394" s="511"/>
      <c r="B394" s="161"/>
      <c r="C394" s="161"/>
      <c r="D394" s="161"/>
      <c r="E394" s="161"/>
      <c r="F394" s="161"/>
      <c r="G394" s="161"/>
      <c r="H394" s="161"/>
      <c r="I394" s="161"/>
      <c r="J394" s="161"/>
      <c r="K394" s="511"/>
      <c r="L394" s="511"/>
      <c r="M394" s="161"/>
      <c r="N394" s="161"/>
      <c r="O394" s="161"/>
      <c r="P394" s="161"/>
      <c r="Q394" s="161"/>
      <c r="R394" s="161"/>
      <c r="S394" s="161"/>
      <c r="T394" s="161"/>
      <c r="U394" s="161"/>
      <c r="V394" s="161"/>
      <c r="W394" s="161"/>
      <c r="X394" s="161"/>
      <c r="Y394" s="161"/>
      <c r="Z394" s="161"/>
      <c r="AA394" s="161"/>
      <c r="AB394" s="161"/>
    </row>
    <row r="395">
      <c r="A395" s="511"/>
      <c r="B395" s="161"/>
      <c r="C395" s="161"/>
      <c r="D395" s="161"/>
      <c r="E395" s="161"/>
      <c r="F395" s="161"/>
      <c r="G395" s="161"/>
      <c r="H395" s="161"/>
      <c r="I395" s="161"/>
      <c r="J395" s="161"/>
      <c r="K395" s="511"/>
      <c r="L395" s="511"/>
      <c r="M395" s="161"/>
      <c r="N395" s="161"/>
      <c r="O395" s="161"/>
      <c r="P395" s="161"/>
      <c r="Q395" s="161"/>
      <c r="R395" s="161"/>
      <c r="S395" s="161"/>
      <c r="T395" s="161"/>
      <c r="U395" s="161"/>
      <c r="V395" s="161"/>
      <c r="W395" s="161"/>
      <c r="X395" s="161"/>
      <c r="Y395" s="161"/>
      <c r="Z395" s="161"/>
      <c r="AA395" s="161"/>
      <c r="AB395" s="161"/>
    </row>
    <row r="396">
      <c r="A396" s="511"/>
      <c r="B396" s="161"/>
      <c r="C396" s="161"/>
      <c r="D396" s="161"/>
      <c r="E396" s="161"/>
      <c r="F396" s="161"/>
      <c r="G396" s="161"/>
      <c r="H396" s="161"/>
      <c r="I396" s="161"/>
      <c r="J396" s="161"/>
      <c r="K396" s="511"/>
      <c r="L396" s="511"/>
      <c r="M396" s="161"/>
      <c r="N396" s="161"/>
      <c r="O396" s="161"/>
      <c r="P396" s="161"/>
      <c r="Q396" s="161"/>
      <c r="R396" s="161"/>
      <c r="S396" s="161"/>
      <c r="T396" s="161"/>
      <c r="U396" s="161"/>
      <c r="V396" s="161"/>
      <c r="W396" s="161"/>
      <c r="X396" s="161"/>
      <c r="Y396" s="161"/>
      <c r="Z396" s="161"/>
      <c r="AA396" s="161"/>
      <c r="AB396" s="161"/>
    </row>
    <row r="397">
      <c r="A397" s="511"/>
      <c r="B397" s="161"/>
      <c r="C397" s="161"/>
      <c r="D397" s="161"/>
      <c r="E397" s="161"/>
      <c r="F397" s="161"/>
      <c r="G397" s="161"/>
      <c r="H397" s="161"/>
      <c r="I397" s="161"/>
      <c r="J397" s="161"/>
      <c r="K397" s="511"/>
      <c r="L397" s="511"/>
      <c r="M397" s="161"/>
      <c r="N397" s="161"/>
      <c r="O397" s="161"/>
      <c r="P397" s="161"/>
      <c r="Q397" s="161"/>
      <c r="R397" s="161"/>
      <c r="S397" s="161"/>
      <c r="T397" s="161"/>
      <c r="U397" s="161"/>
      <c r="V397" s="161"/>
      <c r="W397" s="161"/>
      <c r="X397" s="161"/>
      <c r="Y397" s="161"/>
      <c r="Z397" s="161"/>
      <c r="AA397" s="161"/>
      <c r="AB397" s="161"/>
    </row>
    <row r="398">
      <c r="A398" s="511"/>
      <c r="B398" s="161"/>
      <c r="C398" s="161"/>
      <c r="D398" s="161"/>
      <c r="E398" s="161"/>
      <c r="F398" s="161"/>
      <c r="G398" s="161"/>
      <c r="H398" s="161"/>
      <c r="I398" s="161"/>
      <c r="J398" s="161"/>
      <c r="K398" s="511"/>
      <c r="L398" s="511"/>
      <c r="M398" s="161"/>
      <c r="N398" s="161"/>
      <c r="O398" s="161"/>
      <c r="P398" s="161"/>
      <c r="Q398" s="161"/>
      <c r="R398" s="161"/>
      <c r="S398" s="161"/>
      <c r="T398" s="161"/>
      <c r="U398" s="161"/>
      <c r="V398" s="161"/>
      <c r="W398" s="161"/>
      <c r="X398" s="161"/>
      <c r="Y398" s="161"/>
      <c r="Z398" s="161"/>
      <c r="AA398" s="161"/>
      <c r="AB398" s="161"/>
    </row>
    <row r="399">
      <c r="A399" s="511"/>
      <c r="B399" s="161"/>
      <c r="C399" s="161"/>
      <c r="D399" s="161"/>
      <c r="E399" s="161"/>
      <c r="F399" s="161"/>
      <c r="G399" s="161"/>
      <c r="H399" s="161"/>
      <c r="I399" s="161"/>
      <c r="J399" s="161"/>
      <c r="K399" s="511"/>
      <c r="L399" s="511"/>
      <c r="M399" s="161"/>
      <c r="N399" s="161"/>
      <c r="O399" s="161"/>
      <c r="P399" s="161"/>
      <c r="Q399" s="161"/>
      <c r="R399" s="161"/>
      <c r="S399" s="161"/>
      <c r="T399" s="161"/>
      <c r="U399" s="161"/>
      <c r="V399" s="161"/>
      <c r="W399" s="161"/>
      <c r="X399" s="161"/>
      <c r="Y399" s="161"/>
      <c r="Z399" s="161"/>
      <c r="AA399" s="161"/>
      <c r="AB399" s="161"/>
    </row>
    <row r="400">
      <c r="A400" s="511"/>
      <c r="B400" s="161"/>
      <c r="C400" s="161"/>
      <c r="D400" s="161"/>
      <c r="E400" s="161"/>
      <c r="F400" s="161"/>
      <c r="G400" s="161"/>
      <c r="H400" s="161"/>
      <c r="I400" s="161"/>
      <c r="J400" s="161"/>
      <c r="K400" s="511"/>
      <c r="L400" s="511"/>
      <c r="M400" s="161"/>
      <c r="N400" s="161"/>
      <c r="O400" s="161"/>
      <c r="P400" s="161"/>
      <c r="Q400" s="161"/>
      <c r="R400" s="161"/>
      <c r="S400" s="161"/>
      <c r="T400" s="161"/>
      <c r="U400" s="161"/>
      <c r="V400" s="161"/>
      <c r="W400" s="161"/>
      <c r="X400" s="161"/>
      <c r="Y400" s="161"/>
      <c r="Z400" s="161"/>
      <c r="AA400" s="161"/>
      <c r="AB400" s="161"/>
    </row>
    <row r="401">
      <c r="A401" s="511"/>
      <c r="B401" s="161"/>
      <c r="C401" s="161"/>
      <c r="D401" s="161"/>
      <c r="E401" s="161"/>
      <c r="F401" s="161"/>
      <c r="G401" s="161"/>
      <c r="H401" s="161"/>
      <c r="I401" s="161"/>
      <c r="J401" s="161"/>
      <c r="K401" s="511"/>
      <c r="L401" s="511"/>
      <c r="M401" s="161"/>
      <c r="N401" s="161"/>
      <c r="O401" s="161"/>
      <c r="P401" s="161"/>
      <c r="Q401" s="161"/>
      <c r="R401" s="161"/>
      <c r="S401" s="161"/>
      <c r="T401" s="161"/>
      <c r="U401" s="161"/>
      <c r="V401" s="161"/>
      <c r="W401" s="161"/>
      <c r="X401" s="161"/>
      <c r="Y401" s="161"/>
      <c r="Z401" s="161"/>
      <c r="AA401" s="161"/>
      <c r="AB401" s="161"/>
    </row>
    <row r="402">
      <c r="A402" s="511"/>
      <c r="B402" s="161"/>
      <c r="C402" s="161"/>
      <c r="D402" s="161"/>
      <c r="E402" s="161"/>
      <c r="F402" s="161"/>
      <c r="G402" s="161"/>
      <c r="H402" s="161"/>
      <c r="I402" s="161"/>
      <c r="J402" s="161"/>
      <c r="K402" s="511"/>
      <c r="L402" s="511"/>
      <c r="M402" s="161"/>
      <c r="N402" s="161"/>
      <c r="O402" s="161"/>
      <c r="P402" s="161"/>
      <c r="Q402" s="161"/>
      <c r="R402" s="161"/>
      <c r="S402" s="161"/>
      <c r="T402" s="161"/>
      <c r="U402" s="161"/>
      <c r="V402" s="161"/>
      <c r="W402" s="161"/>
      <c r="X402" s="161"/>
      <c r="Y402" s="161"/>
      <c r="Z402" s="161"/>
      <c r="AA402" s="161"/>
      <c r="AB402" s="161"/>
    </row>
    <row r="403">
      <c r="A403" s="511"/>
      <c r="B403" s="161"/>
      <c r="C403" s="161"/>
      <c r="D403" s="161"/>
      <c r="E403" s="161"/>
      <c r="F403" s="161"/>
      <c r="G403" s="161"/>
      <c r="H403" s="161"/>
      <c r="I403" s="161"/>
      <c r="J403" s="161"/>
      <c r="K403" s="511"/>
      <c r="L403" s="511"/>
      <c r="M403" s="161"/>
      <c r="N403" s="161"/>
      <c r="O403" s="161"/>
      <c r="P403" s="161"/>
      <c r="Q403" s="161"/>
      <c r="R403" s="161"/>
      <c r="S403" s="161"/>
      <c r="T403" s="161"/>
      <c r="U403" s="161"/>
      <c r="V403" s="161"/>
      <c r="W403" s="161"/>
      <c r="X403" s="161"/>
      <c r="Y403" s="161"/>
      <c r="Z403" s="161"/>
      <c r="AA403" s="161"/>
      <c r="AB403" s="161"/>
    </row>
    <row r="404">
      <c r="A404" s="511"/>
      <c r="B404" s="161"/>
      <c r="C404" s="161"/>
      <c r="D404" s="161"/>
      <c r="E404" s="161"/>
      <c r="F404" s="161"/>
      <c r="G404" s="161"/>
      <c r="H404" s="161"/>
      <c r="I404" s="161"/>
      <c r="J404" s="161"/>
      <c r="K404" s="511"/>
      <c r="L404" s="511"/>
      <c r="M404" s="161"/>
      <c r="N404" s="161"/>
      <c r="O404" s="161"/>
      <c r="P404" s="161"/>
      <c r="Q404" s="161"/>
      <c r="R404" s="161"/>
      <c r="S404" s="161"/>
      <c r="T404" s="161"/>
      <c r="U404" s="161"/>
      <c r="V404" s="161"/>
      <c r="W404" s="161"/>
      <c r="X404" s="161"/>
      <c r="Y404" s="161"/>
      <c r="Z404" s="161"/>
      <c r="AA404" s="161"/>
      <c r="AB404" s="161"/>
    </row>
    <row r="405">
      <c r="A405" s="511"/>
      <c r="B405" s="161"/>
      <c r="C405" s="161"/>
      <c r="D405" s="161"/>
      <c r="E405" s="161"/>
      <c r="F405" s="161"/>
      <c r="G405" s="161"/>
      <c r="H405" s="161"/>
      <c r="I405" s="161"/>
      <c r="J405" s="161"/>
      <c r="K405" s="511"/>
      <c r="L405" s="511"/>
      <c r="M405" s="161"/>
      <c r="N405" s="161"/>
      <c r="O405" s="161"/>
      <c r="P405" s="161"/>
      <c r="Q405" s="161"/>
      <c r="R405" s="161"/>
      <c r="S405" s="161"/>
      <c r="T405" s="161"/>
      <c r="U405" s="161"/>
      <c r="V405" s="161"/>
      <c r="W405" s="161"/>
      <c r="X405" s="161"/>
      <c r="Y405" s="161"/>
      <c r="Z405" s="161"/>
      <c r="AA405" s="161"/>
      <c r="AB405" s="161"/>
    </row>
    <row r="406">
      <c r="A406" s="511"/>
      <c r="B406" s="161"/>
      <c r="C406" s="161"/>
      <c r="D406" s="161"/>
      <c r="E406" s="161"/>
      <c r="F406" s="161"/>
      <c r="G406" s="161"/>
      <c r="H406" s="161"/>
      <c r="I406" s="161"/>
      <c r="J406" s="161"/>
      <c r="K406" s="511"/>
      <c r="L406" s="511"/>
      <c r="M406" s="161"/>
      <c r="N406" s="161"/>
      <c r="O406" s="161"/>
      <c r="P406" s="161"/>
      <c r="Q406" s="161"/>
      <c r="R406" s="161"/>
      <c r="S406" s="161"/>
      <c r="T406" s="161"/>
      <c r="U406" s="161"/>
      <c r="V406" s="161"/>
      <c r="W406" s="161"/>
      <c r="X406" s="161"/>
      <c r="Y406" s="161"/>
      <c r="Z406" s="161"/>
      <c r="AA406" s="161"/>
      <c r="AB406" s="161"/>
    </row>
    <row r="407">
      <c r="A407" s="511"/>
      <c r="B407" s="161"/>
      <c r="C407" s="161"/>
      <c r="D407" s="161"/>
      <c r="E407" s="161"/>
      <c r="F407" s="161"/>
      <c r="G407" s="161"/>
      <c r="H407" s="161"/>
      <c r="I407" s="161"/>
      <c r="J407" s="161"/>
      <c r="K407" s="511"/>
      <c r="L407" s="511"/>
      <c r="M407" s="161"/>
      <c r="N407" s="161"/>
      <c r="O407" s="161"/>
      <c r="P407" s="161"/>
      <c r="Q407" s="161"/>
      <c r="R407" s="161"/>
      <c r="S407" s="161"/>
      <c r="T407" s="161"/>
      <c r="U407" s="161"/>
      <c r="V407" s="161"/>
      <c r="W407" s="161"/>
      <c r="X407" s="161"/>
      <c r="Y407" s="161"/>
      <c r="Z407" s="161"/>
      <c r="AA407" s="161"/>
      <c r="AB407" s="161"/>
    </row>
    <row r="408">
      <c r="A408" s="511"/>
      <c r="B408" s="161"/>
      <c r="C408" s="161"/>
      <c r="D408" s="161"/>
      <c r="E408" s="161"/>
      <c r="F408" s="161"/>
      <c r="G408" s="161"/>
      <c r="H408" s="161"/>
      <c r="I408" s="161"/>
      <c r="J408" s="161"/>
      <c r="K408" s="511"/>
      <c r="L408" s="511"/>
      <c r="M408" s="161"/>
      <c r="N408" s="161"/>
      <c r="O408" s="161"/>
      <c r="P408" s="161"/>
      <c r="Q408" s="161"/>
      <c r="R408" s="161"/>
      <c r="S408" s="161"/>
      <c r="T408" s="161"/>
      <c r="U408" s="161"/>
      <c r="V408" s="161"/>
      <c r="W408" s="161"/>
      <c r="X408" s="161"/>
      <c r="Y408" s="161"/>
      <c r="Z408" s="161"/>
      <c r="AA408" s="161"/>
      <c r="AB408" s="161"/>
    </row>
    <row r="409">
      <c r="A409" s="511"/>
      <c r="B409" s="161"/>
      <c r="C409" s="161"/>
      <c r="D409" s="161"/>
      <c r="E409" s="161"/>
      <c r="F409" s="161"/>
      <c r="G409" s="161"/>
      <c r="H409" s="161"/>
      <c r="I409" s="161"/>
      <c r="J409" s="161"/>
      <c r="K409" s="511"/>
      <c r="L409" s="511"/>
      <c r="M409" s="161"/>
      <c r="N409" s="161"/>
      <c r="O409" s="161"/>
      <c r="P409" s="161"/>
      <c r="Q409" s="161"/>
      <c r="R409" s="161"/>
      <c r="S409" s="161"/>
      <c r="T409" s="161"/>
      <c r="U409" s="161"/>
      <c r="V409" s="161"/>
      <c r="W409" s="161"/>
      <c r="X409" s="161"/>
      <c r="Y409" s="161"/>
      <c r="Z409" s="161"/>
      <c r="AA409" s="161"/>
      <c r="AB409" s="161"/>
    </row>
    <row r="410">
      <c r="A410" s="511"/>
      <c r="B410" s="161"/>
      <c r="C410" s="161"/>
      <c r="D410" s="161"/>
      <c r="E410" s="161"/>
      <c r="F410" s="161"/>
      <c r="G410" s="161"/>
      <c r="H410" s="161"/>
      <c r="I410" s="161"/>
      <c r="J410" s="161"/>
      <c r="K410" s="511"/>
      <c r="L410" s="511"/>
      <c r="M410" s="161"/>
      <c r="N410" s="161"/>
      <c r="O410" s="161"/>
      <c r="P410" s="161"/>
      <c r="Q410" s="161"/>
      <c r="R410" s="161"/>
      <c r="S410" s="161"/>
      <c r="T410" s="161"/>
      <c r="U410" s="161"/>
      <c r="V410" s="161"/>
      <c r="W410" s="161"/>
      <c r="X410" s="161"/>
      <c r="Y410" s="161"/>
      <c r="Z410" s="161"/>
      <c r="AA410" s="161"/>
      <c r="AB410" s="161"/>
    </row>
    <row r="411">
      <c r="A411" s="511"/>
      <c r="B411" s="161"/>
      <c r="C411" s="161"/>
      <c r="D411" s="161"/>
      <c r="E411" s="161"/>
      <c r="F411" s="161"/>
      <c r="G411" s="161"/>
      <c r="H411" s="161"/>
      <c r="I411" s="161"/>
      <c r="J411" s="161"/>
      <c r="K411" s="511"/>
      <c r="L411" s="511"/>
      <c r="M411" s="161"/>
      <c r="N411" s="161"/>
      <c r="O411" s="161"/>
      <c r="P411" s="161"/>
      <c r="Q411" s="161"/>
      <c r="R411" s="161"/>
      <c r="S411" s="161"/>
      <c r="T411" s="161"/>
      <c r="U411" s="161"/>
      <c r="V411" s="161"/>
      <c r="W411" s="161"/>
      <c r="X411" s="161"/>
      <c r="Y411" s="161"/>
      <c r="Z411" s="161"/>
      <c r="AA411" s="161"/>
      <c r="AB411" s="161"/>
    </row>
    <row r="412">
      <c r="A412" s="511"/>
      <c r="B412" s="161"/>
      <c r="C412" s="161"/>
      <c r="D412" s="161"/>
      <c r="E412" s="161"/>
      <c r="F412" s="161"/>
      <c r="G412" s="161"/>
      <c r="H412" s="161"/>
      <c r="I412" s="161"/>
      <c r="J412" s="161"/>
      <c r="K412" s="511"/>
      <c r="L412" s="511"/>
      <c r="M412" s="161"/>
      <c r="N412" s="161"/>
      <c r="O412" s="161"/>
      <c r="P412" s="161"/>
      <c r="Q412" s="161"/>
      <c r="R412" s="161"/>
      <c r="S412" s="161"/>
      <c r="T412" s="161"/>
      <c r="U412" s="161"/>
      <c r="V412" s="161"/>
      <c r="W412" s="161"/>
      <c r="X412" s="161"/>
      <c r="Y412" s="161"/>
      <c r="Z412" s="161"/>
      <c r="AA412" s="161"/>
      <c r="AB412" s="161"/>
    </row>
    <row r="413">
      <c r="A413" s="511"/>
      <c r="B413" s="161"/>
      <c r="C413" s="161"/>
      <c r="D413" s="161"/>
      <c r="E413" s="161"/>
      <c r="F413" s="161"/>
      <c r="G413" s="161"/>
      <c r="H413" s="161"/>
      <c r="I413" s="161"/>
      <c r="J413" s="161"/>
      <c r="K413" s="511"/>
      <c r="L413" s="511"/>
      <c r="M413" s="161"/>
      <c r="N413" s="161"/>
      <c r="O413" s="161"/>
      <c r="P413" s="161"/>
      <c r="Q413" s="161"/>
      <c r="R413" s="161"/>
      <c r="S413" s="161"/>
      <c r="T413" s="161"/>
      <c r="U413" s="161"/>
      <c r="V413" s="161"/>
      <c r="W413" s="161"/>
      <c r="X413" s="161"/>
      <c r="Y413" s="161"/>
      <c r="Z413" s="161"/>
      <c r="AA413" s="161"/>
      <c r="AB413" s="161"/>
    </row>
    <row r="414">
      <c r="A414" s="511"/>
      <c r="B414" s="161"/>
      <c r="C414" s="161"/>
      <c r="D414" s="161"/>
      <c r="E414" s="161"/>
      <c r="F414" s="161"/>
      <c r="G414" s="161"/>
      <c r="H414" s="161"/>
      <c r="I414" s="161"/>
      <c r="J414" s="161"/>
      <c r="K414" s="511"/>
      <c r="L414" s="511"/>
      <c r="M414" s="161"/>
      <c r="N414" s="161"/>
      <c r="O414" s="161"/>
      <c r="P414" s="161"/>
      <c r="Q414" s="161"/>
      <c r="R414" s="161"/>
      <c r="S414" s="161"/>
      <c r="T414" s="161"/>
      <c r="U414" s="161"/>
      <c r="V414" s="161"/>
      <c r="W414" s="161"/>
      <c r="X414" s="161"/>
      <c r="Y414" s="161"/>
      <c r="Z414" s="161"/>
      <c r="AA414" s="161"/>
      <c r="AB414" s="161"/>
    </row>
    <row r="415">
      <c r="A415" s="511"/>
      <c r="B415" s="161"/>
      <c r="C415" s="161"/>
      <c r="D415" s="161"/>
      <c r="E415" s="161"/>
      <c r="F415" s="161"/>
      <c r="G415" s="161"/>
      <c r="H415" s="161"/>
      <c r="I415" s="161"/>
      <c r="J415" s="161"/>
      <c r="K415" s="511"/>
      <c r="L415" s="511"/>
      <c r="M415" s="161"/>
      <c r="N415" s="161"/>
      <c r="O415" s="161"/>
      <c r="P415" s="161"/>
      <c r="Q415" s="161"/>
      <c r="R415" s="161"/>
      <c r="S415" s="161"/>
      <c r="T415" s="161"/>
      <c r="U415" s="161"/>
      <c r="V415" s="161"/>
      <c r="W415" s="161"/>
      <c r="X415" s="161"/>
      <c r="Y415" s="161"/>
      <c r="Z415" s="161"/>
      <c r="AA415" s="161"/>
      <c r="AB415" s="161"/>
    </row>
    <row r="416">
      <c r="A416" s="511"/>
      <c r="B416" s="161"/>
      <c r="C416" s="161"/>
      <c r="D416" s="161"/>
      <c r="E416" s="161"/>
      <c r="F416" s="161"/>
      <c r="G416" s="161"/>
      <c r="H416" s="161"/>
      <c r="I416" s="161"/>
      <c r="J416" s="161"/>
      <c r="K416" s="511"/>
      <c r="L416" s="511"/>
      <c r="M416" s="161"/>
      <c r="N416" s="161"/>
      <c r="O416" s="161"/>
      <c r="P416" s="161"/>
      <c r="Q416" s="161"/>
      <c r="R416" s="161"/>
      <c r="S416" s="161"/>
      <c r="T416" s="161"/>
      <c r="U416" s="161"/>
      <c r="V416" s="161"/>
      <c r="W416" s="161"/>
      <c r="X416" s="161"/>
      <c r="Y416" s="161"/>
      <c r="Z416" s="161"/>
      <c r="AA416" s="161"/>
      <c r="AB416" s="161"/>
    </row>
    <row r="417">
      <c r="A417" s="511"/>
      <c r="B417" s="161"/>
      <c r="C417" s="161"/>
      <c r="D417" s="161"/>
      <c r="E417" s="161"/>
      <c r="F417" s="161"/>
      <c r="G417" s="161"/>
      <c r="H417" s="161"/>
      <c r="I417" s="161"/>
      <c r="J417" s="161"/>
      <c r="K417" s="511"/>
      <c r="L417" s="511"/>
      <c r="M417" s="161"/>
      <c r="N417" s="161"/>
      <c r="O417" s="161"/>
      <c r="P417" s="161"/>
      <c r="Q417" s="161"/>
      <c r="R417" s="161"/>
      <c r="S417" s="161"/>
      <c r="T417" s="161"/>
      <c r="U417" s="161"/>
      <c r="V417" s="161"/>
      <c r="W417" s="161"/>
      <c r="X417" s="161"/>
      <c r="Y417" s="161"/>
      <c r="Z417" s="161"/>
      <c r="AA417" s="161"/>
      <c r="AB417" s="161"/>
    </row>
    <row r="418">
      <c r="A418" s="511"/>
      <c r="B418" s="161"/>
      <c r="C418" s="161"/>
      <c r="D418" s="161"/>
      <c r="E418" s="161"/>
      <c r="F418" s="161"/>
      <c r="G418" s="161"/>
      <c r="H418" s="161"/>
      <c r="I418" s="161"/>
      <c r="J418" s="161"/>
      <c r="K418" s="511"/>
      <c r="L418" s="511"/>
      <c r="M418" s="161"/>
      <c r="N418" s="161"/>
      <c r="O418" s="161"/>
      <c r="P418" s="161"/>
      <c r="Q418" s="161"/>
      <c r="R418" s="161"/>
      <c r="S418" s="161"/>
      <c r="T418" s="161"/>
      <c r="U418" s="161"/>
      <c r="V418" s="161"/>
      <c r="W418" s="161"/>
      <c r="X418" s="161"/>
      <c r="Y418" s="161"/>
      <c r="Z418" s="161"/>
      <c r="AA418" s="161"/>
      <c r="AB418" s="161"/>
    </row>
    <row r="419">
      <c r="A419" s="511"/>
      <c r="B419" s="161"/>
      <c r="C419" s="161"/>
      <c r="D419" s="161"/>
      <c r="E419" s="161"/>
      <c r="F419" s="161"/>
      <c r="G419" s="161"/>
      <c r="H419" s="161"/>
      <c r="I419" s="161"/>
      <c r="J419" s="161"/>
      <c r="K419" s="511"/>
      <c r="L419" s="511"/>
      <c r="M419" s="161"/>
      <c r="N419" s="161"/>
      <c r="O419" s="161"/>
      <c r="P419" s="161"/>
      <c r="Q419" s="161"/>
      <c r="R419" s="161"/>
      <c r="S419" s="161"/>
      <c r="T419" s="161"/>
      <c r="U419" s="161"/>
      <c r="V419" s="161"/>
      <c r="W419" s="161"/>
      <c r="X419" s="161"/>
      <c r="Y419" s="161"/>
      <c r="Z419" s="161"/>
      <c r="AA419" s="161"/>
      <c r="AB419" s="161"/>
    </row>
    <row r="420">
      <c r="A420" s="511"/>
      <c r="B420" s="161"/>
      <c r="C420" s="161"/>
      <c r="D420" s="161"/>
      <c r="E420" s="161"/>
      <c r="F420" s="161"/>
      <c r="G420" s="161"/>
      <c r="H420" s="161"/>
      <c r="I420" s="161"/>
      <c r="J420" s="161"/>
      <c r="K420" s="511"/>
      <c r="L420" s="511"/>
      <c r="M420" s="161"/>
      <c r="N420" s="161"/>
      <c r="O420" s="161"/>
      <c r="P420" s="161"/>
      <c r="Q420" s="161"/>
      <c r="R420" s="161"/>
      <c r="S420" s="161"/>
      <c r="T420" s="161"/>
      <c r="U420" s="161"/>
      <c r="V420" s="161"/>
      <c r="W420" s="161"/>
      <c r="X420" s="161"/>
      <c r="Y420" s="161"/>
      <c r="Z420" s="161"/>
      <c r="AA420" s="161"/>
      <c r="AB420" s="161"/>
    </row>
    <row r="421">
      <c r="A421" s="511"/>
      <c r="B421" s="161"/>
      <c r="C421" s="161"/>
      <c r="D421" s="161"/>
      <c r="E421" s="161"/>
      <c r="F421" s="161"/>
      <c r="G421" s="161"/>
      <c r="H421" s="161"/>
      <c r="I421" s="161"/>
      <c r="J421" s="161"/>
      <c r="K421" s="511"/>
      <c r="L421" s="511"/>
      <c r="M421" s="161"/>
      <c r="N421" s="161"/>
      <c r="O421" s="161"/>
      <c r="P421" s="161"/>
      <c r="Q421" s="161"/>
      <c r="R421" s="161"/>
      <c r="S421" s="161"/>
      <c r="T421" s="161"/>
      <c r="U421" s="161"/>
      <c r="V421" s="161"/>
      <c r="W421" s="161"/>
      <c r="X421" s="161"/>
      <c r="Y421" s="161"/>
      <c r="Z421" s="161"/>
      <c r="AA421" s="161"/>
      <c r="AB421" s="161"/>
    </row>
    <row r="422">
      <c r="A422" s="511"/>
      <c r="B422" s="161"/>
      <c r="C422" s="161"/>
      <c r="D422" s="161"/>
      <c r="E422" s="161"/>
      <c r="F422" s="161"/>
      <c r="G422" s="161"/>
      <c r="H422" s="161"/>
      <c r="I422" s="161"/>
      <c r="J422" s="161"/>
      <c r="K422" s="511"/>
      <c r="L422" s="511"/>
      <c r="M422" s="161"/>
      <c r="N422" s="161"/>
      <c r="O422" s="161"/>
      <c r="P422" s="161"/>
      <c r="Q422" s="161"/>
      <c r="R422" s="161"/>
      <c r="S422" s="161"/>
      <c r="T422" s="161"/>
      <c r="U422" s="161"/>
      <c r="V422" s="161"/>
      <c r="W422" s="161"/>
      <c r="X422" s="161"/>
      <c r="Y422" s="161"/>
      <c r="Z422" s="161"/>
      <c r="AA422" s="161"/>
      <c r="AB422" s="161"/>
    </row>
    <row r="423">
      <c r="A423" s="511"/>
      <c r="B423" s="161"/>
      <c r="C423" s="161"/>
      <c r="D423" s="161"/>
      <c r="E423" s="161"/>
      <c r="F423" s="161"/>
      <c r="G423" s="161"/>
      <c r="H423" s="161"/>
      <c r="I423" s="161"/>
      <c r="J423" s="161"/>
      <c r="K423" s="511"/>
      <c r="L423" s="511"/>
      <c r="M423" s="161"/>
      <c r="N423" s="161"/>
      <c r="O423" s="161"/>
      <c r="P423" s="161"/>
      <c r="Q423" s="161"/>
      <c r="R423" s="161"/>
      <c r="S423" s="161"/>
      <c r="T423" s="161"/>
      <c r="U423" s="161"/>
      <c r="V423" s="161"/>
      <c r="W423" s="161"/>
      <c r="X423" s="161"/>
      <c r="Y423" s="161"/>
      <c r="Z423" s="161"/>
      <c r="AA423" s="161"/>
      <c r="AB423" s="161"/>
    </row>
    <row r="424">
      <c r="A424" s="511"/>
      <c r="B424" s="161"/>
      <c r="C424" s="161"/>
      <c r="D424" s="161"/>
      <c r="E424" s="161"/>
      <c r="F424" s="161"/>
      <c r="G424" s="161"/>
      <c r="H424" s="161"/>
      <c r="I424" s="161"/>
      <c r="J424" s="161"/>
      <c r="K424" s="511"/>
      <c r="L424" s="511"/>
      <c r="M424" s="161"/>
      <c r="N424" s="161"/>
      <c r="O424" s="161"/>
      <c r="P424" s="161"/>
      <c r="Q424" s="161"/>
      <c r="R424" s="161"/>
      <c r="S424" s="161"/>
      <c r="T424" s="161"/>
      <c r="U424" s="161"/>
      <c r="V424" s="161"/>
      <c r="W424" s="161"/>
      <c r="X424" s="161"/>
      <c r="Y424" s="161"/>
      <c r="Z424" s="161"/>
      <c r="AA424" s="161"/>
      <c r="AB424" s="161"/>
    </row>
    <row r="425">
      <c r="A425" s="511"/>
      <c r="B425" s="161"/>
      <c r="C425" s="161"/>
      <c r="D425" s="161"/>
      <c r="E425" s="161"/>
      <c r="F425" s="161"/>
      <c r="G425" s="161"/>
      <c r="H425" s="161"/>
      <c r="I425" s="161"/>
      <c r="J425" s="161"/>
      <c r="K425" s="511"/>
      <c r="L425" s="511"/>
      <c r="M425" s="161"/>
      <c r="N425" s="161"/>
      <c r="O425" s="161"/>
      <c r="P425" s="161"/>
      <c r="Q425" s="161"/>
      <c r="R425" s="161"/>
      <c r="S425" s="161"/>
      <c r="T425" s="161"/>
      <c r="U425" s="161"/>
      <c r="V425" s="161"/>
      <c r="W425" s="161"/>
      <c r="X425" s="161"/>
      <c r="Y425" s="161"/>
      <c r="Z425" s="161"/>
      <c r="AA425" s="161"/>
      <c r="AB425" s="161"/>
    </row>
    <row r="426">
      <c r="A426" s="511"/>
      <c r="B426" s="161"/>
      <c r="C426" s="161"/>
      <c r="D426" s="161"/>
      <c r="E426" s="161"/>
      <c r="F426" s="161"/>
      <c r="G426" s="161"/>
      <c r="H426" s="161"/>
      <c r="I426" s="161"/>
      <c r="J426" s="161"/>
      <c r="K426" s="511"/>
      <c r="L426" s="511"/>
      <c r="M426" s="161"/>
      <c r="N426" s="161"/>
      <c r="O426" s="161"/>
      <c r="P426" s="161"/>
      <c r="Q426" s="161"/>
      <c r="R426" s="161"/>
      <c r="S426" s="161"/>
      <c r="T426" s="161"/>
      <c r="U426" s="161"/>
      <c r="V426" s="161"/>
      <c r="W426" s="161"/>
      <c r="X426" s="161"/>
      <c r="Y426" s="161"/>
      <c r="Z426" s="161"/>
      <c r="AA426" s="161"/>
      <c r="AB426" s="161"/>
    </row>
    <row r="427">
      <c r="A427" s="511"/>
      <c r="B427" s="161"/>
      <c r="C427" s="161"/>
      <c r="D427" s="161"/>
      <c r="E427" s="161"/>
      <c r="F427" s="161"/>
      <c r="G427" s="161"/>
      <c r="H427" s="161"/>
      <c r="I427" s="161"/>
      <c r="J427" s="161"/>
      <c r="K427" s="511"/>
      <c r="L427" s="511"/>
      <c r="M427" s="161"/>
      <c r="N427" s="161"/>
      <c r="O427" s="161"/>
      <c r="P427" s="161"/>
      <c r="Q427" s="161"/>
      <c r="R427" s="161"/>
      <c r="S427" s="161"/>
      <c r="T427" s="161"/>
      <c r="U427" s="161"/>
      <c r="V427" s="161"/>
      <c r="W427" s="161"/>
      <c r="X427" s="161"/>
      <c r="Y427" s="161"/>
      <c r="Z427" s="161"/>
      <c r="AA427" s="161"/>
      <c r="AB427" s="161"/>
    </row>
    <row r="428">
      <c r="A428" s="511"/>
      <c r="B428" s="161"/>
      <c r="C428" s="161"/>
      <c r="D428" s="161"/>
      <c r="E428" s="161"/>
      <c r="F428" s="161"/>
      <c r="G428" s="161"/>
      <c r="H428" s="161"/>
      <c r="I428" s="161"/>
      <c r="J428" s="161"/>
      <c r="K428" s="511"/>
      <c r="L428" s="511"/>
      <c r="M428" s="161"/>
      <c r="N428" s="161"/>
      <c r="O428" s="161"/>
      <c r="P428" s="161"/>
      <c r="Q428" s="161"/>
      <c r="R428" s="161"/>
      <c r="S428" s="161"/>
      <c r="T428" s="161"/>
      <c r="U428" s="161"/>
      <c r="V428" s="161"/>
      <c r="W428" s="161"/>
      <c r="X428" s="161"/>
      <c r="Y428" s="161"/>
      <c r="Z428" s="161"/>
      <c r="AA428" s="161"/>
      <c r="AB428" s="161"/>
    </row>
    <row r="429">
      <c r="A429" s="511"/>
      <c r="B429" s="161"/>
      <c r="C429" s="161"/>
      <c r="D429" s="161"/>
      <c r="E429" s="161"/>
      <c r="F429" s="161"/>
      <c r="G429" s="161"/>
      <c r="H429" s="161"/>
      <c r="I429" s="161"/>
      <c r="J429" s="161"/>
      <c r="K429" s="511"/>
      <c r="L429" s="511"/>
      <c r="M429" s="161"/>
      <c r="N429" s="161"/>
      <c r="O429" s="161"/>
      <c r="P429" s="161"/>
      <c r="Q429" s="161"/>
      <c r="R429" s="161"/>
      <c r="S429" s="161"/>
      <c r="T429" s="161"/>
      <c r="U429" s="161"/>
      <c r="V429" s="161"/>
      <c r="W429" s="161"/>
      <c r="X429" s="161"/>
      <c r="Y429" s="161"/>
      <c r="Z429" s="161"/>
      <c r="AA429" s="161"/>
      <c r="AB429" s="161"/>
    </row>
    <row r="430">
      <c r="A430" s="511"/>
      <c r="B430" s="161"/>
      <c r="C430" s="161"/>
      <c r="D430" s="161"/>
      <c r="E430" s="161"/>
      <c r="F430" s="161"/>
      <c r="G430" s="161"/>
      <c r="H430" s="161"/>
      <c r="I430" s="161"/>
      <c r="J430" s="161"/>
      <c r="K430" s="511"/>
      <c r="L430" s="511"/>
      <c r="M430" s="161"/>
      <c r="N430" s="161"/>
      <c r="O430" s="161"/>
      <c r="P430" s="161"/>
      <c r="Q430" s="161"/>
      <c r="R430" s="161"/>
      <c r="S430" s="161"/>
      <c r="T430" s="161"/>
      <c r="U430" s="161"/>
      <c r="V430" s="161"/>
      <c r="W430" s="161"/>
      <c r="X430" s="161"/>
      <c r="Y430" s="161"/>
      <c r="Z430" s="161"/>
      <c r="AA430" s="161"/>
      <c r="AB430" s="161"/>
    </row>
    <row r="431">
      <c r="A431" s="511"/>
      <c r="B431" s="161"/>
      <c r="C431" s="161"/>
      <c r="D431" s="161"/>
      <c r="E431" s="161"/>
      <c r="F431" s="161"/>
      <c r="G431" s="161"/>
      <c r="H431" s="161"/>
      <c r="I431" s="161"/>
      <c r="J431" s="161"/>
      <c r="K431" s="511"/>
      <c r="L431" s="511"/>
      <c r="M431" s="161"/>
      <c r="N431" s="161"/>
      <c r="O431" s="161"/>
      <c r="P431" s="161"/>
      <c r="Q431" s="161"/>
      <c r="R431" s="161"/>
      <c r="S431" s="161"/>
      <c r="T431" s="161"/>
      <c r="U431" s="161"/>
      <c r="V431" s="161"/>
      <c r="W431" s="161"/>
      <c r="X431" s="161"/>
      <c r="Y431" s="161"/>
      <c r="Z431" s="161"/>
      <c r="AA431" s="161"/>
      <c r="AB431" s="161"/>
    </row>
    <row r="432">
      <c r="A432" s="511"/>
      <c r="B432" s="161"/>
      <c r="C432" s="161"/>
      <c r="D432" s="161"/>
      <c r="E432" s="161"/>
      <c r="F432" s="161"/>
      <c r="G432" s="161"/>
      <c r="H432" s="161"/>
      <c r="I432" s="161"/>
      <c r="J432" s="161"/>
      <c r="K432" s="511"/>
      <c r="L432" s="511"/>
      <c r="M432" s="161"/>
      <c r="N432" s="161"/>
      <c r="O432" s="161"/>
      <c r="P432" s="161"/>
      <c r="Q432" s="161"/>
      <c r="R432" s="161"/>
      <c r="S432" s="161"/>
      <c r="T432" s="161"/>
      <c r="U432" s="161"/>
      <c r="V432" s="161"/>
      <c r="W432" s="161"/>
      <c r="X432" s="161"/>
      <c r="Y432" s="161"/>
      <c r="Z432" s="161"/>
      <c r="AA432" s="161"/>
      <c r="AB432" s="161"/>
    </row>
    <row r="433">
      <c r="A433" s="511"/>
      <c r="B433" s="161"/>
      <c r="C433" s="161"/>
      <c r="D433" s="161"/>
      <c r="E433" s="161"/>
      <c r="F433" s="161"/>
      <c r="G433" s="161"/>
      <c r="H433" s="161"/>
      <c r="I433" s="161"/>
      <c r="J433" s="161"/>
      <c r="K433" s="511"/>
      <c r="L433" s="511"/>
      <c r="M433" s="161"/>
      <c r="N433" s="161"/>
      <c r="O433" s="161"/>
      <c r="P433" s="161"/>
      <c r="Q433" s="161"/>
      <c r="R433" s="161"/>
      <c r="S433" s="161"/>
      <c r="T433" s="161"/>
      <c r="U433" s="161"/>
      <c r="V433" s="161"/>
      <c r="W433" s="161"/>
      <c r="X433" s="161"/>
      <c r="Y433" s="161"/>
      <c r="Z433" s="161"/>
      <c r="AA433" s="161"/>
      <c r="AB433" s="161"/>
    </row>
    <row r="434">
      <c r="A434" s="511"/>
      <c r="B434" s="161"/>
      <c r="C434" s="161"/>
      <c r="D434" s="161"/>
      <c r="E434" s="161"/>
      <c r="F434" s="161"/>
      <c r="G434" s="161"/>
      <c r="H434" s="161"/>
      <c r="I434" s="161"/>
      <c r="J434" s="161"/>
      <c r="K434" s="511"/>
      <c r="L434" s="511"/>
      <c r="M434" s="161"/>
      <c r="N434" s="161"/>
      <c r="O434" s="161"/>
      <c r="P434" s="161"/>
      <c r="Q434" s="161"/>
      <c r="R434" s="161"/>
      <c r="S434" s="161"/>
      <c r="T434" s="161"/>
      <c r="U434" s="161"/>
      <c r="V434" s="161"/>
      <c r="W434" s="161"/>
      <c r="X434" s="161"/>
      <c r="Y434" s="161"/>
      <c r="Z434" s="161"/>
      <c r="AA434" s="161"/>
      <c r="AB434" s="161"/>
    </row>
    <row r="435">
      <c r="A435" s="511"/>
      <c r="B435" s="161"/>
      <c r="C435" s="161"/>
      <c r="D435" s="161"/>
      <c r="E435" s="161"/>
      <c r="F435" s="161"/>
      <c r="G435" s="161"/>
      <c r="H435" s="161"/>
      <c r="I435" s="161"/>
      <c r="J435" s="161"/>
      <c r="K435" s="511"/>
      <c r="L435" s="511"/>
      <c r="M435" s="161"/>
      <c r="N435" s="161"/>
      <c r="O435" s="161"/>
      <c r="P435" s="161"/>
      <c r="Q435" s="161"/>
      <c r="R435" s="161"/>
      <c r="S435" s="161"/>
      <c r="T435" s="161"/>
      <c r="U435" s="161"/>
      <c r="V435" s="161"/>
      <c r="W435" s="161"/>
      <c r="X435" s="161"/>
      <c r="Y435" s="161"/>
      <c r="Z435" s="161"/>
      <c r="AA435" s="161"/>
      <c r="AB435" s="161"/>
    </row>
    <row r="436">
      <c r="A436" s="511"/>
      <c r="B436" s="161"/>
      <c r="C436" s="161"/>
      <c r="D436" s="161"/>
      <c r="E436" s="161"/>
      <c r="F436" s="161"/>
      <c r="G436" s="161"/>
      <c r="H436" s="161"/>
      <c r="I436" s="161"/>
      <c r="J436" s="161"/>
      <c r="K436" s="511"/>
      <c r="L436" s="511"/>
      <c r="M436" s="161"/>
      <c r="N436" s="161"/>
      <c r="O436" s="161"/>
      <c r="P436" s="161"/>
      <c r="Q436" s="161"/>
      <c r="R436" s="161"/>
      <c r="S436" s="161"/>
      <c r="T436" s="161"/>
      <c r="U436" s="161"/>
      <c r="V436" s="161"/>
      <c r="W436" s="161"/>
      <c r="X436" s="161"/>
      <c r="Y436" s="161"/>
      <c r="Z436" s="161"/>
      <c r="AA436" s="161"/>
      <c r="AB436" s="161"/>
    </row>
    <row r="437">
      <c r="A437" s="511"/>
      <c r="B437" s="161"/>
      <c r="C437" s="161"/>
      <c r="D437" s="161"/>
      <c r="E437" s="161"/>
      <c r="F437" s="161"/>
      <c r="G437" s="161"/>
      <c r="H437" s="161"/>
      <c r="I437" s="161"/>
      <c r="J437" s="161"/>
      <c r="K437" s="511"/>
      <c r="L437" s="511"/>
      <c r="M437" s="161"/>
      <c r="N437" s="161"/>
      <c r="O437" s="161"/>
      <c r="P437" s="161"/>
      <c r="Q437" s="161"/>
      <c r="R437" s="161"/>
      <c r="S437" s="161"/>
      <c r="T437" s="161"/>
      <c r="U437" s="161"/>
      <c r="V437" s="161"/>
      <c r="W437" s="161"/>
      <c r="X437" s="161"/>
      <c r="Y437" s="161"/>
      <c r="Z437" s="161"/>
      <c r="AA437" s="161"/>
      <c r="AB437" s="161"/>
    </row>
    <row r="438">
      <c r="A438" s="511"/>
      <c r="B438" s="161"/>
      <c r="C438" s="161"/>
      <c r="D438" s="161"/>
      <c r="E438" s="161"/>
      <c r="F438" s="161"/>
      <c r="G438" s="161"/>
      <c r="H438" s="161"/>
      <c r="I438" s="161"/>
      <c r="J438" s="161"/>
      <c r="K438" s="511"/>
      <c r="L438" s="511"/>
      <c r="M438" s="161"/>
      <c r="N438" s="161"/>
      <c r="O438" s="161"/>
      <c r="P438" s="161"/>
      <c r="Q438" s="161"/>
      <c r="R438" s="161"/>
      <c r="S438" s="161"/>
      <c r="T438" s="161"/>
      <c r="U438" s="161"/>
      <c r="V438" s="161"/>
      <c r="W438" s="161"/>
      <c r="X438" s="161"/>
      <c r="Y438" s="161"/>
      <c r="Z438" s="161"/>
      <c r="AA438" s="161"/>
      <c r="AB438" s="161"/>
    </row>
    <row r="439">
      <c r="A439" s="511"/>
      <c r="B439" s="161"/>
      <c r="C439" s="161"/>
      <c r="D439" s="161"/>
      <c r="E439" s="161"/>
      <c r="F439" s="161"/>
      <c r="G439" s="161"/>
      <c r="H439" s="161"/>
      <c r="I439" s="161"/>
      <c r="J439" s="161"/>
      <c r="K439" s="511"/>
      <c r="L439" s="511"/>
      <c r="M439" s="161"/>
      <c r="N439" s="161"/>
      <c r="O439" s="161"/>
      <c r="P439" s="161"/>
      <c r="Q439" s="161"/>
      <c r="R439" s="161"/>
      <c r="S439" s="161"/>
      <c r="T439" s="161"/>
      <c r="U439" s="161"/>
      <c r="V439" s="161"/>
      <c r="W439" s="161"/>
      <c r="X439" s="161"/>
      <c r="Y439" s="161"/>
      <c r="Z439" s="161"/>
      <c r="AA439" s="161"/>
      <c r="AB439" s="161"/>
    </row>
    <row r="440">
      <c r="A440" s="511"/>
      <c r="B440" s="161"/>
      <c r="C440" s="161"/>
      <c r="D440" s="161"/>
      <c r="E440" s="161"/>
      <c r="F440" s="161"/>
      <c r="G440" s="161"/>
      <c r="H440" s="161"/>
      <c r="I440" s="161"/>
      <c r="J440" s="161"/>
      <c r="K440" s="511"/>
      <c r="L440" s="511"/>
      <c r="M440" s="161"/>
      <c r="N440" s="161"/>
      <c r="O440" s="161"/>
      <c r="P440" s="161"/>
      <c r="Q440" s="161"/>
      <c r="R440" s="161"/>
      <c r="S440" s="161"/>
      <c r="T440" s="161"/>
      <c r="U440" s="161"/>
      <c r="V440" s="161"/>
      <c r="W440" s="161"/>
      <c r="X440" s="161"/>
      <c r="Y440" s="161"/>
      <c r="Z440" s="161"/>
      <c r="AA440" s="161"/>
      <c r="AB440" s="161"/>
    </row>
    <row r="441">
      <c r="A441" s="511"/>
      <c r="B441" s="161"/>
      <c r="C441" s="161"/>
      <c r="D441" s="161"/>
      <c r="E441" s="161"/>
      <c r="F441" s="161"/>
      <c r="G441" s="161"/>
      <c r="H441" s="161"/>
      <c r="I441" s="161"/>
      <c r="J441" s="161"/>
      <c r="K441" s="511"/>
      <c r="L441" s="511"/>
      <c r="M441" s="161"/>
      <c r="N441" s="161"/>
      <c r="O441" s="161"/>
      <c r="P441" s="161"/>
      <c r="Q441" s="161"/>
      <c r="R441" s="161"/>
      <c r="S441" s="161"/>
      <c r="T441" s="161"/>
      <c r="U441" s="161"/>
      <c r="V441" s="161"/>
      <c r="W441" s="161"/>
      <c r="X441" s="161"/>
      <c r="Y441" s="161"/>
      <c r="Z441" s="161"/>
      <c r="AA441" s="161"/>
      <c r="AB441" s="161"/>
    </row>
    <row r="442">
      <c r="A442" s="511"/>
      <c r="B442" s="161"/>
      <c r="C442" s="161"/>
      <c r="D442" s="161"/>
      <c r="E442" s="161"/>
      <c r="F442" s="161"/>
      <c r="G442" s="161"/>
      <c r="H442" s="161"/>
      <c r="I442" s="161"/>
      <c r="J442" s="161"/>
      <c r="K442" s="511"/>
      <c r="L442" s="511"/>
      <c r="M442" s="161"/>
      <c r="N442" s="161"/>
      <c r="O442" s="161"/>
      <c r="P442" s="161"/>
      <c r="Q442" s="161"/>
      <c r="R442" s="161"/>
      <c r="S442" s="161"/>
      <c r="T442" s="161"/>
      <c r="U442" s="161"/>
      <c r="V442" s="161"/>
      <c r="W442" s="161"/>
      <c r="X442" s="161"/>
      <c r="Y442" s="161"/>
      <c r="Z442" s="161"/>
      <c r="AA442" s="161"/>
      <c r="AB442" s="161"/>
    </row>
    <row r="443">
      <c r="A443" s="511"/>
      <c r="B443" s="161"/>
      <c r="C443" s="161"/>
      <c r="D443" s="161"/>
      <c r="E443" s="161"/>
      <c r="F443" s="161"/>
      <c r="G443" s="161"/>
      <c r="H443" s="161"/>
      <c r="I443" s="161"/>
      <c r="J443" s="161"/>
      <c r="K443" s="511"/>
      <c r="L443" s="511"/>
      <c r="M443" s="161"/>
      <c r="N443" s="161"/>
      <c r="O443" s="161"/>
      <c r="P443" s="161"/>
      <c r="Q443" s="161"/>
      <c r="R443" s="161"/>
      <c r="S443" s="161"/>
      <c r="T443" s="161"/>
      <c r="U443" s="161"/>
      <c r="V443" s="161"/>
      <c r="W443" s="161"/>
      <c r="X443" s="161"/>
      <c r="Y443" s="161"/>
      <c r="Z443" s="161"/>
      <c r="AA443" s="161"/>
      <c r="AB443" s="161"/>
    </row>
    <row r="444">
      <c r="A444" s="511"/>
      <c r="B444" s="161"/>
      <c r="C444" s="161"/>
      <c r="D444" s="161"/>
      <c r="E444" s="161"/>
      <c r="F444" s="161"/>
      <c r="G444" s="161"/>
      <c r="H444" s="161"/>
      <c r="I444" s="161"/>
      <c r="J444" s="161"/>
      <c r="K444" s="511"/>
      <c r="L444" s="511"/>
      <c r="M444" s="161"/>
      <c r="N444" s="161"/>
      <c r="O444" s="161"/>
      <c r="P444" s="161"/>
      <c r="Q444" s="161"/>
      <c r="R444" s="161"/>
      <c r="S444" s="161"/>
      <c r="T444" s="161"/>
      <c r="U444" s="161"/>
      <c r="V444" s="161"/>
      <c r="W444" s="161"/>
      <c r="X444" s="161"/>
      <c r="Y444" s="161"/>
      <c r="Z444" s="161"/>
      <c r="AA444" s="161"/>
      <c r="AB444" s="161"/>
    </row>
    <row r="445">
      <c r="A445" s="511"/>
      <c r="B445" s="161"/>
      <c r="C445" s="161"/>
      <c r="D445" s="161"/>
      <c r="E445" s="161"/>
      <c r="F445" s="161"/>
      <c r="G445" s="161"/>
      <c r="H445" s="161"/>
      <c r="I445" s="161"/>
      <c r="J445" s="161"/>
      <c r="K445" s="511"/>
      <c r="L445" s="511"/>
      <c r="M445" s="161"/>
      <c r="N445" s="161"/>
      <c r="O445" s="161"/>
      <c r="P445" s="161"/>
      <c r="Q445" s="161"/>
      <c r="R445" s="161"/>
      <c r="S445" s="161"/>
      <c r="T445" s="161"/>
      <c r="U445" s="161"/>
      <c r="V445" s="161"/>
      <c r="W445" s="161"/>
      <c r="X445" s="161"/>
      <c r="Y445" s="161"/>
      <c r="Z445" s="161"/>
      <c r="AA445" s="161"/>
      <c r="AB445" s="161"/>
    </row>
    <row r="446">
      <c r="A446" s="511"/>
      <c r="B446" s="161"/>
      <c r="C446" s="161"/>
      <c r="D446" s="161"/>
      <c r="E446" s="161"/>
      <c r="F446" s="161"/>
      <c r="G446" s="161"/>
      <c r="H446" s="161"/>
      <c r="I446" s="161"/>
      <c r="J446" s="161"/>
      <c r="K446" s="511"/>
      <c r="L446" s="511"/>
      <c r="M446" s="161"/>
      <c r="N446" s="161"/>
      <c r="O446" s="161"/>
      <c r="P446" s="161"/>
      <c r="Q446" s="161"/>
      <c r="R446" s="161"/>
      <c r="S446" s="161"/>
      <c r="T446" s="161"/>
      <c r="U446" s="161"/>
      <c r="V446" s="161"/>
      <c r="W446" s="161"/>
      <c r="X446" s="161"/>
      <c r="Y446" s="161"/>
      <c r="Z446" s="161"/>
      <c r="AA446" s="161"/>
      <c r="AB446" s="161"/>
    </row>
    <row r="447">
      <c r="A447" s="511"/>
      <c r="B447" s="161"/>
      <c r="C447" s="161"/>
      <c r="D447" s="161"/>
      <c r="E447" s="161"/>
      <c r="F447" s="161"/>
      <c r="G447" s="161"/>
      <c r="H447" s="161"/>
      <c r="I447" s="161"/>
      <c r="J447" s="161"/>
      <c r="K447" s="511"/>
      <c r="L447" s="511"/>
      <c r="M447" s="161"/>
      <c r="N447" s="161"/>
      <c r="O447" s="161"/>
      <c r="P447" s="161"/>
      <c r="Q447" s="161"/>
      <c r="R447" s="161"/>
      <c r="S447" s="161"/>
      <c r="T447" s="161"/>
      <c r="U447" s="161"/>
      <c r="V447" s="161"/>
      <c r="W447" s="161"/>
      <c r="X447" s="161"/>
      <c r="Y447" s="161"/>
      <c r="Z447" s="161"/>
      <c r="AA447" s="161"/>
      <c r="AB447" s="161"/>
    </row>
    <row r="448">
      <c r="A448" s="511"/>
      <c r="B448" s="161"/>
      <c r="C448" s="161"/>
      <c r="D448" s="161"/>
      <c r="E448" s="161"/>
      <c r="F448" s="161"/>
      <c r="G448" s="161"/>
      <c r="H448" s="161"/>
      <c r="I448" s="161"/>
      <c r="J448" s="161"/>
      <c r="K448" s="511"/>
      <c r="L448" s="511"/>
      <c r="M448" s="161"/>
      <c r="N448" s="161"/>
      <c r="O448" s="161"/>
      <c r="P448" s="161"/>
      <c r="Q448" s="161"/>
      <c r="R448" s="161"/>
      <c r="S448" s="161"/>
      <c r="T448" s="161"/>
      <c r="U448" s="161"/>
      <c r="V448" s="161"/>
      <c r="W448" s="161"/>
      <c r="X448" s="161"/>
      <c r="Y448" s="161"/>
      <c r="Z448" s="161"/>
      <c r="AA448" s="161"/>
      <c r="AB448" s="161"/>
    </row>
    <row r="449">
      <c r="A449" s="511"/>
      <c r="B449" s="161"/>
      <c r="C449" s="161"/>
      <c r="D449" s="161"/>
      <c r="E449" s="161"/>
      <c r="F449" s="161"/>
      <c r="G449" s="161"/>
      <c r="H449" s="161"/>
      <c r="I449" s="161"/>
      <c r="J449" s="161"/>
      <c r="K449" s="511"/>
      <c r="L449" s="511"/>
      <c r="M449" s="161"/>
      <c r="N449" s="161"/>
      <c r="O449" s="161"/>
      <c r="P449" s="161"/>
      <c r="Q449" s="161"/>
      <c r="R449" s="161"/>
      <c r="S449" s="161"/>
      <c r="T449" s="161"/>
      <c r="U449" s="161"/>
      <c r="V449" s="161"/>
      <c r="W449" s="161"/>
      <c r="X449" s="161"/>
      <c r="Y449" s="161"/>
      <c r="Z449" s="161"/>
      <c r="AA449" s="161"/>
      <c r="AB449" s="161"/>
    </row>
    <row r="450">
      <c r="A450" s="511"/>
      <c r="B450" s="161"/>
      <c r="C450" s="161"/>
      <c r="D450" s="161"/>
      <c r="E450" s="161"/>
      <c r="F450" s="161"/>
      <c r="G450" s="161"/>
      <c r="H450" s="161"/>
      <c r="I450" s="161"/>
      <c r="J450" s="161"/>
      <c r="K450" s="511"/>
      <c r="L450" s="511"/>
      <c r="M450" s="161"/>
      <c r="N450" s="161"/>
      <c r="O450" s="161"/>
      <c r="P450" s="161"/>
      <c r="Q450" s="161"/>
      <c r="R450" s="161"/>
      <c r="S450" s="161"/>
      <c r="T450" s="161"/>
      <c r="U450" s="161"/>
      <c r="V450" s="161"/>
      <c r="W450" s="161"/>
      <c r="X450" s="161"/>
      <c r="Y450" s="161"/>
      <c r="Z450" s="161"/>
      <c r="AA450" s="161"/>
      <c r="AB450" s="161"/>
    </row>
    <row r="451">
      <c r="A451" s="511"/>
      <c r="B451" s="161"/>
      <c r="C451" s="161"/>
      <c r="D451" s="161"/>
      <c r="E451" s="161"/>
      <c r="F451" s="161"/>
      <c r="G451" s="161"/>
      <c r="H451" s="161"/>
      <c r="I451" s="161"/>
      <c r="J451" s="161"/>
      <c r="K451" s="511"/>
      <c r="L451" s="511"/>
      <c r="M451" s="161"/>
      <c r="N451" s="161"/>
      <c r="O451" s="161"/>
      <c r="P451" s="161"/>
      <c r="Q451" s="161"/>
      <c r="R451" s="161"/>
      <c r="S451" s="161"/>
      <c r="T451" s="161"/>
      <c r="U451" s="161"/>
      <c r="V451" s="161"/>
      <c r="W451" s="161"/>
      <c r="X451" s="161"/>
      <c r="Y451" s="161"/>
      <c r="Z451" s="161"/>
      <c r="AA451" s="161"/>
      <c r="AB451" s="161"/>
    </row>
    <row r="452">
      <c r="A452" s="511"/>
      <c r="B452" s="161"/>
      <c r="C452" s="161"/>
      <c r="D452" s="161"/>
      <c r="E452" s="161"/>
      <c r="F452" s="161"/>
      <c r="G452" s="161"/>
      <c r="H452" s="161"/>
      <c r="I452" s="161"/>
      <c r="J452" s="161"/>
      <c r="K452" s="511"/>
      <c r="L452" s="511"/>
      <c r="M452" s="161"/>
      <c r="N452" s="161"/>
      <c r="O452" s="161"/>
      <c r="P452" s="161"/>
      <c r="Q452" s="161"/>
      <c r="R452" s="161"/>
      <c r="S452" s="161"/>
      <c r="T452" s="161"/>
      <c r="U452" s="161"/>
      <c r="V452" s="161"/>
      <c r="W452" s="161"/>
      <c r="X452" s="161"/>
      <c r="Y452" s="161"/>
      <c r="Z452" s="161"/>
      <c r="AA452" s="161"/>
      <c r="AB452" s="161"/>
    </row>
    <row r="453">
      <c r="A453" s="511"/>
      <c r="B453" s="161"/>
      <c r="C453" s="161"/>
      <c r="D453" s="161"/>
      <c r="E453" s="161"/>
      <c r="F453" s="161"/>
      <c r="G453" s="161"/>
      <c r="H453" s="161"/>
      <c r="I453" s="161"/>
      <c r="J453" s="161"/>
      <c r="K453" s="511"/>
      <c r="L453" s="511"/>
      <c r="M453" s="161"/>
      <c r="N453" s="161"/>
      <c r="O453" s="161"/>
      <c r="P453" s="161"/>
      <c r="Q453" s="161"/>
      <c r="R453" s="161"/>
      <c r="S453" s="161"/>
      <c r="T453" s="161"/>
      <c r="U453" s="161"/>
      <c r="V453" s="161"/>
      <c r="W453" s="161"/>
      <c r="X453" s="161"/>
      <c r="Y453" s="161"/>
      <c r="Z453" s="161"/>
      <c r="AA453" s="161"/>
      <c r="AB453" s="161"/>
    </row>
    <row r="454">
      <c r="A454" s="511"/>
      <c r="B454" s="161"/>
      <c r="C454" s="161"/>
      <c r="D454" s="161"/>
      <c r="E454" s="161"/>
      <c r="F454" s="161"/>
      <c r="G454" s="161"/>
      <c r="H454" s="161"/>
      <c r="I454" s="161"/>
      <c r="J454" s="161"/>
      <c r="K454" s="511"/>
      <c r="L454" s="511"/>
      <c r="M454" s="161"/>
      <c r="N454" s="161"/>
      <c r="O454" s="161"/>
      <c r="P454" s="161"/>
      <c r="Q454" s="161"/>
      <c r="R454" s="161"/>
      <c r="S454" s="161"/>
      <c r="T454" s="161"/>
      <c r="U454" s="161"/>
      <c r="V454" s="161"/>
      <c r="W454" s="161"/>
      <c r="X454" s="161"/>
      <c r="Y454" s="161"/>
      <c r="Z454" s="161"/>
      <c r="AA454" s="161"/>
      <c r="AB454" s="161"/>
    </row>
    <row r="455">
      <c r="A455" s="511"/>
      <c r="B455" s="161"/>
      <c r="C455" s="161"/>
      <c r="D455" s="161"/>
      <c r="E455" s="161"/>
      <c r="F455" s="161"/>
      <c r="G455" s="161"/>
      <c r="H455" s="161"/>
      <c r="I455" s="161"/>
      <c r="J455" s="161"/>
      <c r="K455" s="511"/>
      <c r="L455" s="511"/>
      <c r="M455" s="161"/>
      <c r="N455" s="161"/>
      <c r="O455" s="161"/>
      <c r="P455" s="161"/>
      <c r="Q455" s="161"/>
      <c r="R455" s="161"/>
      <c r="S455" s="161"/>
      <c r="T455" s="161"/>
      <c r="U455" s="161"/>
      <c r="V455" s="161"/>
      <c r="W455" s="161"/>
      <c r="X455" s="161"/>
      <c r="Y455" s="161"/>
      <c r="Z455" s="161"/>
      <c r="AA455" s="161"/>
      <c r="AB455" s="161"/>
    </row>
    <row r="456">
      <c r="A456" s="511"/>
      <c r="B456" s="161"/>
      <c r="C456" s="161"/>
      <c r="D456" s="161"/>
      <c r="E456" s="161"/>
      <c r="F456" s="161"/>
      <c r="G456" s="161"/>
      <c r="H456" s="161"/>
      <c r="I456" s="161"/>
      <c r="J456" s="161"/>
      <c r="K456" s="511"/>
      <c r="L456" s="511"/>
      <c r="M456" s="161"/>
      <c r="N456" s="161"/>
      <c r="O456" s="161"/>
      <c r="P456" s="161"/>
      <c r="Q456" s="161"/>
      <c r="R456" s="161"/>
      <c r="S456" s="161"/>
      <c r="T456" s="161"/>
      <c r="U456" s="161"/>
      <c r="V456" s="161"/>
      <c r="W456" s="161"/>
      <c r="X456" s="161"/>
      <c r="Y456" s="161"/>
      <c r="Z456" s="161"/>
      <c r="AA456" s="161"/>
      <c r="AB456" s="161"/>
    </row>
    <row r="457">
      <c r="A457" s="511"/>
      <c r="B457" s="161"/>
      <c r="C457" s="161"/>
      <c r="D457" s="161"/>
      <c r="E457" s="161"/>
      <c r="F457" s="161"/>
      <c r="G457" s="161"/>
      <c r="H457" s="161"/>
      <c r="I457" s="161"/>
      <c r="J457" s="161"/>
      <c r="K457" s="511"/>
      <c r="L457" s="511"/>
      <c r="M457" s="161"/>
      <c r="N457" s="161"/>
      <c r="O457" s="161"/>
      <c r="P457" s="161"/>
      <c r="Q457" s="161"/>
      <c r="R457" s="161"/>
      <c r="S457" s="161"/>
      <c r="T457" s="161"/>
      <c r="U457" s="161"/>
      <c r="V457" s="161"/>
      <c r="W457" s="161"/>
      <c r="X457" s="161"/>
      <c r="Y457" s="161"/>
      <c r="Z457" s="161"/>
      <c r="AA457" s="161"/>
      <c r="AB457" s="161"/>
    </row>
    <row r="458">
      <c r="A458" s="511"/>
      <c r="B458" s="161"/>
      <c r="C458" s="161"/>
      <c r="D458" s="161"/>
      <c r="E458" s="161"/>
      <c r="F458" s="161"/>
      <c r="G458" s="161"/>
      <c r="H458" s="161"/>
      <c r="I458" s="161"/>
      <c r="J458" s="161"/>
      <c r="K458" s="511"/>
      <c r="L458" s="511"/>
      <c r="M458" s="161"/>
      <c r="N458" s="161"/>
      <c r="O458" s="161"/>
      <c r="P458" s="161"/>
      <c r="Q458" s="161"/>
      <c r="R458" s="161"/>
      <c r="S458" s="161"/>
      <c r="T458" s="161"/>
      <c r="U458" s="161"/>
      <c r="V458" s="161"/>
      <c r="W458" s="161"/>
      <c r="X458" s="161"/>
      <c r="Y458" s="161"/>
      <c r="Z458" s="161"/>
      <c r="AA458" s="161"/>
      <c r="AB458" s="161"/>
    </row>
    <row r="459">
      <c r="A459" s="511"/>
      <c r="B459" s="161"/>
      <c r="C459" s="161"/>
      <c r="D459" s="161"/>
      <c r="E459" s="161"/>
      <c r="F459" s="161"/>
      <c r="G459" s="161"/>
      <c r="H459" s="161"/>
      <c r="I459" s="161"/>
      <c r="J459" s="161"/>
      <c r="K459" s="511"/>
      <c r="L459" s="511"/>
      <c r="M459" s="161"/>
      <c r="N459" s="161"/>
      <c r="O459" s="161"/>
      <c r="P459" s="161"/>
      <c r="Q459" s="161"/>
      <c r="R459" s="161"/>
      <c r="S459" s="161"/>
      <c r="T459" s="161"/>
      <c r="U459" s="161"/>
      <c r="V459" s="161"/>
      <c r="W459" s="161"/>
      <c r="X459" s="161"/>
      <c r="Y459" s="161"/>
      <c r="Z459" s="161"/>
      <c r="AA459" s="161"/>
      <c r="AB459" s="161"/>
    </row>
    <row r="460">
      <c r="A460" s="511"/>
      <c r="B460" s="161"/>
      <c r="C460" s="161"/>
      <c r="D460" s="161"/>
      <c r="E460" s="161"/>
      <c r="F460" s="161"/>
      <c r="G460" s="161"/>
      <c r="H460" s="161"/>
      <c r="I460" s="161"/>
      <c r="J460" s="161"/>
      <c r="K460" s="511"/>
      <c r="L460" s="511"/>
      <c r="M460" s="161"/>
      <c r="N460" s="161"/>
      <c r="O460" s="161"/>
      <c r="P460" s="161"/>
      <c r="Q460" s="161"/>
      <c r="R460" s="161"/>
      <c r="S460" s="161"/>
      <c r="T460" s="161"/>
      <c r="U460" s="161"/>
      <c r="V460" s="161"/>
      <c r="W460" s="161"/>
      <c r="X460" s="161"/>
      <c r="Y460" s="161"/>
      <c r="Z460" s="161"/>
      <c r="AA460" s="161"/>
      <c r="AB460" s="161"/>
    </row>
    <row r="461">
      <c r="A461" s="511"/>
      <c r="B461" s="161"/>
      <c r="C461" s="161"/>
      <c r="D461" s="161"/>
      <c r="E461" s="161"/>
      <c r="F461" s="161"/>
      <c r="G461" s="161"/>
      <c r="H461" s="161"/>
      <c r="I461" s="161"/>
      <c r="J461" s="161"/>
      <c r="K461" s="511"/>
      <c r="L461" s="511"/>
      <c r="M461" s="161"/>
      <c r="N461" s="161"/>
      <c r="O461" s="161"/>
      <c r="P461" s="161"/>
      <c r="Q461" s="161"/>
      <c r="R461" s="161"/>
      <c r="S461" s="161"/>
      <c r="T461" s="161"/>
      <c r="U461" s="161"/>
      <c r="V461" s="161"/>
      <c r="W461" s="161"/>
      <c r="X461" s="161"/>
      <c r="Y461" s="161"/>
      <c r="Z461" s="161"/>
      <c r="AA461" s="161"/>
      <c r="AB461" s="161"/>
    </row>
    <row r="462">
      <c r="A462" s="511"/>
      <c r="B462" s="161"/>
      <c r="C462" s="161"/>
      <c r="D462" s="161"/>
      <c r="E462" s="161"/>
      <c r="F462" s="161"/>
      <c r="G462" s="161"/>
      <c r="H462" s="161"/>
      <c r="I462" s="161"/>
      <c r="J462" s="161"/>
      <c r="K462" s="511"/>
      <c r="L462" s="511"/>
      <c r="M462" s="161"/>
      <c r="N462" s="161"/>
      <c r="O462" s="161"/>
      <c r="P462" s="161"/>
      <c r="Q462" s="161"/>
      <c r="R462" s="161"/>
      <c r="S462" s="161"/>
      <c r="T462" s="161"/>
      <c r="U462" s="161"/>
      <c r="V462" s="161"/>
      <c r="W462" s="161"/>
      <c r="X462" s="161"/>
      <c r="Y462" s="161"/>
      <c r="Z462" s="161"/>
      <c r="AA462" s="161"/>
      <c r="AB462" s="161"/>
    </row>
    <row r="463">
      <c r="A463" s="511"/>
      <c r="B463" s="161"/>
      <c r="C463" s="161"/>
      <c r="D463" s="161"/>
      <c r="E463" s="161"/>
      <c r="F463" s="161"/>
      <c r="G463" s="161"/>
      <c r="H463" s="161"/>
      <c r="I463" s="161"/>
      <c r="J463" s="161"/>
      <c r="K463" s="511"/>
      <c r="L463" s="511"/>
      <c r="M463" s="161"/>
      <c r="N463" s="161"/>
      <c r="O463" s="161"/>
      <c r="P463" s="161"/>
      <c r="Q463" s="161"/>
      <c r="R463" s="161"/>
      <c r="S463" s="161"/>
      <c r="T463" s="161"/>
      <c r="U463" s="161"/>
      <c r="V463" s="161"/>
      <c r="W463" s="161"/>
      <c r="X463" s="161"/>
      <c r="Y463" s="161"/>
      <c r="Z463" s="161"/>
      <c r="AA463" s="161"/>
      <c r="AB463" s="161"/>
    </row>
    <row r="464">
      <c r="A464" s="511"/>
      <c r="B464" s="161"/>
      <c r="C464" s="161"/>
      <c r="D464" s="161"/>
      <c r="E464" s="161"/>
      <c r="F464" s="161"/>
      <c r="G464" s="161"/>
      <c r="H464" s="161"/>
      <c r="I464" s="161"/>
      <c r="J464" s="161"/>
      <c r="K464" s="511"/>
      <c r="L464" s="511"/>
      <c r="M464" s="161"/>
      <c r="N464" s="161"/>
      <c r="O464" s="161"/>
      <c r="P464" s="161"/>
      <c r="Q464" s="161"/>
      <c r="R464" s="161"/>
      <c r="S464" s="161"/>
      <c r="T464" s="161"/>
      <c r="U464" s="161"/>
      <c r="V464" s="161"/>
      <c r="W464" s="161"/>
      <c r="X464" s="161"/>
      <c r="Y464" s="161"/>
      <c r="Z464" s="161"/>
      <c r="AA464" s="161"/>
      <c r="AB464" s="161"/>
    </row>
    <row r="465">
      <c r="A465" s="511"/>
      <c r="B465" s="161"/>
      <c r="C465" s="161"/>
      <c r="D465" s="161"/>
      <c r="E465" s="161"/>
      <c r="F465" s="161"/>
      <c r="G465" s="161"/>
      <c r="H465" s="161"/>
      <c r="I465" s="161"/>
      <c r="J465" s="161"/>
      <c r="K465" s="511"/>
      <c r="L465" s="511"/>
      <c r="M465" s="161"/>
      <c r="N465" s="161"/>
      <c r="O465" s="161"/>
      <c r="P465" s="161"/>
      <c r="Q465" s="161"/>
      <c r="R465" s="161"/>
      <c r="S465" s="161"/>
      <c r="T465" s="161"/>
      <c r="U465" s="161"/>
      <c r="V465" s="161"/>
      <c r="W465" s="161"/>
      <c r="X465" s="161"/>
      <c r="Y465" s="161"/>
      <c r="Z465" s="161"/>
      <c r="AA465" s="161"/>
      <c r="AB465" s="161"/>
    </row>
    <row r="466">
      <c r="A466" s="511"/>
      <c r="B466" s="161"/>
      <c r="C466" s="161"/>
      <c r="D466" s="161"/>
      <c r="E466" s="161"/>
      <c r="F466" s="161"/>
      <c r="G466" s="161"/>
      <c r="H466" s="161"/>
      <c r="I466" s="161"/>
      <c r="J466" s="161"/>
      <c r="K466" s="511"/>
      <c r="L466" s="511"/>
      <c r="M466" s="161"/>
      <c r="N466" s="161"/>
      <c r="O466" s="161"/>
      <c r="P466" s="161"/>
      <c r="Q466" s="161"/>
      <c r="R466" s="161"/>
      <c r="S466" s="161"/>
      <c r="T466" s="161"/>
      <c r="U466" s="161"/>
      <c r="V466" s="161"/>
      <c r="W466" s="161"/>
      <c r="X466" s="161"/>
      <c r="Y466" s="161"/>
      <c r="Z466" s="161"/>
      <c r="AA466" s="161"/>
      <c r="AB466" s="161"/>
    </row>
    <row r="467">
      <c r="A467" s="511"/>
      <c r="B467" s="161"/>
      <c r="C467" s="161"/>
      <c r="D467" s="161"/>
      <c r="E467" s="161"/>
      <c r="F467" s="161"/>
      <c r="G467" s="161"/>
      <c r="H467" s="161"/>
      <c r="I467" s="161"/>
      <c r="J467" s="161"/>
      <c r="K467" s="511"/>
      <c r="L467" s="511"/>
      <c r="M467" s="161"/>
      <c r="N467" s="161"/>
      <c r="O467" s="161"/>
      <c r="P467" s="161"/>
      <c r="Q467" s="161"/>
      <c r="R467" s="161"/>
      <c r="S467" s="161"/>
      <c r="T467" s="161"/>
      <c r="U467" s="161"/>
      <c r="V467" s="161"/>
      <c r="W467" s="161"/>
      <c r="X467" s="161"/>
      <c r="Y467" s="161"/>
      <c r="Z467" s="161"/>
      <c r="AA467" s="161"/>
      <c r="AB467" s="161"/>
    </row>
    <row r="468">
      <c r="A468" s="511"/>
      <c r="B468" s="161"/>
      <c r="C468" s="161"/>
      <c r="D468" s="161"/>
      <c r="E468" s="161"/>
      <c r="F468" s="161"/>
      <c r="G468" s="161"/>
      <c r="H468" s="161"/>
      <c r="I468" s="161"/>
      <c r="J468" s="161"/>
      <c r="K468" s="511"/>
      <c r="L468" s="511"/>
      <c r="M468" s="161"/>
      <c r="N468" s="161"/>
      <c r="O468" s="161"/>
      <c r="P468" s="161"/>
      <c r="Q468" s="161"/>
      <c r="R468" s="161"/>
      <c r="S468" s="161"/>
      <c r="T468" s="161"/>
      <c r="U468" s="161"/>
      <c r="V468" s="161"/>
      <c r="W468" s="161"/>
      <c r="X468" s="161"/>
      <c r="Y468" s="161"/>
      <c r="Z468" s="161"/>
      <c r="AA468" s="161"/>
      <c r="AB468" s="161"/>
    </row>
    <row r="469">
      <c r="A469" s="511"/>
      <c r="B469" s="161"/>
      <c r="C469" s="161"/>
      <c r="D469" s="161"/>
      <c r="E469" s="161"/>
      <c r="F469" s="161"/>
      <c r="G469" s="161"/>
      <c r="H469" s="161"/>
      <c r="I469" s="161"/>
      <c r="J469" s="161"/>
      <c r="K469" s="511"/>
      <c r="L469" s="511"/>
      <c r="M469" s="161"/>
      <c r="N469" s="161"/>
      <c r="O469" s="161"/>
      <c r="P469" s="161"/>
      <c r="Q469" s="161"/>
      <c r="R469" s="161"/>
      <c r="S469" s="161"/>
      <c r="T469" s="161"/>
      <c r="U469" s="161"/>
      <c r="V469" s="161"/>
      <c r="W469" s="161"/>
      <c r="X469" s="161"/>
      <c r="Y469" s="161"/>
      <c r="Z469" s="161"/>
      <c r="AA469" s="161"/>
      <c r="AB469" s="161"/>
    </row>
    <row r="470">
      <c r="A470" s="511"/>
      <c r="B470" s="161"/>
      <c r="C470" s="161"/>
      <c r="D470" s="161"/>
      <c r="E470" s="161"/>
      <c r="F470" s="161"/>
      <c r="G470" s="161"/>
      <c r="H470" s="161"/>
      <c r="I470" s="161"/>
      <c r="J470" s="161"/>
      <c r="K470" s="511"/>
      <c r="L470" s="511"/>
      <c r="M470" s="161"/>
      <c r="N470" s="161"/>
      <c r="O470" s="161"/>
      <c r="P470" s="161"/>
      <c r="Q470" s="161"/>
      <c r="R470" s="161"/>
      <c r="S470" s="161"/>
      <c r="T470" s="161"/>
      <c r="U470" s="161"/>
      <c r="V470" s="161"/>
      <c r="W470" s="161"/>
      <c r="X470" s="161"/>
      <c r="Y470" s="161"/>
      <c r="Z470" s="161"/>
      <c r="AA470" s="161"/>
      <c r="AB470" s="161"/>
    </row>
    <row r="471">
      <c r="A471" s="511"/>
      <c r="B471" s="161"/>
      <c r="C471" s="161"/>
      <c r="D471" s="161"/>
      <c r="E471" s="161"/>
      <c r="F471" s="161"/>
      <c r="G471" s="161"/>
      <c r="H471" s="161"/>
      <c r="I471" s="161"/>
      <c r="J471" s="161"/>
      <c r="K471" s="511"/>
      <c r="L471" s="511"/>
      <c r="M471" s="161"/>
      <c r="N471" s="161"/>
      <c r="O471" s="161"/>
      <c r="P471" s="161"/>
      <c r="Q471" s="161"/>
      <c r="R471" s="161"/>
      <c r="S471" s="161"/>
      <c r="T471" s="161"/>
      <c r="U471" s="161"/>
      <c r="V471" s="161"/>
      <c r="W471" s="161"/>
      <c r="X471" s="161"/>
      <c r="Y471" s="161"/>
      <c r="Z471" s="161"/>
      <c r="AA471" s="161"/>
      <c r="AB471" s="161"/>
    </row>
    <row r="472">
      <c r="A472" s="511"/>
      <c r="B472" s="161"/>
      <c r="C472" s="161"/>
      <c r="D472" s="161"/>
      <c r="E472" s="161"/>
      <c r="F472" s="161"/>
      <c r="G472" s="161"/>
      <c r="H472" s="161"/>
      <c r="I472" s="161"/>
      <c r="J472" s="161"/>
      <c r="K472" s="511"/>
      <c r="L472" s="511"/>
      <c r="M472" s="161"/>
      <c r="N472" s="161"/>
      <c r="O472" s="161"/>
      <c r="P472" s="161"/>
      <c r="Q472" s="161"/>
      <c r="R472" s="161"/>
      <c r="S472" s="161"/>
      <c r="T472" s="161"/>
      <c r="U472" s="161"/>
      <c r="V472" s="161"/>
      <c r="W472" s="161"/>
      <c r="X472" s="161"/>
      <c r="Y472" s="161"/>
      <c r="Z472" s="161"/>
      <c r="AA472" s="161"/>
      <c r="AB472" s="161"/>
    </row>
    <row r="473">
      <c r="A473" s="511"/>
      <c r="B473" s="161"/>
      <c r="C473" s="161"/>
      <c r="D473" s="161"/>
      <c r="E473" s="161"/>
      <c r="F473" s="161"/>
      <c r="G473" s="161"/>
      <c r="H473" s="161"/>
      <c r="I473" s="161"/>
      <c r="J473" s="161"/>
      <c r="K473" s="511"/>
      <c r="L473" s="511"/>
      <c r="M473" s="161"/>
      <c r="N473" s="161"/>
      <c r="O473" s="161"/>
      <c r="P473" s="161"/>
      <c r="Q473" s="161"/>
      <c r="R473" s="161"/>
      <c r="S473" s="161"/>
      <c r="T473" s="161"/>
      <c r="U473" s="161"/>
      <c r="V473" s="161"/>
      <c r="W473" s="161"/>
      <c r="X473" s="161"/>
      <c r="Y473" s="161"/>
      <c r="Z473" s="161"/>
      <c r="AA473" s="161"/>
      <c r="AB473" s="161"/>
    </row>
    <row r="474">
      <c r="A474" s="511"/>
      <c r="B474" s="161"/>
      <c r="C474" s="161"/>
      <c r="D474" s="161"/>
      <c r="E474" s="161"/>
      <c r="F474" s="161"/>
      <c r="G474" s="161"/>
      <c r="H474" s="161"/>
      <c r="I474" s="161"/>
      <c r="J474" s="161"/>
      <c r="K474" s="511"/>
      <c r="L474" s="511"/>
      <c r="M474" s="161"/>
      <c r="N474" s="161"/>
      <c r="O474" s="161"/>
      <c r="P474" s="161"/>
      <c r="Q474" s="161"/>
      <c r="R474" s="161"/>
      <c r="S474" s="161"/>
      <c r="T474" s="161"/>
      <c r="U474" s="161"/>
      <c r="V474" s="161"/>
      <c r="W474" s="161"/>
      <c r="X474" s="161"/>
      <c r="Y474" s="161"/>
      <c r="Z474" s="161"/>
      <c r="AA474" s="161"/>
      <c r="AB474" s="161"/>
    </row>
    <row r="475">
      <c r="A475" s="511"/>
      <c r="B475" s="161"/>
      <c r="C475" s="161"/>
      <c r="D475" s="161"/>
      <c r="E475" s="161"/>
      <c r="F475" s="161"/>
      <c r="G475" s="161"/>
      <c r="H475" s="161"/>
      <c r="I475" s="161"/>
      <c r="J475" s="161"/>
      <c r="K475" s="511"/>
      <c r="L475" s="511"/>
      <c r="M475" s="161"/>
      <c r="N475" s="161"/>
      <c r="O475" s="161"/>
      <c r="P475" s="161"/>
      <c r="Q475" s="161"/>
      <c r="R475" s="161"/>
      <c r="S475" s="161"/>
      <c r="T475" s="161"/>
      <c r="U475" s="161"/>
      <c r="V475" s="161"/>
      <c r="W475" s="161"/>
      <c r="X475" s="161"/>
      <c r="Y475" s="161"/>
      <c r="Z475" s="161"/>
      <c r="AA475" s="161"/>
      <c r="AB475" s="161"/>
    </row>
    <row r="476">
      <c r="A476" s="511"/>
      <c r="B476" s="161"/>
      <c r="C476" s="161"/>
      <c r="D476" s="161"/>
      <c r="E476" s="161"/>
      <c r="F476" s="161"/>
      <c r="G476" s="161"/>
      <c r="H476" s="161"/>
      <c r="I476" s="161"/>
      <c r="J476" s="161"/>
      <c r="K476" s="511"/>
      <c r="L476" s="511"/>
      <c r="M476" s="161"/>
      <c r="N476" s="161"/>
      <c r="O476" s="161"/>
      <c r="P476" s="161"/>
      <c r="Q476" s="161"/>
      <c r="R476" s="161"/>
      <c r="S476" s="161"/>
      <c r="T476" s="161"/>
      <c r="U476" s="161"/>
      <c r="V476" s="161"/>
      <c r="W476" s="161"/>
      <c r="X476" s="161"/>
      <c r="Y476" s="161"/>
      <c r="Z476" s="161"/>
      <c r="AA476" s="161"/>
      <c r="AB476" s="161"/>
    </row>
    <row r="477">
      <c r="A477" s="511"/>
      <c r="B477" s="161"/>
      <c r="C477" s="161"/>
      <c r="D477" s="161"/>
      <c r="E477" s="161"/>
      <c r="F477" s="161"/>
      <c r="G477" s="161"/>
      <c r="H477" s="161"/>
      <c r="I477" s="161"/>
      <c r="J477" s="161"/>
      <c r="K477" s="511"/>
      <c r="L477" s="511"/>
      <c r="M477" s="161"/>
      <c r="N477" s="161"/>
      <c r="O477" s="161"/>
      <c r="P477" s="161"/>
      <c r="Q477" s="161"/>
      <c r="R477" s="161"/>
      <c r="S477" s="161"/>
      <c r="T477" s="161"/>
      <c r="U477" s="161"/>
      <c r="V477" s="161"/>
      <c r="W477" s="161"/>
      <c r="X477" s="161"/>
      <c r="Y477" s="161"/>
      <c r="Z477" s="161"/>
      <c r="AA477" s="161"/>
      <c r="AB477" s="161"/>
    </row>
    <row r="478">
      <c r="A478" s="511"/>
      <c r="B478" s="161"/>
      <c r="C478" s="161"/>
      <c r="D478" s="161"/>
      <c r="E478" s="161"/>
      <c r="F478" s="161"/>
      <c r="G478" s="161"/>
      <c r="H478" s="161"/>
      <c r="I478" s="161"/>
      <c r="J478" s="161"/>
      <c r="K478" s="511"/>
      <c r="L478" s="511"/>
      <c r="M478" s="161"/>
      <c r="N478" s="161"/>
      <c r="O478" s="161"/>
      <c r="P478" s="161"/>
      <c r="Q478" s="161"/>
      <c r="R478" s="161"/>
      <c r="S478" s="161"/>
      <c r="T478" s="161"/>
      <c r="U478" s="161"/>
      <c r="V478" s="161"/>
      <c r="W478" s="161"/>
      <c r="X478" s="161"/>
      <c r="Y478" s="161"/>
      <c r="Z478" s="161"/>
      <c r="AA478" s="161"/>
      <c r="AB478" s="161"/>
    </row>
    <row r="479">
      <c r="A479" s="511"/>
      <c r="B479" s="161"/>
      <c r="C479" s="161"/>
      <c r="D479" s="161"/>
      <c r="E479" s="161"/>
      <c r="F479" s="161"/>
      <c r="G479" s="161"/>
      <c r="H479" s="161"/>
      <c r="I479" s="161"/>
      <c r="J479" s="161"/>
      <c r="K479" s="511"/>
      <c r="L479" s="511"/>
      <c r="M479" s="161"/>
      <c r="N479" s="161"/>
      <c r="O479" s="161"/>
      <c r="P479" s="161"/>
      <c r="Q479" s="161"/>
      <c r="R479" s="161"/>
      <c r="S479" s="161"/>
      <c r="T479" s="161"/>
      <c r="U479" s="161"/>
      <c r="V479" s="161"/>
      <c r="W479" s="161"/>
      <c r="X479" s="161"/>
      <c r="Y479" s="161"/>
      <c r="Z479" s="161"/>
      <c r="AA479" s="161"/>
      <c r="AB479" s="161"/>
    </row>
    <row r="480">
      <c r="A480" s="511"/>
      <c r="B480" s="161"/>
      <c r="C480" s="161"/>
      <c r="D480" s="161"/>
      <c r="E480" s="161"/>
      <c r="F480" s="161"/>
      <c r="G480" s="161"/>
      <c r="H480" s="161"/>
      <c r="I480" s="161"/>
      <c r="J480" s="161"/>
      <c r="K480" s="511"/>
      <c r="L480" s="511"/>
      <c r="M480" s="161"/>
      <c r="N480" s="161"/>
      <c r="O480" s="161"/>
      <c r="P480" s="161"/>
      <c r="Q480" s="161"/>
      <c r="R480" s="161"/>
      <c r="S480" s="161"/>
      <c r="T480" s="161"/>
      <c r="U480" s="161"/>
      <c r="V480" s="161"/>
      <c r="W480" s="161"/>
      <c r="X480" s="161"/>
      <c r="Y480" s="161"/>
      <c r="Z480" s="161"/>
      <c r="AA480" s="161"/>
      <c r="AB480" s="161"/>
    </row>
    <row r="481">
      <c r="A481" s="511"/>
      <c r="B481" s="161"/>
      <c r="C481" s="161"/>
      <c r="D481" s="161"/>
      <c r="E481" s="161"/>
      <c r="F481" s="161"/>
      <c r="G481" s="161"/>
      <c r="H481" s="161"/>
      <c r="I481" s="161"/>
      <c r="J481" s="161"/>
      <c r="K481" s="511"/>
      <c r="L481" s="511"/>
      <c r="M481" s="161"/>
      <c r="N481" s="161"/>
      <c r="O481" s="161"/>
      <c r="P481" s="161"/>
      <c r="Q481" s="161"/>
      <c r="R481" s="161"/>
      <c r="S481" s="161"/>
      <c r="T481" s="161"/>
      <c r="U481" s="161"/>
      <c r="V481" s="161"/>
      <c r="W481" s="161"/>
      <c r="X481" s="161"/>
      <c r="Y481" s="161"/>
      <c r="Z481" s="161"/>
      <c r="AA481" s="161"/>
      <c r="AB481" s="161"/>
    </row>
    <row r="482">
      <c r="A482" s="511"/>
      <c r="B482" s="161"/>
      <c r="C482" s="161"/>
      <c r="D482" s="161"/>
      <c r="E482" s="161"/>
      <c r="F482" s="161"/>
      <c r="G482" s="161"/>
      <c r="H482" s="161"/>
      <c r="I482" s="161"/>
      <c r="J482" s="161"/>
      <c r="K482" s="511"/>
      <c r="L482" s="511"/>
      <c r="M482" s="161"/>
      <c r="N482" s="161"/>
      <c r="O482" s="161"/>
      <c r="P482" s="161"/>
      <c r="Q482" s="161"/>
      <c r="R482" s="161"/>
      <c r="S482" s="161"/>
      <c r="T482" s="161"/>
      <c r="U482" s="161"/>
      <c r="V482" s="161"/>
      <c r="W482" s="161"/>
      <c r="X482" s="161"/>
      <c r="Y482" s="161"/>
      <c r="Z482" s="161"/>
      <c r="AA482" s="161"/>
      <c r="AB482" s="161"/>
    </row>
    <row r="483">
      <c r="A483" s="511"/>
      <c r="B483" s="161"/>
      <c r="C483" s="161"/>
      <c r="D483" s="161"/>
      <c r="E483" s="161"/>
      <c r="F483" s="161"/>
      <c r="G483" s="161"/>
      <c r="H483" s="161"/>
      <c r="I483" s="161"/>
      <c r="J483" s="161"/>
      <c r="K483" s="511"/>
      <c r="L483" s="511"/>
      <c r="M483" s="161"/>
      <c r="N483" s="161"/>
      <c r="O483" s="161"/>
      <c r="P483" s="161"/>
      <c r="Q483" s="161"/>
      <c r="R483" s="161"/>
      <c r="S483" s="161"/>
      <c r="T483" s="161"/>
      <c r="U483" s="161"/>
      <c r="V483" s="161"/>
      <c r="W483" s="161"/>
      <c r="X483" s="161"/>
      <c r="Y483" s="161"/>
      <c r="Z483" s="161"/>
      <c r="AA483" s="161"/>
      <c r="AB483" s="161"/>
    </row>
    <row r="484">
      <c r="A484" s="511"/>
      <c r="B484" s="161"/>
      <c r="C484" s="161"/>
      <c r="D484" s="161"/>
      <c r="E484" s="161"/>
      <c r="F484" s="161"/>
      <c r="G484" s="161"/>
      <c r="H484" s="161"/>
      <c r="I484" s="161"/>
      <c r="J484" s="161"/>
      <c r="K484" s="511"/>
      <c r="L484" s="511"/>
      <c r="M484" s="161"/>
      <c r="N484" s="161"/>
      <c r="O484" s="161"/>
      <c r="P484" s="161"/>
      <c r="Q484" s="161"/>
      <c r="R484" s="161"/>
      <c r="S484" s="161"/>
      <c r="T484" s="161"/>
      <c r="U484" s="161"/>
      <c r="V484" s="161"/>
      <c r="W484" s="161"/>
      <c r="X484" s="161"/>
      <c r="Y484" s="161"/>
      <c r="Z484" s="161"/>
      <c r="AA484" s="161"/>
      <c r="AB484" s="161"/>
    </row>
    <row r="485">
      <c r="A485" s="511"/>
      <c r="B485" s="161"/>
      <c r="C485" s="161"/>
      <c r="D485" s="161"/>
      <c r="E485" s="161"/>
      <c r="F485" s="161"/>
      <c r="G485" s="161"/>
      <c r="H485" s="161"/>
      <c r="I485" s="161"/>
      <c r="J485" s="161"/>
      <c r="K485" s="511"/>
      <c r="L485" s="511"/>
      <c r="M485" s="161"/>
      <c r="N485" s="161"/>
      <c r="O485" s="161"/>
      <c r="P485" s="161"/>
      <c r="Q485" s="161"/>
      <c r="R485" s="161"/>
      <c r="S485" s="161"/>
      <c r="T485" s="161"/>
      <c r="U485" s="161"/>
      <c r="V485" s="161"/>
      <c r="W485" s="161"/>
      <c r="X485" s="161"/>
      <c r="Y485" s="161"/>
      <c r="Z485" s="161"/>
      <c r="AA485" s="161"/>
      <c r="AB485" s="161"/>
    </row>
    <row r="486">
      <c r="A486" s="511"/>
      <c r="B486" s="161"/>
      <c r="C486" s="161"/>
      <c r="D486" s="161"/>
      <c r="E486" s="161"/>
      <c r="F486" s="161"/>
      <c r="G486" s="161"/>
      <c r="H486" s="161"/>
      <c r="I486" s="161"/>
      <c r="J486" s="161"/>
      <c r="K486" s="511"/>
      <c r="L486" s="511"/>
      <c r="M486" s="161"/>
      <c r="N486" s="161"/>
      <c r="O486" s="161"/>
      <c r="P486" s="161"/>
      <c r="Q486" s="161"/>
      <c r="R486" s="161"/>
      <c r="S486" s="161"/>
      <c r="T486" s="161"/>
      <c r="U486" s="161"/>
      <c r="V486" s="161"/>
      <c r="W486" s="161"/>
      <c r="X486" s="161"/>
      <c r="Y486" s="161"/>
      <c r="Z486" s="161"/>
      <c r="AA486" s="161"/>
      <c r="AB486" s="161"/>
    </row>
    <row r="487">
      <c r="A487" s="511"/>
      <c r="B487" s="161"/>
      <c r="C487" s="161"/>
      <c r="D487" s="161"/>
      <c r="E487" s="161"/>
      <c r="F487" s="161"/>
      <c r="G487" s="161"/>
      <c r="H487" s="161"/>
      <c r="I487" s="161"/>
      <c r="J487" s="161"/>
      <c r="K487" s="511"/>
      <c r="L487" s="511"/>
      <c r="M487" s="161"/>
      <c r="N487" s="161"/>
      <c r="O487" s="161"/>
      <c r="P487" s="161"/>
      <c r="Q487" s="161"/>
      <c r="R487" s="161"/>
      <c r="S487" s="161"/>
      <c r="T487" s="161"/>
      <c r="U487" s="161"/>
      <c r="V487" s="161"/>
      <c r="W487" s="161"/>
      <c r="X487" s="161"/>
      <c r="Y487" s="161"/>
      <c r="Z487" s="161"/>
      <c r="AA487" s="161"/>
      <c r="AB487" s="161"/>
    </row>
    <row r="488">
      <c r="A488" s="511"/>
      <c r="B488" s="161"/>
      <c r="C488" s="161"/>
      <c r="D488" s="161"/>
      <c r="E488" s="161"/>
      <c r="F488" s="161"/>
      <c r="G488" s="161"/>
      <c r="H488" s="161"/>
      <c r="I488" s="161"/>
      <c r="J488" s="161"/>
      <c r="K488" s="511"/>
      <c r="L488" s="511"/>
      <c r="M488" s="161"/>
      <c r="N488" s="161"/>
      <c r="O488" s="161"/>
      <c r="P488" s="161"/>
      <c r="Q488" s="161"/>
      <c r="R488" s="161"/>
      <c r="S488" s="161"/>
      <c r="T488" s="161"/>
      <c r="U488" s="161"/>
      <c r="V488" s="161"/>
      <c r="W488" s="161"/>
      <c r="X488" s="161"/>
      <c r="Y488" s="161"/>
      <c r="Z488" s="161"/>
      <c r="AA488" s="161"/>
      <c r="AB488" s="161"/>
    </row>
    <row r="489">
      <c r="A489" s="511"/>
      <c r="B489" s="161"/>
      <c r="C489" s="161"/>
      <c r="D489" s="161"/>
      <c r="E489" s="161"/>
      <c r="F489" s="161"/>
      <c r="G489" s="161"/>
      <c r="H489" s="161"/>
      <c r="I489" s="161"/>
      <c r="J489" s="161"/>
      <c r="K489" s="511"/>
      <c r="L489" s="511"/>
      <c r="M489" s="161"/>
      <c r="N489" s="161"/>
      <c r="O489" s="161"/>
      <c r="P489" s="161"/>
      <c r="Q489" s="161"/>
      <c r="R489" s="161"/>
      <c r="S489" s="161"/>
      <c r="T489" s="161"/>
      <c r="U489" s="161"/>
      <c r="V489" s="161"/>
      <c r="W489" s="161"/>
      <c r="X489" s="161"/>
      <c r="Y489" s="161"/>
      <c r="Z489" s="161"/>
      <c r="AA489" s="161"/>
      <c r="AB489" s="161"/>
    </row>
    <row r="490">
      <c r="A490" s="511"/>
      <c r="B490" s="161"/>
      <c r="C490" s="161"/>
      <c r="D490" s="161"/>
      <c r="E490" s="161"/>
      <c r="F490" s="161"/>
      <c r="G490" s="161"/>
      <c r="H490" s="161"/>
      <c r="I490" s="161"/>
      <c r="J490" s="161"/>
      <c r="K490" s="511"/>
      <c r="L490" s="511"/>
      <c r="M490" s="161"/>
      <c r="N490" s="161"/>
      <c r="O490" s="161"/>
      <c r="P490" s="161"/>
      <c r="Q490" s="161"/>
      <c r="R490" s="161"/>
      <c r="S490" s="161"/>
      <c r="T490" s="161"/>
      <c r="U490" s="161"/>
      <c r="V490" s="161"/>
      <c r="W490" s="161"/>
      <c r="X490" s="161"/>
      <c r="Y490" s="161"/>
      <c r="Z490" s="161"/>
      <c r="AA490" s="161"/>
      <c r="AB490" s="161"/>
    </row>
    <row r="491">
      <c r="A491" s="511"/>
      <c r="B491" s="161"/>
      <c r="C491" s="161"/>
      <c r="D491" s="161"/>
      <c r="E491" s="161"/>
      <c r="F491" s="161"/>
      <c r="G491" s="161"/>
      <c r="H491" s="161"/>
      <c r="I491" s="161"/>
      <c r="J491" s="161"/>
      <c r="K491" s="511"/>
      <c r="L491" s="511"/>
      <c r="M491" s="161"/>
      <c r="N491" s="161"/>
      <c r="O491" s="161"/>
      <c r="P491" s="161"/>
      <c r="Q491" s="161"/>
      <c r="R491" s="161"/>
      <c r="S491" s="161"/>
      <c r="T491" s="161"/>
      <c r="U491" s="161"/>
      <c r="V491" s="161"/>
      <c r="W491" s="161"/>
      <c r="X491" s="161"/>
      <c r="Y491" s="161"/>
      <c r="Z491" s="161"/>
      <c r="AA491" s="161"/>
      <c r="AB491" s="161"/>
    </row>
    <row r="492">
      <c r="A492" s="511"/>
      <c r="B492" s="161"/>
      <c r="C492" s="161"/>
      <c r="D492" s="161"/>
      <c r="E492" s="161"/>
      <c r="F492" s="161"/>
      <c r="G492" s="161"/>
      <c r="H492" s="161"/>
      <c r="I492" s="161"/>
      <c r="J492" s="161"/>
      <c r="K492" s="511"/>
      <c r="L492" s="511"/>
      <c r="M492" s="161"/>
      <c r="N492" s="161"/>
      <c r="O492" s="161"/>
      <c r="P492" s="161"/>
      <c r="Q492" s="161"/>
      <c r="R492" s="161"/>
      <c r="S492" s="161"/>
      <c r="T492" s="161"/>
      <c r="U492" s="161"/>
      <c r="V492" s="161"/>
      <c r="W492" s="161"/>
      <c r="X492" s="161"/>
      <c r="Y492" s="161"/>
      <c r="Z492" s="161"/>
      <c r="AA492" s="161"/>
      <c r="AB492" s="161"/>
    </row>
    <row r="493">
      <c r="A493" s="511"/>
      <c r="B493" s="161"/>
      <c r="C493" s="161"/>
      <c r="D493" s="161"/>
      <c r="E493" s="161"/>
      <c r="F493" s="161"/>
      <c r="G493" s="161"/>
      <c r="H493" s="161"/>
      <c r="I493" s="161"/>
      <c r="J493" s="161"/>
      <c r="K493" s="511"/>
      <c r="L493" s="511"/>
      <c r="M493" s="161"/>
      <c r="N493" s="161"/>
      <c r="O493" s="161"/>
      <c r="P493" s="161"/>
      <c r="Q493" s="161"/>
      <c r="R493" s="161"/>
      <c r="S493" s="161"/>
      <c r="T493" s="161"/>
      <c r="U493" s="161"/>
      <c r="V493" s="161"/>
      <c r="W493" s="161"/>
      <c r="X493" s="161"/>
      <c r="Y493" s="161"/>
      <c r="Z493" s="161"/>
      <c r="AA493" s="161"/>
      <c r="AB493" s="161"/>
    </row>
    <row r="494">
      <c r="A494" s="511"/>
      <c r="B494" s="161"/>
      <c r="C494" s="161"/>
      <c r="D494" s="161"/>
      <c r="E494" s="161"/>
      <c r="F494" s="161"/>
      <c r="G494" s="161"/>
      <c r="H494" s="161"/>
      <c r="I494" s="161"/>
      <c r="J494" s="161"/>
      <c r="K494" s="511"/>
      <c r="L494" s="511"/>
      <c r="M494" s="161"/>
      <c r="N494" s="161"/>
      <c r="O494" s="161"/>
      <c r="P494" s="161"/>
      <c r="Q494" s="161"/>
      <c r="R494" s="161"/>
      <c r="S494" s="161"/>
      <c r="T494" s="161"/>
      <c r="U494" s="161"/>
      <c r="V494" s="161"/>
      <c r="W494" s="161"/>
      <c r="X494" s="161"/>
      <c r="Y494" s="161"/>
      <c r="Z494" s="161"/>
      <c r="AA494" s="161"/>
      <c r="AB494" s="161"/>
    </row>
    <row r="495">
      <c r="A495" s="511"/>
      <c r="B495" s="161"/>
      <c r="C495" s="161"/>
      <c r="D495" s="161"/>
      <c r="E495" s="161"/>
      <c r="F495" s="161"/>
      <c r="G495" s="161"/>
      <c r="H495" s="161"/>
      <c r="I495" s="161"/>
      <c r="J495" s="161"/>
      <c r="K495" s="511"/>
      <c r="L495" s="511"/>
      <c r="M495" s="161"/>
      <c r="N495" s="161"/>
      <c r="O495" s="161"/>
      <c r="P495" s="161"/>
      <c r="Q495" s="161"/>
      <c r="R495" s="161"/>
      <c r="S495" s="161"/>
      <c r="T495" s="161"/>
      <c r="U495" s="161"/>
      <c r="V495" s="161"/>
      <c r="W495" s="161"/>
      <c r="X495" s="161"/>
      <c r="Y495" s="161"/>
      <c r="Z495" s="161"/>
      <c r="AA495" s="161"/>
      <c r="AB495" s="161"/>
    </row>
    <row r="496">
      <c r="A496" s="511"/>
      <c r="B496" s="161"/>
      <c r="C496" s="161"/>
      <c r="D496" s="161"/>
      <c r="E496" s="161"/>
      <c r="F496" s="161"/>
      <c r="G496" s="161"/>
      <c r="H496" s="161"/>
      <c r="I496" s="161"/>
      <c r="J496" s="161"/>
      <c r="K496" s="511"/>
      <c r="L496" s="511"/>
      <c r="M496" s="161"/>
      <c r="N496" s="161"/>
      <c r="O496" s="161"/>
      <c r="P496" s="161"/>
      <c r="Q496" s="161"/>
      <c r="R496" s="161"/>
      <c r="S496" s="161"/>
      <c r="T496" s="161"/>
      <c r="U496" s="161"/>
      <c r="V496" s="161"/>
      <c r="W496" s="161"/>
      <c r="X496" s="161"/>
      <c r="Y496" s="161"/>
      <c r="Z496" s="161"/>
      <c r="AA496" s="161"/>
      <c r="AB496" s="161"/>
    </row>
    <row r="497">
      <c r="A497" s="511"/>
      <c r="B497" s="161"/>
      <c r="C497" s="161"/>
      <c r="D497" s="161"/>
      <c r="E497" s="161"/>
      <c r="F497" s="161"/>
      <c r="G497" s="161"/>
      <c r="H497" s="161"/>
      <c r="I497" s="161"/>
      <c r="J497" s="161"/>
      <c r="K497" s="511"/>
      <c r="L497" s="511"/>
      <c r="M497" s="161"/>
      <c r="N497" s="161"/>
      <c r="O497" s="161"/>
      <c r="P497" s="161"/>
      <c r="Q497" s="161"/>
      <c r="R497" s="161"/>
      <c r="S497" s="161"/>
      <c r="T497" s="161"/>
      <c r="U497" s="161"/>
      <c r="V497" s="161"/>
      <c r="W497" s="161"/>
      <c r="X497" s="161"/>
      <c r="Y497" s="161"/>
      <c r="Z497" s="161"/>
      <c r="AA497" s="161"/>
      <c r="AB497" s="161"/>
    </row>
    <row r="498">
      <c r="A498" s="511"/>
      <c r="B498" s="161"/>
      <c r="C498" s="161"/>
      <c r="D498" s="161"/>
      <c r="E498" s="161"/>
      <c r="F498" s="161"/>
      <c r="G498" s="161"/>
      <c r="H498" s="161"/>
      <c r="I498" s="161"/>
      <c r="J498" s="161"/>
      <c r="K498" s="511"/>
      <c r="L498" s="511"/>
      <c r="M498" s="161"/>
      <c r="N498" s="161"/>
      <c r="O498" s="161"/>
      <c r="P498" s="161"/>
      <c r="Q498" s="161"/>
      <c r="R498" s="161"/>
      <c r="S498" s="161"/>
      <c r="T498" s="161"/>
      <c r="U498" s="161"/>
      <c r="V498" s="161"/>
      <c r="W498" s="161"/>
      <c r="X498" s="161"/>
      <c r="Y498" s="161"/>
      <c r="Z498" s="161"/>
      <c r="AA498" s="161"/>
      <c r="AB498" s="161"/>
    </row>
    <row r="499">
      <c r="A499" s="511"/>
      <c r="B499" s="161"/>
      <c r="C499" s="161"/>
      <c r="D499" s="161"/>
      <c r="E499" s="161"/>
      <c r="F499" s="161"/>
      <c r="G499" s="161"/>
      <c r="H499" s="161"/>
      <c r="I499" s="161"/>
      <c r="J499" s="161"/>
      <c r="K499" s="511"/>
      <c r="L499" s="511"/>
      <c r="M499" s="161"/>
      <c r="N499" s="161"/>
      <c r="O499" s="161"/>
      <c r="P499" s="161"/>
      <c r="Q499" s="161"/>
      <c r="R499" s="161"/>
      <c r="S499" s="161"/>
      <c r="T499" s="161"/>
      <c r="U499" s="161"/>
      <c r="V499" s="161"/>
      <c r="W499" s="161"/>
      <c r="X499" s="161"/>
      <c r="Y499" s="161"/>
      <c r="Z499" s="161"/>
      <c r="AA499" s="161"/>
      <c r="AB499" s="161"/>
    </row>
    <row r="500">
      <c r="A500" s="511"/>
      <c r="B500" s="161"/>
      <c r="C500" s="161"/>
      <c r="D500" s="161"/>
      <c r="E500" s="161"/>
      <c r="F500" s="161"/>
      <c r="G500" s="161"/>
      <c r="H500" s="161"/>
      <c r="I500" s="161"/>
      <c r="J500" s="161"/>
      <c r="K500" s="511"/>
      <c r="L500" s="511"/>
      <c r="M500" s="161"/>
      <c r="N500" s="161"/>
      <c r="O500" s="161"/>
      <c r="P500" s="161"/>
      <c r="Q500" s="161"/>
      <c r="R500" s="161"/>
      <c r="S500" s="161"/>
      <c r="T500" s="161"/>
      <c r="U500" s="161"/>
      <c r="V500" s="161"/>
      <c r="W500" s="161"/>
      <c r="X500" s="161"/>
      <c r="Y500" s="161"/>
      <c r="Z500" s="161"/>
      <c r="AA500" s="161"/>
      <c r="AB500" s="161"/>
    </row>
    <row r="501">
      <c r="A501" s="511"/>
      <c r="B501" s="161"/>
      <c r="C501" s="161"/>
      <c r="D501" s="161"/>
      <c r="E501" s="161"/>
      <c r="F501" s="161"/>
      <c r="G501" s="161"/>
      <c r="H501" s="161"/>
      <c r="I501" s="161"/>
      <c r="J501" s="161"/>
      <c r="K501" s="511"/>
      <c r="L501" s="511"/>
      <c r="M501" s="161"/>
      <c r="N501" s="161"/>
      <c r="O501" s="161"/>
      <c r="P501" s="161"/>
      <c r="Q501" s="161"/>
      <c r="R501" s="161"/>
      <c r="S501" s="161"/>
      <c r="T501" s="161"/>
      <c r="U501" s="161"/>
      <c r="V501" s="161"/>
      <c r="W501" s="161"/>
      <c r="X501" s="161"/>
      <c r="Y501" s="161"/>
      <c r="Z501" s="161"/>
      <c r="AA501" s="161"/>
      <c r="AB501" s="161"/>
    </row>
    <row r="502">
      <c r="A502" s="511"/>
      <c r="B502" s="161"/>
      <c r="C502" s="161"/>
      <c r="D502" s="161"/>
      <c r="E502" s="161"/>
      <c r="F502" s="161"/>
      <c r="G502" s="161"/>
      <c r="H502" s="161"/>
      <c r="I502" s="161"/>
      <c r="J502" s="161"/>
      <c r="K502" s="511"/>
      <c r="L502" s="511"/>
      <c r="M502" s="161"/>
      <c r="N502" s="161"/>
      <c r="O502" s="161"/>
      <c r="P502" s="161"/>
      <c r="Q502" s="161"/>
      <c r="R502" s="161"/>
      <c r="S502" s="161"/>
      <c r="T502" s="161"/>
      <c r="U502" s="161"/>
      <c r="V502" s="161"/>
      <c r="W502" s="161"/>
      <c r="X502" s="161"/>
      <c r="Y502" s="161"/>
      <c r="Z502" s="161"/>
      <c r="AA502" s="161"/>
      <c r="AB502" s="161"/>
    </row>
    <row r="503">
      <c r="A503" s="511"/>
      <c r="B503" s="161"/>
      <c r="C503" s="161"/>
      <c r="D503" s="161"/>
      <c r="E503" s="161"/>
      <c r="F503" s="161"/>
      <c r="G503" s="161"/>
      <c r="H503" s="161"/>
      <c r="I503" s="161"/>
      <c r="J503" s="161"/>
      <c r="K503" s="511"/>
      <c r="L503" s="511"/>
      <c r="M503" s="161"/>
      <c r="N503" s="161"/>
      <c r="O503" s="161"/>
      <c r="P503" s="161"/>
      <c r="Q503" s="161"/>
      <c r="R503" s="161"/>
      <c r="S503" s="161"/>
      <c r="T503" s="161"/>
      <c r="U503" s="161"/>
      <c r="V503" s="161"/>
      <c r="W503" s="161"/>
      <c r="X503" s="161"/>
      <c r="Y503" s="161"/>
      <c r="Z503" s="161"/>
      <c r="AA503" s="161"/>
      <c r="AB503" s="161"/>
    </row>
    <row r="504">
      <c r="A504" s="511"/>
      <c r="B504" s="161"/>
      <c r="C504" s="161"/>
      <c r="D504" s="161"/>
      <c r="E504" s="161"/>
      <c r="F504" s="161"/>
      <c r="G504" s="161"/>
      <c r="H504" s="161"/>
      <c r="I504" s="161"/>
      <c r="J504" s="161"/>
      <c r="K504" s="511"/>
      <c r="L504" s="511"/>
      <c r="M504" s="161"/>
      <c r="N504" s="161"/>
      <c r="O504" s="161"/>
      <c r="P504" s="161"/>
      <c r="Q504" s="161"/>
      <c r="R504" s="161"/>
      <c r="S504" s="161"/>
      <c r="T504" s="161"/>
      <c r="U504" s="161"/>
      <c r="V504" s="161"/>
      <c r="W504" s="161"/>
      <c r="X504" s="161"/>
      <c r="Y504" s="161"/>
      <c r="Z504" s="161"/>
      <c r="AA504" s="161"/>
      <c r="AB504" s="161"/>
    </row>
    <row r="505">
      <c r="A505" s="511"/>
      <c r="B505" s="161"/>
      <c r="C505" s="161"/>
      <c r="D505" s="161"/>
      <c r="E505" s="161"/>
      <c r="F505" s="161"/>
      <c r="G505" s="161"/>
      <c r="H505" s="161"/>
      <c r="I505" s="161"/>
      <c r="J505" s="161"/>
      <c r="K505" s="511"/>
      <c r="L505" s="511"/>
      <c r="M505" s="161"/>
      <c r="N505" s="161"/>
      <c r="O505" s="161"/>
      <c r="P505" s="161"/>
      <c r="Q505" s="161"/>
      <c r="R505" s="161"/>
      <c r="S505" s="161"/>
      <c r="T505" s="161"/>
      <c r="U505" s="161"/>
      <c r="V505" s="161"/>
      <c r="W505" s="161"/>
      <c r="X505" s="161"/>
      <c r="Y505" s="161"/>
      <c r="Z505" s="161"/>
      <c r="AA505" s="161"/>
      <c r="AB505" s="161"/>
    </row>
    <row r="506">
      <c r="A506" s="511"/>
      <c r="B506" s="161"/>
      <c r="C506" s="161"/>
      <c r="D506" s="161"/>
      <c r="E506" s="161"/>
      <c r="F506" s="161"/>
      <c r="G506" s="161"/>
      <c r="H506" s="161"/>
      <c r="I506" s="161"/>
      <c r="J506" s="161"/>
      <c r="K506" s="511"/>
      <c r="L506" s="511"/>
      <c r="M506" s="161"/>
      <c r="N506" s="161"/>
      <c r="O506" s="161"/>
      <c r="P506" s="161"/>
      <c r="Q506" s="161"/>
      <c r="R506" s="161"/>
      <c r="S506" s="161"/>
      <c r="T506" s="161"/>
      <c r="U506" s="161"/>
      <c r="V506" s="161"/>
      <c r="W506" s="161"/>
      <c r="X506" s="161"/>
      <c r="Y506" s="161"/>
      <c r="Z506" s="161"/>
      <c r="AA506" s="161"/>
      <c r="AB506" s="161"/>
    </row>
    <row r="507">
      <c r="A507" s="511"/>
      <c r="B507" s="161"/>
      <c r="C507" s="161"/>
      <c r="D507" s="161"/>
      <c r="E507" s="161"/>
      <c r="F507" s="161"/>
      <c r="G507" s="161"/>
      <c r="H507" s="161"/>
      <c r="I507" s="161"/>
      <c r="J507" s="161"/>
      <c r="K507" s="511"/>
      <c r="L507" s="511"/>
      <c r="M507" s="161"/>
      <c r="N507" s="161"/>
      <c r="O507" s="161"/>
      <c r="P507" s="161"/>
      <c r="Q507" s="161"/>
      <c r="R507" s="161"/>
      <c r="S507" s="161"/>
      <c r="T507" s="161"/>
      <c r="U507" s="161"/>
      <c r="V507" s="161"/>
      <c r="W507" s="161"/>
      <c r="X507" s="161"/>
      <c r="Y507" s="161"/>
      <c r="Z507" s="161"/>
      <c r="AA507" s="161"/>
      <c r="AB507" s="161"/>
    </row>
    <row r="508">
      <c r="A508" s="511"/>
      <c r="B508" s="161"/>
      <c r="C508" s="161"/>
      <c r="D508" s="161"/>
      <c r="E508" s="161"/>
      <c r="F508" s="161"/>
      <c r="G508" s="161"/>
      <c r="H508" s="161"/>
      <c r="I508" s="161"/>
      <c r="J508" s="161"/>
      <c r="K508" s="511"/>
      <c r="L508" s="511"/>
      <c r="M508" s="161"/>
      <c r="N508" s="161"/>
      <c r="O508" s="161"/>
      <c r="P508" s="161"/>
      <c r="Q508" s="161"/>
      <c r="R508" s="161"/>
      <c r="S508" s="161"/>
      <c r="T508" s="161"/>
      <c r="U508" s="161"/>
      <c r="V508" s="161"/>
      <c r="W508" s="161"/>
      <c r="X508" s="161"/>
      <c r="Y508" s="161"/>
      <c r="Z508" s="161"/>
      <c r="AA508" s="161"/>
      <c r="AB508" s="161"/>
    </row>
    <row r="509">
      <c r="A509" s="511"/>
      <c r="B509" s="161"/>
      <c r="C509" s="161"/>
      <c r="D509" s="161"/>
      <c r="E509" s="161"/>
      <c r="F509" s="161"/>
      <c r="G509" s="161"/>
      <c r="H509" s="161"/>
      <c r="I509" s="161"/>
      <c r="J509" s="161"/>
      <c r="K509" s="511"/>
      <c r="L509" s="511"/>
      <c r="M509" s="161"/>
      <c r="N509" s="161"/>
      <c r="O509" s="161"/>
      <c r="P509" s="161"/>
      <c r="Q509" s="161"/>
      <c r="R509" s="161"/>
      <c r="S509" s="161"/>
      <c r="T509" s="161"/>
      <c r="U509" s="161"/>
      <c r="V509" s="161"/>
      <c r="W509" s="161"/>
      <c r="X509" s="161"/>
      <c r="Y509" s="161"/>
      <c r="Z509" s="161"/>
      <c r="AA509" s="161"/>
      <c r="AB509" s="161"/>
    </row>
    <row r="510">
      <c r="A510" s="511"/>
      <c r="B510" s="161"/>
      <c r="C510" s="161"/>
      <c r="D510" s="161"/>
      <c r="E510" s="161"/>
      <c r="F510" s="161"/>
      <c r="G510" s="161"/>
      <c r="H510" s="161"/>
      <c r="I510" s="161"/>
      <c r="J510" s="161"/>
      <c r="K510" s="511"/>
      <c r="L510" s="511"/>
      <c r="M510" s="161"/>
      <c r="N510" s="161"/>
      <c r="O510" s="161"/>
      <c r="P510" s="161"/>
      <c r="Q510" s="161"/>
      <c r="R510" s="161"/>
      <c r="S510" s="161"/>
      <c r="T510" s="161"/>
      <c r="U510" s="161"/>
      <c r="V510" s="161"/>
      <c r="W510" s="161"/>
      <c r="X510" s="161"/>
      <c r="Y510" s="161"/>
      <c r="Z510" s="161"/>
      <c r="AA510" s="161"/>
      <c r="AB510" s="161"/>
    </row>
    <row r="511">
      <c r="A511" s="511"/>
      <c r="B511" s="161"/>
      <c r="C511" s="161"/>
      <c r="D511" s="161"/>
      <c r="E511" s="161"/>
      <c r="F511" s="161"/>
      <c r="G511" s="161"/>
      <c r="H511" s="161"/>
      <c r="I511" s="161"/>
      <c r="J511" s="161"/>
      <c r="K511" s="511"/>
      <c r="L511" s="511"/>
      <c r="M511" s="161"/>
      <c r="N511" s="161"/>
      <c r="O511" s="161"/>
      <c r="P511" s="161"/>
      <c r="Q511" s="161"/>
      <c r="R511" s="161"/>
      <c r="S511" s="161"/>
      <c r="T511" s="161"/>
      <c r="U511" s="161"/>
      <c r="V511" s="161"/>
      <c r="W511" s="161"/>
      <c r="X511" s="161"/>
      <c r="Y511" s="161"/>
      <c r="Z511" s="161"/>
      <c r="AA511" s="161"/>
      <c r="AB511" s="161"/>
    </row>
    <row r="512">
      <c r="A512" s="511"/>
      <c r="B512" s="161"/>
      <c r="C512" s="161"/>
      <c r="D512" s="161"/>
      <c r="E512" s="161"/>
      <c r="F512" s="161"/>
      <c r="G512" s="161"/>
      <c r="H512" s="161"/>
      <c r="I512" s="161"/>
      <c r="J512" s="161"/>
      <c r="K512" s="511"/>
      <c r="L512" s="511"/>
      <c r="M512" s="161"/>
      <c r="N512" s="161"/>
      <c r="O512" s="161"/>
      <c r="P512" s="161"/>
      <c r="Q512" s="161"/>
      <c r="R512" s="161"/>
      <c r="S512" s="161"/>
      <c r="T512" s="161"/>
      <c r="U512" s="161"/>
      <c r="V512" s="161"/>
      <c r="W512" s="161"/>
      <c r="X512" s="161"/>
      <c r="Y512" s="161"/>
      <c r="Z512" s="161"/>
      <c r="AA512" s="161"/>
      <c r="AB512" s="161"/>
    </row>
    <row r="513">
      <c r="A513" s="511"/>
      <c r="B513" s="161"/>
      <c r="C513" s="161"/>
      <c r="D513" s="161"/>
      <c r="E513" s="161"/>
      <c r="F513" s="161"/>
      <c r="G513" s="161"/>
      <c r="H513" s="161"/>
      <c r="I513" s="161"/>
      <c r="J513" s="161"/>
      <c r="K513" s="511"/>
      <c r="L513" s="511"/>
      <c r="M513" s="161"/>
      <c r="N513" s="161"/>
      <c r="O513" s="161"/>
      <c r="P513" s="161"/>
      <c r="Q513" s="161"/>
      <c r="R513" s="161"/>
      <c r="S513" s="161"/>
      <c r="T513" s="161"/>
      <c r="U513" s="161"/>
      <c r="V513" s="161"/>
      <c r="W513" s="161"/>
      <c r="X513" s="161"/>
      <c r="Y513" s="161"/>
      <c r="Z513" s="161"/>
      <c r="AA513" s="161"/>
      <c r="AB513" s="161"/>
    </row>
    <row r="514">
      <c r="A514" s="511"/>
      <c r="B514" s="161"/>
      <c r="C514" s="161"/>
      <c r="D514" s="161"/>
      <c r="E514" s="161"/>
      <c r="F514" s="161"/>
      <c r="G514" s="161"/>
      <c r="H514" s="161"/>
      <c r="I514" s="161"/>
      <c r="J514" s="161"/>
      <c r="K514" s="511"/>
      <c r="L514" s="511"/>
      <c r="M514" s="161"/>
      <c r="N514" s="161"/>
      <c r="O514" s="161"/>
      <c r="P514" s="161"/>
      <c r="Q514" s="161"/>
      <c r="R514" s="161"/>
      <c r="S514" s="161"/>
      <c r="T514" s="161"/>
      <c r="U514" s="161"/>
      <c r="V514" s="161"/>
      <c r="W514" s="161"/>
      <c r="X514" s="161"/>
      <c r="Y514" s="161"/>
      <c r="Z514" s="161"/>
      <c r="AA514" s="161"/>
      <c r="AB514" s="161"/>
    </row>
    <row r="515">
      <c r="A515" s="511"/>
      <c r="B515" s="161"/>
      <c r="C515" s="161"/>
      <c r="D515" s="161"/>
      <c r="E515" s="161"/>
      <c r="F515" s="161"/>
      <c r="G515" s="161"/>
      <c r="H515" s="161"/>
      <c r="I515" s="161"/>
      <c r="J515" s="161"/>
      <c r="K515" s="511"/>
      <c r="L515" s="511"/>
      <c r="M515" s="161"/>
      <c r="N515" s="161"/>
      <c r="O515" s="161"/>
      <c r="P515" s="161"/>
      <c r="Q515" s="161"/>
      <c r="R515" s="161"/>
      <c r="S515" s="161"/>
      <c r="T515" s="161"/>
      <c r="U515" s="161"/>
      <c r="V515" s="161"/>
      <c r="W515" s="161"/>
      <c r="X515" s="161"/>
      <c r="Y515" s="161"/>
      <c r="Z515" s="161"/>
      <c r="AA515" s="161"/>
      <c r="AB515" s="161"/>
    </row>
    <row r="516">
      <c r="A516" s="511"/>
      <c r="B516" s="161"/>
      <c r="C516" s="161"/>
      <c r="D516" s="161"/>
      <c r="E516" s="161"/>
      <c r="F516" s="161"/>
      <c r="G516" s="161"/>
      <c r="H516" s="161"/>
      <c r="I516" s="161"/>
      <c r="J516" s="161"/>
      <c r="K516" s="511"/>
      <c r="L516" s="511"/>
      <c r="M516" s="161"/>
      <c r="N516" s="161"/>
      <c r="O516" s="161"/>
      <c r="P516" s="161"/>
      <c r="Q516" s="161"/>
      <c r="R516" s="161"/>
      <c r="S516" s="161"/>
      <c r="T516" s="161"/>
      <c r="U516" s="161"/>
      <c r="V516" s="161"/>
      <c r="W516" s="161"/>
      <c r="X516" s="161"/>
      <c r="Y516" s="161"/>
      <c r="Z516" s="161"/>
      <c r="AA516" s="161"/>
      <c r="AB516" s="161"/>
    </row>
    <row r="517">
      <c r="A517" s="511"/>
      <c r="B517" s="161"/>
      <c r="C517" s="161"/>
      <c r="D517" s="161"/>
      <c r="E517" s="161"/>
      <c r="F517" s="161"/>
      <c r="G517" s="161"/>
      <c r="H517" s="161"/>
      <c r="I517" s="161"/>
      <c r="J517" s="161"/>
      <c r="K517" s="511"/>
      <c r="L517" s="511"/>
      <c r="M517" s="161"/>
      <c r="N517" s="161"/>
      <c r="O517" s="161"/>
      <c r="P517" s="161"/>
      <c r="Q517" s="161"/>
      <c r="R517" s="161"/>
      <c r="S517" s="161"/>
      <c r="T517" s="161"/>
      <c r="U517" s="161"/>
      <c r="V517" s="161"/>
      <c r="W517" s="161"/>
      <c r="X517" s="161"/>
      <c r="Y517" s="161"/>
      <c r="Z517" s="161"/>
      <c r="AA517" s="161"/>
      <c r="AB517" s="161"/>
    </row>
    <row r="518">
      <c r="A518" s="511"/>
      <c r="B518" s="161"/>
      <c r="C518" s="161"/>
      <c r="D518" s="161"/>
      <c r="E518" s="161"/>
      <c r="F518" s="161"/>
      <c r="G518" s="161"/>
      <c r="H518" s="161"/>
      <c r="I518" s="161"/>
      <c r="J518" s="161"/>
      <c r="K518" s="511"/>
      <c r="L518" s="511"/>
      <c r="M518" s="161"/>
      <c r="N518" s="161"/>
      <c r="O518" s="161"/>
      <c r="P518" s="161"/>
      <c r="Q518" s="161"/>
      <c r="R518" s="161"/>
      <c r="S518" s="161"/>
      <c r="T518" s="161"/>
      <c r="U518" s="161"/>
      <c r="V518" s="161"/>
      <c r="W518" s="161"/>
      <c r="X518" s="161"/>
      <c r="Y518" s="161"/>
      <c r="Z518" s="161"/>
      <c r="AA518" s="161"/>
      <c r="AB518" s="161"/>
    </row>
    <row r="519">
      <c r="A519" s="511"/>
      <c r="B519" s="161"/>
      <c r="C519" s="161"/>
      <c r="D519" s="161"/>
      <c r="E519" s="161"/>
      <c r="F519" s="161"/>
      <c r="G519" s="161"/>
      <c r="H519" s="161"/>
      <c r="I519" s="161"/>
      <c r="J519" s="161"/>
      <c r="K519" s="511"/>
      <c r="L519" s="511"/>
      <c r="M519" s="161"/>
      <c r="N519" s="161"/>
      <c r="O519" s="161"/>
      <c r="P519" s="161"/>
      <c r="Q519" s="161"/>
      <c r="R519" s="161"/>
      <c r="S519" s="161"/>
      <c r="T519" s="161"/>
      <c r="U519" s="161"/>
      <c r="V519" s="161"/>
      <c r="W519" s="161"/>
      <c r="X519" s="161"/>
      <c r="Y519" s="161"/>
      <c r="Z519" s="161"/>
      <c r="AA519" s="161"/>
      <c r="AB519" s="161"/>
    </row>
    <row r="520">
      <c r="A520" s="511"/>
      <c r="B520" s="161"/>
      <c r="C520" s="161"/>
      <c r="D520" s="161"/>
      <c r="E520" s="161"/>
      <c r="F520" s="161"/>
      <c r="G520" s="161"/>
      <c r="H520" s="161"/>
      <c r="I520" s="161"/>
      <c r="J520" s="161"/>
      <c r="K520" s="511"/>
      <c r="L520" s="511"/>
      <c r="M520" s="161"/>
      <c r="N520" s="161"/>
      <c r="O520" s="161"/>
      <c r="P520" s="161"/>
      <c r="Q520" s="161"/>
      <c r="R520" s="161"/>
      <c r="S520" s="161"/>
      <c r="T520" s="161"/>
      <c r="U520" s="161"/>
      <c r="V520" s="161"/>
      <c r="W520" s="161"/>
      <c r="X520" s="161"/>
      <c r="Y520" s="161"/>
      <c r="Z520" s="161"/>
      <c r="AA520" s="161"/>
      <c r="AB520" s="161"/>
    </row>
    <row r="521">
      <c r="A521" s="511"/>
      <c r="B521" s="161"/>
      <c r="C521" s="161"/>
      <c r="D521" s="161"/>
      <c r="E521" s="161"/>
      <c r="F521" s="161"/>
      <c r="G521" s="161"/>
      <c r="H521" s="161"/>
      <c r="I521" s="161"/>
      <c r="J521" s="161"/>
      <c r="K521" s="511"/>
      <c r="L521" s="511"/>
      <c r="M521" s="161"/>
      <c r="N521" s="161"/>
      <c r="O521" s="161"/>
      <c r="P521" s="161"/>
      <c r="Q521" s="161"/>
      <c r="R521" s="161"/>
      <c r="S521" s="161"/>
      <c r="T521" s="161"/>
      <c r="U521" s="161"/>
      <c r="V521" s="161"/>
      <c r="W521" s="161"/>
      <c r="X521" s="161"/>
      <c r="Y521" s="161"/>
      <c r="Z521" s="161"/>
      <c r="AA521" s="161"/>
      <c r="AB521" s="161"/>
    </row>
    <row r="522">
      <c r="A522" s="511"/>
      <c r="B522" s="161"/>
      <c r="C522" s="161"/>
      <c r="D522" s="161"/>
      <c r="E522" s="161"/>
      <c r="F522" s="161"/>
      <c r="G522" s="161"/>
      <c r="H522" s="161"/>
      <c r="I522" s="161"/>
      <c r="J522" s="161"/>
      <c r="K522" s="511"/>
      <c r="L522" s="511"/>
      <c r="M522" s="161"/>
      <c r="N522" s="161"/>
      <c r="O522" s="161"/>
      <c r="P522" s="161"/>
      <c r="Q522" s="161"/>
      <c r="R522" s="161"/>
      <c r="S522" s="161"/>
      <c r="T522" s="161"/>
      <c r="U522" s="161"/>
      <c r="V522" s="161"/>
      <c r="W522" s="161"/>
      <c r="X522" s="161"/>
      <c r="Y522" s="161"/>
      <c r="Z522" s="161"/>
      <c r="AA522" s="161"/>
      <c r="AB522" s="161"/>
    </row>
    <row r="523">
      <c r="A523" s="511"/>
      <c r="B523" s="161"/>
      <c r="C523" s="161"/>
      <c r="D523" s="161"/>
      <c r="E523" s="161"/>
      <c r="F523" s="161"/>
      <c r="G523" s="161"/>
      <c r="H523" s="161"/>
      <c r="I523" s="161"/>
      <c r="J523" s="161"/>
      <c r="K523" s="511"/>
      <c r="L523" s="511"/>
      <c r="M523" s="161"/>
      <c r="N523" s="161"/>
      <c r="O523" s="161"/>
      <c r="P523" s="161"/>
      <c r="Q523" s="161"/>
      <c r="R523" s="161"/>
      <c r="S523" s="161"/>
      <c r="T523" s="161"/>
      <c r="U523" s="161"/>
      <c r="V523" s="161"/>
      <c r="W523" s="161"/>
      <c r="X523" s="161"/>
      <c r="Y523" s="161"/>
      <c r="Z523" s="161"/>
      <c r="AA523" s="161"/>
      <c r="AB523" s="161"/>
    </row>
    <row r="524">
      <c r="A524" s="511"/>
      <c r="B524" s="161"/>
      <c r="C524" s="161"/>
      <c r="D524" s="161"/>
      <c r="E524" s="161"/>
      <c r="F524" s="161"/>
      <c r="G524" s="161"/>
      <c r="H524" s="161"/>
      <c r="I524" s="161"/>
      <c r="J524" s="161"/>
      <c r="K524" s="511"/>
      <c r="L524" s="511"/>
      <c r="M524" s="161"/>
      <c r="N524" s="161"/>
      <c r="O524" s="161"/>
      <c r="P524" s="161"/>
      <c r="Q524" s="161"/>
      <c r="R524" s="161"/>
      <c r="S524" s="161"/>
      <c r="T524" s="161"/>
      <c r="U524" s="161"/>
      <c r="V524" s="161"/>
      <c r="W524" s="161"/>
      <c r="X524" s="161"/>
      <c r="Y524" s="161"/>
      <c r="Z524" s="161"/>
      <c r="AA524" s="161"/>
      <c r="AB524" s="161"/>
    </row>
    <row r="525">
      <c r="A525" s="511"/>
      <c r="B525" s="161"/>
      <c r="C525" s="161"/>
      <c r="D525" s="161"/>
      <c r="E525" s="161"/>
      <c r="F525" s="161"/>
      <c r="G525" s="161"/>
      <c r="H525" s="161"/>
      <c r="I525" s="161"/>
      <c r="J525" s="161"/>
      <c r="K525" s="511"/>
      <c r="L525" s="511"/>
      <c r="M525" s="161"/>
      <c r="N525" s="161"/>
      <c r="O525" s="161"/>
      <c r="P525" s="161"/>
      <c r="Q525" s="161"/>
      <c r="R525" s="161"/>
      <c r="S525" s="161"/>
      <c r="T525" s="161"/>
      <c r="U525" s="161"/>
      <c r="V525" s="161"/>
      <c r="W525" s="161"/>
      <c r="X525" s="161"/>
      <c r="Y525" s="161"/>
      <c r="Z525" s="161"/>
      <c r="AA525" s="161"/>
      <c r="AB525" s="161"/>
    </row>
    <row r="526">
      <c r="A526" s="511"/>
      <c r="B526" s="161"/>
      <c r="C526" s="161"/>
      <c r="D526" s="161"/>
      <c r="E526" s="161"/>
      <c r="F526" s="161"/>
      <c r="G526" s="161"/>
      <c r="H526" s="161"/>
      <c r="I526" s="161"/>
      <c r="J526" s="161"/>
      <c r="K526" s="511"/>
      <c r="L526" s="511"/>
      <c r="M526" s="161"/>
      <c r="N526" s="161"/>
      <c r="O526" s="161"/>
      <c r="P526" s="161"/>
      <c r="Q526" s="161"/>
      <c r="R526" s="161"/>
      <c r="S526" s="161"/>
      <c r="T526" s="161"/>
      <c r="U526" s="161"/>
      <c r="V526" s="161"/>
      <c r="W526" s="161"/>
      <c r="X526" s="161"/>
      <c r="Y526" s="161"/>
      <c r="Z526" s="161"/>
      <c r="AA526" s="161"/>
      <c r="AB526" s="161"/>
    </row>
    <row r="527">
      <c r="A527" s="511"/>
      <c r="B527" s="161"/>
      <c r="C527" s="161"/>
      <c r="D527" s="161"/>
      <c r="E527" s="161"/>
      <c r="F527" s="161"/>
      <c r="G527" s="161"/>
      <c r="H527" s="161"/>
      <c r="I527" s="161"/>
      <c r="J527" s="161"/>
      <c r="K527" s="511"/>
      <c r="L527" s="511"/>
      <c r="M527" s="161"/>
      <c r="N527" s="161"/>
      <c r="O527" s="161"/>
      <c r="P527" s="161"/>
      <c r="Q527" s="161"/>
      <c r="R527" s="161"/>
      <c r="S527" s="161"/>
      <c r="T527" s="161"/>
      <c r="U527" s="161"/>
      <c r="V527" s="161"/>
      <c r="W527" s="161"/>
      <c r="X527" s="161"/>
      <c r="Y527" s="161"/>
      <c r="Z527" s="161"/>
      <c r="AA527" s="161"/>
      <c r="AB527" s="161"/>
    </row>
    <row r="528">
      <c r="A528" s="511"/>
      <c r="B528" s="161"/>
      <c r="C528" s="161"/>
      <c r="D528" s="161"/>
      <c r="E528" s="161"/>
      <c r="F528" s="161"/>
      <c r="G528" s="161"/>
      <c r="H528" s="161"/>
      <c r="I528" s="161"/>
      <c r="J528" s="161"/>
      <c r="K528" s="511"/>
      <c r="L528" s="511"/>
      <c r="M528" s="161"/>
      <c r="N528" s="161"/>
      <c r="O528" s="161"/>
      <c r="P528" s="161"/>
      <c r="Q528" s="161"/>
      <c r="R528" s="161"/>
      <c r="S528" s="161"/>
      <c r="T528" s="161"/>
      <c r="U528" s="161"/>
      <c r="V528" s="161"/>
      <c r="W528" s="161"/>
      <c r="X528" s="161"/>
      <c r="Y528" s="161"/>
      <c r="Z528" s="161"/>
      <c r="AA528" s="161"/>
      <c r="AB528" s="161"/>
    </row>
    <row r="529">
      <c r="A529" s="511"/>
      <c r="B529" s="161"/>
      <c r="C529" s="161"/>
      <c r="D529" s="161"/>
      <c r="E529" s="161"/>
      <c r="F529" s="161"/>
      <c r="G529" s="161"/>
      <c r="H529" s="161"/>
      <c r="I529" s="161"/>
      <c r="J529" s="161"/>
      <c r="K529" s="511"/>
      <c r="L529" s="511"/>
      <c r="M529" s="161"/>
      <c r="N529" s="161"/>
      <c r="O529" s="161"/>
      <c r="P529" s="161"/>
      <c r="Q529" s="161"/>
      <c r="R529" s="161"/>
      <c r="S529" s="161"/>
      <c r="T529" s="161"/>
      <c r="U529" s="161"/>
      <c r="V529" s="161"/>
      <c r="W529" s="161"/>
      <c r="X529" s="161"/>
      <c r="Y529" s="161"/>
      <c r="Z529" s="161"/>
      <c r="AA529" s="161"/>
      <c r="AB529" s="161"/>
    </row>
    <row r="530">
      <c r="A530" s="511"/>
      <c r="B530" s="161"/>
      <c r="C530" s="161"/>
      <c r="D530" s="161"/>
      <c r="E530" s="161"/>
      <c r="F530" s="161"/>
      <c r="G530" s="161"/>
      <c r="H530" s="161"/>
      <c r="I530" s="161"/>
      <c r="J530" s="161"/>
      <c r="K530" s="511"/>
      <c r="L530" s="511"/>
      <c r="M530" s="161"/>
      <c r="N530" s="161"/>
      <c r="O530" s="161"/>
      <c r="P530" s="161"/>
      <c r="Q530" s="161"/>
      <c r="R530" s="161"/>
      <c r="S530" s="161"/>
      <c r="T530" s="161"/>
      <c r="U530" s="161"/>
      <c r="V530" s="161"/>
      <c r="W530" s="161"/>
      <c r="X530" s="161"/>
      <c r="Y530" s="161"/>
      <c r="Z530" s="161"/>
      <c r="AA530" s="161"/>
      <c r="AB530" s="161"/>
    </row>
    <row r="531">
      <c r="A531" s="511"/>
      <c r="B531" s="161"/>
      <c r="C531" s="161"/>
      <c r="D531" s="161"/>
      <c r="E531" s="161"/>
      <c r="F531" s="161"/>
      <c r="G531" s="161"/>
      <c r="H531" s="161"/>
      <c r="I531" s="161"/>
      <c r="J531" s="161"/>
      <c r="K531" s="511"/>
      <c r="L531" s="511"/>
      <c r="M531" s="161"/>
      <c r="N531" s="161"/>
      <c r="O531" s="161"/>
      <c r="P531" s="161"/>
      <c r="Q531" s="161"/>
      <c r="R531" s="161"/>
      <c r="S531" s="161"/>
      <c r="T531" s="161"/>
      <c r="U531" s="161"/>
      <c r="V531" s="161"/>
      <c r="W531" s="161"/>
      <c r="X531" s="161"/>
      <c r="Y531" s="161"/>
      <c r="Z531" s="161"/>
      <c r="AA531" s="161"/>
      <c r="AB531" s="161"/>
    </row>
    <row r="532">
      <c r="A532" s="511"/>
      <c r="B532" s="161"/>
      <c r="C532" s="161"/>
      <c r="D532" s="161"/>
      <c r="E532" s="161"/>
      <c r="F532" s="161"/>
      <c r="G532" s="161"/>
      <c r="H532" s="161"/>
      <c r="I532" s="161"/>
      <c r="J532" s="161"/>
      <c r="K532" s="511"/>
      <c r="L532" s="511"/>
      <c r="M532" s="161"/>
      <c r="N532" s="161"/>
      <c r="O532" s="161"/>
      <c r="P532" s="161"/>
      <c r="Q532" s="161"/>
      <c r="R532" s="161"/>
      <c r="S532" s="161"/>
      <c r="T532" s="161"/>
      <c r="U532" s="161"/>
      <c r="V532" s="161"/>
      <c r="W532" s="161"/>
      <c r="X532" s="161"/>
      <c r="Y532" s="161"/>
      <c r="Z532" s="161"/>
      <c r="AA532" s="161"/>
      <c r="AB532" s="161"/>
    </row>
    <row r="533">
      <c r="A533" s="511"/>
      <c r="B533" s="161"/>
      <c r="C533" s="161"/>
      <c r="D533" s="161"/>
      <c r="E533" s="161"/>
      <c r="F533" s="161"/>
      <c r="G533" s="161"/>
      <c r="H533" s="161"/>
      <c r="I533" s="161"/>
      <c r="J533" s="161"/>
      <c r="K533" s="511"/>
      <c r="L533" s="511"/>
      <c r="M533" s="161"/>
      <c r="N533" s="161"/>
      <c r="O533" s="161"/>
      <c r="P533" s="161"/>
      <c r="Q533" s="161"/>
      <c r="R533" s="161"/>
      <c r="S533" s="161"/>
      <c r="T533" s="161"/>
      <c r="U533" s="161"/>
      <c r="V533" s="161"/>
      <c r="W533" s="161"/>
      <c r="X533" s="161"/>
      <c r="Y533" s="161"/>
      <c r="Z533" s="161"/>
      <c r="AA533" s="161"/>
      <c r="AB533" s="161"/>
    </row>
    <row r="534">
      <c r="A534" s="511"/>
      <c r="B534" s="161"/>
      <c r="C534" s="161"/>
      <c r="D534" s="161"/>
      <c r="E534" s="161"/>
      <c r="F534" s="161"/>
      <c r="G534" s="161"/>
      <c r="H534" s="161"/>
      <c r="I534" s="161"/>
      <c r="J534" s="161"/>
      <c r="K534" s="511"/>
      <c r="L534" s="511"/>
      <c r="M534" s="161"/>
      <c r="N534" s="161"/>
      <c r="O534" s="161"/>
      <c r="P534" s="161"/>
      <c r="Q534" s="161"/>
      <c r="R534" s="161"/>
      <c r="S534" s="161"/>
      <c r="T534" s="161"/>
      <c r="U534" s="161"/>
      <c r="V534" s="161"/>
      <c r="W534" s="161"/>
      <c r="X534" s="161"/>
      <c r="Y534" s="161"/>
      <c r="Z534" s="161"/>
      <c r="AA534" s="161"/>
      <c r="AB534" s="161"/>
    </row>
    <row r="535">
      <c r="A535" s="511"/>
      <c r="B535" s="161"/>
      <c r="C535" s="161"/>
      <c r="D535" s="161"/>
      <c r="E535" s="161"/>
      <c r="F535" s="161"/>
      <c r="G535" s="161"/>
      <c r="H535" s="161"/>
      <c r="I535" s="161"/>
      <c r="J535" s="161"/>
      <c r="K535" s="511"/>
      <c r="L535" s="511"/>
      <c r="M535" s="161"/>
      <c r="N535" s="161"/>
      <c r="O535" s="161"/>
      <c r="P535" s="161"/>
      <c r="Q535" s="161"/>
      <c r="R535" s="161"/>
      <c r="S535" s="161"/>
      <c r="T535" s="161"/>
      <c r="U535" s="161"/>
      <c r="V535" s="161"/>
      <c r="W535" s="161"/>
      <c r="X535" s="161"/>
      <c r="Y535" s="161"/>
      <c r="Z535" s="161"/>
      <c r="AA535" s="161"/>
      <c r="AB535" s="161"/>
    </row>
    <row r="536">
      <c r="A536" s="511"/>
      <c r="B536" s="161"/>
      <c r="C536" s="161"/>
      <c r="D536" s="161"/>
      <c r="E536" s="161"/>
      <c r="F536" s="161"/>
      <c r="G536" s="161"/>
      <c r="H536" s="161"/>
      <c r="I536" s="161"/>
      <c r="J536" s="161"/>
      <c r="K536" s="511"/>
      <c r="L536" s="511"/>
      <c r="M536" s="161"/>
      <c r="N536" s="161"/>
      <c r="O536" s="161"/>
      <c r="P536" s="161"/>
      <c r="Q536" s="161"/>
      <c r="R536" s="161"/>
      <c r="S536" s="161"/>
      <c r="T536" s="161"/>
      <c r="U536" s="161"/>
      <c r="V536" s="161"/>
      <c r="W536" s="161"/>
      <c r="X536" s="161"/>
      <c r="Y536" s="161"/>
      <c r="Z536" s="161"/>
      <c r="AA536" s="161"/>
      <c r="AB536" s="161"/>
    </row>
    <row r="537">
      <c r="A537" s="511"/>
      <c r="B537" s="161"/>
      <c r="C537" s="161"/>
      <c r="D537" s="161"/>
      <c r="E537" s="161"/>
      <c r="F537" s="161"/>
      <c r="G537" s="161"/>
      <c r="H537" s="161"/>
      <c r="I537" s="161"/>
      <c r="J537" s="161"/>
      <c r="K537" s="511"/>
      <c r="L537" s="511"/>
      <c r="M537" s="161"/>
      <c r="N537" s="161"/>
      <c r="O537" s="161"/>
      <c r="P537" s="161"/>
      <c r="Q537" s="161"/>
      <c r="R537" s="161"/>
      <c r="S537" s="161"/>
      <c r="T537" s="161"/>
      <c r="U537" s="161"/>
      <c r="V537" s="161"/>
      <c r="W537" s="161"/>
      <c r="X537" s="161"/>
      <c r="Y537" s="161"/>
      <c r="Z537" s="161"/>
      <c r="AA537" s="161"/>
      <c r="AB537" s="161"/>
    </row>
    <row r="538">
      <c r="A538" s="511"/>
      <c r="B538" s="161"/>
      <c r="C538" s="161"/>
      <c r="D538" s="161"/>
      <c r="E538" s="161"/>
      <c r="F538" s="161"/>
      <c r="G538" s="161"/>
      <c r="H538" s="161"/>
      <c r="I538" s="161"/>
      <c r="J538" s="161"/>
      <c r="K538" s="511"/>
      <c r="L538" s="511"/>
      <c r="M538" s="161"/>
      <c r="N538" s="161"/>
      <c r="O538" s="161"/>
      <c r="P538" s="161"/>
      <c r="Q538" s="161"/>
      <c r="R538" s="161"/>
      <c r="S538" s="161"/>
      <c r="T538" s="161"/>
      <c r="U538" s="161"/>
      <c r="V538" s="161"/>
      <c r="W538" s="161"/>
      <c r="X538" s="161"/>
      <c r="Y538" s="161"/>
      <c r="Z538" s="161"/>
      <c r="AA538" s="161"/>
      <c r="AB538" s="161"/>
    </row>
    <row r="539">
      <c r="A539" s="511"/>
      <c r="B539" s="161"/>
      <c r="C539" s="161"/>
      <c r="D539" s="161"/>
      <c r="E539" s="161"/>
      <c r="F539" s="161"/>
      <c r="G539" s="161"/>
      <c r="H539" s="161"/>
      <c r="I539" s="161"/>
      <c r="J539" s="161"/>
      <c r="K539" s="511"/>
      <c r="L539" s="511"/>
      <c r="M539" s="161"/>
      <c r="N539" s="161"/>
      <c r="O539" s="161"/>
      <c r="P539" s="161"/>
      <c r="Q539" s="161"/>
      <c r="R539" s="161"/>
      <c r="S539" s="161"/>
      <c r="T539" s="161"/>
      <c r="U539" s="161"/>
      <c r="V539" s="161"/>
      <c r="W539" s="161"/>
      <c r="X539" s="161"/>
      <c r="Y539" s="161"/>
      <c r="Z539" s="161"/>
      <c r="AA539" s="161"/>
      <c r="AB539" s="161"/>
    </row>
    <row r="540">
      <c r="A540" s="511"/>
      <c r="B540" s="161"/>
      <c r="C540" s="161"/>
      <c r="D540" s="161"/>
      <c r="E540" s="161"/>
      <c r="F540" s="161"/>
      <c r="G540" s="161"/>
      <c r="H540" s="161"/>
      <c r="I540" s="161"/>
      <c r="J540" s="161"/>
      <c r="K540" s="511"/>
      <c r="L540" s="511"/>
      <c r="M540" s="161"/>
      <c r="N540" s="161"/>
      <c r="O540" s="161"/>
      <c r="P540" s="161"/>
      <c r="Q540" s="161"/>
      <c r="R540" s="161"/>
      <c r="S540" s="161"/>
      <c r="T540" s="161"/>
      <c r="U540" s="161"/>
      <c r="V540" s="161"/>
      <c r="W540" s="161"/>
      <c r="X540" s="161"/>
      <c r="Y540" s="161"/>
      <c r="Z540" s="161"/>
      <c r="AA540" s="161"/>
      <c r="AB540" s="161"/>
    </row>
    <row r="541">
      <c r="A541" s="511"/>
      <c r="B541" s="161"/>
      <c r="C541" s="161"/>
      <c r="D541" s="161"/>
      <c r="E541" s="161"/>
      <c r="F541" s="161"/>
      <c r="G541" s="161"/>
      <c r="H541" s="161"/>
      <c r="I541" s="161"/>
      <c r="J541" s="161"/>
      <c r="K541" s="511"/>
      <c r="L541" s="511"/>
      <c r="M541" s="161"/>
      <c r="N541" s="161"/>
      <c r="O541" s="161"/>
      <c r="P541" s="161"/>
      <c r="Q541" s="161"/>
      <c r="R541" s="161"/>
      <c r="S541" s="161"/>
      <c r="T541" s="161"/>
      <c r="U541" s="161"/>
      <c r="V541" s="161"/>
      <c r="W541" s="161"/>
      <c r="X541" s="161"/>
      <c r="Y541" s="161"/>
      <c r="Z541" s="161"/>
      <c r="AA541" s="161"/>
      <c r="AB541" s="161"/>
    </row>
    <row r="542">
      <c r="A542" s="511"/>
      <c r="B542" s="161"/>
      <c r="C542" s="161"/>
      <c r="D542" s="161"/>
      <c r="E542" s="161"/>
      <c r="F542" s="161"/>
      <c r="G542" s="161"/>
      <c r="H542" s="161"/>
      <c r="I542" s="161"/>
      <c r="J542" s="161"/>
      <c r="K542" s="511"/>
      <c r="L542" s="511"/>
      <c r="M542" s="161"/>
      <c r="N542" s="161"/>
      <c r="O542" s="161"/>
      <c r="P542" s="161"/>
      <c r="Q542" s="161"/>
      <c r="R542" s="161"/>
      <c r="S542" s="161"/>
      <c r="T542" s="161"/>
      <c r="U542" s="161"/>
      <c r="V542" s="161"/>
      <c r="W542" s="161"/>
      <c r="X542" s="161"/>
      <c r="Y542" s="161"/>
      <c r="Z542" s="161"/>
      <c r="AA542" s="161"/>
      <c r="AB542" s="161"/>
    </row>
    <row r="543">
      <c r="A543" s="511"/>
      <c r="B543" s="161"/>
      <c r="C543" s="161"/>
      <c r="D543" s="161"/>
      <c r="E543" s="161"/>
      <c r="F543" s="161"/>
      <c r="G543" s="161"/>
      <c r="H543" s="161"/>
      <c r="I543" s="161"/>
      <c r="J543" s="161"/>
      <c r="K543" s="511"/>
      <c r="L543" s="511"/>
      <c r="M543" s="161"/>
      <c r="N543" s="161"/>
      <c r="O543" s="161"/>
      <c r="P543" s="161"/>
      <c r="Q543" s="161"/>
      <c r="R543" s="161"/>
      <c r="S543" s="161"/>
      <c r="T543" s="161"/>
      <c r="U543" s="161"/>
      <c r="V543" s="161"/>
      <c r="W543" s="161"/>
      <c r="X543" s="161"/>
      <c r="Y543" s="161"/>
      <c r="Z543" s="161"/>
      <c r="AA543" s="161"/>
      <c r="AB543" s="161"/>
    </row>
    <row r="544">
      <c r="A544" s="511"/>
      <c r="B544" s="161"/>
      <c r="C544" s="161"/>
      <c r="D544" s="161"/>
      <c r="E544" s="161"/>
      <c r="F544" s="161"/>
      <c r="G544" s="161"/>
      <c r="H544" s="161"/>
      <c r="I544" s="161"/>
      <c r="J544" s="161"/>
      <c r="K544" s="511"/>
      <c r="L544" s="511"/>
      <c r="M544" s="161"/>
      <c r="N544" s="161"/>
      <c r="O544" s="161"/>
      <c r="P544" s="161"/>
      <c r="Q544" s="161"/>
      <c r="R544" s="161"/>
      <c r="S544" s="161"/>
      <c r="T544" s="161"/>
      <c r="U544" s="161"/>
      <c r="V544" s="161"/>
      <c r="W544" s="161"/>
      <c r="X544" s="161"/>
      <c r="Y544" s="161"/>
      <c r="Z544" s="161"/>
      <c r="AA544" s="161"/>
      <c r="AB544" s="161"/>
    </row>
    <row r="545">
      <c r="A545" s="511"/>
      <c r="B545" s="161"/>
      <c r="C545" s="161"/>
      <c r="D545" s="161"/>
      <c r="E545" s="161"/>
      <c r="F545" s="161"/>
      <c r="G545" s="161"/>
      <c r="H545" s="161"/>
      <c r="I545" s="161"/>
      <c r="J545" s="161"/>
      <c r="K545" s="511"/>
      <c r="L545" s="511"/>
      <c r="M545" s="161"/>
      <c r="N545" s="161"/>
      <c r="O545" s="161"/>
      <c r="P545" s="161"/>
      <c r="Q545" s="161"/>
      <c r="R545" s="161"/>
      <c r="S545" s="161"/>
      <c r="T545" s="161"/>
      <c r="U545" s="161"/>
      <c r="V545" s="161"/>
      <c r="W545" s="161"/>
      <c r="X545" s="161"/>
      <c r="Y545" s="161"/>
      <c r="Z545" s="161"/>
      <c r="AA545" s="161"/>
      <c r="AB545" s="161"/>
    </row>
    <row r="546">
      <c r="A546" s="511"/>
      <c r="B546" s="161"/>
      <c r="C546" s="161"/>
      <c r="D546" s="161"/>
      <c r="E546" s="161"/>
      <c r="F546" s="161"/>
      <c r="G546" s="161"/>
      <c r="H546" s="161"/>
      <c r="I546" s="161"/>
      <c r="J546" s="161"/>
      <c r="K546" s="511"/>
      <c r="L546" s="511"/>
      <c r="M546" s="161"/>
      <c r="N546" s="161"/>
      <c r="O546" s="161"/>
      <c r="P546" s="161"/>
      <c r="Q546" s="161"/>
      <c r="R546" s="161"/>
      <c r="S546" s="161"/>
      <c r="T546" s="161"/>
      <c r="U546" s="161"/>
      <c r="V546" s="161"/>
      <c r="W546" s="161"/>
      <c r="X546" s="161"/>
      <c r="Y546" s="161"/>
      <c r="Z546" s="161"/>
      <c r="AA546" s="161"/>
      <c r="AB546" s="161"/>
    </row>
    <row r="547">
      <c r="A547" s="511"/>
      <c r="B547" s="161"/>
      <c r="C547" s="161"/>
      <c r="D547" s="161"/>
      <c r="E547" s="161"/>
      <c r="F547" s="161"/>
      <c r="G547" s="161"/>
      <c r="H547" s="161"/>
      <c r="I547" s="161"/>
      <c r="J547" s="161"/>
      <c r="K547" s="511"/>
      <c r="L547" s="511"/>
      <c r="M547" s="161"/>
      <c r="N547" s="161"/>
      <c r="O547" s="161"/>
      <c r="P547" s="161"/>
      <c r="Q547" s="161"/>
      <c r="R547" s="161"/>
      <c r="S547" s="161"/>
      <c r="T547" s="161"/>
      <c r="U547" s="161"/>
      <c r="V547" s="161"/>
      <c r="W547" s="161"/>
      <c r="X547" s="161"/>
      <c r="Y547" s="161"/>
      <c r="Z547" s="161"/>
      <c r="AA547" s="161"/>
      <c r="AB547" s="161"/>
    </row>
    <row r="548">
      <c r="A548" s="511"/>
      <c r="B548" s="161"/>
      <c r="C548" s="161"/>
      <c r="D548" s="161"/>
      <c r="E548" s="161"/>
      <c r="F548" s="161"/>
      <c r="G548" s="161"/>
      <c r="H548" s="161"/>
      <c r="I548" s="161"/>
      <c r="J548" s="161"/>
      <c r="K548" s="511"/>
      <c r="L548" s="511"/>
      <c r="M548" s="161"/>
      <c r="N548" s="161"/>
      <c r="O548" s="161"/>
      <c r="P548" s="161"/>
      <c r="Q548" s="161"/>
      <c r="R548" s="161"/>
      <c r="S548" s="161"/>
      <c r="T548" s="161"/>
      <c r="U548" s="161"/>
      <c r="V548" s="161"/>
      <c r="W548" s="161"/>
      <c r="X548" s="161"/>
      <c r="Y548" s="161"/>
      <c r="Z548" s="161"/>
      <c r="AA548" s="161"/>
      <c r="AB548" s="161"/>
    </row>
    <row r="549">
      <c r="A549" s="511"/>
      <c r="B549" s="161"/>
      <c r="C549" s="161"/>
      <c r="D549" s="161"/>
      <c r="E549" s="161"/>
      <c r="F549" s="161"/>
      <c r="G549" s="161"/>
      <c r="H549" s="161"/>
      <c r="I549" s="161"/>
      <c r="J549" s="161"/>
      <c r="K549" s="511"/>
      <c r="L549" s="511"/>
      <c r="M549" s="161"/>
      <c r="N549" s="161"/>
      <c r="O549" s="161"/>
      <c r="P549" s="161"/>
      <c r="Q549" s="161"/>
      <c r="R549" s="161"/>
      <c r="S549" s="161"/>
      <c r="T549" s="161"/>
      <c r="U549" s="161"/>
      <c r="V549" s="161"/>
      <c r="W549" s="161"/>
      <c r="X549" s="161"/>
      <c r="Y549" s="161"/>
      <c r="Z549" s="161"/>
      <c r="AA549" s="161"/>
      <c r="AB549" s="161"/>
    </row>
    <row r="550">
      <c r="A550" s="511"/>
      <c r="B550" s="161"/>
      <c r="C550" s="161"/>
      <c r="D550" s="161"/>
      <c r="E550" s="161"/>
      <c r="F550" s="161"/>
      <c r="G550" s="161"/>
      <c r="H550" s="161"/>
      <c r="I550" s="161"/>
      <c r="J550" s="161"/>
      <c r="K550" s="511"/>
      <c r="L550" s="511"/>
      <c r="M550" s="161"/>
      <c r="N550" s="161"/>
      <c r="O550" s="161"/>
      <c r="P550" s="161"/>
      <c r="Q550" s="161"/>
      <c r="R550" s="161"/>
      <c r="S550" s="161"/>
      <c r="T550" s="161"/>
      <c r="U550" s="161"/>
      <c r="V550" s="161"/>
      <c r="W550" s="161"/>
      <c r="X550" s="161"/>
      <c r="Y550" s="161"/>
      <c r="Z550" s="161"/>
      <c r="AA550" s="161"/>
      <c r="AB550" s="161"/>
    </row>
    <row r="551">
      <c r="A551" s="511"/>
      <c r="B551" s="161"/>
      <c r="C551" s="161"/>
      <c r="D551" s="161"/>
      <c r="E551" s="161"/>
      <c r="F551" s="161"/>
      <c r="G551" s="161"/>
      <c r="H551" s="161"/>
      <c r="I551" s="161"/>
      <c r="J551" s="161"/>
      <c r="K551" s="511"/>
      <c r="L551" s="511"/>
      <c r="M551" s="161"/>
      <c r="N551" s="161"/>
      <c r="O551" s="161"/>
      <c r="P551" s="161"/>
      <c r="Q551" s="161"/>
      <c r="R551" s="161"/>
      <c r="S551" s="161"/>
      <c r="T551" s="161"/>
      <c r="U551" s="161"/>
      <c r="V551" s="161"/>
      <c r="W551" s="161"/>
      <c r="X551" s="161"/>
      <c r="Y551" s="161"/>
      <c r="Z551" s="161"/>
      <c r="AA551" s="161"/>
      <c r="AB551" s="161"/>
    </row>
    <row r="552">
      <c r="A552" s="511"/>
      <c r="B552" s="161"/>
      <c r="C552" s="161"/>
      <c r="D552" s="161"/>
      <c r="E552" s="161"/>
      <c r="F552" s="161"/>
      <c r="G552" s="161"/>
      <c r="H552" s="161"/>
      <c r="I552" s="161"/>
      <c r="J552" s="161"/>
      <c r="K552" s="511"/>
      <c r="L552" s="511"/>
      <c r="M552" s="161"/>
      <c r="N552" s="161"/>
      <c r="O552" s="161"/>
      <c r="P552" s="161"/>
      <c r="Q552" s="161"/>
      <c r="R552" s="161"/>
      <c r="S552" s="161"/>
      <c r="T552" s="161"/>
      <c r="U552" s="161"/>
      <c r="V552" s="161"/>
      <c r="W552" s="161"/>
      <c r="X552" s="161"/>
      <c r="Y552" s="161"/>
      <c r="Z552" s="161"/>
      <c r="AA552" s="161"/>
      <c r="AB552" s="161"/>
    </row>
    <row r="553">
      <c r="A553" s="511"/>
      <c r="B553" s="161"/>
      <c r="C553" s="161"/>
      <c r="D553" s="161"/>
      <c r="E553" s="161"/>
      <c r="F553" s="161"/>
      <c r="G553" s="161"/>
      <c r="H553" s="161"/>
      <c r="I553" s="161"/>
      <c r="J553" s="161"/>
      <c r="K553" s="511"/>
      <c r="L553" s="511"/>
      <c r="M553" s="161"/>
      <c r="N553" s="161"/>
      <c r="O553" s="161"/>
      <c r="P553" s="161"/>
      <c r="Q553" s="161"/>
      <c r="R553" s="161"/>
      <c r="S553" s="161"/>
      <c r="T553" s="161"/>
      <c r="U553" s="161"/>
      <c r="V553" s="161"/>
      <c r="W553" s="161"/>
      <c r="X553" s="161"/>
      <c r="Y553" s="161"/>
      <c r="Z553" s="161"/>
      <c r="AA553" s="161"/>
      <c r="AB553" s="161"/>
    </row>
    <row r="554">
      <c r="A554" s="511"/>
      <c r="B554" s="161"/>
      <c r="C554" s="161"/>
      <c r="D554" s="161"/>
      <c r="E554" s="161"/>
      <c r="F554" s="161"/>
      <c r="G554" s="161"/>
      <c r="H554" s="161"/>
      <c r="I554" s="161"/>
      <c r="J554" s="161"/>
      <c r="K554" s="511"/>
      <c r="L554" s="511"/>
      <c r="M554" s="161"/>
      <c r="N554" s="161"/>
      <c r="O554" s="161"/>
      <c r="P554" s="161"/>
      <c r="Q554" s="161"/>
      <c r="R554" s="161"/>
      <c r="S554" s="161"/>
      <c r="T554" s="161"/>
      <c r="U554" s="161"/>
      <c r="V554" s="161"/>
      <c r="W554" s="161"/>
      <c r="X554" s="161"/>
      <c r="Y554" s="161"/>
      <c r="Z554" s="161"/>
      <c r="AA554" s="161"/>
      <c r="AB554" s="161"/>
    </row>
    <row r="555">
      <c r="A555" s="511"/>
      <c r="B555" s="161"/>
      <c r="C555" s="161"/>
      <c r="D555" s="161"/>
      <c r="E555" s="161"/>
      <c r="F555" s="161"/>
      <c r="G555" s="161"/>
      <c r="H555" s="161"/>
      <c r="I555" s="161"/>
      <c r="J555" s="161"/>
      <c r="K555" s="511"/>
      <c r="L555" s="511"/>
      <c r="M555" s="161"/>
      <c r="N555" s="161"/>
      <c r="O555" s="161"/>
      <c r="P555" s="161"/>
      <c r="Q555" s="161"/>
      <c r="R555" s="161"/>
      <c r="S555" s="161"/>
      <c r="T555" s="161"/>
      <c r="U555" s="161"/>
      <c r="V555" s="161"/>
      <c r="W555" s="161"/>
      <c r="X555" s="161"/>
      <c r="Y555" s="161"/>
      <c r="Z555" s="161"/>
      <c r="AA555" s="161"/>
      <c r="AB555" s="161"/>
    </row>
    <row r="556">
      <c r="A556" s="511"/>
      <c r="B556" s="161"/>
      <c r="C556" s="161"/>
      <c r="D556" s="161"/>
      <c r="E556" s="161"/>
      <c r="F556" s="161"/>
      <c r="G556" s="161"/>
      <c r="H556" s="161"/>
      <c r="I556" s="161"/>
      <c r="J556" s="161"/>
      <c r="K556" s="511"/>
      <c r="L556" s="511"/>
      <c r="M556" s="161"/>
      <c r="N556" s="161"/>
      <c r="O556" s="161"/>
      <c r="P556" s="161"/>
      <c r="Q556" s="161"/>
      <c r="R556" s="161"/>
      <c r="S556" s="161"/>
      <c r="T556" s="161"/>
      <c r="U556" s="161"/>
      <c r="V556" s="161"/>
      <c r="W556" s="161"/>
      <c r="X556" s="161"/>
      <c r="Y556" s="161"/>
      <c r="Z556" s="161"/>
      <c r="AA556" s="161"/>
      <c r="AB556" s="161"/>
    </row>
    <row r="557">
      <c r="A557" s="511"/>
      <c r="B557" s="161"/>
      <c r="C557" s="161"/>
      <c r="D557" s="161"/>
      <c r="E557" s="161"/>
      <c r="F557" s="161"/>
      <c r="G557" s="161"/>
      <c r="H557" s="161"/>
      <c r="I557" s="161"/>
      <c r="J557" s="161"/>
      <c r="K557" s="511"/>
      <c r="L557" s="511"/>
      <c r="M557" s="161"/>
      <c r="N557" s="161"/>
      <c r="O557" s="161"/>
      <c r="P557" s="161"/>
      <c r="Q557" s="161"/>
      <c r="R557" s="161"/>
      <c r="S557" s="161"/>
      <c r="T557" s="161"/>
      <c r="U557" s="161"/>
      <c r="V557" s="161"/>
      <c r="W557" s="161"/>
      <c r="X557" s="161"/>
      <c r="Y557" s="161"/>
      <c r="Z557" s="161"/>
      <c r="AA557" s="161"/>
      <c r="AB557" s="161"/>
    </row>
    <row r="558">
      <c r="A558" s="511"/>
      <c r="B558" s="161"/>
      <c r="C558" s="161"/>
      <c r="D558" s="161"/>
      <c r="E558" s="161"/>
      <c r="F558" s="161"/>
      <c r="G558" s="161"/>
      <c r="H558" s="161"/>
      <c r="I558" s="161"/>
      <c r="J558" s="161"/>
      <c r="K558" s="511"/>
      <c r="L558" s="511"/>
      <c r="M558" s="161"/>
      <c r="N558" s="161"/>
      <c r="O558" s="161"/>
      <c r="P558" s="161"/>
      <c r="Q558" s="161"/>
      <c r="R558" s="161"/>
      <c r="S558" s="161"/>
      <c r="T558" s="161"/>
      <c r="U558" s="161"/>
      <c r="V558" s="161"/>
      <c r="W558" s="161"/>
      <c r="X558" s="161"/>
      <c r="Y558" s="161"/>
      <c r="Z558" s="161"/>
      <c r="AA558" s="161"/>
      <c r="AB558" s="161"/>
    </row>
    <row r="559">
      <c r="A559" s="511"/>
      <c r="B559" s="161"/>
      <c r="C559" s="161"/>
      <c r="D559" s="161"/>
      <c r="E559" s="161"/>
      <c r="F559" s="161"/>
      <c r="G559" s="161"/>
      <c r="H559" s="161"/>
      <c r="I559" s="161"/>
      <c r="J559" s="161"/>
      <c r="K559" s="511"/>
      <c r="L559" s="511"/>
      <c r="M559" s="161"/>
      <c r="N559" s="161"/>
      <c r="O559" s="161"/>
      <c r="P559" s="161"/>
      <c r="Q559" s="161"/>
      <c r="R559" s="161"/>
      <c r="S559" s="161"/>
      <c r="T559" s="161"/>
      <c r="U559" s="161"/>
      <c r="V559" s="161"/>
      <c r="W559" s="161"/>
      <c r="X559" s="161"/>
      <c r="Y559" s="161"/>
      <c r="Z559" s="161"/>
      <c r="AA559" s="161"/>
      <c r="AB559" s="161"/>
    </row>
    <row r="560">
      <c r="A560" s="511"/>
      <c r="B560" s="161"/>
      <c r="C560" s="161"/>
      <c r="D560" s="161"/>
      <c r="E560" s="161"/>
      <c r="F560" s="161"/>
      <c r="G560" s="161"/>
      <c r="H560" s="161"/>
      <c r="I560" s="161"/>
      <c r="J560" s="161"/>
      <c r="K560" s="511"/>
      <c r="L560" s="511"/>
      <c r="M560" s="161"/>
      <c r="N560" s="161"/>
      <c r="O560" s="161"/>
      <c r="P560" s="161"/>
      <c r="Q560" s="161"/>
      <c r="R560" s="161"/>
      <c r="S560" s="161"/>
      <c r="T560" s="161"/>
      <c r="U560" s="161"/>
      <c r="V560" s="161"/>
      <c r="W560" s="161"/>
      <c r="X560" s="161"/>
      <c r="Y560" s="161"/>
      <c r="Z560" s="161"/>
      <c r="AA560" s="161"/>
      <c r="AB560" s="161"/>
    </row>
    <row r="561">
      <c r="A561" s="511"/>
      <c r="B561" s="161"/>
      <c r="C561" s="161"/>
      <c r="D561" s="161"/>
      <c r="E561" s="161"/>
      <c r="F561" s="161"/>
      <c r="G561" s="161"/>
      <c r="H561" s="161"/>
      <c r="I561" s="161"/>
      <c r="J561" s="161"/>
      <c r="K561" s="511"/>
      <c r="L561" s="511"/>
      <c r="M561" s="161"/>
      <c r="N561" s="161"/>
      <c r="O561" s="161"/>
      <c r="P561" s="161"/>
      <c r="Q561" s="161"/>
      <c r="R561" s="161"/>
      <c r="S561" s="161"/>
      <c r="T561" s="161"/>
      <c r="U561" s="161"/>
      <c r="V561" s="161"/>
      <c r="W561" s="161"/>
      <c r="X561" s="161"/>
      <c r="Y561" s="161"/>
      <c r="Z561" s="161"/>
      <c r="AA561" s="161"/>
      <c r="AB561" s="161"/>
    </row>
    <row r="562">
      <c r="A562" s="511"/>
      <c r="B562" s="161"/>
      <c r="C562" s="161"/>
      <c r="D562" s="161"/>
      <c r="E562" s="161"/>
      <c r="F562" s="161"/>
      <c r="G562" s="161"/>
      <c r="H562" s="161"/>
      <c r="I562" s="161"/>
      <c r="J562" s="161"/>
      <c r="K562" s="511"/>
      <c r="L562" s="511"/>
      <c r="M562" s="161"/>
      <c r="N562" s="161"/>
      <c r="O562" s="161"/>
      <c r="P562" s="161"/>
      <c r="Q562" s="161"/>
      <c r="R562" s="161"/>
      <c r="S562" s="161"/>
      <c r="T562" s="161"/>
      <c r="U562" s="161"/>
      <c r="V562" s="161"/>
      <c r="W562" s="161"/>
      <c r="X562" s="161"/>
      <c r="Y562" s="161"/>
      <c r="Z562" s="161"/>
      <c r="AA562" s="161"/>
      <c r="AB562" s="161"/>
    </row>
    <row r="563">
      <c r="A563" s="511"/>
      <c r="B563" s="161"/>
      <c r="C563" s="161"/>
      <c r="D563" s="161"/>
      <c r="E563" s="161"/>
      <c r="F563" s="161"/>
      <c r="G563" s="161"/>
      <c r="H563" s="161"/>
      <c r="I563" s="161"/>
      <c r="J563" s="161"/>
      <c r="K563" s="511"/>
      <c r="L563" s="511"/>
      <c r="M563" s="161"/>
      <c r="N563" s="161"/>
      <c r="O563" s="161"/>
      <c r="P563" s="161"/>
      <c r="Q563" s="161"/>
      <c r="R563" s="161"/>
      <c r="S563" s="161"/>
      <c r="T563" s="161"/>
      <c r="U563" s="161"/>
      <c r="V563" s="161"/>
      <c r="W563" s="161"/>
      <c r="X563" s="161"/>
      <c r="Y563" s="161"/>
      <c r="Z563" s="161"/>
      <c r="AA563" s="161"/>
      <c r="AB563" s="161"/>
    </row>
    <row r="564">
      <c r="A564" s="511"/>
      <c r="B564" s="161"/>
      <c r="C564" s="161"/>
      <c r="D564" s="161"/>
      <c r="E564" s="161"/>
      <c r="F564" s="161"/>
      <c r="G564" s="161"/>
      <c r="H564" s="161"/>
      <c r="I564" s="161"/>
      <c r="J564" s="161"/>
      <c r="K564" s="511"/>
      <c r="L564" s="511"/>
      <c r="M564" s="161"/>
      <c r="N564" s="161"/>
      <c r="O564" s="161"/>
      <c r="P564" s="161"/>
      <c r="Q564" s="161"/>
      <c r="R564" s="161"/>
      <c r="S564" s="161"/>
      <c r="T564" s="161"/>
      <c r="U564" s="161"/>
      <c r="V564" s="161"/>
      <c r="W564" s="161"/>
      <c r="X564" s="161"/>
      <c r="Y564" s="161"/>
      <c r="Z564" s="161"/>
      <c r="AA564" s="161"/>
      <c r="AB564" s="161"/>
    </row>
    <row r="565">
      <c r="A565" s="511"/>
      <c r="B565" s="161"/>
      <c r="C565" s="161"/>
      <c r="D565" s="161"/>
      <c r="E565" s="161"/>
      <c r="F565" s="161"/>
      <c r="G565" s="161"/>
      <c r="H565" s="161"/>
      <c r="I565" s="161"/>
      <c r="J565" s="161"/>
      <c r="K565" s="511"/>
      <c r="L565" s="511"/>
      <c r="M565" s="161"/>
      <c r="N565" s="161"/>
      <c r="O565" s="161"/>
      <c r="P565" s="161"/>
      <c r="Q565" s="161"/>
      <c r="R565" s="161"/>
      <c r="S565" s="161"/>
      <c r="T565" s="161"/>
      <c r="U565" s="161"/>
      <c r="V565" s="161"/>
      <c r="W565" s="161"/>
      <c r="X565" s="161"/>
      <c r="Y565" s="161"/>
      <c r="Z565" s="161"/>
      <c r="AA565" s="161"/>
      <c r="AB565" s="161"/>
    </row>
    <row r="566">
      <c r="A566" s="511"/>
      <c r="B566" s="161"/>
      <c r="C566" s="161"/>
      <c r="D566" s="161"/>
      <c r="E566" s="161"/>
      <c r="F566" s="161"/>
      <c r="G566" s="161"/>
      <c r="H566" s="161"/>
      <c r="I566" s="161"/>
      <c r="J566" s="161"/>
      <c r="K566" s="511"/>
      <c r="L566" s="511"/>
      <c r="M566" s="161"/>
      <c r="N566" s="161"/>
      <c r="O566" s="161"/>
      <c r="P566" s="161"/>
      <c r="Q566" s="161"/>
      <c r="R566" s="161"/>
      <c r="S566" s="161"/>
      <c r="T566" s="161"/>
      <c r="U566" s="161"/>
      <c r="V566" s="161"/>
      <c r="W566" s="161"/>
      <c r="X566" s="161"/>
      <c r="Y566" s="161"/>
      <c r="Z566" s="161"/>
      <c r="AA566" s="161"/>
      <c r="AB566" s="161"/>
    </row>
    <row r="567">
      <c r="A567" s="511"/>
      <c r="B567" s="161"/>
      <c r="C567" s="161"/>
      <c r="D567" s="161"/>
      <c r="E567" s="161"/>
      <c r="F567" s="161"/>
      <c r="G567" s="161"/>
      <c r="H567" s="161"/>
      <c r="I567" s="161"/>
      <c r="J567" s="161"/>
      <c r="K567" s="511"/>
      <c r="L567" s="511"/>
      <c r="M567" s="161"/>
      <c r="N567" s="161"/>
      <c r="O567" s="161"/>
      <c r="P567" s="161"/>
      <c r="Q567" s="161"/>
      <c r="R567" s="161"/>
      <c r="S567" s="161"/>
      <c r="T567" s="161"/>
      <c r="U567" s="161"/>
      <c r="V567" s="161"/>
      <c r="W567" s="161"/>
      <c r="X567" s="161"/>
      <c r="Y567" s="161"/>
      <c r="Z567" s="161"/>
      <c r="AA567" s="161"/>
      <c r="AB567" s="161"/>
    </row>
    <row r="568">
      <c r="A568" s="511"/>
      <c r="B568" s="161"/>
      <c r="C568" s="161"/>
      <c r="D568" s="161"/>
      <c r="E568" s="161"/>
      <c r="F568" s="161"/>
      <c r="G568" s="161"/>
      <c r="H568" s="161"/>
      <c r="I568" s="161"/>
      <c r="J568" s="161"/>
      <c r="K568" s="511"/>
      <c r="L568" s="511"/>
      <c r="M568" s="161"/>
      <c r="N568" s="161"/>
      <c r="O568" s="161"/>
      <c r="P568" s="161"/>
      <c r="Q568" s="161"/>
      <c r="R568" s="161"/>
      <c r="S568" s="161"/>
      <c r="T568" s="161"/>
      <c r="U568" s="161"/>
      <c r="V568" s="161"/>
      <c r="W568" s="161"/>
      <c r="X568" s="161"/>
      <c r="Y568" s="161"/>
      <c r="Z568" s="161"/>
      <c r="AA568" s="161"/>
      <c r="AB568" s="161"/>
    </row>
    <row r="569">
      <c r="A569" s="511"/>
      <c r="B569" s="161"/>
      <c r="C569" s="161"/>
      <c r="D569" s="161"/>
      <c r="E569" s="161"/>
      <c r="F569" s="161"/>
      <c r="G569" s="161"/>
      <c r="H569" s="161"/>
      <c r="I569" s="161"/>
      <c r="J569" s="161"/>
      <c r="K569" s="511"/>
      <c r="L569" s="511"/>
      <c r="M569" s="161"/>
      <c r="N569" s="161"/>
      <c r="O569" s="161"/>
      <c r="P569" s="161"/>
      <c r="Q569" s="161"/>
      <c r="R569" s="161"/>
      <c r="S569" s="161"/>
      <c r="T569" s="161"/>
      <c r="U569" s="161"/>
      <c r="V569" s="161"/>
      <c r="W569" s="161"/>
      <c r="X569" s="161"/>
      <c r="Y569" s="161"/>
      <c r="Z569" s="161"/>
      <c r="AA569" s="161"/>
      <c r="AB569" s="161"/>
    </row>
    <row r="570">
      <c r="A570" s="511"/>
      <c r="B570" s="161"/>
      <c r="C570" s="161"/>
      <c r="D570" s="161"/>
      <c r="E570" s="161"/>
      <c r="F570" s="161"/>
      <c r="G570" s="161"/>
      <c r="H570" s="161"/>
      <c r="I570" s="161"/>
      <c r="J570" s="161"/>
      <c r="K570" s="511"/>
      <c r="L570" s="511"/>
      <c r="M570" s="161"/>
      <c r="N570" s="161"/>
      <c r="O570" s="161"/>
      <c r="P570" s="161"/>
      <c r="Q570" s="161"/>
      <c r="R570" s="161"/>
      <c r="S570" s="161"/>
      <c r="T570" s="161"/>
      <c r="U570" s="161"/>
      <c r="V570" s="161"/>
      <c r="W570" s="161"/>
      <c r="X570" s="161"/>
      <c r="Y570" s="161"/>
      <c r="Z570" s="161"/>
      <c r="AA570" s="161"/>
      <c r="AB570" s="161"/>
    </row>
    <row r="571">
      <c r="A571" s="511"/>
      <c r="B571" s="161"/>
      <c r="C571" s="161"/>
      <c r="D571" s="161"/>
      <c r="E571" s="161"/>
      <c r="F571" s="161"/>
      <c r="G571" s="161"/>
      <c r="H571" s="161"/>
      <c r="I571" s="161"/>
      <c r="J571" s="161"/>
      <c r="K571" s="511"/>
      <c r="L571" s="511"/>
      <c r="M571" s="161"/>
      <c r="N571" s="161"/>
      <c r="O571" s="161"/>
      <c r="P571" s="161"/>
      <c r="Q571" s="161"/>
      <c r="R571" s="161"/>
      <c r="S571" s="161"/>
      <c r="T571" s="161"/>
      <c r="U571" s="161"/>
      <c r="V571" s="161"/>
      <c r="W571" s="161"/>
      <c r="X571" s="161"/>
      <c r="Y571" s="161"/>
      <c r="Z571" s="161"/>
      <c r="AA571" s="161"/>
      <c r="AB571" s="161"/>
    </row>
    <row r="572">
      <c r="A572" s="511"/>
      <c r="B572" s="161"/>
      <c r="C572" s="161"/>
      <c r="D572" s="161"/>
      <c r="E572" s="161"/>
      <c r="F572" s="161"/>
      <c r="G572" s="161"/>
      <c r="H572" s="161"/>
      <c r="I572" s="161"/>
      <c r="J572" s="161"/>
      <c r="K572" s="511"/>
      <c r="L572" s="511"/>
      <c r="M572" s="161"/>
      <c r="N572" s="161"/>
      <c r="O572" s="161"/>
      <c r="P572" s="161"/>
      <c r="Q572" s="161"/>
      <c r="R572" s="161"/>
      <c r="S572" s="161"/>
      <c r="T572" s="161"/>
      <c r="U572" s="161"/>
      <c r="V572" s="161"/>
      <c r="W572" s="161"/>
      <c r="X572" s="161"/>
      <c r="Y572" s="161"/>
      <c r="Z572" s="161"/>
      <c r="AA572" s="161"/>
      <c r="AB572" s="161"/>
    </row>
    <row r="573">
      <c r="A573" s="511"/>
      <c r="B573" s="161"/>
      <c r="C573" s="161"/>
      <c r="D573" s="161"/>
      <c r="E573" s="161"/>
      <c r="F573" s="161"/>
      <c r="G573" s="161"/>
      <c r="H573" s="161"/>
      <c r="I573" s="161"/>
      <c r="J573" s="161"/>
      <c r="K573" s="511"/>
      <c r="L573" s="511"/>
      <c r="M573" s="161"/>
      <c r="N573" s="161"/>
      <c r="O573" s="161"/>
      <c r="P573" s="161"/>
      <c r="Q573" s="161"/>
      <c r="R573" s="161"/>
      <c r="S573" s="161"/>
      <c r="T573" s="161"/>
      <c r="U573" s="161"/>
      <c r="V573" s="161"/>
      <c r="W573" s="161"/>
      <c r="X573" s="161"/>
      <c r="Y573" s="161"/>
      <c r="Z573" s="161"/>
      <c r="AA573" s="161"/>
      <c r="AB573" s="161"/>
    </row>
    <row r="574">
      <c r="A574" s="511"/>
      <c r="B574" s="161"/>
      <c r="C574" s="161"/>
      <c r="D574" s="161"/>
      <c r="E574" s="161"/>
      <c r="F574" s="161"/>
      <c r="G574" s="161"/>
      <c r="H574" s="161"/>
      <c r="I574" s="161"/>
      <c r="J574" s="161"/>
      <c r="K574" s="511"/>
      <c r="L574" s="511"/>
      <c r="M574" s="161"/>
      <c r="N574" s="161"/>
      <c r="O574" s="161"/>
      <c r="P574" s="161"/>
      <c r="Q574" s="161"/>
      <c r="R574" s="161"/>
      <c r="S574" s="161"/>
      <c r="T574" s="161"/>
      <c r="U574" s="161"/>
      <c r="V574" s="161"/>
      <c r="W574" s="161"/>
      <c r="X574" s="161"/>
      <c r="Y574" s="161"/>
      <c r="Z574" s="161"/>
      <c r="AA574" s="161"/>
      <c r="AB574" s="161"/>
    </row>
    <row r="575">
      <c r="A575" s="511"/>
      <c r="B575" s="161"/>
      <c r="C575" s="161"/>
      <c r="D575" s="161"/>
      <c r="E575" s="161"/>
      <c r="F575" s="161"/>
      <c r="G575" s="161"/>
      <c r="H575" s="161"/>
      <c r="I575" s="161"/>
      <c r="J575" s="161"/>
      <c r="K575" s="511"/>
      <c r="L575" s="511"/>
      <c r="M575" s="161"/>
      <c r="N575" s="161"/>
      <c r="O575" s="161"/>
      <c r="P575" s="161"/>
      <c r="Q575" s="161"/>
      <c r="R575" s="161"/>
      <c r="S575" s="161"/>
      <c r="T575" s="161"/>
      <c r="U575" s="161"/>
      <c r="V575" s="161"/>
      <c r="W575" s="161"/>
      <c r="X575" s="161"/>
      <c r="Y575" s="161"/>
      <c r="Z575" s="161"/>
      <c r="AA575" s="161"/>
      <c r="AB575" s="161"/>
    </row>
    <row r="576">
      <c r="A576" s="511"/>
      <c r="B576" s="161"/>
      <c r="C576" s="161"/>
      <c r="D576" s="161"/>
      <c r="E576" s="161"/>
      <c r="F576" s="161"/>
      <c r="G576" s="161"/>
      <c r="H576" s="161"/>
      <c r="I576" s="161"/>
      <c r="J576" s="161"/>
      <c r="K576" s="511"/>
      <c r="L576" s="511"/>
      <c r="M576" s="161"/>
      <c r="N576" s="161"/>
      <c r="O576" s="161"/>
      <c r="P576" s="161"/>
      <c r="Q576" s="161"/>
      <c r="R576" s="161"/>
      <c r="S576" s="161"/>
      <c r="T576" s="161"/>
      <c r="U576" s="161"/>
      <c r="V576" s="161"/>
      <c r="W576" s="161"/>
      <c r="X576" s="161"/>
      <c r="Y576" s="161"/>
      <c r="Z576" s="161"/>
      <c r="AA576" s="161"/>
      <c r="AB576" s="161"/>
    </row>
    <row r="577">
      <c r="A577" s="511"/>
      <c r="B577" s="161"/>
      <c r="C577" s="161"/>
      <c r="D577" s="161"/>
      <c r="E577" s="161"/>
      <c r="F577" s="161"/>
      <c r="G577" s="161"/>
      <c r="H577" s="161"/>
      <c r="I577" s="161"/>
      <c r="J577" s="161"/>
      <c r="K577" s="511"/>
      <c r="L577" s="511"/>
      <c r="M577" s="161"/>
      <c r="N577" s="161"/>
      <c r="O577" s="161"/>
      <c r="P577" s="161"/>
      <c r="Q577" s="161"/>
      <c r="R577" s="161"/>
      <c r="S577" s="161"/>
      <c r="T577" s="161"/>
      <c r="U577" s="161"/>
      <c r="V577" s="161"/>
      <c r="W577" s="161"/>
      <c r="X577" s="161"/>
      <c r="Y577" s="161"/>
      <c r="Z577" s="161"/>
      <c r="AA577" s="161"/>
      <c r="AB577" s="161"/>
    </row>
    <row r="578">
      <c r="A578" s="511"/>
      <c r="B578" s="161"/>
      <c r="C578" s="161"/>
      <c r="D578" s="161"/>
      <c r="E578" s="161"/>
      <c r="F578" s="161"/>
      <c r="G578" s="161"/>
      <c r="H578" s="161"/>
      <c r="I578" s="161"/>
      <c r="J578" s="161"/>
      <c r="K578" s="511"/>
      <c r="L578" s="511"/>
      <c r="M578" s="161"/>
      <c r="N578" s="161"/>
      <c r="O578" s="161"/>
      <c r="P578" s="161"/>
      <c r="Q578" s="161"/>
      <c r="R578" s="161"/>
      <c r="S578" s="161"/>
      <c r="T578" s="161"/>
      <c r="U578" s="161"/>
      <c r="V578" s="161"/>
      <c r="W578" s="161"/>
      <c r="X578" s="161"/>
      <c r="Y578" s="161"/>
      <c r="Z578" s="161"/>
      <c r="AA578" s="161"/>
      <c r="AB578" s="161"/>
    </row>
    <row r="579">
      <c r="A579" s="511"/>
      <c r="B579" s="161"/>
      <c r="C579" s="161"/>
      <c r="D579" s="161"/>
      <c r="E579" s="161"/>
      <c r="F579" s="161"/>
      <c r="G579" s="161"/>
      <c r="H579" s="161"/>
      <c r="I579" s="161"/>
      <c r="J579" s="161"/>
      <c r="K579" s="511"/>
      <c r="L579" s="511"/>
      <c r="M579" s="161"/>
      <c r="N579" s="161"/>
      <c r="O579" s="161"/>
      <c r="P579" s="161"/>
      <c r="Q579" s="161"/>
      <c r="R579" s="161"/>
      <c r="S579" s="161"/>
      <c r="T579" s="161"/>
      <c r="U579" s="161"/>
      <c r="V579" s="161"/>
      <c r="W579" s="161"/>
      <c r="X579" s="161"/>
      <c r="Y579" s="161"/>
      <c r="Z579" s="161"/>
      <c r="AA579" s="161"/>
      <c r="AB579" s="161"/>
    </row>
    <row r="580">
      <c r="A580" s="511"/>
      <c r="B580" s="161"/>
      <c r="C580" s="161"/>
      <c r="D580" s="161"/>
      <c r="E580" s="161"/>
      <c r="F580" s="161"/>
      <c r="G580" s="161"/>
      <c r="H580" s="161"/>
      <c r="I580" s="161"/>
      <c r="J580" s="161"/>
      <c r="K580" s="511"/>
      <c r="L580" s="511"/>
      <c r="M580" s="161"/>
      <c r="N580" s="161"/>
      <c r="O580" s="161"/>
      <c r="P580" s="161"/>
      <c r="Q580" s="161"/>
      <c r="R580" s="161"/>
      <c r="S580" s="161"/>
      <c r="T580" s="161"/>
      <c r="U580" s="161"/>
      <c r="V580" s="161"/>
      <c r="W580" s="161"/>
      <c r="X580" s="161"/>
      <c r="Y580" s="161"/>
      <c r="Z580" s="161"/>
      <c r="AA580" s="161"/>
      <c r="AB580" s="161"/>
    </row>
    <row r="581">
      <c r="A581" s="511"/>
      <c r="B581" s="161"/>
      <c r="C581" s="161"/>
      <c r="D581" s="161"/>
      <c r="E581" s="161"/>
      <c r="F581" s="161"/>
      <c r="G581" s="161"/>
      <c r="H581" s="161"/>
      <c r="I581" s="161"/>
      <c r="J581" s="161"/>
      <c r="K581" s="511"/>
      <c r="L581" s="511"/>
      <c r="M581" s="161"/>
      <c r="N581" s="161"/>
      <c r="O581" s="161"/>
      <c r="P581" s="161"/>
      <c r="Q581" s="161"/>
      <c r="R581" s="161"/>
      <c r="S581" s="161"/>
      <c r="T581" s="161"/>
      <c r="U581" s="161"/>
      <c r="V581" s="161"/>
      <c r="W581" s="161"/>
      <c r="X581" s="161"/>
      <c r="Y581" s="161"/>
      <c r="Z581" s="161"/>
      <c r="AA581" s="161"/>
      <c r="AB581" s="161"/>
    </row>
    <row r="582">
      <c r="A582" s="511"/>
      <c r="B582" s="161"/>
      <c r="C582" s="161"/>
      <c r="D582" s="161"/>
      <c r="E582" s="161"/>
      <c r="F582" s="161"/>
      <c r="G582" s="161"/>
      <c r="H582" s="161"/>
      <c r="I582" s="161"/>
      <c r="J582" s="161"/>
      <c r="K582" s="511"/>
      <c r="L582" s="511"/>
      <c r="M582" s="161"/>
      <c r="N582" s="161"/>
      <c r="O582" s="161"/>
      <c r="P582" s="161"/>
      <c r="Q582" s="161"/>
      <c r="R582" s="161"/>
      <c r="S582" s="161"/>
      <c r="T582" s="161"/>
      <c r="U582" s="161"/>
      <c r="V582" s="161"/>
      <c r="W582" s="161"/>
      <c r="X582" s="161"/>
      <c r="Y582" s="161"/>
      <c r="Z582" s="161"/>
      <c r="AA582" s="161"/>
      <c r="AB582" s="161"/>
    </row>
    <row r="583">
      <c r="A583" s="511"/>
      <c r="B583" s="161"/>
      <c r="C583" s="161"/>
      <c r="D583" s="161"/>
      <c r="E583" s="161"/>
      <c r="F583" s="161"/>
      <c r="G583" s="161"/>
      <c r="H583" s="161"/>
      <c r="I583" s="161"/>
      <c r="J583" s="161"/>
      <c r="K583" s="511"/>
      <c r="L583" s="511"/>
      <c r="M583" s="161"/>
      <c r="N583" s="161"/>
      <c r="O583" s="161"/>
      <c r="P583" s="161"/>
      <c r="Q583" s="161"/>
      <c r="R583" s="161"/>
      <c r="S583" s="161"/>
      <c r="T583" s="161"/>
      <c r="U583" s="161"/>
      <c r="V583" s="161"/>
      <c r="W583" s="161"/>
      <c r="X583" s="161"/>
      <c r="Y583" s="161"/>
      <c r="Z583" s="161"/>
      <c r="AA583" s="161"/>
      <c r="AB583" s="161"/>
    </row>
    <row r="584">
      <c r="A584" s="511"/>
      <c r="B584" s="161"/>
      <c r="C584" s="161"/>
      <c r="D584" s="161"/>
      <c r="E584" s="161"/>
      <c r="F584" s="161"/>
      <c r="G584" s="161"/>
      <c r="H584" s="161"/>
      <c r="I584" s="161"/>
      <c r="J584" s="161"/>
      <c r="K584" s="511"/>
      <c r="L584" s="511"/>
      <c r="M584" s="161"/>
      <c r="N584" s="161"/>
      <c r="O584" s="161"/>
      <c r="P584" s="161"/>
      <c r="Q584" s="161"/>
      <c r="R584" s="161"/>
      <c r="S584" s="161"/>
      <c r="T584" s="161"/>
      <c r="U584" s="161"/>
      <c r="V584" s="161"/>
      <c r="W584" s="161"/>
      <c r="X584" s="161"/>
      <c r="Y584" s="161"/>
      <c r="Z584" s="161"/>
      <c r="AA584" s="161"/>
      <c r="AB584" s="161"/>
    </row>
    <row r="585">
      <c r="A585" s="511"/>
      <c r="B585" s="161"/>
      <c r="C585" s="161"/>
      <c r="D585" s="161"/>
      <c r="E585" s="161"/>
      <c r="F585" s="161"/>
      <c r="G585" s="161"/>
      <c r="H585" s="161"/>
      <c r="I585" s="161"/>
      <c r="J585" s="161"/>
      <c r="K585" s="511"/>
      <c r="L585" s="511"/>
      <c r="M585" s="161"/>
      <c r="N585" s="161"/>
      <c r="O585" s="161"/>
      <c r="P585" s="161"/>
      <c r="Q585" s="161"/>
      <c r="R585" s="161"/>
      <c r="S585" s="161"/>
      <c r="T585" s="161"/>
      <c r="U585" s="161"/>
      <c r="V585" s="161"/>
      <c r="W585" s="161"/>
      <c r="X585" s="161"/>
      <c r="Y585" s="161"/>
      <c r="Z585" s="161"/>
      <c r="AA585" s="161"/>
      <c r="AB585" s="161"/>
    </row>
    <row r="586">
      <c r="A586" s="511"/>
      <c r="B586" s="161"/>
      <c r="C586" s="161"/>
      <c r="D586" s="161"/>
      <c r="E586" s="161"/>
      <c r="F586" s="161"/>
      <c r="G586" s="161"/>
      <c r="H586" s="161"/>
      <c r="I586" s="161"/>
      <c r="J586" s="161"/>
      <c r="K586" s="511"/>
      <c r="L586" s="511"/>
      <c r="M586" s="161"/>
      <c r="N586" s="161"/>
      <c r="O586" s="161"/>
      <c r="P586" s="161"/>
      <c r="Q586" s="161"/>
      <c r="R586" s="161"/>
      <c r="S586" s="161"/>
      <c r="T586" s="161"/>
      <c r="U586" s="161"/>
      <c r="V586" s="161"/>
      <c r="W586" s="161"/>
      <c r="X586" s="161"/>
      <c r="Y586" s="161"/>
      <c r="Z586" s="161"/>
      <c r="AA586" s="161"/>
      <c r="AB586" s="161"/>
    </row>
    <row r="587">
      <c r="A587" s="511"/>
      <c r="B587" s="161"/>
      <c r="C587" s="161"/>
      <c r="D587" s="161"/>
      <c r="E587" s="161"/>
      <c r="F587" s="161"/>
      <c r="G587" s="161"/>
      <c r="H587" s="161"/>
      <c r="I587" s="161"/>
      <c r="J587" s="161"/>
      <c r="K587" s="511"/>
      <c r="L587" s="511"/>
      <c r="M587" s="161"/>
      <c r="N587" s="161"/>
      <c r="O587" s="161"/>
      <c r="P587" s="161"/>
      <c r="Q587" s="161"/>
      <c r="R587" s="161"/>
      <c r="S587" s="161"/>
      <c r="T587" s="161"/>
      <c r="U587" s="161"/>
      <c r="V587" s="161"/>
      <c r="W587" s="161"/>
      <c r="X587" s="161"/>
      <c r="Y587" s="161"/>
      <c r="Z587" s="161"/>
      <c r="AA587" s="161"/>
      <c r="AB587" s="161"/>
    </row>
    <row r="588">
      <c r="A588" s="511"/>
      <c r="B588" s="161"/>
      <c r="C588" s="161"/>
      <c r="D588" s="161"/>
      <c r="E588" s="161"/>
      <c r="F588" s="161"/>
      <c r="G588" s="161"/>
      <c r="H588" s="161"/>
      <c r="I588" s="161"/>
      <c r="J588" s="161"/>
      <c r="K588" s="511"/>
      <c r="L588" s="511"/>
      <c r="M588" s="161"/>
      <c r="N588" s="161"/>
      <c r="O588" s="161"/>
      <c r="P588" s="161"/>
      <c r="Q588" s="161"/>
      <c r="R588" s="161"/>
      <c r="S588" s="161"/>
      <c r="T588" s="161"/>
      <c r="U588" s="161"/>
      <c r="V588" s="161"/>
      <c r="W588" s="161"/>
      <c r="X588" s="161"/>
      <c r="Y588" s="161"/>
      <c r="Z588" s="161"/>
      <c r="AA588" s="161"/>
      <c r="AB588" s="161"/>
    </row>
    <row r="589">
      <c r="A589" s="511"/>
      <c r="B589" s="161"/>
      <c r="C589" s="161"/>
      <c r="D589" s="161"/>
      <c r="E589" s="161"/>
      <c r="F589" s="161"/>
      <c r="G589" s="161"/>
      <c r="H589" s="161"/>
      <c r="I589" s="161"/>
      <c r="J589" s="161"/>
      <c r="K589" s="511"/>
      <c r="L589" s="511"/>
      <c r="M589" s="161"/>
      <c r="N589" s="161"/>
      <c r="O589" s="161"/>
      <c r="P589" s="161"/>
      <c r="Q589" s="161"/>
      <c r="R589" s="161"/>
      <c r="S589" s="161"/>
      <c r="T589" s="161"/>
      <c r="U589" s="161"/>
      <c r="V589" s="161"/>
      <c r="W589" s="161"/>
      <c r="X589" s="161"/>
      <c r="Y589" s="161"/>
      <c r="Z589" s="161"/>
      <c r="AA589" s="161"/>
      <c r="AB589" s="161"/>
    </row>
    <row r="590">
      <c r="A590" s="511"/>
      <c r="B590" s="161"/>
      <c r="C590" s="161"/>
      <c r="D590" s="161"/>
      <c r="E590" s="161"/>
      <c r="F590" s="161"/>
      <c r="G590" s="161"/>
      <c r="H590" s="161"/>
      <c r="I590" s="161"/>
      <c r="J590" s="161"/>
      <c r="K590" s="511"/>
      <c r="L590" s="511"/>
      <c r="M590" s="161"/>
      <c r="N590" s="161"/>
      <c r="O590" s="161"/>
      <c r="P590" s="161"/>
      <c r="Q590" s="161"/>
      <c r="R590" s="161"/>
      <c r="S590" s="161"/>
      <c r="T590" s="161"/>
      <c r="U590" s="161"/>
      <c r="V590" s="161"/>
      <c r="W590" s="161"/>
      <c r="X590" s="161"/>
      <c r="Y590" s="161"/>
      <c r="Z590" s="161"/>
      <c r="AA590" s="161"/>
      <c r="AB590" s="161"/>
    </row>
    <row r="591">
      <c r="A591" s="511"/>
      <c r="B591" s="161"/>
      <c r="C591" s="161"/>
      <c r="D591" s="161"/>
      <c r="E591" s="161"/>
      <c r="F591" s="161"/>
      <c r="G591" s="161"/>
      <c r="H591" s="161"/>
      <c r="I591" s="161"/>
      <c r="J591" s="161"/>
      <c r="K591" s="511"/>
      <c r="L591" s="511"/>
      <c r="M591" s="161"/>
      <c r="N591" s="161"/>
      <c r="O591" s="161"/>
      <c r="P591" s="161"/>
      <c r="Q591" s="161"/>
      <c r="R591" s="161"/>
      <c r="S591" s="161"/>
      <c r="T591" s="161"/>
      <c r="U591" s="161"/>
      <c r="V591" s="161"/>
      <c r="W591" s="161"/>
      <c r="X591" s="161"/>
      <c r="Y591" s="161"/>
      <c r="Z591" s="161"/>
      <c r="AA591" s="161"/>
      <c r="AB591" s="161"/>
    </row>
    <row r="592">
      <c r="A592" s="511"/>
      <c r="B592" s="161"/>
      <c r="C592" s="161"/>
      <c r="D592" s="161"/>
      <c r="E592" s="161"/>
      <c r="F592" s="161"/>
      <c r="G592" s="161"/>
      <c r="H592" s="161"/>
      <c r="I592" s="161"/>
      <c r="J592" s="161"/>
      <c r="K592" s="511"/>
      <c r="L592" s="511"/>
      <c r="M592" s="161"/>
      <c r="N592" s="161"/>
      <c r="O592" s="161"/>
      <c r="P592" s="161"/>
      <c r="Q592" s="161"/>
      <c r="R592" s="161"/>
      <c r="S592" s="161"/>
      <c r="T592" s="161"/>
      <c r="U592" s="161"/>
      <c r="V592" s="161"/>
      <c r="W592" s="161"/>
      <c r="X592" s="161"/>
      <c r="Y592" s="161"/>
      <c r="Z592" s="161"/>
      <c r="AA592" s="161"/>
      <c r="AB592" s="161"/>
    </row>
    <row r="593">
      <c r="A593" s="511"/>
      <c r="B593" s="161"/>
      <c r="C593" s="161"/>
      <c r="D593" s="161"/>
      <c r="E593" s="161"/>
      <c r="F593" s="161"/>
      <c r="G593" s="161"/>
      <c r="H593" s="161"/>
      <c r="I593" s="161"/>
      <c r="J593" s="161"/>
      <c r="K593" s="511"/>
      <c r="L593" s="511"/>
      <c r="M593" s="161"/>
      <c r="N593" s="161"/>
      <c r="O593" s="161"/>
      <c r="P593" s="161"/>
      <c r="Q593" s="161"/>
      <c r="R593" s="161"/>
      <c r="S593" s="161"/>
      <c r="T593" s="161"/>
      <c r="U593" s="161"/>
      <c r="V593" s="161"/>
      <c r="W593" s="161"/>
      <c r="X593" s="161"/>
      <c r="Y593" s="161"/>
      <c r="Z593" s="161"/>
      <c r="AA593" s="161"/>
      <c r="AB593" s="161"/>
    </row>
    <row r="594">
      <c r="A594" s="511"/>
      <c r="B594" s="161"/>
      <c r="C594" s="161"/>
      <c r="D594" s="161"/>
      <c r="E594" s="161"/>
      <c r="F594" s="161"/>
      <c r="G594" s="161"/>
      <c r="H594" s="161"/>
      <c r="I594" s="161"/>
      <c r="J594" s="161"/>
      <c r="K594" s="511"/>
      <c r="L594" s="511"/>
      <c r="M594" s="161"/>
      <c r="N594" s="161"/>
      <c r="O594" s="161"/>
      <c r="P594" s="161"/>
      <c r="Q594" s="161"/>
      <c r="R594" s="161"/>
      <c r="S594" s="161"/>
      <c r="T594" s="161"/>
      <c r="U594" s="161"/>
      <c r="V594" s="161"/>
      <c r="W594" s="161"/>
      <c r="X594" s="161"/>
      <c r="Y594" s="161"/>
      <c r="Z594" s="161"/>
      <c r="AA594" s="161"/>
      <c r="AB594" s="161"/>
    </row>
    <row r="595">
      <c r="A595" s="511"/>
      <c r="B595" s="161"/>
      <c r="C595" s="161"/>
      <c r="D595" s="161"/>
      <c r="E595" s="161"/>
      <c r="F595" s="161"/>
      <c r="G595" s="161"/>
      <c r="H595" s="161"/>
      <c r="I595" s="161"/>
      <c r="J595" s="161"/>
      <c r="K595" s="511"/>
      <c r="L595" s="511"/>
      <c r="M595" s="161"/>
      <c r="N595" s="161"/>
      <c r="O595" s="161"/>
      <c r="P595" s="161"/>
      <c r="Q595" s="161"/>
      <c r="R595" s="161"/>
      <c r="S595" s="161"/>
      <c r="T595" s="161"/>
      <c r="U595" s="161"/>
      <c r="V595" s="161"/>
      <c r="W595" s="161"/>
      <c r="X595" s="161"/>
      <c r="Y595" s="161"/>
      <c r="Z595" s="161"/>
      <c r="AA595" s="161"/>
      <c r="AB595" s="161"/>
    </row>
    <row r="596">
      <c r="A596" s="511"/>
      <c r="B596" s="161"/>
      <c r="C596" s="161"/>
      <c r="D596" s="161"/>
      <c r="E596" s="161"/>
      <c r="F596" s="161"/>
      <c r="G596" s="161"/>
      <c r="H596" s="161"/>
      <c r="I596" s="161"/>
      <c r="J596" s="161"/>
      <c r="K596" s="511"/>
      <c r="L596" s="511"/>
      <c r="M596" s="161"/>
      <c r="N596" s="161"/>
      <c r="O596" s="161"/>
      <c r="P596" s="161"/>
      <c r="Q596" s="161"/>
      <c r="R596" s="161"/>
      <c r="S596" s="161"/>
      <c r="T596" s="161"/>
      <c r="U596" s="161"/>
      <c r="V596" s="161"/>
      <c r="W596" s="161"/>
      <c r="X596" s="161"/>
      <c r="Y596" s="161"/>
      <c r="Z596" s="161"/>
      <c r="AA596" s="161"/>
      <c r="AB596" s="161"/>
    </row>
    <row r="597">
      <c r="A597" s="511"/>
      <c r="B597" s="161"/>
      <c r="C597" s="161"/>
      <c r="D597" s="161"/>
      <c r="E597" s="161"/>
      <c r="F597" s="161"/>
      <c r="G597" s="161"/>
      <c r="H597" s="161"/>
      <c r="I597" s="161"/>
      <c r="J597" s="161"/>
      <c r="K597" s="511"/>
      <c r="L597" s="511"/>
      <c r="M597" s="161"/>
      <c r="N597" s="161"/>
      <c r="O597" s="161"/>
      <c r="P597" s="161"/>
      <c r="Q597" s="161"/>
      <c r="R597" s="161"/>
      <c r="S597" s="161"/>
      <c r="T597" s="161"/>
      <c r="U597" s="161"/>
      <c r="V597" s="161"/>
      <c r="W597" s="161"/>
      <c r="X597" s="161"/>
      <c r="Y597" s="161"/>
      <c r="Z597" s="161"/>
      <c r="AA597" s="161"/>
      <c r="AB597" s="161"/>
    </row>
    <row r="598">
      <c r="A598" s="511"/>
      <c r="B598" s="161"/>
      <c r="C598" s="161"/>
      <c r="D598" s="161"/>
      <c r="E598" s="161"/>
      <c r="F598" s="161"/>
      <c r="G598" s="161"/>
      <c r="H598" s="161"/>
      <c r="I598" s="161"/>
      <c r="J598" s="161"/>
      <c r="K598" s="511"/>
      <c r="L598" s="511"/>
      <c r="M598" s="161"/>
      <c r="N598" s="161"/>
      <c r="O598" s="161"/>
      <c r="P598" s="161"/>
      <c r="Q598" s="161"/>
      <c r="R598" s="161"/>
      <c r="S598" s="161"/>
      <c r="T598" s="161"/>
      <c r="U598" s="161"/>
      <c r="V598" s="161"/>
      <c r="W598" s="161"/>
      <c r="X598" s="161"/>
      <c r="Y598" s="161"/>
      <c r="Z598" s="161"/>
      <c r="AA598" s="161"/>
      <c r="AB598" s="161"/>
    </row>
    <row r="599">
      <c r="A599" s="511"/>
      <c r="B599" s="161"/>
      <c r="C599" s="161"/>
      <c r="D599" s="161"/>
      <c r="E599" s="161"/>
      <c r="F599" s="161"/>
      <c r="G599" s="161"/>
      <c r="H599" s="161"/>
      <c r="I599" s="161"/>
      <c r="J599" s="161"/>
      <c r="K599" s="511"/>
      <c r="L599" s="511"/>
      <c r="M599" s="161"/>
      <c r="N599" s="161"/>
      <c r="O599" s="161"/>
      <c r="P599" s="161"/>
      <c r="Q599" s="161"/>
      <c r="R599" s="161"/>
      <c r="S599" s="161"/>
      <c r="T599" s="161"/>
      <c r="U599" s="161"/>
      <c r="V599" s="161"/>
      <c r="W599" s="161"/>
      <c r="X599" s="161"/>
      <c r="Y599" s="161"/>
      <c r="Z599" s="161"/>
      <c r="AA599" s="161"/>
      <c r="AB599" s="161"/>
    </row>
    <row r="600">
      <c r="A600" s="511"/>
      <c r="B600" s="161"/>
      <c r="C600" s="161"/>
      <c r="D600" s="161"/>
      <c r="E600" s="161"/>
      <c r="F600" s="161"/>
      <c r="G600" s="161"/>
      <c r="H600" s="161"/>
      <c r="I600" s="161"/>
      <c r="J600" s="161"/>
      <c r="K600" s="511"/>
      <c r="L600" s="511"/>
      <c r="M600" s="161"/>
      <c r="N600" s="161"/>
      <c r="O600" s="161"/>
      <c r="P600" s="161"/>
      <c r="Q600" s="161"/>
      <c r="R600" s="161"/>
      <c r="S600" s="161"/>
      <c r="T600" s="161"/>
      <c r="U600" s="161"/>
      <c r="V600" s="161"/>
      <c r="W600" s="161"/>
      <c r="X600" s="161"/>
      <c r="Y600" s="161"/>
      <c r="Z600" s="161"/>
      <c r="AA600" s="161"/>
      <c r="AB600" s="161"/>
    </row>
    <row r="601">
      <c r="A601" s="511"/>
      <c r="B601" s="161"/>
      <c r="C601" s="161"/>
      <c r="D601" s="161"/>
      <c r="E601" s="161"/>
      <c r="F601" s="161"/>
      <c r="G601" s="161"/>
      <c r="H601" s="161"/>
      <c r="I601" s="161"/>
      <c r="J601" s="161"/>
      <c r="K601" s="511"/>
      <c r="L601" s="511"/>
      <c r="M601" s="161"/>
      <c r="N601" s="161"/>
      <c r="O601" s="161"/>
      <c r="P601" s="161"/>
      <c r="Q601" s="161"/>
      <c r="R601" s="161"/>
      <c r="S601" s="161"/>
      <c r="T601" s="161"/>
      <c r="U601" s="161"/>
      <c r="V601" s="161"/>
      <c r="W601" s="161"/>
      <c r="X601" s="161"/>
      <c r="Y601" s="161"/>
      <c r="Z601" s="161"/>
      <c r="AA601" s="161"/>
      <c r="AB601" s="161"/>
    </row>
    <row r="602">
      <c r="A602" s="511"/>
      <c r="B602" s="161"/>
      <c r="C602" s="161"/>
      <c r="D602" s="161"/>
      <c r="E602" s="161"/>
      <c r="F602" s="161"/>
      <c r="G602" s="161"/>
      <c r="H602" s="161"/>
      <c r="I602" s="161"/>
      <c r="J602" s="161"/>
      <c r="K602" s="511"/>
      <c r="L602" s="511"/>
      <c r="M602" s="161"/>
      <c r="N602" s="161"/>
      <c r="O602" s="161"/>
      <c r="P602" s="161"/>
      <c r="Q602" s="161"/>
      <c r="R602" s="161"/>
      <c r="S602" s="161"/>
      <c r="T602" s="161"/>
      <c r="U602" s="161"/>
      <c r="V602" s="161"/>
      <c r="W602" s="161"/>
      <c r="X602" s="161"/>
      <c r="Y602" s="161"/>
      <c r="Z602" s="161"/>
      <c r="AA602" s="161"/>
      <c r="AB602" s="161"/>
    </row>
    <row r="603">
      <c r="A603" s="511"/>
      <c r="B603" s="161"/>
      <c r="C603" s="161"/>
      <c r="D603" s="161"/>
      <c r="E603" s="161"/>
      <c r="F603" s="161"/>
      <c r="G603" s="161"/>
      <c r="H603" s="161"/>
      <c r="I603" s="161"/>
      <c r="J603" s="161"/>
      <c r="K603" s="511"/>
      <c r="L603" s="511"/>
      <c r="M603" s="161"/>
      <c r="N603" s="161"/>
      <c r="O603" s="161"/>
      <c r="P603" s="161"/>
      <c r="Q603" s="161"/>
      <c r="R603" s="161"/>
      <c r="S603" s="161"/>
      <c r="T603" s="161"/>
      <c r="U603" s="161"/>
      <c r="V603" s="161"/>
      <c r="W603" s="161"/>
      <c r="X603" s="161"/>
      <c r="Y603" s="161"/>
      <c r="Z603" s="161"/>
      <c r="AA603" s="161"/>
      <c r="AB603" s="161"/>
    </row>
    <row r="604">
      <c r="A604" s="511"/>
      <c r="B604" s="161"/>
      <c r="C604" s="161"/>
      <c r="D604" s="161"/>
      <c r="E604" s="161"/>
      <c r="F604" s="161"/>
      <c r="G604" s="161"/>
      <c r="H604" s="161"/>
      <c r="I604" s="161"/>
      <c r="J604" s="161"/>
      <c r="K604" s="511"/>
      <c r="L604" s="511"/>
      <c r="M604" s="161"/>
      <c r="N604" s="161"/>
      <c r="O604" s="161"/>
      <c r="P604" s="161"/>
      <c r="Q604" s="161"/>
      <c r="R604" s="161"/>
      <c r="S604" s="161"/>
      <c r="T604" s="161"/>
      <c r="U604" s="161"/>
      <c r="V604" s="161"/>
      <c r="W604" s="161"/>
      <c r="X604" s="161"/>
      <c r="Y604" s="161"/>
      <c r="Z604" s="161"/>
      <c r="AA604" s="161"/>
      <c r="AB604" s="161"/>
    </row>
    <row r="605">
      <c r="A605" s="511"/>
      <c r="B605" s="161"/>
      <c r="C605" s="161"/>
      <c r="D605" s="161"/>
      <c r="E605" s="161"/>
      <c r="F605" s="161"/>
      <c r="G605" s="161"/>
      <c r="H605" s="161"/>
      <c r="I605" s="161"/>
      <c r="J605" s="161"/>
      <c r="K605" s="511"/>
      <c r="L605" s="511"/>
      <c r="M605" s="161"/>
      <c r="N605" s="161"/>
      <c r="O605" s="161"/>
      <c r="P605" s="161"/>
      <c r="Q605" s="161"/>
      <c r="R605" s="161"/>
      <c r="S605" s="161"/>
      <c r="T605" s="161"/>
      <c r="U605" s="161"/>
      <c r="V605" s="161"/>
      <c r="W605" s="161"/>
      <c r="X605" s="161"/>
      <c r="Y605" s="161"/>
      <c r="Z605" s="161"/>
      <c r="AA605" s="161"/>
      <c r="AB605" s="161"/>
    </row>
    <row r="606">
      <c r="A606" s="511"/>
      <c r="B606" s="161"/>
      <c r="C606" s="161"/>
      <c r="D606" s="161"/>
      <c r="E606" s="161"/>
      <c r="F606" s="161"/>
      <c r="G606" s="161"/>
      <c r="H606" s="161"/>
      <c r="I606" s="161"/>
      <c r="J606" s="161"/>
      <c r="K606" s="511"/>
      <c r="L606" s="511"/>
      <c r="M606" s="161"/>
      <c r="N606" s="161"/>
      <c r="O606" s="161"/>
      <c r="P606" s="161"/>
      <c r="Q606" s="161"/>
      <c r="R606" s="161"/>
      <c r="S606" s="161"/>
      <c r="T606" s="161"/>
      <c r="U606" s="161"/>
      <c r="V606" s="161"/>
      <c r="W606" s="161"/>
      <c r="X606" s="161"/>
      <c r="Y606" s="161"/>
      <c r="Z606" s="161"/>
      <c r="AA606" s="161"/>
      <c r="AB606" s="161"/>
    </row>
    <row r="607">
      <c r="A607" s="511"/>
      <c r="B607" s="161"/>
      <c r="C607" s="161"/>
      <c r="D607" s="161"/>
      <c r="E607" s="161"/>
      <c r="F607" s="161"/>
      <c r="G607" s="161"/>
      <c r="H607" s="161"/>
      <c r="I607" s="161"/>
      <c r="J607" s="161"/>
      <c r="K607" s="511"/>
      <c r="L607" s="511"/>
      <c r="M607" s="161"/>
      <c r="N607" s="161"/>
      <c r="O607" s="161"/>
      <c r="P607" s="161"/>
      <c r="Q607" s="161"/>
      <c r="R607" s="161"/>
      <c r="S607" s="161"/>
      <c r="T607" s="161"/>
      <c r="U607" s="161"/>
      <c r="V607" s="161"/>
      <c r="W607" s="161"/>
      <c r="X607" s="161"/>
      <c r="Y607" s="161"/>
      <c r="Z607" s="161"/>
      <c r="AA607" s="161"/>
      <c r="AB607" s="161"/>
    </row>
    <row r="608">
      <c r="A608" s="511"/>
      <c r="B608" s="161"/>
      <c r="C608" s="161"/>
      <c r="D608" s="161"/>
      <c r="E608" s="161"/>
      <c r="F608" s="161"/>
      <c r="G608" s="161"/>
      <c r="H608" s="161"/>
      <c r="I608" s="161"/>
      <c r="J608" s="161"/>
      <c r="K608" s="511"/>
      <c r="L608" s="511"/>
      <c r="M608" s="161"/>
      <c r="N608" s="161"/>
      <c r="O608" s="161"/>
      <c r="P608" s="161"/>
      <c r="Q608" s="161"/>
      <c r="R608" s="161"/>
      <c r="S608" s="161"/>
      <c r="T608" s="161"/>
      <c r="U608" s="161"/>
      <c r="V608" s="161"/>
      <c r="W608" s="161"/>
      <c r="X608" s="161"/>
      <c r="Y608" s="161"/>
      <c r="Z608" s="161"/>
      <c r="AA608" s="161"/>
      <c r="AB608" s="161"/>
    </row>
    <row r="609">
      <c r="A609" s="511"/>
      <c r="B609" s="161"/>
      <c r="C609" s="161"/>
      <c r="D609" s="161"/>
      <c r="E609" s="161"/>
      <c r="F609" s="161"/>
      <c r="G609" s="161"/>
      <c r="H609" s="161"/>
      <c r="I609" s="161"/>
      <c r="J609" s="161"/>
      <c r="K609" s="511"/>
      <c r="L609" s="511"/>
      <c r="M609" s="161"/>
      <c r="N609" s="161"/>
      <c r="O609" s="161"/>
      <c r="P609" s="161"/>
      <c r="Q609" s="161"/>
      <c r="R609" s="161"/>
      <c r="S609" s="161"/>
      <c r="T609" s="161"/>
      <c r="U609" s="161"/>
      <c r="V609" s="161"/>
      <c r="W609" s="161"/>
      <c r="X609" s="161"/>
      <c r="Y609" s="161"/>
      <c r="Z609" s="161"/>
      <c r="AA609" s="161"/>
      <c r="AB609" s="161"/>
    </row>
    <row r="610">
      <c r="A610" s="511"/>
      <c r="B610" s="161"/>
      <c r="C610" s="161"/>
      <c r="D610" s="161"/>
      <c r="E610" s="161"/>
      <c r="F610" s="161"/>
      <c r="G610" s="161"/>
      <c r="H610" s="161"/>
      <c r="I610" s="161"/>
      <c r="J610" s="161"/>
      <c r="K610" s="511"/>
      <c r="L610" s="511"/>
      <c r="M610" s="161"/>
      <c r="N610" s="161"/>
      <c r="O610" s="161"/>
      <c r="P610" s="161"/>
      <c r="Q610" s="161"/>
      <c r="R610" s="161"/>
      <c r="S610" s="161"/>
      <c r="T610" s="161"/>
      <c r="U610" s="161"/>
      <c r="V610" s="161"/>
      <c r="W610" s="161"/>
      <c r="X610" s="161"/>
      <c r="Y610" s="161"/>
      <c r="Z610" s="161"/>
      <c r="AA610" s="161"/>
      <c r="AB610" s="161"/>
    </row>
    <row r="611">
      <c r="A611" s="511"/>
      <c r="B611" s="161"/>
      <c r="C611" s="161"/>
      <c r="D611" s="161"/>
      <c r="E611" s="161"/>
      <c r="F611" s="161"/>
      <c r="G611" s="161"/>
      <c r="H611" s="161"/>
      <c r="I611" s="161"/>
      <c r="J611" s="161"/>
      <c r="K611" s="511"/>
      <c r="L611" s="511"/>
      <c r="M611" s="161"/>
      <c r="N611" s="161"/>
      <c r="O611" s="161"/>
      <c r="P611" s="161"/>
      <c r="Q611" s="161"/>
      <c r="R611" s="161"/>
      <c r="S611" s="161"/>
      <c r="T611" s="161"/>
      <c r="U611" s="161"/>
      <c r="V611" s="161"/>
      <c r="W611" s="161"/>
      <c r="X611" s="161"/>
      <c r="Y611" s="161"/>
      <c r="Z611" s="161"/>
      <c r="AA611" s="161"/>
      <c r="AB611" s="161"/>
    </row>
    <row r="612">
      <c r="A612" s="511"/>
      <c r="B612" s="161"/>
      <c r="C612" s="161"/>
      <c r="D612" s="161"/>
      <c r="E612" s="161"/>
      <c r="F612" s="161"/>
      <c r="G612" s="161"/>
      <c r="H612" s="161"/>
      <c r="I612" s="161"/>
      <c r="J612" s="161"/>
      <c r="K612" s="511"/>
      <c r="L612" s="511"/>
      <c r="M612" s="161"/>
      <c r="N612" s="161"/>
      <c r="O612" s="161"/>
      <c r="P612" s="161"/>
      <c r="Q612" s="161"/>
      <c r="R612" s="161"/>
      <c r="S612" s="161"/>
      <c r="T612" s="161"/>
      <c r="U612" s="161"/>
      <c r="V612" s="161"/>
      <c r="W612" s="161"/>
      <c r="X612" s="161"/>
      <c r="Y612" s="161"/>
      <c r="Z612" s="161"/>
      <c r="AA612" s="161"/>
      <c r="AB612" s="161"/>
    </row>
    <row r="613">
      <c r="A613" s="511"/>
      <c r="B613" s="161"/>
      <c r="C613" s="161"/>
      <c r="D613" s="161"/>
      <c r="E613" s="161"/>
      <c r="F613" s="161"/>
      <c r="G613" s="161"/>
      <c r="H613" s="161"/>
      <c r="I613" s="161"/>
      <c r="J613" s="161"/>
      <c r="K613" s="511"/>
      <c r="L613" s="511"/>
      <c r="M613" s="161"/>
      <c r="N613" s="161"/>
      <c r="O613" s="161"/>
      <c r="P613" s="161"/>
      <c r="Q613" s="161"/>
      <c r="R613" s="161"/>
      <c r="S613" s="161"/>
      <c r="T613" s="161"/>
      <c r="U613" s="161"/>
      <c r="V613" s="161"/>
      <c r="W613" s="161"/>
      <c r="X613" s="161"/>
      <c r="Y613" s="161"/>
      <c r="Z613" s="161"/>
      <c r="AA613" s="161"/>
      <c r="AB613" s="161"/>
    </row>
    <row r="614">
      <c r="A614" s="511"/>
      <c r="B614" s="161"/>
      <c r="C614" s="161"/>
      <c r="D614" s="161"/>
      <c r="E614" s="161"/>
      <c r="F614" s="161"/>
      <c r="G614" s="161"/>
      <c r="H614" s="161"/>
      <c r="I614" s="161"/>
      <c r="J614" s="161"/>
      <c r="K614" s="511"/>
      <c r="L614" s="511"/>
      <c r="M614" s="161"/>
      <c r="N614" s="161"/>
      <c r="O614" s="161"/>
      <c r="P614" s="161"/>
      <c r="Q614" s="161"/>
      <c r="R614" s="161"/>
      <c r="S614" s="161"/>
      <c r="T614" s="161"/>
      <c r="U614" s="161"/>
      <c r="V614" s="161"/>
      <c r="W614" s="161"/>
      <c r="X614" s="161"/>
      <c r="Y614" s="161"/>
      <c r="Z614" s="161"/>
      <c r="AA614" s="161"/>
      <c r="AB614" s="161"/>
    </row>
    <row r="615">
      <c r="A615" s="511"/>
      <c r="B615" s="161"/>
      <c r="C615" s="161"/>
      <c r="D615" s="161"/>
      <c r="E615" s="161"/>
      <c r="F615" s="161"/>
      <c r="G615" s="161"/>
      <c r="H615" s="161"/>
      <c r="I615" s="161"/>
      <c r="J615" s="161"/>
      <c r="K615" s="511"/>
      <c r="L615" s="511"/>
      <c r="M615" s="161"/>
      <c r="N615" s="161"/>
      <c r="O615" s="161"/>
      <c r="P615" s="161"/>
      <c r="Q615" s="161"/>
      <c r="R615" s="161"/>
      <c r="S615" s="161"/>
      <c r="T615" s="161"/>
      <c r="U615" s="161"/>
      <c r="V615" s="161"/>
      <c r="W615" s="161"/>
      <c r="X615" s="161"/>
      <c r="Y615" s="161"/>
      <c r="Z615" s="161"/>
      <c r="AA615" s="161"/>
      <c r="AB615" s="161"/>
    </row>
    <row r="616">
      <c r="A616" s="511"/>
      <c r="B616" s="161"/>
      <c r="C616" s="161"/>
      <c r="D616" s="161"/>
      <c r="E616" s="161"/>
      <c r="F616" s="161"/>
      <c r="G616" s="161"/>
      <c r="H616" s="161"/>
      <c r="I616" s="161"/>
      <c r="J616" s="161"/>
      <c r="K616" s="511"/>
      <c r="L616" s="511"/>
      <c r="M616" s="161"/>
      <c r="N616" s="161"/>
      <c r="O616" s="161"/>
      <c r="P616" s="161"/>
      <c r="Q616" s="161"/>
      <c r="R616" s="161"/>
      <c r="S616" s="161"/>
      <c r="T616" s="161"/>
      <c r="U616" s="161"/>
      <c r="V616" s="161"/>
      <c r="W616" s="161"/>
      <c r="X616" s="161"/>
      <c r="Y616" s="161"/>
      <c r="Z616" s="161"/>
      <c r="AA616" s="161"/>
      <c r="AB616" s="161"/>
    </row>
    <row r="617">
      <c r="A617" s="511"/>
      <c r="B617" s="161"/>
      <c r="C617" s="161"/>
      <c r="D617" s="161"/>
      <c r="E617" s="161"/>
      <c r="F617" s="161"/>
      <c r="G617" s="161"/>
      <c r="H617" s="161"/>
      <c r="I617" s="161"/>
      <c r="J617" s="161"/>
      <c r="K617" s="511"/>
      <c r="L617" s="511"/>
      <c r="M617" s="161"/>
      <c r="N617" s="161"/>
      <c r="O617" s="161"/>
      <c r="P617" s="161"/>
      <c r="Q617" s="161"/>
      <c r="R617" s="161"/>
      <c r="S617" s="161"/>
      <c r="T617" s="161"/>
      <c r="U617" s="161"/>
      <c r="V617" s="161"/>
      <c r="W617" s="161"/>
      <c r="X617" s="161"/>
      <c r="Y617" s="161"/>
      <c r="Z617" s="161"/>
      <c r="AA617" s="161"/>
      <c r="AB617" s="161"/>
    </row>
    <row r="618">
      <c r="A618" s="511"/>
      <c r="B618" s="161"/>
      <c r="C618" s="161"/>
      <c r="D618" s="161"/>
      <c r="E618" s="161"/>
      <c r="F618" s="161"/>
      <c r="G618" s="161"/>
      <c r="H618" s="161"/>
      <c r="I618" s="161"/>
      <c r="J618" s="161"/>
      <c r="K618" s="511"/>
      <c r="L618" s="511"/>
      <c r="M618" s="161"/>
      <c r="N618" s="161"/>
      <c r="O618" s="161"/>
      <c r="P618" s="161"/>
      <c r="Q618" s="161"/>
      <c r="R618" s="161"/>
      <c r="S618" s="161"/>
      <c r="T618" s="161"/>
      <c r="U618" s="161"/>
      <c r="V618" s="161"/>
      <c r="W618" s="161"/>
      <c r="X618" s="161"/>
      <c r="Y618" s="161"/>
      <c r="Z618" s="161"/>
      <c r="AA618" s="161"/>
      <c r="AB618" s="161"/>
    </row>
    <row r="619">
      <c r="A619" s="511"/>
      <c r="B619" s="161"/>
      <c r="C619" s="161"/>
      <c r="D619" s="161"/>
      <c r="E619" s="161"/>
      <c r="F619" s="161"/>
      <c r="G619" s="161"/>
      <c r="H619" s="161"/>
      <c r="I619" s="161"/>
      <c r="J619" s="161"/>
      <c r="K619" s="511"/>
      <c r="L619" s="511"/>
      <c r="M619" s="161"/>
      <c r="N619" s="161"/>
      <c r="O619" s="161"/>
      <c r="P619" s="161"/>
      <c r="Q619" s="161"/>
      <c r="R619" s="161"/>
      <c r="S619" s="161"/>
      <c r="T619" s="161"/>
      <c r="U619" s="161"/>
      <c r="V619" s="161"/>
      <c r="W619" s="161"/>
      <c r="X619" s="161"/>
      <c r="Y619" s="161"/>
      <c r="Z619" s="161"/>
      <c r="AA619" s="161"/>
      <c r="AB619" s="161"/>
    </row>
    <row r="620">
      <c r="A620" s="511"/>
      <c r="B620" s="161"/>
      <c r="C620" s="161"/>
      <c r="D620" s="161"/>
      <c r="E620" s="161"/>
      <c r="F620" s="161"/>
      <c r="G620" s="161"/>
      <c r="H620" s="161"/>
      <c r="I620" s="161"/>
      <c r="J620" s="161"/>
      <c r="K620" s="511"/>
      <c r="L620" s="511"/>
      <c r="M620" s="161"/>
      <c r="N620" s="161"/>
      <c r="O620" s="161"/>
      <c r="P620" s="161"/>
      <c r="Q620" s="161"/>
      <c r="R620" s="161"/>
      <c r="S620" s="161"/>
      <c r="T620" s="161"/>
      <c r="U620" s="161"/>
      <c r="V620" s="161"/>
      <c r="W620" s="161"/>
      <c r="X620" s="161"/>
      <c r="Y620" s="161"/>
      <c r="Z620" s="161"/>
      <c r="AA620" s="161"/>
      <c r="AB620" s="161"/>
    </row>
    <row r="621">
      <c r="A621" s="511"/>
      <c r="B621" s="161"/>
      <c r="C621" s="161"/>
      <c r="D621" s="161"/>
      <c r="E621" s="161"/>
      <c r="F621" s="161"/>
      <c r="G621" s="161"/>
      <c r="H621" s="161"/>
      <c r="I621" s="161"/>
      <c r="J621" s="161"/>
      <c r="K621" s="511"/>
      <c r="L621" s="511"/>
      <c r="M621" s="161"/>
      <c r="N621" s="161"/>
      <c r="O621" s="161"/>
      <c r="P621" s="161"/>
      <c r="Q621" s="161"/>
      <c r="R621" s="161"/>
      <c r="S621" s="161"/>
      <c r="T621" s="161"/>
      <c r="U621" s="161"/>
      <c r="V621" s="161"/>
      <c r="W621" s="161"/>
      <c r="X621" s="161"/>
      <c r="Y621" s="161"/>
      <c r="Z621" s="161"/>
      <c r="AA621" s="161"/>
      <c r="AB621" s="161"/>
    </row>
    <row r="622">
      <c r="A622" s="511"/>
      <c r="B622" s="161"/>
      <c r="C622" s="161"/>
      <c r="D622" s="161"/>
      <c r="E622" s="161"/>
      <c r="F622" s="161"/>
      <c r="G622" s="161"/>
      <c r="H622" s="161"/>
      <c r="I622" s="161"/>
      <c r="J622" s="161"/>
      <c r="K622" s="511"/>
      <c r="L622" s="511"/>
      <c r="M622" s="161"/>
      <c r="N622" s="161"/>
      <c r="O622" s="161"/>
      <c r="P622" s="161"/>
      <c r="Q622" s="161"/>
      <c r="R622" s="161"/>
      <c r="S622" s="161"/>
      <c r="T622" s="161"/>
      <c r="U622" s="161"/>
      <c r="V622" s="161"/>
      <c r="W622" s="161"/>
      <c r="X622" s="161"/>
      <c r="Y622" s="161"/>
      <c r="Z622" s="161"/>
      <c r="AA622" s="161"/>
      <c r="AB622" s="161"/>
    </row>
    <row r="623">
      <c r="A623" s="511"/>
      <c r="B623" s="161"/>
      <c r="C623" s="161"/>
      <c r="D623" s="161"/>
      <c r="E623" s="161"/>
      <c r="F623" s="161"/>
      <c r="G623" s="161"/>
      <c r="H623" s="161"/>
      <c r="I623" s="161"/>
      <c r="J623" s="161"/>
      <c r="K623" s="511"/>
      <c r="L623" s="511"/>
      <c r="M623" s="161"/>
      <c r="N623" s="161"/>
      <c r="O623" s="161"/>
      <c r="P623" s="161"/>
      <c r="Q623" s="161"/>
      <c r="R623" s="161"/>
      <c r="S623" s="161"/>
      <c r="T623" s="161"/>
      <c r="U623" s="161"/>
      <c r="V623" s="161"/>
      <c r="W623" s="161"/>
      <c r="X623" s="161"/>
      <c r="Y623" s="161"/>
      <c r="Z623" s="161"/>
      <c r="AA623" s="161"/>
      <c r="AB623" s="161"/>
    </row>
    <row r="624">
      <c r="A624" s="511"/>
      <c r="B624" s="161"/>
      <c r="C624" s="161"/>
      <c r="D624" s="161"/>
      <c r="E624" s="161"/>
      <c r="F624" s="161"/>
      <c r="G624" s="161"/>
      <c r="H624" s="161"/>
      <c r="I624" s="161"/>
      <c r="J624" s="161"/>
      <c r="K624" s="511"/>
      <c r="L624" s="511"/>
      <c r="M624" s="161"/>
      <c r="N624" s="161"/>
      <c r="O624" s="161"/>
      <c r="P624" s="161"/>
      <c r="Q624" s="161"/>
      <c r="R624" s="161"/>
      <c r="S624" s="161"/>
      <c r="T624" s="161"/>
      <c r="U624" s="161"/>
      <c r="V624" s="161"/>
      <c r="W624" s="161"/>
      <c r="X624" s="161"/>
      <c r="Y624" s="161"/>
      <c r="Z624" s="161"/>
      <c r="AA624" s="161"/>
      <c r="AB624" s="161"/>
    </row>
    <row r="625">
      <c r="A625" s="511"/>
      <c r="B625" s="161"/>
      <c r="C625" s="161"/>
      <c r="D625" s="161"/>
      <c r="E625" s="161"/>
      <c r="F625" s="161"/>
      <c r="G625" s="161"/>
      <c r="H625" s="161"/>
      <c r="I625" s="161"/>
      <c r="J625" s="161"/>
      <c r="K625" s="511"/>
      <c r="L625" s="511"/>
      <c r="M625" s="161"/>
      <c r="N625" s="161"/>
      <c r="O625" s="161"/>
      <c r="P625" s="161"/>
      <c r="Q625" s="161"/>
      <c r="R625" s="161"/>
      <c r="S625" s="161"/>
      <c r="T625" s="161"/>
      <c r="U625" s="161"/>
      <c r="V625" s="161"/>
      <c r="W625" s="161"/>
      <c r="X625" s="161"/>
      <c r="Y625" s="161"/>
      <c r="Z625" s="161"/>
      <c r="AA625" s="161"/>
      <c r="AB625" s="161"/>
    </row>
    <row r="626">
      <c r="A626" s="511"/>
      <c r="B626" s="161"/>
      <c r="C626" s="161"/>
      <c r="D626" s="161"/>
      <c r="E626" s="161"/>
      <c r="F626" s="161"/>
      <c r="G626" s="161"/>
      <c r="H626" s="161"/>
      <c r="I626" s="161"/>
      <c r="J626" s="161"/>
      <c r="K626" s="511"/>
      <c r="L626" s="511"/>
      <c r="M626" s="161"/>
      <c r="N626" s="161"/>
      <c r="O626" s="161"/>
      <c r="P626" s="161"/>
      <c r="Q626" s="161"/>
      <c r="R626" s="161"/>
      <c r="S626" s="161"/>
      <c r="T626" s="161"/>
      <c r="U626" s="161"/>
      <c r="V626" s="161"/>
      <c r="W626" s="161"/>
      <c r="X626" s="161"/>
      <c r="Y626" s="161"/>
      <c r="Z626" s="161"/>
      <c r="AA626" s="161"/>
      <c r="AB626" s="161"/>
    </row>
    <row r="627">
      <c r="A627" s="511"/>
      <c r="B627" s="161"/>
      <c r="C627" s="161"/>
      <c r="D627" s="161"/>
      <c r="E627" s="161"/>
      <c r="F627" s="161"/>
      <c r="G627" s="161"/>
      <c r="H627" s="161"/>
      <c r="I627" s="161"/>
      <c r="J627" s="161"/>
      <c r="K627" s="511"/>
      <c r="L627" s="511"/>
      <c r="M627" s="161"/>
      <c r="N627" s="161"/>
      <c r="O627" s="161"/>
      <c r="P627" s="161"/>
      <c r="Q627" s="161"/>
      <c r="R627" s="161"/>
      <c r="S627" s="161"/>
      <c r="T627" s="161"/>
      <c r="U627" s="161"/>
      <c r="V627" s="161"/>
      <c r="W627" s="161"/>
      <c r="X627" s="161"/>
      <c r="Y627" s="161"/>
      <c r="Z627" s="161"/>
      <c r="AA627" s="161"/>
      <c r="AB627" s="161"/>
    </row>
    <row r="628">
      <c r="A628" s="511"/>
      <c r="B628" s="161"/>
      <c r="C628" s="161"/>
      <c r="D628" s="161"/>
      <c r="E628" s="161"/>
      <c r="F628" s="161"/>
      <c r="G628" s="161"/>
      <c r="H628" s="161"/>
      <c r="I628" s="161"/>
      <c r="J628" s="161"/>
      <c r="K628" s="511"/>
      <c r="L628" s="511"/>
      <c r="M628" s="161"/>
      <c r="N628" s="161"/>
      <c r="O628" s="161"/>
      <c r="P628" s="161"/>
      <c r="Q628" s="161"/>
      <c r="R628" s="161"/>
      <c r="S628" s="161"/>
      <c r="T628" s="161"/>
      <c r="U628" s="161"/>
      <c r="V628" s="161"/>
      <c r="W628" s="161"/>
      <c r="X628" s="161"/>
      <c r="Y628" s="161"/>
      <c r="Z628" s="161"/>
      <c r="AA628" s="161"/>
      <c r="AB628" s="161"/>
    </row>
    <row r="629">
      <c r="A629" s="511"/>
      <c r="B629" s="161"/>
      <c r="C629" s="161"/>
      <c r="D629" s="161"/>
      <c r="E629" s="161"/>
      <c r="F629" s="161"/>
      <c r="G629" s="161"/>
      <c r="H629" s="161"/>
      <c r="I629" s="161"/>
      <c r="J629" s="161"/>
      <c r="K629" s="511"/>
      <c r="L629" s="511"/>
      <c r="M629" s="161"/>
      <c r="N629" s="161"/>
      <c r="O629" s="161"/>
      <c r="P629" s="161"/>
      <c r="Q629" s="161"/>
      <c r="R629" s="161"/>
      <c r="S629" s="161"/>
      <c r="T629" s="161"/>
      <c r="U629" s="161"/>
      <c r="V629" s="161"/>
      <c r="W629" s="161"/>
      <c r="X629" s="161"/>
      <c r="Y629" s="161"/>
      <c r="Z629" s="161"/>
      <c r="AA629" s="161"/>
      <c r="AB629" s="161"/>
    </row>
    <row r="630">
      <c r="A630" s="511"/>
      <c r="B630" s="161"/>
      <c r="C630" s="161"/>
      <c r="D630" s="161"/>
      <c r="E630" s="161"/>
      <c r="F630" s="161"/>
      <c r="G630" s="161"/>
      <c r="H630" s="161"/>
      <c r="I630" s="161"/>
      <c r="J630" s="161"/>
      <c r="K630" s="511"/>
      <c r="L630" s="511"/>
      <c r="M630" s="161"/>
      <c r="N630" s="161"/>
      <c r="O630" s="161"/>
      <c r="P630" s="161"/>
      <c r="Q630" s="161"/>
      <c r="R630" s="161"/>
      <c r="S630" s="161"/>
      <c r="T630" s="161"/>
      <c r="U630" s="161"/>
      <c r="V630" s="161"/>
      <c r="W630" s="161"/>
      <c r="X630" s="161"/>
      <c r="Y630" s="161"/>
      <c r="Z630" s="161"/>
      <c r="AA630" s="161"/>
      <c r="AB630" s="161"/>
    </row>
    <row r="631">
      <c r="A631" s="511"/>
      <c r="B631" s="161"/>
      <c r="C631" s="161"/>
      <c r="D631" s="161"/>
      <c r="E631" s="161"/>
      <c r="F631" s="161"/>
      <c r="G631" s="161"/>
      <c r="H631" s="161"/>
      <c r="I631" s="161"/>
      <c r="J631" s="161"/>
      <c r="K631" s="511"/>
      <c r="L631" s="511"/>
      <c r="M631" s="161"/>
      <c r="N631" s="161"/>
      <c r="O631" s="161"/>
      <c r="P631" s="161"/>
      <c r="Q631" s="161"/>
      <c r="R631" s="161"/>
      <c r="S631" s="161"/>
      <c r="T631" s="161"/>
      <c r="U631" s="161"/>
      <c r="V631" s="161"/>
      <c r="W631" s="161"/>
      <c r="X631" s="161"/>
      <c r="Y631" s="161"/>
      <c r="Z631" s="161"/>
      <c r="AA631" s="161"/>
      <c r="AB631" s="161"/>
    </row>
    <row r="632">
      <c r="A632" s="511"/>
      <c r="B632" s="161"/>
      <c r="C632" s="161"/>
      <c r="D632" s="161"/>
      <c r="E632" s="161"/>
      <c r="F632" s="161"/>
      <c r="G632" s="161"/>
      <c r="H632" s="161"/>
      <c r="I632" s="161"/>
      <c r="J632" s="161"/>
      <c r="K632" s="511"/>
      <c r="L632" s="511"/>
      <c r="M632" s="161"/>
      <c r="N632" s="161"/>
      <c r="O632" s="161"/>
      <c r="P632" s="161"/>
      <c r="Q632" s="161"/>
      <c r="R632" s="161"/>
      <c r="S632" s="161"/>
      <c r="T632" s="161"/>
      <c r="U632" s="161"/>
      <c r="V632" s="161"/>
      <c r="W632" s="161"/>
      <c r="X632" s="161"/>
      <c r="Y632" s="161"/>
      <c r="Z632" s="161"/>
      <c r="AA632" s="161"/>
      <c r="AB632" s="161"/>
    </row>
    <row r="633">
      <c r="A633" s="511"/>
      <c r="B633" s="161"/>
      <c r="C633" s="161"/>
      <c r="D633" s="161"/>
      <c r="E633" s="161"/>
      <c r="F633" s="161"/>
      <c r="G633" s="161"/>
      <c r="H633" s="161"/>
      <c r="I633" s="161"/>
      <c r="J633" s="161"/>
      <c r="K633" s="511"/>
      <c r="L633" s="511"/>
      <c r="M633" s="161"/>
      <c r="N633" s="161"/>
      <c r="O633" s="161"/>
      <c r="P633" s="161"/>
      <c r="Q633" s="161"/>
      <c r="R633" s="161"/>
      <c r="S633" s="161"/>
      <c r="T633" s="161"/>
      <c r="U633" s="161"/>
      <c r="V633" s="161"/>
      <c r="W633" s="161"/>
      <c r="X633" s="161"/>
      <c r="Y633" s="161"/>
      <c r="Z633" s="161"/>
      <c r="AA633" s="161"/>
      <c r="AB633" s="161"/>
    </row>
    <row r="634">
      <c r="A634" s="511"/>
      <c r="B634" s="161"/>
      <c r="C634" s="161"/>
      <c r="D634" s="161"/>
      <c r="E634" s="161"/>
      <c r="F634" s="161"/>
      <c r="G634" s="161"/>
      <c r="H634" s="161"/>
      <c r="I634" s="161"/>
      <c r="J634" s="161"/>
      <c r="K634" s="511"/>
      <c r="L634" s="511"/>
      <c r="M634" s="161"/>
      <c r="N634" s="161"/>
      <c r="O634" s="161"/>
      <c r="P634" s="161"/>
      <c r="Q634" s="161"/>
      <c r="R634" s="161"/>
      <c r="S634" s="161"/>
      <c r="T634" s="161"/>
      <c r="U634" s="161"/>
      <c r="V634" s="161"/>
      <c r="W634" s="161"/>
      <c r="X634" s="161"/>
      <c r="Y634" s="161"/>
      <c r="Z634" s="161"/>
      <c r="AA634" s="161"/>
      <c r="AB634" s="161"/>
    </row>
    <row r="635">
      <c r="A635" s="511"/>
      <c r="B635" s="161"/>
      <c r="C635" s="161"/>
      <c r="D635" s="161"/>
      <c r="E635" s="161"/>
      <c r="F635" s="161"/>
      <c r="G635" s="161"/>
      <c r="H635" s="161"/>
      <c r="I635" s="161"/>
      <c r="J635" s="161"/>
      <c r="K635" s="511"/>
      <c r="L635" s="511"/>
      <c r="M635" s="161"/>
      <c r="N635" s="161"/>
      <c r="O635" s="161"/>
      <c r="P635" s="161"/>
      <c r="Q635" s="161"/>
      <c r="R635" s="161"/>
      <c r="S635" s="161"/>
      <c r="T635" s="161"/>
      <c r="U635" s="161"/>
      <c r="V635" s="161"/>
      <c r="W635" s="161"/>
      <c r="X635" s="161"/>
      <c r="Y635" s="161"/>
      <c r="Z635" s="161"/>
      <c r="AA635" s="161"/>
      <c r="AB635" s="161"/>
    </row>
    <row r="636">
      <c r="A636" s="511"/>
      <c r="B636" s="161"/>
      <c r="C636" s="161"/>
      <c r="D636" s="161"/>
      <c r="E636" s="161"/>
      <c r="F636" s="161"/>
      <c r="G636" s="161"/>
      <c r="H636" s="161"/>
      <c r="I636" s="161"/>
      <c r="J636" s="161"/>
      <c r="K636" s="511"/>
      <c r="L636" s="511"/>
      <c r="M636" s="161"/>
      <c r="N636" s="161"/>
      <c r="O636" s="161"/>
      <c r="P636" s="161"/>
      <c r="Q636" s="161"/>
      <c r="R636" s="161"/>
      <c r="S636" s="161"/>
      <c r="T636" s="161"/>
      <c r="U636" s="161"/>
      <c r="V636" s="161"/>
      <c r="W636" s="161"/>
      <c r="X636" s="161"/>
      <c r="Y636" s="161"/>
      <c r="Z636" s="161"/>
      <c r="AA636" s="161"/>
      <c r="AB636" s="161"/>
    </row>
    <row r="637">
      <c r="A637" s="511"/>
      <c r="B637" s="161"/>
      <c r="C637" s="161"/>
      <c r="D637" s="161"/>
      <c r="E637" s="161"/>
      <c r="F637" s="161"/>
      <c r="G637" s="161"/>
      <c r="H637" s="161"/>
      <c r="I637" s="161"/>
      <c r="J637" s="161"/>
      <c r="K637" s="511"/>
      <c r="L637" s="511"/>
      <c r="M637" s="161"/>
      <c r="N637" s="161"/>
      <c r="O637" s="161"/>
      <c r="P637" s="161"/>
      <c r="Q637" s="161"/>
      <c r="R637" s="161"/>
      <c r="S637" s="161"/>
      <c r="T637" s="161"/>
      <c r="U637" s="161"/>
      <c r="V637" s="161"/>
      <c r="W637" s="161"/>
      <c r="X637" s="161"/>
      <c r="Y637" s="161"/>
      <c r="Z637" s="161"/>
      <c r="AA637" s="161"/>
      <c r="AB637" s="161"/>
    </row>
    <row r="638">
      <c r="A638" s="511"/>
      <c r="B638" s="161"/>
      <c r="C638" s="161"/>
      <c r="D638" s="161"/>
      <c r="E638" s="161"/>
      <c r="F638" s="161"/>
      <c r="G638" s="161"/>
      <c r="H638" s="161"/>
      <c r="I638" s="161"/>
      <c r="J638" s="161"/>
      <c r="K638" s="511"/>
      <c r="L638" s="511"/>
      <c r="M638" s="161"/>
      <c r="N638" s="161"/>
      <c r="O638" s="161"/>
      <c r="P638" s="161"/>
      <c r="Q638" s="161"/>
      <c r="R638" s="161"/>
      <c r="S638" s="161"/>
      <c r="T638" s="161"/>
      <c r="U638" s="161"/>
      <c r="V638" s="161"/>
      <c r="W638" s="161"/>
      <c r="X638" s="161"/>
      <c r="Y638" s="161"/>
      <c r="Z638" s="161"/>
      <c r="AA638" s="161"/>
      <c r="AB638" s="161"/>
    </row>
    <row r="639">
      <c r="A639" s="511"/>
      <c r="B639" s="161"/>
      <c r="C639" s="161"/>
      <c r="D639" s="161"/>
      <c r="E639" s="161"/>
      <c r="F639" s="161"/>
      <c r="G639" s="161"/>
      <c r="H639" s="161"/>
      <c r="I639" s="161"/>
      <c r="J639" s="161"/>
      <c r="K639" s="511"/>
      <c r="L639" s="511"/>
      <c r="M639" s="161"/>
      <c r="N639" s="161"/>
      <c r="O639" s="161"/>
      <c r="P639" s="161"/>
      <c r="Q639" s="161"/>
      <c r="R639" s="161"/>
      <c r="S639" s="161"/>
      <c r="T639" s="161"/>
      <c r="U639" s="161"/>
      <c r="V639" s="161"/>
      <c r="W639" s="161"/>
      <c r="X639" s="161"/>
      <c r="Y639" s="161"/>
      <c r="Z639" s="161"/>
      <c r="AA639" s="161"/>
      <c r="AB639" s="161"/>
    </row>
    <row r="640">
      <c r="A640" s="511"/>
      <c r="B640" s="161"/>
      <c r="C640" s="161"/>
      <c r="D640" s="161"/>
      <c r="E640" s="161"/>
      <c r="F640" s="161"/>
      <c r="G640" s="161"/>
      <c r="H640" s="161"/>
      <c r="I640" s="161"/>
      <c r="J640" s="161"/>
      <c r="K640" s="511"/>
      <c r="L640" s="511"/>
      <c r="M640" s="161"/>
      <c r="N640" s="161"/>
      <c r="O640" s="161"/>
      <c r="P640" s="161"/>
      <c r="Q640" s="161"/>
      <c r="R640" s="161"/>
      <c r="S640" s="161"/>
      <c r="T640" s="161"/>
      <c r="U640" s="161"/>
      <c r="V640" s="161"/>
      <c r="W640" s="161"/>
      <c r="X640" s="161"/>
      <c r="Y640" s="161"/>
      <c r="Z640" s="161"/>
      <c r="AA640" s="161"/>
      <c r="AB640" s="161"/>
    </row>
    <row r="641">
      <c r="A641" s="511"/>
      <c r="B641" s="161"/>
      <c r="C641" s="161"/>
      <c r="D641" s="161"/>
      <c r="E641" s="161"/>
      <c r="F641" s="161"/>
      <c r="G641" s="161"/>
      <c r="H641" s="161"/>
      <c r="I641" s="161"/>
      <c r="J641" s="161"/>
      <c r="K641" s="511"/>
      <c r="L641" s="511"/>
      <c r="M641" s="161"/>
      <c r="N641" s="161"/>
      <c r="O641" s="161"/>
      <c r="P641" s="161"/>
      <c r="Q641" s="161"/>
      <c r="R641" s="161"/>
      <c r="S641" s="161"/>
      <c r="T641" s="161"/>
      <c r="U641" s="161"/>
      <c r="V641" s="161"/>
      <c r="W641" s="161"/>
      <c r="X641" s="161"/>
      <c r="Y641" s="161"/>
      <c r="Z641" s="161"/>
      <c r="AA641" s="161"/>
      <c r="AB641" s="161"/>
    </row>
    <row r="642">
      <c r="A642" s="511"/>
      <c r="B642" s="161"/>
      <c r="C642" s="161"/>
      <c r="D642" s="161"/>
      <c r="E642" s="161"/>
      <c r="F642" s="161"/>
      <c r="G642" s="161"/>
      <c r="H642" s="161"/>
      <c r="I642" s="161"/>
      <c r="J642" s="161"/>
      <c r="K642" s="511"/>
      <c r="L642" s="511"/>
      <c r="M642" s="161"/>
      <c r="N642" s="161"/>
      <c r="O642" s="161"/>
      <c r="P642" s="161"/>
      <c r="Q642" s="161"/>
      <c r="R642" s="161"/>
      <c r="S642" s="161"/>
      <c r="T642" s="161"/>
      <c r="U642" s="161"/>
      <c r="V642" s="161"/>
      <c r="W642" s="161"/>
      <c r="X642" s="161"/>
      <c r="Y642" s="161"/>
      <c r="Z642" s="161"/>
      <c r="AA642" s="161"/>
      <c r="AB642" s="161"/>
    </row>
    <row r="643">
      <c r="A643" s="511"/>
      <c r="B643" s="161"/>
      <c r="C643" s="161"/>
      <c r="D643" s="161"/>
      <c r="E643" s="161"/>
      <c r="F643" s="161"/>
      <c r="G643" s="161"/>
      <c r="H643" s="161"/>
      <c r="I643" s="161"/>
      <c r="J643" s="161"/>
      <c r="K643" s="511"/>
      <c r="L643" s="511"/>
      <c r="M643" s="161"/>
      <c r="N643" s="161"/>
      <c r="O643" s="161"/>
      <c r="P643" s="161"/>
      <c r="Q643" s="161"/>
      <c r="R643" s="161"/>
      <c r="S643" s="161"/>
      <c r="T643" s="161"/>
      <c r="U643" s="161"/>
      <c r="V643" s="161"/>
      <c r="W643" s="161"/>
      <c r="X643" s="161"/>
      <c r="Y643" s="161"/>
      <c r="Z643" s="161"/>
      <c r="AA643" s="161"/>
      <c r="AB643" s="161"/>
    </row>
    <row r="644">
      <c r="A644" s="511"/>
      <c r="B644" s="161"/>
      <c r="C644" s="161"/>
      <c r="D644" s="161"/>
      <c r="E644" s="161"/>
      <c r="F644" s="161"/>
      <c r="G644" s="161"/>
      <c r="H644" s="161"/>
      <c r="I644" s="161"/>
      <c r="J644" s="161"/>
      <c r="K644" s="511"/>
      <c r="L644" s="511"/>
      <c r="M644" s="161"/>
      <c r="N644" s="161"/>
      <c r="O644" s="161"/>
      <c r="P644" s="161"/>
      <c r="Q644" s="161"/>
      <c r="R644" s="161"/>
      <c r="S644" s="161"/>
      <c r="T644" s="161"/>
      <c r="U644" s="161"/>
      <c r="V644" s="161"/>
      <c r="W644" s="161"/>
      <c r="X644" s="161"/>
      <c r="Y644" s="161"/>
      <c r="Z644" s="161"/>
      <c r="AA644" s="161"/>
      <c r="AB644" s="161"/>
    </row>
    <row r="645">
      <c r="A645" s="511"/>
      <c r="B645" s="161"/>
      <c r="C645" s="161"/>
      <c r="D645" s="161"/>
      <c r="E645" s="161"/>
      <c r="F645" s="161"/>
      <c r="G645" s="161"/>
      <c r="H645" s="161"/>
      <c r="I645" s="161"/>
      <c r="J645" s="161"/>
      <c r="K645" s="511"/>
      <c r="L645" s="511"/>
      <c r="M645" s="161"/>
      <c r="N645" s="161"/>
      <c r="O645" s="161"/>
      <c r="P645" s="161"/>
      <c r="Q645" s="161"/>
      <c r="R645" s="161"/>
      <c r="S645" s="161"/>
      <c r="T645" s="161"/>
      <c r="U645" s="161"/>
      <c r="V645" s="161"/>
      <c r="W645" s="161"/>
      <c r="X645" s="161"/>
      <c r="Y645" s="161"/>
      <c r="Z645" s="161"/>
      <c r="AA645" s="161"/>
      <c r="AB645" s="161"/>
    </row>
    <row r="646">
      <c r="A646" s="511"/>
      <c r="B646" s="161"/>
      <c r="C646" s="161"/>
      <c r="D646" s="161"/>
      <c r="E646" s="161"/>
      <c r="F646" s="161"/>
      <c r="G646" s="161"/>
      <c r="H646" s="161"/>
      <c r="I646" s="161"/>
      <c r="J646" s="161"/>
      <c r="K646" s="511"/>
      <c r="L646" s="511"/>
      <c r="M646" s="161"/>
      <c r="N646" s="161"/>
      <c r="O646" s="161"/>
      <c r="P646" s="161"/>
      <c r="Q646" s="161"/>
      <c r="R646" s="161"/>
      <c r="S646" s="161"/>
      <c r="T646" s="161"/>
      <c r="U646" s="161"/>
      <c r="V646" s="161"/>
      <c r="W646" s="161"/>
      <c r="X646" s="161"/>
      <c r="Y646" s="161"/>
      <c r="Z646" s="161"/>
      <c r="AA646" s="161"/>
      <c r="AB646" s="161"/>
    </row>
    <row r="647">
      <c r="A647" s="511"/>
      <c r="B647" s="161"/>
      <c r="C647" s="161"/>
      <c r="D647" s="161"/>
      <c r="E647" s="161"/>
      <c r="F647" s="161"/>
      <c r="G647" s="161"/>
      <c r="H647" s="161"/>
      <c r="I647" s="161"/>
      <c r="J647" s="161"/>
      <c r="K647" s="511"/>
      <c r="L647" s="511"/>
      <c r="M647" s="161"/>
      <c r="N647" s="161"/>
      <c r="O647" s="161"/>
      <c r="P647" s="161"/>
      <c r="Q647" s="161"/>
      <c r="R647" s="161"/>
      <c r="S647" s="161"/>
      <c r="T647" s="161"/>
      <c r="U647" s="161"/>
      <c r="V647" s="161"/>
      <c r="W647" s="161"/>
      <c r="X647" s="161"/>
      <c r="Y647" s="161"/>
      <c r="Z647" s="161"/>
      <c r="AA647" s="161"/>
      <c r="AB647" s="161"/>
    </row>
    <row r="648">
      <c r="A648" s="511"/>
      <c r="B648" s="161"/>
      <c r="C648" s="161"/>
      <c r="D648" s="161"/>
      <c r="E648" s="161"/>
      <c r="F648" s="161"/>
      <c r="G648" s="161"/>
      <c r="H648" s="161"/>
      <c r="I648" s="161"/>
      <c r="J648" s="161"/>
      <c r="K648" s="511"/>
      <c r="L648" s="511"/>
      <c r="M648" s="161"/>
      <c r="N648" s="161"/>
      <c r="O648" s="161"/>
      <c r="P648" s="161"/>
      <c r="Q648" s="161"/>
      <c r="R648" s="161"/>
      <c r="S648" s="161"/>
      <c r="T648" s="161"/>
      <c r="U648" s="161"/>
      <c r="V648" s="161"/>
      <c r="W648" s="161"/>
      <c r="X648" s="161"/>
      <c r="Y648" s="161"/>
      <c r="Z648" s="161"/>
      <c r="AA648" s="161"/>
      <c r="AB648" s="161"/>
    </row>
    <row r="649">
      <c r="A649" s="511"/>
      <c r="B649" s="161"/>
      <c r="C649" s="161"/>
      <c r="D649" s="161"/>
      <c r="E649" s="161"/>
      <c r="F649" s="161"/>
      <c r="G649" s="161"/>
      <c r="H649" s="161"/>
      <c r="I649" s="161"/>
      <c r="J649" s="161"/>
      <c r="K649" s="511"/>
      <c r="L649" s="511"/>
      <c r="M649" s="161"/>
      <c r="N649" s="161"/>
      <c r="O649" s="161"/>
      <c r="P649" s="161"/>
      <c r="Q649" s="161"/>
      <c r="R649" s="161"/>
      <c r="S649" s="161"/>
      <c r="T649" s="161"/>
      <c r="U649" s="161"/>
      <c r="V649" s="161"/>
      <c r="W649" s="161"/>
      <c r="X649" s="161"/>
      <c r="Y649" s="161"/>
      <c r="Z649" s="161"/>
      <c r="AA649" s="161"/>
      <c r="AB649" s="161"/>
    </row>
    <row r="650">
      <c r="A650" s="511"/>
      <c r="B650" s="161"/>
      <c r="C650" s="161"/>
      <c r="D650" s="161"/>
      <c r="E650" s="161"/>
      <c r="F650" s="161"/>
      <c r="G650" s="161"/>
      <c r="H650" s="161"/>
      <c r="I650" s="161"/>
      <c r="J650" s="161"/>
      <c r="K650" s="511"/>
      <c r="L650" s="511"/>
      <c r="M650" s="161"/>
      <c r="N650" s="161"/>
      <c r="O650" s="161"/>
      <c r="P650" s="161"/>
      <c r="Q650" s="161"/>
      <c r="R650" s="161"/>
      <c r="S650" s="161"/>
      <c r="T650" s="161"/>
      <c r="U650" s="161"/>
      <c r="V650" s="161"/>
      <c r="W650" s="161"/>
      <c r="X650" s="161"/>
      <c r="Y650" s="161"/>
      <c r="Z650" s="161"/>
      <c r="AA650" s="161"/>
      <c r="AB650" s="161"/>
    </row>
    <row r="651">
      <c r="A651" s="511"/>
      <c r="B651" s="161"/>
      <c r="C651" s="161"/>
      <c r="D651" s="161"/>
      <c r="E651" s="161"/>
      <c r="F651" s="161"/>
      <c r="G651" s="161"/>
      <c r="H651" s="161"/>
      <c r="I651" s="161"/>
      <c r="J651" s="161"/>
      <c r="K651" s="511"/>
      <c r="L651" s="511"/>
      <c r="M651" s="161"/>
      <c r="N651" s="161"/>
      <c r="O651" s="161"/>
      <c r="P651" s="161"/>
      <c r="Q651" s="161"/>
      <c r="R651" s="161"/>
      <c r="S651" s="161"/>
      <c r="T651" s="161"/>
      <c r="U651" s="161"/>
      <c r="V651" s="161"/>
      <c r="W651" s="161"/>
      <c r="X651" s="161"/>
      <c r="Y651" s="161"/>
      <c r="Z651" s="161"/>
      <c r="AA651" s="161"/>
      <c r="AB651" s="161"/>
    </row>
    <row r="652">
      <c r="A652" s="511"/>
      <c r="B652" s="161"/>
      <c r="C652" s="161"/>
      <c r="D652" s="161"/>
      <c r="E652" s="161"/>
      <c r="F652" s="161"/>
      <c r="G652" s="161"/>
      <c r="H652" s="161"/>
      <c r="I652" s="161"/>
      <c r="J652" s="161"/>
      <c r="K652" s="511"/>
      <c r="L652" s="511"/>
      <c r="M652" s="161"/>
      <c r="N652" s="161"/>
      <c r="O652" s="161"/>
      <c r="P652" s="161"/>
      <c r="Q652" s="161"/>
      <c r="R652" s="161"/>
      <c r="S652" s="161"/>
      <c r="T652" s="161"/>
      <c r="U652" s="161"/>
      <c r="V652" s="161"/>
      <c r="W652" s="161"/>
      <c r="X652" s="161"/>
      <c r="Y652" s="161"/>
      <c r="Z652" s="161"/>
      <c r="AA652" s="161"/>
      <c r="AB652" s="161"/>
    </row>
    <row r="653">
      <c r="A653" s="511"/>
      <c r="B653" s="161"/>
      <c r="C653" s="161"/>
      <c r="D653" s="161"/>
      <c r="E653" s="161"/>
      <c r="F653" s="161"/>
      <c r="G653" s="161"/>
      <c r="H653" s="161"/>
      <c r="I653" s="161"/>
      <c r="J653" s="161"/>
      <c r="K653" s="511"/>
      <c r="L653" s="511"/>
      <c r="M653" s="161"/>
      <c r="N653" s="161"/>
      <c r="O653" s="161"/>
      <c r="P653" s="161"/>
      <c r="Q653" s="161"/>
      <c r="R653" s="161"/>
      <c r="S653" s="161"/>
      <c r="T653" s="161"/>
      <c r="U653" s="161"/>
      <c r="V653" s="161"/>
      <c r="W653" s="161"/>
      <c r="X653" s="161"/>
      <c r="Y653" s="161"/>
      <c r="Z653" s="161"/>
      <c r="AA653" s="161"/>
      <c r="AB653" s="161"/>
    </row>
    <row r="654">
      <c r="A654" s="511"/>
      <c r="B654" s="161"/>
      <c r="C654" s="161"/>
      <c r="D654" s="161"/>
      <c r="E654" s="161"/>
      <c r="F654" s="161"/>
      <c r="G654" s="161"/>
      <c r="H654" s="161"/>
      <c r="I654" s="161"/>
      <c r="J654" s="161"/>
      <c r="K654" s="511"/>
      <c r="L654" s="511"/>
      <c r="M654" s="161"/>
      <c r="N654" s="161"/>
      <c r="O654" s="161"/>
      <c r="P654" s="161"/>
      <c r="Q654" s="161"/>
      <c r="R654" s="161"/>
      <c r="S654" s="161"/>
      <c r="T654" s="161"/>
      <c r="U654" s="161"/>
      <c r="V654" s="161"/>
      <c r="W654" s="161"/>
      <c r="X654" s="161"/>
      <c r="Y654" s="161"/>
      <c r="Z654" s="161"/>
      <c r="AA654" s="161"/>
      <c r="AB654" s="161"/>
    </row>
    <row r="655">
      <c r="A655" s="511"/>
      <c r="B655" s="161"/>
      <c r="C655" s="161"/>
      <c r="D655" s="161"/>
      <c r="E655" s="161"/>
      <c r="F655" s="161"/>
      <c r="G655" s="161"/>
      <c r="H655" s="161"/>
      <c r="I655" s="161"/>
      <c r="J655" s="161"/>
      <c r="K655" s="511"/>
      <c r="L655" s="511"/>
      <c r="M655" s="161"/>
      <c r="N655" s="161"/>
      <c r="O655" s="161"/>
      <c r="P655" s="161"/>
      <c r="Q655" s="161"/>
      <c r="R655" s="161"/>
      <c r="S655" s="161"/>
      <c r="T655" s="161"/>
      <c r="U655" s="161"/>
      <c r="V655" s="161"/>
      <c r="W655" s="161"/>
      <c r="X655" s="161"/>
      <c r="Y655" s="161"/>
      <c r="Z655" s="161"/>
      <c r="AA655" s="161"/>
      <c r="AB655" s="161"/>
    </row>
    <row r="656">
      <c r="A656" s="511"/>
      <c r="B656" s="161"/>
      <c r="C656" s="161"/>
      <c r="D656" s="161"/>
      <c r="E656" s="161"/>
      <c r="F656" s="161"/>
      <c r="G656" s="161"/>
      <c r="H656" s="161"/>
      <c r="I656" s="161"/>
      <c r="J656" s="161"/>
      <c r="K656" s="511"/>
      <c r="L656" s="511"/>
      <c r="M656" s="161"/>
      <c r="N656" s="161"/>
      <c r="O656" s="161"/>
      <c r="P656" s="161"/>
      <c r="Q656" s="161"/>
      <c r="R656" s="161"/>
      <c r="S656" s="161"/>
      <c r="T656" s="161"/>
      <c r="U656" s="161"/>
      <c r="V656" s="161"/>
      <c r="W656" s="161"/>
      <c r="X656" s="161"/>
      <c r="Y656" s="161"/>
      <c r="Z656" s="161"/>
      <c r="AA656" s="161"/>
      <c r="AB656" s="161"/>
    </row>
    <row r="657">
      <c r="A657" s="511"/>
      <c r="B657" s="161"/>
      <c r="C657" s="161"/>
      <c r="D657" s="161"/>
      <c r="E657" s="161"/>
      <c r="F657" s="161"/>
      <c r="G657" s="161"/>
      <c r="H657" s="161"/>
      <c r="I657" s="161"/>
      <c r="J657" s="161"/>
      <c r="K657" s="511"/>
      <c r="L657" s="511"/>
      <c r="M657" s="161"/>
      <c r="N657" s="161"/>
      <c r="O657" s="161"/>
      <c r="P657" s="161"/>
      <c r="Q657" s="161"/>
      <c r="R657" s="161"/>
      <c r="S657" s="161"/>
      <c r="T657" s="161"/>
      <c r="U657" s="161"/>
      <c r="V657" s="161"/>
      <c r="W657" s="161"/>
      <c r="X657" s="161"/>
      <c r="Y657" s="161"/>
      <c r="Z657" s="161"/>
      <c r="AA657" s="161"/>
      <c r="AB657" s="161"/>
    </row>
    <row r="658">
      <c r="A658" s="511"/>
      <c r="B658" s="161"/>
      <c r="C658" s="161"/>
      <c r="D658" s="161"/>
      <c r="E658" s="161"/>
      <c r="F658" s="161"/>
      <c r="G658" s="161"/>
      <c r="H658" s="161"/>
      <c r="I658" s="161"/>
      <c r="J658" s="161"/>
      <c r="K658" s="511"/>
      <c r="L658" s="511"/>
      <c r="M658" s="161"/>
      <c r="N658" s="161"/>
      <c r="O658" s="161"/>
      <c r="P658" s="161"/>
      <c r="Q658" s="161"/>
      <c r="R658" s="161"/>
      <c r="S658" s="161"/>
      <c r="T658" s="161"/>
      <c r="U658" s="161"/>
      <c r="V658" s="161"/>
      <c r="W658" s="161"/>
      <c r="X658" s="161"/>
      <c r="Y658" s="161"/>
      <c r="Z658" s="161"/>
      <c r="AA658" s="161"/>
      <c r="AB658" s="161"/>
    </row>
    <row r="659">
      <c r="A659" s="511"/>
      <c r="B659" s="161"/>
      <c r="C659" s="161"/>
      <c r="D659" s="161"/>
      <c r="E659" s="161"/>
      <c r="F659" s="161"/>
      <c r="G659" s="161"/>
      <c r="H659" s="161"/>
      <c r="I659" s="161"/>
      <c r="J659" s="161"/>
      <c r="K659" s="511"/>
      <c r="L659" s="511"/>
      <c r="M659" s="161"/>
      <c r="N659" s="161"/>
      <c r="O659" s="161"/>
      <c r="P659" s="161"/>
      <c r="Q659" s="161"/>
      <c r="R659" s="161"/>
      <c r="S659" s="161"/>
      <c r="T659" s="161"/>
      <c r="U659" s="161"/>
      <c r="V659" s="161"/>
      <c r="W659" s="161"/>
      <c r="X659" s="161"/>
      <c r="Y659" s="161"/>
      <c r="Z659" s="161"/>
      <c r="AA659" s="161"/>
      <c r="AB659" s="161"/>
    </row>
    <row r="660">
      <c r="A660" s="511"/>
      <c r="B660" s="161"/>
      <c r="C660" s="161"/>
      <c r="D660" s="161"/>
      <c r="E660" s="161"/>
      <c r="F660" s="161"/>
      <c r="G660" s="161"/>
      <c r="H660" s="161"/>
      <c r="I660" s="161"/>
      <c r="J660" s="161"/>
      <c r="K660" s="511"/>
      <c r="L660" s="511"/>
      <c r="M660" s="161"/>
      <c r="N660" s="161"/>
      <c r="O660" s="161"/>
      <c r="P660" s="161"/>
      <c r="Q660" s="161"/>
      <c r="R660" s="161"/>
      <c r="S660" s="161"/>
      <c r="T660" s="161"/>
      <c r="U660" s="161"/>
      <c r="V660" s="161"/>
      <c r="W660" s="161"/>
      <c r="X660" s="161"/>
      <c r="Y660" s="161"/>
      <c r="Z660" s="161"/>
      <c r="AA660" s="161"/>
      <c r="AB660" s="161"/>
    </row>
    <row r="661">
      <c r="A661" s="511"/>
      <c r="B661" s="161"/>
      <c r="C661" s="161"/>
      <c r="D661" s="161"/>
      <c r="E661" s="161"/>
      <c r="F661" s="161"/>
      <c r="G661" s="161"/>
      <c r="H661" s="161"/>
      <c r="I661" s="161"/>
      <c r="J661" s="161"/>
      <c r="K661" s="511"/>
      <c r="L661" s="511"/>
      <c r="M661" s="161"/>
      <c r="N661" s="161"/>
      <c r="O661" s="161"/>
      <c r="P661" s="161"/>
      <c r="Q661" s="161"/>
      <c r="R661" s="161"/>
      <c r="S661" s="161"/>
      <c r="T661" s="161"/>
      <c r="U661" s="161"/>
      <c r="V661" s="161"/>
      <c r="W661" s="161"/>
      <c r="X661" s="161"/>
      <c r="Y661" s="161"/>
      <c r="Z661" s="161"/>
      <c r="AA661" s="161"/>
      <c r="AB661" s="161"/>
    </row>
    <row r="662">
      <c r="A662" s="511"/>
      <c r="B662" s="161"/>
      <c r="C662" s="161"/>
      <c r="D662" s="161"/>
      <c r="E662" s="161"/>
      <c r="F662" s="161"/>
      <c r="G662" s="161"/>
      <c r="H662" s="161"/>
      <c r="I662" s="161"/>
      <c r="J662" s="161"/>
      <c r="K662" s="511"/>
      <c r="L662" s="511"/>
      <c r="M662" s="161"/>
      <c r="N662" s="161"/>
      <c r="O662" s="161"/>
      <c r="P662" s="161"/>
      <c r="Q662" s="161"/>
      <c r="R662" s="161"/>
      <c r="S662" s="161"/>
      <c r="T662" s="161"/>
      <c r="U662" s="161"/>
      <c r="V662" s="161"/>
      <c r="W662" s="161"/>
      <c r="X662" s="161"/>
      <c r="Y662" s="161"/>
      <c r="Z662" s="161"/>
      <c r="AA662" s="161"/>
      <c r="AB662" s="161"/>
    </row>
    <row r="663">
      <c r="A663" s="511"/>
      <c r="B663" s="161"/>
      <c r="C663" s="161"/>
      <c r="D663" s="161"/>
      <c r="E663" s="161"/>
      <c r="F663" s="161"/>
      <c r="G663" s="161"/>
      <c r="H663" s="161"/>
      <c r="I663" s="161"/>
      <c r="J663" s="161"/>
      <c r="K663" s="511"/>
      <c r="L663" s="511"/>
      <c r="M663" s="161"/>
      <c r="N663" s="161"/>
      <c r="O663" s="161"/>
      <c r="P663" s="161"/>
      <c r="Q663" s="161"/>
      <c r="R663" s="161"/>
      <c r="S663" s="161"/>
      <c r="T663" s="161"/>
      <c r="U663" s="161"/>
      <c r="V663" s="161"/>
      <c r="W663" s="161"/>
      <c r="X663" s="161"/>
      <c r="Y663" s="161"/>
      <c r="Z663" s="161"/>
      <c r="AA663" s="161"/>
      <c r="AB663" s="161"/>
    </row>
    <row r="664">
      <c r="A664" s="511"/>
      <c r="B664" s="161"/>
      <c r="C664" s="161"/>
      <c r="D664" s="161"/>
      <c r="E664" s="161"/>
      <c r="F664" s="161"/>
      <c r="G664" s="161"/>
      <c r="H664" s="161"/>
      <c r="I664" s="161"/>
      <c r="J664" s="161"/>
      <c r="K664" s="511"/>
      <c r="L664" s="511"/>
      <c r="M664" s="161"/>
      <c r="N664" s="161"/>
      <c r="O664" s="161"/>
      <c r="P664" s="161"/>
      <c r="Q664" s="161"/>
      <c r="R664" s="161"/>
      <c r="S664" s="161"/>
      <c r="T664" s="161"/>
      <c r="U664" s="161"/>
      <c r="V664" s="161"/>
      <c r="W664" s="161"/>
      <c r="X664" s="161"/>
      <c r="Y664" s="161"/>
      <c r="Z664" s="161"/>
      <c r="AA664" s="161"/>
      <c r="AB664" s="161"/>
    </row>
    <row r="665">
      <c r="A665" s="511"/>
      <c r="B665" s="161"/>
      <c r="C665" s="161"/>
      <c r="D665" s="161"/>
      <c r="E665" s="161"/>
      <c r="F665" s="161"/>
      <c r="G665" s="161"/>
      <c r="H665" s="161"/>
      <c r="I665" s="161"/>
      <c r="J665" s="161"/>
      <c r="K665" s="511"/>
      <c r="L665" s="511"/>
      <c r="M665" s="161"/>
      <c r="N665" s="161"/>
      <c r="O665" s="161"/>
      <c r="P665" s="161"/>
      <c r="Q665" s="161"/>
      <c r="R665" s="161"/>
      <c r="S665" s="161"/>
      <c r="T665" s="161"/>
      <c r="U665" s="161"/>
      <c r="V665" s="161"/>
      <c r="W665" s="161"/>
      <c r="X665" s="161"/>
      <c r="Y665" s="161"/>
      <c r="Z665" s="161"/>
      <c r="AA665" s="161"/>
      <c r="AB665" s="161"/>
    </row>
    <row r="666">
      <c r="A666" s="511"/>
      <c r="B666" s="161"/>
      <c r="C666" s="161"/>
      <c r="D666" s="161"/>
      <c r="E666" s="161"/>
      <c r="F666" s="161"/>
      <c r="G666" s="161"/>
      <c r="H666" s="161"/>
      <c r="I666" s="161"/>
      <c r="J666" s="161"/>
      <c r="K666" s="511"/>
      <c r="L666" s="511"/>
      <c r="M666" s="161"/>
      <c r="N666" s="161"/>
      <c r="O666" s="161"/>
      <c r="P666" s="161"/>
      <c r="Q666" s="161"/>
      <c r="R666" s="161"/>
      <c r="S666" s="161"/>
      <c r="T666" s="161"/>
      <c r="U666" s="161"/>
      <c r="V666" s="161"/>
      <c r="W666" s="161"/>
      <c r="X666" s="161"/>
      <c r="Y666" s="161"/>
      <c r="Z666" s="161"/>
      <c r="AA666" s="161"/>
      <c r="AB666" s="161"/>
    </row>
    <row r="667">
      <c r="A667" s="511"/>
      <c r="B667" s="161"/>
      <c r="C667" s="161"/>
      <c r="D667" s="161"/>
      <c r="E667" s="161"/>
      <c r="F667" s="161"/>
      <c r="G667" s="161"/>
      <c r="H667" s="161"/>
      <c r="I667" s="161"/>
      <c r="J667" s="161"/>
      <c r="K667" s="511"/>
      <c r="L667" s="511"/>
      <c r="M667" s="161"/>
      <c r="N667" s="161"/>
      <c r="O667" s="161"/>
      <c r="P667" s="161"/>
      <c r="Q667" s="161"/>
      <c r="R667" s="161"/>
      <c r="S667" s="161"/>
      <c r="T667" s="161"/>
      <c r="U667" s="161"/>
      <c r="V667" s="161"/>
      <c r="W667" s="161"/>
      <c r="X667" s="161"/>
      <c r="Y667" s="161"/>
      <c r="Z667" s="161"/>
      <c r="AA667" s="161"/>
      <c r="AB667" s="161"/>
    </row>
    <row r="668">
      <c r="A668" s="511"/>
      <c r="B668" s="161"/>
      <c r="C668" s="161"/>
      <c r="D668" s="161"/>
      <c r="E668" s="161"/>
      <c r="F668" s="161"/>
      <c r="G668" s="161"/>
      <c r="H668" s="161"/>
      <c r="I668" s="161"/>
      <c r="J668" s="161"/>
      <c r="K668" s="511"/>
      <c r="L668" s="511"/>
      <c r="M668" s="161"/>
      <c r="N668" s="161"/>
      <c r="O668" s="161"/>
      <c r="P668" s="161"/>
      <c r="Q668" s="161"/>
      <c r="R668" s="161"/>
      <c r="S668" s="161"/>
      <c r="T668" s="161"/>
      <c r="U668" s="161"/>
      <c r="V668" s="161"/>
      <c r="W668" s="161"/>
      <c r="X668" s="161"/>
      <c r="Y668" s="161"/>
      <c r="Z668" s="161"/>
      <c r="AA668" s="161"/>
      <c r="AB668" s="161"/>
    </row>
    <row r="669">
      <c r="A669" s="511"/>
      <c r="B669" s="161"/>
      <c r="C669" s="161"/>
      <c r="D669" s="161"/>
      <c r="E669" s="161"/>
      <c r="F669" s="161"/>
      <c r="G669" s="161"/>
      <c r="H669" s="161"/>
      <c r="I669" s="161"/>
      <c r="J669" s="161"/>
      <c r="K669" s="511"/>
      <c r="L669" s="511"/>
      <c r="M669" s="161"/>
      <c r="N669" s="161"/>
      <c r="O669" s="161"/>
      <c r="P669" s="161"/>
      <c r="Q669" s="161"/>
      <c r="R669" s="161"/>
      <c r="S669" s="161"/>
      <c r="T669" s="161"/>
      <c r="U669" s="161"/>
      <c r="V669" s="161"/>
      <c r="W669" s="161"/>
      <c r="X669" s="161"/>
      <c r="Y669" s="161"/>
      <c r="Z669" s="161"/>
      <c r="AA669" s="161"/>
      <c r="AB669" s="161"/>
    </row>
    <row r="670">
      <c r="A670" s="511"/>
      <c r="B670" s="161"/>
      <c r="C670" s="161"/>
      <c r="D670" s="161"/>
      <c r="E670" s="161"/>
      <c r="F670" s="161"/>
      <c r="G670" s="161"/>
      <c r="H670" s="161"/>
      <c r="I670" s="161"/>
      <c r="J670" s="161"/>
      <c r="K670" s="511"/>
      <c r="L670" s="511"/>
      <c r="M670" s="161"/>
      <c r="N670" s="161"/>
      <c r="O670" s="161"/>
      <c r="P670" s="161"/>
      <c r="Q670" s="161"/>
      <c r="R670" s="161"/>
      <c r="S670" s="161"/>
      <c r="T670" s="161"/>
      <c r="U670" s="161"/>
      <c r="V670" s="161"/>
      <c r="W670" s="161"/>
      <c r="X670" s="161"/>
      <c r="Y670" s="161"/>
      <c r="Z670" s="161"/>
      <c r="AA670" s="161"/>
      <c r="AB670" s="161"/>
    </row>
    <row r="671">
      <c r="A671" s="511"/>
      <c r="B671" s="161"/>
      <c r="C671" s="161"/>
      <c r="D671" s="161"/>
      <c r="E671" s="161"/>
      <c r="F671" s="161"/>
      <c r="G671" s="161"/>
      <c r="H671" s="161"/>
      <c r="I671" s="161"/>
      <c r="J671" s="161"/>
      <c r="K671" s="511"/>
      <c r="L671" s="511"/>
      <c r="M671" s="161"/>
      <c r="N671" s="161"/>
      <c r="O671" s="161"/>
      <c r="P671" s="161"/>
      <c r="Q671" s="161"/>
      <c r="R671" s="161"/>
      <c r="S671" s="161"/>
      <c r="T671" s="161"/>
      <c r="U671" s="161"/>
      <c r="V671" s="161"/>
      <c r="W671" s="161"/>
      <c r="X671" s="161"/>
      <c r="Y671" s="161"/>
      <c r="Z671" s="161"/>
      <c r="AA671" s="161"/>
      <c r="AB671" s="161"/>
    </row>
    <row r="672">
      <c r="A672" s="511"/>
      <c r="B672" s="161"/>
      <c r="C672" s="161"/>
      <c r="D672" s="161"/>
      <c r="E672" s="161"/>
      <c r="F672" s="161"/>
      <c r="G672" s="161"/>
      <c r="H672" s="161"/>
      <c r="I672" s="161"/>
      <c r="J672" s="161"/>
      <c r="K672" s="511"/>
      <c r="L672" s="511"/>
      <c r="M672" s="161"/>
      <c r="N672" s="161"/>
      <c r="O672" s="161"/>
      <c r="P672" s="161"/>
      <c r="Q672" s="161"/>
      <c r="R672" s="161"/>
      <c r="S672" s="161"/>
      <c r="T672" s="161"/>
      <c r="U672" s="161"/>
      <c r="V672" s="161"/>
      <c r="W672" s="161"/>
      <c r="X672" s="161"/>
      <c r="Y672" s="161"/>
      <c r="Z672" s="161"/>
      <c r="AA672" s="161"/>
      <c r="AB672" s="161"/>
    </row>
    <row r="673">
      <c r="A673" s="511"/>
      <c r="B673" s="161"/>
      <c r="C673" s="161"/>
      <c r="D673" s="161"/>
      <c r="E673" s="161"/>
      <c r="F673" s="161"/>
      <c r="G673" s="161"/>
      <c r="H673" s="161"/>
      <c r="I673" s="161"/>
      <c r="J673" s="161"/>
      <c r="K673" s="511"/>
      <c r="L673" s="511"/>
      <c r="M673" s="161"/>
      <c r="N673" s="161"/>
      <c r="O673" s="161"/>
      <c r="P673" s="161"/>
      <c r="Q673" s="161"/>
      <c r="R673" s="161"/>
      <c r="S673" s="161"/>
      <c r="T673" s="161"/>
      <c r="U673" s="161"/>
      <c r="V673" s="161"/>
      <c r="W673" s="161"/>
      <c r="X673" s="161"/>
      <c r="Y673" s="161"/>
      <c r="Z673" s="161"/>
      <c r="AA673" s="161"/>
      <c r="AB673" s="161"/>
    </row>
    <row r="674">
      <c r="A674" s="511"/>
      <c r="B674" s="161"/>
      <c r="C674" s="161"/>
      <c r="D674" s="161"/>
      <c r="E674" s="161"/>
      <c r="F674" s="161"/>
      <c r="G674" s="161"/>
      <c r="H674" s="161"/>
      <c r="I674" s="161"/>
      <c r="J674" s="161"/>
      <c r="K674" s="511"/>
      <c r="L674" s="511"/>
      <c r="M674" s="161"/>
      <c r="N674" s="161"/>
      <c r="O674" s="161"/>
      <c r="P674" s="161"/>
      <c r="Q674" s="161"/>
      <c r="R674" s="161"/>
      <c r="S674" s="161"/>
      <c r="T674" s="161"/>
      <c r="U674" s="161"/>
      <c r="V674" s="161"/>
      <c r="W674" s="161"/>
      <c r="X674" s="161"/>
      <c r="Y674" s="161"/>
      <c r="Z674" s="161"/>
      <c r="AA674" s="161"/>
      <c r="AB674" s="161"/>
    </row>
    <row r="675">
      <c r="A675" s="511"/>
      <c r="B675" s="161"/>
      <c r="C675" s="161"/>
      <c r="D675" s="161"/>
      <c r="E675" s="161"/>
      <c r="F675" s="161"/>
      <c r="G675" s="161"/>
      <c r="H675" s="161"/>
      <c r="I675" s="161"/>
      <c r="J675" s="161"/>
      <c r="K675" s="511"/>
      <c r="L675" s="511"/>
      <c r="M675" s="161"/>
      <c r="N675" s="161"/>
      <c r="O675" s="161"/>
      <c r="P675" s="161"/>
      <c r="Q675" s="161"/>
      <c r="R675" s="161"/>
      <c r="S675" s="161"/>
      <c r="T675" s="161"/>
      <c r="U675" s="161"/>
      <c r="V675" s="161"/>
      <c r="W675" s="161"/>
      <c r="X675" s="161"/>
      <c r="Y675" s="161"/>
      <c r="Z675" s="161"/>
      <c r="AA675" s="161"/>
      <c r="AB675" s="161"/>
    </row>
    <row r="676">
      <c r="A676" s="511"/>
      <c r="B676" s="161"/>
      <c r="C676" s="161"/>
      <c r="D676" s="161"/>
      <c r="E676" s="161"/>
      <c r="F676" s="161"/>
      <c r="G676" s="161"/>
      <c r="H676" s="161"/>
      <c r="I676" s="161"/>
      <c r="J676" s="161"/>
      <c r="K676" s="511"/>
      <c r="L676" s="511"/>
      <c r="M676" s="161"/>
      <c r="N676" s="161"/>
      <c r="O676" s="161"/>
      <c r="P676" s="161"/>
      <c r="Q676" s="161"/>
      <c r="R676" s="161"/>
      <c r="S676" s="161"/>
      <c r="T676" s="161"/>
      <c r="U676" s="161"/>
      <c r="V676" s="161"/>
      <c r="W676" s="161"/>
      <c r="X676" s="161"/>
      <c r="Y676" s="161"/>
      <c r="Z676" s="161"/>
      <c r="AA676" s="161"/>
      <c r="AB676" s="161"/>
    </row>
    <row r="677">
      <c r="A677" s="511"/>
      <c r="B677" s="161"/>
      <c r="C677" s="161"/>
      <c r="D677" s="161"/>
      <c r="E677" s="161"/>
      <c r="F677" s="161"/>
      <c r="G677" s="161"/>
      <c r="H677" s="161"/>
      <c r="I677" s="161"/>
      <c r="J677" s="161"/>
      <c r="K677" s="511"/>
      <c r="L677" s="511"/>
      <c r="M677" s="161"/>
      <c r="N677" s="161"/>
      <c r="O677" s="161"/>
      <c r="P677" s="161"/>
      <c r="Q677" s="161"/>
      <c r="R677" s="161"/>
      <c r="S677" s="161"/>
      <c r="T677" s="161"/>
      <c r="U677" s="161"/>
      <c r="V677" s="161"/>
      <c r="W677" s="161"/>
      <c r="X677" s="161"/>
      <c r="Y677" s="161"/>
      <c r="Z677" s="161"/>
      <c r="AA677" s="161"/>
      <c r="AB677" s="161"/>
    </row>
    <row r="678">
      <c r="A678" s="511"/>
      <c r="B678" s="161"/>
      <c r="C678" s="161"/>
      <c r="D678" s="161"/>
      <c r="E678" s="161"/>
      <c r="F678" s="161"/>
      <c r="G678" s="161"/>
      <c r="H678" s="161"/>
      <c r="I678" s="161"/>
      <c r="J678" s="161"/>
      <c r="K678" s="511"/>
      <c r="L678" s="511"/>
      <c r="M678" s="161"/>
      <c r="N678" s="161"/>
      <c r="O678" s="161"/>
      <c r="P678" s="161"/>
      <c r="Q678" s="161"/>
      <c r="R678" s="161"/>
      <c r="S678" s="161"/>
      <c r="T678" s="161"/>
      <c r="U678" s="161"/>
      <c r="V678" s="161"/>
      <c r="W678" s="161"/>
      <c r="X678" s="161"/>
      <c r="Y678" s="161"/>
      <c r="Z678" s="161"/>
      <c r="AA678" s="161"/>
      <c r="AB678" s="161"/>
    </row>
    <row r="679">
      <c r="A679" s="511"/>
      <c r="B679" s="161"/>
      <c r="C679" s="161"/>
      <c r="D679" s="161"/>
      <c r="E679" s="161"/>
      <c r="F679" s="161"/>
      <c r="G679" s="161"/>
      <c r="H679" s="161"/>
      <c r="I679" s="161"/>
      <c r="J679" s="161"/>
      <c r="K679" s="511"/>
      <c r="L679" s="511"/>
      <c r="M679" s="161"/>
      <c r="N679" s="161"/>
      <c r="O679" s="161"/>
      <c r="P679" s="161"/>
      <c r="Q679" s="161"/>
      <c r="R679" s="161"/>
      <c r="S679" s="161"/>
      <c r="T679" s="161"/>
      <c r="U679" s="161"/>
      <c r="V679" s="161"/>
      <c r="W679" s="161"/>
      <c r="X679" s="161"/>
      <c r="Y679" s="161"/>
      <c r="Z679" s="161"/>
      <c r="AA679" s="161"/>
      <c r="AB679" s="161"/>
    </row>
    <row r="680">
      <c r="A680" s="511"/>
      <c r="B680" s="161"/>
      <c r="C680" s="161"/>
      <c r="D680" s="161"/>
      <c r="E680" s="161"/>
      <c r="F680" s="161"/>
      <c r="G680" s="161"/>
      <c r="H680" s="161"/>
      <c r="I680" s="161"/>
      <c r="J680" s="161"/>
      <c r="K680" s="511"/>
      <c r="L680" s="511"/>
      <c r="M680" s="161"/>
      <c r="N680" s="161"/>
      <c r="O680" s="161"/>
      <c r="P680" s="161"/>
      <c r="Q680" s="161"/>
      <c r="R680" s="161"/>
      <c r="S680" s="161"/>
      <c r="T680" s="161"/>
      <c r="U680" s="161"/>
      <c r="V680" s="161"/>
      <c r="W680" s="161"/>
      <c r="X680" s="161"/>
      <c r="Y680" s="161"/>
      <c r="Z680" s="161"/>
      <c r="AA680" s="161"/>
      <c r="AB680" s="161"/>
    </row>
    <row r="681">
      <c r="A681" s="511"/>
      <c r="B681" s="161"/>
      <c r="C681" s="161"/>
      <c r="D681" s="161"/>
      <c r="E681" s="161"/>
      <c r="F681" s="161"/>
      <c r="G681" s="161"/>
      <c r="H681" s="161"/>
      <c r="I681" s="161"/>
      <c r="J681" s="161"/>
      <c r="K681" s="511"/>
      <c r="L681" s="511"/>
      <c r="M681" s="161"/>
      <c r="N681" s="161"/>
      <c r="O681" s="161"/>
      <c r="P681" s="161"/>
      <c r="Q681" s="161"/>
      <c r="R681" s="161"/>
      <c r="S681" s="161"/>
      <c r="T681" s="161"/>
      <c r="U681" s="161"/>
      <c r="V681" s="161"/>
      <c r="W681" s="161"/>
      <c r="X681" s="161"/>
      <c r="Y681" s="161"/>
      <c r="Z681" s="161"/>
      <c r="AA681" s="161"/>
      <c r="AB681" s="161"/>
    </row>
    <row r="682">
      <c r="A682" s="511"/>
      <c r="B682" s="161"/>
      <c r="C682" s="161"/>
      <c r="D682" s="161"/>
      <c r="E682" s="161"/>
      <c r="F682" s="161"/>
      <c r="G682" s="161"/>
      <c r="H682" s="161"/>
      <c r="I682" s="161"/>
      <c r="J682" s="161"/>
      <c r="K682" s="511"/>
      <c r="L682" s="511"/>
      <c r="M682" s="161"/>
      <c r="N682" s="161"/>
      <c r="O682" s="161"/>
      <c r="P682" s="161"/>
      <c r="Q682" s="161"/>
      <c r="R682" s="161"/>
      <c r="S682" s="161"/>
      <c r="T682" s="161"/>
      <c r="U682" s="161"/>
      <c r="V682" s="161"/>
      <c r="W682" s="161"/>
      <c r="X682" s="161"/>
      <c r="Y682" s="161"/>
      <c r="Z682" s="161"/>
      <c r="AA682" s="161"/>
      <c r="AB682" s="161"/>
    </row>
    <row r="683">
      <c r="A683" s="511"/>
      <c r="B683" s="161"/>
      <c r="C683" s="161"/>
      <c r="D683" s="161"/>
      <c r="E683" s="161"/>
      <c r="F683" s="161"/>
      <c r="G683" s="161"/>
      <c r="H683" s="161"/>
      <c r="I683" s="161"/>
      <c r="J683" s="161"/>
      <c r="K683" s="511"/>
      <c r="L683" s="511"/>
      <c r="M683" s="161"/>
      <c r="N683" s="161"/>
      <c r="O683" s="161"/>
      <c r="P683" s="161"/>
      <c r="Q683" s="161"/>
      <c r="R683" s="161"/>
      <c r="S683" s="161"/>
      <c r="T683" s="161"/>
      <c r="U683" s="161"/>
      <c r="V683" s="161"/>
      <c r="W683" s="161"/>
      <c r="X683" s="161"/>
      <c r="Y683" s="161"/>
      <c r="Z683" s="161"/>
      <c r="AA683" s="161"/>
      <c r="AB683" s="161"/>
    </row>
    <row r="684">
      <c r="A684" s="511"/>
      <c r="B684" s="161"/>
      <c r="C684" s="161"/>
      <c r="D684" s="161"/>
      <c r="E684" s="161"/>
      <c r="F684" s="161"/>
      <c r="G684" s="161"/>
      <c r="H684" s="161"/>
      <c r="I684" s="161"/>
      <c r="J684" s="161"/>
      <c r="K684" s="511"/>
      <c r="L684" s="511"/>
      <c r="M684" s="161"/>
      <c r="N684" s="161"/>
      <c r="O684" s="161"/>
      <c r="P684" s="161"/>
      <c r="Q684" s="161"/>
      <c r="R684" s="161"/>
      <c r="S684" s="161"/>
      <c r="T684" s="161"/>
      <c r="U684" s="161"/>
      <c r="V684" s="161"/>
      <c r="W684" s="161"/>
      <c r="X684" s="161"/>
      <c r="Y684" s="161"/>
      <c r="Z684" s="161"/>
      <c r="AA684" s="161"/>
      <c r="AB684" s="161"/>
    </row>
    <row r="685">
      <c r="A685" s="511"/>
      <c r="B685" s="161"/>
      <c r="C685" s="161"/>
      <c r="D685" s="161"/>
      <c r="E685" s="161"/>
      <c r="F685" s="161"/>
      <c r="G685" s="161"/>
      <c r="H685" s="161"/>
      <c r="I685" s="161"/>
      <c r="J685" s="161"/>
      <c r="K685" s="511"/>
      <c r="L685" s="511"/>
      <c r="M685" s="161"/>
      <c r="N685" s="161"/>
      <c r="O685" s="161"/>
      <c r="P685" s="161"/>
      <c r="Q685" s="161"/>
      <c r="R685" s="161"/>
      <c r="S685" s="161"/>
      <c r="T685" s="161"/>
      <c r="U685" s="161"/>
      <c r="V685" s="161"/>
      <c r="W685" s="161"/>
      <c r="X685" s="161"/>
      <c r="Y685" s="161"/>
      <c r="Z685" s="161"/>
      <c r="AA685" s="161"/>
      <c r="AB685" s="161"/>
    </row>
    <row r="686">
      <c r="A686" s="511"/>
      <c r="B686" s="161"/>
      <c r="C686" s="161"/>
      <c r="D686" s="161"/>
      <c r="E686" s="161"/>
      <c r="F686" s="161"/>
      <c r="G686" s="161"/>
      <c r="H686" s="161"/>
      <c r="I686" s="161"/>
      <c r="J686" s="161"/>
      <c r="K686" s="511"/>
      <c r="L686" s="511"/>
      <c r="M686" s="161"/>
      <c r="N686" s="161"/>
      <c r="O686" s="161"/>
      <c r="P686" s="161"/>
      <c r="Q686" s="161"/>
      <c r="R686" s="161"/>
      <c r="S686" s="161"/>
      <c r="T686" s="161"/>
      <c r="U686" s="161"/>
      <c r="V686" s="161"/>
      <c r="W686" s="161"/>
      <c r="X686" s="161"/>
      <c r="Y686" s="161"/>
      <c r="Z686" s="161"/>
      <c r="AA686" s="161"/>
      <c r="AB686" s="161"/>
    </row>
    <row r="687">
      <c r="A687" s="511"/>
      <c r="B687" s="161"/>
      <c r="C687" s="161"/>
      <c r="D687" s="161"/>
      <c r="E687" s="161"/>
      <c r="F687" s="161"/>
      <c r="G687" s="161"/>
      <c r="H687" s="161"/>
      <c r="I687" s="161"/>
      <c r="J687" s="161"/>
      <c r="K687" s="511"/>
      <c r="L687" s="511"/>
      <c r="M687" s="161"/>
      <c r="N687" s="161"/>
      <c r="O687" s="161"/>
      <c r="P687" s="161"/>
      <c r="Q687" s="161"/>
      <c r="R687" s="161"/>
      <c r="S687" s="161"/>
      <c r="T687" s="161"/>
      <c r="U687" s="161"/>
      <c r="V687" s="161"/>
      <c r="W687" s="161"/>
      <c r="X687" s="161"/>
      <c r="Y687" s="161"/>
      <c r="Z687" s="161"/>
      <c r="AA687" s="161"/>
      <c r="AB687" s="161"/>
    </row>
    <row r="688">
      <c r="A688" s="511"/>
      <c r="B688" s="161"/>
      <c r="C688" s="161"/>
      <c r="D688" s="161"/>
      <c r="E688" s="161"/>
      <c r="F688" s="161"/>
      <c r="G688" s="161"/>
      <c r="H688" s="161"/>
      <c r="I688" s="161"/>
      <c r="J688" s="161"/>
      <c r="K688" s="511"/>
      <c r="L688" s="511"/>
      <c r="M688" s="161"/>
      <c r="N688" s="161"/>
      <c r="O688" s="161"/>
      <c r="P688" s="161"/>
      <c r="Q688" s="161"/>
      <c r="R688" s="161"/>
      <c r="S688" s="161"/>
      <c r="T688" s="161"/>
      <c r="U688" s="161"/>
      <c r="V688" s="161"/>
      <c r="W688" s="161"/>
      <c r="X688" s="161"/>
      <c r="Y688" s="161"/>
      <c r="Z688" s="161"/>
      <c r="AA688" s="161"/>
      <c r="AB688" s="161"/>
    </row>
    <row r="689">
      <c r="A689" s="511"/>
      <c r="B689" s="161"/>
      <c r="C689" s="161"/>
      <c r="D689" s="161"/>
      <c r="E689" s="161"/>
      <c r="F689" s="161"/>
      <c r="G689" s="161"/>
      <c r="H689" s="161"/>
      <c r="I689" s="161"/>
      <c r="J689" s="161"/>
      <c r="K689" s="511"/>
      <c r="L689" s="511"/>
      <c r="M689" s="161"/>
      <c r="N689" s="161"/>
      <c r="O689" s="161"/>
      <c r="P689" s="161"/>
      <c r="Q689" s="161"/>
      <c r="R689" s="161"/>
      <c r="S689" s="161"/>
      <c r="T689" s="161"/>
      <c r="U689" s="161"/>
      <c r="V689" s="161"/>
      <c r="W689" s="161"/>
      <c r="X689" s="161"/>
      <c r="Y689" s="161"/>
      <c r="Z689" s="161"/>
      <c r="AA689" s="161"/>
      <c r="AB689" s="161"/>
    </row>
    <row r="690">
      <c r="A690" s="511"/>
      <c r="B690" s="161"/>
      <c r="C690" s="161"/>
      <c r="D690" s="161"/>
      <c r="E690" s="161"/>
      <c r="F690" s="161"/>
      <c r="G690" s="161"/>
      <c r="H690" s="161"/>
      <c r="I690" s="161"/>
      <c r="J690" s="161"/>
      <c r="K690" s="511"/>
      <c r="L690" s="511"/>
      <c r="M690" s="161"/>
      <c r="N690" s="161"/>
      <c r="O690" s="161"/>
      <c r="P690" s="161"/>
      <c r="Q690" s="161"/>
      <c r="R690" s="161"/>
      <c r="S690" s="161"/>
      <c r="T690" s="161"/>
      <c r="U690" s="161"/>
      <c r="V690" s="161"/>
      <c r="W690" s="161"/>
      <c r="X690" s="161"/>
      <c r="Y690" s="161"/>
      <c r="Z690" s="161"/>
      <c r="AA690" s="161"/>
      <c r="AB690" s="161"/>
    </row>
    <row r="691">
      <c r="A691" s="511"/>
      <c r="B691" s="161"/>
      <c r="C691" s="161"/>
      <c r="D691" s="161"/>
      <c r="E691" s="161"/>
      <c r="F691" s="161"/>
      <c r="G691" s="161"/>
      <c r="H691" s="161"/>
      <c r="I691" s="161"/>
      <c r="J691" s="161"/>
      <c r="K691" s="511"/>
      <c r="L691" s="511"/>
      <c r="M691" s="161"/>
      <c r="N691" s="161"/>
      <c r="O691" s="161"/>
      <c r="P691" s="161"/>
      <c r="Q691" s="161"/>
      <c r="R691" s="161"/>
      <c r="S691" s="161"/>
      <c r="T691" s="161"/>
      <c r="U691" s="161"/>
      <c r="V691" s="161"/>
      <c r="W691" s="161"/>
      <c r="X691" s="161"/>
      <c r="Y691" s="161"/>
      <c r="Z691" s="161"/>
      <c r="AA691" s="161"/>
      <c r="AB691" s="161"/>
    </row>
    <row r="692">
      <c r="A692" s="511"/>
      <c r="B692" s="161"/>
      <c r="C692" s="161"/>
      <c r="D692" s="161"/>
      <c r="E692" s="161"/>
      <c r="F692" s="161"/>
      <c r="G692" s="161"/>
      <c r="H692" s="161"/>
      <c r="I692" s="161"/>
      <c r="J692" s="161"/>
      <c r="K692" s="511"/>
      <c r="L692" s="511"/>
      <c r="M692" s="161"/>
      <c r="N692" s="161"/>
      <c r="O692" s="161"/>
      <c r="P692" s="161"/>
      <c r="Q692" s="161"/>
      <c r="R692" s="161"/>
      <c r="S692" s="161"/>
      <c r="T692" s="161"/>
      <c r="U692" s="161"/>
      <c r="V692" s="161"/>
      <c r="W692" s="161"/>
      <c r="X692" s="161"/>
      <c r="Y692" s="161"/>
      <c r="Z692" s="161"/>
      <c r="AA692" s="161"/>
      <c r="AB692" s="161"/>
    </row>
    <row r="693">
      <c r="A693" s="511"/>
      <c r="B693" s="161"/>
      <c r="C693" s="161"/>
      <c r="D693" s="161"/>
      <c r="E693" s="161"/>
      <c r="F693" s="161"/>
      <c r="G693" s="161"/>
      <c r="H693" s="161"/>
      <c r="I693" s="161"/>
      <c r="J693" s="161"/>
      <c r="K693" s="511"/>
      <c r="L693" s="511"/>
      <c r="M693" s="161"/>
      <c r="N693" s="161"/>
      <c r="O693" s="161"/>
      <c r="P693" s="161"/>
      <c r="Q693" s="161"/>
      <c r="R693" s="161"/>
      <c r="S693" s="161"/>
      <c r="T693" s="161"/>
      <c r="U693" s="161"/>
      <c r="V693" s="161"/>
      <c r="W693" s="161"/>
      <c r="X693" s="161"/>
      <c r="Y693" s="161"/>
      <c r="Z693" s="161"/>
      <c r="AA693" s="161"/>
      <c r="AB693" s="161"/>
    </row>
    <row r="694">
      <c r="A694" s="511"/>
      <c r="B694" s="161"/>
      <c r="C694" s="161"/>
      <c r="D694" s="161"/>
      <c r="E694" s="161"/>
      <c r="F694" s="161"/>
      <c r="G694" s="161"/>
      <c r="H694" s="161"/>
      <c r="I694" s="161"/>
      <c r="J694" s="161"/>
      <c r="K694" s="511"/>
      <c r="L694" s="511"/>
      <c r="M694" s="161"/>
      <c r="N694" s="161"/>
      <c r="O694" s="161"/>
      <c r="P694" s="161"/>
      <c r="Q694" s="161"/>
      <c r="R694" s="161"/>
      <c r="S694" s="161"/>
      <c r="T694" s="161"/>
      <c r="U694" s="161"/>
      <c r="V694" s="161"/>
      <c r="W694" s="161"/>
      <c r="X694" s="161"/>
      <c r="Y694" s="161"/>
      <c r="Z694" s="161"/>
      <c r="AA694" s="161"/>
      <c r="AB694" s="161"/>
    </row>
    <row r="695">
      <c r="A695" s="511"/>
      <c r="B695" s="161"/>
      <c r="C695" s="161"/>
      <c r="D695" s="161"/>
      <c r="E695" s="161"/>
      <c r="F695" s="161"/>
      <c r="G695" s="161"/>
      <c r="H695" s="161"/>
      <c r="I695" s="161"/>
      <c r="J695" s="161"/>
      <c r="K695" s="511"/>
      <c r="L695" s="511"/>
      <c r="M695" s="161"/>
      <c r="N695" s="161"/>
      <c r="O695" s="161"/>
      <c r="P695" s="161"/>
      <c r="Q695" s="161"/>
      <c r="R695" s="161"/>
      <c r="S695" s="161"/>
      <c r="T695" s="161"/>
      <c r="U695" s="161"/>
      <c r="V695" s="161"/>
      <c r="W695" s="161"/>
      <c r="X695" s="161"/>
      <c r="Y695" s="161"/>
      <c r="Z695" s="161"/>
      <c r="AA695" s="161"/>
      <c r="AB695" s="161"/>
    </row>
    <row r="696">
      <c r="A696" s="511"/>
      <c r="B696" s="161"/>
      <c r="C696" s="161"/>
      <c r="D696" s="161"/>
      <c r="E696" s="161"/>
      <c r="F696" s="161"/>
      <c r="G696" s="161"/>
      <c r="H696" s="161"/>
      <c r="I696" s="161"/>
      <c r="J696" s="161"/>
      <c r="K696" s="511"/>
      <c r="L696" s="511"/>
      <c r="M696" s="161"/>
      <c r="N696" s="161"/>
      <c r="O696" s="161"/>
      <c r="P696" s="161"/>
      <c r="Q696" s="161"/>
      <c r="R696" s="161"/>
      <c r="S696" s="161"/>
      <c r="T696" s="161"/>
      <c r="U696" s="161"/>
      <c r="V696" s="161"/>
      <c r="W696" s="161"/>
      <c r="X696" s="161"/>
      <c r="Y696" s="161"/>
      <c r="Z696" s="161"/>
      <c r="AA696" s="161"/>
      <c r="AB696" s="161"/>
    </row>
    <row r="697">
      <c r="A697" s="511"/>
      <c r="B697" s="161"/>
      <c r="C697" s="161"/>
      <c r="D697" s="161"/>
      <c r="E697" s="161"/>
      <c r="F697" s="161"/>
      <c r="G697" s="161"/>
      <c r="H697" s="161"/>
      <c r="I697" s="161"/>
      <c r="J697" s="161"/>
      <c r="K697" s="511"/>
      <c r="L697" s="511"/>
      <c r="M697" s="161"/>
      <c r="N697" s="161"/>
      <c r="O697" s="161"/>
      <c r="P697" s="161"/>
      <c r="Q697" s="161"/>
      <c r="R697" s="161"/>
      <c r="S697" s="161"/>
      <c r="T697" s="161"/>
      <c r="U697" s="161"/>
      <c r="V697" s="161"/>
      <c r="W697" s="161"/>
      <c r="X697" s="161"/>
      <c r="Y697" s="161"/>
      <c r="Z697" s="161"/>
      <c r="AA697" s="161"/>
      <c r="AB697" s="161"/>
    </row>
    <row r="698">
      <c r="A698" s="511"/>
      <c r="B698" s="161"/>
      <c r="C698" s="161"/>
      <c r="D698" s="161"/>
      <c r="E698" s="161"/>
      <c r="F698" s="161"/>
      <c r="G698" s="161"/>
      <c r="H698" s="161"/>
      <c r="I698" s="161"/>
      <c r="J698" s="161"/>
      <c r="K698" s="511"/>
      <c r="L698" s="511"/>
      <c r="M698" s="161"/>
      <c r="N698" s="161"/>
      <c r="O698" s="161"/>
      <c r="P698" s="161"/>
      <c r="Q698" s="161"/>
      <c r="R698" s="161"/>
      <c r="S698" s="161"/>
      <c r="T698" s="161"/>
      <c r="U698" s="161"/>
      <c r="V698" s="161"/>
      <c r="W698" s="161"/>
      <c r="X698" s="161"/>
      <c r="Y698" s="161"/>
      <c r="Z698" s="161"/>
      <c r="AA698" s="161"/>
      <c r="AB698" s="161"/>
    </row>
    <row r="699">
      <c r="A699" s="511"/>
      <c r="B699" s="161"/>
      <c r="C699" s="161"/>
      <c r="D699" s="161"/>
      <c r="E699" s="161"/>
      <c r="F699" s="161"/>
      <c r="G699" s="161"/>
      <c r="H699" s="161"/>
      <c r="I699" s="161"/>
      <c r="J699" s="161"/>
      <c r="K699" s="511"/>
      <c r="L699" s="511"/>
      <c r="M699" s="161"/>
      <c r="N699" s="161"/>
      <c r="O699" s="161"/>
      <c r="P699" s="161"/>
      <c r="Q699" s="161"/>
      <c r="R699" s="161"/>
      <c r="S699" s="161"/>
      <c r="T699" s="161"/>
      <c r="U699" s="161"/>
      <c r="V699" s="161"/>
      <c r="W699" s="161"/>
      <c r="X699" s="161"/>
      <c r="Y699" s="161"/>
      <c r="Z699" s="161"/>
      <c r="AA699" s="161"/>
      <c r="AB699" s="161"/>
    </row>
    <row r="700">
      <c r="A700" s="511"/>
      <c r="B700" s="161"/>
      <c r="C700" s="161"/>
      <c r="D700" s="161"/>
      <c r="E700" s="161"/>
      <c r="F700" s="161"/>
      <c r="G700" s="161"/>
      <c r="H700" s="161"/>
      <c r="I700" s="161"/>
      <c r="J700" s="161"/>
      <c r="K700" s="511"/>
      <c r="L700" s="511"/>
      <c r="M700" s="161"/>
      <c r="N700" s="161"/>
      <c r="O700" s="161"/>
      <c r="P700" s="161"/>
      <c r="Q700" s="161"/>
      <c r="R700" s="161"/>
      <c r="S700" s="161"/>
      <c r="T700" s="161"/>
      <c r="U700" s="161"/>
      <c r="V700" s="161"/>
      <c r="W700" s="161"/>
      <c r="X700" s="161"/>
      <c r="Y700" s="161"/>
      <c r="Z700" s="161"/>
      <c r="AA700" s="161"/>
      <c r="AB700" s="161"/>
    </row>
    <row r="701">
      <c r="A701" s="511"/>
      <c r="B701" s="161"/>
      <c r="C701" s="161"/>
      <c r="D701" s="161"/>
      <c r="E701" s="161"/>
      <c r="F701" s="161"/>
      <c r="G701" s="161"/>
      <c r="H701" s="161"/>
      <c r="I701" s="161"/>
      <c r="J701" s="161"/>
      <c r="K701" s="511"/>
      <c r="L701" s="511"/>
      <c r="M701" s="161"/>
      <c r="N701" s="161"/>
      <c r="O701" s="161"/>
      <c r="P701" s="161"/>
      <c r="Q701" s="161"/>
      <c r="R701" s="161"/>
      <c r="S701" s="161"/>
      <c r="T701" s="161"/>
      <c r="U701" s="161"/>
      <c r="V701" s="161"/>
      <c r="W701" s="161"/>
      <c r="X701" s="161"/>
      <c r="Y701" s="161"/>
      <c r="Z701" s="161"/>
      <c r="AA701" s="161"/>
      <c r="AB701" s="161"/>
    </row>
    <row r="702">
      <c r="A702" s="511"/>
      <c r="B702" s="161"/>
      <c r="C702" s="161"/>
      <c r="D702" s="161"/>
      <c r="E702" s="161"/>
      <c r="F702" s="161"/>
      <c r="G702" s="161"/>
      <c r="H702" s="161"/>
      <c r="I702" s="161"/>
      <c r="J702" s="161"/>
      <c r="K702" s="511"/>
      <c r="L702" s="511"/>
      <c r="M702" s="161"/>
      <c r="N702" s="161"/>
      <c r="O702" s="161"/>
      <c r="P702" s="161"/>
      <c r="Q702" s="161"/>
      <c r="R702" s="161"/>
      <c r="S702" s="161"/>
      <c r="T702" s="161"/>
      <c r="U702" s="161"/>
      <c r="V702" s="161"/>
      <c r="W702" s="161"/>
      <c r="X702" s="161"/>
      <c r="Y702" s="161"/>
      <c r="Z702" s="161"/>
      <c r="AA702" s="161"/>
      <c r="AB702" s="161"/>
    </row>
    <row r="703">
      <c r="A703" s="511"/>
      <c r="B703" s="161"/>
      <c r="C703" s="161"/>
      <c r="D703" s="161"/>
      <c r="E703" s="161"/>
      <c r="F703" s="161"/>
      <c r="G703" s="161"/>
      <c r="H703" s="161"/>
      <c r="I703" s="161"/>
      <c r="J703" s="161"/>
      <c r="K703" s="511"/>
      <c r="L703" s="511"/>
      <c r="M703" s="161"/>
      <c r="N703" s="161"/>
      <c r="O703" s="161"/>
      <c r="P703" s="161"/>
      <c r="Q703" s="161"/>
      <c r="R703" s="161"/>
      <c r="S703" s="161"/>
      <c r="T703" s="161"/>
      <c r="U703" s="161"/>
      <c r="V703" s="161"/>
      <c r="W703" s="161"/>
      <c r="X703" s="161"/>
      <c r="Y703" s="161"/>
      <c r="Z703" s="161"/>
      <c r="AA703" s="161"/>
      <c r="AB703" s="161"/>
    </row>
    <row r="704">
      <c r="A704" s="511"/>
      <c r="B704" s="161"/>
      <c r="C704" s="161"/>
      <c r="D704" s="161"/>
      <c r="E704" s="161"/>
      <c r="F704" s="161"/>
      <c r="G704" s="161"/>
      <c r="H704" s="161"/>
      <c r="I704" s="161"/>
      <c r="J704" s="161"/>
      <c r="K704" s="511"/>
      <c r="L704" s="511"/>
      <c r="M704" s="161"/>
      <c r="N704" s="161"/>
      <c r="O704" s="161"/>
      <c r="P704" s="161"/>
      <c r="Q704" s="161"/>
      <c r="R704" s="161"/>
      <c r="S704" s="161"/>
      <c r="T704" s="161"/>
      <c r="U704" s="161"/>
      <c r="V704" s="161"/>
      <c r="W704" s="161"/>
      <c r="X704" s="161"/>
      <c r="Y704" s="161"/>
      <c r="Z704" s="161"/>
      <c r="AA704" s="161"/>
      <c r="AB704" s="161"/>
    </row>
    <row r="705">
      <c r="A705" s="511"/>
      <c r="B705" s="161"/>
      <c r="C705" s="161"/>
      <c r="D705" s="161"/>
      <c r="E705" s="161"/>
      <c r="F705" s="161"/>
      <c r="G705" s="161"/>
      <c r="H705" s="161"/>
      <c r="I705" s="161"/>
      <c r="J705" s="161"/>
      <c r="K705" s="511"/>
      <c r="L705" s="511"/>
      <c r="M705" s="161"/>
      <c r="N705" s="161"/>
      <c r="O705" s="161"/>
      <c r="P705" s="161"/>
      <c r="Q705" s="161"/>
      <c r="R705" s="161"/>
      <c r="S705" s="161"/>
      <c r="T705" s="161"/>
      <c r="U705" s="161"/>
      <c r="V705" s="161"/>
      <c r="W705" s="161"/>
      <c r="X705" s="161"/>
      <c r="Y705" s="161"/>
      <c r="Z705" s="161"/>
      <c r="AA705" s="161"/>
      <c r="AB705" s="161"/>
    </row>
    <row r="706">
      <c r="A706" s="511"/>
      <c r="B706" s="161"/>
      <c r="C706" s="161"/>
      <c r="D706" s="161"/>
      <c r="E706" s="161"/>
      <c r="F706" s="161"/>
      <c r="G706" s="161"/>
      <c r="H706" s="161"/>
      <c r="I706" s="161"/>
      <c r="J706" s="161"/>
      <c r="K706" s="511"/>
      <c r="L706" s="511"/>
      <c r="M706" s="161"/>
      <c r="N706" s="161"/>
      <c r="O706" s="161"/>
      <c r="P706" s="161"/>
      <c r="Q706" s="161"/>
      <c r="R706" s="161"/>
      <c r="S706" s="161"/>
      <c r="T706" s="161"/>
      <c r="U706" s="161"/>
      <c r="V706" s="161"/>
      <c r="W706" s="161"/>
      <c r="X706" s="161"/>
      <c r="Y706" s="161"/>
      <c r="Z706" s="161"/>
      <c r="AA706" s="161"/>
      <c r="AB706" s="161"/>
    </row>
    <row r="707">
      <c r="A707" s="511"/>
      <c r="B707" s="161"/>
      <c r="C707" s="161"/>
      <c r="D707" s="161"/>
      <c r="E707" s="161"/>
      <c r="F707" s="161"/>
      <c r="G707" s="161"/>
      <c r="H707" s="161"/>
      <c r="I707" s="161"/>
      <c r="J707" s="161"/>
      <c r="K707" s="511"/>
      <c r="L707" s="511"/>
      <c r="M707" s="161"/>
      <c r="N707" s="161"/>
      <c r="O707" s="161"/>
      <c r="P707" s="161"/>
      <c r="Q707" s="161"/>
      <c r="R707" s="161"/>
      <c r="S707" s="161"/>
      <c r="T707" s="161"/>
      <c r="U707" s="161"/>
      <c r="V707" s="161"/>
      <c r="W707" s="161"/>
      <c r="X707" s="161"/>
      <c r="Y707" s="161"/>
      <c r="Z707" s="161"/>
      <c r="AA707" s="161"/>
      <c r="AB707" s="161"/>
    </row>
    <row r="708">
      <c r="A708" s="511"/>
      <c r="B708" s="161"/>
      <c r="C708" s="161"/>
      <c r="D708" s="161"/>
      <c r="E708" s="161"/>
      <c r="F708" s="161"/>
      <c r="G708" s="161"/>
      <c r="H708" s="161"/>
      <c r="I708" s="161"/>
      <c r="J708" s="161"/>
      <c r="K708" s="511"/>
      <c r="L708" s="511"/>
      <c r="M708" s="161"/>
      <c r="N708" s="161"/>
      <c r="O708" s="161"/>
      <c r="P708" s="161"/>
      <c r="Q708" s="161"/>
      <c r="R708" s="161"/>
      <c r="S708" s="161"/>
      <c r="T708" s="161"/>
      <c r="U708" s="161"/>
      <c r="V708" s="161"/>
      <c r="W708" s="161"/>
      <c r="X708" s="161"/>
      <c r="Y708" s="161"/>
      <c r="Z708" s="161"/>
      <c r="AA708" s="161"/>
      <c r="AB708" s="161"/>
    </row>
    <row r="709">
      <c r="A709" s="511"/>
      <c r="B709" s="161"/>
      <c r="C709" s="161"/>
      <c r="D709" s="161"/>
      <c r="E709" s="161"/>
      <c r="F709" s="161"/>
      <c r="G709" s="161"/>
      <c r="H709" s="161"/>
      <c r="I709" s="161"/>
      <c r="J709" s="161"/>
      <c r="K709" s="511"/>
      <c r="L709" s="511"/>
      <c r="M709" s="161"/>
      <c r="N709" s="161"/>
      <c r="O709" s="161"/>
      <c r="P709" s="161"/>
      <c r="Q709" s="161"/>
      <c r="R709" s="161"/>
      <c r="S709" s="161"/>
      <c r="T709" s="161"/>
      <c r="U709" s="161"/>
      <c r="V709" s="161"/>
      <c r="W709" s="161"/>
      <c r="X709" s="161"/>
      <c r="Y709" s="161"/>
      <c r="Z709" s="161"/>
      <c r="AA709" s="161"/>
      <c r="AB709" s="161"/>
    </row>
    <row r="710">
      <c r="A710" s="511"/>
      <c r="B710" s="161"/>
      <c r="C710" s="161"/>
      <c r="D710" s="161"/>
      <c r="E710" s="161"/>
      <c r="F710" s="161"/>
      <c r="G710" s="161"/>
      <c r="H710" s="161"/>
      <c r="I710" s="161"/>
      <c r="J710" s="161"/>
      <c r="K710" s="511"/>
      <c r="L710" s="511"/>
      <c r="M710" s="161"/>
      <c r="N710" s="161"/>
      <c r="O710" s="161"/>
      <c r="P710" s="161"/>
      <c r="Q710" s="161"/>
      <c r="R710" s="161"/>
      <c r="S710" s="161"/>
      <c r="T710" s="161"/>
      <c r="U710" s="161"/>
      <c r="V710" s="161"/>
      <c r="W710" s="161"/>
      <c r="X710" s="161"/>
      <c r="Y710" s="161"/>
      <c r="Z710" s="161"/>
      <c r="AA710" s="161"/>
      <c r="AB710" s="161"/>
    </row>
    <row r="711">
      <c r="A711" s="511"/>
      <c r="B711" s="161"/>
      <c r="C711" s="161"/>
      <c r="D711" s="161"/>
      <c r="E711" s="161"/>
      <c r="F711" s="161"/>
      <c r="G711" s="161"/>
      <c r="H711" s="161"/>
      <c r="I711" s="161"/>
      <c r="J711" s="161"/>
      <c r="K711" s="511"/>
      <c r="L711" s="511"/>
      <c r="M711" s="161"/>
      <c r="N711" s="161"/>
      <c r="O711" s="161"/>
      <c r="P711" s="161"/>
      <c r="Q711" s="161"/>
      <c r="R711" s="161"/>
      <c r="S711" s="161"/>
      <c r="T711" s="161"/>
      <c r="U711" s="161"/>
      <c r="V711" s="161"/>
      <c r="W711" s="161"/>
      <c r="X711" s="161"/>
      <c r="Y711" s="161"/>
      <c r="Z711" s="161"/>
      <c r="AA711" s="161"/>
      <c r="AB711" s="161"/>
    </row>
    <row r="712">
      <c r="A712" s="511"/>
      <c r="B712" s="161"/>
      <c r="C712" s="161"/>
      <c r="D712" s="161"/>
      <c r="E712" s="161"/>
      <c r="F712" s="161"/>
      <c r="G712" s="161"/>
      <c r="H712" s="161"/>
      <c r="I712" s="161"/>
      <c r="J712" s="161"/>
      <c r="K712" s="511"/>
      <c r="L712" s="511"/>
      <c r="M712" s="161"/>
      <c r="N712" s="161"/>
      <c r="O712" s="161"/>
      <c r="P712" s="161"/>
      <c r="Q712" s="161"/>
      <c r="R712" s="161"/>
      <c r="S712" s="161"/>
      <c r="T712" s="161"/>
      <c r="U712" s="161"/>
      <c r="V712" s="161"/>
      <c r="W712" s="161"/>
      <c r="X712" s="161"/>
      <c r="Y712" s="161"/>
      <c r="Z712" s="161"/>
      <c r="AA712" s="161"/>
      <c r="AB712" s="161"/>
    </row>
    <row r="713">
      <c r="A713" s="511"/>
      <c r="B713" s="161"/>
      <c r="C713" s="161"/>
      <c r="D713" s="161"/>
      <c r="E713" s="161"/>
      <c r="F713" s="161"/>
      <c r="G713" s="161"/>
      <c r="H713" s="161"/>
      <c r="I713" s="161"/>
      <c r="J713" s="161"/>
      <c r="K713" s="511"/>
      <c r="L713" s="511"/>
      <c r="M713" s="161"/>
      <c r="N713" s="161"/>
      <c r="O713" s="161"/>
      <c r="P713" s="161"/>
      <c r="Q713" s="161"/>
      <c r="R713" s="161"/>
      <c r="S713" s="161"/>
      <c r="T713" s="161"/>
      <c r="U713" s="161"/>
      <c r="V713" s="161"/>
      <c r="W713" s="161"/>
      <c r="X713" s="161"/>
      <c r="Y713" s="161"/>
      <c r="Z713" s="161"/>
      <c r="AA713" s="161"/>
      <c r="AB713" s="161"/>
    </row>
    <row r="714">
      <c r="A714" s="511"/>
      <c r="B714" s="161"/>
      <c r="C714" s="161"/>
      <c r="D714" s="161"/>
      <c r="E714" s="161"/>
      <c r="F714" s="161"/>
      <c r="G714" s="161"/>
      <c r="H714" s="161"/>
      <c r="I714" s="161"/>
      <c r="J714" s="161"/>
      <c r="K714" s="511"/>
      <c r="L714" s="511"/>
      <c r="M714" s="161"/>
      <c r="N714" s="161"/>
      <c r="O714" s="161"/>
      <c r="P714" s="161"/>
      <c r="Q714" s="161"/>
      <c r="R714" s="161"/>
      <c r="S714" s="161"/>
      <c r="T714" s="161"/>
      <c r="U714" s="161"/>
      <c r="V714" s="161"/>
      <c r="W714" s="161"/>
      <c r="X714" s="161"/>
      <c r="Y714" s="161"/>
      <c r="Z714" s="161"/>
      <c r="AA714" s="161"/>
      <c r="AB714" s="161"/>
    </row>
    <row r="715">
      <c r="A715" s="511"/>
      <c r="B715" s="161"/>
      <c r="C715" s="161"/>
      <c r="D715" s="161"/>
      <c r="E715" s="161"/>
      <c r="F715" s="161"/>
      <c r="G715" s="161"/>
      <c r="H715" s="161"/>
      <c r="I715" s="161"/>
      <c r="J715" s="161"/>
      <c r="K715" s="511"/>
      <c r="L715" s="511"/>
      <c r="M715" s="161"/>
      <c r="N715" s="161"/>
      <c r="O715" s="161"/>
      <c r="P715" s="161"/>
      <c r="Q715" s="161"/>
      <c r="R715" s="161"/>
      <c r="S715" s="161"/>
      <c r="T715" s="161"/>
      <c r="U715" s="161"/>
      <c r="V715" s="161"/>
      <c r="W715" s="161"/>
      <c r="X715" s="161"/>
      <c r="Y715" s="161"/>
      <c r="Z715" s="161"/>
      <c r="AA715" s="161"/>
      <c r="AB715" s="161"/>
    </row>
    <row r="716">
      <c r="A716" s="511"/>
      <c r="B716" s="161"/>
      <c r="C716" s="161"/>
      <c r="D716" s="161"/>
      <c r="E716" s="161"/>
      <c r="F716" s="161"/>
      <c r="G716" s="161"/>
      <c r="H716" s="161"/>
      <c r="I716" s="161"/>
      <c r="J716" s="161"/>
      <c r="K716" s="511"/>
      <c r="L716" s="511"/>
      <c r="M716" s="161"/>
      <c r="N716" s="161"/>
      <c r="O716" s="161"/>
      <c r="P716" s="161"/>
      <c r="Q716" s="161"/>
      <c r="R716" s="161"/>
      <c r="S716" s="161"/>
      <c r="T716" s="161"/>
      <c r="U716" s="161"/>
      <c r="V716" s="161"/>
      <c r="W716" s="161"/>
      <c r="X716" s="161"/>
      <c r="Y716" s="161"/>
      <c r="Z716" s="161"/>
      <c r="AA716" s="161"/>
      <c r="AB716" s="161"/>
    </row>
    <row r="717">
      <c r="A717" s="511"/>
      <c r="B717" s="161"/>
      <c r="C717" s="161"/>
      <c r="D717" s="161"/>
      <c r="E717" s="161"/>
      <c r="F717" s="161"/>
      <c r="G717" s="161"/>
      <c r="H717" s="161"/>
      <c r="I717" s="161"/>
      <c r="J717" s="161"/>
      <c r="K717" s="511"/>
      <c r="L717" s="511"/>
      <c r="M717" s="161"/>
      <c r="N717" s="161"/>
      <c r="O717" s="161"/>
      <c r="P717" s="161"/>
      <c r="Q717" s="161"/>
      <c r="R717" s="161"/>
      <c r="S717" s="161"/>
      <c r="T717" s="161"/>
      <c r="U717" s="161"/>
      <c r="V717" s="161"/>
      <c r="W717" s="161"/>
      <c r="X717" s="161"/>
      <c r="Y717" s="161"/>
      <c r="Z717" s="161"/>
      <c r="AA717" s="161"/>
      <c r="AB717" s="161"/>
    </row>
    <row r="718">
      <c r="A718" s="511"/>
      <c r="B718" s="161"/>
      <c r="C718" s="161"/>
      <c r="D718" s="161"/>
      <c r="E718" s="161"/>
      <c r="F718" s="161"/>
      <c r="G718" s="161"/>
      <c r="H718" s="161"/>
      <c r="I718" s="161"/>
      <c r="J718" s="161"/>
      <c r="K718" s="511"/>
      <c r="L718" s="511"/>
      <c r="M718" s="161"/>
      <c r="N718" s="161"/>
      <c r="O718" s="161"/>
      <c r="P718" s="161"/>
      <c r="Q718" s="161"/>
      <c r="R718" s="161"/>
      <c r="S718" s="161"/>
      <c r="T718" s="161"/>
      <c r="U718" s="161"/>
      <c r="V718" s="161"/>
      <c r="W718" s="161"/>
      <c r="X718" s="161"/>
      <c r="Y718" s="161"/>
      <c r="Z718" s="161"/>
      <c r="AA718" s="161"/>
      <c r="AB718" s="161"/>
    </row>
    <row r="719">
      <c r="A719" s="511"/>
      <c r="B719" s="161"/>
      <c r="C719" s="161"/>
      <c r="D719" s="161"/>
      <c r="E719" s="161"/>
      <c r="F719" s="161"/>
      <c r="G719" s="161"/>
      <c r="H719" s="161"/>
      <c r="I719" s="161"/>
      <c r="J719" s="161"/>
      <c r="K719" s="511"/>
      <c r="L719" s="511"/>
      <c r="M719" s="161"/>
      <c r="N719" s="161"/>
      <c r="O719" s="161"/>
      <c r="P719" s="161"/>
      <c r="Q719" s="161"/>
      <c r="R719" s="161"/>
      <c r="S719" s="161"/>
      <c r="T719" s="161"/>
      <c r="U719" s="161"/>
      <c r="V719" s="161"/>
      <c r="W719" s="161"/>
      <c r="X719" s="161"/>
      <c r="Y719" s="161"/>
      <c r="Z719" s="161"/>
      <c r="AA719" s="161"/>
      <c r="AB719" s="161"/>
    </row>
    <row r="720">
      <c r="A720" s="511"/>
      <c r="B720" s="161"/>
      <c r="C720" s="161"/>
      <c r="D720" s="161"/>
      <c r="E720" s="161"/>
      <c r="F720" s="161"/>
      <c r="G720" s="161"/>
      <c r="H720" s="161"/>
      <c r="I720" s="161"/>
      <c r="J720" s="161"/>
      <c r="K720" s="511"/>
      <c r="L720" s="511"/>
      <c r="M720" s="161"/>
      <c r="N720" s="161"/>
      <c r="O720" s="161"/>
      <c r="P720" s="161"/>
      <c r="Q720" s="161"/>
      <c r="R720" s="161"/>
      <c r="S720" s="161"/>
      <c r="T720" s="161"/>
      <c r="U720" s="161"/>
      <c r="V720" s="161"/>
      <c r="W720" s="161"/>
      <c r="X720" s="161"/>
      <c r="Y720" s="161"/>
      <c r="Z720" s="161"/>
      <c r="AA720" s="161"/>
      <c r="AB720" s="161"/>
    </row>
    <row r="721">
      <c r="A721" s="511"/>
      <c r="B721" s="161"/>
      <c r="C721" s="161"/>
      <c r="D721" s="161"/>
      <c r="E721" s="161"/>
      <c r="F721" s="161"/>
      <c r="G721" s="161"/>
      <c r="H721" s="161"/>
      <c r="I721" s="161"/>
      <c r="J721" s="161"/>
      <c r="K721" s="511"/>
      <c r="L721" s="511"/>
      <c r="M721" s="161"/>
      <c r="N721" s="161"/>
      <c r="O721" s="161"/>
      <c r="P721" s="161"/>
      <c r="Q721" s="161"/>
      <c r="R721" s="161"/>
      <c r="S721" s="161"/>
      <c r="T721" s="161"/>
      <c r="U721" s="161"/>
      <c r="V721" s="161"/>
      <c r="W721" s="161"/>
      <c r="X721" s="161"/>
      <c r="Y721" s="161"/>
      <c r="Z721" s="161"/>
      <c r="AA721" s="161"/>
      <c r="AB721" s="161"/>
    </row>
    <row r="722">
      <c r="A722" s="511"/>
      <c r="B722" s="161"/>
      <c r="C722" s="161"/>
      <c r="D722" s="161"/>
      <c r="E722" s="161"/>
      <c r="F722" s="161"/>
      <c r="G722" s="161"/>
      <c r="H722" s="161"/>
      <c r="I722" s="161"/>
      <c r="J722" s="161"/>
      <c r="K722" s="511"/>
      <c r="L722" s="511"/>
      <c r="M722" s="161"/>
      <c r="N722" s="161"/>
      <c r="O722" s="161"/>
      <c r="P722" s="161"/>
      <c r="Q722" s="161"/>
      <c r="R722" s="161"/>
      <c r="S722" s="161"/>
      <c r="T722" s="161"/>
      <c r="U722" s="161"/>
      <c r="V722" s="161"/>
      <c r="W722" s="161"/>
      <c r="X722" s="161"/>
      <c r="Y722" s="161"/>
      <c r="Z722" s="161"/>
      <c r="AA722" s="161"/>
      <c r="AB722" s="161"/>
    </row>
    <row r="723">
      <c r="A723" s="511"/>
      <c r="B723" s="161"/>
      <c r="C723" s="161"/>
      <c r="D723" s="161"/>
      <c r="E723" s="161"/>
      <c r="F723" s="161"/>
      <c r="G723" s="161"/>
      <c r="H723" s="161"/>
      <c r="I723" s="161"/>
      <c r="J723" s="161"/>
      <c r="K723" s="511"/>
      <c r="L723" s="511"/>
      <c r="M723" s="161"/>
      <c r="N723" s="161"/>
      <c r="O723" s="161"/>
      <c r="P723" s="161"/>
      <c r="Q723" s="161"/>
      <c r="R723" s="161"/>
      <c r="S723" s="161"/>
      <c r="T723" s="161"/>
      <c r="U723" s="161"/>
      <c r="V723" s="161"/>
      <c r="W723" s="161"/>
      <c r="X723" s="161"/>
      <c r="Y723" s="161"/>
      <c r="Z723" s="161"/>
      <c r="AA723" s="161"/>
      <c r="AB723" s="161"/>
    </row>
    <row r="724">
      <c r="A724" s="511"/>
      <c r="B724" s="161"/>
      <c r="C724" s="161"/>
      <c r="D724" s="161"/>
      <c r="E724" s="161"/>
      <c r="F724" s="161"/>
      <c r="G724" s="161"/>
      <c r="H724" s="161"/>
      <c r="I724" s="161"/>
      <c r="J724" s="161"/>
      <c r="K724" s="511"/>
      <c r="L724" s="511"/>
      <c r="M724" s="161"/>
      <c r="N724" s="161"/>
      <c r="O724" s="161"/>
      <c r="P724" s="161"/>
      <c r="Q724" s="161"/>
      <c r="R724" s="161"/>
      <c r="S724" s="161"/>
      <c r="T724" s="161"/>
      <c r="U724" s="161"/>
      <c r="V724" s="161"/>
      <c r="W724" s="161"/>
      <c r="X724" s="161"/>
      <c r="Y724" s="161"/>
      <c r="Z724" s="161"/>
      <c r="AA724" s="161"/>
      <c r="AB724" s="161"/>
    </row>
    <row r="725">
      <c r="A725" s="511"/>
      <c r="B725" s="161"/>
      <c r="C725" s="161"/>
      <c r="D725" s="161"/>
      <c r="E725" s="161"/>
      <c r="F725" s="161"/>
      <c r="G725" s="161"/>
      <c r="H725" s="161"/>
      <c r="I725" s="161"/>
      <c r="J725" s="161"/>
      <c r="K725" s="511"/>
      <c r="L725" s="511"/>
      <c r="M725" s="161"/>
      <c r="N725" s="161"/>
      <c r="O725" s="161"/>
      <c r="P725" s="161"/>
      <c r="Q725" s="161"/>
      <c r="R725" s="161"/>
      <c r="S725" s="161"/>
      <c r="T725" s="161"/>
      <c r="U725" s="161"/>
      <c r="V725" s="161"/>
      <c r="W725" s="161"/>
      <c r="X725" s="161"/>
      <c r="Y725" s="161"/>
      <c r="Z725" s="161"/>
      <c r="AA725" s="161"/>
      <c r="AB725" s="161"/>
    </row>
    <row r="726">
      <c r="A726" s="511"/>
      <c r="B726" s="161"/>
      <c r="C726" s="161"/>
      <c r="D726" s="161"/>
      <c r="E726" s="161"/>
      <c r="F726" s="161"/>
      <c r="G726" s="161"/>
      <c r="H726" s="161"/>
      <c r="I726" s="161"/>
      <c r="J726" s="161"/>
      <c r="K726" s="511"/>
      <c r="L726" s="511"/>
      <c r="M726" s="161"/>
      <c r="N726" s="161"/>
      <c r="O726" s="161"/>
      <c r="P726" s="161"/>
      <c r="Q726" s="161"/>
      <c r="R726" s="161"/>
      <c r="S726" s="161"/>
      <c r="T726" s="161"/>
      <c r="U726" s="161"/>
      <c r="V726" s="161"/>
      <c r="W726" s="161"/>
      <c r="X726" s="161"/>
      <c r="Y726" s="161"/>
      <c r="Z726" s="161"/>
      <c r="AA726" s="161"/>
      <c r="AB726" s="161"/>
    </row>
    <row r="727">
      <c r="A727" s="511"/>
      <c r="B727" s="161"/>
      <c r="C727" s="161"/>
      <c r="D727" s="161"/>
      <c r="E727" s="161"/>
      <c r="F727" s="161"/>
      <c r="G727" s="161"/>
      <c r="H727" s="161"/>
      <c r="I727" s="161"/>
      <c r="J727" s="161"/>
      <c r="K727" s="511"/>
      <c r="L727" s="511"/>
      <c r="M727" s="161"/>
      <c r="N727" s="161"/>
      <c r="O727" s="161"/>
      <c r="P727" s="161"/>
      <c r="Q727" s="161"/>
      <c r="R727" s="161"/>
      <c r="S727" s="161"/>
      <c r="T727" s="161"/>
      <c r="U727" s="161"/>
      <c r="V727" s="161"/>
      <c r="W727" s="161"/>
      <c r="X727" s="161"/>
      <c r="Y727" s="161"/>
      <c r="Z727" s="161"/>
      <c r="AA727" s="161"/>
      <c r="AB727" s="161"/>
    </row>
    <row r="728">
      <c r="A728" s="511"/>
      <c r="B728" s="161"/>
      <c r="C728" s="161"/>
      <c r="D728" s="161"/>
      <c r="E728" s="161"/>
      <c r="F728" s="161"/>
      <c r="G728" s="161"/>
      <c r="H728" s="161"/>
      <c r="I728" s="161"/>
      <c r="J728" s="161"/>
      <c r="K728" s="511"/>
      <c r="L728" s="511"/>
      <c r="M728" s="161"/>
      <c r="N728" s="161"/>
      <c r="O728" s="161"/>
      <c r="P728" s="161"/>
      <c r="Q728" s="161"/>
      <c r="R728" s="161"/>
      <c r="S728" s="161"/>
      <c r="T728" s="161"/>
      <c r="U728" s="161"/>
      <c r="V728" s="161"/>
      <c r="W728" s="161"/>
      <c r="X728" s="161"/>
      <c r="Y728" s="161"/>
      <c r="Z728" s="161"/>
      <c r="AA728" s="161"/>
      <c r="AB728" s="161"/>
    </row>
    <row r="729">
      <c r="A729" s="511"/>
      <c r="B729" s="161"/>
      <c r="C729" s="161"/>
      <c r="D729" s="161"/>
      <c r="E729" s="161"/>
      <c r="F729" s="161"/>
      <c r="G729" s="161"/>
      <c r="H729" s="161"/>
      <c r="I729" s="161"/>
      <c r="J729" s="161"/>
      <c r="K729" s="511"/>
      <c r="L729" s="511"/>
      <c r="M729" s="161"/>
      <c r="N729" s="161"/>
      <c r="O729" s="161"/>
      <c r="P729" s="161"/>
      <c r="Q729" s="161"/>
      <c r="R729" s="161"/>
      <c r="S729" s="161"/>
      <c r="T729" s="161"/>
      <c r="U729" s="161"/>
      <c r="V729" s="161"/>
      <c r="W729" s="161"/>
      <c r="X729" s="161"/>
      <c r="Y729" s="161"/>
      <c r="Z729" s="161"/>
      <c r="AA729" s="161"/>
      <c r="AB729" s="161"/>
    </row>
    <row r="730">
      <c r="A730" s="511"/>
      <c r="B730" s="161"/>
      <c r="C730" s="161"/>
      <c r="D730" s="161"/>
      <c r="E730" s="161"/>
      <c r="F730" s="161"/>
      <c r="G730" s="161"/>
      <c r="H730" s="161"/>
      <c r="I730" s="161"/>
      <c r="J730" s="161"/>
      <c r="K730" s="511"/>
      <c r="L730" s="511"/>
      <c r="M730" s="161"/>
      <c r="N730" s="161"/>
      <c r="O730" s="161"/>
      <c r="P730" s="161"/>
      <c r="Q730" s="161"/>
      <c r="R730" s="161"/>
      <c r="S730" s="161"/>
      <c r="T730" s="161"/>
      <c r="U730" s="161"/>
      <c r="V730" s="161"/>
      <c r="W730" s="161"/>
      <c r="X730" s="161"/>
      <c r="Y730" s="161"/>
      <c r="Z730" s="161"/>
      <c r="AA730" s="161"/>
      <c r="AB730" s="161"/>
    </row>
    <row r="731">
      <c r="A731" s="511"/>
      <c r="B731" s="161"/>
      <c r="C731" s="161"/>
      <c r="D731" s="161"/>
      <c r="E731" s="161"/>
      <c r="F731" s="161"/>
      <c r="G731" s="161"/>
      <c r="H731" s="161"/>
      <c r="I731" s="161"/>
      <c r="J731" s="161"/>
      <c r="K731" s="511"/>
      <c r="L731" s="511"/>
      <c r="M731" s="161"/>
      <c r="N731" s="161"/>
      <c r="O731" s="161"/>
      <c r="P731" s="161"/>
      <c r="Q731" s="161"/>
      <c r="R731" s="161"/>
      <c r="S731" s="161"/>
      <c r="T731" s="161"/>
      <c r="U731" s="161"/>
      <c r="V731" s="161"/>
      <c r="W731" s="161"/>
      <c r="X731" s="161"/>
      <c r="Y731" s="161"/>
      <c r="Z731" s="161"/>
      <c r="AA731" s="161"/>
      <c r="AB731" s="161"/>
    </row>
    <row r="732">
      <c r="A732" s="511"/>
      <c r="B732" s="161"/>
      <c r="C732" s="161"/>
      <c r="D732" s="161"/>
      <c r="E732" s="161"/>
      <c r="F732" s="161"/>
      <c r="G732" s="161"/>
      <c r="H732" s="161"/>
      <c r="I732" s="161"/>
      <c r="J732" s="161"/>
      <c r="K732" s="511"/>
      <c r="L732" s="511"/>
      <c r="M732" s="161"/>
      <c r="N732" s="161"/>
      <c r="O732" s="161"/>
      <c r="P732" s="161"/>
      <c r="Q732" s="161"/>
      <c r="R732" s="161"/>
      <c r="S732" s="161"/>
      <c r="T732" s="161"/>
      <c r="U732" s="161"/>
      <c r="V732" s="161"/>
      <c r="W732" s="161"/>
      <c r="X732" s="161"/>
      <c r="Y732" s="161"/>
      <c r="Z732" s="161"/>
      <c r="AA732" s="161"/>
      <c r="AB732" s="161"/>
    </row>
    <row r="733">
      <c r="A733" s="511"/>
      <c r="B733" s="161"/>
      <c r="C733" s="161"/>
      <c r="D733" s="161"/>
      <c r="E733" s="161"/>
      <c r="F733" s="161"/>
      <c r="G733" s="161"/>
      <c r="H733" s="161"/>
      <c r="I733" s="161"/>
      <c r="J733" s="161"/>
      <c r="K733" s="511"/>
      <c r="L733" s="511"/>
      <c r="M733" s="161"/>
      <c r="N733" s="161"/>
      <c r="O733" s="161"/>
      <c r="P733" s="161"/>
      <c r="Q733" s="161"/>
      <c r="R733" s="161"/>
      <c r="S733" s="161"/>
      <c r="T733" s="161"/>
      <c r="U733" s="161"/>
      <c r="V733" s="161"/>
      <c r="W733" s="161"/>
      <c r="X733" s="161"/>
      <c r="Y733" s="161"/>
      <c r="Z733" s="161"/>
      <c r="AA733" s="161"/>
      <c r="AB733" s="161"/>
    </row>
    <row r="734">
      <c r="A734" s="511"/>
      <c r="B734" s="161"/>
      <c r="C734" s="161"/>
      <c r="D734" s="161"/>
      <c r="E734" s="161"/>
      <c r="F734" s="161"/>
      <c r="G734" s="161"/>
      <c r="H734" s="161"/>
      <c r="I734" s="161"/>
      <c r="J734" s="161"/>
      <c r="K734" s="511"/>
      <c r="L734" s="511"/>
      <c r="M734" s="161"/>
      <c r="N734" s="161"/>
      <c r="O734" s="161"/>
      <c r="P734" s="161"/>
      <c r="Q734" s="161"/>
      <c r="R734" s="161"/>
      <c r="S734" s="161"/>
      <c r="T734" s="161"/>
      <c r="U734" s="161"/>
      <c r="V734" s="161"/>
      <c r="W734" s="161"/>
      <c r="X734" s="161"/>
      <c r="Y734" s="161"/>
      <c r="Z734" s="161"/>
      <c r="AA734" s="161"/>
      <c r="AB734" s="161"/>
    </row>
    <row r="735">
      <c r="A735" s="511"/>
      <c r="B735" s="161"/>
      <c r="C735" s="161"/>
      <c r="D735" s="161"/>
      <c r="E735" s="161"/>
      <c r="F735" s="161"/>
      <c r="G735" s="161"/>
      <c r="H735" s="161"/>
      <c r="I735" s="161"/>
      <c r="J735" s="161"/>
      <c r="K735" s="511"/>
      <c r="L735" s="511"/>
      <c r="M735" s="161"/>
      <c r="N735" s="161"/>
      <c r="O735" s="161"/>
      <c r="P735" s="161"/>
      <c r="Q735" s="161"/>
      <c r="R735" s="161"/>
      <c r="S735" s="161"/>
      <c r="T735" s="161"/>
      <c r="U735" s="161"/>
      <c r="V735" s="161"/>
      <c r="W735" s="161"/>
      <c r="X735" s="161"/>
      <c r="Y735" s="161"/>
      <c r="Z735" s="161"/>
      <c r="AA735" s="161"/>
      <c r="AB735" s="161"/>
    </row>
    <row r="736">
      <c r="A736" s="511"/>
      <c r="B736" s="161"/>
      <c r="C736" s="161"/>
      <c r="D736" s="161"/>
      <c r="E736" s="161"/>
      <c r="F736" s="161"/>
      <c r="G736" s="161"/>
      <c r="H736" s="161"/>
      <c r="I736" s="161"/>
      <c r="J736" s="161"/>
      <c r="K736" s="511"/>
      <c r="L736" s="511"/>
      <c r="M736" s="161"/>
      <c r="N736" s="161"/>
      <c r="O736" s="161"/>
      <c r="P736" s="161"/>
      <c r="Q736" s="161"/>
      <c r="R736" s="161"/>
      <c r="S736" s="161"/>
      <c r="T736" s="161"/>
      <c r="U736" s="161"/>
      <c r="V736" s="161"/>
      <c r="W736" s="161"/>
      <c r="X736" s="161"/>
      <c r="Y736" s="161"/>
      <c r="Z736" s="161"/>
      <c r="AA736" s="161"/>
      <c r="AB736" s="161"/>
    </row>
    <row r="737">
      <c r="A737" s="511"/>
      <c r="B737" s="161"/>
      <c r="C737" s="161"/>
      <c r="D737" s="161"/>
      <c r="E737" s="161"/>
      <c r="F737" s="161"/>
      <c r="G737" s="161"/>
      <c r="H737" s="161"/>
      <c r="I737" s="161"/>
      <c r="J737" s="161"/>
      <c r="K737" s="511"/>
      <c r="L737" s="511"/>
      <c r="M737" s="161"/>
      <c r="N737" s="161"/>
      <c r="O737" s="161"/>
      <c r="P737" s="161"/>
      <c r="Q737" s="161"/>
      <c r="R737" s="161"/>
      <c r="S737" s="161"/>
      <c r="T737" s="161"/>
      <c r="U737" s="161"/>
      <c r="V737" s="161"/>
      <c r="W737" s="161"/>
      <c r="X737" s="161"/>
      <c r="Y737" s="161"/>
      <c r="Z737" s="161"/>
      <c r="AA737" s="161"/>
      <c r="AB737" s="161"/>
    </row>
    <row r="738">
      <c r="A738" s="511"/>
      <c r="B738" s="161"/>
      <c r="C738" s="161"/>
      <c r="D738" s="161"/>
      <c r="E738" s="161"/>
      <c r="F738" s="161"/>
      <c r="G738" s="161"/>
      <c r="H738" s="161"/>
      <c r="I738" s="161"/>
      <c r="J738" s="161"/>
      <c r="K738" s="511"/>
      <c r="L738" s="511"/>
      <c r="M738" s="161"/>
      <c r="N738" s="161"/>
      <c r="O738" s="161"/>
      <c r="P738" s="161"/>
      <c r="Q738" s="161"/>
      <c r="R738" s="161"/>
      <c r="S738" s="161"/>
      <c r="T738" s="161"/>
      <c r="U738" s="161"/>
      <c r="V738" s="161"/>
      <c r="W738" s="161"/>
      <c r="X738" s="161"/>
      <c r="Y738" s="161"/>
      <c r="Z738" s="161"/>
      <c r="AA738" s="161"/>
      <c r="AB738" s="161"/>
    </row>
    <row r="739">
      <c r="A739" s="511"/>
      <c r="B739" s="161"/>
      <c r="C739" s="161"/>
      <c r="D739" s="161"/>
      <c r="E739" s="161"/>
      <c r="F739" s="161"/>
      <c r="G739" s="161"/>
      <c r="H739" s="161"/>
      <c r="I739" s="161"/>
      <c r="J739" s="161"/>
      <c r="K739" s="511"/>
      <c r="L739" s="511"/>
      <c r="M739" s="161"/>
      <c r="N739" s="161"/>
      <c r="O739" s="161"/>
      <c r="P739" s="161"/>
      <c r="Q739" s="161"/>
      <c r="R739" s="161"/>
      <c r="S739" s="161"/>
      <c r="T739" s="161"/>
      <c r="U739" s="161"/>
      <c r="V739" s="161"/>
      <c r="W739" s="161"/>
      <c r="X739" s="161"/>
      <c r="Y739" s="161"/>
      <c r="Z739" s="161"/>
      <c r="AA739" s="161"/>
      <c r="AB739" s="161"/>
    </row>
    <row r="740">
      <c r="A740" s="511"/>
      <c r="B740" s="161"/>
      <c r="C740" s="161"/>
      <c r="D740" s="161"/>
      <c r="E740" s="161"/>
      <c r="F740" s="161"/>
      <c r="G740" s="161"/>
      <c r="H740" s="161"/>
      <c r="I740" s="161"/>
      <c r="J740" s="161"/>
      <c r="K740" s="511"/>
      <c r="L740" s="511"/>
      <c r="M740" s="161"/>
      <c r="N740" s="161"/>
      <c r="O740" s="161"/>
      <c r="P740" s="161"/>
      <c r="Q740" s="161"/>
      <c r="R740" s="161"/>
      <c r="S740" s="161"/>
      <c r="T740" s="161"/>
      <c r="U740" s="161"/>
      <c r="V740" s="161"/>
      <c r="W740" s="161"/>
      <c r="X740" s="161"/>
      <c r="Y740" s="161"/>
      <c r="Z740" s="161"/>
      <c r="AA740" s="161"/>
      <c r="AB740" s="161"/>
    </row>
    <row r="741">
      <c r="A741" s="511"/>
      <c r="B741" s="161"/>
      <c r="C741" s="161"/>
      <c r="D741" s="161"/>
      <c r="E741" s="161"/>
      <c r="F741" s="161"/>
      <c r="G741" s="161"/>
      <c r="H741" s="161"/>
      <c r="I741" s="161"/>
      <c r="J741" s="161"/>
      <c r="K741" s="511"/>
      <c r="L741" s="511"/>
      <c r="M741" s="161"/>
      <c r="N741" s="161"/>
      <c r="O741" s="161"/>
      <c r="P741" s="161"/>
      <c r="Q741" s="161"/>
      <c r="R741" s="161"/>
      <c r="S741" s="161"/>
      <c r="T741" s="161"/>
      <c r="U741" s="161"/>
      <c r="V741" s="161"/>
      <c r="W741" s="161"/>
      <c r="X741" s="161"/>
      <c r="Y741" s="161"/>
      <c r="Z741" s="161"/>
      <c r="AA741" s="161"/>
      <c r="AB741" s="161"/>
    </row>
    <row r="742">
      <c r="A742" s="511"/>
      <c r="B742" s="161"/>
      <c r="C742" s="161"/>
      <c r="D742" s="161"/>
      <c r="E742" s="161"/>
      <c r="F742" s="161"/>
      <c r="G742" s="161"/>
      <c r="H742" s="161"/>
      <c r="I742" s="161"/>
      <c r="J742" s="161"/>
      <c r="K742" s="511"/>
      <c r="L742" s="511"/>
      <c r="M742" s="161"/>
      <c r="N742" s="161"/>
      <c r="O742" s="161"/>
      <c r="P742" s="161"/>
      <c r="Q742" s="161"/>
      <c r="R742" s="161"/>
      <c r="S742" s="161"/>
      <c r="T742" s="161"/>
      <c r="U742" s="161"/>
      <c r="V742" s="161"/>
      <c r="W742" s="161"/>
      <c r="X742" s="161"/>
      <c r="Y742" s="161"/>
      <c r="Z742" s="161"/>
      <c r="AA742" s="161"/>
      <c r="AB742" s="161"/>
    </row>
    <row r="743">
      <c r="A743" s="511"/>
      <c r="B743" s="161"/>
      <c r="C743" s="161"/>
      <c r="D743" s="161"/>
      <c r="E743" s="161"/>
      <c r="F743" s="161"/>
      <c r="G743" s="161"/>
      <c r="H743" s="161"/>
      <c r="I743" s="161"/>
      <c r="J743" s="161"/>
      <c r="K743" s="511"/>
      <c r="L743" s="511"/>
      <c r="M743" s="161"/>
      <c r="N743" s="161"/>
      <c r="O743" s="161"/>
      <c r="P743" s="161"/>
      <c r="Q743" s="161"/>
      <c r="R743" s="161"/>
      <c r="S743" s="161"/>
      <c r="T743" s="161"/>
      <c r="U743" s="161"/>
      <c r="V743" s="161"/>
      <c r="W743" s="161"/>
      <c r="X743" s="161"/>
      <c r="Y743" s="161"/>
      <c r="Z743" s="161"/>
      <c r="AA743" s="161"/>
      <c r="AB743" s="161"/>
    </row>
    <row r="744">
      <c r="A744" s="511"/>
      <c r="B744" s="161"/>
      <c r="C744" s="161"/>
      <c r="D744" s="161"/>
      <c r="E744" s="161"/>
      <c r="F744" s="161"/>
      <c r="G744" s="161"/>
      <c r="H744" s="161"/>
      <c r="I744" s="161"/>
      <c r="J744" s="161"/>
      <c r="K744" s="511"/>
      <c r="L744" s="511"/>
      <c r="M744" s="161"/>
      <c r="N744" s="161"/>
      <c r="O744" s="161"/>
      <c r="P744" s="161"/>
      <c r="Q744" s="161"/>
      <c r="R744" s="161"/>
      <c r="S744" s="161"/>
      <c r="T744" s="161"/>
      <c r="U744" s="161"/>
      <c r="V744" s="161"/>
      <c r="W744" s="161"/>
      <c r="X744" s="161"/>
      <c r="Y744" s="161"/>
      <c r="Z744" s="161"/>
      <c r="AA744" s="161"/>
      <c r="AB744" s="161"/>
    </row>
    <row r="745">
      <c r="A745" s="511"/>
      <c r="B745" s="161"/>
      <c r="C745" s="161"/>
      <c r="D745" s="161"/>
      <c r="E745" s="161"/>
      <c r="F745" s="161"/>
      <c r="G745" s="161"/>
      <c r="H745" s="161"/>
      <c r="I745" s="161"/>
      <c r="J745" s="161"/>
      <c r="K745" s="511"/>
      <c r="L745" s="511"/>
      <c r="M745" s="161"/>
      <c r="N745" s="161"/>
      <c r="O745" s="161"/>
      <c r="P745" s="161"/>
      <c r="Q745" s="161"/>
      <c r="R745" s="161"/>
      <c r="S745" s="161"/>
      <c r="T745" s="161"/>
      <c r="U745" s="161"/>
      <c r="V745" s="161"/>
      <c r="W745" s="161"/>
      <c r="X745" s="161"/>
      <c r="Y745" s="161"/>
      <c r="Z745" s="161"/>
      <c r="AA745" s="161"/>
      <c r="AB745" s="161"/>
    </row>
    <row r="746">
      <c r="A746" s="511"/>
      <c r="B746" s="161"/>
      <c r="C746" s="161"/>
      <c r="D746" s="161"/>
      <c r="E746" s="161"/>
      <c r="F746" s="161"/>
      <c r="G746" s="161"/>
      <c r="H746" s="161"/>
      <c r="I746" s="161"/>
      <c r="J746" s="161"/>
      <c r="K746" s="511"/>
      <c r="L746" s="511"/>
      <c r="M746" s="161"/>
      <c r="N746" s="161"/>
      <c r="O746" s="161"/>
      <c r="P746" s="161"/>
      <c r="Q746" s="161"/>
      <c r="R746" s="161"/>
      <c r="S746" s="161"/>
      <c r="T746" s="161"/>
      <c r="U746" s="161"/>
      <c r="V746" s="161"/>
      <c r="W746" s="161"/>
      <c r="X746" s="161"/>
      <c r="Y746" s="161"/>
      <c r="Z746" s="161"/>
      <c r="AA746" s="161"/>
      <c r="AB746" s="161"/>
    </row>
    <row r="747">
      <c r="A747" s="511"/>
      <c r="B747" s="161"/>
      <c r="C747" s="161"/>
      <c r="D747" s="161"/>
      <c r="E747" s="161"/>
      <c r="F747" s="161"/>
      <c r="G747" s="161"/>
      <c r="H747" s="161"/>
      <c r="I747" s="161"/>
      <c r="J747" s="161"/>
      <c r="K747" s="511"/>
      <c r="L747" s="511"/>
      <c r="M747" s="161"/>
      <c r="N747" s="161"/>
      <c r="O747" s="161"/>
      <c r="P747" s="161"/>
      <c r="Q747" s="161"/>
      <c r="R747" s="161"/>
      <c r="S747" s="161"/>
      <c r="T747" s="161"/>
      <c r="U747" s="161"/>
      <c r="V747" s="161"/>
      <c r="W747" s="161"/>
      <c r="X747" s="161"/>
      <c r="Y747" s="161"/>
      <c r="Z747" s="161"/>
      <c r="AA747" s="161"/>
      <c r="AB747" s="161"/>
    </row>
    <row r="748">
      <c r="A748" s="511"/>
      <c r="B748" s="161"/>
      <c r="C748" s="161"/>
      <c r="D748" s="161"/>
      <c r="E748" s="161"/>
      <c r="F748" s="161"/>
      <c r="G748" s="161"/>
      <c r="H748" s="161"/>
      <c r="I748" s="161"/>
      <c r="J748" s="161"/>
      <c r="K748" s="511"/>
      <c r="L748" s="511"/>
      <c r="M748" s="161"/>
      <c r="N748" s="161"/>
      <c r="O748" s="161"/>
      <c r="P748" s="161"/>
      <c r="Q748" s="161"/>
      <c r="R748" s="161"/>
      <c r="S748" s="161"/>
      <c r="T748" s="161"/>
      <c r="U748" s="161"/>
      <c r="V748" s="161"/>
      <c r="W748" s="161"/>
      <c r="X748" s="161"/>
      <c r="Y748" s="161"/>
      <c r="Z748" s="161"/>
      <c r="AA748" s="161"/>
      <c r="AB748" s="161"/>
    </row>
    <row r="749">
      <c r="A749" s="511"/>
      <c r="B749" s="161"/>
      <c r="C749" s="161"/>
      <c r="D749" s="161"/>
      <c r="E749" s="161"/>
      <c r="F749" s="161"/>
      <c r="G749" s="161"/>
      <c r="H749" s="161"/>
      <c r="I749" s="161"/>
      <c r="J749" s="161"/>
      <c r="K749" s="511"/>
      <c r="L749" s="511"/>
      <c r="M749" s="161"/>
      <c r="N749" s="161"/>
      <c r="O749" s="161"/>
      <c r="P749" s="161"/>
      <c r="Q749" s="161"/>
      <c r="R749" s="161"/>
      <c r="S749" s="161"/>
      <c r="T749" s="161"/>
      <c r="U749" s="161"/>
      <c r="V749" s="161"/>
      <c r="W749" s="161"/>
      <c r="X749" s="161"/>
      <c r="Y749" s="161"/>
      <c r="Z749" s="161"/>
      <c r="AA749" s="161"/>
      <c r="AB749" s="161"/>
    </row>
    <row r="750">
      <c r="A750" s="511"/>
      <c r="B750" s="161"/>
      <c r="C750" s="161"/>
      <c r="D750" s="161"/>
      <c r="E750" s="161"/>
      <c r="F750" s="161"/>
      <c r="G750" s="161"/>
      <c r="H750" s="161"/>
      <c r="I750" s="161"/>
      <c r="J750" s="161"/>
      <c r="K750" s="511"/>
      <c r="L750" s="511"/>
      <c r="M750" s="161"/>
      <c r="N750" s="161"/>
      <c r="O750" s="161"/>
      <c r="P750" s="161"/>
      <c r="Q750" s="161"/>
      <c r="R750" s="161"/>
      <c r="S750" s="161"/>
      <c r="T750" s="161"/>
      <c r="U750" s="161"/>
      <c r="V750" s="161"/>
      <c r="W750" s="161"/>
      <c r="X750" s="161"/>
      <c r="Y750" s="161"/>
      <c r="Z750" s="161"/>
      <c r="AA750" s="161"/>
      <c r="AB750" s="161"/>
    </row>
    <row r="751">
      <c r="A751" s="511"/>
      <c r="B751" s="161"/>
      <c r="C751" s="161"/>
      <c r="D751" s="161"/>
      <c r="E751" s="161"/>
      <c r="F751" s="161"/>
      <c r="G751" s="161"/>
      <c r="H751" s="161"/>
      <c r="I751" s="161"/>
      <c r="J751" s="161"/>
      <c r="K751" s="511"/>
      <c r="L751" s="511"/>
      <c r="M751" s="161"/>
      <c r="N751" s="161"/>
      <c r="O751" s="161"/>
      <c r="P751" s="161"/>
      <c r="Q751" s="161"/>
      <c r="R751" s="161"/>
      <c r="S751" s="161"/>
      <c r="T751" s="161"/>
      <c r="U751" s="161"/>
      <c r="V751" s="161"/>
      <c r="W751" s="161"/>
      <c r="X751" s="161"/>
      <c r="Y751" s="161"/>
      <c r="Z751" s="161"/>
      <c r="AA751" s="161"/>
      <c r="AB751" s="161"/>
    </row>
    <row r="752">
      <c r="A752" s="511"/>
      <c r="B752" s="161"/>
      <c r="C752" s="161"/>
      <c r="D752" s="161"/>
      <c r="E752" s="161"/>
      <c r="F752" s="161"/>
      <c r="G752" s="161"/>
      <c r="H752" s="161"/>
      <c r="I752" s="161"/>
      <c r="J752" s="161"/>
      <c r="K752" s="511"/>
      <c r="L752" s="511"/>
      <c r="M752" s="161"/>
      <c r="N752" s="161"/>
      <c r="O752" s="161"/>
      <c r="P752" s="161"/>
      <c r="Q752" s="161"/>
      <c r="R752" s="161"/>
      <c r="S752" s="161"/>
      <c r="T752" s="161"/>
      <c r="U752" s="161"/>
      <c r="V752" s="161"/>
      <c r="W752" s="161"/>
      <c r="X752" s="161"/>
      <c r="Y752" s="161"/>
      <c r="Z752" s="161"/>
      <c r="AA752" s="161"/>
      <c r="AB752" s="161"/>
    </row>
    <row r="753">
      <c r="A753" s="511"/>
      <c r="B753" s="161"/>
      <c r="C753" s="161"/>
      <c r="D753" s="161"/>
      <c r="E753" s="161"/>
      <c r="F753" s="161"/>
      <c r="G753" s="161"/>
      <c r="H753" s="161"/>
      <c r="I753" s="161"/>
      <c r="J753" s="161"/>
      <c r="K753" s="511"/>
      <c r="L753" s="511"/>
      <c r="M753" s="161"/>
      <c r="N753" s="161"/>
      <c r="O753" s="161"/>
      <c r="P753" s="161"/>
      <c r="Q753" s="161"/>
      <c r="R753" s="161"/>
      <c r="S753" s="161"/>
      <c r="T753" s="161"/>
      <c r="U753" s="161"/>
      <c r="V753" s="161"/>
      <c r="W753" s="161"/>
      <c r="X753" s="161"/>
      <c r="Y753" s="161"/>
      <c r="Z753" s="161"/>
      <c r="AA753" s="161"/>
      <c r="AB753" s="161"/>
    </row>
    <row r="754">
      <c r="A754" s="511"/>
      <c r="B754" s="161"/>
      <c r="C754" s="161"/>
      <c r="D754" s="161"/>
      <c r="E754" s="161"/>
      <c r="F754" s="161"/>
      <c r="G754" s="161"/>
      <c r="H754" s="161"/>
      <c r="I754" s="161"/>
      <c r="J754" s="161"/>
      <c r="K754" s="511"/>
      <c r="L754" s="511"/>
      <c r="M754" s="161"/>
      <c r="N754" s="161"/>
      <c r="O754" s="161"/>
      <c r="P754" s="161"/>
      <c r="Q754" s="161"/>
      <c r="R754" s="161"/>
      <c r="S754" s="161"/>
      <c r="T754" s="161"/>
      <c r="U754" s="161"/>
      <c r="V754" s="161"/>
      <c r="W754" s="161"/>
      <c r="X754" s="161"/>
      <c r="Y754" s="161"/>
      <c r="Z754" s="161"/>
      <c r="AA754" s="161"/>
      <c r="AB754" s="161"/>
    </row>
    <row r="755">
      <c r="A755" s="511"/>
      <c r="B755" s="161"/>
      <c r="C755" s="161"/>
      <c r="D755" s="161"/>
      <c r="E755" s="161"/>
      <c r="F755" s="161"/>
      <c r="G755" s="161"/>
      <c r="H755" s="161"/>
      <c r="I755" s="161"/>
      <c r="J755" s="161"/>
      <c r="K755" s="511"/>
      <c r="L755" s="511"/>
      <c r="M755" s="161"/>
      <c r="N755" s="161"/>
      <c r="O755" s="161"/>
      <c r="P755" s="161"/>
      <c r="Q755" s="161"/>
      <c r="R755" s="161"/>
      <c r="S755" s="161"/>
      <c r="T755" s="161"/>
      <c r="U755" s="161"/>
      <c r="V755" s="161"/>
      <c r="W755" s="161"/>
      <c r="X755" s="161"/>
      <c r="Y755" s="161"/>
      <c r="Z755" s="161"/>
      <c r="AA755" s="161"/>
      <c r="AB755" s="161"/>
    </row>
    <row r="756">
      <c r="A756" s="511"/>
      <c r="B756" s="161"/>
      <c r="C756" s="161"/>
      <c r="D756" s="161"/>
      <c r="E756" s="161"/>
      <c r="F756" s="161"/>
      <c r="G756" s="161"/>
      <c r="H756" s="161"/>
      <c r="I756" s="161"/>
      <c r="J756" s="161"/>
      <c r="K756" s="511"/>
      <c r="L756" s="511"/>
      <c r="M756" s="161"/>
      <c r="N756" s="161"/>
      <c r="O756" s="161"/>
      <c r="P756" s="161"/>
      <c r="Q756" s="161"/>
      <c r="R756" s="161"/>
      <c r="S756" s="161"/>
      <c r="T756" s="161"/>
      <c r="U756" s="161"/>
      <c r="V756" s="161"/>
      <c r="W756" s="161"/>
      <c r="X756" s="161"/>
      <c r="Y756" s="161"/>
      <c r="Z756" s="161"/>
      <c r="AA756" s="161"/>
      <c r="AB756" s="161"/>
    </row>
    <row r="757">
      <c r="A757" s="511"/>
      <c r="B757" s="161"/>
      <c r="C757" s="161"/>
      <c r="D757" s="161"/>
      <c r="E757" s="161"/>
      <c r="F757" s="161"/>
      <c r="G757" s="161"/>
      <c r="H757" s="161"/>
      <c r="I757" s="161"/>
      <c r="J757" s="161"/>
      <c r="K757" s="511"/>
      <c r="L757" s="511"/>
      <c r="M757" s="161"/>
      <c r="N757" s="161"/>
      <c r="O757" s="161"/>
      <c r="P757" s="161"/>
      <c r="Q757" s="161"/>
      <c r="R757" s="161"/>
      <c r="S757" s="161"/>
      <c r="T757" s="161"/>
      <c r="U757" s="161"/>
      <c r="V757" s="161"/>
      <c r="W757" s="161"/>
      <c r="X757" s="161"/>
      <c r="Y757" s="161"/>
      <c r="Z757" s="161"/>
      <c r="AA757" s="161"/>
      <c r="AB757" s="161"/>
    </row>
    <row r="758">
      <c r="A758" s="511"/>
      <c r="B758" s="161"/>
      <c r="C758" s="161"/>
      <c r="D758" s="161"/>
      <c r="E758" s="161"/>
      <c r="F758" s="161"/>
      <c r="G758" s="161"/>
      <c r="H758" s="161"/>
      <c r="I758" s="161"/>
      <c r="J758" s="161"/>
      <c r="K758" s="511"/>
      <c r="L758" s="511"/>
      <c r="M758" s="161"/>
      <c r="N758" s="161"/>
      <c r="O758" s="161"/>
      <c r="P758" s="161"/>
      <c r="Q758" s="161"/>
      <c r="R758" s="161"/>
      <c r="S758" s="161"/>
      <c r="T758" s="161"/>
      <c r="U758" s="161"/>
      <c r="V758" s="161"/>
      <c r="W758" s="161"/>
      <c r="X758" s="161"/>
      <c r="Y758" s="161"/>
      <c r="Z758" s="161"/>
      <c r="AA758" s="161"/>
      <c r="AB758" s="161"/>
    </row>
    <row r="759">
      <c r="A759" s="511"/>
      <c r="B759" s="161"/>
      <c r="C759" s="161"/>
      <c r="D759" s="161"/>
      <c r="E759" s="161"/>
      <c r="F759" s="161"/>
      <c r="G759" s="161"/>
      <c r="H759" s="161"/>
      <c r="I759" s="161"/>
      <c r="J759" s="161"/>
      <c r="K759" s="511"/>
      <c r="L759" s="511"/>
      <c r="M759" s="161"/>
      <c r="N759" s="161"/>
      <c r="O759" s="161"/>
      <c r="P759" s="161"/>
      <c r="Q759" s="161"/>
      <c r="R759" s="161"/>
      <c r="S759" s="161"/>
      <c r="T759" s="161"/>
      <c r="U759" s="161"/>
      <c r="V759" s="161"/>
      <c r="W759" s="161"/>
      <c r="X759" s="161"/>
      <c r="Y759" s="161"/>
      <c r="Z759" s="161"/>
      <c r="AA759" s="161"/>
      <c r="AB759" s="161"/>
    </row>
    <row r="760">
      <c r="A760" s="511"/>
      <c r="B760" s="161"/>
      <c r="C760" s="161"/>
      <c r="D760" s="161"/>
      <c r="E760" s="161"/>
      <c r="F760" s="161"/>
      <c r="G760" s="161"/>
      <c r="H760" s="161"/>
      <c r="I760" s="161"/>
      <c r="J760" s="161"/>
      <c r="K760" s="511"/>
      <c r="L760" s="511"/>
      <c r="M760" s="161"/>
      <c r="N760" s="161"/>
      <c r="O760" s="161"/>
      <c r="P760" s="161"/>
      <c r="Q760" s="161"/>
      <c r="R760" s="161"/>
      <c r="S760" s="161"/>
      <c r="T760" s="161"/>
      <c r="U760" s="161"/>
      <c r="V760" s="161"/>
      <c r="W760" s="161"/>
      <c r="X760" s="161"/>
      <c r="Y760" s="161"/>
      <c r="Z760" s="161"/>
      <c r="AA760" s="161"/>
      <c r="AB760" s="161"/>
    </row>
    <row r="761">
      <c r="A761" s="511"/>
      <c r="B761" s="161"/>
      <c r="C761" s="161"/>
      <c r="D761" s="161"/>
      <c r="E761" s="161"/>
      <c r="F761" s="161"/>
      <c r="G761" s="161"/>
      <c r="H761" s="161"/>
      <c r="I761" s="161"/>
      <c r="J761" s="161"/>
      <c r="K761" s="511"/>
      <c r="L761" s="511"/>
      <c r="M761" s="161"/>
      <c r="N761" s="161"/>
      <c r="O761" s="161"/>
      <c r="P761" s="161"/>
      <c r="Q761" s="161"/>
      <c r="R761" s="161"/>
      <c r="S761" s="161"/>
      <c r="T761" s="161"/>
      <c r="U761" s="161"/>
      <c r="V761" s="161"/>
      <c r="W761" s="161"/>
      <c r="X761" s="161"/>
      <c r="Y761" s="161"/>
      <c r="Z761" s="161"/>
      <c r="AA761" s="161"/>
      <c r="AB761" s="161"/>
    </row>
    <row r="762">
      <c r="A762" s="511"/>
      <c r="B762" s="161"/>
      <c r="C762" s="161"/>
      <c r="D762" s="161"/>
      <c r="E762" s="161"/>
      <c r="F762" s="161"/>
      <c r="G762" s="161"/>
      <c r="H762" s="161"/>
      <c r="I762" s="161"/>
      <c r="J762" s="161"/>
      <c r="K762" s="511"/>
      <c r="L762" s="511"/>
      <c r="M762" s="161"/>
      <c r="N762" s="161"/>
      <c r="O762" s="161"/>
      <c r="P762" s="161"/>
      <c r="Q762" s="161"/>
      <c r="R762" s="161"/>
      <c r="S762" s="161"/>
      <c r="T762" s="161"/>
      <c r="U762" s="161"/>
      <c r="V762" s="161"/>
      <c r="W762" s="161"/>
      <c r="X762" s="161"/>
      <c r="Y762" s="161"/>
      <c r="Z762" s="161"/>
      <c r="AA762" s="161"/>
      <c r="AB762" s="161"/>
    </row>
    <row r="763">
      <c r="A763" s="511"/>
      <c r="B763" s="161"/>
      <c r="C763" s="161"/>
      <c r="D763" s="161"/>
      <c r="E763" s="161"/>
      <c r="F763" s="161"/>
      <c r="G763" s="161"/>
      <c r="H763" s="161"/>
      <c r="I763" s="161"/>
      <c r="J763" s="161"/>
      <c r="K763" s="511"/>
      <c r="L763" s="511"/>
      <c r="M763" s="161"/>
      <c r="N763" s="161"/>
      <c r="O763" s="161"/>
      <c r="P763" s="161"/>
      <c r="Q763" s="161"/>
      <c r="R763" s="161"/>
      <c r="S763" s="161"/>
      <c r="T763" s="161"/>
      <c r="U763" s="161"/>
      <c r="V763" s="161"/>
      <c r="W763" s="161"/>
      <c r="X763" s="161"/>
      <c r="Y763" s="161"/>
      <c r="Z763" s="161"/>
      <c r="AA763" s="161"/>
      <c r="AB763" s="161"/>
    </row>
    <row r="764">
      <c r="A764" s="511"/>
      <c r="B764" s="161"/>
      <c r="C764" s="161"/>
      <c r="D764" s="161"/>
      <c r="E764" s="161"/>
      <c r="F764" s="161"/>
      <c r="G764" s="161"/>
      <c r="H764" s="161"/>
      <c r="I764" s="161"/>
      <c r="J764" s="161"/>
      <c r="K764" s="511"/>
      <c r="L764" s="511"/>
      <c r="M764" s="161"/>
      <c r="N764" s="161"/>
      <c r="O764" s="161"/>
      <c r="P764" s="161"/>
      <c r="Q764" s="161"/>
      <c r="R764" s="161"/>
      <c r="S764" s="161"/>
      <c r="T764" s="161"/>
      <c r="U764" s="161"/>
      <c r="V764" s="161"/>
      <c r="W764" s="161"/>
      <c r="X764" s="161"/>
      <c r="Y764" s="161"/>
      <c r="Z764" s="161"/>
      <c r="AA764" s="161"/>
      <c r="AB764" s="161"/>
    </row>
    <row r="765">
      <c r="A765" s="511"/>
      <c r="B765" s="161"/>
      <c r="C765" s="161"/>
      <c r="D765" s="161"/>
      <c r="E765" s="161"/>
      <c r="F765" s="161"/>
      <c r="G765" s="161"/>
      <c r="H765" s="161"/>
      <c r="I765" s="161"/>
      <c r="J765" s="161"/>
      <c r="K765" s="511"/>
      <c r="L765" s="511"/>
      <c r="M765" s="161"/>
      <c r="N765" s="161"/>
      <c r="O765" s="161"/>
      <c r="P765" s="161"/>
      <c r="Q765" s="161"/>
      <c r="R765" s="161"/>
      <c r="S765" s="161"/>
      <c r="T765" s="161"/>
      <c r="U765" s="161"/>
      <c r="V765" s="161"/>
      <c r="W765" s="161"/>
      <c r="X765" s="161"/>
      <c r="Y765" s="161"/>
      <c r="Z765" s="161"/>
      <c r="AA765" s="161"/>
      <c r="AB765" s="161"/>
    </row>
    <row r="766">
      <c r="A766" s="511"/>
      <c r="B766" s="161"/>
      <c r="C766" s="161"/>
      <c r="D766" s="161"/>
      <c r="E766" s="161"/>
      <c r="F766" s="161"/>
      <c r="G766" s="161"/>
      <c r="H766" s="161"/>
      <c r="I766" s="161"/>
      <c r="J766" s="161"/>
      <c r="K766" s="511"/>
      <c r="L766" s="511"/>
      <c r="M766" s="161"/>
      <c r="N766" s="161"/>
      <c r="O766" s="161"/>
      <c r="P766" s="161"/>
      <c r="Q766" s="161"/>
      <c r="R766" s="161"/>
      <c r="S766" s="161"/>
      <c r="T766" s="161"/>
      <c r="U766" s="161"/>
      <c r="V766" s="161"/>
      <c r="W766" s="161"/>
      <c r="X766" s="161"/>
      <c r="Y766" s="161"/>
      <c r="Z766" s="161"/>
      <c r="AA766" s="161"/>
      <c r="AB766" s="161"/>
    </row>
    <row r="767">
      <c r="A767" s="511"/>
      <c r="B767" s="161"/>
      <c r="C767" s="161"/>
      <c r="D767" s="161"/>
      <c r="E767" s="161"/>
      <c r="F767" s="161"/>
      <c r="G767" s="161"/>
      <c r="H767" s="161"/>
      <c r="I767" s="161"/>
      <c r="J767" s="161"/>
      <c r="K767" s="511"/>
      <c r="L767" s="511"/>
      <c r="M767" s="161"/>
      <c r="N767" s="161"/>
      <c r="O767" s="161"/>
      <c r="P767" s="161"/>
      <c r="Q767" s="161"/>
      <c r="R767" s="161"/>
      <c r="S767" s="161"/>
      <c r="T767" s="161"/>
      <c r="U767" s="161"/>
      <c r="V767" s="161"/>
      <c r="W767" s="161"/>
      <c r="X767" s="161"/>
      <c r="Y767" s="161"/>
      <c r="Z767" s="161"/>
      <c r="AA767" s="161"/>
      <c r="AB767" s="161"/>
    </row>
    <row r="768">
      <c r="A768" s="511"/>
      <c r="B768" s="161"/>
      <c r="C768" s="161"/>
      <c r="D768" s="161"/>
      <c r="E768" s="161"/>
      <c r="F768" s="161"/>
      <c r="G768" s="161"/>
      <c r="H768" s="161"/>
      <c r="I768" s="161"/>
      <c r="J768" s="161"/>
      <c r="K768" s="511"/>
      <c r="L768" s="511"/>
      <c r="M768" s="161"/>
      <c r="N768" s="161"/>
      <c r="O768" s="161"/>
      <c r="P768" s="161"/>
      <c r="Q768" s="161"/>
      <c r="R768" s="161"/>
      <c r="S768" s="161"/>
      <c r="T768" s="161"/>
      <c r="U768" s="161"/>
      <c r="V768" s="161"/>
      <c r="W768" s="161"/>
      <c r="X768" s="161"/>
      <c r="Y768" s="161"/>
      <c r="Z768" s="161"/>
      <c r="AA768" s="161"/>
      <c r="AB768" s="161"/>
    </row>
    <row r="769">
      <c r="A769" s="511"/>
      <c r="B769" s="161"/>
      <c r="C769" s="161"/>
      <c r="D769" s="161"/>
      <c r="E769" s="161"/>
      <c r="F769" s="161"/>
      <c r="G769" s="161"/>
      <c r="H769" s="161"/>
      <c r="I769" s="161"/>
      <c r="J769" s="161"/>
      <c r="K769" s="511"/>
      <c r="L769" s="511"/>
      <c r="M769" s="161"/>
      <c r="N769" s="161"/>
      <c r="O769" s="161"/>
      <c r="P769" s="161"/>
      <c r="Q769" s="161"/>
      <c r="R769" s="161"/>
      <c r="S769" s="161"/>
      <c r="T769" s="161"/>
      <c r="U769" s="161"/>
      <c r="V769" s="161"/>
      <c r="W769" s="161"/>
      <c r="X769" s="161"/>
      <c r="Y769" s="161"/>
      <c r="Z769" s="161"/>
      <c r="AA769" s="161"/>
      <c r="AB769" s="161"/>
    </row>
    <row r="770">
      <c r="A770" s="511"/>
      <c r="B770" s="161"/>
      <c r="C770" s="161"/>
      <c r="D770" s="161"/>
      <c r="E770" s="161"/>
      <c r="F770" s="161"/>
      <c r="G770" s="161"/>
      <c r="H770" s="161"/>
      <c r="I770" s="161"/>
      <c r="J770" s="161"/>
      <c r="K770" s="511"/>
      <c r="L770" s="511"/>
      <c r="M770" s="161"/>
      <c r="N770" s="161"/>
      <c r="O770" s="161"/>
      <c r="P770" s="161"/>
      <c r="Q770" s="161"/>
      <c r="R770" s="161"/>
      <c r="S770" s="161"/>
      <c r="T770" s="161"/>
      <c r="U770" s="161"/>
      <c r="V770" s="161"/>
      <c r="W770" s="161"/>
      <c r="X770" s="161"/>
      <c r="Y770" s="161"/>
      <c r="Z770" s="161"/>
      <c r="AA770" s="161"/>
      <c r="AB770" s="161"/>
    </row>
    <row r="771">
      <c r="A771" s="511"/>
      <c r="B771" s="161"/>
      <c r="C771" s="161"/>
      <c r="D771" s="161"/>
      <c r="E771" s="161"/>
      <c r="F771" s="161"/>
      <c r="G771" s="161"/>
      <c r="H771" s="161"/>
      <c r="I771" s="161"/>
      <c r="J771" s="161"/>
      <c r="K771" s="511"/>
      <c r="L771" s="511"/>
      <c r="M771" s="161"/>
      <c r="N771" s="161"/>
      <c r="O771" s="161"/>
      <c r="P771" s="161"/>
      <c r="Q771" s="161"/>
      <c r="R771" s="161"/>
      <c r="S771" s="161"/>
      <c r="T771" s="161"/>
      <c r="U771" s="161"/>
      <c r="V771" s="161"/>
      <c r="W771" s="161"/>
      <c r="X771" s="161"/>
      <c r="Y771" s="161"/>
      <c r="Z771" s="161"/>
      <c r="AA771" s="161"/>
      <c r="AB771" s="161"/>
    </row>
    <row r="772">
      <c r="A772" s="511"/>
      <c r="B772" s="161"/>
      <c r="C772" s="161"/>
      <c r="D772" s="161"/>
      <c r="E772" s="161"/>
      <c r="F772" s="161"/>
      <c r="G772" s="161"/>
      <c r="H772" s="161"/>
      <c r="I772" s="161"/>
      <c r="J772" s="161"/>
      <c r="K772" s="511"/>
      <c r="L772" s="511"/>
      <c r="M772" s="161"/>
      <c r="N772" s="161"/>
      <c r="O772" s="161"/>
      <c r="P772" s="161"/>
      <c r="Q772" s="161"/>
      <c r="R772" s="161"/>
      <c r="S772" s="161"/>
      <c r="T772" s="161"/>
      <c r="U772" s="161"/>
      <c r="V772" s="161"/>
      <c r="W772" s="161"/>
      <c r="X772" s="161"/>
      <c r="Y772" s="161"/>
      <c r="Z772" s="161"/>
      <c r="AA772" s="161"/>
      <c r="AB772" s="161"/>
    </row>
    <row r="773">
      <c r="A773" s="511"/>
      <c r="B773" s="161"/>
      <c r="C773" s="161"/>
      <c r="D773" s="161"/>
      <c r="E773" s="161"/>
      <c r="F773" s="161"/>
      <c r="G773" s="161"/>
      <c r="H773" s="161"/>
      <c r="I773" s="161"/>
      <c r="J773" s="161"/>
      <c r="K773" s="511"/>
      <c r="L773" s="511"/>
      <c r="M773" s="161"/>
      <c r="N773" s="161"/>
      <c r="O773" s="161"/>
      <c r="P773" s="161"/>
      <c r="Q773" s="161"/>
      <c r="R773" s="161"/>
      <c r="S773" s="161"/>
      <c r="T773" s="161"/>
      <c r="U773" s="161"/>
      <c r="V773" s="161"/>
      <c r="W773" s="161"/>
      <c r="X773" s="161"/>
      <c r="Y773" s="161"/>
      <c r="Z773" s="161"/>
      <c r="AA773" s="161"/>
      <c r="AB773" s="161"/>
    </row>
    <row r="774">
      <c r="A774" s="511"/>
      <c r="B774" s="161"/>
      <c r="C774" s="161"/>
      <c r="D774" s="161"/>
      <c r="E774" s="161"/>
      <c r="F774" s="161"/>
      <c r="G774" s="161"/>
      <c r="H774" s="161"/>
      <c r="I774" s="161"/>
      <c r="J774" s="161"/>
      <c r="K774" s="511"/>
      <c r="L774" s="511"/>
      <c r="M774" s="161"/>
      <c r="N774" s="161"/>
      <c r="O774" s="161"/>
      <c r="P774" s="161"/>
      <c r="Q774" s="161"/>
      <c r="R774" s="161"/>
      <c r="S774" s="161"/>
      <c r="T774" s="161"/>
      <c r="U774" s="161"/>
      <c r="V774" s="161"/>
      <c r="W774" s="161"/>
      <c r="X774" s="161"/>
      <c r="Y774" s="161"/>
      <c r="Z774" s="161"/>
      <c r="AA774" s="161"/>
      <c r="AB774" s="161"/>
    </row>
    <row r="775">
      <c r="A775" s="511"/>
      <c r="B775" s="161"/>
      <c r="C775" s="161"/>
      <c r="D775" s="161"/>
      <c r="E775" s="161"/>
      <c r="F775" s="161"/>
      <c r="G775" s="161"/>
      <c r="H775" s="161"/>
      <c r="I775" s="161"/>
      <c r="J775" s="161"/>
      <c r="K775" s="511"/>
      <c r="L775" s="511"/>
      <c r="M775" s="161"/>
      <c r="N775" s="161"/>
      <c r="O775" s="161"/>
      <c r="P775" s="161"/>
      <c r="Q775" s="161"/>
      <c r="R775" s="161"/>
      <c r="S775" s="161"/>
      <c r="T775" s="161"/>
      <c r="U775" s="161"/>
      <c r="V775" s="161"/>
      <c r="W775" s="161"/>
      <c r="X775" s="161"/>
      <c r="Y775" s="161"/>
      <c r="Z775" s="161"/>
      <c r="AA775" s="161"/>
      <c r="AB775" s="161"/>
    </row>
    <row r="776">
      <c r="A776" s="511"/>
      <c r="B776" s="161"/>
      <c r="C776" s="161"/>
      <c r="D776" s="161"/>
      <c r="E776" s="161"/>
      <c r="F776" s="161"/>
      <c r="G776" s="161"/>
      <c r="H776" s="161"/>
      <c r="I776" s="161"/>
      <c r="J776" s="161"/>
      <c r="K776" s="511"/>
      <c r="L776" s="511"/>
      <c r="M776" s="161"/>
      <c r="N776" s="161"/>
      <c r="O776" s="161"/>
      <c r="P776" s="161"/>
      <c r="Q776" s="161"/>
      <c r="R776" s="161"/>
      <c r="S776" s="161"/>
      <c r="T776" s="161"/>
      <c r="U776" s="161"/>
      <c r="V776" s="161"/>
      <c r="W776" s="161"/>
      <c r="X776" s="161"/>
      <c r="Y776" s="161"/>
      <c r="Z776" s="161"/>
      <c r="AA776" s="161"/>
      <c r="AB776" s="161"/>
    </row>
    <row r="777">
      <c r="A777" s="511"/>
      <c r="B777" s="161"/>
      <c r="C777" s="161"/>
      <c r="D777" s="161"/>
      <c r="E777" s="161"/>
      <c r="F777" s="161"/>
      <c r="G777" s="161"/>
      <c r="H777" s="161"/>
      <c r="I777" s="161"/>
      <c r="J777" s="161"/>
      <c r="K777" s="511"/>
      <c r="L777" s="511"/>
      <c r="M777" s="161"/>
      <c r="N777" s="161"/>
      <c r="O777" s="161"/>
      <c r="P777" s="161"/>
      <c r="Q777" s="161"/>
      <c r="R777" s="161"/>
      <c r="S777" s="161"/>
      <c r="T777" s="161"/>
      <c r="U777" s="161"/>
      <c r="V777" s="161"/>
      <c r="W777" s="161"/>
      <c r="X777" s="161"/>
      <c r="Y777" s="161"/>
      <c r="Z777" s="161"/>
      <c r="AA777" s="161"/>
      <c r="AB777" s="161"/>
    </row>
    <row r="778">
      <c r="A778" s="511"/>
      <c r="B778" s="161"/>
      <c r="C778" s="161"/>
      <c r="D778" s="161"/>
      <c r="E778" s="161"/>
      <c r="F778" s="161"/>
      <c r="G778" s="161"/>
      <c r="H778" s="161"/>
      <c r="I778" s="161"/>
      <c r="J778" s="161"/>
      <c r="K778" s="511"/>
      <c r="L778" s="511"/>
      <c r="M778" s="161"/>
      <c r="N778" s="161"/>
      <c r="O778" s="161"/>
      <c r="P778" s="161"/>
      <c r="Q778" s="161"/>
      <c r="R778" s="161"/>
      <c r="S778" s="161"/>
      <c r="T778" s="161"/>
      <c r="U778" s="161"/>
      <c r="V778" s="161"/>
      <c r="W778" s="161"/>
      <c r="X778" s="161"/>
      <c r="Y778" s="161"/>
      <c r="Z778" s="161"/>
      <c r="AA778" s="161"/>
      <c r="AB778" s="161"/>
    </row>
    <row r="779">
      <c r="A779" s="511"/>
      <c r="B779" s="161"/>
      <c r="C779" s="161"/>
      <c r="D779" s="161"/>
      <c r="E779" s="161"/>
      <c r="F779" s="161"/>
      <c r="G779" s="161"/>
      <c r="H779" s="161"/>
      <c r="I779" s="161"/>
      <c r="J779" s="161"/>
      <c r="K779" s="511"/>
      <c r="L779" s="511"/>
      <c r="M779" s="161"/>
      <c r="N779" s="161"/>
      <c r="O779" s="161"/>
      <c r="P779" s="161"/>
      <c r="Q779" s="161"/>
      <c r="R779" s="161"/>
      <c r="S779" s="161"/>
      <c r="T779" s="161"/>
      <c r="U779" s="161"/>
      <c r="V779" s="161"/>
      <c r="W779" s="161"/>
      <c r="X779" s="161"/>
      <c r="Y779" s="161"/>
      <c r="Z779" s="161"/>
      <c r="AA779" s="161"/>
      <c r="AB779" s="161"/>
    </row>
    <row r="780">
      <c r="A780" s="511"/>
      <c r="B780" s="161"/>
      <c r="C780" s="161"/>
      <c r="D780" s="161"/>
      <c r="E780" s="161"/>
      <c r="F780" s="161"/>
      <c r="G780" s="161"/>
      <c r="H780" s="161"/>
      <c r="I780" s="161"/>
      <c r="J780" s="161"/>
      <c r="K780" s="511"/>
      <c r="L780" s="511"/>
      <c r="M780" s="161"/>
      <c r="N780" s="161"/>
      <c r="O780" s="161"/>
      <c r="P780" s="161"/>
      <c r="Q780" s="161"/>
      <c r="R780" s="161"/>
      <c r="S780" s="161"/>
      <c r="T780" s="161"/>
      <c r="U780" s="161"/>
      <c r="V780" s="161"/>
      <c r="W780" s="161"/>
      <c r="X780" s="161"/>
      <c r="Y780" s="161"/>
      <c r="Z780" s="161"/>
      <c r="AA780" s="161"/>
      <c r="AB780" s="161"/>
    </row>
    <row r="781">
      <c r="A781" s="511"/>
      <c r="B781" s="161"/>
      <c r="C781" s="161"/>
      <c r="D781" s="161"/>
      <c r="E781" s="161"/>
      <c r="F781" s="161"/>
      <c r="G781" s="161"/>
      <c r="H781" s="161"/>
      <c r="I781" s="161"/>
      <c r="J781" s="161"/>
      <c r="K781" s="511"/>
      <c r="L781" s="511"/>
      <c r="M781" s="161"/>
      <c r="N781" s="161"/>
      <c r="O781" s="161"/>
      <c r="P781" s="161"/>
      <c r="Q781" s="161"/>
      <c r="R781" s="161"/>
      <c r="S781" s="161"/>
      <c r="T781" s="161"/>
      <c r="U781" s="161"/>
      <c r="V781" s="161"/>
      <c r="W781" s="161"/>
      <c r="X781" s="161"/>
      <c r="Y781" s="161"/>
      <c r="Z781" s="161"/>
      <c r="AA781" s="161"/>
      <c r="AB781" s="161"/>
    </row>
    <row r="782">
      <c r="A782" s="511"/>
      <c r="B782" s="161"/>
      <c r="C782" s="161"/>
      <c r="D782" s="161"/>
      <c r="E782" s="161"/>
      <c r="F782" s="161"/>
      <c r="G782" s="161"/>
      <c r="H782" s="161"/>
      <c r="I782" s="161"/>
      <c r="J782" s="161"/>
      <c r="K782" s="511"/>
      <c r="L782" s="511"/>
      <c r="M782" s="161"/>
      <c r="N782" s="161"/>
      <c r="O782" s="161"/>
      <c r="P782" s="161"/>
      <c r="Q782" s="161"/>
      <c r="R782" s="161"/>
      <c r="S782" s="161"/>
      <c r="T782" s="161"/>
      <c r="U782" s="161"/>
      <c r="V782" s="161"/>
      <c r="W782" s="161"/>
      <c r="X782" s="161"/>
      <c r="Y782" s="161"/>
      <c r="Z782" s="161"/>
      <c r="AA782" s="161"/>
      <c r="AB782" s="161"/>
    </row>
    <row r="783">
      <c r="A783" s="511"/>
      <c r="B783" s="161"/>
      <c r="C783" s="161"/>
      <c r="D783" s="161"/>
      <c r="E783" s="161"/>
      <c r="F783" s="161"/>
      <c r="G783" s="161"/>
      <c r="H783" s="161"/>
      <c r="I783" s="161"/>
      <c r="J783" s="161"/>
      <c r="K783" s="511"/>
      <c r="L783" s="511"/>
      <c r="M783" s="161"/>
      <c r="N783" s="161"/>
      <c r="O783" s="161"/>
      <c r="P783" s="161"/>
      <c r="Q783" s="161"/>
      <c r="R783" s="161"/>
      <c r="S783" s="161"/>
      <c r="T783" s="161"/>
      <c r="U783" s="161"/>
      <c r="V783" s="161"/>
      <c r="W783" s="161"/>
      <c r="X783" s="161"/>
      <c r="Y783" s="161"/>
      <c r="Z783" s="161"/>
      <c r="AA783" s="161"/>
      <c r="AB783" s="161"/>
    </row>
    <row r="784">
      <c r="A784" s="511"/>
      <c r="B784" s="161"/>
      <c r="C784" s="161"/>
      <c r="D784" s="161"/>
      <c r="E784" s="161"/>
      <c r="F784" s="161"/>
      <c r="G784" s="161"/>
      <c r="H784" s="161"/>
      <c r="I784" s="161"/>
      <c r="J784" s="161"/>
      <c r="K784" s="511"/>
      <c r="L784" s="511"/>
      <c r="M784" s="161"/>
      <c r="N784" s="161"/>
      <c r="O784" s="161"/>
      <c r="P784" s="161"/>
      <c r="Q784" s="161"/>
      <c r="R784" s="161"/>
      <c r="S784" s="161"/>
      <c r="T784" s="161"/>
      <c r="U784" s="161"/>
      <c r="V784" s="161"/>
      <c r="W784" s="161"/>
      <c r="X784" s="161"/>
      <c r="Y784" s="161"/>
      <c r="Z784" s="161"/>
      <c r="AA784" s="161"/>
      <c r="AB784" s="161"/>
    </row>
    <row r="785">
      <c r="A785" s="511"/>
      <c r="B785" s="161"/>
      <c r="C785" s="161"/>
      <c r="D785" s="161"/>
      <c r="E785" s="161"/>
      <c r="F785" s="161"/>
      <c r="G785" s="161"/>
      <c r="H785" s="161"/>
      <c r="I785" s="161"/>
      <c r="J785" s="161"/>
      <c r="K785" s="511"/>
      <c r="L785" s="511"/>
      <c r="M785" s="161"/>
      <c r="N785" s="161"/>
      <c r="O785" s="161"/>
      <c r="P785" s="161"/>
      <c r="Q785" s="161"/>
      <c r="R785" s="161"/>
      <c r="S785" s="161"/>
      <c r="T785" s="161"/>
      <c r="U785" s="161"/>
      <c r="V785" s="161"/>
      <c r="W785" s="161"/>
      <c r="X785" s="161"/>
      <c r="Y785" s="161"/>
      <c r="Z785" s="161"/>
      <c r="AA785" s="161"/>
      <c r="AB785" s="161"/>
    </row>
    <row r="786">
      <c r="A786" s="511"/>
      <c r="B786" s="161"/>
      <c r="C786" s="161"/>
      <c r="D786" s="161"/>
      <c r="E786" s="161"/>
      <c r="F786" s="161"/>
      <c r="G786" s="161"/>
      <c r="H786" s="161"/>
      <c r="I786" s="161"/>
      <c r="J786" s="161"/>
      <c r="K786" s="511"/>
      <c r="L786" s="511"/>
      <c r="M786" s="161"/>
      <c r="N786" s="161"/>
      <c r="O786" s="161"/>
      <c r="P786" s="161"/>
      <c r="Q786" s="161"/>
      <c r="R786" s="161"/>
      <c r="S786" s="161"/>
      <c r="T786" s="161"/>
      <c r="U786" s="161"/>
      <c r="V786" s="161"/>
      <c r="W786" s="161"/>
      <c r="X786" s="161"/>
      <c r="Y786" s="161"/>
      <c r="Z786" s="161"/>
      <c r="AA786" s="161"/>
      <c r="AB786" s="161"/>
    </row>
    <row r="787">
      <c r="A787" s="511"/>
      <c r="B787" s="161"/>
      <c r="C787" s="161"/>
      <c r="D787" s="161"/>
      <c r="E787" s="161"/>
      <c r="F787" s="161"/>
      <c r="G787" s="161"/>
      <c r="H787" s="161"/>
      <c r="I787" s="161"/>
      <c r="J787" s="161"/>
      <c r="K787" s="511"/>
      <c r="L787" s="511"/>
      <c r="M787" s="161"/>
      <c r="N787" s="161"/>
      <c r="O787" s="161"/>
      <c r="P787" s="161"/>
      <c r="Q787" s="161"/>
      <c r="R787" s="161"/>
      <c r="S787" s="161"/>
      <c r="T787" s="161"/>
      <c r="U787" s="161"/>
      <c r="V787" s="161"/>
      <c r="W787" s="161"/>
      <c r="X787" s="161"/>
      <c r="Y787" s="161"/>
      <c r="Z787" s="161"/>
      <c r="AA787" s="161"/>
      <c r="AB787" s="161"/>
    </row>
    <row r="788">
      <c r="A788" s="511"/>
      <c r="B788" s="161"/>
      <c r="C788" s="161"/>
      <c r="D788" s="161"/>
      <c r="E788" s="161"/>
      <c r="F788" s="161"/>
      <c r="G788" s="161"/>
      <c r="H788" s="161"/>
      <c r="I788" s="161"/>
      <c r="J788" s="161"/>
      <c r="K788" s="511"/>
      <c r="L788" s="511"/>
      <c r="M788" s="161"/>
      <c r="N788" s="161"/>
      <c r="O788" s="161"/>
      <c r="P788" s="161"/>
      <c r="Q788" s="161"/>
      <c r="R788" s="161"/>
      <c r="S788" s="161"/>
      <c r="T788" s="161"/>
      <c r="U788" s="161"/>
      <c r="V788" s="161"/>
      <c r="W788" s="161"/>
      <c r="X788" s="161"/>
      <c r="Y788" s="161"/>
      <c r="Z788" s="161"/>
      <c r="AA788" s="161"/>
      <c r="AB788" s="161"/>
    </row>
    <row r="789">
      <c r="A789" s="511"/>
      <c r="B789" s="161"/>
      <c r="C789" s="161"/>
      <c r="D789" s="161"/>
      <c r="E789" s="161"/>
      <c r="F789" s="161"/>
      <c r="G789" s="161"/>
      <c r="H789" s="161"/>
      <c r="I789" s="161"/>
      <c r="J789" s="161"/>
      <c r="K789" s="511"/>
      <c r="L789" s="511"/>
      <c r="M789" s="161"/>
      <c r="N789" s="161"/>
      <c r="O789" s="161"/>
      <c r="P789" s="161"/>
      <c r="Q789" s="161"/>
      <c r="R789" s="161"/>
      <c r="S789" s="161"/>
      <c r="T789" s="161"/>
      <c r="U789" s="161"/>
      <c r="V789" s="161"/>
      <c r="W789" s="161"/>
      <c r="X789" s="161"/>
      <c r="Y789" s="161"/>
      <c r="Z789" s="161"/>
      <c r="AA789" s="161"/>
      <c r="AB789" s="161"/>
    </row>
    <row r="790">
      <c r="A790" s="511"/>
      <c r="B790" s="161"/>
      <c r="C790" s="161"/>
      <c r="D790" s="161"/>
      <c r="E790" s="161"/>
      <c r="F790" s="161"/>
      <c r="G790" s="161"/>
      <c r="H790" s="161"/>
      <c r="I790" s="161"/>
      <c r="J790" s="161"/>
      <c r="K790" s="511"/>
      <c r="L790" s="511"/>
      <c r="M790" s="161"/>
      <c r="N790" s="161"/>
      <c r="O790" s="161"/>
      <c r="P790" s="161"/>
      <c r="Q790" s="161"/>
      <c r="R790" s="161"/>
      <c r="S790" s="161"/>
      <c r="T790" s="161"/>
      <c r="U790" s="161"/>
      <c r="V790" s="161"/>
      <c r="W790" s="161"/>
      <c r="X790" s="161"/>
      <c r="Y790" s="161"/>
      <c r="Z790" s="161"/>
      <c r="AA790" s="161"/>
      <c r="AB790" s="161"/>
    </row>
    <row r="791">
      <c r="A791" s="511"/>
      <c r="B791" s="161"/>
      <c r="C791" s="161"/>
      <c r="D791" s="161"/>
      <c r="E791" s="161"/>
      <c r="F791" s="161"/>
      <c r="G791" s="161"/>
      <c r="H791" s="161"/>
      <c r="I791" s="161"/>
      <c r="J791" s="161"/>
      <c r="K791" s="511"/>
      <c r="L791" s="511"/>
      <c r="M791" s="161"/>
      <c r="N791" s="161"/>
      <c r="O791" s="161"/>
      <c r="P791" s="161"/>
      <c r="Q791" s="161"/>
      <c r="R791" s="161"/>
      <c r="S791" s="161"/>
      <c r="T791" s="161"/>
      <c r="U791" s="161"/>
      <c r="V791" s="161"/>
      <c r="W791" s="161"/>
      <c r="X791" s="161"/>
      <c r="Y791" s="161"/>
      <c r="Z791" s="161"/>
      <c r="AA791" s="161"/>
      <c r="AB791" s="161"/>
    </row>
    <row r="792">
      <c r="A792" s="511"/>
      <c r="B792" s="161"/>
      <c r="C792" s="161"/>
      <c r="D792" s="161"/>
      <c r="E792" s="161"/>
      <c r="F792" s="161"/>
      <c r="G792" s="161"/>
      <c r="H792" s="161"/>
      <c r="I792" s="161"/>
      <c r="J792" s="161"/>
      <c r="K792" s="511"/>
      <c r="L792" s="511"/>
      <c r="M792" s="161"/>
      <c r="N792" s="161"/>
      <c r="O792" s="161"/>
      <c r="P792" s="161"/>
      <c r="Q792" s="161"/>
      <c r="R792" s="161"/>
      <c r="S792" s="161"/>
      <c r="T792" s="161"/>
      <c r="U792" s="161"/>
      <c r="V792" s="161"/>
      <c r="W792" s="161"/>
      <c r="X792" s="161"/>
      <c r="Y792" s="161"/>
      <c r="Z792" s="161"/>
      <c r="AA792" s="161"/>
      <c r="AB792" s="161"/>
    </row>
    <row r="793">
      <c r="A793" s="511"/>
      <c r="B793" s="161"/>
      <c r="C793" s="161"/>
      <c r="D793" s="161"/>
      <c r="E793" s="161"/>
      <c r="F793" s="161"/>
      <c r="G793" s="161"/>
      <c r="H793" s="161"/>
      <c r="I793" s="161"/>
      <c r="J793" s="161"/>
      <c r="K793" s="511"/>
      <c r="L793" s="511"/>
      <c r="M793" s="161"/>
      <c r="N793" s="161"/>
      <c r="O793" s="161"/>
      <c r="P793" s="161"/>
      <c r="Q793" s="161"/>
      <c r="R793" s="161"/>
      <c r="S793" s="161"/>
      <c r="T793" s="161"/>
      <c r="U793" s="161"/>
      <c r="V793" s="161"/>
      <c r="W793" s="161"/>
      <c r="X793" s="161"/>
      <c r="Y793" s="161"/>
      <c r="Z793" s="161"/>
      <c r="AA793" s="161"/>
      <c r="AB793" s="161"/>
    </row>
    <row r="794">
      <c r="A794" s="511"/>
      <c r="B794" s="161"/>
      <c r="C794" s="161"/>
      <c r="D794" s="161"/>
      <c r="E794" s="161"/>
      <c r="F794" s="161"/>
      <c r="G794" s="161"/>
      <c r="H794" s="161"/>
      <c r="I794" s="161"/>
      <c r="J794" s="161"/>
      <c r="K794" s="511"/>
      <c r="L794" s="511"/>
      <c r="M794" s="161"/>
      <c r="N794" s="161"/>
      <c r="O794" s="161"/>
      <c r="P794" s="161"/>
      <c r="Q794" s="161"/>
      <c r="R794" s="161"/>
      <c r="S794" s="161"/>
      <c r="T794" s="161"/>
      <c r="U794" s="161"/>
      <c r="V794" s="161"/>
      <c r="W794" s="161"/>
      <c r="X794" s="161"/>
      <c r="Y794" s="161"/>
      <c r="Z794" s="161"/>
      <c r="AA794" s="161"/>
      <c r="AB794" s="161"/>
    </row>
    <row r="795">
      <c r="A795" s="511"/>
      <c r="B795" s="161"/>
      <c r="C795" s="161"/>
      <c r="D795" s="161"/>
      <c r="E795" s="161"/>
      <c r="F795" s="161"/>
      <c r="G795" s="161"/>
      <c r="H795" s="161"/>
      <c r="I795" s="161"/>
      <c r="J795" s="161"/>
      <c r="K795" s="511"/>
      <c r="L795" s="511"/>
      <c r="M795" s="161"/>
      <c r="N795" s="161"/>
      <c r="O795" s="161"/>
      <c r="P795" s="161"/>
      <c r="Q795" s="161"/>
      <c r="R795" s="161"/>
      <c r="S795" s="161"/>
      <c r="T795" s="161"/>
      <c r="U795" s="161"/>
      <c r="V795" s="161"/>
      <c r="W795" s="161"/>
      <c r="X795" s="161"/>
      <c r="Y795" s="161"/>
      <c r="Z795" s="161"/>
      <c r="AA795" s="161"/>
      <c r="AB795" s="161"/>
    </row>
    <row r="796">
      <c r="A796" s="511"/>
      <c r="B796" s="161"/>
      <c r="C796" s="161"/>
      <c r="D796" s="161"/>
      <c r="E796" s="161"/>
      <c r="F796" s="161"/>
      <c r="G796" s="161"/>
      <c r="H796" s="161"/>
      <c r="I796" s="161"/>
      <c r="J796" s="161"/>
      <c r="K796" s="511"/>
      <c r="L796" s="511"/>
      <c r="M796" s="161"/>
      <c r="N796" s="161"/>
      <c r="O796" s="161"/>
      <c r="P796" s="161"/>
      <c r="Q796" s="161"/>
      <c r="R796" s="161"/>
      <c r="S796" s="161"/>
      <c r="T796" s="161"/>
      <c r="U796" s="161"/>
      <c r="V796" s="161"/>
      <c r="W796" s="161"/>
      <c r="X796" s="161"/>
      <c r="Y796" s="161"/>
      <c r="Z796" s="161"/>
      <c r="AA796" s="161"/>
      <c r="AB796" s="161"/>
    </row>
    <row r="797">
      <c r="A797" s="511"/>
      <c r="B797" s="161"/>
      <c r="C797" s="161"/>
      <c r="D797" s="161"/>
      <c r="E797" s="161"/>
      <c r="F797" s="161"/>
      <c r="G797" s="161"/>
      <c r="H797" s="161"/>
      <c r="I797" s="161"/>
      <c r="J797" s="161"/>
      <c r="K797" s="511"/>
      <c r="L797" s="511"/>
      <c r="M797" s="161"/>
      <c r="N797" s="161"/>
      <c r="O797" s="161"/>
      <c r="P797" s="161"/>
      <c r="Q797" s="161"/>
      <c r="R797" s="161"/>
      <c r="S797" s="161"/>
      <c r="T797" s="161"/>
      <c r="U797" s="161"/>
      <c r="V797" s="161"/>
      <c r="W797" s="161"/>
      <c r="X797" s="161"/>
      <c r="Y797" s="161"/>
      <c r="Z797" s="161"/>
      <c r="AA797" s="161"/>
      <c r="AB797" s="161"/>
    </row>
    <row r="798">
      <c r="A798" s="511"/>
      <c r="B798" s="161"/>
      <c r="C798" s="161"/>
      <c r="D798" s="161"/>
      <c r="E798" s="161"/>
      <c r="F798" s="161"/>
      <c r="G798" s="161"/>
      <c r="H798" s="161"/>
      <c r="I798" s="161"/>
      <c r="J798" s="161"/>
      <c r="K798" s="511"/>
      <c r="L798" s="511"/>
      <c r="M798" s="161"/>
      <c r="N798" s="161"/>
      <c r="O798" s="161"/>
      <c r="P798" s="161"/>
      <c r="Q798" s="161"/>
      <c r="R798" s="161"/>
      <c r="S798" s="161"/>
      <c r="T798" s="161"/>
      <c r="U798" s="161"/>
      <c r="V798" s="161"/>
      <c r="W798" s="161"/>
      <c r="X798" s="161"/>
      <c r="Y798" s="161"/>
      <c r="Z798" s="161"/>
      <c r="AA798" s="161"/>
      <c r="AB798" s="161"/>
    </row>
    <row r="799">
      <c r="A799" s="511"/>
      <c r="B799" s="161"/>
      <c r="C799" s="161"/>
      <c r="D799" s="161"/>
      <c r="E799" s="161"/>
      <c r="F799" s="161"/>
      <c r="G799" s="161"/>
      <c r="H799" s="161"/>
      <c r="I799" s="161"/>
      <c r="J799" s="161"/>
      <c r="K799" s="511"/>
      <c r="L799" s="511"/>
      <c r="M799" s="161"/>
      <c r="N799" s="161"/>
      <c r="O799" s="161"/>
      <c r="P799" s="161"/>
      <c r="Q799" s="161"/>
      <c r="R799" s="161"/>
      <c r="S799" s="161"/>
      <c r="T799" s="161"/>
      <c r="U799" s="161"/>
      <c r="V799" s="161"/>
      <c r="W799" s="161"/>
      <c r="X799" s="161"/>
      <c r="Y799" s="161"/>
      <c r="Z799" s="161"/>
      <c r="AA799" s="161"/>
      <c r="AB799" s="161"/>
    </row>
    <row r="800">
      <c r="A800" s="511"/>
      <c r="B800" s="161"/>
      <c r="C800" s="161"/>
      <c r="D800" s="161"/>
      <c r="E800" s="161"/>
      <c r="F800" s="161"/>
      <c r="G800" s="161"/>
      <c r="H800" s="161"/>
      <c r="I800" s="161"/>
      <c r="J800" s="161"/>
      <c r="K800" s="511"/>
      <c r="L800" s="511"/>
      <c r="M800" s="161"/>
      <c r="N800" s="161"/>
      <c r="O800" s="161"/>
      <c r="P800" s="161"/>
      <c r="Q800" s="161"/>
      <c r="R800" s="161"/>
      <c r="S800" s="161"/>
      <c r="T800" s="161"/>
      <c r="U800" s="161"/>
      <c r="V800" s="161"/>
      <c r="W800" s="161"/>
      <c r="X800" s="161"/>
      <c r="Y800" s="161"/>
      <c r="Z800" s="161"/>
      <c r="AA800" s="161"/>
      <c r="AB800" s="161"/>
    </row>
    <row r="801">
      <c r="A801" s="511"/>
      <c r="B801" s="161"/>
      <c r="C801" s="161"/>
      <c r="D801" s="161"/>
      <c r="E801" s="161"/>
      <c r="F801" s="161"/>
      <c r="G801" s="161"/>
      <c r="H801" s="161"/>
      <c r="I801" s="161"/>
      <c r="J801" s="161"/>
      <c r="K801" s="511"/>
      <c r="L801" s="511"/>
      <c r="M801" s="161"/>
      <c r="N801" s="161"/>
      <c r="O801" s="161"/>
      <c r="P801" s="161"/>
      <c r="Q801" s="161"/>
      <c r="R801" s="161"/>
      <c r="S801" s="161"/>
      <c r="T801" s="161"/>
      <c r="U801" s="161"/>
      <c r="V801" s="161"/>
      <c r="W801" s="161"/>
      <c r="X801" s="161"/>
      <c r="Y801" s="161"/>
      <c r="Z801" s="161"/>
      <c r="AA801" s="161"/>
      <c r="AB801" s="161"/>
    </row>
    <row r="802">
      <c r="A802" s="511"/>
      <c r="B802" s="161"/>
      <c r="C802" s="161"/>
      <c r="D802" s="161"/>
      <c r="E802" s="161"/>
      <c r="F802" s="161"/>
      <c r="G802" s="161"/>
      <c r="H802" s="161"/>
      <c r="I802" s="161"/>
      <c r="J802" s="161"/>
      <c r="K802" s="511"/>
      <c r="L802" s="511"/>
      <c r="M802" s="161"/>
      <c r="N802" s="161"/>
      <c r="O802" s="161"/>
      <c r="P802" s="161"/>
      <c r="Q802" s="161"/>
      <c r="R802" s="161"/>
      <c r="S802" s="161"/>
      <c r="T802" s="161"/>
      <c r="U802" s="161"/>
      <c r="V802" s="161"/>
      <c r="W802" s="161"/>
      <c r="X802" s="161"/>
      <c r="Y802" s="161"/>
      <c r="Z802" s="161"/>
      <c r="AA802" s="161"/>
      <c r="AB802" s="161"/>
    </row>
    <row r="803">
      <c r="A803" s="511"/>
      <c r="B803" s="161"/>
      <c r="C803" s="161"/>
      <c r="D803" s="161"/>
      <c r="E803" s="161"/>
      <c r="F803" s="161"/>
      <c r="G803" s="161"/>
      <c r="H803" s="161"/>
      <c r="I803" s="161"/>
      <c r="J803" s="161"/>
      <c r="K803" s="511"/>
      <c r="L803" s="511"/>
      <c r="M803" s="161"/>
      <c r="N803" s="161"/>
      <c r="O803" s="161"/>
      <c r="P803" s="161"/>
      <c r="Q803" s="161"/>
      <c r="R803" s="161"/>
      <c r="S803" s="161"/>
      <c r="T803" s="161"/>
      <c r="U803" s="161"/>
      <c r="V803" s="161"/>
      <c r="W803" s="161"/>
      <c r="X803" s="161"/>
      <c r="Y803" s="161"/>
      <c r="Z803" s="161"/>
      <c r="AA803" s="161"/>
      <c r="AB803" s="161"/>
    </row>
    <row r="804">
      <c r="A804" s="511"/>
      <c r="B804" s="161"/>
      <c r="C804" s="161"/>
      <c r="D804" s="161"/>
      <c r="E804" s="161"/>
      <c r="F804" s="161"/>
      <c r="G804" s="161"/>
      <c r="H804" s="161"/>
      <c r="I804" s="161"/>
      <c r="J804" s="161"/>
      <c r="K804" s="511"/>
      <c r="L804" s="511"/>
      <c r="M804" s="161"/>
      <c r="N804" s="161"/>
      <c r="O804" s="161"/>
      <c r="P804" s="161"/>
      <c r="Q804" s="161"/>
      <c r="R804" s="161"/>
      <c r="S804" s="161"/>
      <c r="T804" s="161"/>
      <c r="U804" s="161"/>
      <c r="V804" s="161"/>
      <c r="W804" s="161"/>
      <c r="X804" s="161"/>
      <c r="Y804" s="161"/>
      <c r="Z804" s="161"/>
      <c r="AA804" s="161"/>
      <c r="AB804" s="161"/>
    </row>
    <row r="805">
      <c r="A805" s="511"/>
      <c r="B805" s="161"/>
      <c r="C805" s="161"/>
      <c r="D805" s="161"/>
      <c r="E805" s="161"/>
      <c r="F805" s="161"/>
      <c r="G805" s="161"/>
      <c r="H805" s="161"/>
      <c r="I805" s="161"/>
      <c r="J805" s="161"/>
      <c r="K805" s="511"/>
      <c r="L805" s="511"/>
      <c r="M805" s="161"/>
      <c r="N805" s="161"/>
      <c r="O805" s="161"/>
      <c r="P805" s="161"/>
      <c r="Q805" s="161"/>
      <c r="R805" s="161"/>
      <c r="S805" s="161"/>
      <c r="T805" s="161"/>
      <c r="U805" s="161"/>
      <c r="V805" s="161"/>
      <c r="W805" s="161"/>
      <c r="X805" s="161"/>
      <c r="Y805" s="161"/>
      <c r="Z805" s="161"/>
      <c r="AA805" s="161"/>
      <c r="AB805" s="161"/>
    </row>
    <row r="806">
      <c r="A806" s="511"/>
      <c r="B806" s="161"/>
      <c r="C806" s="161"/>
      <c r="D806" s="161"/>
      <c r="E806" s="161"/>
      <c r="F806" s="161"/>
      <c r="G806" s="161"/>
      <c r="H806" s="161"/>
      <c r="I806" s="161"/>
      <c r="J806" s="161"/>
      <c r="K806" s="511"/>
      <c r="L806" s="511"/>
      <c r="M806" s="161"/>
      <c r="N806" s="161"/>
      <c r="O806" s="161"/>
      <c r="P806" s="161"/>
      <c r="Q806" s="161"/>
      <c r="R806" s="161"/>
      <c r="S806" s="161"/>
      <c r="T806" s="161"/>
      <c r="U806" s="161"/>
      <c r="V806" s="161"/>
      <c r="W806" s="161"/>
      <c r="X806" s="161"/>
      <c r="Y806" s="161"/>
      <c r="Z806" s="161"/>
      <c r="AA806" s="161"/>
      <c r="AB806" s="161"/>
    </row>
    <row r="807">
      <c r="A807" s="511"/>
      <c r="B807" s="161"/>
      <c r="C807" s="161"/>
      <c r="D807" s="161"/>
      <c r="E807" s="161"/>
      <c r="F807" s="161"/>
      <c r="G807" s="161"/>
      <c r="H807" s="161"/>
      <c r="I807" s="161"/>
      <c r="J807" s="161"/>
      <c r="K807" s="511"/>
      <c r="L807" s="511"/>
      <c r="M807" s="161"/>
      <c r="N807" s="161"/>
      <c r="O807" s="161"/>
      <c r="P807" s="161"/>
      <c r="Q807" s="161"/>
      <c r="R807" s="161"/>
      <c r="S807" s="161"/>
      <c r="T807" s="161"/>
      <c r="U807" s="161"/>
      <c r="V807" s="161"/>
      <c r="W807" s="161"/>
      <c r="X807" s="161"/>
      <c r="Y807" s="161"/>
      <c r="Z807" s="161"/>
      <c r="AA807" s="161"/>
      <c r="AB807" s="161"/>
    </row>
    <row r="808">
      <c r="A808" s="511"/>
      <c r="B808" s="161"/>
      <c r="C808" s="161"/>
      <c r="D808" s="161"/>
      <c r="E808" s="161"/>
      <c r="F808" s="161"/>
      <c r="G808" s="161"/>
      <c r="H808" s="161"/>
      <c r="I808" s="161"/>
      <c r="J808" s="161"/>
      <c r="K808" s="511"/>
      <c r="L808" s="511"/>
      <c r="M808" s="161"/>
      <c r="N808" s="161"/>
      <c r="O808" s="161"/>
      <c r="P808" s="161"/>
      <c r="Q808" s="161"/>
      <c r="R808" s="161"/>
      <c r="S808" s="161"/>
      <c r="T808" s="161"/>
      <c r="U808" s="161"/>
      <c r="V808" s="161"/>
      <c r="W808" s="161"/>
      <c r="X808" s="161"/>
      <c r="Y808" s="161"/>
      <c r="Z808" s="161"/>
      <c r="AA808" s="161"/>
      <c r="AB808" s="161"/>
    </row>
    <row r="809">
      <c r="A809" s="511"/>
      <c r="B809" s="161"/>
      <c r="C809" s="161"/>
      <c r="D809" s="161"/>
      <c r="E809" s="161"/>
      <c r="F809" s="161"/>
      <c r="G809" s="161"/>
      <c r="H809" s="161"/>
      <c r="I809" s="161"/>
      <c r="J809" s="161"/>
      <c r="K809" s="511"/>
      <c r="L809" s="511"/>
      <c r="M809" s="161"/>
      <c r="N809" s="161"/>
      <c r="O809" s="161"/>
      <c r="P809" s="161"/>
      <c r="Q809" s="161"/>
      <c r="R809" s="161"/>
      <c r="S809" s="161"/>
      <c r="T809" s="161"/>
      <c r="U809" s="161"/>
      <c r="V809" s="161"/>
      <c r="W809" s="161"/>
      <c r="X809" s="161"/>
      <c r="Y809" s="161"/>
      <c r="Z809" s="161"/>
      <c r="AA809" s="161"/>
      <c r="AB809" s="161"/>
    </row>
    <row r="810">
      <c r="A810" s="511"/>
      <c r="B810" s="161"/>
      <c r="C810" s="161"/>
      <c r="D810" s="161"/>
      <c r="E810" s="161"/>
      <c r="F810" s="161"/>
      <c r="G810" s="161"/>
      <c r="H810" s="161"/>
      <c r="I810" s="161"/>
      <c r="J810" s="161"/>
      <c r="K810" s="511"/>
      <c r="L810" s="511"/>
      <c r="M810" s="161"/>
      <c r="N810" s="161"/>
      <c r="O810" s="161"/>
      <c r="P810" s="161"/>
      <c r="Q810" s="161"/>
      <c r="R810" s="161"/>
      <c r="S810" s="161"/>
      <c r="T810" s="161"/>
      <c r="U810" s="161"/>
      <c r="V810" s="161"/>
      <c r="W810" s="161"/>
      <c r="X810" s="161"/>
      <c r="Y810" s="161"/>
      <c r="Z810" s="161"/>
      <c r="AA810" s="161"/>
      <c r="AB810" s="161"/>
    </row>
    <row r="811">
      <c r="A811" s="511"/>
      <c r="B811" s="161"/>
      <c r="C811" s="161"/>
      <c r="D811" s="161"/>
      <c r="E811" s="161"/>
      <c r="F811" s="161"/>
      <c r="G811" s="161"/>
      <c r="H811" s="161"/>
      <c r="I811" s="161"/>
      <c r="J811" s="161"/>
      <c r="K811" s="511"/>
      <c r="L811" s="511"/>
      <c r="M811" s="161"/>
      <c r="N811" s="161"/>
      <c r="O811" s="161"/>
      <c r="P811" s="161"/>
      <c r="Q811" s="161"/>
      <c r="R811" s="161"/>
      <c r="S811" s="161"/>
      <c r="T811" s="161"/>
      <c r="U811" s="161"/>
      <c r="V811" s="161"/>
      <c r="W811" s="161"/>
      <c r="X811" s="161"/>
      <c r="Y811" s="161"/>
      <c r="Z811" s="161"/>
      <c r="AA811" s="161"/>
      <c r="AB811" s="161"/>
    </row>
    <row r="812">
      <c r="A812" s="511"/>
      <c r="B812" s="161"/>
      <c r="C812" s="161"/>
      <c r="D812" s="161"/>
      <c r="E812" s="161"/>
      <c r="F812" s="161"/>
      <c r="G812" s="161"/>
      <c r="H812" s="161"/>
      <c r="I812" s="161"/>
      <c r="J812" s="161"/>
      <c r="K812" s="511"/>
      <c r="L812" s="511"/>
      <c r="M812" s="161"/>
      <c r="N812" s="161"/>
      <c r="O812" s="161"/>
      <c r="P812" s="161"/>
      <c r="Q812" s="161"/>
      <c r="R812" s="161"/>
      <c r="S812" s="161"/>
      <c r="T812" s="161"/>
      <c r="U812" s="161"/>
      <c r="V812" s="161"/>
      <c r="W812" s="161"/>
      <c r="X812" s="161"/>
      <c r="Y812" s="161"/>
      <c r="Z812" s="161"/>
      <c r="AA812" s="161"/>
      <c r="AB812" s="161"/>
    </row>
    <row r="813">
      <c r="A813" s="511"/>
      <c r="B813" s="161"/>
      <c r="C813" s="161"/>
      <c r="D813" s="161"/>
      <c r="E813" s="161"/>
      <c r="F813" s="161"/>
      <c r="G813" s="161"/>
      <c r="H813" s="161"/>
      <c r="I813" s="161"/>
      <c r="J813" s="161"/>
      <c r="K813" s="511"/>
      <c r="L813" s="511"/>
      <c r="M813" s="161"/>
      <c r="N813" s="161"/>
      <c r="O813" s="161"/>
      <c r="P813" s="161"/>
      <c r="Q813" s="161"/>
      <c r="R813" s="161"/>
      <c r="S813" s="161"/>
      <c r="T813" s="161"/>
      <c r="U813" s="161"/>
      <c r="V813" s="161"/>
      <c r="W813" s="161"/>
      <c r="X813" s="161"/>
      <c r="Y813" s="161"/>
      <c r="Z813" s="161"/>
      <c r="AA813" s="161"/>
      <c r="AB813" s="161"/>
    </row>
    <row r="814">
      <c r="A814" s="511"/>
      <c r="B814" s="161"/>
      <c r="C814" s="161"/>
      <c r="D814" s="161"/>
      <c r="E814" s="161"/>
      <c r="F814" s="161"/>
      <c r="G814" s="161"/>
      <c r="H814" s="161"/>
      <c r="I814" s="161"/>
      <c r="J814" s="161"/>
      <c r="K814" s="511"/>
      <c r="L814" s="511"/>
      <c r="M814" s="161"/>
      <c r="N814" s="161"/>
      <c r="O814" s="161"/>
      <c r="P814" s="161"/>
      <c r="Q814" s="161"/>
      <c r="R814" s="161"/>
      <c r="S814" s="161"/>
      <c r="T814" s="161"/>
      <c r="U814" s="161"/>
      <c r="V814" s="161"/>
      <c r="W814" s="161"/>
      <c r="X814" s="161"/>
      <c r="Y814" s="161"/>
      <c r="Z814" s="161"/>
      <c r="AA814" s="161"/>
      <c r="AB814" s="161"/>
    </row>
    <row r="815">
      <c r="A815" s="511"/>
      <c r="B815" s="161"/>
      <c r="C815" s="161"/>
      <c r="D815" s="161"/>
      <c r="E815" s="161"/>
      <c r="F815" s="161"/>
      <c r="G815" s="161"/>
      <c r="H815" s="161"/>
      <c r="I815" s="161"/>
      <c r="J815" s="161"/>
      <c r="K815" s="511"/>
      <c r="L815" s="511"/>
      <c r="M815" s="161"/>
      <c r="N815" s="161"/>
      <c r="O815" s="161"/>
      <c r="P815" s="161"/>
      <c r="Q815" s="161"/>
      <c r="R815" s="161"/>
      <c r="S815" s="161"/>
      <c r="T815" s="161"/>
      <c r="U815" s="161"/>
      <c r="V815" s="161"/>
      <c r="W815" s="161"/>
      <c r="X815" s="161"/>
      <c r="Y815" s="161"/>
      <c r="Z815" s="161"/>
      <c r="AA815" s="161"/>
      <c r="AB815" s="161"/>
    </row>
    <row r="816">
      <c r="A816" s="511"/>
      <c r="B816" s="161"/>
      <c r="C816" s="161"/>
      <c r="D816" s="161"/>
      <c r="E816" s="161"/>
      <c r="F816" s="161"/>
      <c r="G816" s="161"/>
      <c r="H816" s="161"/>
      <c r="I816" s="161"/>
      <c r="J816" s="161"/>
      <c r="K816" s="511"/>
      <c r="L816" s="511"/>
      <c r="M816" s="161"/>
      <c r="N816" s="161"/>
      <c r="O816" s="161"/>
      <c r="P816" s="161"/>
      <c r="Q816" s="161"/>
      <c r="R816" s="161"/>
      <c r="S816" s="161"/>
      <c r="T816" s="161"/>
      <c r="U816" s="161"/>
      <c r="V816" s="161"/>
      <c r="W816" s="161"/>
      <c r="X816" s="161"/>
      <c r="Y816" s="161"/>
      <c r="Z816" s="161"/>
      <c r="AA816" s="161"/>
      <c r="AB816" s="161"/>
    </row>
    <row r="817">
      <c r="A817" s="511"/>
      <c r="B817" s="161"/>
      <c r="C817" s="161"/>
      <c r="D817" s="161"/>
      <c r="E817" s="161"/>
      <c r="F817" s="161"/>
      <c r="G817" s="161"/>
      <c r="H817" s="161"/>
      <c r="I817" s="161"/>
      <c r="J817" s="161"/>
      <c r="K817" s="511"/>
      <c r="L817" s="511"/>
      <c r="M817" s="161"/>
      <c r="N817" s="161"/>
      <c r="O817" s="161"/>
      <c r="P817" s="161"/>
      <c r="Q817" s="161"/>
      <c r="R817" s="161"/>
      <c r="S817" s="161"/>
      <c r="T817" s="161"/>
      <c r="U817" s="161"/>
      <c r="V817" s="161"/>
      <c r="W817" s="161"/>
      <c r="X817" s="161"/>
      <c r="Y817" s="161"/>
      <c r="Z817" s="161"/>
      <c r="AA817" s="161"/>
      <c r="AB817" s="161"/>
    </row>
    <row r="818">
      <c r="A818" s="511"/>
      <c r="B818" s="161"/>
      <c r="C818" s="161"/>
      <c r="D818" s="161"/>
      <c r="E818" s="161"/>
      <c r="F818" s="161"/>
      <c r="G818" s="161"/>
      <c r="H818" s="161"/>
      <c r="I818" s="161"/>
      <c r="J818" s="161"/>
      <c r="K818" s="511"/>
      <c r="L818" s="511"/>
      <c r="M818" s="161"/>
      <c r="N818" s="161"/>
      <c r="O818" s="161"/>
      <c r="P818" s="161"/>
      <c r="Q818" s="161"/>
      <c r="R818" s="161"/>
      <c r="S818" s="161"/>
      <c r="T818" s="161"/>
      <c r="U818" s="161"/>
      <c r="V818" s="161"/>
      <c r="W818" s="161"/>
      <c r="X818" s="161"/>
      <c r="Y818" s="161"/>
      <c r="Z818" s="161"/>
      <c r="AA818" s="161"/>
      <c r="AB818" s="161"/>
    </row>
    <row r="819">
      <c r="A819" s="511"/>
      <c r="B819" s="161"/>
      <c r="C819" s="161"/>
      <c r="D819" s="161"/>
      <c r="E819" s="161"/>
      <c r="F819" s="161"/>
      <c r="G819" s="161"/>
      <c r="H819" s="161"/>
      <c r="I819" s="161"/>
      <c r="J819" s="161"/>
      <c r="K819" s="511"/>
      <c r="L819" s="511"/>
      <c r="M819" s="161"/>
      <c r="N819" s="161"/>
      <c r="O819" s="161"/>
      <c r="P819" s="161"/>
      <c r="Q819" s="161"/>
      <c r="R819" s="161"/>
      <c r="S819" s="161"/>
      <c r="T819" s="161"/>
      <c r="U819" s="161"/>
      <c r="V819" s="161"/>
      <c r="W819" s="161"/>
      <c r="X819" s="161"/>
      <c r="Y819" s="161"/>
      <c r="Z819" s="161"/>
      <c r="AA819" s="161"/>
      <c r="AB819" s="161"/>
    </row>
    <row r="820">
      <c r="A820" s="511"/>
      <c r="B820" s="161"/>
      <c r="C820" s="161"/>
      <c r="D820" s="161"/>
      <c r="E820" s="161"/>
      <c r="F820" s="161"/>
      <c r="G820" s="161"/>
      <c r="H820" s="161"/>
      <c r="I820" s="161"/>
      <c r="J820" s="161"/>
      <c r="K820" s="511"/>
      <c r="L820" s="511"/>
      <c r="M820" s="161"/>
      <c r="N820" s="161"/>
      <c r="O820" s="161"/>
      <c r="P820" s="161"/>
      <c r="Q820" s="161"/>
      <c r="R820" s="161"/>
      <c r="S820" s="161"/>
      <c r="T820" s="161"/>
      <c r="U820" s="161"/>
      <c r="V820" s="161"/>
      <c r="W820" s="161"/>
      <c r="X820" s="161"/>
      <c r="Y820" s="161"/>
      <c r="Z820" s="161"/>
      <c r="AA820" s="161"/>
      <c r="AB820" s="161"/>
    </row>
    <row r="821">
      <c r="A821" s="511"/>
      <c r="B821" s="161"/>
      <c r="C821" s="161"/>
      <c r="D821" s="161"/>
      <c r="E821" s="161"/>
      <c r="F821" s="161"/>
      <c r="G821" s="161"/>
      <c r="H821" s="161"/>
      <c r="I821" s="161"/>
      <c r="J821" s="161"/>
      <c r="K821" s="511"/>
      <c r="L821" s="511"/>
      <c r="M821" s="161"/>
      <c r="N821" s="161"/>
      <c r="O821" s="161"/>
      <c r="P821" s="161"/>
      <c r="Q821" s="161"/>
      <c r="R821" s="161"/>
      <c r="S821" s="161"/>
      <c r="T821" s="161"/>
      <c r="U821" s="161"/>
      <c r="V821" s="161"/>
      <c r="W821" s="161"/>
      <c r="X821" s="161"/>
      <c r="Y821" s="161"/>
      <c r="Z821" s="161"/>
      <c r="AA821" s="161"/>
      <c r="AB821" s="161"/>
    </row>
    <row r="822">
      <c r="A822" s="511"/>
      <c r="B822" s="161"/>
      <c r="C822" s="161"/>
      <c r="D822" s="161"/>
      <c r="E822" s="161"/>
      <c r="F822" s="161"/>
      <c r="G822" s="161"/>
      <c r="H822" s="161"/>
      <c r="I822" s="161"/>
      <c r="J822" s="161"/>
      <c r="K822" s="511"/>
      <c r="L822" s="511"/>
      <c r="M822" s="161"/>
      <c r="N822" s="161"/>
      <c r="O822" s="161"/>
      <c r="P822" s="161"/>
      <c r="Q822" s="161"/>
      <c r="R822" s="161"/>
      <c r="S822" s="161"/>
      <c r="T822" s="161"/>
      <c r="U822" s="161"/>
      <c r="V822" s="161"/>
      <c r="W822" s="161"/>
      <c r="X822" s="161"/>
      <c r="Y822" s="161"/>
      <c r="Z822" s="161"/>
      <c r="AA822" s="161"/>
      <c r="AB822" s="161"/>
    </row>
    <row r="823">
      <c r="A823" s="511"/>
      <c r="B823" s="161"/>
      <c r="C823" s="161"/>
      <c r="D823" s="161"/>
      <c r="E823" s="161"/>
      <c r="F823" s="161"/>
      <c r="G823" s="161"/>
      <c r="H823" s="161"/>
      <c r="I823" s="161"/>
      <c r="J823" s="161"/>
      <c r="K823" s="511"/>
      <c r="L823" s="511"/>
      <c r="M823" s="161"/>
      <c r="N823" s="161"/>
      <c r="O823" s="161"/>
      <c r="P823" s="161"/>
      <c r="Q823" s="161"/>
      <c r="R823" s="161"/>
      <c r="S823" s="161"/>
      <c r="T823" s="161"/>
      <c r="U823" s="161"/>
      <c r="V823" s="161"/>
      <c r="W823" s="161"/>
      <c r="X823" s="161"/>
      <c r="Y823" s="161"/>
      <c r="Z823" s="161"/>
      <c r="AA823" s="161"/>
      <c r="AB823" s="161"/>
    </row>
    <row r="824">
      <c r="A824" s="511"/>
      <c r="B824" s="161"/>
      <c r="C824" s="161"/>
      <c r="D824" s="161"/>
      <c r="E824" s="161"/>
      <c r="F824" s="161"/>
      <c r="G824" s="161"/>
      <c r="H824" s="161"/>
      <c r="I824" s="161"/>
      <c r="J824" s="161"/>
      <c r="K824" s="511"/>
      <c r="L824" s="511"/>
      <c r="M824" s="161"/>
      <c r="N824" s="161"/>
      <c r="O824" s="161"/>
      <c r="P824" s="161"/>
      <c r="Q824" s="161"/>
      <c r="R824" s="161"/>
      <c r="S824" s="161"/>
      <c r="T824" s="161"/>
      <c r="U824" s="161"/>
      <c r="V824" s="161"/>
      <c r="W824" s="161"/>
      <c r="X824" s="161"/>
      <c r="Y824" s="161"/>
      <c r="Z824" s="161"/>
      <c r="AA824" s="161"/>
      <c r="AB824" s="161"/>
    </row>
    <row r="825">
      <c r="A825" s="511"/>
      <c r="B825" s="161"/>
      <c r="C825" s="161"/>
      <c r="D825" s="161"/>
      <c r="E825" s="161"/>
      <c r="F825" s="161"/>
      <c r="G825" s="161"/>
      <c r="H825" s="161"/>
      <c r="I825" s="161"/>
      <c r="J825" s="161"/>
      <c r="K825" s="511"/>
      <c r="L825" s="511"/>
      <c r="M825" s="161"/>
      <c r="N825" s="161"/>
      <c r="O825" s="161"/>
      <c r="P825" s="161"/>
      <c r="Q825" s="161"/>
      <c r="R825" s="161"/>
      <c r="S825" s="161"/>
      <c r="T825" s="161"/>
      <c r="U825" s="161"/>
      <c r="V825" s="161"/>
      <c r="W825" s="161"/>
      <c r="X825" s="161"/>
      <c r="Y825" s="161"/>
      <c r="Z825" s="161"/>
      <c r="AA825" s="161"/>
      <c r="AB825" s="161"/>
    </row>
    <row r="826">
      <c r="A826" s="511"/>
      <c r="B826" s="161"/>
      <c r="C826" s="161"/>
      <c r="D826" s="161"/>
      <c r="E826" s="161"/>
      <c r="F826" s="161"/>
      <c r="G826" s="161"/>
      <c r="H826" s="161"/>
      <c r="I826" s="161"/>
      <c r="J826" s="161"/>
      <c r="K826" s="511"/>
      <c r="L826" s="511"/>
      <c r="M826" s="161"/>
      <c r="N826" s="161"/>
      <c r="O826" s="161"/>
      <c r="P826" s="161"/>
      <c r="Q826" s="161"/>
      <c r="R826" s="161"/>
      <c r="S826" s="161"/>
      <c r="T826" s="161"/>
      <c r="U826" s="161"/>
      <c r="V826" s="161"/>
      <c r="W826" s="161"/>
      <c r="X826" s="161"/>
      <c r="Y826" s="161"/>
      <c r="Z826" s="161"/>
      <c r="AA826" s="161"/>
      <c r="AB826" s="161"/>
    </row>
    <row r="827">
      <c r="A827" s="511"/>
      <c r="B827" s="161"/>
      <c r="C827" s="161"/>
      <c r="D827" s="161"/>
      <c r="E827" s="161"/>
      <c r="F827" s="161"/>
      <c r="G827" s="161"/>
      <c r="H827" s="161"/>
      <c r="I827" s="161"/>
      <c r="J827" s="161"/>
      <c r="K827" s="511"/>
      <c r="L827" s="511"/>
      <c r="M827" s="161"/>
      <c r="N827" s="161"/>
      <c r="O827" s="161"/>
      <c r="P827" s="161"/>
      <c r="Q827" s="161"/>
      <c r="R827" s="161"/>
      <c r="S827" s="161"/>
      <c r="T827" s="161"/>
      <c r="U827" s="161"/>
      <c r="V827" s="161"/>
      <c r="W827" s="161"/>
      <c r="X827" s="161"/>
      <c r="Y827" s="161"/>
      <c r="Z827" s="161"/>
      <c r="AA827" s="161"/>
      <c r="AB827" s="161"/>
    </row>
    <row r="828">
      <c r="A828" s="511"/>
      <c r="B828" s="161"/>
      <c r="C828" s="161"/>
      <c r="D828" s="161"/>
      <c r="E828" s="161"/>
      <c r="F828" s="161"/>
      <c r="G828" s="161"/>
      <c r="H828" s="161"/>
      <c r="I828" s="161"/>
      <c r="J828" s="161"/>
      <c r="K828" s="511"/>
      <c r="L828" s="511"/>
      <c r="M828" s="161"/>
      <c r="N828" s="161"/>
      <c r="O828" s="161"/>
      <c r="P828" s="161"/>
      <c r="Q828" s="161"/>
      <c r="R828" s="161"/>
      <c r="S828" s="161"/>
      <c r="T828" s="161"/>
      <c r="U828" s="161"/>
      <c r="V828" s="161"/>
      <c r="W828" s="161"/>
      <c r="X828" s="161"/>
      <c r="Y828" s="161"/>
      <c r="Z828" s="161"/>
      <c r="AA828" s="161"/>
      <c r="AB828" s="161"/>
    </row>
    <row r="829">
      <c r="A829" s="511"/>
      <c r="B829" s="161"/>
      <c r="C829" s="161"/>
      <c r="D829" s="161"/>
      <c r="E829" s="161"/>
      <c r="F829" s="161"/>
      <c r="G829" s="161"/>
      <c r="H829" s="161"/>
      <c r="I829" s="161"/>
      <c r="J829" s="161"/>
      <c r="K829" s="511"/>
      <c r="L829" s="511"/>
      <c r="M829" s="161"/>
      <c r="N829" s="161"/>
      <c r="O829" s="161"/>
      <c r="P829" s="161"/>
      <c r="Q829" s="161"/>
      <c r="R829" s="161"/>
      <c r="S829" s="161"/>
      <c r="T829" s="161"/>
      <c r="U829" s="161"/>
      <c r="V829" s="161"/>
      <c r="W829" s="161"/>
      <c r="X829" s="161"/>
      <c r="Y829" s="161"/>
      <c r="Z829" s="161"/>
      <c r="AA829" s="161"/>
      <c r="AB829" s="161"/>
    </row>
    <row r="830">
      <c r="A830" s="511"/>
      <c r="B830" s="161"/>
      <c r="C830" s="161"/>
      <c r="D830" s="161"/>
      <c r="E830" s="161"/>
      <c r="F830" s="161"/>
      <c r="G830" s="161"/>
      <c r="H830" s="161"/>
      <c r="I830" s="161"/>
      <c r="J830" s="161"/>
      <c r="K830" s="511"/>
      <c r="L830" s="511"/>
      <c r="M830" s="161"/>
      <c r="N830" s="161"/>
      <c r="O830" s="161"/>
      <c r="P830" s="161"/>
      <c r="Q830" s="161"/>
      <c r="R830" s="161"/>
      <c r="S830" s="161"/>
      <c r="T830" s="161"/>
      <c r="U830" s="161"/>
      <c r="V830" s="161"/>
      <c r="W830" s="161"/>
      <c r="X830" s="161"/>
      <c r="Y830" s="161"/>
      <c r="Z830" s="161"/>
      <c r="AA830" s="161"/>
      <c r="AB830" s="161"/>
    </row>
    <row r="831">
      <c r="A831" s="511"/>
      <c r="B831" s="161"/>
      <c r="C831" s="161"/>
      <c r="D831" s="161"/>
      <c r="E831" s="161"/>
      <c r="F831" s="161"/>
      <c r="G831" s="161"/>
      <c r="H831" s="161"/>
      <c r="I831" s="161"/>
      <c r="J831" s="161"/>
      <c r="K831" s="511"/>
      <c r="L831" s="511"/>
      <c r="M831" s="161"/>
      <c r="N831" s="161"/>
      <c r="O831" s="161"/>
      <c r="P831" s="161"/>
      <c r="Q831" s="161"/>
      <c r="R831" s="161"/>
      <c r="S831" s="161"/>
      <c r="T831" s="161"/>
      <c r="U831" s="161"/>
      <c r="V831" s="161"/>
      <c r="W831" s="161"/>
      <c r="X831" s="161"/>
      <c r="Y831" s="161"/>
      <c r="Z831" s="161"/>
      <c r="AA831" s="161"/>
      <c r="AB831" s="161"/>
    </row>
    <row r="832">
      <c r="A832" s="511"/>
      <c r="B832" s="161"/>
      <c r="C832" s="161"/>
      <c r="D832" s="161"/>
      <c r="E832" s="161"/>
      <c r="F832" s="161"/>
      <c r="G832" s="161"/>
      <c r="H832" s="161"/>
      <c r="I832" s="161"/>
      <c r="J832" s="161"/>
      <c r="K832" s="511"/>
      <c r="L832" s="511"/>
      <c r="M832" s="161"/>
      <c r="N832" s="161"/>
      <c r="O832" s="161"/>
      <c r="P832" s="161"/>
      <c r="Q832" s="161"/>
      <c r="R832" s="161"/>
      <c r="S832" s="161"/>
      <c r="T832" s="161"/>
      <c r="U832" s="161"/>
      <c r="V832" s="161"/>
      <c r="W832" s="161"/>
      <c r="X832" s="161"/>
      <c r="Y832" s="161"/>
      <c r="Z832" s="161"/>
      <c r="AA832" s="161"/>
      <c r="AB832" s="161"/>
    </row>
    <row r="833">
      <c r="A833" s="511"/>
      <c r="B833" s="161"/>
      <c r="C833" s="161"/>
      <c r="D833" s="161"/>
      <c r="E833" s="161"/>
      <c r="F833" s="161"/>
      <c r="G833" s="161"/>
      <c r="H833" s="161"/>
      <c r="I833" s="161"/>
      <c r="J833" s="161"/>
      <c r="K833" s="511"/>
      <c r="L833" s="511"/>
      <c r="M833" s="161"/>
      <c r="N833" s="161"/>
      <c r="O833" s="161"/>
      <c r="P833" s="161"/>
      <c r="Q833" s="161"/>
      <c r="R833" s="161"/>
      <c r="S833" s="161"/>
      <c r="T833" s="161"/>
      <c r="U833" s="161"/>
      <c r="V833" s="161"/>
      <c r="W833" s="161"/>
      <c r="X833" s="161"/>
      <c r="Y833" s="161"/>
      <c r="Z833" s="161"/>
      <c r="AA833" s="161"/>
      <c r="AB833" s="161"/>
    </row>
    <row r="834">
      <c r="A834" s="511"/>
      <c r="B834" s="161"/>
      <c r="C834" s="161"/>
      <c r="D834" s="161"/>
      <c r="E834" s="161"/>
      <c r="F834" s="161"/>
      <c r="G834" s="161"/>
      <c r="H834" s="161"/>
      <c r="I834" s="161"/>
      <c r="J834" s="161"/>
      <c r="K834" s="511"/>
      <c r="L834" s="511"/>
      <c r="M834" s="161"/>
      <c r="N834" s="161"/>
      <c r="O834" s="161"/>
      <c r="P834" s="161"/>
      <c r="Q834" s="161"/>
      <c r="R834" s="161"/>
      <c r="S834" s="161"/>
      <c r="T834" s="161"/>
      <c r="U834" s="161"/>
      <c r="V834" s="161"/>
      <c r="W834" s="161"/>
      <c r="X834" s="161"/>
      <c r="Y834" s="161"/>
      <c r="Z834" s="161"/>
      <c r="AA834" s="161"/>
      <c r="AB834" s="161"/>
    </row>
    <row r="835">
      <c r="A835" s="511"/>
      <c r="B835" s="161"/>
      <c r="C835" s="161"/>
      <c r="D835" s="161"/>
      <c r="E835" s="161"/>
      <c r="F835" s="161"/>
      <c r="G835" s="161"/>
      <c r="H835" s="161"/>
      <c r="I835" s="161"/>
      <c r="J835" s="161"/>
      <c r="K835" s="511"/>
      <c r="L835" s="511"/>
      <c r="M835" s="161"/>
      <c r="N835" s="161"/>
      <c r="O835" s="161"/>
      <c r="P835" s="161"/>
      <c r="Q835" s="161"/>
      <c r="R835" s="161"/>
      <c r="S835" s="161"/>
      <c r="T835" s="161"/>
      <c r="U835" s="161"/>
      <c r="V835" s="161"/>
      <c r="W835" s="161"/>
      <c r="X835" s="161"/>
      <c r="Y835" s="161"/>
      <c r="Z835" s="161"/>
      <c r="AA835" s="161"/>
      <c r="AB835" s="161"/>
    </row>
    <row r="836">
      <c r="A836" s="511"/>
      <c r="B836" s="161"/>
      <c r="C836" s="161"/>
      <c r="D836" s="161"/>
      <c r="E836" s="161"/>
      <c r="F836" s="161"/>
      <c r="G836" s="161"/>
      <c r="H836" s="161"/>
      <c r="I836" s="161"/>
      <c r="J836" s="161"/>
      <c r="K836" s="511"/>
      <c r="L836" s="511"/>
      <c r="M836" s="161"/>
      <c r="N836" s="161"/>
      <c r="O836" s="161"/>
      <c r="P836" s="161"/>
      <c r="Q836" s="161"/>
      <c r="R836" s="161"/>
      <c r="S836" s="161"/>
      <c r="T836" s="161"/>
      <c r="U836" s="161"/>
      <c r="V836" s="161"/>
      <c r="W836" s="161"/>
      <c r="X836" s="161"/>
      <c r="Y836" s="161"/>
      <c r="Z836" s="161"/>
      <c r="AA836" s="161"/>
      <c r="AB836" s="161"/>
    </row>
    <row r="837">
      <c r="A837" s="511"/>
      <c r="B837" s="161"/>
      <c r="C837" s="161"/>
      <c r="D837" s="161"/>
      <c r="E837" s="161"/>
      <c r="F837" s="161"/>
      <c r="G837" s="161"/>
      <c r="H837" s="161"/>
      <c r="I837" s="161"/>
      <c r="J837" s="161"/>
      <c r="K837" s="511"/>
      <c r="L837" s="511"/>
      <c r="M837" s="161"/>
      <c r="N837" s="161"/>
      <c r="O837" s="161"/>
      <c r="P837" s="161"/>
      <c r="Q837" s="161"/>
      <c r="R837" s="161"/>
      <c r="S837" s="161"/>
      <c r="T837" s="161"/>
      <c r="U837" s="161"/>
      <c r="V837" s="161"/>
      <c r="W837" s="161"/>
      <c r="X837" s="161"/>
      <c r="Y837" s="161"/>
      <c r="Z837" s="161"/>
      <c r="AA837" s="161"/>
      <c r="AB837" s="161"/>
    </row>
    <row r="838">
      <c r="A838" s="511"/>
      <c r="B838" s="161"/>
      <c r="C838" s="161"/>
      <c r="D838" s="161"/>
      <c r="E838" s="161"/>
      <c r="F838" s="161"/>
      <c r="G838" s="161"/>
      <c r="H838" s="161"/>
      <c r="I838" s="161"/>
      <c r="J838" s="161"/>
      <c r="K838" s="511"/>
      <c r="L838" s="511"/>
      <c r="M838" s="161"/>
      <c r="N838" s="161"/>
      <c r="O838" s="161"/>
      <c r="P838" s="161"/>
      <c r="Q838" s="161"/>
      <c r="R838" s="161"/>
      <c r="S838" s="161"/>
      <c r="T838" s="161"/>
      <c r="U838" s="161"/>
      <c r="V838" s="161"/>
      <c r="W838" s="161"/>
      <c r="X838" s="161"/>
      <c r="Y838" s="161"/>
      <c r="Z838" s="161"/>
      <c r="AA838" s="161"/>
      <c r="AB838" s="161"/>
    </row>
    <row r="839">
      <c r="A839" s="511"/>
      <c r="B839" s="161"/>
      <c r="C839" s="161"/>
      <c r="D839" s="161"/>
      <c r="E839" s="161"/>
      <c r="F839" s="161"/>
      <c r="G839" s="161"/>
      <c r="H839" s="161"/>
      <c r="I839" s="161"/>
      <c r="J839" s="161"/>
      <c r="K839" s="511"/>
      <c r="L839" s="511"/>
      <c r="M839" s="161"/>
      <c r="N839" s="161"/>
      <c r="O839" s="161"/>
      <c r="P839" s="161"/>
      <c r="Q839" s="161"/>
      <c r="R839" s="161"/>
      <c r="S839" s="161"/>
      <c r="T839" s="161"/>
      <c r="U839" s="161"/>
      <c r="V839" s="161"/>
      <c r="W839" s="161"/>
      <c r="X839" s="161"/>
      <c r="Y839" s="161"/>
      <c r="Z839" s="161"/>
      <c r="AA839" s="161"/>
      <c r="AB839" s="161"/>
    </row>
    <row r="840">
      <c r="A840" s="511"/>
      <c r="B840" s="161"/>
      <c r="C840" s="161"/>
      <c r="D840" s="161"/>
      <c r="E840" s="161"/>
      <c r="F840" s="161"/>
      <c r="G840" s="161"/>
      <c r="H840" s="161"/>
      <c r="I840" s="161"/>
      <c r="J840" s="161"/>
      <c r="K840" s="511"/>
      <c r="L840" s="511"/>
      <c r="M840" s="161"/>
      <c r="N840" s="161"/>
      <c r="O840" s="161"/>
      <c r="P840" s="161"/>
      <c r="Q840" s="161"/>
      <c r="R840" s="161"/>
      <c r="S840" s="161"/>
      <c r="T840" s="161"/>
      <c r="U840" s="161"/>
      <c r="V840" s="161"/>
      <c r="W840" s="161"/>
      <c r="X840" s="161"/>
      <c r="Y840" s="161"/>
      <c r="Z840" s="161"/>
      <c r="AA840" s="161"/>
      <c r="AB840" s="161"/>
    </row>
    <row r="841">
      <c r="A841" s="511"/>
      <c r="B841" s="161"/>
      <c r="C841" s="161"/>
      <c r="D841" s="161"/>
      <c r="E841" s="161"/>
      <c r="F841" s="161"/>
      <c r="G841" s="161"/>
      <c r="H841" s="161"/>
      <c r="I841" s="161"/>
      <c r="J841" s="161"/>
      <c r="K841" s="511"/>
      <c r="L841" s="511"/>
      <c r="M841" s="161"/>
      <c r="N841" s="161"/>
      <c r="O841" s="161"/>
      <c r="P841" s="161"/>
      <c r="Q841" s="161"/>
      <c r="R841" s="161"/>
      <c r="S841" s="161"/>
      <c r="T841" s="161"/>
      <c r="U841" s="161"/>
      <c r="V841" s="161"/>
      <c r="W841" s="161"/>
      <c r="X841" s="161"/>
      <c r="Y841" s="161"/>
      <c r="Z841" s="161"/>
      <c r="AA841" s="161"/>
      <c r="AB841" s="161"/>
    </row>
    <row r="842">
      <c r="A842" s="511"/>
      <c r="B842" s="161"/>
      <c r="C842" s="161"/>
      <c r="D842" s="161"/>
      <c r="E842" s="161"/>
      <c r="F842" s="161"/>
      <c r="G842" s="161"/>
      <c r="H842" s="161"/>
      <c r="I842" s="161"/>
      <c r="J842" s="161"/>
      <c r="K842" s="511"/>
      <c r="L842" s="511"/>
      <c r="M842" s="161"/>
      <c r="N842" s="161"/>
      <c r="O842" s="161"/>
      <c r="P842" s="161"/>
      <c r="Q842" s="161"/>
      <c r="R842" s="161"/>
      <c r="S842" s="161"/>
      <c r="T842" s="161"/>
      <c r="U842" s="161"/>
      <c r="V842" s="161"/>
      <c r="W842" s="161"/>
      <c r="X842" s="161"/>
      <c r="Y842" s="161"/>
      <c r="Z842" s="161"/>
      <c r="AA842" s="161"/>
      <c r="AB842" s="161"/>
    </row>
    <row r="843">
      <c r="A843" s="511"/>
      <c r="B843" s="161"/>
      <c r="C843" s="161"/>
      <c r="D843" s="161"/>
      <c r="E843" s="161"/>
      <c r="F843" s="161"/>
      <c r="G843" s="161"/>
      <c r="H843" s="161"/>
      <c r="I843" s="161"/>
      <c r="J843" s="161"/>
      <c r="K843" s="511"/>
      <c r="L843" s="511"/>
      <c r="M843" s="161"/>
      <c r="N843" s="161"/>
      <c r="O843" s="161"/>
      <c r="P843" s="161"/>
      <c r="Q843" s="161"/>
      <c r="R843" s="161"/>
      <c r="S843" s="161"/>
      <c r="T843" s="161"/>
      <c r="U843" s="161"/>
      <c r="V843" s="161"/>
      <c r="W843" s="161"/>
      <c r="X843" s="161"/>
      <c r="Y843" s="161"/>
      <c r="Z843" s="161"/>
      <c r="AA843" s="161"/>
      <c r="AB843" s="161"/>
    </row>
    <row r="844">
      <c r="A844" s="511"/>
      <c r="B844" s="161"/>
      <c r="C844" s="161"/>
      <c r="D844" s="161"/>
      <c r="E844" s="161"/>
      <c r="F844" s="161"/>
      <c r="G844" s="161"/>
      <c r="H844" s="161"/>
      <c r="I844" s="161"/>
      <c r="J844" s="161"/>
      <c r="K844" s="511"/>
      <c r="L844" s="511"/>
      <c r="M844" s="161"/>
      <c r="N844" s="161"/>
      <c r="O844" s="161"/>
      <c r="P844" s="161"/>
      <c r="Q844" s="161"/>
      <c r="R844" s="161"/>
      <c r="S844" s="161"/>
      <c r="T844" s="161"/>
      <c r="U844" s="161"/>
      <c r="V844" s="161"/>
      <c r="W844" s="161"/>
      <c r="X844" s="161"/>
      <c r="Y844" s="161"/>
      <c r="Z844" s="161"/>
      <c r="AA844" s="161"/>
      <c r="AB844" s="161"/>
    </row>
    <row r="845">
      <c r="A845" s="511"/>
      <c r="B845" s="161"/>
      <c r="C845" s="161"/>
      <c r="D845" s="161"/>
      <c r="E845" s="161"/>
      <c r="F845" s="161"/>
      <c r="G845" s="161"/>
      <c r="H845" s="161"/>
      <c r="I845" s="161"/>
      <c r="J845" s="161"/>
      <c r="K845" s="511"/>
      <c r="L845" s="511"/>
      <c r="M845" s="161"/>
      <c r="N845" s="161"/>
      <c r="O845" s="161"/>
      <c r="P845" s="161"/>
      <c r="Q845" s="161"/>
      <c r="R845" s="161"/>
      <c r="S845" s="161"/>
      <c r="T845" s="161"/>
      <c r="U845" s="161"/>
      <c r="V845" s="161"/>
      <c r="W845" s="161"/>
      <c r="X845" s="161"/>
      <c r="Y845" s="161"/>
      <c r="Z845" s="161"/>
      <c r="AA845" s="161"/>
      <c r="AB845" s="161"/>
    </row>
    <row r="846">
      <c r="A846" s="511"/>
      <c r="B846" s="161"/>
      <c r="C846" s="161"/>
      <c r="D846" s="161"/>
      <c r="E846" s="161"/>
      <c r="F846" s="161"/>
      <c r="G846" s="161"/>
      <c r="H846" s="161"/>
      <c r="I846" s="161"/>
      <c r="J846" s="161"/>
      <c r="K846" s="511"/>
      <c r="L846" s="511"/>
      <c r="M846" s="161"/>
      <c r="N846" s="161"/>
      <c r="O846" s="161"/>
      <c r="P846" s="161"/>
      <c r="Q846" s="161"/>
      <c r="R846" s="161"/>
      <c r="S846" s="161"/>
      <c r="T846" s="161"/>
      <c r="U846" s="161"/>
      <c r="V846" s="161"/>
      <c r="W846" s="161"/>
      <c r="X846" s="161"/>
      <c r="Y846" s="161"/>
      <c r="Z846" s="161"/>
      <c r="AA846" s="161"/>
      <c r="AB846" s="161"/>
    </row>
    <row r="847">
      <c r="A847" s="511"/>
      <c r="B847" s="161"/>
      <c r="C847" s="161"/>
      <c r="D847" s="161"/>
      <c r="E847" s="161"/>
      <c r="F847" s="161"/>
      <c r="G847" s="161"/>
      <c r="H847" s="161"/>
      <c r="I847" s="161"/>
      <c r="J847" s="161"/>
      <c r="K847" s="511"/>
      <c r="L847" s="511"/>
      <c r="M847" s="161"/>
      <c r="N847" s="161"/>
      <c r="O847" s="161"/>
      <c r="P847" s="161"/>
      <c r="Q847" s="161"/>
      <c r="R847" s="161"/>
      <c r="S847" s="161"/>
      <c r="T847" s="161"/>
      <c r="U847" s="161"/>
      <c r="V847" s="161"/>
      <c r="W847" s="161"/>
      <c r="X847" s="161"/>
      <c r="Y847" s="161"/>
      <c r="Z847" s="161"/>
      <c r="AA847" s="161"/>
      <c r="AB847" s="161"/>
    </row>
    <row r="848">
      <c r="A848" s="511"/>
      <c r="B848" s="161"/>
      <c r="C848" s="161"/>
      <c r="D848" s="161"/>
      <c r="E848" s="161"/>
      <c r="F848" s="161"/>
      <c r="G848" s="161"/>
      <c r="H848" s="161"/>
      <c r="I848" s="161"/>
      <c r="J848" s="161"/>
      <c r="K848" s="511"/>
      <c r="L848" s="511"/>
      <c r="M848" s="161"/>
      <c r="N848" s="161"/>
      <c r="O848" s="161"/>
      <c r="P848" s="161"/>
      <c r="Q848" s="161"/>
      <c r="R848" s="161"/>
      <c r="S848" s="161"/>
      <c r="T848" s="161"/>
      <c r="U848" s="161"/>
      <c r="V848" s="161"/>
      <c r="W848" s="161"/>
      <c r="X848" s="161"/>
      <c r="Y848" s="161"/>
      <c r="Z848" s="161"/>
      <c r="AA848" s="161"/>
      <c r="AB848" s="161"/>
    </row>
    <row r="849">
      <c r="A849" s="511"/>
      <c r="B849" s="161"/>
      <c r="C849" s="161"/>
      <c r="D849" s="161"/>
      <c r="E849" s="161"/>
      <c r="F849" s="161"/>
      <c r="G849" s="161"/>
      <c r="H849" s="161"/>
      <c r="I849" s="161"/>
      <c r="J849" s="161"/>
      <c r="K849" s="511"/>
      <c r="L849" s="511"/>
      <c r="M849" s="161"/>
      <c r="N849" s="161"/>
      <c r="O849" s="161"/>
      <c r="P849" s="161"/>
      <c r="Q849" s="161"/>
      <c r="R849" s="161"/>
      <c r="S849" s="161"/>
      <c r="T849" s="161"/>
      <c r="U849" s="161"/>
      <c r="V849" s="161"/>
      <c r="W849" s="161"/>
      <c r="X849" s="161"/>
      <c r="Y849" s="161"/>
      <c r="Z849" s="161"/>
      <c r="AA849" s="161"/>
      <c r="AB849" s="161"/>
    </row>
    <row r="850">
      <c r="A850" s="511"/>
      <c r="B850" s="161"/>
      <c r="C850" s="161"/>
      <c r="D850" s="161"/>
      <c r="E850" s="161"/>
      <c r="F850" s="161"/>
      <c r="G850" s="161"/>
      <c r="H850" s="161"/>
      <c r="I850" s="161"/>
      <c r="J850" s="161"/>
      <c r="K850" s="511"/>
      <c r="L850" s="511"/>
      <c r="M850" s="161"/>
      <c r="N850" s="161"/>
      <c r="O850" s="161"/>
      <c r="P850" s="161"/>
      <c r="Q850" s="161"/>
      <c r="R850" s="161"/>
      <c r="S850" s="161"/>
      <c r="T850" s="161"/>
      <c r="U850" s="161"/>
      <c r="V850" s="161"/>
      <c r="W850" s="161"/>
      <c r="X850" s="161"/>
      <c r="Y850" s="161"/>
      <c r="Z850" s="161"/>
      <c r="AA850" s="161"/>
      <c r="AB850" s="161"/>
    </row>
    <row r="851">
      <c r="A851" s="511"/>
      <c r="B851" s="161"/>
      <c r="C851" s="161"/>
      <c r="D851" s="161"/>
      <c r="E851" s="161"/>
      <c r="F851" s="161"/>
      <c r="G851" s="161"/>
      <c r="H851" s="161"/>
      <c r="I851" s="161"/>
      <c r="J851" s="161"/>
      <c r="K851" s="511"/>
      <c r="L851" s="511"/>
      <c r="M851" s="161"/>
      <c r="N851" s="161"/>
      <c r="O851" s="161"/>
      <c r="P851" s="161"/>
      <c r="Q851" s="161"/>
      <c r="R851" s="161"/>
      <c r="S851" s="161"/>
      <c r="T851" s="161"/>
      <c r="U851" s="161"/>
      <c r="V851" s="161"/>
      <c r="W851" s="161"/>
      <c r="X851" s="161"/>
      <c r="Y851" s="161"/>
      <c r="Z851" s="161"/>
      <c r="AA851" s="161"/>
      <c r="AB851" s="161"/>
    </row>
    <row r="852">
      <c r="A852" s="511"/>
      <c r="B852" s="161"/>
      <c r="C852" s="161"/>
      <c r="D852" s="161"/>
      <c r="E852" s="161"/>
      <c r="F852" s="161"/>
      <c r="G852" s="161"/>
      <c r="H852" s="161"/>
      <c r="I852" s="161"/>
      <c r="J852" s="161"/>
      <c r="K852" s="511"/>
      <c r="L852" s="511"/>
      <c r="M852" s="161"/>
      <c r="N852" s="161"/>
      <c r="O852" s="161"/>
      <c r="P852" s="161"/>
      <c r="Q852" s="161"/>
      <c r="R852" s="161"/>
      <c r="S852" s="161"/>
      <c r="T852" s="161"/>
      <c r="U852" s="161"/>
      <c r="V852" s="161"/>
      <c r="W852" s="161"/>
      <c r="X852" s="161"/>
      <c r="Y852" s="161"/>
      <c r="Z852" s="161"/>
      <c r="AA852" s="161"/>
      <c r="AB852" s="161"/>
    </row>
    <row r="853">
      <c r="A853" s="511"/>
      <c r="B853" s="161"/>
      <c r="C853" s="161"/>
      <c r="D853" s="161"/>
      <c r="E853" s="161"/>
      <c r="F853" s="161"/>
      <c r="G853" s="161"/>
      <c r="H853" s="161"/>
      <c r="I853" s="161"/>
      <c r="J853" s="161"/>
      <c r="K853" s="511"/>
      <c r="L853" s="511"/>
      <c r="M853" s="161"/>
      <c r="N853" s="161"/>
      <c r="O853" s="161"/>
      <c r="P853" s="161"/>
      <c r="Q853" s="161"/>
      <c r="R853" s="161"/>
      <c r="S853" s="161"/>
      <c r="T853" s="161"/>
      <c r="U853" s="161"/>
      <c r="V853" s="161"/>
      <c r="W853" s="161"/>
      <c r="X853" s="161"/>
      <c r="Y853" s="161"/>
      <c r="Z853" s="161"/>
      <c r="AA853" s="161"/>
      <c r="AB853" s="161"/>
    </row>
    <row r="854">
      <c r="A854" s="511"/>
      <c r="B854" s="161"/>
      <c r="C854" s="161"/>
      <c r="D854" s="161"/>
      <c r="E854" s="161"/>
      <c r="F854" s="161"/>
      <c r="G854" s="161"/>
      <c r="H854" s="161"/>
      <c r="I854" s="161"/>
      <c r="J854" s="161"/>
      <c r="K854" s="511"/>
      <c r="L854" s="511"/>
      <c r="M854" s="161"/>
      <c r="N854" s="161"/>
      <c r="O854" s="161"/>
      <c r="P854" s="161"/>
      <c r="Q854" s="161"/>
      <c r="R854" s="161"/>
      <c r="S854" s="161"/>
      <c r="T854" s="161"/>
      <c r="U854" s="161"/>
      <c r="V854" s="161"/>
      <c r="W854" s="161"/>
      <c r="X854" s="161"/>
      <c r="Y854" s="161"/>
      <c r="Z854" s="161"/>
      <c r="AA854" s="161"/>
      <c r="AB854" s="161"/>
    </row>
    <row r="855">
      <c r="A855" s="511"/>
      <c r="B855" s="161"/>
      <c r="C855" s="161"/>
      <c r="D855" s="161"/>
      <c r="E855" s="161"/>
      <c r="F855" s="161"/>
      <c r="G855" s="161"/>
      <c r="H855" s="161"/>
      <c r="I855" s="161"/>
      <c r="J855" s="161"/>
      <c r="K855" s="511"/>
      <c r="L855" s="511"/>
      <c r="M855" s="161"/>
      <c r="N855" s="161"/>
      <c r="O855" s="161"/>
      <c r="P855" s="161"/>
      <c r="Q855" s="161"/>
      <c r="R855" s="161"/>
      <c r="S855" s="161"/>
      <c r="T855" s="161"/>
      <c r="U855" s="161"/>
      <c r="V855" s="161"/>
      <c r="W855" s="161"/>
      <c r="X855" s="161"/>
      <c r="Y855" s="161"/>
      <c r="Z855" s="161"/>
      <c r="AA855" s="161"/>
      <c r="AB855" s="161"/>
    </row>
    <row r="856">
      <c r="A856" s="511"/>
      <c r="B856" s="161"/>
      <c r="C856" s="161"/>
      <c r="D856" s="161"/>
      <c r="E856" s="161"/>
      <c r="F856" s="161"/>
      <c r="G856" s="161"/>
      <c r="H856" s="161"/>
      <c r="I856" s="161"/>
      <c r="J856" s="161"/>
      <c r="K856" s="511"/>
      <c r="L856" s="511"/>
      <c r="M856" s="161"/>
      <c r="N856" s="161"/>
      <c r="O856" s="161"/>
      <c r="P856" s="161"/>
      <c r="Q856" s="161"/>
      <c r="R856" s="161"/>
      <c r="S856" s="161"/>
      <c r="T856" s="161"/>
      <c r="U856" s="161"/>
      <c r="V856" s="161"/>
      <c r="W856" s="161"/>
      <c r="X856" s="161"/>
      <c r="Y856" s="161"/>
      <c r="Z856" s="161"/>
      <c r="AA856" s="161"/>
      <c r="AB856" s="161"/>
    </row>
    <row r="857">
      <c r="A857" s="511"/>
      <c r="B857" s="161"/>
      <c r="C857" s="161"/>
      <c r="D857" s="161"/>
      <c r="E857" s="161"/>
      <c r="F857" s="161"/>
      <c r="G857" s="161"/>
      <c r="H857" s="161"/>
      <c r="I857" s="161"/>
      <c r="J857" s="161"/>
      <c r="K857" s="511"/>
      <c r="L857" s="511"/>
      <c r="M857" s="161"/>
      <c r="N857" s="161"/>
      <c r="O857" s="161"/>
      <c r="P857" s="161"/>
      <c r="Q857" s="161"/>
      <c r="R857" s="161"/>
      <c r="S857" s="161"/>
      <c r="T857" s="161"/>
      <c r="U857" s="161"/>
      <c r="V857" s="161"/>
      <c r="W857" s="161"/>
      <c r="X857" s="161"/>
      <c r="Y857" s="161"/>
      <c r="Z857" s="161"/>
      <c r="AA857" s="161"/>
      <c r="AB857" s="161"/>
    </row>
    <row r="858">
      <c r="A858" s="511"/>
      <c r="B858" s="161"/>
      <c r="C858" s="161"/>
      <c r="D858" s="161"/>
      <c r="E858" s="161"/>
      <c r="F858" s="161"/>
      <c r="G858" s="161"/>
      <c r="H858" s="161"/>
      <c r="I858" s="161"/>
      <c r="J858" s="161"/>
      <c r="K858" s="511"/>
      <c r="L858" s="511"/>
      <c r="M858" s="161"/>
      <c r="N858" s="161"/>
      <c r="O858" s="161"/>
      <c r="P858" s="161"/>
      <c r="Q858" s="161"/>
      <c r="R858" s="161"/>
      <c r="S858" s="161"/>
      <c r="T858" s="161"/>
      <c r="U858" s="161"/>
      <c r="V858" s="161"/>
      <c r="W858" s="161"/>
      <c r="X858" s="161"/>
      <c r="Y858" s="161"/>
      <c r="Z858" s="161"/>
      <c r="AA858" s="161"/>
      <c r="AB858" s="161"/>
    </row>
    <row r="859">
      <c r="A859" s="511"/>
      <c r="B859" s="161"/>
      <c r="C859" s="161"/>
      <c r="D859" s="161"/>
      <c r="E859" s="161"/>
      <c r="F859" s="161"/>
      <c r="G859" s="161"/>
      <c r="H859" s="161"/>
      <c r="I859" s="161"/>
      <c r="J859" s="161"/>
      <c r="K859" s="511"/>
      <c r="L859" s="511"/>
      <c r="M859" s="161"/>
      <c r="N859" s="161"/>
      <c r="O859" s="161"/>
      <c r="P859" s="161"/>
      <c r="Q859" s="161"/>
      <c r="R859" s="161"/>
      <c r="S859" s="161"/>
      <c r="T859" s="161"/>
      <c r="U859" s="161"/>
      <c r="V859" s="161"/>
      <c r="W859" s="161"/>
      <c r="X859" s="161"/>
      <c r="Y859" s="161"/>
      <c r="Z859" s="161"/>
      <c r="AA859" s="161"/>
      <c r="AB859" s="161"/>
    </row>
    <row r="860">
      <c r="A860" s="511"/>
      <c r="B860" s="161"/>
      <c r="C860" s="161"/>
      <c r="D860" s="161"/>
      <c r="E860" s="161"/>
      <c r="F860" s="161"/>
      <c r="G860" s="161"/>
      <c r="H860" s="161"/>
      <c r="I860" s="161"/>
      <c r="J860" s="161"/>
      <c r="K860" s="511"/>
      <c r="L860" s="511"/>
      <c r="M860" s="161"/>
      <c r="N860" s="161"/>
      <c r="O860" s="161"/>
      <c r="P860" s="161"/>
      <c r="Q860" s="161"/>
      <c r="R860" s="161"/>
      <c r="S860" s="161"/>
      <c r="T860" s="161"/>
      <c r="U860" s="161"/>
      <c r="V860" s="161"/>
      <c r="W860" s="161"/>
      <c r="X860" s="161"/>
      <c r="Y860" s="161"/>
      <c r="Z860" s="161"/>
      <c r="AA860" s="161"/>
      <c r="AB860" s="161"/>
    </row>
    <row r="861">
      <c r="A861" s="511"/>
      <c r="B861" s="161"/>
      <c r="C861" s="161"/>
      <c r="D861" s="161"/>
      <c r="E861" s="161"/>
      <c r="F861" s="161"/>
      <c r="G861" s="161"/>
      <c r="H861" s="161"/>
      <c r="I861" s="161"/>
      <c r="J861" s="161"/>
      <c r="K861" s="511"/>
      <c r="L861" s="511"/>
      <c r="M861" s="161"/>
      <c r="N861" s="161"/>
      <c r="O861" s="161"/>
      <c r="P861" s="161"/>
      <c r="Q861" s="161"/>
      <c r="R861" s="161"/>
      <c r="S861" s="161"/>
      <c r="T861" s="161"/>
      <c r="U861" s="161"/>
      <c r="V861" s="161"/>
      <c r="W861" s="161"/>
      <c r="X861" s="161"/>
      <c r="Y861" s="161"/>
      <c r="Z861" s="161"/>
      <c r="AA861" s="161"/>
      <c r="AB861" s="161"/>
    </row>
    <row r="862">
      <c r="A862" s="511"/>
      <c r="B862" s="161"/>
      <c r="C862" s="161"/>
      <c r="D862" s="161"/>
      <c r="E862" s="161"/>
      <c r="F862" s="161"/>
      <c r="G862" s="161"/>
      <c r="H862" s="161"/>
      <c r="I862" s="161"/>
      <c r="J862" s="161"/>
      <c r="K862" s="511"/>
      <c r="L862" s="511"/>
      <c r="M862" s="161"/>
      <c r="N862" s="161"/>
      <c r="O862" s="161"/>
      <c r="P862" s="161"/>
      <c r="Q862" s="161"/>
      <c r="R862" s="161"/>
      <c r="S862" s="161"/>
      <c r="T862" s="161"/>
      <c r="U862" s="161"/>
      <c r="V862" s="161"/>
      <c r="W862" s="161"/>
      <c r="X862" s="161"/>
      <c r="Y862" s="161"/>
      <c r="Z862" s="161"/>
      <c r="AA862" s="161"/>
      <c r="AB862" s="161"/>
    </row>
    <row r="863">
      <c r="A863" s="511"/>
      <c r="B863" s="161"/>
      <c r="C863" s="161"/>
      <c r="D863" s="161"/>
      <c r="E863" s="161"/>
      <c r="F863" s="161"/>
      <c r="G863" s="161"/>
      <c r="H863" s="161"/>
      <c r="I863" s="161"/>
      <c r="J863" s="161"/>
      <c r="K863" s="511"/>
      <c r="L863" s="511"/>
      <c r="M863" s="161"/>
      <c r="N863" s="161"/>
      <c r="O863" s="161"/>
      <c r="P863" s="161"/>
      <c r="Q863" s="161"/>
      <c r="R863" s="161"/>
      <c r="S863" s="161"/>
      <c r="T863" s="161"/>
      <c r="U863" s="161"/>
      <c r="V863" s="161"/>
      <c r="W863" s="161"/>
      <c r="X863" s="161"/>
      <c r="Y863" s="161"/>
      <c r="Z863" s="161"/>
      <c r="AA863" s="161"/>
      <c r="AB863" s="161"/>
    </row>
    <row r="864">
      <c r="A864" s="511"/>
      <c r="B864" s="161"/>
      <c r="C864" s="161"/>
      <c r="D864" s="161"/>
      <c r="E864" s="161"/>
      <c r="F864" s="161"/>
      <c r="G864" s="161"/>
      <c r="H864" s="161"/>
      <c r="I864" s="161"/>
      <c r="J864" s="161"/>
      <c r="K864" s="511"/>
      <c r="L864" s="511"/>
      <c r="M864" s="161"/>
      <c r="N864" s="161"/>
      <c r="O864" s="161"/>
      <c r="P864" s="161"/>
      <c r="Q864" s="161"/>
      <c r="R864" s="161"/>
      <c r="S864" s="161"/>
      <c r="T864" s="161"/>
      <c r="U864" s="161"/>
      <c r="V864" s="161"/>
      <c r="W864" s="161"/>
      <c r="X864" s="161"/>
      <c r="Y864" s="161"/>
      <c r="Z864" s="161"/>
      <c r="AA864" s="161"/>
      <c r="AB864" s="161"/>
    </row>
    <row r="865">
      <c r="A865" s="511"/>
      <c r="B865" s="161"/>
      <c r="C865" s="161"/>
      <c r="D865" s="161"/>
      <c r="E865" s="161"/>
      <c r="F865" s="161"/>
      <c r="G865" s="161"/>
      <c r="H865" s="161"/>
      <c r="I865" s="161"/>
      <c r="J865" s="161"/>
      <c r="K865" s="511"/>
      <c r="L865" s="511"/>
      <c r="M865" s="161"/>
      <c r="N865" s="161"/>
      <c r="O865" s="161"/>
      <c r="P865" s="161"/>
      <c r="Q865" s="161"/>
      <c r="R865" s="161"/>
      <c r="S865" s="161"/>
      <c r="T865" s="161"/>
      <c r="U865" s="161"/>
      <c r="V865" s="161"/>
      <c r="W865" s="161"/>
      <c r="X865" s="161"/>
      <c r="Y865" s="161"/>
      <c r="Z865" s="161"/>
      <c r="AA865" s="161"/>
      <c r="AB865" s="161"/>
    </row>
    <row r="866">
      <c r="A866" s="511"/>
      <c r="B866" s="161"/>
      <c r="C866" s="161"/>
      <c r="D866" s="161"/>
      <c r="E866" s="161"/>
      <c r="F866" s="161"/>
      <c r="G866" s="161"/>
      <c r="H866" s="161"/>
      <c r="I866" s="161"/>
      <c r="J866" s="161"/>
      <c r="K866" s="511"/>
      <c r="L866" s="511"/>
      <c r="M866" s="161"/>
      <c r="N866" s="161"/>
      <c r="O866" s="161"/>
      <c r="P866" s="161"/>
      <c r="Q866" s="161"/>
      <c r="R866" s="161"/>
      <c r="S866" s="161"/>
      <c r="T866" s="161"/>
      <c r="U866" s="161"/>
      <c r="V866" s="161"/>
      <c r="W866" s="161"/>
      <c r="X866" s="161"/>
      <c r="Y866" s="161"/>
      <c r="Z866" s="161"/>
      <c r="AA866" s="161"/>
      <c r="AB866" s="161"/>
    </row>
    <row r="867">
      <c r="A867" s="511"/>
      <c r="B867" s="161"/>
      <c r="C867" s="161"/>
      <c r="D867" s="161"/>
      <c r="E867" s="161"/>
      <c r="F867" s="161"/>
      <c r="G867" s="161"/>
      <c r="H867" s="161"/>
      <c r="I867" s="161"/>
      <c r="J867" s="161"/>
      <c r="K867" s="511"/>
      <c r="L867" s="511"/>
      <c r="M867" s="161"/>
      <c r="N867" s="161"/>
      <c r="O867" s="161"/>
      <c r="P867" s="161"/>
      <c r="Q867" s="161"/>
      <c r="R867" s="161"/>
      <c r="S867" s="161"/>
      <c r="T867" s="161"/>
      <c r="U867" s="161"/>
      <c r="V867" s="161"/>
      <c r="W867" s="161"/>
      <c r="X867" s="161"/>
      <c r="Y867" s="161"/>
      <c r="Z867" s="161"/>
      <c r="AA867" s="161"/>
      <c r="AB867" s="161"/>
    </row>
    <row r="868">
      <c r="A868" s="511"/>
      <c r="B868" s="161"/>
      <c r="C868" s="161"/>
      <c r="D868" s="161"/>
      <c r="E868" s="161"/>
      <c r="F868" s="161"/>
      <c r="G868" s="161"/>
      <c r="H868" s="161"/>
      <c r="I868" s="161"/>
      <c r="J868" s="161"/>
      <c r="K868" s="511"/>
      <c r="L868" s="511"/>
      <c r="M868" s="161"/>
      <c r="N868" s="161"/>
      <c r="O868" s="161"/>
      <c r="P868" s="161"/>
      <c r="Q868" s="161"/>
      <c r="R868" s="161"/>
      <c r="S868" s="161"/>
      <c r="T868" s="161"/>
      <c r="U868" s="161"/>
      <c r="V868" s="161"/>
      <c r="W868" s="161"/>
      <c r="X868" s="161"/>
      <c r="Y868" s="161"/>
      <c r="Z868" s="161"/>
      <c r="AA868" s="161"/>
      <c r="AB868" s="161"/>
    </row>
    <row r="869">
      <c r="A869" s="511"/>
      <c r="B869" s="161"/>
      <c r="C869" s="161"/>
      <c r="D869" s="161"/>
      <c r="E869" s="161"/>
      <c r="F869" s="161"/>
      <c r="G869" s="161"/>
      <c r="H869" s="161"/>
      <c r="I869" s="161"/>
      <c r="J869" s="161"/>
      <c r="K869" s="511"/>
      <c r="L869" s="511"/>
      <c r="M869" s="161"/>
      <c r="N869" s="161"/>
      <c r="O869" s="161"/>
      <c r="P869" s="161"/>
      <c r="Q869" s="161"/>
      <c r="R869" s="161"/>
      <c r="S869" s="161"/>
      <c r="T869" s="161"/>
      <c r="U869" s="161"/>
      <c r="V869" s="161"/>
      <c r="W869" s="161"/>
      <c r="X869" s="161"/>
      <c r="Y869" s="161"/>
      <c r="Z869" s="161"/>
      <c r="AA869" s="161"/>
      <c r="AB869" s="161"/>
    </row>
    <row r="870">
      <c r="A870" s="511"/>
      <c r="B870" s="161"/>
      <c r="C870" s="161"/>
      <c r="D870" s="161"/>
      <c r="E870" s="161"/>
      <c r="F870" s="161"/>
      <c r="G870" s="161"/>
      <c r="H870" s="161"/>
      <c r="I870" s="161"/>
      <c r="J870" s="161"/>
      <c r="K870" s="511"/>
      <c r="L870" s="511"/>
      <c r="M870" s="161"/>
      <c r="N870" s="161"/>
      <c r="O870" s="161"/>
      <c r="P870" s="161"/>
      <c r="Q870" s="161"/>
      <c r="R870" s="161"/>
      <c r="S870" s="161"/>
      <c r="T870" s="161"/>
      <c r="U870" s="161"/>
      <c r="V870" s="161"/>
      <c r="W870" s="161"/>
      <c r="X870" s="161"/>
      <c r="Y870" s="161"/>
      <c r="Z870" s="161"/>
      <c r="AA870" s="161"/>
      <c r="AB870" s="161"/>
    </row>
    <row r="871">
      <c r="A871" s="511"/>
      <c r="B871" s="161"/>
      <c r="C871" s="161"/>
      <c r="D871" s="161"/>
      <c r="E871" s="161"/>
      <c r="F871" s="161"/>
      <c r="G871" s="161"/>
      <c r="H871" s="161"/>
      <c r="I871" s="161"/>
      <c r="J871" s="161"/>
      <c r="K871" s="511"/>
      <c r="L871" s="511"/>
      <c r="M871" s="161"/>
      <c r="N871" s="161"/>
      <c r="O871" s="161"/>
      <c r="P871" s="161"/>
      <c r="Q871" s="161"/>
      <c r="R871" s="161"/>
      <c r="S871" s="161"/>
      <c r="T871" s="161"/>
      <c r="U871" s="161"/>
      <c r="V871" s="161"/>
      <c r="W871" s="161"/>
      <c r="X871" s="161"/>
      <c r="Y871" s="161"/>
      <c r="Z871" s="161"/>
      <c r="AA871" s="161"/>
      <c r="AB871" s="161"/>
    </row>
    <row r="872">
      <c r="A872" s="511"/>
      <c r="B872" s="161"/>
      <c r="C872" s="161"/>
      <c r="D872" s="161"/>
      <c r="E872" s="161"/>
      <c r="F872" s="161"/>
      <c r="G872" s="161"/>
      <c r="H872" s="161"/>
      <c r="I872" s="161"/>
      <c r="J872" s="161"/>
      <c r="K872" s="511"/>
      <c r="L872" s="511"/>
      <c r="M872" s="161"/>
      <c r="N872" s="161"/>
      <c r="O872" s="161"/>
      <c r="P872" s="161"/>
      <c r="Q872" s="161"/>
      <c r="R872" s="161"/>
      <c r="S872" s="161"/>
      <c r="T872" s="161"/>
      <c r="U872" s="161"/>
      <c r="V872" s="161"/>
      <c r="W872" s="161"/>
      <c r="X872" s="161"/>
      <c r="Y872" s="161"/>
      <c r="Z872" s="161"/>
      <c r="AA872" s="161"/>
      <c r="AB872" s="161"/>
    </row>
    <row r="873">
      <c r="A873" s="511"/>
      <c r="B873" s="161"/>
      <c r="C873" s="161"/>
      <c r="D873" s="161"/>
      <c r="E873" s="161"/>
      <c r="F873" s="161"/>
      <c r="G873" s="161"/>
      <c r="H873" s="161"/>
      <c r="I873" s="161"/>
      <c r="J873" s="161"/>
      <c r="K873" s="511"/>
      <c r="L873" s="511"/>
      <c r="M873" s="161"/>
      <c r="N873" s="161"/>
      <c r="O873" s="161"/>
      <c r="P873" s="161"/>
      <c r="Q873" s="161"/>
      <c r="R873" s="161"/>
      <c r="S873" s="161"/>
      <c r="T873" s="161"/>
      <c r="U873" s="161"/>
      <c r="V873" s="161"/>
      <c r="W873" s="161"/>
      <c r="X873" s="161"/>
      <c r="Y873" s="161"/>
      <c r="Z873" s="161"/>
      <c r="AA873" s="161"/>
      <c r="AB873" s="161"/>
    </row>
    <row r="874">
      <c r="A874" s="511"/>
      <c r="B874" s="161"/>
      <c r="C874" s="161"/>
      <c r="D874" s="161"/>
      <c r="E874" s="161"/>
      <c r="F874" s="161"/>
      <c r="G874" s="161"/>
      <c r="H874" s="161"/>
      <c r="I874" s="161"/>
      <c r="J874" s="161"/>
      <c r="K874" s="511"/>
      <c r="L874" s="511"/>
      <c r="M874" s="161"/>
      <c r="N874" s="161"/>
      <c r="O874" s="161"/>
      <c r="P874" s="161"/>
      <c r="Q874" s="161"/>
      <c r="R874" s="161"/>
      <c r="S874" s="161"/>
      <c r="T874" s="161"/>
      <c r="U874" s="161"/>
      <c r="V874" s="161"/>
      <c r="W874" s="161"/>
      <c r="X874" s="161"/>
      <c r="Y874" s="161"/>
      <c r="Z874" s="161"/>
      <c r="AA874" s="161"/>
      <c r="AB874" s="161"/>
    </row>
    <row r="875">
      <c r="A875" s="511"/>
      <c r="B875" s="161"/>
      <c r="C875" s="161"/>
      <c r="D875" s="161"/>
      <c r="E875" s="161"/>
      <c r="F875" s="161"/>
      <c r="G875" s="161"/>
      <c r="H875" s="161"/>
      <c r="I875" s="161"/>
      <c r="J875" s="161"/>
      <c r="K875" s="511"/>
      <c r="L875" s="511"/>
      <c r="M875" s="161"/>
      <c r="N875" s="161"/>
      <c r="O875" s="161"/>
      <c r="P875" s="161"/>
      <c r="Q875" s="161"/>
      <c r="R875" s="161"/>
      <c r="S875" s="161"/>
      <c r="T875" s="161"/>
      <c r="U875" s="161"/>
      <c r="V875" s="161"/>
      <c r="W875" s="161"/>
      <c r="X875" s="161"/>
      <c r="Y875" s="161"/>
      <c r="Z875" s="161"/>
      <c r="AA875" s="161"/>
      <c r="AB875" s="161"/>
    </row>
    <row r="876">
      <c r="A876" s="511"/>
      <c r="B876" s="161"/>
      <c r="C876" s="161"/>
      <c r="D876" s="161"/>
      <c r="E876" s="161"/>
      <c r="F876" s="161"/>
      <c r="G876" s="161"/>
      <c r="H876" s="161"/>
      <c r="I876" s="161"/>
      <c r="J876" s="161"/>
      <c r="K876" s="511"/>
      <c r="L876" s="511"/>
      <c r="M876" s="161"/>
      <c r="N876" s="161"/>
      <c r="O876" s="161"/>
      <c r="P876" s="161"/>
      <c r="Q876" s="161"/>
      <c r="R876" s="161"/>
      <c r="S876" s="161"/>
      <c r="T876" s="161"/>
      <c r="U876" s="161"/>
      <c r="V876" s="161"/>
      <c r="W876" s="161"/>
      <c r="X876" s="161"/>
      <c r="Y876" s="161"/>
      <c r="Z876" s="161"/>
      <c r="AA876" s="161"/>
      <c r="AB876" s="161"/>
    </row>
    <row r="877">
      <c r="A877" s="511"/>
      <c r="B877" s="161"/>
      <c r="C877" s="161"/>
      <c r="D877" s="161"/>
      <c r="E877" s="161"/>
      <c r="F877" s="161"/>
      <c r="G877" s="161"/>
      <c r="H877" s="161"/>
      <c r="I877" s="161"/>
      <c r="J877" s="161"/>
      <c r="K877" s="511"/>
      <c r="L877" s="511"/>
      <c r="M877" s="161"/>
      <c r="N877" s="161"/>
      <c r="O877" s="161"/>
      <c r="P877" s="161"/>
      <c r="Q877" s="161"/>
      <c r="R877" s="161"/>
      <c r="S877" s="161"/>
      <c r="T877" s="161"/>
      <c r="U877" s="161"/>
      <c r="V877" s="161"/>
      <c r="W877" s="161"/>
      <c r="X877" s="161"/>
      <c r="Y877" s="161"/>
      <c r="Z877" s="161"/>
      <c r="AA877" s="161"/>
      <c r="AB877" s="161"/>
    </row>
    <row r="878">
      <c r="A878" s="511"/>
      <c r="B878" s="161"/>
      <c r="C878" s="161"/>
      <c r="D878" s="161"/>
      <c r="E878" s="161"/>
      <c r="F878" s="161"/>
      <c r="G878" s="161"/>
      <c r="H878" s="161"/>
      <c r="I878" s="161"/>
      <c r="J878" s="161"/>
      <c r="K878" s="511"/>
      <c r="L878" s="511"/>
      <c r="M878" s="161"/>
      <c r="N878" s="161"/>
      <c r="O878" s="161"/>
      <c r="P878" s="161"/>
      <c r="Q878" s="161"/>
      <c r="R878" s="161"/>
      <c r="S878" s="161"/>
      <c r="T878" s="161"/>
      <c r="U878" s="161"/>
      <c r="V878" s="161"/>
      <c r="W878" s="161"/>
      <c r="X878" s="161"/>
      <c r="Y878" s="161"/>
      <c r="Z878" s="161"/>
      <c r="AA878" s="161"/>
      <c r="AB878" s="161"/>
    </row>
    <row r="879">
      <c r="A879" s="511"/>
      <c r="B879" s="161"/>
      <c r="C879" s="161"/>
      <c r="D879" s="161"/>
      <c r="E879" s="161"/>
      <c r="F879" s="161"/>
      <c r="G879" s="161"/>
      <c r="H879" s="161"/>
      <c r="I879" s="161"/>
      <c r="J879" s="161"/>
      <c r="K879" s="511"/>
      <c r="L879" s="511"/>
      <c r="M879" s="161"/>
      <c r="N879" s="161"/>
      <c r="O879" s="161"/>
      <c r="P879" s="161"/>
      <c r="Q879" s="161"/>
      <c r="R879" s="161"/>
      <c r="S879" s="161"/>
      <c r="T879" s="161"/>
      <c r="U879" s="161"/>
      <c r="V879" s="161"/>
      <c r="W879" s="161"/>
      <c r="X879" s="161"/>
      <c r="Y879" s="161"/>
      <c r="Z879" s="161"/>
      <c r="AA879" s="161"/>
      <c r="AB879" s="161"/>
    </row>
    <row r="880">
      <c r="A880" s="511"/>
      <c r="B880" s="161"/>
      <c r="C880" s="161"/>
      <c r="D880" s="161"/>
      <c r="E880" s="161"/>
      <c r="F880" s="161"/>
      <c r="G880" s="161"/>
      <c r="H880" s="161"/>
      <c r="I880" s="161"/>
      <c r="J880" s="161"/>
      <c r="K880" s="511"/>
      <c r="L880" s="511"/>
      <c r="M880" s="161"/>
      <c r="N880" s="161"/>
      <c r="O880" s="161"/>
      <c r="P880" s="161"/>
      <c r="Q880" s="161"/>
      <c r="R880" s="161"/>
      <c r="S880" s="161"/>
      <c r="T880" s="161"/>
      <c r="U880" s="161"/>
      <c r="V880" s="161"/>
      <c r="W880" s="161"/>
      <c r="X880" s="161"/>
      <c r="Y880" s="161"/>
      <c r="Z880" s="161"/>
      <c r="AA880" s="161"/>
      <c r="AB880" s="161"/>
    </row>
    <row r="881">
      <c r="A881" s="511"/>
      <c r="B881" s="161"/>
      <c r="C881" s="161"/>
      <c r="D881" s="161"/>
      <c r="E881" s="161"/>
      <c r="F881" s="161"/>
      <c r="G881" s="161"/>
      <c r="H881" s="161"/>
      <c r="I881" s="161"/>
      <c r="J881" s="161"/>
      <c r="K881" s="511"/>
      <c r="L881" s="511"/>
      <c r="M881" s="161"/>
      <c r="N881" s="161"/>
      <c r="O881" s="161"/>
      <c r="P881" s="161"/>
      <c r="Q881" s="161"/>
      <c r="R881" s="161"/>
      <c r="S881" s="161"/>
      <c r="T881" s="161"/>
      <c r="U881" s="161"/>
      <c r="V881" s="161"/>
      <c r="W881" s="161"/>
      <c r="X881" s="161"/>
      <c r="Y881" s="161"/>
      <c r="Z881" s="161"/>
      <c r="AA881" s="161"/>
      <c r="AB881" s="161"/>
    </row>
    <row r="882">
      <c r="A882" s="511"/>
      <c r="B882" s="161"/>
      <c r="C882" s="161"/>
      <c r="D882" s="161"/>
      <c r="E882" s="161"/>
      <c r="F882" s="161"/>
      <c r="G882" s="161"/>
      <c r="H882" s="161"/>
      <c r="I882" s="161"/>
      <c r="J882" s="161"/>
      <c r="K882" s="511"/>
      <c r="L882" s="511"/>
      <c r="M882" s="161"/>
      <c r="N882" s="161"/>
      <c r="O882" s="161"/>
      <c r="P882" s="161"/>
      <c r="Q882" s="161"/>
      <c r="R882" s="161"/>
      <c r="S882" s="161"/>
      <c r="T882" s="161"/>
      <c r="U882" s="161"/>
      <c r="V882" s="161"/>
      <c r="W882" s="161"/>
      <c r="X882" s="161"/>
      <c r="Y882" s="161"/>
      <c r="Z882" s="161"/>
      <c r="AA882" s="161"/>
      <c r="AB882" s="161"/>
    </row>
    <row r="883">
      <c r="A883" s="511"/>
      <c r="B883" s="161"/>
      <c r="C883" s="161"/>
      <c r="D883" s="161"/>
      <c r="E883" s="161"/>
      <c r="F883" s="161"/>
      <c r="G883" s="161"/>
      <c r="H883" s="161"/>
      <c r="I883" s="161"/>
      <c r="J883" s="161"/>
      <c r="K883" s="511"/>
      <c r="L883" s="511"/>
      <c r="M883" s="161"/>
      <c r="N883" s="161"/>
      <c r="O883" s="161"/>
      <c r="P883" s="161"/>
      <c r="Q883" s="161"/>
      <c r="R883" s="161"/>
      <c r="S883" s="161"/>
      <c r="T883" s="161"/>
      <c r="U883" s="161"/>
      <c r="V883" s="161"/>
      <c r="W883" s="161"/>
      <c r="X883" s="161"/>
      <c r="Y883" s="161"/>
      <c r="Z883" s="161"/>
      <c r="AA883" s="161"/>
      <c r="AB883" s="161"/>
    </row>
    <row r="884">
      <c r="A884" s="511"/>
      <c r="B884" s="161"/>
      <c r="C884" s="161"/>
      <c r="D884" s="161"/>
      <c r="E884" s="161"/>
      <c r="F884" s="161"/>
      <c r="G884" s="161"/>
      <c r="H884" s="161"/>
      <c r="I884" s="161"/>
      <c r="J884" s="161"/>
      <c r="K884" s="511"/>
      <c r="L884" s="511"/>
      <c r="M884" s="161"/>
      <c r="N884" s="161"/>
      <c r="O884" s="161"/>
      <c r="P884" s="161"/>
      <c r="Q884" s="161"/>
      <c r="R884" s="161"/>
      <c r="S884" s="161"/>
      <c r="T884" s="161"/>
      <c r="U884" s="161"/>
      <c r="V884" s="161"/>
      <c r="W884" s="161"/>
      <c r="X884" s="161"/>
      <c r="Y884" s="161"/>
      <c r="Z884" s="161"/>
      <c r="AA884" s="161"/>
      <c r="AB884" s="161"/>
    </row>
    <row r="885">
      <c r="A885" s="511"/>
      <c r="B885" s="161"/>
      <c r="C885" s="161"/>
      <c r="D885" s="161"/>
      <c r="E885" s="161"/>
      <c r="F885" s="161"/>
      <c r="G885" s="161"/>
      <c r="H885" s="161"/>
      <c r="I885" s="161"/>
      <c r="J885" s="161"/>
      <c r="K885" s="511"/>
      <c r="L885" s="511"/>
      <c r="M885" s="161"/>
      <c r="N885" s="161"/>
      <c r="O885" s="161"/>
      <c r="P885" s="161"/>
      <c r="Q885" s="161"/>
      <c r="R885" s="161"/>
      <c r="S885" s="161"/>
      <c r="T885" s="161"/>
      <c r="U885" s="161"/>
      <c r="V885" s="161"/>
      <c r="W885" s="161"/>
      <c r="X885" s="161"/>
      <c r="Y885" s="161"/>
      <c r="Z885" s="161"/>
      <c r="AA885" s="161"/>
      <c r="AB885" s="161"/>
    </row>
    <row r="886">
      <c r="A886" s="511"/>
      <c r="B886" s="161"/>
      <c r="C886" s="161"/>
      <c r="D886" s="161"/>
      <c r="E886" s="161"/>
      <c r="F886" s="161"/>
      <c r="G886" s="161"/>
      <c r="H886" s="161"/>
      <c r="I886" s="161"/>
      <c r="J886" s="161"/>
      <c r="K886" s="511"/>
      <c r="L886" s="511"/>
      <c r="M886" s="161"/>
      <c r="N886" s="161"/>
      <c r="O886" s="161"/>
      <c r="P886" s="161"/>
      <c r="Q886" s="161"/>
      <c r="R886" s="161"/>
      <c r="S886" s="161"/>
      <c r="T886" s="161"/>
      <c r="U886" s="161"/>
      <c r="V886" s="161"/>
      <c r="W886" s="161"/>
      <c r="X886" s="161"/>
      <c r="Y886" s="161"/>
      <c r="Z886" s="161"/>
      <c r="AA886" s="161"/>
      <c r="AB886" s="161"/>
    </row>
    <row r="887">
      <c r="A887" s="511"/>
      <c r="B887" s="161"/>
      <c r="C887" s="161"/>
      <c r="D887" s="161"/>
      <c r="E887" s="161"/>
      <c r="F887" s="161"/>
      <c r="G887" s="161"/>
      <c r="H887" s="161"/>
      <c r="I887" s="161"/>
      <c r="J887" s="161"/>
      <c r="K887" s="511"/>
      <c r="L887" s="511"/>
      <c r="M887" s="161"/>
      <c r="N887" s="161"/>
      <c r="O887" s="161"/>
      <c r="P887" s="161"/>
      <c r="Q887" s="161"/>
      <c r="R887" s="161"/>
      <c r="S887" s="161"/>
      <c r="T887" s="161"/>
      <c r="U887" s="161"/>
      <c r="V887" s="161"/>
      <c r="W887" s="161"/>
      <c r="X887" s="161"/>
      <c r="Y887" s="161"/>
      <c r="Z887" s="161"/>
      <c r="AA887" s="161"/>
      <c r="AB887" s="161"/>
    </row>
    <row r="888">
      <c r="A888" s="511"/>
      <c r="B888" s="161"/>
      <c r="C888" s="161"/>
      <c r="D888" s="161"/>
      <c r="E888" s="161"/>
      <c r="F888" s="161"/>
      <c r="G888" s="161"/>
      <c r="H888" s="161"/>
      <c r="I888" s="161"/>
      <c r="J888" s="161"/>
      <c r="K888" s="511"/>
      <c r="L888" s="511"/>
      <c r="M888" s="161"/>
      <c r="N888" s="161"/>
      <c r="O888" s="161"/>
      <c r="P888" s="161"/>
      <c r="Q888" s="161"/>
      <c r="R888" s="161"/>
      <c r="S888" s="161"/>
      <c r="T888" s="161"/>
      <c r="U888" s="161"/>
      <c r="V888" s="161"/>
      <c r="W888" s="161"/>
      <c r="X888" s="161"/>
      <c r="Y888" s="161"/>
      <c r="Z888" s="161"/>
      <c r="AA888" s="161"/>
      <c r="AB888" s="161"/>
    </row>
    <row r="889">
      <c r="A889" s="511"/>
      <c r="B889" s="161"/>
      <c r="C889" s="161"/>
      <c r="D889" s="161"/>
      <c r="E889" s="161"/>
      <c r="F889" s="161"/>
      <c r="G889" s="161"/>
      <c r="H889" s="161"/>
      <c r="I889" s="161"/>
      <c r="J889" s="161"/>
      <c r="K889" s="511"/>
      <c r="L889" s="511"/>
      <c r="M889" s="161"/>
      <c r="N889" s="161"/>
      <c r="O889" s="161"/>
      <c r="P889" s="161"/>
      <c r="Q889" s="161"/>
      <c r="R889" s="161"/>
      <c r="S889" s="161"/>
      <c r="T889" s="161"/>
      <c r="U889" s="161"/>
      <c r="V889" s="161"/>
      <c r="W889" s="161"/>
      <c r="X889" s="161"/>
      <c r="Y889" s="161"/>
      <c r="Z889" s="161"/>
      <c r="AA889" s="161"/>
      <c r="AB889" s="161"/>
    </row>
    <row r="890">
      <c r="A890" s="511"/>
      <c r="B890" s="161"/>
      <c r="C890" s="161"/>
      <c r="D890" s="161"/>
      <c r="E890" s="161"/>
      <c r="F890" s="161"/>
      <c r="G890" s="161"/>
      <c r="H890" s="161"/>
      <c r="I890" s="161"/>
      <c r="J890" s="161"/>
      <c r="K890" s="511"/>
      <c r="L890" s="511"/>
      <c r="M890" s="161"/>
      <c r="N890" s="161"/>
      <c r="O890" s="161"/>
      <c r="P890" s="161"/>
      <c r="Q890" s="161"/>
      <c r="R890" s="161"/>
      <c r="S890" s="161"/>
      <c r="T890" s="161"/>
      <c r="U890" s="161"/>
      <c r="V890" s="161"/>
      <c r="W890" s="161"/>
      <c r="X890" s="161"/>
      <c r="Y890" s="161"/>
      <c r="Z890" s="161"/>
      <c r="AA890" s="161"/>
      <c r="AB890" s="161"/>
    </row>
    <row r="891">
      <c r="A891" s="511"/>
      <c r="B891" s="161"/>
      <c r="C891" s="161"/>
      <c r="D891" s="161"/>
      <c r="E891" s="161"/>
      <c r="F891" s="161"/>
      <c r="G891" s="161"/>
      <c r="H891" s="161"/>
      <c r="I891" s="161"/>
      <c r="J891" s="161"/>
      <c r="K891" s="511"/>
      <c r="L891" s="511"/>
      <c r="M891" s="161"/>
      <c r="N891" s="161"/>
      <c r="O891" s="161"/>
      <c r="P891" s="161"/>
      <c r="Q891" s="161"/>
      <c r="R891" s="161"/>
      <c r="S891" s="161"/>
      <c r="T891" s="161"/>
      <c r="U891" s="161"/>
      <c r="V891" s="161"/>
      <c r="W891" s="161"/>
      <c r="X891" s="161"/>
      <c r="Y891" s="161"/>
      <c r="Z891" s="161"/>
      <c r="AA891" s="161"/>
      <c r="AB891" s="161"/>
    </row>
    <row r="892">
      <c r="A892" s="511"/>
      <c r="B892" s="161"/>
      <c r="C892" s="161"/>
      <c r="D892" s="161"/>
      <c r="E892" s="161"/>
      <c r="F892" s="161"/>
      <c r="G892" s="161"/>
      <c r="H892" s="161"/>
      <c r="I892" s="161"/>
      <c r="J892" s="161"/>
      <c r="K892" s="511"/>
      <c r="L892" s="511"/>
      <c r="M892" s="161"/>
      <c r="N892" s="161"/>
      <c r="O892" s="161"/>
      <c r="P892" s="161"/>
      <c r="Q892" s="161"/>
      <c r="R892" s="161"/>
      <c r="S892" s="161"/>
      <c r="T892" s="161"/>
      <c r="U892" s="161"/>
      <c r="V892" s="161"/>
      <c r="W892" s="161"/>
      <c r="X892" s="161"/>
      <c r="Y892" s="161"/>
      <c r="Z892" s="161"/>
      <c r="AA892" s="161"/>
      <c r="AB892" s="161"/>
    </row>
    <row r="893">
      <c r="A893" s="511"/>
      <c r="B893" s="161"/>
      <c r="C893" s="161"/>
      <c r="D893" s="161"/>
      <c r="E893" s="161"/>
      <c r="F893" s="161"/>
      <c r="G893" s="161"/>
      <c r="H893" s="161"/>
      <c r="I893" s="161"/>
      <c r="J893" s="161"/>
      <c r="K893" s="511"/>
      <c r="L893" s="511"/>
      <c r="M893" s="161"/>
      <c r="N893" s="161"/>
      <c r="O893" s="161"/>
      <c r="P893" s="161"/>
      <c r="Q893" s="161"/>
      <c r="R893" s="161"/>
      <c r="S893" s="161"/>
      <c r="T893" s="161"/>
      <c r="U893" s="161"/>
      <c r="V893" s="161"/>
      <c r="W893" s="161"/>
      <c r="X893" s="161"/>
      <c r="Y893" s="161"/>
      <c r="Z893" s="161"/>
      <c r="AA893" s="161"/>
      <c r="AB893" s="161"/>
    </row>
    <row r="894">
      <c r="A894" s="511"/>
      <c r="B894" s="161"/>
      <c r="C894" s="161"/>
      <c r="D894" s="161"/>
      <c r="E894" s="161"/>
      <c r="F894" s="161"/>
      <c r="G894" s="161"/>
      <c r="H894" s="161"/>
      <c r="I894" s="161"/>
      <c r="J894" s="161"/>
      <c r="K894" s="511"/>
      <c r="L894" s="511"/>
      <c r="M894" s="161"/>
      <c r="N894" s="161"/>
      <c r="O894" s="161"/>
      <c r="P894" s="161"/>
      <c r="Q894" s="161"/>
      <c r="R894" s="161"/>
      <c r="S894" s="161"/>
      <c r="T894" s="161"/>
      <c r="U894" s="161"/>
      <c r="V894" s="161"/>
      <c r="W894" s="161"/>
      <c r="X894" s="161"/>
      <c r="Y894" s="161"/>
      <c r="Z894" s="161"/>
      <c r="AA894" s="161"/>
      <c r="AB894" s="161"/>
    </row>
    <row r="895">
      <c r="A895" s="511"/>
      <c r="B895" s="161"/>
      <c r="C895" s="161"/>
      <c r="D895" s="161"/>
      <c r="E895" s="161"/>
      <c r="F895" s="161"/>
      <c r="G895" s="161"/>
      <c r="H895" s="161"/>
      <c r="I895" s="161"/>
      <c r="J895" s="161"/>
      <c r="K895" s="511"/>
      <c r="L895" s="511"/>
      <c r="M895" s="161"/>
      <c r="N895" s="161"/>
      <c r="O895" s="161"/>
      <c r="P895" s="161"/>
      <c r="Q895" s="161"/>
      <c r="R895" s="161"/>
      <c r="S895" s="161"/>
      <c r="T895" s="161"/>
      <c r="U895" s="161"/>
      <c r="V895" s="161"/>
      <c r="W895" s="161"/>
      <c r="X895" s="161"/>
      <c r="Y895" s="161"/>
      <c r="Z895" s="161"/>
      <c r="AA895" s="161"/>
      <c r="AB895" s="161"/>
    </row>
    <row r="896">
      <c r="A896" s="511"/>
      <c r="B896" s="161"/>
      <c r="C896" s="161"/>
      <c r="D896" s="161"/>
      <c r="E896" s="161"/>
      <c r="F896" s="161"/>
      <c r="G896" s="161"/>
      <c r="H896" s="161"/>
      <c r="I896" s="161"/>
      <c r="J896" s="161"/>
      <c r="K896" s="511"/>
      <c r="L896" s="511"/>
      <c r="M896" s="161"/>
      <c r="N896" s="161"/>
      <c r="O896" s="161"/>
      <c r="P896" s="161"/>
      <c r="Q896" s="161"/>
      <c r="R896" s="161"/>
      <c r="S896" s="161"/>
      <c r="T896" s="161"/>
      <c r="U896" s="161"/>
      <c r="V896" s="161"/>
      <c r="W896" s="161"/>
      <c r="X896" s="161"/>
      <c r="Y896" s="161"/>
      <c r="Z896" s="161"/>
      <c r="AA896" s="161"/>
      <c r="AB896" s="161"/>
    </row>
    <row r="897">
      <c r="A897" s="511"/>
      <c r="B897" s="161"/>
      <c r="C897" s="161"/>
      <c r="D897" s="161"/>
      <c r="E897" s="161"/>
      <c r="F897" s="161"/>
      <c r="G897" s="161"/>
      <c r="H897" s="161"/>
      <c r="I897" s="161"/>
      <c r="J897" s="161"/>
      <c r="K897" s="511"/>
      <c r="L897" s="511"/>
      <c r="M897" s="161"/>
      <c r="N897" s="161"/>
      <c r="O897" s="161"/>
      <c r="P897" s="161"/>
      <c r="Q897" s="161"/>
      <c r="R897" s="161"/>
      <c r="S897" s="161"/>
      <c r="T897" s="161"/>
      <c r="U897" s="161"/>
      <c r="V897" s="161"/>
      <c r="W897" s="161"/>
      <c r="X897" s="161"/>
      <c r="Y897" s="161"/>
      <c r="Z897" s="161"/>
      <c r="AA897" s="161"/>
      <c r="AB897" s="161"/>
    </row>
    <row r="898">
      <c r="A898" s="511"/>
      <c r="B898" s="161"/>
      <c r="C898" s="161"/>
      <c r="D898" s="161"/>
      <c r="E898" s="161"/>
      <c r="F898" s="161"/>
      <c r="G898" s="161"/>
      <c r="H898" s="161"/>
      <c r="I898" s="161"/>
      <c r="J898" s="161"/>
      <c r="K898" s="511"/>
      <c r="L898" s="511"/>
      <c r="M898" s="161"/>
      <c r="N898" s="161"/>
      <c r="O898" s="161"/>
      <c r="P898" s="161"/>
      <c r="Q898" s="161"/>
      <c r="R898" s="161"/>
      <c r="S898" s="161"/>
      <c r="T898" s="161"/>
      <c r="U898" s="161"/>
      <c r="V898" s="161"/>
      <c r="W898" s="161"/>
      <c r="X898" s="161"/>
      <c r="Y898" s="161"/>
      <c r="Z898" s="161"/>
      <c r="AA898" s="161"/>
      <c r="AB898" s="161"/>
    </row>
    <row r="899">
      <c r="A899" s="511"/>
      <c r="B899" s="161"/>
      <c r="C899" s="161"/>
      <c r="D899" s="161"/>
      <c r="E899" s="161"/>
      <c r="F899" s="161"/>
      <c r="G899" s="161"/>
      <c r="H899" s="161"/>
      <c r="I899" s="161"/>
      <c r="J899" s="161"/>
      <c r="K899" s="511"/>
      <c r="L899" s="511"/>
      <c r="M899" s="161"/>
      <c r="N899" s="161"/>
      <c r="O899" s="161"/>
      <c r="P899" s="161"/>
      <c r="Q899" s="161"/>
      <c r="R899" s="161"/>
      <c r="S899" s="161"/>
      <c r="T899" s="161"/>
      <c r="U899" s="161"/>
      <c r="V899" s="161"/>
      <c r="W899" s="161"/>
      <c r="X899" s="161"/>
      <c r="Y899" s="161"/>
      <c r="Z899" s="161"/>
      <c r="AA899" s="161"/>
      <c r="AB899" s="161"/>
    </row>
    <row r="900">
      <c r="A900" s="511"/>
      <c r="B900" s="161"/>
      <c r="C900" s="161"/>
      <c r="D900" s="161"/>
      <c r="E900" s="161"/>
      <c r="F900" s="161"/>
      <c r="G900" s="161"/>
      <c r="H900" s="161"/>
      <c r="I900" s="161"/>
      <c r="J900" s="161"/>
      <c r="K900" s="511"/>
      <c r="L900" s="511"/>
      <c r="M900" s="161"/>
      <c r="N900" s="161"/>
      <c r="O900" s="161"/>
      <c r="P900" s="161"/>
      <c r="Q900" s="161"/>
      <c r="R900" s="161"/>
      <c r="S900" s="161"/>
      <c r="T900" s="161"/>
      <c r="U900" s="161"/>
      <c r="V900" s="161"/>
      <c r="W900" s="161"/>
      <c r="X900" s="161"/>
      <c r="Y900" s="161"/>
      <c r="Z900" s="161"/>
      <c r="AA900" s="161"/>
      <c r="AB900" s="161"/>
    </row>
    <row r="901">
      <c r="A901" s="511"/>
      <c r="B901" s="161"/>
      <c r="C901" s="161"/>
      <c r="D901" s="161"/>
      <c r="E901" s="161"/>
      <c r="F901" s="161"/>
      <c r="G901" s="161"/>
      <c r="H901" s="161"/>
      <c r="I901" s="161"/>
      <c r="J901" s="161"/>
      <c r="K901" s="511"/>
      <c r="L901" s="511"/>
      <c r="M901" s="161"/>
      <c r="N901" s="161"/>
      <c r="O901" s="161"/>
      <c r="P901" s="161"/>
      <c r="Q901" s="161"/>
      <c r="R901" s="161"/>
      <c r="S901" s="161"/>
      <c r="T901" s="161"/>
      <c r="U901" s="161"/>
      <c r="V901" s="161"/>
      <c r="W901" s="161"/>
      <c r="X901" s="161"/>
      <c r="Y901" s="161"/>
      <c r="Z901" s="161"/>
      <c r="AA901" s="161"/>
      <c r="AB901" s="161"/>
    </row>
    <row r="902">
      <c r="A902" s="511"/>
      <c r="B902" s="161"/>
      <c r="C902" s="161"/>
      <c r="D902" s="161"/>
      <c r="E902" s="161"/>
      <c r="F902" s="161"/>
      <c r="G902" s="161"/>
      <c r="H902" s="161"/>
      <c r="I902" s="161"/>
      <c r="J902" s="161"/>
      <c r="K902" s="511"/>
      <c r="L902" s="511"/>
      <c r="M902" s="161"/>
      <c r="N902" s="161"/>
      <c r="O902" s="161"/>
      <c r="P902" s="161"/>
      <c r="Q902" s="161"/>
      <c r="R902" s="161"/>
      <c r="S902" s="161"/>
      <c r="T902" s="161"/>
      <c r="U902" s="161"/>
      <c r="V902" s="161"/>
      <c r="W902" s="161"/>
      <c r="X902" s="161"/>
      <c r="Y902" s="161"/>
      <c r="Z902" s="161"/>
      <c r="AA902" s="161"/>
      <c r="AB902" s="161"/>
    </row>
    <row r="903">
      <c r="A903" s="511"/>
      <c r="B903" s="161"/>
      <c r="C903" s="161"/>
      <c r="D903" s="161"/>
      <c r="E903" s="161"/>
      <c r="F903" s="161"/>
      <c r="G903" s="161"/>
      <c r="H903" s="161"/>
      <c r="I903" s="161"/>
      <c r="J903" s="161"/>
      <c r="K903" s="511"/>
      <c r="L903" s="511"/>
      <c r="M903" s="161"/>
      <c r="N903" s="161"/>
      <c r="O903" s="161"/>
      <c r="P903" s="161"/>
      <c r="Q903" s="161"/>
      <c r="R903" s="161"/>
      <c r="S903" s="161"/>
      <c r="T903" s="161"/>
      <c r="U903" s="161"/>
      <c r="V903" s="161"/>
      <c r="W903" s="161"/>
      <c r="X903" s="161"/>
      <c r="Y903" s="161"/>
      <c r="Z903" s="161"/>
      <c r="AA903" s="161"/>
      <c r="AB903" s="161"/>
    </row>
    <row r="904">
      <c r="A904" s="511"/>
      <c r="B904" s="161"/>
      <c r="C904" s="161"/>
      <c r="D904" s="161"/>
      <c r="E904" s="161"/>
      <c r="F904" s="161"/>
      <c r="G904" s="161"/>
      <c r="H904" s="161"/>
      <c r="I904" s="161"/>
      <c r="J904" s="161"/>
      <c r="K904" s="511"/>
      <c r="L904" s="511"/>
      <c r="M904" s="161"/>
      <c r="N904" s="161"/>
      <c r="O904" s="161"/>
      <c r="P904" s="161"/>
      <c r="Q904" s="161"/>
      <c r="R904" s="161"/>
      <c r="S904" s="161"/>
      <c r="T904" s="161"/>
      <c r="U904" s="161"/>
      <c r="V904" s="161"/>
      <c r="W904" s="161"/>
      <c r="X904" s="161"/>
      <c r="Y904" s="161"/>
      <c r="Z904" s="161"/>
      <c r="AA904" s="161"/>
      <c r="AB904" s="161"/>
    </row>
    <row r="905">
      <c r="A905" s="511"/>
      <c r="B905" s="161"/>
      <c r="C905" s="161"/>
      <c r="D905" s="161"/>
      <c r="E905" s="161"/>
      <c r="F905" s="161"/>
      <c r="G905" s="161"/>
      <c r="H905" s="161"/>
      <c r="I905" s="161"/>
      <c r="J905" s="161"/>
      <c r="K905" s="511"/>
      <c r="L905" s="511"/>
      <c r="M905" s="161"/>
      <c r="N905" s="161"/>
      <c r="O905" s="161"/>
      <c r="P905" s="161"/>
      <c r="Q905" s="161"/>
      <c r="R905" s="161"/>
      <c r="S905" s="161"/>
      <c r="T905" s="161"/>
      <c r="U905" s="161"/>
      <c r="V905" s="161"/>
      <c r="W905" s="161"/>
      <c r="X905" s="161"/>
      <c r="Y905" s="161"/>
      <c r="Z905" s="161"/>
      <c r="AA905" s="161"/>
      <c r="AB905" s="161"/>
    </row>
    <row r="906">
      <c r="A906" s="511"/>
      <c r="B906" s="161"/>
      <c r="C906" s="161"/>
      <c r="D906" s="161"/>
      <c r="E906" s="161"/>
      <c r="F906" s="161"/>
      <c r="G906" s="161"/>
      <c r="H906" s="161"/>
      <c r="I906" s="161"/>
      <c r="J906" s="161"/>
      <c r="K906" s="511"/>
      <c r="L906" s="511"/>
      <c r="M906" s="161"/>
      <c r="N906" s="161"/>
      <c r="O906" s="161"/>
      <c r="P906" s="161"/>
      <c r="Q906" s="161"/>
      <c r="R906" s="161"/>
      <c r="S906" s="161"/>
      <c r="T906" s="161"/>
      <c r="U906" s="161"/>
      <c r="V906" s="161"/>
      <c r="W906" s="161"/>
      <c r="X906" s="161"/>
      <c r="Y906" s="161"/>
      <c r="Z906" s="161"/>
      <c r="AA906" s="161"/>
      <c r="AB906" s="161"/>
    </row>
    <row r="907">
      <c r="A907" s="511"/>
      <c r="B907" s="161"/>
      <c r="C907" s="161"/>
      <c r="D907" s="161"/>
      <c r="E907" s="161"/>
      <c r="F907" s="161"/>
      <c r="G907" s="161"/>
      <c r="H907" s="161"/>
      <c r="I907" s="161"/>
      <c r="J907" s="161"/>
      <c r="K907" s="511"/>
      <c r="L907" s="511"/>
      <c r="M907" s="161"/>
      <c r="N907" s="161"/>
      <c r="O907" s="161"/>
      <c r="P907" s="161"/>
      <c r="Q907" s="161"/>
      <c r="R907" s="161"/>
      <c r="S907" s="161"/>
      <c r="T907" s="161"/>
      <c r="U907" s="161"/>
      <c r="V907" s="161"/>
      <c r="W907" s="161"/>
      <c r="X907" s="161"/>
      <c r="Y907" s="161"/>
      <c r="Z907" s="161"/>
      <c r="AA907" s="161"/>
      <c r="AB907" s="161"/>
    </row>
    <row r="908">
      <c r="A908" s="511"/>
      <c r="B908" s="161"/>
      <c r="C908" s="161"/>
      <c r="D908" s="161"/>
      <c r="E908" s="161"/>
      <c r="F908" s="161"/>
      <c r="G908" s="161"/>
      <c r="H908" s="161"/>
      <c r="I908" s="161"/>
      <c r="J908" s="161"/>
      <c r="K908" s="511"/>
      <c r="L908" s="511"/>
      <c r="M908" s="161"/>
      <c r="N908" s="161"/>
      <c r="O908" s="161"/>
      <c r="P908" s="161"/>
      <c r="Q908" s="161"/>
      <c r="R908" s="161"/>
      <c r="S908" s="161"/>
      <c r="T908" s="161"/>
      <c r="U908" s="161"/>
      <c r="V908" s="161"/>
      <c r="W908" s="161"/>
      <c r="X908" s="161"/>
      <c r="Y908" s="161"/>
      <c r="Z908" s="161"/>
      <c r="AA908" s="161"/>
      <c r="AB908" s="161"/>
    </row>
    <row r="909">
      <c r="A909" s="511"/>
      <c r="B909" s="161"/>
      <c r="C909" s="161"/>
      <c r="D909" s="161"/>
      <c r="E909" s="161"/>
      <c r="F909" s="161"/>
      <c r="G909" s="161"/>
      <c r="H909" s="161"/>
      <c r="I909" s="161"/>
      <c r="J909" s="161"/>
      <c r="K909" s="511"/>
      <c r="L909" s="511"/>
      <c r="M909" s="161"/>
      <c r="N909" s="161"/>
      <c r="O909" s="161"/>
      <c r="P909" s="161"/>
      <c r="Q909" s="161"/>
      <c r="R909" s="161"/>
      <c r="S909" s="161"/>
      <c r="T909" s="161"/>
      <c r="U909" s="161"/>
      <c r="V909" s="161"/>
      <c r="W909" s="161"/>
      <c r="X909" s="161"/>
      <c r="Y909" s="161"/>
      <c r="Z909" s="161"/>
      <c r="AA909" s="161"/>
      <c r="AB909" s="161"/>
    </row>
    <row r="910">
      <c r="A910" s="511"/>
      <c r="B910" s="161"/>
      <c r="C910" s="161"/>
      <c r="D910" s="161"/>
      <c r="E910" s="161"/>
      <c r="F910" s="161"/>
      <c r="G910" s="161"/>
      <c r="H910" s="161"/>
      <c r="I910" s="161"/>
      <c r="J910" s="161"/>
      <c r="K910" s="511"/>
      <c r="L910" s="511"/>
      <c r="M910" s="161"/>
      <c r="N910" s="161"/>
      <c r="O910" s="161"/>
      <c r="P910" s="161"/>
      <c r="Q910" s="161"/>
      <c r="R910" s="161"/>
      <c r="S910" s="161"/>
      <c r="T910" s="161"/>
      <c r="U910" s="161"/>
      <c r="V910" s="161"/>
      <c r="W910" s="161"/>
      <c r="X910" s="161"/>
      <c r="Y910" s="161"/>
      <c r="Z910" s="161"/>
      <c r="AA910" s="161"/>
      <c r="AB910" s="161"/>
    </row>
    <row r="911">
      <c r="A911" s="511"/>
      <c r="B911" s="161"/>
      <c r="C911" s="161"/>
      <c r="D911" s="161"/>
      <c r="E911" s="161"/>
      <c r="F911" s="161"/>
      <c r="G911" s="161"/>
      <c r="H911" s="161"/>
      <c r="I911" s="161"/>
      <c r="J911" s="161"/>
      <c r="K911" s="511"/>
      <c r="L911" s="511"/>
      <c r="M911" s="161"/>
      <c r="N911" s="161"/>
      <c r="O911" s="161"/>
      <c r="P911" s="161"/>
      <c r="Q911" s="161"/>
      <c r="R911" s="161"/>
      <c r="S911" s="161"/>
      <c r="T911" s="161"/>
      <c r="U911" s="161"/>
      <c r="V911" s="161"/>
      <c r="W911" s="161"/>
      <c r="X911" s="161"/>
      <c r="Y911" s="161"/>
      <c r="Z911" s="161"/>
      <c r="AA911" s="161"/>
      <c r="AB911" s="161"/>
    </row>
    <row r="912">
      <c r="A912" s="511"/>
      <c r="B912" s="161"/>
      <c r="C912" s="161"/>
      <c r="D912" s="161"/>
      <c r="E912" s="161"/>
      <c r="F912" s="161"/>
      <c r="G912" s="161"/>
      <c r="H912" s="161"/>
      <c r="I912" s="161"/>
      <c r="J912" s="161"/>
      <c r="K912" s="511"/>
      <c r="L912" s="511"/>
      <c r="M912" s="161"/>
      <c r="N912" s="161"/>
      <c r="O912" s="161"/>
      <c r="P912" s="161"/>
      <c r="Q912" s="161"/>
      <c r="R912" s="161"/>
      <c r="S912" s="161"/>
      <c r="T912" s="161"/>
      <c r="U912" s="161"/>
      <c r="V912" s="161"/>
      <c r="W912" s="161"/>
      <c r="X912" s="161"/>
      <c r="Y912" s="161"/>
      <c r="Z912" s="161"/>
      <c r="AA912" s="161"/>
      <c r="AB912" s="161"/>
    </row>
    <row r="913">
      <c r="A913" s="511"/>
      <c r="B913" s="161"/>
      <c r="C913" s="161"/>
      <c r="D913" s="161"/>
      <c r="E913" s="161"/>
      <c r="F913" s="161"/>
      <c r="G913" s="161"/>
      <c r="H913" s="161"/>
      <c r="I913" s="161"/>
      <c r="J913" s="161"/>
      <c r="K913" s="511"/>
      <c r="L913" s="511"/>
      <c r="M913" s="161"/>
      <c r="N913" s="161"/>
      <c r="O913" s="161"/>
      <c r="P913" s="161"/>
      <c r="Q913" s="161"/>
      <c r="R913" s="161"/>
      <c r="S913" s="161"/>
      <c r="T913" s="161"/>
      <c r="U913" s="161"/>
      <c r="V913" s="161"/>
      <c r="W913" s="161"/>
      <c r="X913" s="161"/>
      <c r="Y913" s="161"/>
      <c r="Z913" s="161"/>
      <c r="AA913" s="161"/>
      <c r="AB913" s="161"/>
    </row>
    <row r="914">
      <c r="A914" s="511"/>
      <c r="B914" s="161"/>
      <c r="C914" s="161"/>
      <c r="D914" s="161"/>
      <c r="E914" s="161"/>
      <c r="F914" s="161"/>
      <c r="G914" s="161"/>
      <c r="H914" s="161"/>
      <c r="I914" s="161"/>
      <c r="J914" s="161"/>
      <c r="K914" s="511"/>
      <c r="L914" s="511"/>
      <c r="M914" s="161"/>
      <c r="N914" s="161"/>
      <c r="O914" s="161"/>
      <c r="P914" s="161"/>
      <c r="Q914" s="161"/>
      <c r="R914" s="161"/>
      <c r="S914" s="161"/>
      <c r="T914" s="161"/>
      <c r="U914" s="161"/>
      <c r="V914" s="161"/>
      <c r="W914" s="161"/>
      <c r="X914" s="161"/>
      <c r="Y914" s="161"/>
      <c r="Z914" s="161"/>
      <c r="AA914" s="161"/>
      <c r="AB914" s="161"/>
    </row>
    <row r="915">
      <c r="A915" s="511"/>
      <c r="B915" s="161"/>
      <c r="C915" s="161"/>
      <c r="D915" s="161"/>
      <c r="E915" s="161"/>
      <c r="F915" s="161"/>
      <c r="G915" s="161"/>
      <c r="H915" s="161"/>
      <c r="I915" s="161"/>
      <c r="J915" s="161"/>
      <c r="K915" s="511"/>
      <c r="L915" s="511"/>
      <c r="M915" s="161"/>
      <c r="N915" s="161"/>
      <c r="O915" s="161"/>
      <c r="P915" s="161"/>
      <c r="Q915" s="161"/>
      <c r="R915" s="161"/>
      <c r="S915" s="161"/>
      <c r="T915" s="161"/>
      <c r="U915" s="161"/>
      <c r="V915" s="161"/>
      <c r="W915" s="161"/>
      <c r="X915" s="161"/>
      <c r="Y915" s="161"/>
      <c r="Z915" s="161"/>
      <c r="AA915" s="161"/>
      <c r="AB915" s="161"/>
    </row>
    <row r="916">
      <c r="A916" s="511"/>
      <c r="B916" s="161"/>
      <c r="C916" s="161"/>
      <c r="D916" s="161"/>
      <c r="E916" s="161"/>
      <c r="F916" s="161"/>
      <c r="G916" s="161"/>
      <c r="H916" s="161"/>
      <c r="I916" s="161"/>
      <c r="J916" s="161"/>
      <c r="K916" s="511"/>
      <c r="L916" s="511"/>
      <c r="M916" s="161"/>
      <c r="N916" s="161"/>
      <c r="O916" s="161"/>
      <c r="P916" s="161"/>
      <c r="Q916" s="161"/>
      <c r="R916" s="161"/>
      <c r="S916" s="161"/>
      <c r="T916" s="161"/>
      <c r="U916" s="161"/>
      <c r="V916" s="161"/>
      <c r="W916" s="161"/>
      <c r="X916" s="161"/>
      <c r="Y916" s="161"/>
      <c r="Z916" s="161"/>
      <c r="AA916" s="161"/>
      <c r="AB916" s="161"/>
    </row>
    <row r="917">
      <c r="A917" s="511"/>
      <c r="B917" s="161"/>
      <c r="C917" s="161"/>
      <c r="D917" s="161"/>
      <c r="E917" s="161"/>
      <c r="F917" s="161"/>
      <c r="G917" s="161"/>
      <c r="H917" s="161"/>
      <c r="I917" s="161"/>
      <c r="J917" s="161"/>
      <c r="K917" s="511"/>
      <c r="L917" s="511"/>
      <c r="M917" s="161"/>
      <c r="N917" s="161"/>
      <c r="O917" s="161"/>
      <c r="P917" s="161"/>
      <c r="Q917" s="161"/>
      <c r="R917" s="161"/>
      <c r="S917" s="161"/>
      <c r="T917" s="161"/>
      <c r="U917" s="161"/>
      <c r="V917" s="161"/>
      <c r="W917" s="161"/>
      <c r="X917" s="161"/>
      <c r="Y917" s="161"/>
      <c r="Z917" s="161"/>
      <c r="AA917" s="161"/>
      <c r="AB917" s="161"/>
    </row>
    <row r="918">
      <c r="A918" s="511"/>
      <c r="B918" s="161"/>
      <c r="C918" s="161"/>
      <c r="D918" s="161"/>
      <c r="E918" s="161"/>
      <c r="F918" s="161"/>
      <c r="G918" s="161"/>
      <c r="H918" s="161"/>
      <c r="I918" s="161"/>
      <c r="J918" s="161"/>
      <c r="K918" s="511"/>
      <c r="L918" s="511"/>
      <c r="M918" s="161"/>
      <c r="N918" s="161"/>
      <c r="O918" s="161"/>
      <c r="P918" s="161"/>
      <c r="Q918" s="161"/>
      <c r="R918" s="161"/>
      <c r="S918" s="161"/>
      <c r="T918" s="161"/>
      <c r="U918" s="161"/>
      <c r="V918" s="161"/>
      <c r="W918" s="161"/>
      <c r="X918" s="161"/>
      <c r="Y918" s="161"/>
      <c r="Z918" s="161"/>
      <c r="AA918" s="161"/>
      <c r="AB918" s="161"/>
    </row>
    <row r="919">
      <c r="A919" s="511"/>
      <c r="B919" s="161"/>
      <c r="C919" s="161"/>
      <c r="D919" s="161"/>
      <c r="E919" s="161"/>
      <c r="F919" s="161"/>
      <c r="G919" s="161"/>
      <c r="H919" s="161"/>
      <c r="I919" s="161"/>
      <c r="J919" s="161"/>
      <c r="K919" s="511"/>
      <c r="L919" s="511"/>
      <c r="M919" s="161"/>
      <c r="N919" s="161"/>
      <c r="O919" s="161"/>
      <c r="P919" s="161"/>
      <c r="Q919" s="161"/>
      <c r="R919" s="161"/>
      <c r="S919" s="161"/>
      <c r="T919" s="161"/>
      <c r="U919" s="161"/>
      <c r="V919" s="161"/>
      <c r="W919" s="161"/>
      <c r="X919" s="161"/>
      <c r="Y919" s="161"/>
      <c r="Z919" s="161"/>
      <c r="AA919" s="161"/>
      <c r="AB919" s="161"/>
    </row>
    <row r="920">
      <c r="A920" s="511"/>
      <c r="B920" s="161"/>
      <c r="C920" s="161"/>
      <c r="D920" s="161"/>
      <c r="E920" s="161"/>
      <c r="F920" s="161"/>
      <c r="G920" s="161"/>
      <c r="H920" s="161"/>
      <c r="I920" s="161"/>
      <c r="J920" s="161"/>
      <c r="K920" s="511"/>
      <c r="L920" s="511"/>
      <c r="M920" s="161"/>
      <c r="N920" s="161"/>
      <c r="O920" s="161"/>
      <c r="P920" s="161"/>
      <c r="Q920" s="161"/>
      <c r="R920" s="161"/>
      <c r="S920" s="161"/>
      <c r="T920" s="161"/>
      <c r="U920" s="161"/>
      <c r="V920" s="161"/>
      <c r="W920" s="161"/>
      <c r="X920" s="161"/>
      <c r="Y920" s="161"/>
      <c r="Z920" s="161"/>
      <c r="AA920" s="161"/>
      <c r="AB920" s="161"/>
    </row>
    <row r="921">
      <c r="A921" s="511"/>
      <c r="B921" s="161"/>
      <c r="C921" s="161"/>
      <c r="D921" s="161"/>
      <c r="E921" s="161"/>
      <c r="F921" s="161"/>
      <c r="G921" s="161"/>
      <c r="H921" s="161"/>
      <c r="I921" s="161"/>
      <c r="J921" s="161"/>
      <c r="K921" s="511"/>
      <c r="L921" s="511"/>
      <c r="M921" s="161"/>
      <c r="N921" s="161"/>
      <c r="O921" s="161"/>
      <c r="P921" s="161"/>
      <c r="Q921" s="161"/>
      <c r="R921" s="161"/>
      <c r="S921" s="161"/>
      <c r="T921" s="161"/>
      <c r="U921" s="161"/>
      <c r="V921" s="161"/>
      <c r="W921" s="161"/>
      <c r="X921" s="161"/>
      <c r="Y921" s="161"/>
      <c r="Z921" s="161"/>
      <c r="AA921" s="161"/>
      <c r="AB921" s="161"/>
    </row>
    <row r="922">
      <c r="A922" s="511"/>
      <c r="B922" s="161"/>
      <c r="C922" s="161"/>
      <c r="D922" s="161"/>
      <c r="E922" s="161"/>
      <c r="F922" s="161"/>
      <c r="G922" s="161"/>
      <c r="H922" s="161"/>
      <c r="I922" s="161"/>
      <c r="J922" s="161"/>
      <c r="K922" s="511"/>
      <c r="L922" s="511"/>
      <c r="M922" s="161"/>
      <c r="N922" s="161"/>
      <c r="O922" s="161"/>
      <c r="P922" s="161"/>
      <c r="Q922" s="161"/>
      <c r="R922" s="161"/>
      <c r="S922" s="161"/>
      <c r="T922" s="161"/>
      <c r="U922" s="161"/>
      <c r="V922" s="161"/>
      <c r="W922" s="161"/>
      <c r="X922" s="161"/>
      <c r="Y922" s="161"/>
      <c r="Z922" s="161"/>
      <c r="AA922" s="161"/>
      <c r="AB922" s="161"/>
    </row>
    <row r="923">
      <c r="A923" s="511"/>
      <c r="B923" s="161"/>
      <c r="C923" s="161"/>
      <c r="D923" s="161"/>
      <c r="E923" s="161"/>
      <c r="F923" s="161"/>
      <c r="G923" s="161"/>
      <c r="H923" s="161"/>
      <c r="I923" s="161"/>
      <c r="J923" s="161"/>
      <c r="K923" s="511"/>
      <c r="L923" s="511"/>
      <c r="M923" s="161"/>
      <c r="N923" s="161"/>
      <c r="O923" s="161"/>
      <c r="P923" s="161"/>
      <c r="Q923" s="161"/>
      <c r="R923" s="161"/>
      <c r="S923" s="161"/>
      <c r="T923" s="161"/>
      <c r="U923" s="161"/>
      <c r="V923" s="161"/>
      <c r="W923" s="161"/>
      <c r="X923" s="161"/>
      <c r="Y923" s="161"/>
      <c r="Z923" s="161"/>
      <c r="AA923" s="161"/>
      <c r="AB923" s="161"/>
    </row>
    <row r="924">
      <c r="A924" s="511"/>
      <c r="B924" s="161"/>
      <c r="C924" s="161"/>
      <c r="D924" s="161"/>
      <c r="E924" s="161"/>
      <c r="F924" s="161"/>
      <c r="G924" s="161"/>
      <c r="H924" s="161"/>
      <c r="I924" s="161"/>
      <c r="J924" s="161"/>
      <c r="K924" s="511"/>
      <c r="L924" s="511"/>
      <c r="M924" s="161"/>
      <c r="N924" s="161"/>
      <c r="O924" s="161"/>
      <c r="P924" s="161"/>
      <c r="Q924" s="161"/>
      <c r="R924" s="161"/>
      <c r="S924" s="161"/>
      <c r="T924" s="161"/>
      <c r="U924" s="161"/>
      <c r="V924" s="161"/>
      <c r="W924" s="161"/>
      <c r="X924" s="161"/>
      <c r="Y924" s="161"/>
      <c r="Z924" s="161"/>
      <c r="AA924" s="161"/>
      <c r="AB924" s="161"/>
    </row>
    <row r="925">
      <c r="A925" s="511"/>
      <c r="B925" s="161"/>
      <c r="C925" s="161"/>
      <c r="D925" s="161"/>
      <c r="E925" s="161"/>
      <c r="F925" s="161"/>
      <c r="G925" s="161"/>
      <c r="H925" s="161"/>
      <c r="I925" s="161"/>
      <c r="J925" s="161"/>
      <c r="K925" s="511"/>
      <c r="L925" s="511"/>
      <c r="M925" s="161"/>
      <c r="N925" s="161"/>
      <c r="O925" s="161"/>
      <c r="P925" s="161"/>
      <c r="Q925" s="161"/>
      <c r="R925" s="161"/>
      <c r="S925" s="161"/>
      <c r="T925" s="161"/>
      <c r="U925" s="161"/>
      <c r="V925" s="161"/>
      <c r="W925" s="161"/>
      <c r="X925" s="161"/>
      <c r="Y925" s="161"/>
      <c r="Z925" s="161"/>
      <c r="AA925" s="161"/>
      <c r="AB925" s="161"/>
    </row>
    <row r="926">
      <c r="A926" s="511"/>
      <c r="B926" s="161"/>
      <c r="C926" s="161"/>
      <c r="D926" s="161"/>
      <c r="E926" s="161"/>
      <c r="F926" s="161"/>
      <c r="G926" s="161"/>
      <c r="H926" s="161"/>
      <c r="I926" s="161"/>
      <c r="J926" s="161"/>
      <c r="K926" s="511"/>
      <c r="L926" s="511"/>
      <c r="M926" s="161"/>
      <c r="N926" s="161"/>
      <c r="O926" s="161"/>
      <c r="P926" s="161"/>
      <c r="Q926" s="161"/>
      <c r="R926" s="161"/>
      <c r="S926" s="161"/>
      <c r="T926" s="161"/>
      <c r="U926" s="161"/>
      <c r="V926" s="161"/>
      <c r="W926" s="161"/>
      <c r="X926" s="161"/>
      <c r="Y926" s="161"/>
      <c r="Z926" s="161"/>
      <c r="AA926" s="161"/>
      <c r="AB926" s="161"/>
    </row>
    <row r="927">
      <c r="A927" s="511"/>
      <c r="B927" s="161"/>
      <c r="C927" s="161"/>
      <c r="D927" s="161"/>
      <c r="E927" s="161"/>
      <c r="F927" s="161"/>
      <c r="G927" s="161"/>
      <c r="H927" s="161"/>
      <c r="I927" s="161"/>
      <c r="J927" s="161"/>
      <c r="K927" s="511"/>
      <c r="L927" s="511"/>
      <c r="M927" s="161"/>
      <c r="N927" s="161"/>
      <c r="O927" s="161"/>
      <c r="P927" s="161"/>
      <c r="Q927" s="161"/>
      <c r="R927" s="161"/>
      <c r="S927" s="161"/>
      <c r="T927" s="161"/>
      <c r="U927" s="161"/>
      <c r="V927" s="161"/>
      <c r="W927" s="161"/>
      <c r="X927" s="161"/>
      <c r="Y927" s="161"/>
      <c r="Z927" s="161"/>
      <c r="AA927" s="161"/>
      <c r="AB927" s="161"/>
    </row>
    <row r="928">
      <c r="A928" s="511"/>
      <c r="B928" s="161"/>
      <c r="C928" s="161"/>
      <c r="D928" s="161"/>
      <c r="E928" s="161"/>
      <c r="F928" s="161"/>
      <c r="G928" s="161"/>
      <c r="H928" s="161"/>
      <c r="I928" s="161"/>
      <c r="J928" s="161"/>
      <c r="K928" s="511"/>
      <c r="L928" s="511"/>
      <c r="M928" s="161"/>
      <c r="N928" s="161"/>
      <c r="O928" s="161"/>
      <c r="P928" s="161"/>
      <c r="Q928" s="161"/>
      <c r="R928" s="161"/>
      <c r="S928" s="161"/>
      <c r="T928" s="161"/>
      <c r="U928" s="161"/>
      <c r="V928" s="161"/>
      <c r="W928" s="161"/>
      <c r="X928" s="161"/>
      <c r="Y928" s="161"/>
      <c r="Z928" s="161"/>
      <c r="AA928" s="161"/>
      <c r="AB928" s="161"/>
    </row>
    <row r="929">
      <c r="A929" s="511"/>
      <c r="B929" s="161"/>
      <c r="C929" s="161"/>
      <c r="D929" s="161"/>
      <c r="E929" s="161"/>
      <c r="F929" s="161"/>
      <c r="G929" s="161"/>
      <c r="H929" s="161"/>
      <c r="I929" s="161"/>
      <c r="J929" s="161"/>
      <c r="K929" s="511"/>
      <c r="L929" s="511"/>
      <c r="M929" s="161"/>
      <c r="N929" s="161"/>
      <c r="O929" s="161"/>
      <c r="P929" s="161"/>
      <c r="Q929" s="161"/>
      <c r="R929" s="161"/>
      <c r="S929" s="161"/>
      <c r="T929" s="161"/>
      <c r="U929" s="161"/>
      <c r="V929" s="161"/>
      <c r="W929" s="161"/>
      <c r="X929" s="161"/>
      <c r="Y929" s="161"/>
      <c r="Z929" s="161"/>
      <c r="AA929" s="161"/>
      <c r="AB929" s="161"/>
    </row>
    <row r="930">
      <c r="A930" s="511"/>
      <c r="B930" s="161"/>
      <c r="C930" s="161"/>
      <c r="D930" s="161"/>
      <c r="E930" s="161"/>
      <c r="F930" s="161"/>
      <c r="G930" s="161"/>
      <c r="H930" s="161"/>
      <c r="I930" s="161"/>
      <c r="J930" s="161"/>
      <c r="K930" s="511"/>
      <c r="L930" s="511"/>
      <c r="M930" s="161"/>
      <c r="N930" s="161"/>
      <c r="O930" s="161"/>
      <c r="P930" s="161"/>
      <c r="Q930" s="161"/>
      <c r="R930" s="161"/>
      <c r="S930" s="161"/>
      <c r="T930" s="161"/>
      <c r="U930" s="161"/>
      <c r="V930" s="161"/>
      <c r="W930" s="161"/>
      <c r="X930" s="161"/>
      <c r="Y930" s="161"/>
      <c r="Z930" s="161"/>
      <c r="AA930" s="161"/>
      <c r="AB930" s="161"/>
    </row>
    <row r="931">
      <c r="A931" s="511"/>
      <c r="B931" s="161"/>
      <c r="C931" s="161"/>
      <c r="D931" s="161"/>
      <c r="E931" s="161"/>
      <c r="F931" s="161"/>
      <c r="G931" s="161"/>
      <c r="H931" s="161"/>
      <c r="I931" s="161"/>
      <c r="J931" s="161"/>
      <c r="K931" s="511"/>
      <c r="L931" s="511"/>
      <c r="M931" s="161"/>
      <c r="N931" s="161"/>
      <c r="O931" s="161"/>
      <c r="P931" s="161"/>
      <c r="Q931" s="161"/>
      <c r="R931" s="161"/>
      <c r="S931" s="161"/>
      <c r="T931" s="161"/>
      <c r="U931" s="161"/>
      <c r="V931" s="161"/>
      <c r="W931" s="161"/>
      <c r="X931" s="161"/>
      <c r="Y931" s="161"/>
      <c r="Z931" s="161"/>
      <c r="AA931" s="161"/>
      <c r="AB931" s="161"/>
    </row>
    <row r="932">
      <c r="A932" s="511"/>
      <c r="B932" s="161"/>
      <c r="C932" s="161"/>
      <c r="D932" s="161"/>
      <c r="E932" s="161"/>
      <c r="F932" s="161"/>
      <c r="G932" s="161"/>
      <c r="H932" s="161"/>
      <c r="I932" s="161"/>
      <c r="J932" s="161"/>
      <c r="K932" s="511"/>
      <c r="L932" s="511"/>
      <c r="M932" s="161"/>
      <c r="N932" s="161"/>
      <c r="O932" s="161"/>
      <c r="P932" s="161"/>
      <c r="Q932" s="161"/>
      <c r="R932" s="161"/>
      <c r="S932" s="161"/>
      <c r="T932" s="161"/>
      <c r="U932" s="161"/>
      <c r="V932" s="161"/>
      <c r="W932" s="161"/>
      <c r="X932" s="161"/>
      <c r="Y932" s="161"/>
      <c r="Z932" s="161"/>
      <c r="AA932" s="161"/>
      <c r="AB932" s="161"/>
    </row>
    <row r="933">
      <c r="A933" s="511"/>
      <c r="B933" s="161"/>
      <c r="C933" s="161"/>
      <c r="D933" s="161"/>
      <c r="E933" s="161"/>
      <c r="F933" s="161"/>
      <c r="G933" s="161"/>
      <c r="H933" s="161"/>
      <c r="I933" s="161"/>
      <c r="J933" s="161"/>
      <c r="K933" s="511"/>
      <c r="L933" s="511"/>
      <c r="M933" s="161"/>
      <c r="N933" s="161"/>
      <c r="O933" s="161"/>
      <c r="P933" s="161"/>
      <c r="Q933" s="161"/>
      <c r="R933" s="161"/>
      <c r="S933" s="161"/>
      <c r="T933" s="161"/>
      <c r="U933" s="161"/>
      <c r="V933" s="161"/>
      <c r="W933" s="161"/>
      <c r="X933" s="161"/>
      <c r="Y933" s="161"/>
      <c r="Z933" s="161"/>
      <c r="AA933" s="161"/>
      <c r="AB933" s="161"/>
    </row>
    <row r="934">
      <c r="A934" s="511"/>
      <c r="B934" s="161"/>
      <c r="C934" s="161"/>
      <c r="D934" s="161"/>
      <c r="E934" s="161"/>
      <c r="F934" s="161"/>
      <c r="G934" s="161"/>
      <c r="H934" s="161"/>
      <c r="I934" s="161"/>
      <c r="J934" s="161"/>
      <c r="K934" s="511"/>
      <c r="L934" s="511"/>
      <c r="M934" s="161"/>
      <c r="N934" s="161"/>
      <c r="O934" s="161"/>
      <c r="P934" s="161"/>
      <c r="Q934" s="161"/>
      <c r="R934" s="161"/>
      <c r="S934" s="161"/>
      <c r="T934" s="161"/>
      <c r="U934" s="161"/>
      <c r="V934" s="161"/>
      <c r="W934" s="161"/>
      <c r="X934" s="161"/>
      <c r="Y934" s="161"/>
      <c r="Z934" s="161"/>
      <c r="AA934" s="161"/>
      <c r="AB934" s="161"/>
    </row>
    <row r="935">
      <c r="A935" s="511"/>
      <c r="B935" s="161"/>
      <c r="C935" s="161"/>
      <c r="D935" s="161"/>
      <c r="E935" s="161"/>
      <c r="F935" s="161"/>
      <c r="G935" s="161"/>
      <c r="H935" s="161"/>
      <c r="I935" s="161"/>
      <c r="J935" s="161"/>
      <c r="K935" s="511"/>
      <c r="L935" s="511"/>
      <c r="M935" s="161"/>
      <c r="N935" s="161"/>
      <c r="O935" s="161"/>
      <c r="P935" s="161"/>
      <c r="Q935" s="161"/>
      <c r="R935" s="161"/>
      <c r="S935" s="161"/>
      <c r="T935" s="161"/>
      <c r="U935" s="161"/>
      <c r="V935" s="161"/>
      <c r="W935" s="161"/>
      <c r="X935" s="161"/>
      <c r="Y935" s="161"/>
      <c r="Z935" s="161"/>
      <c r="AA935" s="161"/>
      <c r="AB935" s="161"/>
    </row>
    <row r="936">
      <c r="A936" s="511"/>
      <c r="B936" s="161"/>
      <c r="C936" s="161"/>
      <c r="D936" s="161"/>
      <c r="E936" s="161"/>
      <c r="F936" s="161"/>
      <c r="G936" s="161"/>
      <c r="H936" s="161"/>
      <c r="I936" s="161"/>
      <c r="J936" s="161"/>
      <c r="K936" s="511"/>
      <c r="L936" s="511"/>
      <c r="M936" s="161"/>
      <c r="N936" s="161"/>
      <c r="O936" s="161"/>
      <c r="P936" s="161"/>
      <c r="Q936" s="161"/>
      <c r="R936" s="161"/>
      <c r="S936" s="161"/>
      <c r="T936" s="161"/>
      <c r="U936" s="161"/>
      <c r="V936" s="161"/>
      <c r="W936" s="161"/>
      <c r="X936" s="161"/>
      <c r="Y936" s="161"/>
      <c r="Z936" s="161"/>
      <c r="AA936" s="161"/>
      <c r="AB936" s="161"/>
    </row>
    <row r="937">
      <c r="A937" s="511"/>
      <c r="B937" s="161"/>
      <c r="C937" s="161"/>
      <c r="D937" s="161"/>
      <c r="E937" s="161"/>
      <c r="F937" s="161"/>
      <c r="G937" s="161"/>
      <c r="H937" s="161"/>
      <c r="I937" s="161"/>
      <c r="J937" s="161"/>
      <c r="K937" s="511"/>
      <c r="L937" s="511"/>
      <c r="M937" s="161"/>
      <c r="N937" s="161"/>
      <c r="O937" s="161"/>
      <c r="P937" s="161"/>
      <c r="Q937" s="161"/>
      <c r="R937" s="161"/>
      <c r="S937" s="161"/>
      <c r="T937" s="161"/>
      <c r="U937" s="161"/>
      <c r="V937" s="161"/>
      <c r="W937" s="161"/>
      <c r="X937" s="161"/>
      <c r="Y937" s="161"/>
      <c r="Z937" s="161"/>
      <c r="AA937" s="161"/>
      <c r="AB937" s="161"/>
    </row>
    <row r="938">
      <c r="A938" s="511"/>
      <c r="B938" s="161"/>
      <c r="C938" s="161"/>
      <c r="D938" s="161"/>
      <c r="E938" s="161"/>
      <c r="F938" s="161"/>
      <c r="G938" s="161"/>
      <c r="H938" s="161"/>
      <c r="I938" s="161"/>
      <c r="J938" s="161"/>
      <c r="K938" s="511"/>
      <c r="L938" s="511"/>
      <c r="M938" s="161"/>
      <c r="N938" s="161"/>
      <c r="O938" s="161"/>
      <c r="P938" s="161"/>
      <c r="Q938" s="161"/>
      <c r="R938" s="161"/>
      <c r="S938" s="161"/>
      <c r="T938" s="161"/>
      <c r="U938" s="161"/>
      <c r="V938" s="161"/>
      <c r="W938" s="161"/>
      <c r="X938" s="161"/>
      <c r="Y938" s="161"/>
      <c r="Z938" s="161"/>
      <c r="AA938" s="161"/>
      <c r="AB938" s="161"/>
    </row>
    <row r="939">
      <c r="A939" s="511"/>
      <c r="B939" s="161"/>
      <c r="C939" s="161"/>
      <c r="D939" s="161"/>
      <c r="E939" s="161"/>
      <c r="F939" s="161"/>
      <c r="G939" s="161"/>
      <c r="H939" s="161"/>
      <c r="I939" s="161"/>
      <c r="J939" s="161"/>
      <c r="K939" s="511"/>
      <c r="L939" s="511"/>
      <c r="M939" s="161"/>
      <c r="N939" s="161"/>
      <c r="O939" s="161"/>
      <c r="P939" s="161"/>
      <c r="Q939" s="161"/>
      <c r="R939" s="161"/>
      <c r="S939" s="161"/>
      <c r="T939" s="161"/>
      <c r="U939" s="161"/>
      <c r="V939" s="161"/>
      <c r="W939" s="161"/>
      <c r="X939" s="161"/>
      <c r="Y939" s="161"/>
      <c r="Z939" s="161"/>
      <c r="AA939" s="161"/>
      <c r="AB939" s="161"/>
    </row>
    <row r="940">
      <c r="A940" s="511"/>
      <c r="B940" s="161"/>
      <c r="C940" s="161"/>
      <c r="D940" s="161"/>
      <c r="E940" s="161"/>
      <c r="F940" s="161"/>
      <c r="G940" s="161"/>
      <c r="H940" s="161"/>
      <c r="I940" s="161"/>
      <c r="J940" s="161"/>
      <c r="K940" s="511"/>
      <c r="L940" s="511"/>
      <c r="M940" s="161"/>
      <c r="N940" s="161"/>
      <c r="O940" s="161"/>
      <c r="P940" s="161"/>
      <c r="Q940" s="161"/>
      <c r="R940" s="161"/>
      <c r="S940" s="161"/>
      <c r="T940" s="161"/>
      <c r="U940" s="161"/>
      <c r="V940" s="161"/>
      <c r="W940" s="161"/>
      <c r="X940" s="161"/>
      <c r="Y940" s="161"/>
      <c r="Z940" s="161"/>
      <c r="AA940" s="161"/>
      <c r="AB940" s="161"/>
    </row>
    <row r="941">
      <c r="A941" s="511"/>
      <c r="B941" s="161"/>
      <c r="C941" s="161"/>
      <c r="D941" s="161"/>
      <c r="E941" s="161"/>
      <c r="F941" s="161"/>
      <c r="G941" s="161"/>
      <c r="H941" s="161"/>
      <c r="I941" s="161"/>
      <c r="J941" s="161"/>
      <c r="K941" s="511"/>
      <c r="L941" s="511"/>
      <c r="M941" s="161"/>
      <c r="N941" s="161"/>
      <c r="O941" s="161"/>
      <c r="P941" s="161"/>
      <c r="Q941" s="161"/>
      <c r="R941" s="161"/>
      <c r="S941" s="161"/>
      <c r="T941" s="161"/>
      <c r="U941" s="161"/>
      <c r="V941" s="161"/>
      <c r="W941" s="161"/>
      <c r="X941" s="161"/>
      <c r="Y941" s="161"/>
      <c r="Z941" s="161"/>
      <c r="AA941" s="161"/>
      <c r="AB941" s="161"/>
    </row>
    <row r="942">
      <c r="A942" s="511"/>
      <c r="B942" s="161"/>
      <c r="C942" s="161"/>
      <c r="D942" s="161"/>
      <c r="E942" s="161"/>
      <c r="F942" s="161"/>
      <c r="G942" s="161"/>
      <c r="H942" s="161"/>
      <c r="I942" s="161"/>
      <c r="J942" s="161"/>
      <c r="K942" s="511"/>
      <c r="L942" s="511"/>
      <c r="M942" s="161"/>
      <c r="N942" s="161"/>
      <c r="O942" s="161"/>
      <c r="P942" s="161"/>
      <c r="Q942" s="161"/>
      <c r="R942" s="161"/>
      <c r="S942" s="161"/>
      <c r="T942" s="161"/>
      <c r="U942" s="161"/>
      <c r="V942" s="161"/>
      <c r="W942" s="161"/>
      <c r="X942" s="161"/>
      <c r="Y942" s="161"/>
      <c r="Z942" s="161"/>
      <c r="AA942" s="161"/>
      <c r="AB942" s="161"/>
    </row>
    <row r="943">
      <c r="A943" s="511"/>
      <c r="B943" s="161"/>
      <c r="C943" s="161"/>
      <c r="D943" s="161"/>
      <c r="E943" s="161"/>
      <c r="F943" s="161"/>
      <c r="G943" s="161"/>
      <c r="H943" s="161"/>
      <c r="I943" s="161"/>
      <c r="J943" s="161"/>
      <c r="K943" s="511"/>
      <c r="L943" s="511"/>
      <c r="M943" s="161"/>
      <c r="N943" s="161"/>
      <c r="O943" s="161"/>
      <c r="P943" s="161"/>
      <c r="Q943" s="161"/>
      <c r="R943" s="161"/>
      <c r="S943" s="161"/>
      <c r="T943" s="161"/>
      <c r="U943" s="161"/>
      <c r="V943" s="161"/>
      <c r="W943" s="161"/>
      <c r="X943" s="161"/>
      <c r="Y943" s="161"/>
      <c r="Z943" s="161"/>
      <c r="AA943" s="161"/>
      <c r="AB943" s="161"/>
    </row>
    <row r="944">
      <c r="A944" s="511"/>
      <c r="B944" s="161"/>
      <c r="C944" s="161"/>
      <c r="D944" s="161"/>
      <c r="E944" s="161"/>
      <c r="F944" s="161"/>
      <c r="G944" s="161"/>
      <c r="H944" s="161"/>
      <c r="I944" s="161"/>
      <c r="J944" s="161"/>
      <c r="K944" s="511"/>
      <c r="L944" s="511"/>
      <c r="M944" s="161"/>
      <c r="N944" s="161"/>
      <c r="O944" s="161"/>
      <c r="P944" s="161"/>
      <c r="Q944" s="161"/>
      <c r="R944" s="161"/>
      <c r="S944" s="161"/>
      <c r="T944" s="161"/>
      <c r="U944" s="161"/>
      <c r="V944" s="161"/>
      <c r="W944" s="161"/>
      <c r="X944" s="161"/>
      <c r="Y944" s="161"/>
      <c r="Z944" s="161"/>
      <c r="AA944" s="161"/>
      <c r="AB944" s="161"/>
    </row>
    <row r="945">
      <c r="A945" s="511"/>
      <c r="B945" s="161"/>
      <c r="C945" s="161"/>
      <c r="D945" s="161"/>
      <c r="E945" s="161"/>
      <c r="F945" s="161"/>
      <c r="G945" s="161"/>
      <c r="H945" s="161"/>
      <c r="I945" s="161"/>
      <c r="J945" s="161"/>
      <c r="K945" s="511"/>
      <c r="L945" s="511"/>
      <c r="M945" s="161"/>
      <c r="N945" s="161"/>
      <c r="O945" s="161"/>
      <c r="P945" s="161"/>
      <c r="Q945" s="161"/>
      <c r="R945" s="161"/>
      <c r="S945" s="161"/>
      <c r="T945" s="161"/>
      <c r="U945" s="161"/>
      <c r="V945" s="161"/>
      <c r="W945" s="161"/>
      <c r="X945" s="161"/>
      <c r="Y945" s="161"/>
      <c r="Z945" s="161"/>
      <c r="AA945" s="161"/>
      <c r="AB945" s="161"/>
    </row>
    <row r="946">
      <c r="A946" s="511"/>
      <c r="B946" s="161"/>
      <c r="C946" s="161"/>
      <c r="D946" s="161"/>
      <c r="E946" s="161"/>
      <c r="F946" s="161"/>
      <c r="G946" s="161"/>
      <c r="H946" s="161"/>
      <c r="I946" s="161"/>
      <c r="J946" s="161"/>
      <c r="K946" s="511"/>
      <c r="L946" s="511"/>
      <c r="M946" s="161"/>
      <c r="N946" s="161"/>
      <c r="O946" s="161"/>
      <c r="P946" s="161"/>
      <c r="Q946" s="161"/>
      <c r="R946" s="161"/>
      <c r="S946" s="161"/>
      <c r="T946" s="161"/>
      <c r="U946" s="161"/>
      <c r="V946" s="161"/>
      <c r="W946" s="161"/>
      <c r="X946" s="161"/>
      <c r="Y946" s="161"/>
      <c r="Z946" s="161"/>
      <c r="AA946" s="161"/>
      <c r="AB946" s="161"/>
    </row>
    <row r="947">
      <c r="A947" s="511"/>
      <c r="B947" s="161"/>
      <c r="C947" s="161"/>
      <c r="D947" s="161"/>
      <c r="E947" s="161"/>
      <c r="F947" s="161"/>
      <c r="G947" s="161"/>
      <c r="H947" s="161"/>
      <c r="I947" s="161"/>
      <c r="J947" s="161"/>
      <c r="K947" s="511"/>
      <c r="L947" s="511"/>
      <c r="M947" s="161"/>
      <c r="N947" s="161"/>
      <c r="O947" s="161"/>
      <c r="P947" s="161"/>
      <c r="Q947" s="161"/>
      <c r="R947" s="161"/>
      <c r="S947" s="161"/>
      <c r="T947" s="161"/>
      <c r="U947" s="161"/>
      <c r="V947" s="161"/>
      <c r="W947" s="161"/>
      <c r="X947" s="161"/>
      <c r="Y947" s="161"/>
      <c r="Z947" s="161"/>
      <c r="AA947" s="161"/>
      <c r="AB947" s="161"/>
    </row>
    <row r="948">
      <c r="A948" s="511"/>
      <c r="B948" s="161"/>
      <c r="C948" s="161"/>
      <c r="D948" s="161"/>
      <c r="E948" s="161"/>
      <c r="F948" s="161"/>
      <c r="G948" s="161"/>
      <c r="H948" s="161"/>
      <c r="I948" s="161"/>
      <c r="J948" s="161"/>
      <c r="K948" s="511"/>
      <c r="L948" s="511"/>
      <c r="M948" s="161"/>
      <c r="N948" s="161"/>
      <c r="O948" s="161"/>
      <c r="P948" s="161"/>
      <c r="Q948" s="161"/>
      <c r="R948" s="161"/>
      <c r="S948" s="161"/>
      <c r="T948" s="161"/>
      <c r="U948" s="161"/>
      <c r="V948" s="161"/>
      <c r="W948" s="161"/>
      <c r="X948" s="161"/>
      <c r="Y948" s="161"/>
      <c r="Z948" s="161"/>
      <c r="AA948" s="161"/>
      <c r="AB948" s="161"/>
    </row>
    <row r="949">
      <c r="A949" s="511"/>
      <c r="B949" s="161"/>
      <c r="C949" s="161"/>
      <c r="D949" s="161"/>
      <c r="E949" s="161"/>
      <c r="F949" s="161"/>
      <c r="G949" s="161"/>
      <c r="H949" s="161"/>
      <c r="I949" s="161"/>
      <c r="J949" s="161"/>
      <c r="K949" s="511"/>
      <c r="L949" s="511"/>
      <c r="M949" s="161"/>
      <c r="N949" s="161"/>
      <c r="O949" s="161"/>
      <c r="P949" s="161"/>
      <c r="Q949" s="161"/>
      <c r="R949" s="161"/>
      <c r="S949" s="161"/>
      <c r="T949" s="161"/>
      <c r="U949" s="161"/>
      <c r="V949" s="161"/>
      <c r="W949" s="161"/>
      <c r="X949" s="161"/>
      <c r="Y949" s="161"/>
      <c r="Z949" s="161"/>
      <c r="AA949" s="161"/>
      <c r="AB949" s="161"/>
    </row>
    <row r="950">
      <c r="A950" s="511"/>
      <c r="B950" s="161"/>
      <c r="C950" s="161"/>
      <c r="D950" s="161"/>
      <c r="E950" s="161"/>
      <c r="F950" s="161"/>
      <c r="G950" s="161"/>
      <c r="H950" s="161"/>
      <c r="I950" s="161"/>
      <c r="J950" s="161"/>
      <c r="K950" s="511"/>
      <c r="L950" s="511"/>
      <c r="M950" s="161"/>
      <c r="N950" s="161"/>
      <c r="O950" s="161"/>
      <c r="P950" s="161"/>
      <c r="Q950" s="161"/>
      <c r="R950" s="161"/>
      <c r="S950" s="161"/>
      <c r="T950" s="161"/>
      <c r="U950" s="161"/>
      <c r="V950" s="161"/>
      <c r="W950" s="161"/>
      <c r="X950" s="161"/>
      <c r="Y950" s="161"/>
      <c r="Z950" s="161"/>
      <c r="AA950" s="161"/>
      <c r="AB950" s="161"/>
    </row>
    <row r="951">
      <c r="A951" s="511"/>
      <c r="B951" s="161"/>
      <c r="C951" s="161"/>
      <c r="D951" s="161"/>
      <c r="E951" s="161"/>
      <c r="F951" s="161"/>
      <c r="G951" s="161"/>
      <c r="H951" s="161"/>
      <c r="I951" s="161"/>
      <c r="J951" s="161"/>
      <c r="K951" s="511"/>
      <c r="L951" s="511"/>
      <c r="M951" s="161"/>
      <c r="N951" s="161"/>
      <c r="O951" s="161"/>
      <c r="P951" s="161"/>
      <c r="Q951" s="161"/>
      <c r="R951" s="161"/>
      <c r="S951" s="161"/>
      <c r="T951" s="161"/>
      <c r="U951" s="161"/>
      <c r="V951" s="161"/>
      <c r="W951" s="161"/>
      <c r="X951" s="161"/>
      <c r="Y951" s="161"/>
      <c r="Z951" s="161"/>
      <c r="AA951" s="161"/>
      <c r="AB951" s="161"/>
    </row>
    <row r="952">
      <c r="A952" s="511"/>
      <c r="B952" s="161"/>
      <c r="C952" s="161"/>
      <c r="D952" s="161"/>
      <c r="E952" s="161"/>
      <c r="F952" s="161"/>
      <c r="G952" s="161"/>
      <c r="H952" s="161"/>
      <c r="I952" s="161"/>
      <c r="J952" s="161"/>
      <c r="K952" s="511"/>
      <c r="L952" s="511"/>
      <c r="M952" s="161"/>
      <c r="N952" s="161"/>
      <c r="O952" s="161"/>
      <c r="P952" s="161"/>
      <c r="Q952" s="161"/>
      <c r="R952" s="161"/>
      <c r="S952" s="161"/>
      <c r="T952" s="161"/>
      <c r="U952" s="161"/>
      <c r="V952" s="161"/>
      <c r="W952" s="161"/>
      <c r="X952" s="161"/>
      <c r="Y952" s="161"/>
      <c r="Z952" s="161"/>
      <c r="AA952" s="161"/>
      <c r="AB952" s="161"/>
    </row>
    <row r="953">
      <c r="A953" s="511"/>
      <c r="B953" s="161"/>
      <c r="C953" s="161"/>
      <c r="D953" s="161"/>
      <c r="E953" s="161"/>
      <c r="F953" s="161"/>
      <c r="G953" s="161"/>
      <c r="H953" s="161"/>
      <c r="I953" s="161"/>
      <c r="J953" s="161"/>
      <c r="K953" s="511"/>
      <c r="L953" s="511"/>
      <c r="M953" s="161"/>
      <c r="N953" s="161"/>
      <c r="O953" s="161"/>
      <c r="P953" s="161"/>
      <c r="Q953" s="161"/>
      <c r="R953" s="161"/>
      <c r="S953" s="161"/>
      <c r="T953" s="161"/>
      <c r="U953" s="161"/>
      <c r="V953" s="161"/>
      <c r="W953" s="161"/>
      <c r="X953" s="161"/>
      <c r="Y953" s="161"/>
      <c r="Z953" s="161"/>
      <c r="AA953" s="161"/>
      <c r="AB953" s="161"/>
    </row>
    <row r="954">
      <c r="A954" s="511"/>
      <c r="B954" s="161"/>
      <c r="C954" s="161"/>
      <c r="D954" s="161"/>
      <c r="E954" s="161"/>
      <c r="F954" s="161"/>
      <c r="G954" s="161"/>
      <c r="H954" s="161"/>
      <c r="I954" s="161"/>
      <c r="J954" s="161"/>
      <c r="K954" s="511"/>
      <c r="L954" s="511"/>
      <c r="M954" s="161"/>
      <c r="N954" s="161"/>
      <c r="O954" s="161"/>
      <c r="P954" s="161"/>
      <c r="Q954" s="161"/>
      <c r="R954" s="161"/>
      <c r="S954" s="161"/>
      <c r="T954" s="161"/>
      <c r="U954" s="161"/>
      <c r="V954" s="161"/>
      <c r="W954" s="161"/>
      <c r="X954" s="161"/>
      <c r="Y954" s="161"/>
      <c r="Z954" s="161"/>
      <c r="AA954" s="161"/>
      <c r="AB954" s="161"/>
    </row>
    <row r="955">
      <c r="A955" s="511"/>
      <c r="B955" s="161"/>
      <c r="C955" s="161"/>
      <c r="D955" s="161"/>
      <c r="E955" s="161"/>
      <c r="F955" s="161"/>
      <c r="G955" s="161"/>
      <c r="H955" s="161"/>
      <c r="I955" s="161"/>
      <c r="J955" s="161"/>
      <c r="K955" s="511"/>
      <c r="L955" s="511"/>
      <c r="M955" s="161"/>
      <c r="N955" s="161"/>
      <c r="O955" s="161"/>
      <c r="P955" s="161"/>
      <c r="Q955" s="161"/>
      <c r="R955" s="161"/>
      <c r="S955" s="161"/>
      <c r="T955" s="161"/>
      <c r="U955" s="161"/>
      <c r="V955" s="161"/>
      <c r="W955" s="161"/>
      <c r="X955" s="161"/>
      <c r="Y955" s="161"/>
      <c r="Z955" s="161"/>
      <c r="AA955" s="161"/>
      <c r="AB955" s="161"/>
    </row>
    <row r="956">
      <c r="A956" s="511"/>
      <c r="B956" s="161"/>
      <c r="C956" s="161"/>
      <c r="D956" s="161"/>
      <c r="E956" s="161"/>
      <c r="F956" s="161"/>
      <c r="G956" s="161"/>
      <c r="H956" s="161"/>
      <c r="I956" s="161"/>
      <c r="J956" s="161"/>
      <c r="K956" s="511"/>
      <c r="L956" s="511"/>
      <c r="M956" s="161"/>
      <c r="N956" s="161"/>
      <c r="O956" s="161"/>
      <c r="P956" s="161"/>
      <c r="Q956" s="161"/>
      <c r="R956" s="161"/>
      <c r="S956" s="161"/>
      <c r="T956" s="161"/>
      <c r="U956" s="161"/>
      <c r="V956" s="161"/>
      <c r="W956" s="161"/>
      <c r="X956" s="161"/>
      <c r="Y956" s="161"/>
      <c r="Z956" s="161"/>
      <c r="AA956" s="161"/>
      <c r="AB956" s="161"/>
    </row>
    <row r="957">
      <c r="A957" s="511"/>
      <c r="B957" s="161"/>
      <c r="C957" s="161"/>
      <c r="D957" s="161"/>
      <c r="E957" s="161"/>
      <c r="F957" s="161"/>
      <c r="G957" s="161"/>
      <c r="H957" s="161"/>
      <c r="I957" s="161"/>
      <c r="J957" s="161"/>
      <c r="K957" s="511"/>
      <c r="L957" s="511"/>
      <c r="M957" s="161"/>
      <c r="N957" s="161"/>
      <c r="O957" s="161"/>
      <c r="P957" s="161"/>
      <c r="Q957" s="161"/>
      <c r="R957" s="161"/>
      <c r="S957" s="161"/>
      <c r="T957" s="161"/>
      <c r="U957" s="161"/>
      <c r="V957" s="161"/>
      <c r="W957" s="161"/>
      <c r="X957" s="161"/>
      <c r="Y957" s="161"/>
      <c r="Z957" s="161"/>
      <c r="AA957" s="161"/>
      <c r="AB957" s="161"/>
    </row>
    <row r="958">
      <c r="A958" s="511"/>
      <c r="B958" s="161"/>
      <c r="C958" s="161"/>
      <c r="D958" s="161"/>
      <c r="E958" s="161"/>
      <c r="F958" s="161"/>
      <c r="G958" s="161"/>
      <c r="H958" s="161"/>
      <c r="I958" s="161"/>
      <c r="J958" s="161"/>
      <c r="K958" s="511"/>
      <c r="L958" s="511"/>
      <c r="M958" s="161"/>
      <c r="N958" s="161"/>
      <c r="O958" s="161"/>
      <c r="P958" s="161"/>
      <c r="Q958" s="161"/>
      <c r="R958" s="161"/>
      <c r="S958" s="161"/>
      <c r="T958" s="161"/>
      <c r="U958" s="161"/>
      <c r="V958" s="161"/>
      <c r="W958" s="161"/>
      <c r="X958" s="161"/>
      <c r="Y958" s="161"/>
      <c r="Z958" s="161"/>
      <c r="AA958" s="161"/>
      <c r="AB958" s="161"/>
    </row>
    <row r="959">
      <c r="A959" s="511"/>
      <c r="B959" s="161"/>
      <c r="C959" s="161"/>
      <c r="D959" s="161"/>
      <c r="E959" s="161"/>
      <c r="F959" s="161"/>
      <c r="G959" s="161"/>
      <c r="H959" s="161"/>
      <c r="I959" s="161"/>
      <c r="J959" s="161"/>
      <c r="K959" s="511"/>
      <c r="L959" s="511"/>
      <c r="M959" s="161"/>
      <c r="N959" s="161"/>
      <c r="O959" s="161"/>
      <c r="P959" s="161"/>
      <c r="Q959" s="161"/>
      <c r="R959" s="161"/>
      <c r="S959" s="161"/>
      <c r="T959" s="161"/>
      <c r="U959" s="161"/>
      <c r="V959" s="161"/>
      <c r="W959" s="161"/>
      <c r="X959" s="161"/>
      <c r="Y959" s="161"/>
      <c r="Z959" s="161"/>
      <c r="AA959" s="161"/>
      <c r="AB959" s="161"/>
    </row>
    <row r="960">
      <c r="A960" s="511"/>
      <c r="B960" s="161"/>
      <c r="C960" s="161"/>
      <c r="D960" s="161"/>
      <c r="E960" s="161"/>
      <c r="F960" s="161"/>
      <c r="G960" s="161"/>
      <c r="H960" s="161"/>
      <c r="I960" s="161"/>
      <c r="J960" s="161"/>
      <c r="K960" s="511"/>
      <c r="L960" s="511"/>
      <c r="M960" s="161"/>
      <c r="N960" s="161"/>
      <c r="O960" s="161"/>
      <c r="P960" s="161"/>
      <c r="Q960" s="161"/>
      <c r="R960" s="161"/>
      <c r="S960" s="161"/>
      <c r="T960" s="161"/>
      <c r="U960" s="161"/>
      <c r="V960" s="161"/>
      <c r="W960" s="161"/>
      <c r="X960" s="161"/>
      <c r="Y960" s="161"/>
      <c r="Z960" s="161"/>
      <c r="AA960" s="161"/>
      <c r="AB960" s="161"/>
    </row>
    <row r="961">
      <c r="A961" s="511"/>
      <c r="B961" s="161"/>
      <c r="C961" s="161"/>
      <c r="D961" s="161"/>
      <c r="E961" s="161"/>
      <c r="F961" s="161"/>
      <c r="G961" s="161"/>
      <c r="H961" s="161"/>
      <c r="I961" s="161"/>
      <c r="J961" s="161"/>
      <c r="K961" s="511"/>
      <c r="L961" s="511"/>
      <c r="M961" s="161"/>
      <c r="N961" s="161"/>
      <c r="O961" s="161"/>
      <c r="P961" s="161"/>
      <c r="Q961" s="161"/>
      <c r="R961" s="161"/>
      <c r="S961" s="161"/>
      <c r="T961" s="161"/>
      <c r="U961" s="161"/>
      <c r="V961" s="161"/>
      <c r="W961" s="161"/>
      <c r="X961" s="161"/>
      <c r="Y961" s="161"/>
      <c r="Z961" s="161"/>
      <c r="AA961" s="161"/>
      <c r="AB961" s="161"/>
    </row>
    <row r="962">
      <c r="A962" s="511"/>
      <c r="B962" s="161"/>
      <c r="C962" s="161"/>
      <c r="D962" s="161"/>
      <c r="E962" s="161"/>
      <c r="F962" s="161"/>
      <c r="G962" s="161"/>
      <c r="H962" s="161"/>
      <c r="I962" s="161"/>
      <c r="J962" s="161"/>
      <c r="K962" s="511"/>
      <c r="L962" s="511"/>
      <c r="M962" s="161"/>
      <c r="N962" s="161"/>
      <c r="O962" s="161"/>
      <c r="P962" s="161"/>
      <c r="Q962" s="161"/>
      <c r="R962" s="161"/>
      <c r="S962" s="161"/>
      <c r="T962" s="161"/>
      <c r="U962" s="161"/>
      <c r="V962" s="161"/>
      <c r="W962" s="161"/>
      <c r="X962" s="161"/>
      <c r="Y962" s="161"/>
      <c r="Z962" s="161"/>
      <c r="AA962" s="161"/>
      <c r="AB962" s="161"/>
    </row>
    <row r="963">
      <c r="A963" s="511"/>
      <c r="B963" s="161"/>
      <c r="C963" s="161"/>
      <c r="D963" s="161"/>
      <c r="E963" s="161"/>
      <c r="F963" s="161"/>
      <c r="G963" s="161"/>
      <c r="H963" s="161"/>
      <c r="I963" s="161"/>
      <c r="J963" s="161"/>
      <c r="K963" s="511"/>
      <c r="L963" s="511"/>
      <c r="M963" s="161"/>
      <c r="N963" s="161"/>
      <c r="O963" s="161"/>
      <c r="P963" s="161"/>
      <c r="Q963" s="161"/>
      <c r="R963" s="161"/>
      <c r="S963" s="161"/>
      <c r="T963" s="161"/>
      <c r="U963" s="161"/>
      <c r="V963" s="161"/>
      <c r="W963" s="161"/>
      <c r="X963" s="161"/>
      <c r="Y963" s="161"/>
      <c r="Z963" s="161"/>
      <c r="AA963" s="161"/>
      <c r="AB963" s="161"/>
    </row>
    <row r="964">
      <c r="A964" s="511"/>
      <c r="B964" s="161"/>
      <c r="C964" s="161"/>
      <c r="D964" s="161"/>
      <c r="E964" s="161"/>
      <c r="F964" s="161"/>
      <c r="G964" s="161"/>
      <c r="H964" s="161"/>
      <c r="I964" s="161"/>
      <c r="J964" s="161"/>
      <c r="K964" s="511"/>
      <c r="L964" s="511"/>
      <c r="M964" s="161"/>
      <c r="N964" s="161"/>
      <c r="O964" s="161"/>
      <c r="P964" s="161"/>
      <c r="Q964" s="161"/>
      <c r="R964" s="161"/>
      <c r="S964" s="161"/>
      <c r="T964" s="161"/>
      <c r="U964" s="161"/>
      <c r="V964" s="161"/>
      <c r="W964" s="161"/>
      <c r="X964" s="161"/>
      <c r="Y964" s="161"/>
      <c r="Z964" s="161"/>
      <c r="AA964" s="161"/>
      <c r="AB964" s="161"/>
    </row>
    <row r="965">
      <c r="A965" s="511"/>
      <c r="B965" s="161"/>
      <c r="C965" s="161"/>
      <c r="D965" s="161"/>
      <c r="E965" s="161"/>
      <c r="F965" s="161"/>
      <c r="G965" s="161"/>
      <c r="H965" s="161"/>
      <c r="I965" s="161"/>
      <c r="J965" s="161"/>
      <c r="K965" s="511"/>
      <c r="L965" s="511"/>
      <c r="M965" s="161"/>
      <c r="N965" s="161"/>
      <c r="O965" s="161"/>
      <c r="P965" s="161"/>
      <c r="Q965" s="161"/>
      <c r="R965" s="161"/>
      <c r="S965" s="161"/>
      <c r="T965" s="161"/>
      <c r="U965" s="161"/>
      <c r="V965" s="161"/>
      <c r="W965" s="161"/>
      <c r="X965" s="161"/>
      <c r="Y965" s="161"/>
      <c r="Z965" s="161"/>
      <c r="AA965" s="161"/>
      <c r="AB965" s="161"/>
    </row>
    <row r="966">
      <c r="A966" s="511"/>
      <c r="B966" s="161"/>
      <c r="C966" s="161"/>
      <c r="D966" s="161"/>
      <c r="E966" s="161"/>
      <c r="F966" s="161"/>
      <c r="G966" s="161"/>
      <c r="H966" s="161"/>
      <c r="I966" s="161"/>
      <c r="J966" s="161"/>
      <c r="K966" s="511"/>
      <c r="L966" s="511"/>
      <c r="M966" s="161"/>
      <c r="N966" s="161"/>
      <c r="O966" s="161"/>
      <c r="P966" s="161"/>
      <c r="Q966" s="161"/>
      <c r="R966" s="161"/>
      <c r="S966" s="161"/>
      <c r="T966" s="161"/>
      <c r="U966" s="161"/>
      <c r="V966" s="161"/>
      <c r="W966" s="161"/>
      <c r="X966" s="161"/>
      <c r="Y966" s="161"/>
      <c r="Z966" s="161"/>
      <c r="AA966" s="161"/>
      <c r="AB966" s="161"/>
    </row>
    <row r="967">
      <c r="A967" s="511"/>
      <c r="B967" s="161"/>
      <c r="C967" s="161"/>
      <c r="D967" s="161"/>
      <c r="E967" s="161"/>
      <c r="F967" s="161"/>
      <c r="G967" s="161"/>
      <c r="H967" s="161"/>
      <c r="I967" s="161"/>
      <c r="J967" s="161"/>
      <c r="K967" s="511"/>
      <c r="L967" s="511"/>
      <c r="M967" s="161"/>
      <c r="N967" s="161"/>
      <c r="O967" s="161"/>
      <c r="P967" s="161"/>
      <c r="Q967" s="161"/>
      <c r="R967" s="161"/>
      <c r="S967" s="161"/>
      <c r="T967" s="161"/>
      <c r="U967" s="161"/>
      <c r="V967" s="161"/>
      <c r="W967" s="161"/>
      <c r="X967" s="161"/>
      <c r="Y967" s="161"/>
      <c r="Z967" s="161"/>
      <c r="AA967" s="161"/>
      <c r="AB967" s="161"/>
    </row>
    <row r="968">
      <c r="A968" s="511"/>
      <c r="B968" s="161"/>
      <c r="C968" s="161"/>
      <c r="D968" s="161"/>
      <c r="E968" s="161"/>
      <c r="F968" s="161"/>
      <c r="G968" s="161"/>
      <c r="H968" s="161"/>
      <c r="I968" s="161"/>
      <c r="J968" s="161"/>
      <c r="K968" s="511"/>
      <c r="L968" s="511"/>
      <c r="M968" s="161"/>
      <c r="N968" s="161"/>
      <c r="O968" s="161"/>
      <c r="P968" s="161"/>
      <c r="Q968" s="161"/>
      <c r="R968" s="161"/>
      <c r="S968" s="161"/>
      <c r="T968" s="161"/>
      <c r="U968" s="161"/>
      <c r="V968" s="161"/>
      <c r="W968" s="161"/>
      <c r="X968" s="161"/>
      <c r="Y968" s="161"/>
      <c r="Z968" s="161"/>
      <c r="AA968" s="161"/>
      <c r="AB968" s="161"/>
    </row>
    <row r="969">
      <c r="A969" s="511"/>
      <c r="B969" s="161"/>
      <c r="C969" s="161"/>
      <c r="D969" s="161"/>
      <c r="E969" s="161"/>
      <c r="F969" s="161"/>
      <c r="G969" s="161"/>
      <c r="H969" s="161"/>
      <c r="I969" s="161"/>
      <c r="J969" s="161"/>
      <c r="K969" s="511"/>
      <c r="L969" s="511"/>
      <c r="M969" s="161"/>
      <c r="N969" s="161"/>
      <c r="O969" s="161"/>
      <c r="P969" s="161"/>
      <c r="Q969" s="161"/>
      <c r="R969" s="161"/>
      <c r="S969" s="161"/>
      <c r="T969" s="161"/>
      <c r="U969" s="161"/>
      <c r="V969" s="161"/>
      <c r="W969" s="161"/>
      <c r="X969" s="161"/>
      <c r="Y969" s="161"/>
      <c r="Z969" s="161"/>
      <c r="AA969" s="161"/>
      <c r="AB969" s="161"/>
    </row>
    <row r="970">
      <c r="A970" s="511"/>
      <c r="B970" s="161"/>
      <c r="C970" s="161"/>
      <c r="D970" s="161"/>
      <c r="E970" s="161"/>
      <c r="F970" s="161"/>
      <c r="G970" s="161"/>
      <c r="H970" s="161"/>
      <c r="I970" s="161"/>
      <c r="J970" s="161"/>
      <c r="K970" s="511"/>
      <c r="L970" s="511"/>
      <c r="M970" s="161"/>
      <c r="N970" s="161"/>
      <c r="O970" s="161"/>
      <c r="P970" s="161"/>
      <c r="Q970" s="161"/>
      <c r="R970" s="161"/>
      <c r="S970" s="161"/>
      <c r="T970" s="161"/>
      <c r="U970" s="161"/>
      <c r="V970" s="161"/>
      <c r="W970" s="161"/>
      <c r="X970" s="161"/>
      <c r="Y970" s="161"/>
      <c r="Z970" s="161"/>
      <c r="AA970" s="161"/>
      <c r="AB970" s="161"/>
    </row>
    <row r="971">
      <c r="A971" s="511"/>
      <c r="B971" s="161"/>
      <c r="C971" s="161"/>
      <c r="D971" s="161"/>
      <c r="E971" s="161"/>
      <c r="F971" s="161"/>
      <c r="G971" s="161"/>
      <c r="H971" s="161"/>
      <c r="I971" s="161"/>
      <c r="J971" s="161"/>
      <c r="K971" s="511"/>
      <c r="L971" s="511"/>
      <c r="M971" s="161"/>
      <c r="N971" s="161"/>
      <c r="O971" s="161"/>
      <c r="P971" s="161"/>
      <c r="Q971" s="161"/>
      <c r="R971" s="161"/>
      <c r="S971" s="161"/>
      <c r="T971" s="161"/>
      <c r="U971" s="161"/>
      <c r="V971" s="161"/>
      <c r="W971" s="161"/>
      <c r="X971" s="161"/>
      <c r="Y971" s="161"/>
      <c r="Z971" s="161"/>
      <c r="AA971" s="161"/>
      <c r="AB971" s="161"/>
    </row>
    <row r="972">
      <c r="A972" s="511"/>
      <c r="B972" s="161"/>
      <c r="C972" s="161"/>
      <c r="D972" s="161"/>
      <c r="E972" s="161"/>
      <c r="F972" s="161"/>
      <c r="G972" s="161"/>
      <c r="H972" s="161"/>
      <c r="I972" s="161"/>
      <c r="J972" s="161"/>
      <c r="K972" s="511"/>
      <c r="L972" s="511"/>
      <c r="M972" s="161"/>
      <c r="N972" s="161"/>
      <c r="O972" s="161"/>
      <c r="P972" s="161"/>
      <c r="Q972" s="161"/>
      <c r="R972" s="161"/>
      <c r="S972" s="161"/>
      <c r="T972" s="161"/>
      <c r="U972" s="161"/>
      <c r="V972" s="161"/>
      <c r="W972" s="161"/>
      <c r="X972" s="161"/>
      <c r="Y972" s="161"/>
      <c r="Z972" s="161"/>
      <c r="AA972" s="161"/>
      <c r="AB972" s="161"/>
    </row>
    <row r="973">
      <c r="A973" s="511"/>
      <c r="B973" s="161"/>
      <c r="C973" s="161"/>
      <c r="D973" s="161"/>
      <c r="E973" s="161"/>
      <c r="F973" s="161"/>
      <c r="G973" s="161"/>
      <c r="H973" s="161"/>
      <c r="I973" s="161"/>
      <c r="J973" s="161"/>
      <c r="K973" s="511"/>
      <c r="L973" s="511"/>
      <c r="M973" s="161"/>
      <c r="N973" s="161"/>
      <c r="O973" s="161"/>
      <c r="P973" s="161"/>
      <c r="Q973" s="161"/>
      <c r="R973" s="161"/>
      <c r="S973" s="161"/>
      <c r="T973" s="161"/>
      <c r="U973" s="161"/>
      <c r="V973" s="161"/>
      <c r="W973" s="161"/>
      <c r="X973" s="161"/>
      <c r="Y973" s="161"/>
      <c r="Z973" s="161"/>
      <c r="AA973" s="161"/>
      <c r="AB973" s="161"/>
    </row>
    <row r="974">
      <c r="A974" s="511"/>
      <c r="B974" s="161"/>
      <c r="C974" s="161"/>
      <c r="D974" s="161"/>
      <c r="E974" s="161"/>
      <c r="F974" s="161"/>
      <c r="G974" s="161"/>
      <c r="H974" s="161"/>
      <c r="I974" s="161"/>
      <c r="J974" s="161"/>
      <c r="K974" s="511"/>
      <c r="L974" s="511"/>
      <c r="M974" s="161"/>
      <c r="N974" s="161"/>
      <c r="O974" s="161"/>
      <c r="P974" s="161"/>
      <c r="Q974" s="161"/>
      <c r="R974" s="161"/>
      <c r="S974" s="161"/>
      <c r="T974" s="161"/>
      <c r="U974" s="161"/>
      <c r="V974" s="161"/>
      <c r="W974" s="161"/>
      <c r="X974" s="161"/>
      <c r="Y974" s="161"/>
      <c r="Z974" s="161"/>
      <c r="AA974" s="161"/>
      <c r="AB974" s="161"/>
    </row>
    <row r="975">
      <c r="A975" s="511"/>
      <c r="B975" s="161"/>
      <c r="C975" s="161"/>
      <c r="D975" s="161"/>
      <c r="E975" s="161"/>
      <c r="F975" s="161"/>
      <c r="G975" s="161"/>
      <c r="H975" s="161"/>
      <c r="I975" s="161"/>
      <c r="J975" s="161"/>
      <c r="K975" s="511"/>
      <c r="L975" s="511"/>
      <c r="M975" s="161"/>
      <c r="N975" s="161"/>
      <c r="O975" s="161"/>
      <c r="P975" s="161"/>
      <c r="Q975" s="161"/>
      <c r="R975" s="161"/>
      <c r="S975" s="161"/>
      <c r="T975" s="161"/>
      <c r="U975" s="161"/>
      <c r="V975" s="161"/>
      <c r="W975" s="161"/>
      <c r="X975" s="161"/>
      <c r="Y975" s="161"/>
      <c r="Z975" s="161"/>
      <c r="AA975" s="161"/>
      <c r="AB975" s="161"/>
    </row>
    <row r="976">
      <c r="A976" s="511"/>
      <c r="B976" s="161"/>
      <c r="C976" s="161"/>
      <c r="D976" s="161"/>
      <c r="E976" s="161"/>
      <c r="F976" s="161"/>
      <c r="G976" s="161"/>
      <c r="H976" s="161"/>
      <c r="I976" s="161"/>
      <c r="J976" s="161"/>
      <c r="K976" s="511"/>
      <c r="L976" s="511"/>
      <c r="M976" s="161"/>
      <c r="N976" s="161"/>
      <c r="O976" s="161"/>
      <c r="P976" s="161"/>
      <c r="Q976" s="161"/>
      <c r="R976" s="161"/>
      <c r="S976" s="161"/>
      <c r="T976" s="161"/>
      <c r="U976" s="161"/>
      <c r="V976" s="161"/>
      <c r="W976" s="161"/>
      <c r="X976" s="161"/>
      <c r="Y976" s="161"/>
      <c r="Z976" s="161"/>
      <c r="AA976" s="161"/>
      <c r="AB976" s="161"/>
    </row>
    <row r="977">
      <c r="A977" s="511"/>
      <c r="B977" s="161"/>
      <c r="C977" s="161"/>
      <c r="D977" s="161"/>
      <c r="E977" s="161"/>
      <c r="F977" s="161"/>
      <c r="G977" s="161"/>
      <c r="H977" s="161"/>
      <c r="I977" s="161"/>
      <c r="J977" s="161"/>
      <c r="K977" s="511"/>
      <c r="L977" s="511"/>
      <c r="M977" s="161"/>
      <c r="N977" s="161"/>
      <c r="O977" s="161"/>
      <c r="P977" s="161"/>
      <c r="Q977" s="161"/>
      <c r="R977" s="161"/>
      <c r="S977" s="161"/>
      <c r="T977" s="161"/>
      <c r="U977" s="161"/>
      <c r="V977" s="161"/>
      <c r="W977" s="161"/>
      <c r="X977" s="161"/>
      <c r="Y977" s="161"/>
      <c r="Z977" s="161"/>
      <c r="AA977" s="161"/>
      <c r="AB977" s="161"/>
    </row>
    <row r="978">
      <c r="A978" s="511"/>
      <c r="B978" s="161"/>
      <c r="C978" s="161"/>
      <c r="D978" s="161"/>
      <c r="E978" s="161"/>
      <c r="F978" s="161"/>
      <c r="G978" s="161"/>
      <c r="H978" s="161"/>
      <c r="I978" s="161"/>
      <c r="J978" s="161"/>
      <c r="K978" s="511"/>
      <c r="L978" s="511"/>
      <c r="M978" s="161"/>
      <c r="N978" s="161"/>
      <c r="O978" s="161"/>
      <c r="P978" s="161"/>
      <c r="Q978" s="161"/>
      <c r="R978" s="161"/>
      <c r="S978" s="161"/>
      <c r="T978" s="161"/>
      <c r="U978" s="161"/>
      <c r="V978" s="161"/>
      <c r="W978" s="161"/>
      <c r="X978" s="161"/>
      <c r="Y978" s="161"/>
      <c r="Z978" s="161"/>
      <c r="AA978" s="161"/>
      <c r="AB978" s="161"/>
    </row>
    <row r="979">
      <c r="A979" s="511"/>
      <c r="B979" s="161"/>
      <c r="C979" s="161"/>
      <c r="D979" s="161"/>
      <c r="E979" s="161"/>
      <c r="F979" s="161"/>
      <c r="G979" s="161"/>
      <c r="H979" s="161"/>
      <c r="I979" s="161"/>
      <c r="J979" s="161"/>
      <c r="K979" s="511"/>
      <c r="L979" s="511"/>
      <c r="M979" s="161"/>
      <c r="N979" s="161"/>
      <c r="O979" s="161"/>
      <c r="P979" s="161"/>
      <c r="Q979" s="161"/>
      <c r="R979" s="161"/>
      <c r="S979" s="161"/>
      <c r="T979" s="161"/>
      <c r="U979" s="161"/>
      <c r="V979" s="161"/>
      <c r="W979" s="161"/>
      <c r="X979" s="161"/>
      <c r="Y979" s="161"/>
      <c r="Z979" s="161"/>
      <c r="AA979" s="161"/>
      <c r="AB979" s="161"/>
    </row>
    <row r="980">
      <c r="A980" s="511"/>
      <c r="B980" s="161"/>
      <c r="C980" s="161"/>
      <c r="D980" s="161"/>
      <c r="E980" s="161"/>
      <c r="F980" s="161"/>
      <c r="G980" s="161"/>
      <c r="H980" s="161"/>
      <c r="I980" s="161"/>
      <c r="J980" s="161"/>
      <c r="K980" s="511"/>
      <c r="L980" s="511"/>
      <c r="M980" s="161"/>
      <c r="N980" s="161"/>
      <c r="O980" s="161"/>
      <c r="P980" s="161"/>
      <c r="Q980" s="161"/>
      <c r="R980" s="161"/>
      <c r="S980" s="161"/>
      <c r="T980" s="161"/>
      <c r="U980" s="161"/>
      <c r="V980" s="161"/>
      <c r="W980" s="161"/>
      <c r="X980" s="161"/>
      <c r="Y980" s="161"/>
      <c r="Z980" s="161"/>
      <c r="AA980" s="161"/>
      <c r="AB980" s="161"/>
    </row>
    <row r="981">
      <c r="A981" s="511"/>
      <c r="B981" s="161"/>
      <c r="C981" s="161"/>
      <c r="D981" s="161"/>
      <c r="E981" s="161"/>
      <c r="F981" s="161"/>
      <c r="G981" s="161"/>
      <c r="H981" s="161"/>
      <c r="I981" s="161"/>
      <c r="J981" s="161"/>
      <c r="K981" s="511"/>
      <c r="L981" s="511"/>
      <c r="M981" s="161"/>
      <c r="N981" s="161"/>
      <c r="O981" s="161"/>
      <c r="P981" s="161"/>
      <c r="Q981" s="161"/>
      <c r="R981" s="161"/>
      <c r="S981" s="161"/>
      <c r="T981" s="161"/>
      <c r="U981" s="161"/>
      <c r="V981" s="161"/>
      <c r="W981" s="161"/>
      <c r="X981" s="161"/>
      <c r="Y981" s="161"/>
      <c r="Z981" s="161"/>
      <c r="AA981" s="161"/>
      <c r="AB981" s="161"/>
    </row>
    <row r="982">
      <c r="A982" s="511"/>
      <c r="B982" s="161"/>
      <c r="C982" s="161"/>
      <c r="D982" s="161"/>
      <c r="E982" s="161"/>
      <c r="F982" s="161"/>
      <c r="G982" s="161"/>
      <c r="H982" s="161"/>
      <c r="I982" s="161"/>
      <c r="J982" s="161"/>
      <c r="K982" s="511"/>
      <c r="L982" s="511"/>
      <c r="M982" s="161"/>
      <c r="N982" s="161"/>
      <c r="O982" s="161"/>
      <c r="P982" s="161"/>
      <c r="Q982" s="161"/>
      <c r="R982" s="161"/>
      <c r="S982" s="161"/>
      <c r="T982" s="161"/>
      <c r="U982" s="161"/>
      <c r="V982" s="161"/>
      <c r="W982" s="161"/>
      <c r="X982" s="161"/>
      <c r="Y982" s="161"/>
      <c r="Z982" s="161"/>
      <c r="AA982" s="161"/>
      <c r="AB982" s="161"/>
    </row>
    <row r="983">
      <c r="A983" s="511"/>
      <c r="B983" s="161"/>
      <c r="C983" s="161"/>
      <c r="D983" s="161"/>
      <c r="E983" s="161"/>
      <c r="F983" s="161"/>
      <c r="G983" s="161"/>
      <c r="H983" s="161"/>
      <c r="I983" s="161"/>
      <c r="J983" s="161"/>
      <c r="K983" s="511"/>
      <c r="L983" s="511"/>
      <c r="M983" s="161"/>
      <c r="N983" s="161"/>
      <c r="O983" s="161"/>
      <c r="P983" s="161"/>
      <c r="Q983" s="161"/>
      <c r="R983" s="161"/>
      <c r="S983" s="161"/>
      <c r="T983" s="161"/>
      <c r="U983" s="161"/>
      <c r="V983" s="161"/>
      <c r="W983" s="161"/>
      <c r="X983" s="161"/>
      <c r="Y983" s="161"/>
      <c r="Z983" s="161"/>
      <c r="AA983" s="161"/>
      <c r="AB983" s="161"/>
    </row>
    <row r="984">
      <c r="A984" s="511"/>
      <c r="B984" s="161"/>
      <c r="C984" s="161"/>
      <c r="D984" s="161"/>
      <c r="E984" s="161"/>
      <c r="F984" s="161"/>
      <c r="G984" s="161"/>
      <c r="H984" s="161"/>
      <c r="I984" s="161"/>
      <c r="J984" s="161"/>
      <c r="K984" s="511"/>
      <c r="L984" s="511"/>
      <c r="M984" s="161"/>
      <c r="N984" s="161"/>
      <c r="O984" s="161"/>
      <c r="P984" s="161"/>
      <c r="Q984" s="161"/>
      <c r="R984" s="161"/>
      <c r="S984" s="161"/>
      <c r="T984" s="161"/>
      <c r="U984" s="161"/>
      <c r="V984" s="161"/>
      <c r="W984" s="161"/>
      <c r="X984" s="161"/>
      <c r="Y984" s="161"/>
      <c r="Z984" s="161"/>
      <c r="AA984" s="161"/>
      <c r="AB984" s="161"/>
    </row>
    <row r="985">
      <c r="A985" s="511"/>
      <c r="B985" s="161"/>
      <c r="C985" s="161"/>
      <c r="D985" s="161"/>
      <c r="E985" s="161"/>
      <c r="F985" s="161"/>
      <c r="G985" s="161"/>
      <c r="H985" s="161"/>
      <c r="I985" s="161"/>
      <c r="J985" s="161"/>
      <c r="K985" s="511"/>
      <c r="L985" s="511"/>
      <c r="M985" s="161"/>
      <c r="N985" s="161"/>
      <c r="O985" s="161"/>
      <c r="P985" s="161"/>
      <c r="Q985" s="161"/>
      <c r="R985" s="161"/>
      <c r="S985" s="161"/>
      <c r="T985" s="161"/>
      <c r="U985" s="161"/>
      <c r="V985" s="161"/>
      <c r="W985" s="161"/>
      <c r="X985" s="161"/>
      <c r="Y985" s="161"/>
      <c r="Z985" s="161"/>
      <c r="AA985" s="161"/>
      <c r="AB985" s="161"/>
    </row>
    <row r="986">
      <c r="A986" s="511"/>
      <c r="B986" s="161"/>
      <c r="C986" s="161"/>
      <c r="D986" s="161"/>
      <c r="E986" s="161"/>
      <c r="F986" s="161"/>
      <c r="G986" s="161"/>
      <c r="H986" s="161"/>
      <c r="I986" s="161"/>
      <c r="J986" s="161"/>
      <c r="K986" s="511"/>
      <c r="L986" s="511"/>
      <c r="M986" s="161"/>
      <c r="N986" s="161"/>
      <c r="O986" s="161"/>
      <c r="P986" s="161"/>
      <c r="Q986" s="161"/>
      <c r="R986" s="161"/>
      <c r="S986" s="161"/>
      <c r="T986" s="161"/>
      <c r="U986" s="161"/>
      <c r="V986" s="161"/>
      <c r="W986" s="161"/>
      <c r="X986" s="161"/>
      <c r="Y986" s="161"/>
      <c r="Z986" s="161"/>
      <c r="AA986" s="161"/>
      <c r="AB986" s="161"/>
    </row>
    <row r="987">
      <c r="A987" s="511"/>
      <c r="B987" s="161"/>
      <c r="C987" s="161"/>
      <c r="D987" s="161"/>
      <c r="E987" s="161"/>
      <c r="F987" s="161"/>
      <c r="G987" s="161"/>
      <c r="H987" s="161"/>
      <c r="I987" s="161"/>
      <c r="J987" s="161"/>
      <c r="K987" s="511"/>
      <c r="L987" s="511"/>
      <c r="M987" s="161"/>
      <c r="N987" s="161"/>
      <c r="O987" s="161"/>
      <c r="P987" s="161"/>
      <c r="Q987" s="161"/>
      <c r="R987" s="161"/>
      <c r="S987" s="161"/>
      <c r="T987" s="161"/>
      <c r="U987" s="161"/>
      <c r="V987" s="161"/>
      <c r="W987" s="161"/>
      <c r="X987" s="161"/>
      <c r="Y987" s="161"/>
      <c r="Z987" s="161"/>
      <c r="AA987" s="161"/>
      <c r="AB987" s="161"/>
    </row>
    <row r="988">
      <c r="A988" s="511"/>
      <c r="B988" s="161"/>
      <c r="C988" s="161"/>
      <c r="D988" s="161"/>
      <c r="E988" s="161"/>
      <c r="F988" s="161"/>
      <c r="G988" s="161"/>
      <c r="H988" s="161"/>
      <c r="I988" s="161"/>
      <c r="J988" s="161"/>
      <c r="K988" s="511"/>
      <c r="L988" s="511"/>
      <c r="M988" s="161"/>
      <c r="N988" s="161"/>
      <c r="O988" s="161"/>
      <c r="P988" s="161"/>
      <c r="Q988" s="161"/>
      <c r="R988" s="161"/>
      <c r="S988" s="161"/>
      <c r="T988" s="161"/>
      <c r="U988" s="161"/>
      <c r="V988" s="161"/>
      <c r="W988" s="161"/>
      <c r="X988" s="161"/>
      <c r="Y988" s="161"/>
      <c r="Z988" s="161"/>
      <c r="AA988" s="161"/>
      <c r="AB988" s="161"/>
    </row>
    <row r="989">
      <c r="A989" s="511"/>
      <c r="B989" s="161"/>
      <c r="C989" s="161"/>
      <c r="D989" s="161"/>
      <c r="E989" s="161"/>
      <c r="F989" s="161"/>
      <c r="G989" s="161"/>
      <c r="H989" s="161"/>
      <c r="I989" s="161"/>
      <c r="J989" s="161"/>
      <c r="K989" s="511"/>
      <c r="L989" s="511"/>
      <c r="M989" s="161"/>
      <c r="N989" s="161"/>
      <c r="O989" s="161"/>
      <c r="P989" s="161"/>
      <c r="Q989" s="161"/>
      <c r="R989" s="161"/>
      <c r="S989" s="161"/>
      <c r="T989" s="161"/>
      <c r="U989" s="161"/>
      <c r="V989" s="161"/>
      <c r="W989" s="161"/>
      <c r="X989" s="161"/>
      <c r="Y989" s="161"/>
      <c r="Z989" s="161"/>
      <c r="AA989" s="161"/>
      <c r="AB989" s="161"/>
    </row>
    <row r="990">
      <c r="A990" s="511"/>
      <c r="B990" s="161"/>
      <c r="C990" s="161"/>
      <c r="D990" s="161"/>
      <c r="E990" s="161"/>
      <c r="F990" s="161"/>
      <c r="G990" s="161"/>
      <c r="H990" s="161"/>
      <c r="I990" s="161"/>
      <c r="J990" s="161"/>
      <c r="K990" s="511"/>
      <c r="L990" s="511"/>
      <c r="M990" s="161"/>
      <c r="N990" s="161"/>
      <c r="O990" s="161"/>
      <c r="P990" s="161"/>
      <c r="Q990" s="161"/>
      <c r="R990" s="161"/>
      <c r="S990" s="161"/>
      <c r="T990" s="161"/>
      <c r="U990" s="161"/>
      <c r="V990" s="161"/>
      <c r="W990" s="161"/>
      <c r="X990" s="161"/>
      <c r="Y990" s="161"/>
      <c r="Z990" s="161"/>
      <c r="AA990" s="161"/>
      <c r="AB990" s="161"/>
    </row>
    <row r="991">
      <c r="A991" s="511"/>
      <c r="B991" s="161"/>
      <c r="C991" s="161"/>
      <c r="D991" s="161"/>
      <c r="E991" s="161"/>
      <c r="F991" s="161"/>
      <c r="G991" s="161"/>
      <c r="H991" s="161"/>
      <c r="I991" s="161"/>
      <c r="J991" s="161"/>
      <c r="K991" s="511"/>
      <c r="L991" s="511"/>
      <c r="M991" s="161"/>
      <c r="N991" s="161"/>
      <c r="O991" s="161"/>
      <c r="P991" s="161"/>
      <c r="Q991" s="161"/>
      <c r="R991" s="161"/>
      <c r="S991" s="161"/>
      <c r="T991" s="161"/>
      <c r="U991" s="161"/>
      <c r="V991" s="161"/>
      <c r="W991" s="161"/>
      <c r="X991" s="161"/>
      <c r="Y991" s="161"/>
      <c r="Z991" s="161"/>
      <c r="AA991" s="161"/>
      <c r="AB991" s="161"/>
    </row>
    <row r="992">
      <c r="A992" s="511"/>
      <c r="B992" s="161"/>
      <c r="C992" s="161"/>
      <c r="D992" s="161"/>
      <c r="E992" s="161"/>
      <c r="F992" s="161"/>
      <c r="G992" s="161"/>
      <c r="H992" s="161"/>
      <c r="I992" s="161"/>
      <c r="J992" s="161"/>
      <c r="K992" s="511"/>
      <c r="L992" s="511"/>
      <c r="M992" s="161"/>
      <c r="N992" s="161"/>
      <c r="O992" s="161"/>
      <c r="P992" s="161"/>
      <c r="Q992" s="161"/>
      <c r="R992" s="161"/>
      <c r="S992" s="161"/>
      <c r="T992" s="161"/>
      <c r="U992" s="161"/>
      <c r="V992" s="161"/>
      <c r="W992" s="161"/>
      <c r="X992" s="161"/>
      <c r="Y992" s="161"/>
      <c r="Z992" s="161"/>
      <c r="AA992" s="161"/>
      <c r="AB992" s="161"/>
    </row>
    <row r="993">
      <c r="A993" s="511"/>
      <c r="B993" s="161"/>
      <c r="C993" s="161"/>
      <c r="D993" s="161"/>
      <c r="E993" s="161"/>
      <c r="F993" s="161"/>
      <c r="G993" s="161"/>
      <c r="H993" s="161"/>
      <c r="I993" s="161"/>
      <c r="J993" s="161"/>
      <c r="K993" s="511"/>
      <c r="L993" s="511"/>
      <c r="M993" s="161"/>
      <c r="N993" s="161"/>
      <c r="O993" s="161"/>
      <c r="P993" s="161"/>
      <c r="Q993" s="161"/>
      <c r="R993" s="161"/>
      <c r="S993" s="161"/>
      <c r="T993" s="161"/>
      <c r="U993" s="161"/>
      <c r="V993" s="161"/>
      <c r="W993" s="161"/>
      <c r="X993" s="161"/>
      <c r="Y993" s="161"/>
      <c r="Z993" s="161"/>
      <c r="AA993" s="161"/>
      <c r="AB993" s="161"/>
    </row>
    <row r="994">
      <c r="A994" s="511"/>
      <c r="B994" s="161"/>
      <c r="C994" s="161"/>
      <c r="D994" s="161"/>
      <c r="E994" s="161"/>
      <c r="F994" s="161"/>
      <c r="G994" s="161"/>
      <c r="H994" s="161"/>
      <c r="I994" s="161"/>
      <c r="J994" s="161"/>
      <c r="K994" s="511"/>
      <c r="L994" s="511"/>
      <c r="M994" s="161"/>
      <c r="N994" s="161"/>
      <c r="O994" s="161"/>
      <c r="P994" s="161"/>
      <c r="Q994" s="161"/>
      <c r="R994" s="161"/>
      <c r="S994" s="161"/>
      <c r="T994" s="161"/>
      <c r="U994" s="161"/>
      <c r="V994" s="161"/>
      <c r="W994" s="161"/>
      <c r="X994" s="161"/>
      <c r="Y994" s="161"/>
      <c r="Z994" s="161"/>
      <c r="AA994" s="161"/>
      <c r="AB994" s="161"/>
    </row>
    <row r="995">
      <c r="A995" s="511"/>
      <c r="B995" s="161"/>
      <c r="C995" s="161"/>
      <c r="D995" s="161"/>
      <c r="E995" s="161"/>
      <c r="F995" s="161"/>
      <c r="G995" s="161"/>
      <c r="H995" s="161"/>
      <c r="I995" s="161"/>
      <c r="J995" s="161"/>
      <c r="K995" s="511"/>
      <c r="L995" s="511"/>
      <c r="M995" s="161"/>
      <c r="N995" s="161"/>
      <c r="O995" s="161"/>
      <c r="P995" s="161"/>
      <c r="Q995" s="161"/>
      <c r="R995" s="161"/>
      <c r="S995" s="161"/>
      <c r="T995" s="161"/>
      <c r="U995" s="161"/>
      <c r="V995" s="161"/>
      <c r="W995" s="161"/>
      <c r="X995" s="161"/>
      <c r="Y995" s="161"/>
      <c r="Z995" s="161"/>
      <c r="AA995" s="161"/>
      <c r="AB995" s="161"/>
    </row>
    <row r="996">
      <c r="A996" s="511"/>
      <c r="B996" s="161"/>
      <c r="C996" s="161"/>
      <c r="D996" s="161"/>
      <c r="E996" s="161"/>
      <c r="F996" s="161"/>
      <c r="G996" s="161"/>
      <c r="H996" s="161"/>
      <c r="I996" s="161"/>
      <c r="J996" s="161"/>
      <c r="K996" s="511"/>
      <c r="L996" s="511"/>
      <c r="M996" s="161"/>
      <c r="N996" s="161"/>
      <c r="O996" s="161"/>
      <c r="P996" s="161"/>
      <c r="Q996" s="161"/>
      <c r="R996" s="161"/>
      <c r="S996" s="161"/>
      <c r="T996" s="161"/>
      <c r="U996" s="161"/>
      <c r="V996" s="161"/>
      <c r="W996" s="161"/>
      <c r="X996" s="161"/>
      <c r="Y996" s="161"/>
      <c r="Z996" s="161"/>
      <c r="AA996" s="161"/>
      <c r="AB996" s="161"/>
    </row>
    <row r="997">
      <c r="A997" s="511"/>
      <c r="B997" s="161"/>
      <c r="C997" s="161"/>
      <c r="D997" s="161"/>
      <c r="E997" s="161"/>
      <c r="F997" s="161"/>
      <c r="G997" s="161"/>
      <c r="H997" s="161"/>
      <c r="I997" s="161"/>
      <c r="J997" s="161"/>
      <c r="K997" s="511"/>
      <c r="L997" s="511"/>
      <c r="M997" s="161"/>
      <c r="N997" s="161"/>
      <c r="O997" s="161"/>
      <c r="P997" s="161"/>
      <c r="Q997" s="161"/>
      <c r="R997" s="161"/>
      <c r="S997" s="161"/>
      <c r="T997" s="161"/>
      <c r="U997" s="161"/>
      <c r="V997" s="161"/>
      <c r="W997" s="161"/>
      <c r="X997" s="161"/>
      <c r="Y997" s="161"/>
      <c r="Z997" s="161"/>
      <c r="AA997" s="161"/>
      <c r="AB997" s="161"/>
    </row>
    <row r="998">
      <c r="A998" s="511"/>
      <c r="B998" s="161"/>
      <c r="C998" s="161"/>
      <c r="D998" s="161"/>
      <c r="E998" s="161"/>
      <c r="F998" s="161"/>
      <c r="G998" s="161"/>
      <c r="H998" s="161"/>
      <c r="I998" s="161"/>
      <c r="J998" s="161"/>
      <c r="K998" s="511"/>
      <c r="L998" s="511"/>
      <c r="M998" s="161"/>
      <c r="N998" s="161"/>
      <c r="O998" s="161"/>
      <c r="P998" s="161"/>
      <c r="Q998" s="161"/>
      <c r="R998" s="161"/>
      <c r="S998" s="161"/>
      <c r="T998" s="161"/>
      <c r="U998" s="161"/>
      <c r="V998" s="161"/>
      <c r="W998" s="161"/>
      <c r="X998" s="161"/>
      <c r="Y998" s="161"/>
      <c r="Z998" s="161"/>
      <c r="AA998" s="161"/>
      <c r="AB998" s="161"/>
    </row>
    <row r="999">
      <c r="A999" s="511"/>
      <c r="B999" s="161"/>
      <c r="C999" s="161"/>
      <c r="D999" s="161"/>
      <c r="E999" s="161"/>
      <c r="F999" s="161"/>
      <c r="G999" s="161"/>
      <c r="H999" s="161"/>
      <c r="I999" s="161"/>
      <c r="J999" s="161"/>
      <c r="K999" s="511"/>
      <c r="L999" s="511"/>
      <c r="M999" s="161"/>
      <c r="N999" s="161"/>
      <c r="O999" s="161"/>
      <c r="P999" s="161"/>
      <c r="Q999" s="161"/>
      <c r="R999" s="161"/>
      <c r="S999" s="161"/>
      <c r="T999" s="161"/>
      <c r="U999" s="161"/>
      <c r="V999" s="161"/>
      <c r="W999" s="161"/>
      <c r="X999" s="161"/>
      <c r="Y999" s="161"/>
      <c r="Z999" s="161"/>
      <c r="AA999" s="161"/>
      <c r="AB999" s="161"/>
    </row>
    <row r="1000">
      <c r="A1000" s="511"/>
      <c r="B1000" s="161"/>
      <c r="C1000" s="161"/>
      <c r="D1000" s="161"/>
      <c r="E1000" s="161"/>
      <c r="F1000" s="161"/>
      <c r="G1000" s="161"/>
      <c r="H1000" s="161"/>
      <c r="I1000" s="161"/>
      <c r="J1000" s="161"/>
      <c r="K1000" s="511"/>
      <c r="L1000" s="511"/>
      <c r="M1000" s="161"/>
      <c r="N1000" s="161"/>
      <c r="O1000" s="161"/>
      <c r="P1000" s="161"/>
      <c r="Q1000" s="161"/>
      <c r="R1000" s="161"/>
      <c r="S1000" s="161"/>
      <c r="T1000" s="161"/>
      <c r="U1000" s="161"/>
      <c r="V1000" s="161"/>
      <c r="W1000" s="161"/>
      <c r="X1000" s="161"/>
      <c r="Y1000" s="161"/>
      <c r="Z1000" s="161"/>
      <c r="AA1000" s="161"/>
      <c r="AB1000" s="161"/>
    </row>
  </sheetData>
  <hyperlinks>
    <hyperlink r:id="rId1" location="/content"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drawing r:id="rId1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3" width="37.13"/>
    <col customWidth="1" min="4" max="4" width="18.38"/>
    <col customWidth="1" min="5" max="5" width="22.38"/>
    <col customWidth="1" min="6" max="6" width="20.38"/>
    <col customWidth="1" min="7" max="7" width="19.75"/>
    <col customWidth="1" min="8" max="26" width="37.13"/>
  </cols>
  <sheetData>
    <row r="1">
      <c r="A1" s="567" t="s">
        <v>2103</v>
      </c>
      <c r="B1" s="567" t="s">
        <v>2157</v>
      </c>
      <c r="C1" s="567" t="s">
        <v>2158</v>
      </c>
      <c r="D1" s="568" t="s">
        <v>2159</v>
      </c>
      <c r="E1" s="568" t="s">
        <v>2160</v>
      </c>
      <c r="F1" s="568" t="s">
        <v>2161</v>
      </c>
      <c r="G1" s="568" t="s">
        <v>2162</v>
      </c>
      <c r="H1" s="381"/>
      <c r="I1" s="381"/>
      <c r="J1" s="381"/>
      <c r="K1" s="381"/>
      <c r="L1" s="381"/>
      <c r="M1" s="381"/>
      <c r="N1" s="381"/>
      <c r="O1" s="381"/>
      <c r="P1" s="381"/>
      <c r="Q1" s="381"/>
      <c r="R1" s="381"/>
      <c r="S1" s="381"/>
      <c r="T1" s="381"/>
      <c r="U1" s="381"/>
      <c r="V1" s="381"/>
      <c r="W1" s="381"/>
      <c r="X1" s="381"/>
      <c r="Y1" s="381"/>
      <c r="Z1" s="381"/>
    </row>
    <row r="2">
      <c r="A2" s="569">
        <v>1.0</v>
      </c>
      <c r="B2" s="570" t="s">
        <v>2163</v>
      </c>
      <c r="C2" s="571" t="s">
        <v>2164</v>
      </c>
      <c r="D2" s="572" t="s">
        <v>2165</v>
      </c>
      <c r="E2" s="572">
        <v>18.0</v>
      </c>
      <c r="F2" s="572">
        <v>18.0</v>
      </c>
      <c r="G2" s="572" t="s">
        <v>1747</v>
      </c>
      <c r="H2" s="381"/>
      <c r="I2" s="381"/>
      <c r="J2" s="381"/>
      <c r="K2" s="381"/>
      <c r="L2" s="381"/>
      <c r="M2" s="381"/>
      <c r="N2" s="381"/>
      <c r="O2" s="381"/>
      <c r="P2" s="381"/>
      <c r="Q2" s="381"/>
      <c r="R2" s="381"/>
      <c r="S2" s="381"/>
      <c r="T2" s="381"/>
      <c r="U2" s="381"/>
      <c r="V2" s="381"/>
      <c r="W2" s="381"/>
      <c r="X2" s="381"/>
      <c r="Y2" s="381"/>
      <c r="Z2" s="381"/>
    </row>
    <row r="3">
      <c r="A3" s="573">
        <v>2.0</v>
      </c>
      <c r="B3" s="570" t="s">
        <v>2166</v>
      </c>
      <c r="C3" s="571" t="s">
        <v>2167</v>
      </c>
      <c r="D3" s="572" t="s">
        <v>2165</v>
      </c>
      <c r="E3" s="572">
        <v>30.0</v>
      </c>
      <c r="F3" s="572">
        <v>18.0</v>
      </c>
      <c r="G3" s="572">
        <v>12.0</v>
      </c>
      <c r="H3" s="381"/>
      <c r="I3" s="381"/>
      <c r="J3" s="381"/>
      <c r="K3" s="381"/>
      <c r="L3" s="381"/>
      <c r="M3" s="381"/>
      <c r="N3" s="381"/>
      <c r="O3" s="381"/>
      <c r="P3" s="381"/>
      <c r="Q3" s="381"/>
      <c r="R3" s="381"/>
      <c r="S3" s="381"/>
      <c r="T3" s="381"/>
      <c r="U3" s="381"/>
      <c r="V3" s="381"/>
      <c r="W3" s="381"/>
      <c r="X3" s="381"/>
      <c r="Y3" s="381"/>
      <c r="Z3" s="381"/>
    </row>
    <row r="4">
      <c r="A4" s="572">
        <v>3.0</v>
      </c>
      <c r="B4" s="574" t="s">
        <v>2168</v>
      </c>
      <c r="C4" s="575" t="s">
        <v>2169</v>
      </c>
      <c r="D4" s="572" t="s">
        <v>2165</v>
      </c>
      <c r="E4" s="572">
        <v>35.0</v>
      </c>
      <c r="F4" s="572">
        <v>18.0</v>
      </c>
      <c r="G4" s="572">
        <v>17.0</v>
      </c>
      <c r="H4" s="381"/>
      <c r="I4" s="381"/>
      <c r="J4" s="381"/>
      <c r="K4" s="381"/>
      <c r="L4" s="381"/>
      <c r="M4" s="381"/>
      <c r="N4" s="381"/>
      <c r="O4" s="381"/>
      <c r="P4" s="381"/>
      <c r="Q4" s="381"/>
      <c r="R4" s="381"/>
      <c r="S4" s="381"/>
      <c r="T4" s="381"/>
      <c r="U4" s="381"/>
      <c r="V4" s="381"/>
      <c r="W4" s="381"/>
      <c r="X4" s="381"/>
      <c r="Y4" s="381"/>
      <c r="Z4" s="381"/>
    </row>
    <row r="5">
      <c r="A5" s="572">
        <v>4.0</v>
      </c>
      <c r="B5" s="574" t="s">
        <v>2170</v>
      </c>
      <c r="C5" s="576" t="s">
        <v>2171</v>
      </c>
      <c r="D5" s="572" t="s">
        <v>2165</v>
      </c>
      <c r="E5" s="572">
        <v>18.0</v>
      </c>
      <c r="F5" s="572">
        <v>18.0</v>
      </c>
      <c r="G5" s="572" t="s">
        <v>1747</v>
      </c>
      <c r="H5" s="381"/>
      <c r="I5" s="381"/>
      <c r="J5" s="381"/>
      <c r="K5" s="381"/>
      <c r="L5" s="381"/>
      <c r="M5" s="381"/>
      <c r="N5" s="381"/>
      <c r="O5" s="381"/>
      <c r="P5" s="381"/>
      <c r="Q5" s="381"/>
      <c r="R5" s="381"/>
      <c r="S5" s="381"/>
      <c r="T5" s="381"/>
      <c r="U5" s="381"/>
      <c r="V5" s="381"/>
      <c r="W5" s="381"/>
      <c r="X5" s="381"/>
      <c r="Y5" s="381"/>
      <c r="Z5" s="381"/>
    </row>
    <row r="6">
      <c r="A6" s="572">
        <v>5.0</v>
      </c>
      <c r="B6" s="574" t="s">
        <v>2172</v>
      </c>
      <c r="C6" s="577" t="s">
        <v>2173</v>
      </c>
      <c r="D6" s="572" t="s">
        <v>2165</v>
      </c>
      <c r="E6" s="572">
        <v>18.0</v>
      </c>
      <c r="F6" s="572">
        <v>18.0</v>
      </c>
      <c r="G6" s="572" t="s">
        <v>1747</v>
      </c>
      <c r="H6" s="381"/>
      <c r="I6" s="381"/>
      <c r="J6" s="381"/>
      <c r="K6" s="381"/>
      <c r="L6" s="381"/>
      <c r="M6" s="381"/>
      <c r="N6" s="381"/>
      <c r="O6" s="381"/>
      <c r="P6" s="381"/>
      <c r="Q6" s="381"/>
      <c r="R6" s="381"/>
      <c r="S6" s="381"/>
      <c r="T6" s="381"/>
      <c r="U6" s="381"/>
      <c r="V6" s="381"/>
      <c r="W6" s="381"/>
      <c r="X6" s="381"/>
      <c r="Y6" s="381"/>
      <c r="Z6" s="381"/>
    </row>
    <row r="7">
      <c r="A7" s="572">
        <v>6.0</v>
      </c>
      <c r="B7" s="574" t="s">
        <v>2174</v>
      </c>
      <c r="C7" s="577" t="s">
        <v>2175</v>
      </c>
      <c r="D7" s="572" t="s">
        <v>2165</v>
      </c>
      <c r="E7" s="572">
        <v>18.0</v>
      </c>
      <c r="F7" s="572">
        <v>18.0</v>
      </c>
      <c r="G7" s="572" t="s">
        <v>1747</v>
      </c>
      <c r="H7" s="381"/>
      <c r="I7" s="381"/>
      <c r="J7" s="381"/>
      <c r="K7" s="381"/>
      <c r="L7" s="381"/>
      <c r="M7" s="381"/>
      <c r="N7" s="381"/>
      <c r="O7" s="381"/>
      <c r="P7" s="381"/>
      <c r="Q7" s="381"/>
      <c r="R7" s="381"/>
      <c r="S7" s="381"/>
      <c r="T7" s="381"/>
      <c r="U7" s="381"/>
      <c r="V7" s="381"/>
      <c r="W7" s="381"/>
      <c r="X7" s="381"/>
      <c r="Y7" s="381"/>
      <c r="Z7" s="381"/>
    </row>
    <row r="8">
      <c r="A8" s="572">
        <v>7.0</v>
      </c>
      <c r="B8" s="574" t="s">
        <v>2176</v>
      </c>
      <c r="C8" s="578"/>
      <c r="D8" s="572" t="s">
        <v>2177</v>
      </c>
      <c r="E8" s="572">
        <v>20.0</v>
      </c>
      <c r="F8" s="572">
        <v>11.0</v>
      </c>
      <c r="G8" s="572">
        <v>9.0</v>
      </c>
      <c r="H8" s="381"/>
      <c r="I8" s="381"/>
      <c r="J8" s="381"/>
      <c r="K8" s="381"/>
      <c r="L8" s="381"/>
      <c r="M8" s="381"/>
      <c r="N8" s="381"/>
      <c r="O8" s="381"/>
      <c r="P8" s="381"/>
      <c r="Q8" s="381"/>
      <c r="R8" s="381"/>
      <c r="S8" s="381"/>
      <c r="T8" s="381"/>
      <c r="U8" s="381"/>
      <c r="V8" s="381"/>
      <c r="W8" s="381"/>
      <c r="X8" s="381"/>
      <c r="Y8" s="381"/>
      <c r="Z8" s="381"/>
    </row>
    <row r="9">
      <c r="A9" s="572">
        <v>8.0</v>
      </c>
      <c r="B9" s="574" t="s">
        <v>2178</v>
      </c>
      <c r="C9" s="578"/>
      <c r="D9" s="572" t="s">
        <v>2177</v>
      </c>
      <c r="E9" s="572">
        <v>20.0</v>
      </c>
      <c r="F9" s="572">
        <v>11.0</v>
      </c>
      <c r="G9" s="572">
        <v>9.0</v>
      </c>
      <c r="H9" s="381"/>
      <c r="I9" s="381"/>
      <c r="J9" s="381"/>
      <c r="K9" s="381"/>
      <c r="L9" s="381"/>
      <c r="M9" s="381"/>
      <c r="N9" s="381"/>
      <c r="O9" s="381"/>
      <c r="P9" s="381"/>
      <c r="Q9" s="381"/>
      <c r="R9" s="381"/>
      <c r="S9" s="381"/>
      <c r="T9" s="381"/>
      <c r="U9" s="381"/>
      <c r="V9" s="381"/>
      <c r="W9" s="381"/>
      <c r="X9" s="381"/>
      <c r="Y9" s="381"/>
      <c r="Z9" s="381"/>
    </row>
    <row r="10">
      <c r="A10" s="572">
        <v>9.0</v>
      </c>
      <c r="B10" s="574" t="s">
        <v>2179</v>
      </c>
      <c r="C10" s="578"/>
      <c r="D10" s="572" t="s">
        <v>2177</v>
      </c>
      <c r="E10" s="572">
        <v>11.0</v>
      </c>
      <c r="F10" s="572">
        <v>11.0</v>
      </c>
      <c r="G10" s="572" t="s">
        <v>1747</v>
      </c>
      <c r="H10" s="381"/>
      <c r="I10" s="381"/>
      <c r="J10" s="381"/>
      <c r="K10" s="381"/>
      <c r="L10" s="381"/>
      <c r="M10" s="381"/>
      <c r="N10" s="381"/>
      <c r="O10" s="381"/>
      <c r="P10" s="381"/>
      <c r="Q10" s="381"/>
      <c r="R10" s="381"/>
      <c r="S10" s="381"/>
      <c r="T10" s="381"/>
      <c r="U10" s="381"/>
      <c r="V10" s="381"/>
      <c r="W10" s="381"/>
      <c r="X10" s="381"/>
      <c r="Y10" s="381"/>
      <c r="Z10" s="381"/>
    </row>
    <row r="11">
      <c r="A11" s="572">
        <v>10.0</v>
      </c>
      <c r="B11" s="574" t="s">
        <v>2180</v>
      </c>
      <c r="C11" s="579" t="s">
        <v>2181</v>
      </c>
      <c r="D11" s="572" t="s">
        <v>2165</v>
      </c>
      <c r="E11" s="572">
        <v>110.0</v>
      </c>
      <c r="F11" s="578"/>
      <c r="G11" s="578"/>
      <c r="H11" s="381"/>
      <c r="I11" s="381"/>
      <c r="J11" s="381"/>
      <c r="K11" s="381"/>
      <c r="L11" s="381"/>
      <c r="M11" s="381"/>
      <c r="N11" s="381"/>
      <c r="O11" s="381"/>
      <c r="P11" s="381"/>
      <c r="Q11" s="381"/>
      <c r="R11" s="381"/>
      <c r="S11" s="381"/>
      <c r="T11" s="381"/>
      <c r="U11" s="381"/>
      <c r="V11" s="381"/>
      <c r="W11" s="381"/>
      <c r="X11" s="381"/>
      <c r="Y11" s="381"/>
      <c r="Z11" s="381"/>
    </row>
    <row r="12">
      <c r="A12" s="572">
        <v>11.0</v>
      </c>
      <c r="B12" s="574" t="s">
        <v>2182</v>
      </c>
      <c r="C12" s="578"/>
      <c r="D12" s="572" t="s">
        <v>2183</v>
      </c>
      <c r="E12" s="572">
        <v>25.0</v>
      </c>
      <c r="F12" s="578"/>
      <c r="G12" s="578"/>
      <c r="H12" s="381"/>
      <c r="I12" s="381"/>
      <c r="J12" s="381"/>
      <c r="K12" s="381"/>
      <c r="L12" s="381"/>
      <c r="M12" s="381"/>
      <c r="N12" s="381"/>
      <c r="O12" s="381"/>
      <c r="P12" s="381"/>
      <c r="Q12" s="381"/>
      <c r="R12" s="381"/>
      <c r="S12" s="381"/>
      <c r="T12" s="381"/>
      <c r="U12" s="381"/>
      <c r="V12" s="381"/>
      <c r="W12" s="381"/>
      <c r="X12" s="381"/>
      <c r="Y12" s="381"/>
      <c r="Z12" s="381"/>
    </row>
    <row r="13">
      <c r="A13" s="381"/>
      <c r="B13" s="18"/>
      <c r="C13" s="359"/>
      <c r="D13" s="359"/>
      <c r="E13" s="381"/>
      <c r="F13" s="381"/>
      <c r="G13" s="381"/>
      <c r="H13" s="381"/>
      <c r="I13" s="381"/>
      <c r="J13" s="381"/>
      <c r="K13" s="381"/>
      <c r="L13" s="381"/>
      <c r="M13" s="381"/>
      <c r="N13" s="381"/>
      <c r="O13" s="381"/>
      <c r="P13" s="381"/>
      <c r="Q13" s="381"/>
      <c r="R13" s="381"/>
      <c r="S13" s="381"/>
      <c r="T13" s="381"/>
      <c r="U13" s="381"/>
      <c r="V13" s="381"/>
      <c r="W13" s="381"/>
      <c r="X13" s="381"/>
      <c r="Y13" s="381"/>
      <c r="Z13" s="381"/>
    </row>
    <row r="14">
      <c r="A14" s="381"/>
      <c r="B14" s="18"/>
      <c r="C14" s="359"/>
      <c r="D14" s="359"/>
      <c r="E14" s="381"/>
      <c r="F14" s="381"/>
      <c r="G14" s="381"/>
      <c r="H14" s="381"/>
      <c r="I14" s="381"/>
      <c r="J14" s="381"/>
      <c r="K14" s="381"/>
      <c r="L14" s="381"/>
      <c r="M14" s="381"/>
      <c r="N14" s="381"/>
      <c r="O14" s="381"/>
      <c r="P14" s="381"/>
      <c r="Q14" s="381"/>
      <c r="R14" s="381"/>
      <c r="S14" s="381"/>
      <c r="T14" s="381"/>
      <c r="U14" s="381"/>
      <c r="V14" s="381"/>
      <c r="W14" s="381"/>
      <c r="X14" s="381"/>
      <c r="Y14" s="381"/>
      <c r="Z14" s="381"/>
    </row>
    <row r="15">
      <c r="A15" s="381"/>
      <c r="B15" s="18"/>
      <c r="C15" s="359"/>
      <c r="D15" s="359"/>
      <c r="E15" s="381"/>
      <c r="F15" s="381"/>
      <c r="G15" s="381"/>
      <c r="H15" s="381"/>
      <c r="I15" s="381"/>
      <c r="J15" s="381"/>
      <c r="K15" s="381"/>
      <c r="L15" s="381"/>
      <c r="M15" s="381"/>
      <c r="N15" s="381"/>
      <c r="O15" s="381"/>
      <c r="P15" s="381"/>
      <c r="Q15" s="381"/>
      <c r="R15" s="381"/>
      <c r="S15" s="381"/>
      <c r="T15" s="381"/>
      <c r="U15" s="381"/>
      <c r="V15" s="381"/>
      <c r="W15" s="381"/>
      <c r="X15" s="381"/>
      <c r="Y15" s="381"/>
      <c r="Z15" s="381"/>
    </row>
    <row r="16">
      <c r="A16" s="381"/>
      <c r="B16" s="18"/>
      <c r="C16" s="359"/>
      <c r="D16" s="359"/>
      <c r="E16" s="381"/>
      <c r="F16" s="381"/>
      <c r="G16" s="381"/>
      <c r="H16" s="381"/>
      <c r="I16" s="381"/>
      <c r="J16" s="381"/>
      <c r="K16" s="381"/>
      <c r="L16" s="381"/>
      <c r="M16" s="381"/>
      <c r="N16" s="381"/>
      <c r="O16" s="381"/>
      <c r="P16" s="381"/>
      <c r="Q16" s="381"/>
      <c r="R16" s="381"/>
      <c r="S16" s="381"/>
      <c r="T16" s="381"/>
      <c r="U16" s="381"/>
      <c r="V16" s="381"/>
      <c r="W16" s="381"/>
      <c r="X16" s="381"/>
      <c r="Y16" s="381"/>
      <c r="Z16" s="381"/>
    </row>
    <row r="17">
      <c r="A17" s="381"/>
      <c r="B17" s="18"/>
      <c r="C17" s="359"/>
      <c r="D17" s="359"/>
      <c r="E17" s="381"/>
      <c r="F17" s="381"/>
      <c r="G17" s="381"/>
      <c r="H17" s="381"/>
      <c r="I17" s="381"/>
      <c r="J17" s="381"/>
      <c r="K17" s="381"/>
      <c r="L17" s="381"/>
      <c r="M17" s="381"/>
      <c r="N17" s="381"/>
      <c r="O17" s="381"/>
      <c r="P17" s="381"/>
      <c r="Q17" s="381"/>
      <c r="R17" s="381"/>
      <c r="S17" s="381"/>
      <c r="T17" s="381"/>
      <c r="U17" s="381"/>
      <c r="V17" s="381"/>
      <c r="W17" s="381"/>
      <c r="X17" s="381"/>
      <c r="Y17" s="381"/>
      <c r="Z17" s="381"/>
    </row>
    <row r="18">
      <c r="A18" s="381"/>
      <c r="B18" s="18"/>
      <c r="C18" s="359"/>
      <c r="D18" s="359"/>
      <c r="E18" s="381"/>
      <c r="F18" s="381"/>
      <c r="G18" s="381"/>
      <c r="H18" s="381"/>
      <c r="I18" s="381"/>
      <c r="J18" s="381"/>
      <c r="K18" s="381"/>
      <c r="L18" s="381"/>
      <c r="M18" s="381"/>
      <c r="N18" s="381"/>
      <c r="O18" s="381"/>
      <c r="P18" s="381"/>
      <c r="Q18" s="381"/>
      <c r="R18" s="381"/>
      <c r="S18" s="381"/>
      <c r="T18" s="381"/>
      <c r="U18" s="381"/>
      <c r="V18" s="381"/>
      <c r="W18" s="381"/>
      <c r="X18" s="381"/>
      <c r="Y18" s="381"/>
      <c r="Z18" s="381"/>
    </row>
    <row r="19">
      <c r="A19" s="381"/>
      <c r="B19" s="18"/>
      <c r="C19" s="359"/>
      <c r="D19" s="359"/>
      <c r="E19" s="381"/>
      <c r="F19" s="381"/>
      <c r="G19" s="381"/>
      <c r="H19" s="381"/>
      <c r="I19" s="381"/>
      <c r="J19" s="381"/>
      <c r="K19" s="381"/>
      <c r="L19" s="381"/>
      <c r="M19" s="381"/>
      <c r="N19" s="381"/>
      <c r="O19" s="381"/>
      <c r="P19" s="381"/>
      <c r="Q19" s="381"/>
      <c r="R19" s="381"/>
      <c r="S19" s="381"/>
      <c r="T19" s="381"/>
      <c r="U19" s="381"/>
      <c r="V19" s="381"/>
      <c r="W19" s="381"/>
      <c r="X19" s="381"/>
      <c r="Y19" s="381"/>
      <c r="Z19" s="381"/>
    </row>
    <row r="20">
      <c r="A20" s="381"/>
      <c r="B20" s="18"/>
      <c r="C20" s="359"/>
      <c r="D20" s="359"/>
      <c r="E20" s="381"/>
      <c r="F20" s="381"/>
      <c r="G20" s="381"/>
      <c r="H20" s="381"/>
      <c r="I20" s="381"/>
      <c r="J20" s="381"/>
      <c r="K20" s="381"/>
      <c r="L20" s="381"/>
      <c r="M20" s="381"/>
      <c r="N20" s="381"/>
      <c r="O20" s="381"/>
      <c r="P20" s="381"/>
      <c r="Q20" s="381"/>
      <c r="R20" s="381"/>
      <c r="S20" s="381"/>
      <c r="T20" s="381"/>
      <c r="U20" s="381"/>
      <c r="V20" s="381"/>
      <c r="W20" s="381"/>
      <c r="X20" s="381"/>
      <c r="Y20" s="381"/>
      <c r="Z20" s="381"/>
    </row>
    <row r="21">
      <c r="A21" s="381"/>
      <c r="B21" s="18"/>
      <c r="C21" s="359"/>
      <c r="D21" s="359"/>
      <c r="E21" s="381"/>
      <c r="F21" s="381"/>
      <c r="G21" s="381"/>
      <c r="H21" s="381"/>
      <c r="I21" s="381"/>
      <c r="J21" s="381"/>
      <c r="K21" s="381"/>
      <c r="L21" s="381"/>
      <c r="M21" s="381"/>
      <c r="N21" s="381"/>
      <c r="O21" s="381"/>
      <c r="P21" s="381"/>
      <c r="Q21" s="381"/>
      <c r="R21" s="381"/>
      <c r="S21" s="381"/>
      <c r="T21" s="381"/>
      <c r="U21" s="381"/>
      <c r="V21" s="381"/>
      <c r="W21" s="381"/>
      <c r="X21" s="381"/>
      <c r="Y21" s="381"/>
      <c r="Z21" s="381"/>
    </row>
    <row r="22">
      <c r="A22" s="381"/>
      <c r="B22" s="18"/>
      <c r="C22" s="359"/>
      <c r="D22" s="359"/>
      <c r="E22" s="381"/>
      <c r="F22" s="381"/>
      <c r="G22" s="381"/>
      <c r="H22" s="381"/>
      <c r="I22" s="381"/>
      <c r="J22" s="381"/>
      <c r="K22" s="381"/>
      <c r="L22" s="381"/>
      <c r="M22" s="381"/>
      <c r="N22" s="381"/>
      <c r="O22" s="381"/>
      <c r="P22" s="381"/>
      <c r="Q22" s="381"/>
      <c r="R22" s="381"/>
      <c r="S22" s="381"/>
      <c r="T22" s="381"/>
      <c r="U22" s="381"/>
      <c r="V22" s="381"/>
      <c r="W22" s="381"/>
      <c r="X22" s="381"/>
      <c r="Y22" s="381"/>
      <c r="Z22" s="381"/>
    </row>
    <row r="23">
      <c r="A23" s="381"/>
      <c r="B23" s="18"/>
      <c r="C23" s="359"/>
      <c r="D23" s="359"/>
      <c r="E23" s="381"/>
      <c r="F23" s="381"/>
      <c r="G23" s="381"/>
      <c r="H23" s="381"/>
      <c r="I23" s="381"/>
      <c r="J23" s="381"/>
      <c r="K23" s="381"/>
      <c r="L23" s="381"/>
      <c r="M23" s="381"/>
      <c r="N23" s="381"/>
      <c r="O23" s="381"/>
      <c r="P23" s="381"/>
      <c r="Q23" s="381"/>
      <c r="R23" s="381"/>
      <c r="S23" s="381"/>
      <c r="T23" s="381"/>
      <c r="U23" s="381"/>
      <c r="V23" s="381"/>
      <c r="W23" s="381"/>
      <c r="X23" s="381"/>
      <c r="Y23" s="381"/>
      <c r="Z23" s="381"/>
    </row>
    <row r="24">
      <c r="A24" s="381"/>
      <c r="B24" s="18"/>
      <c r="C24" s="359"/>
      <c r="D24" s="359"/>
      <c r="E24" s="381"/>
      <c r="F24" s="381"/>
      <c r="G24" s="381"/>
      <c r="H24" s="381"/>
      <c r="I24" s="381"/>
      <c r="J24" s="381"/>
      <c r="K24" s="381"/>
      <c r="L24" s="381"/>
      <c r="M24" s="381"/>
      <c r="N24" s="381"/>
      <c r="O24" s="381"/>
      <c r="P24" s="381"/>
      <c r="Q24" s="381"/>
      <c r="R24" s="381"/>
      <c r="S24" s="381"/>
      <c r="T24" s="381"/>
      <c r="U24" s="381"/>
      <c r="V24" s="381"/>
      <c r="W24" s="381"/>
      <c r="X24" s="381"/>
      <c r="Y24" s="381"/>
      <c r="Z24" s="381"/>
    </row>
    <row r="25">
      <c r="A25" s="381"/>
      <c r="B25" s="18"/>
      <c r="C25" s="359"/>
      <c r="D25" s="359"/>
      <c r="E25" s="381"/>
      <c r="F25" s="381"/>
      <c r="G25" s="381"/>
      <c r="H25" s="381"/>
      <c r="I25" s="381"/>
      <c r="J25" s="381"/>
      <c r="K25" s="381"/>
      <c r="L25" s="381"/>
      <c r="M25" s="381"/>
      <c r="N25" s="381"/>
      <c r="O25" s="381"/>
      <c r="P25" s="381"/>
      <c r="Q25" s="381"/>
      <c r="R25" s="381"/>
      <c r="S25" s="381"/>
      <c r="T25" s="381"/>
      <c r="U25" s="381"/>
      <c r="V25" s="381"/>
      <c r="W25" s="381"/>
      <c r="X25" s="381"/>
      <c r="Y25" s="381"/>
      <c r="Z25" s="381"/>
    </row>
    <row r="26">
      <c r="A26" s="381"/>
      <c r="B26" s="18"/>
      <c r="C26" s="359"/>
      <c r="D26" s="359"/>
      <c r="E26" s="381"/>
      <c r="F26" s="381"/>
      <c r="G26" s="381"/>
      <c r="H26" s="381"/>
      <c r="I26" s="381"/>
      <c r="J26" s="381"/>
      <c r="K26" s="381"/>
      <c r="L26" s="381"/>
      <c r="M26" s="381"/>
      <c r="N26" s="381"/>
      <c r="O26" s="381"/>
      <c r="P26" s="381"/>
      <c r="Q26" s="381"/>
      <c r="R26" s="381"/>
      <c r="S26" s="381"/>
      <c r="T26" s="381"/>
      <c r="U26" s="381"/>
      <c r="V26" s="381"/>
      <c r="W26" s="381"/>
      <c r="X26" s="381"/>
      <c r="Y26" s="381"/>
      <c r="Z26" s="381"/>
    </row>
    <row r="27">
      <c r="A27" s="381"/>
      <c r="B27" s="18"/>
      <c r="C27" s="359"/>
      <c r="D27" s="359"/>
      <c r="E27" s="381"/>
      <c r="F27" s="381"/>
      <c r="G27" s="381"/>
      <c r="H27" s="381"/>
      <c r="I27" s="381"/>
      <c r="J27" s="381"/>
      <c r="K27" s="381"/>
      <c r="L27" s="381"/>
      <c r="M27" s="381"/>
      <c r="N27" s="381"/>
      <c r="O27" s="381"/>
      <c r="P27" s="381"/>
      <c r="Q27" s="381"/>
      <c r="R27" s="381"/>
      <c r="S27" s="381"/>
      <c r="T27" s="381"/>
      <c r="U27" s="381"/>
      <c r="V27" s="381"/>
      <c r="W27" s="381"/>
      <c r="X27" s="381"/>
      <c r="Y27" s="381"/>
      <c r="Z27" s="381"/>
    </row>
    <row r="28">
      <c r="A28" s="381"/>
      <c r="B28" s="18"/>
      <c r="C28" s="359"/>
      <c r="D28" s="359"/>
      <c r="E28" s="381"/>
      <c r="F28" s="381"/>
      <c r="G28" s="381"/>
      <c r="H28" s="381"/>
      <c r="I28" s="381"/>
      <c r="J28" s="381"/>
      <c r="K28" s="381"/>
      <c r="L28" s="381"/>
      <c r="M28" s="381"/>
      <c r="N28" s="381"/>
      <c r="O28" s="381"/>
      <c r="P28" s="381"/>
      <c r="Q28" s="381"/>
      <c r="R28" s="381"/>
      <c r="S28" s="381"/>
      <c r="T28" s="381"/>
      <c r="U28" s="381"/>
      <c r="V28" s="381"/>
      <c r="W28" s="381"/>
      <c r="X28" s="381"/>
      <c r="Y28" s="381"/>
      <c r="Z28" s="381"/>
    </row>
    <row r="29">
      <c r="A29" s="381"/>
      <c r="B29" s="18"/>
      <c r="C29" s="359"/>
      <c r="D29" s="359"/>
      <c r="E29" s="381"/>
      <c r="F29" s="381"/>
      <c r="G29" s="381"/>
      <c r="H29" s="381"/>
      <c r="I29" s="381"/>
      <c r="J29" s="381"/>
      <c r="K29" s="381"/>
      <c r="L29" s="381"/>
      <c r="M29" s="381"/>
      <c r="N29" s="381"/>
      <c r="O29" s="381"/>
      <c r="P29" s="381"/>
      <c r="Q29" s="381"/>
      <c r="R29" s="381"/>
      <c r="S29" s="381"/>
      <c r="T29" s="381"/>
      <c r="U29" s="381"/>
      <c r="V29" s="381"/>
      <c r="W29" s="381"/>
      <c r="X29" s="381"/>
      <c r="Y29" s="381"/>
      <c r="Z29" s="381"/>
    </row>
    <row r="30">
      <c r="A30" s="381"/>
      <c r="B30" s="18"/>
      <c r="C30" s="359"/>
      <c r="D30" s="359"/>
      <c r="E30" s="381"/>
      <c r="F30" s="381"/>
      <c r="G30" s="381"/>
      <c r="H30" s="381"/>
      <c r="I30" s="381"/>
      <c r="J30" s="381"/>
      <c r="K30" s="381"/>
      <c r="L30" s="381"/>
      <c r="M30" s="381"/>
      <c r="N30" s="381"/>
      <c r="O30" s="381"/>
      <c r="P30" s="381"/>
      <c r="Q30" s="381"/>
      <c r="R30" s="381"/>
      <c r="S30" s="381"/>
      <c r="T30" s="381"/>
      <c r="U30" s="381"/>
      <c r="V30" s="381"/>
      <c r="W30" s="381"/>
      <c r="X30" s="381"/>
      <c r="Y30" s="381"/>
      <c r="Z30" s="381"/>
    </row>
    <row r="31">
      <c r="A31" s="381"/>
      <c r="B31" s="18"/>
      <c r="C31" s="359"/>
      <c r="D31" s="359"/>
      <c r="E31" s="381"/>
      <c r="F31" s="381"/>
      <c r="G31" s="381"/>
      <c r="H31" s="381"/>
      <c r="I31" s="381"/>
      <c r="J31" s="381"/>
      <c r="K31" s="381"/>
      <c r="L31" s="381"/>
      <c r="M31" s="381"/>
      <c r="N31" s="381"/>
      <c r="O31" s="381"/>
      <c r="P31" s="381"/>
      <c r="Q31" s="381"/>
      <c r="R31" s="381"/>
      <c r="S31" s="381"/>
      <c r="T31" s="381"/>
      <c r="U31" s="381"/>
      <c r="V31" s="381"/>
      <c r="W31" s="381"/>
      <c r="X31" s="381"/>
      <c r="Y31" s="381"/>
      <c r="Z31" s="381"/>
    </row>
    <row r="32">
      <c r="A32" s="381"/>
      <c r="B32" s="18"/>
      <c r="C32" s="359"/>
      <c r="D32" s="359"/>
      <c r="E32" s="381"/>
      <c r="F32" s="381"/>
      <c r="G32" s="381"/>
      <c r="H32" s="381"/>
      <c r="I32" s="381"/>
      <c r="J32" s="381"/>
      <c r="K32" s="381"/>
      <c r="L32" s="381"/>
      <c r="M32" s="381"/>
      <c r="N32" s="381"/>
      <c r="O32" s="381"/>
      <c r="P32" s="381"/>
      <c r="Q32" s="381"/>
      <c r="R32" s="381"/>
      <c r="S32" s="381"/>
      <c r="T32" s="381"/>
      <c r="U32" s="381"/>
      <c r="V32" s="381"/>
      <c r="W32" s="381"/>
      <c r="X32" s="381"/>
      <c r="Y32" s="381"/>
      <c r="Z32" s="381"/>
    </row>
    <row r="33">
      <c r="A33" s="381"/>
      <c r="B33" s="18"/>
      <c r="C33" s="359"/>
      <c r="D33" s="359"/>
      <c r="E33" s="381"/>
      <c r="F33" s="381"/>
      <c r="G33" s="381"/>
      <c r="H33" s="381"/>
      <c r="I33" s="381"/>
      <c r="J33" s="381"/>
      <c r="K33" s="381"/>
      <c r="L33" s="381"/>
      <c r="M33" s="381"/>
      <c r="N33" s="381"/>
      <c r="O33" s="381"/>
      <c r="P33" s="381"/>
      <c r="Q33" s="381"/>
      <c r="R33" s="381"/>
      <c r="S33" s="381"/>
      <c r="T33" s="381"/>
      <c r="U33" s="381"/>
      <c r="V33" s="381"/>
      <c r="W33" s="381"/>
      <c r="X33" s="381"/>
      <c r="Y33" s="381"/>
      <c r="Z33" s="381"/>
    </row>
    <row r="34">
      <c r="A34" s="381"/>
      <c r="B34" s="18"/>
      <c r="C34" s="359"/>
      <c r="D34" s="359"/>
      <c r="E34" s="381"/>
      <c r="F34" s="381"/>
      <c r="G34" s="381"/>
      <c r="H34" s="381"/>
      <c r="I34" s="381"/>
      <c r="J34" s="381"/>
      <c r="K34" s="381"/>
      <c r="L34" s="381"/>
      <c r="M34" s="381"/>
      <c r="N34" s="381"/>
      <c r="O34" s="381"/>
      <c r="P34" s="381"/>
      <c r="Q34" s="381"/>
      <c r="R34" s="381"/>
      <c r="S34" s="381"/>
      <c r="T34" s="381"/>
      <c r="U34" s="381"/>
      <c r="V34" s="381"/>
      <c r="W34" s="381"/>
      <c r="X34" s="381"/>
      <c r="Y34" s="381"/>
      <c r="Z34" s="381"/>
    </row>
    <row r="35">
      <c r="A35" s="381"/>
      <c r="B35" s="18"/>
      <c r="C35" s="359"/>
      <c r="D35" s="359"/>
      <c r="E35" s="381"/>
      <c r="F35" s="381"/>
      <c r="G35" s="381"/>
      <c r="H35" s="381"/>
      <c r="I35" s="381"/>
      <c r="J35" s="381"/>
      <c r="K35" s="381"/>
      <c r="L35" s="381"/>
      <c r="M35" s="381"/>
      <c r="N35" s="381"/>
      <c r="O35" s="381"/>
      <c r="P35" s="381"/>
      <c r="Q35" s="381"/>
      <c r="R35" s="381"/>
      <c r="S35" s="381"/>
      <c r="T35" s="381"/>
      <c r="U35" s="381"/>
      <c r="V35" s="381"/>
      <c r="W35" s="381"/>
      <c r="X35" s="381"/>
      <c r="Y35" s="381"/>
      <c r="Z35" s="381"/>
    </row>
    <row r="36">
      <c r="A36" s="381"/>
      <c r="B36" s="18"/>
      <c r="C36" s="359"/>
      <c r="D36" s="359"/>
      <c r="E36" s="381"/>
      <c r="F36" s="381"/>
      <c r="G36" s="381"/>
      <c r="H36" s="381"/>
      <c r="I36" s="381"/>
      <c r="J36" s="381"/>
      <c r="K36" s="381"/>
      <c r="L36" s="381"/>
      <c r="M36" s="381"/>
      <c r="N36" s="381"/>
      <c r="O36" s="381"/>
      <c r="P36" s="381"/>
      <c r="Q36" s="381"/>
      <c r="R36" s="381"/>
      <c r="S36" s="381"/>
      <c r="T36" s="381"/>
      <c r="U36" s="381"/>
      <c r="V36" s="381"/>
      <c r="W36" s="381"/>
      <c r="X36" s="381"/>
      <c r="Y36" s="381"/>
      <c r="Z36" s="381"/>
    </row>
    <row r="37">
      <c r="A37" s="381"/>
      <c r="B37" s="18"/>
      <c r="C37" s="359"/>
      <c r="D37" s="359"/>
      <c r="E37" s="381"/>
      <c r="F37" s="381"/>
      <c r="G37" s="381"/>
      <c r="H37" s="381"/>
      <c r="I37" s="381"/>
      <c r="J37" s="381"/>
      <c r="K37" s="381"/>
      <c r="L37" s="381"/>
      <c r="M37" s="381"/>
      <c r="N37" s="381"/>
      <c r="O37" s="381"/>
      <c r="P37" s="381"/>
      <c r="Q37" s="381"/>
      <c r="R37" s="381"/>
      <c r="S37" s="381"/>
      <c r="T37" s="381"/>
      <c r="U37" s="381"/>
      <c r="V37" s="381"/>
      <c r="W37" s="381"/>
      <c r="X37" s="381"/>
      <c r="Y37" s="381"/>
      <c r="Z37" s="381"/>
    </row>
    <row r="38">
      <c r="A38" s="381"/>
      <c r="B38" s="18"/>
      <c r="C38" s="359"/>
      <c r="D38" s="359"/>
      <c r="E38" s="381"/>
      <c r="F38" s="381"/>
      <c r="G38" s="381"/>
      <c r="H38" s="381"/>
      <c r="I38" s="381"/>
      <c r="J38" s="381"/>
      <c r="K38" s="381"/>
      <c r="L38" s="381"/>
      <c r="M38" s="381"/>
      <c r="N38" s="381"/>
      <c r="O38" s="381"/>
      <c r="P38" s="381"/>
      <c r="Q38" s="381"/>
      <c r="R38" s="381"/>
      <c r="S38" s="381"/>
      <c r="T38" s="381"/>
      <c r="U38" s="381"/>
      <c r="V38" s="381"/>
      <c r="W38" s="381"/>
      <c r="X38" s="381"/>
      <c r="Y38" s="381"/>
      <c r="Z38" s="381"/>
    </row>
    <row r="39">
      <c r="A39" s="381"/>
      <c r="B39" s="18"/>
      <c r="C39" s="359"/>
      <c r="D39" s="359"/>
      <c r="E39" s="381"/>
      <c r="F39" s="381"/>
      <c r="G39" s="381"/>
      <c r="H39" s="381"/>
      <c r="I39" s="381"/>
      <c r="J39" s="381"/>
      <c r="K39" s="381"/>
      <c r="L39" s="381"/>
      <c r="M39" s="381"/>
      <c r="N39" s="381"/>
      <c r="O39" s="381"/>
      <c r="P39" s="381"/>
      <c r="Q39" s="381"/>
      <c r="R39" s="381"/>
      <c r="S39" s="381"/>
      <c r="T39" s="381"/>
      <c r="U39" s="381"/>
      <c r="V39" s="381"/>
      <c r="W39" s="381"/>
      <c r="X39" s="381"/>
      <c r="Y39" s="381"/>
      <c r="Z39" s="381"/>
    </row>
    <row r="40">
      <c r="A40" s="381"/>
      <c r="B40" s="18"/>
      <c r="C40" s="359"/>
      <c r="D40" s="359"/>
      <c r="E40" s="381"/>
      <c r="F40" s="381"/>
      <c r="G40" s="381"/>
      <c r="H40" s="381"/>
      <c r="I40" s="381"/>
      <c r="J40" s="381"/>
      <c r="K40" s="381"/>
      <c r="L40" s="381"/>
      <c r="M40" s="381"/>
      <c r="N40" s="381"/>
      <c r="O40" s="381"/>
      <c r="P40" s="381"/>
      <c r="Q40" s="381"/>
      <c r="R40" s="381"/>
      <c r="S40" s="381"/>
      <c r="T40" s="381"/>
      <c r="U40" s="381"/>
      <c r="V40" s="381"/>
      <c r="W40" s="381"/>
      <c r="X40" s="381"/>
      <c r="Y40" s="381"/>
      <c r="Z40" s="381"/>
    </row>
    <row r="41">
      <c r="A41" s="381"/>
      <c r="B41" s="18"/>
      <c r="C41" s="359"/>
      <c r="D41" s="359"/>
      <c r="E41" s="381"/>
      <c r="F41" s="381"/>
      <c r="G41" s="381"/>
      <c r="H41" s="381"/>
      <c r="I41" s="381"/>
      <c r="J41" s="381"/>
      <c r="K41" s="381"/>
      <c r="L41" s="381"/>
      <c r="M41" s="381"/>
      <c r="N41" s="381"/>
      <c r="O41" s="381"/>
      <c r="P41" s="381"/>
      <c r="Q41" s="381"/>
      <c r="R41" s="381"/>
      <c r="S41" s="381"/>
      <c r="T41" s="381"/>
      <c r="U41" s="381"/>
      <c r="V41" s="381"/>
      <c r="W41" s="381"/>
      <c r="X41" s="381"/>
      <c r="Y41" s="381"/>
      <c r="Z41" s="381"/>
    </row>
    <row r="42">
      <c r="A42" s="381"/>
      <c r="B42" s="18"/>
      <c r="C42" s="359"/>
      <c r="D42" s="359"/>
      <c r="E42" s="381"/>
      <c r="F42" s="381"/>
      <c r="G42" s="381"/>
      <c r="H42" s="381"/>
      <c r="I42" s="381"/>
      <c r="J42" s="381"/>
      <c r="K42" s="381"/>
      <c r="L42" s="381"/>
      <c r="M42" s="381"/>
      <c r="N42" s="381"/>
      <c r="O42" s="381"/>
      <c r="P42" s="381"/>
      <c r="Q42" s="381"/>
      <c r="R42" s="381"/>
      <c r="S42" s="381"/>
      <c r="T42" s="381"/>
      <c r="U42" s="381"/>
      <c r="V42" s="381"/>
      <c r="W42" s="381"/>
      <c r="X42" s="381"/>
      <c r="Y42" s="381"/>
      <c r="Z42" s="381"/>
    </row>
    <row r="43">
      <c r="A43" s="381"/>
      <c r="B43" s="18"/>
      <c r="C43" s="359"/>
      <c r="D43" s="359"/>
      <c r="E43" s="381"/>
      <c r="F43" s="381"/>
      <c r="G43" s="381"/>
      <c r="H43" s="381"/>
      <c r="I43" s="381"/>
      <c r="J43" s="381"/>
      <c r="K43" s="381"/>
      <c r="L43" s="381"/>
      <c r="M43" s="381"/>
      <c r="N43" s="381"/>
      <c r="O43" s="381"/>
      <c r="P43" s="381"/>
      <c r="Q43" s="381"/>
      <c r="R43" s="381"/>
      <c r="S43" s="381"/>
      <c r="T43" s="381"/>
      <c r="U43" s="381"/>
      <c r="V43" s="381"/>
      <c r="W43" s="381"/>
      <c r="X43" s="381"/>
      <c r="Y43" s="381"/>
      <c r="Z43" s="381"/>
    </row>
    <row r="44">
      <c r="A44" s="381"/>
      <c r="B44" s="18"/>
      <c r="C44" s="359"/>
      <c r="D44" s="359"/>
      <c r="E44" s="381"/>
      <c r="F44" s="381"/>
      <c r="G44" s="381"/>
      <c r="H44" s="381"/>
      <c r="I44" s="381"/>
      <c r="J44" s="381"/>
      <c r="K44" s="381"/>
      <c r="L44" s="381"/>
      <c r="M44" s="381"/>
      <c r="N44" s="381"/>
      <c r="O44" s="381"/>
      <c r="P44" s="381"/>
      <c r="Q44" s="381"/>
      <c r="R44" s="381"/>
      <c r="S44" s="381"/>
      <c r="T44" s="381"/>
      <c r="U44" s="381"/>
      <c r="V44" s="381"/>
      <c r="W44" s="381"/>
      <c r="X44" s="381"/>
      <c r="Y44" s="381"/>
      <c r="Z44" s="381"/>
    </row>
    <row r="45">
      <c r="A45" s="381"/>
      <c r="B45" s="18"/>
      <c r="C45" s="359"/>
      <c r="D45" s="359"/>
      <c r="E45" s="381"/>
      <c r="F45" s="381"/>
      <c r="G45" s="381"/>
      <c r="H45" s="381"/>
      <c r="I45" s="381"/>
      <c r="J45" s="381"/>
      <c r="K45" s="381"/>
      <c r="L45" s="381"/>
      <c r="M45" s="381"/>
      <c r="N45" s="381"/>
      <c r="O45" s="381"/>
      <c r="P45" s="381"/>
      <c r="Q45" s="381"/>
      <c r="R45" s="381"/>
      <c r="S45" s="381"/>
      <c r="T45" s="381"/>
      <c r="U45" s="381"/>
      <c r="V45" s="381"/>
      <c r="W45" s="381"/>
      <c r="X45" s="381"/>
      <c r="Y45" s="381"/>
      <c r="Z45" s="381"/>
    </row>
    <row r="46">
      <c r="A46" s="381"/>
      <c r="B46" s="18"/>
      <c r="C46" s="359"/>
      <c r="D46" s="359"/>
      <c r="E46" s="381"/>
      <c r="F46" s="381"/>
      <c r="G46" s="381"/>
      <c r="H46" s="381"/>
      <c r="I46" s="381"/>
      <c r="J46" s="381"/>
      <c r="K46" s="381"/>
      <c r="L46" s="381"/>
      <c r="M46" s="381"/>
      <c r="N46" s="381"/>
      <c r="O46" s="381"/>
      <c r="P46" s="381"/>
      <c r="Q46" s="381"/>
      <c r="R46" s="381"/>
      <c r="S46" s="381"/>
      <c r="T46" s="381"/>
      <c r="U46" s="381"/>
      <c r="V46" s="381"/>
      <c r="W46" s="381"/>
      <c r="X46" s="381"/>
      <c r="Y46" s="381"/>
      <c r="Z46" s="381"/>
    </row>
    <row r="47">
      <c r="A47" s="381"/>
      <c r="B47" s="18"/>
      <c r="C47" s="359"/>
      <c r="D47" s="359"/>
      <c r="E47" s="381"/>
      <c r="F47" s="381"/>
      <c r="G47" s="381"/>
      <c r="H47" s="381"/>
      <c r="I47" s="381"/>
      <c r="J47" s="381"/>
      <c r="K47" s="381"/>
      <c r="L47" s="381"/>
      <c r="M47" s="381"/>
      <c r="N47" s="381"/>
      <c r="O47" s="381"/>
      <c r="P47" s="381"/>
      <c r="Q47" s="381"/>
      <c r="R47" s="381"/>
      <c r="S47" s="381"/>
      <c r="T47" s="381"/>
      <c r="U47" s="381"/>
      <c r="V47" s="381"/>
      <c r="W47" s="381"/>
      <c r="X47" s="381"/>
      <c r="Y47" s="381"/>
      <c r="Z47" s="381"/>
    </row>
    <row r="48">
      <c r="A48" s="381"/>
      <c r="B48" s="18"/>
      <c r="C48" s="359"/>
      <c r="D48" s="359"/>
      <c r="E48" s="381"/>
      <c r="F48" s="381"/>
      <c r="G48" s="381"/>
      <c r="H48" s="381"/>
      <c r="I48" s="381"/>
      <c r="J48" s="381"/>
      <c r="K48" s="381"/>
      <c r="L48" s="381"/>
      <c r="M48" s="381"/>
      <c r="N48" s="381"/>
      <c r="O48" s="381"/>
      <c r="P48" s="381"/>
      <c r="Q48" s="381"/>
      <c r="R48" s="381"/>
      <c r="S48" s="381"/>
      <c r="T48" s="381"/>
      <c r="U48" s="381"/>
      <c r="V48" s="381"/>
      <c r="W48" s="381"/>
      <c r="X48" s="381"/>
      <c r="Y48" s="381"/>
      <c r="Z48" s="381"/>
    </row>
    <row r="49">
      <c r="A49" s="381"/>
      <c r="B49" s="18"/>
      <c r="C49" s="359"/>
      <c r="D49" s="359"/>
      <c r="E49" s="381"/>
      <c r="F49" s="381"/>
      <c r="G49" s="381"/>
      <c r="H49" s="381"/>
      <c r="I49" s="381"/>
      <c r="J49" s="381"/>
      <c r="K49" s="381"/>
      <c r="L49" s="381"/>
      <c r="M49" s="381"/>
      <c r="N49" s="381"/>
      <c r="O49" s="381"/>
      <c r="P49" s="381"/>
      <c r="Q49" s="381"/>
      <c r="R49" s="381"/>
      <c r="S49" s="381"/>
      <c r="T49" s="381"/>
      <c r="U49" s="381"/>
      <c r="V49" s="381"/>
      <c r="W49" s="381"/>
      <c r="X49" s="381"/>
      <c r="Y49" s="381"/>
      <c r="Z49" s="381"/>
    </row>
    <row r="50">
      <c r="A50" s="381"/>
      <c r="B50" s="18"/>
      <c r="C50" s="359"/>
      <c r="D50" s="359"/>
      <c r="E50" s="381"/>
      <c r="F50" s="381"/>
      <c r="G50" s="381"/>
      <c r="H50" s="381"/>
      <c r="I50" s="381"/>
      <c r="J50" s="381"/>
      <c r="K50" s="381"/>
      <c r="L50" s="381"/>
      <c r="M50" s="381"/>
      <c r="N50" s="381"/>
      <c r="O50" s="381"/>
      <c r="P50" s="381"/>
      <c r="Q50" s="381"/>
      <c r="R50" s="381"/>
      <c r="S50" s="381"/>
      <c r="T50" s="381"/>
      <c r="U50" s="381"/>
      <c r="V50" s="381"/>
      <c r="W50" s="381"/>
      <c r="X50" s="381"/>
      <c r="Y50" s="381"/>
      <c r="Z50" s="381"/>
    </row>
    <row r="51">
      <c r="A51" s="381"/>
      <c r="B51" s="18"/>
      <c r="C51" s="359"/>
      <c r="D51" s="359"/>
      <c r="E51" s="381"/>
      <c r="F51" s="381"/>
      <c r="G51" s="381"/>
      <c r="H51" s="381"/>
      <c r="I51" s="381"/>
      <c r="J51" s="381"/>
      <c r="K51" s="381"/>
      <c r="L51" s="381"/>
      <c r="M51" s="381"/>
      <c r="N51" s="381"/>
      <c r="O51" s="381"/>
      <c r="P51" s="381"/>
      <c r="Q51" s="381"/>
      <c r="R51" s="381"/>
      <c r="S51" s="381"/>
      <c r="T51" s="381"/>
      <c r="U51" s="381"/>
      <c r="V51" s="381"/>
      <c r="W51" s="381"/>
      <c r="X51" s="381"/>
      <c r="Y51" s="381"/>
      <c r="Z51" s="381"/>
    </row>
    <row r="52">
      <c r="A52" s="381"/>
      <c r="B52" s="18"/>
      <c r="C52" s="359"/>
      <c r="D52" s="359"/>
      <c r="E52" s="381"/>
      <c r="F52" s="381"/>
      <c r="G52" s="381"/>
      <c r="H52" s="381"/>
      <c r="I52" s="381"/>
      <c r="J52" s="381"/>
      <c r="K52" s="381"/>
      <c r="L52" s="381"/>
      <c r="M52" s="381"/>
      <c r="N52" s="381"/>
      <c r="O52" s="381"/>
      <c r="P52" s="381"/>
      <c r="Q52" s="381"/>
      <c r="R52" s="381"/>
      <c r="S52" s="381"/>
      <c r="T52" s="381"/>
      <c r="U52" s="381"/>
      <c r="V52" s="381"/>
      <c r="W52" s="381"/>
      <c r="X52" s="381"/>
      <c r="Y52" s="381"/>
      <c r="Z52" s="381"/>
    </row>
    <row r="53">
      <c r="A53" s="381"/>
      <c r="B53" s="18"/>
      <c r="C53" s="359"/>
      <c r="D53" s="359"/>
      <c r="E53" s="381"/>
      <c r="F53" s="381"/>
      <c r="G53" s="381"/>
      <c r="H53" s="381"/>
      <c r="I53" s="381"/>
      <c r="J53" s="381"/>
      <c r="K53" s="381"/>
      <c r="L53" s="381"/>
      <c r="M53" s="381"/>
      <c r="N53" s="381"/>
      <c r="O53" s="381"/>
      <c r="P53" s="381"/>
      <c r="Q53" s="381"/>
      <c r="R53" s="381"/>
      <c r="S53" s="381"/>
      <c r="T53" s="381"/>
      <c r="U53" s="381"/>
      <c r="V53" s="381"/>
      <c r="W53" s="381"/>
      <c r="X53" s="381"/>
      <c r="Y53" s="381"/>
      <c r="Z53" s="381"/>
    </row>
    <row r="54">
      <c r="A54" s="381"/>
      <c r="B54" s="18"/>
      <c r="C54" s="359"/>
      <c r="D54" s="359"/>
      <c r="E54" s="381"/>
      <c r="F54" s="381"/>
      <c r="G54" s="381"/>
      <c r="H54" s="381"/>
      <c r="I54" s="381"/>
      <c r="J54" s="381"/>
      <c r="K54" s="381"/>
      <c r="L54" s="381"/>
      <c r="M54" s="381"/>
      <c r="N54" s="381"/>
      <c r="O54" s="381"/>
      <c r="P54" s="381"/>
      <c r="Q54" s="381"/>
      <c r="R54" s="381"/>
      <c r="S54" s="381"/>
      <c r="T54" s="381"/>
      <c r="U54" s="381"/>
      <c r="V54" s="381"/>
      <c r="W54" s="381"/>
      <c r="X54" s="381"/>
      <c r="Y54" s="381"/>
      <c r="Z54" s="381"/>
    </row>
    <row r="55">
      <c r="A55" s="381"/>
      <c r="B55" s="18"/>
      <c r="C55" s="359"/>
      <c r="D55" s="359"/>
      <c r="E55" s="381"/>
      <c r="F55" s="381"/>
      <c r="G55" s="381"/>
      <c r="H55" s="381"/>
      <c r="I55" s="381"/>
      <c r="J55" s="381"/>
      <c r="K55" s="381"/>
      <c r="L55" s="381"/>
      <c r="M55" s="381"/>
      <c r="N55" s="381"/>
      <c r="O55" s="381"/>
      <c r="P55" s="381"/>
      <c r="Q55" s="381"/>
      <c r="R55" s="381"/>
      <c r="S55" s="381"/>
      <c r="T55" s="381"/>
      <c r="U55" s="381"/>
      <c r="V55" s="381"/>
      <c r="W55" s="381"/>
      <c r="X55" s="381"/>
      <c r="Y55" s="381"/>
      <c r="Z55" s="381"/>
    </row>
    <row r="56">
      <c r="A56" s="381"/>
      <c r="B56" s="18"/>
      <c r="C56" s="359"/>
      <c r="D56" s="359"/>
      <c r="E56" s="381"/>
      <c r="F56" s="381"/>
      <c r="G56" s="381"/>
      <c r="H56" s="381"/>
      <c r="I56" s="381"/>
      <c r="J56" s="381"/>
      <c r="K56" s="381"/>
      <c r="L56" s="381"/>
      <c r="M56" s="381"/>
      <c r="N56" s="381"/>
      <c r="O56" s="381"/>
      <c r="P56" s="381"/>
      <c r="Q56" s="381"/>
      <c r="R56" s="381"/>
      <c r="S56" s="381"/>
      <c r="T56" s="381"/>
      <c r="U56" s="381"/>
      <c r="V56" s="381"/>
      <c r="W56" s="381"/>
      <c r="X56" s="381"/>
      <c r="Y56" s="381"/>
      <c r="Z56" s="381"/>
    </row>
    <row r="57">
      <c r="A57" s="381"/>
      <c r="B57" s="18"/>
      <c r="C57" s="359"/>
      <c r="D57" s="359"/>
      <c r="E57" s="381"/>
      <c r="F57" s="381"/>
      <c r="G57" s="381"/>
      <c r="H57" s="381"/>
      <c r="I57" s="381"/>
      <c r="J57" s="381"/>
      <c r="K57" s="381"/>
      <c r="L57" s="381"/>
      <c r="M57" s="381"/>
      <c r="N57" s="381"/>
      <c r="O57" s="381"/>
      <c r="P57" s="381"/>
      <c r="Q57" s="381"/>
      <c r="R57" s="381"/>
      <c r="S57" s="381"/>
      <c r="T57" s="381"/>
      <c r="U57" s="381"/>
      <c r="V57" s="381"/>
      <c r="W57" s="381"/>
      <c r="X57" s="381"/>
      <c r="Y57" s="381"/>
      <c r="Z57" s="381"/>
    </row>
    <row r="58">
      <c r="A58" s="381"/>
      <c r="B58" s="18"/>
      <c r="C58" s="359"/>
      <c r="D58" s="359"/>
      <c r="E58" s="381"/>
      <c r="F58" s="381"/>
      <c r="G58" s="381"/>
      <c r="H58" s="381"/>
      <c r="I58" s="381"/>
      <c r="J58" s="381"/>
      <c r="K58" s="381"/>
      <c r="L58" s="381"/>
      <c r="M58" s="381"/>
      <c r="N58" s="381"/>
      <c r="O58" s="381"/>
      <c r="P58" s="381"/>
      <c r="Q58" s="381"/>
      <c r="R58" s="381"/>
      <c r="S58" s="381"/>
      <c r="T58" s="381"/>
      <c r="U58" s="381"/>
      <c r="V58" s="381"/>
      <c r="W58" s="381"/>
      <c r="X58" s="381"/>
      <c r="Y58" s="381"/>
      <c r="Z58" s="381"/>
    </row>
    <row r="59">
      <c r="A59" s="381"/>
      <c r="B59" s="18"/>
      <c r="C59" s="359"/>
      <c r="D59" s="359"/>
      <c r="E59" s="381"/>
      <c r="F59" s="381"/>
      <c r="G59" s="381"/>
      <c r="H59" s="381"/>
      <c r="I59" s="381"/>
      <c r="J59" s="381"/>
      <c r="K59" s="381"/>
      <c r="L59" s="381"/>
      <c r="M59" s="381"/>
      <c r="N59" s="381"/>
      <c r="O59" s="381"/>
      <c r="P59" s="381"/>
      <c r="Q59" s="381"/>
      <c r="R59" s="381"/>
      <c r="S59" s="381"/>
      <c r="T59" s="381"/>
      <c r="U59" s="381"/>
      <c r="V59" s="381"/>
      <c r="W59" s="381"/>
      <c r="X59" s="381"/>
      <c r="Y59" s="381"/>
      <c r="Z59" s="381"/>
    </row>
    <row r="60">
      <c r="A60" s="381"/>
      <c r="B60" s="18"/>
      <c r="C60" s="359"/>
      <c r="D60" s="359"/>
      <c r="E60" s="381"/>
      <c r="F60" s="381"/>
      <c r="G60" s="381"/>
      <c r="H60" s="381"/>
      <c r="I60" s="381"/>
      <c r="J60" s="381"/>
      <c r="K60" s="381"/>
      <c r="L60" s="381"/>
      <c r="M60" s="381"/>
      <c r="N60" s="381"/>
      <c r="O60" s="381"/>
      <c r="P60" s="381"/>
      <c r="Q60" s="381"/>
      <c r="R60" s="381"/>
      <c r="S60" s="381"/>
      <c r="T60" s="381"/>
      <c r="U60" s="381"/>
      <c r="V60" s="381"/>
      <c r="W60" s="381"/>
      <c r="X60" s="381"/>
      <c r="Y60" s="381"/>
      <c r="Z60" s="381"/>
    </row>
    <row r="61">
      <c r="A61" s="381"/>
      <c r="B61" s="18"/>
      <c r="C61" s="359"/>
      <c r="D61" s="359"/>
      <c r="E61" s="381"/>
      <c r="F61" s="381"/>
      <c r="G61" s="381"/>
      <c r="H61" s="381"/>
      <c r="I61" s="381"/>
      <c r="J61" s="381"/>
      <c r="K61" s="381"/>
      <c r="L61" s="381"/>
      <c r="M61" s="381"/>
      <c r="N61" s="381"/>
      <c r="O61" s="381"/>
      <c r="P61" s="381"/>
      <c r="Q61" s="381"/>
      <c r="R61" s="381"/>
      <c r="S61" s="381"/>
      <c r="T61" s="381"/>
      <c r="U61" s="381"/>
      <c r="V61" s="381"/>
      <c r="W61" s="381"/>
      <c r="X61" s="381"/>
      <c r="Y61" s="381"/>
      <c r="Z61" s="381"/>
    </row>
    <row r="62">
      <c r="A62" s="381"/>
      <c r="B62" s="18"/>
      <c r="C62" s="359"/>
      <c r="D62" s="359"/>
      <c r="E62" s="381"/>
      <c r="F62" s="381"/>
      <c r="G62" s="381"/>
      <c r="H62" s="381"/>
      <c r="I62" s="381"/>
      <c r="J62" s="381"/>
      <c r="K62" s="381"/>
      <c r="L62" s="381"/>
      <c r="M62" s="381"/>
      <c r="N62" s="381"/>
      <c r="O62" s="381"/>
      <c r="P62" s="381"/>
      <c r="Q62" s="381"/>
      <c r="R62" s="381"/>
      <c r="S62" s="381"/>
      <c r="T62" s="381"/>
      <c r="U62" s="381"/>
      <c r="V62" s="381"/>
      <c r="W62" s="381"/>
      <c r="X62" s="381"/>
      <c r="Y62" s="381"/>
      <c r="Z62" s="381"/>
    </row>
    <row r="63">
      <c r="A63" s="381"/>
      <c r="B63" s="18"/>
      <c r="C63" s="359"/>
      <c r="D63" s="359"/>
      <c r="E63" s="381"/>
      <c r="F63" s="381"/>
      <c r="G63" s="381"/>
      <c r="H63" s="381"/>
      <c r="I63" s="381"/>
      <c r="J63" s="381"/>
      <c r="K63" s="381"/>
      <c r="L63" s="381"/>
      <c r="M63" s="381"/>
      <c r="N63" s="381"/>
      <c r="O63" s="381"/>
      <c r="P63" s="381"/>
      <c r="Q63" s="381"/>
      <c r="R63" s="381"/>
      <c r="S63" s="381"/>
      <c r="T63" s="381"/>
      <c r="U63" s="381"/>
      <c r="V63" s="381"/>
      <c r="W63" s="381"/>
      <c r="X63" s="381"/>
      <c r="Y63" s="381"/>
      <c r="Z63" s="381"/>
    </row>
    <row r="64">
      <c r="A64" s="381"/>
      <c r="B64" s="18"/>
      <c r="C64" s="359"/>
      <c r="D64" s="359"/>
      <c r="E64" s="381"/>
      <c r="F64" s="381"/>
      <c r="G64" s="381"/>
      <c r="H64" s="381"/>
      <c r="I64" s="381"/>
      <c r="J64" s="381"/>
      <c r="K64" s="381"/>
      <c r="L64" s="381"/>
      <c r="M64" s="381"/>
      <c r="N64" s="381"/>
      <c r="O64" s="381"/>
      <c r="P64" s="381"/>
      <c r="Q64" s="381"/>
      <c r="R64" s="381"/>
      <c r="S64" s="381"/>
      <c r="T64" s="381"/>
      <c r="U64" s="381"/>
      <c r="V64" s="381"/>
      <c r="W64" s="381"/>
      <c r="X64" s="381"/>
      <c r="Y64" s="381"/>
      <c r="Z64" s="381"/>
    </row>
    <row r="65">
      <c r="A65" s="381"/>
      <c r="B65" s="18"/>
      <c r="C65" s="359"/>
      <c r="D65" s="359"/>
      <c r="E65" s="381"/>
      <c r="F65" s="381"/>
      <c r="G65" s="381"/>
      <c r="H65" s="381"/>
      <c r="I65" s="381"/>
      <c r="J65" s="381"/>
      <c r="K65" s="381"/>
      <c r="L65" s="381"/>
      <c r="M65" s="381"/>
      <c r="N65" s="381"/>
      <c r="O65" s="381"/>
      <c r="P65" s="381"/>
      <c r="Q65" s="381"/>
      <c r="R65" s="381"/>
      <c r="S65" s="381"/>
      <c r="T65" s="381"/>
      <c r="U65" s="381"/>
      <c r="V65" s="381"/>
      <c r="W65" s="381"/>
      <c r="X65" s="381"/>
      <c r="Y65" s="381"/>
      <c r="Z65" s="381"/>
    </row>
    <row r="66">
      <c r="A66" s="381"/>
      <c r="B66" s="18"/>
      <c r="C66" s="359"/>
      <c r="D66" s="359"/>
      <c r="E66" s="381"/>
      <c r="F66" s="381"/>
      <c r="G66" s="381"/>
      <c r="H66" s="381"/>
      <c r="I66" s="381"/>
      <c r="J66" s="381"/>
      <c r="K66" s="381"/>
      <c r="L66" s="381"/>
      <c r="M66" s="381"/>
      <c r="N66" s="381"/>
      <c r="O66" s="381"/>
      <c r="P66" s="381"/>
      <c r="Q66" s="381"/>
      <c r="R66" s="381"/>
      <c r="S66" s="381"/>
      <c r="T66" s="381"/>
      <c r="U66" s="381"/>
      <c r="V66" s="381"/>
      <c r="W66" s="381"/>
      <c r="X66" s="381"/>
      <c r="Y66" s="381"/>
      <c r="Z66" s="381"/>
    </row>
    <row r="67">
      <c r="A67" s="381"/>
      <c r="B67" s="18"/>
      <c r="C67" s="359"/>
      <c r="D67" s="359"/>
      <c r="E67" s="381"/>
      <c r="F67" s="381"/>
      <c r="G67" s="381"/>
      <c r="H67" s="381"/>
      <c r="I67" s="381"/>
      <c r="J67" s="381"/>
      <c r="K67" s="381"/>
      <c r="L67" s="381"/>
      <c r="M67" s="381"/>
      <c r="N67" s="381"/>
      <c r="O67" s="381"/>
      <c r="P67" s="381"/>
      <c r="Q67" s="381"/>
      <c r="R67" s="381"/>
      <c r="S67" s="381"/>
      <c r="T67" s="381"/>
      <c r="U67" s="381"/>
      <c r="V67" s="381"/>
      <c r="W67" s="381"/>
      <c r="X67" s="381"/>
      <c r="Y67" s="381"/>
      <c r="Z67" s="381"/>
    </row>
    <row r="68">
      <c r="A68" s="381"/>
      <c r="B68" s="18"/>
      <c r="C68" s="359"/>
      <c r="D68" s="359"/>
      <c r="E68" s="381"/>
      <c r="F68" s="381"/>
      <c r="G68" s="381"/>
      <c r="H68" s="381"/>
      <c r="I68" s="381"/>
      <c r="J68" s="381"/>
      <c r="K68" s="381"/>
      <c r="L68" s="381"/>
      <c r="M68" s="381"/>
      <c r="N68" s="381"/>
      <c r="O68" s="381"/>
      <c r="P68" s="381"/>
      <c r="Q68" s="381"/>
      <c r="R68" s="381"/>
      <c r="S68" s="381"/>
      <c r="T68" s="381"/>
      <c r="U68" s="381"/>
      <c r="V68" s="381"/>
      <c r="W68" s="381"/>
      <c r="X68" s="381"/>
      <c r="Y68" s="381"/>
      <c r="Z68" s="381"/>
    </row>
    <row r="69">
      <c r="A69" s="381"/>
      <c r="B69" s="18"/>
      <c r="C69" s="359"/>
      <c r="D69" s="359"/>
      <c r="E69" s="381"/>
      <c r="F69" s="381"/>
      <c r="G69" s="381"/>
      <c r="H69" s="381"/>
      <c r="I69" s="381"/>
      <c r="J69" s="381"/>
      <c r="K69" s="381"/>
      <c r="L69" s="381"/>
      <c r="M69" s="381"/>
      <c r="N69" s="381"/>
      <c r="O69" s="381"/>
      <c r="P69" s="381"/>
      <c r="Q69" s="381"/>
      <c r="R69" s="381"/>
      <c r="S69" s="381"/>
      <c r="T69" s="381"/>
      <c r="U69" s="381"/>
      <c r="V69" s="381"/>
      <c r="W69" s="381"/>
      <c r="X69" s="381"/>
      <c r="Y69" s="381"/>
      <c r="Z69" s="381"/>
    </row>
    <row r="70">
      <c r="A70" s="381"/>
      <c r="B70" s="18"/>
      <c r="C70" s="359"/>
      <c r="D70" s="359"/>
      <c r="E70" s="381"/>
      <c r="F70" s="381"/>
      <c r="G70" s="381"/>
      <c r="H70" s="381"/>
      <c r="I70" s="381"/>
      <c r="J70" s="381"/>
      <c r="K70" s="381"/>
      <c r="L70" s="381"/>
      <c r="M70" s="381"/>
      <c r="N70" s="381"/>
      <c r="O70" s="381"/>
      <c r="P70" s="381"/>
      <c r="Q70" s="381"/>
      <c r="R70" s="381"/>
      <c r="S70" s="381"/>
      <c r="T70" s="381"/>
      <c r="U70" s="381"/>
      <c r="V70" s="381"/>
      <c r="W70" s="381"/>
      <c r="X70" s="381"/>
      <c r="Y70" s="381"/>
      <c r="Z70" s="381"/>
    </row>
    <row r="71">
      <c r="A71" s="381"/>
      <c r="B71" s="18"/>
      <c r="C71" s="359"/>
      <c r="D71" s="359"/>
      <c r="E71" s="381"/>
      <c r="F71" s="381"/>
      <c r="G71" s="381"/>
      <c r="H71" s="381"/>
      <c r="I71" s="381"/>
      <c r="J71" s="381"/>
      <c r="K71" s="381"/>
      <c r="L71" s="381"/>
      <c r="M71" s="381"/>
      <c r="N71" s="381"/>
      <c r="O71" s="381"/>
      <c r="P71" s="381"/>
      <c r="Q71" s="381"/>
      <c r="R71" s="381"/>
      <c r="S71" s="381"/>
      <c r="T71" s="381"/>
      <c r="U71" s="381"/>
      <c r="V71" s="381"/>
      <c r="W71" s="381"/>
      <c r="X71" s="381"/>
      <c r="Y71" s="381"/>
      <c r="Z71" s="381"/>
    </row>
    <row r="72">
      <c r="A72" s="381"/>
      <c r="B72" s="18"/>
      <c r="C72" s="359"/>
      <c r="D72" s="359"/>
      <c r="E72" s="381"/>
      <c r="F72" s="381"/>
      <c r="G72" s="381"/>
      <c r="H72" s="381"/>
      <c r="I72" s="381"/>
      <c r="J72" s="381"/>
      <c r="K72" s="381"/>
      <c r="L72" s="381"/>
      <c r="M72" s="381"/>
      <c r="N72" s="381"/>
      <c r="O72" s="381"/>
      <c r="P72" s="381"/>
      <c r="Q72" s="381"/>
      <c r="R72" s="381"/>
      <c r="S72" s="381"/>
      <c r="T72" s="381"/>
      <c r="U72" s="381"/>
      <c r="V72" s="381"/>
      <c r="W72" s="381"/>
      <c r="X72" s="381"/>
      <c r="Y72" s="381"/>
      <c r="Z72" s="381"/>
    </row>
    <row r="73">
      <c r="A73" s="381"/>
      <c r="B73" s="18"/>
      <c r="C73" s="359"/>
      <c r="D73" s="359"/>
      <c r="E73" s="381"/>
      <c r="F73" s="381"/>
      <c r="G73" s="381"/>
      <c r="H73" s="381"/>
      <c r="I73" s="381"/>
      <c r="J73" s="381"/>
      <c r="K73" s="381"/>
      <c r="L73" s="381"/>
      <c r="M73" s="381"/>
      <c r="N73" s="381"/>
      <c r="O73" s="381"/>
      <c r="P73" s="381"/>
      <c r="Q73" s="381"/>
      <c r="R73" s="381"/>
      <c r="S73" s="381"/>
      <c r="T73" s="381"/>
      <c r="U73" s="381"/>
      <c r="V73" s="381"/>
      <c r="W73" s="381"/>
      <c r="X73" s="381"/>
      <c r="Y73" s="381"/>
      <c r="Z73" s="381"/>
    </row>
    <row r="74">
      <c r="A74" s="381"/>
      <c r="B74" s="18"/>
      <c r="C74" s="359"/>
      <c r="D74" s="359"/>
      <c r="E74" s="381"/>
      <c r="F74" s="381"/>
      <c r="G74" s="381"/>
      <c r="H74" s="381"/>
      <c r="I74" s="381"/>
      <c r="J74" s="381"/>
      <c r="K74" s="381"/>
      <c r="L74" s="381"/>
      <c r="M74" s="381"/>
      <c r="N74" s="381"/>
      <c r="O74" s="381"/>
      <c r="P74" s="381"/>
      <c r="Q74" s="381"/>
      <c r="R74" s="381"/>
      <c r="S74" s="381"/>
      <c r="T74" s="381"/>
      <c r="U74" s="381"/>
      <c r="V74" s="381"/>
      <c r="W74" s="381"/>
      <c r="X74" s="381"/>
      <c r="Y74" s="381"/>
      <c r="Z74" s="381"/>
    </row>
    <row r="75">
      <c r="A75" s="381"/>
      <c r="B75" s="18"/>
      <c r="C75" s="359"/>
      <c r="D75" s="359"/>
      <c r="E75" s="381"/>
      <c r="F75" s="381"/>
      <c r="G75" s="381"/>
      <c r="H75" s="381"/>
      <c r="I75" s="381"/>
      <c r="J75" s="381"/>
      <c r="K75" s="381"/>
      <c r="L75" s="381"/>
      <c r="M75" s="381"/>
      <c r="N75" s="381"/>
      <c r="O75" s="381"/>
      <c r="P75" s="381"/>
      <c r="Q75" s="381"/>
      <c r="R75" s="381"/>
      <c r="S75" s="381"/>
      <c r="T75" s="381"/>
      <c r="U75" s="381"/>
      <c r="V75" s="381"/>
      <c r="W75" s="381"/>
      <c r="X75" s="381"/>
      <c r="Y75" s="381"/>
      <c r="Z75" s="381"/>
    </row>
    <row r="76">
      <c r="A76" s="381"/>
      <c r="B76" s="18"/>
      <c r="C76" s="359"/>
      <c r="D76" s="359"/>
      <c r="E76" s="381"/>
      <c r="F76" s="381"/>
      <c r="G76" s="381"/>
      <c r="H76" s="381"/>
      <c r="I76" s="381"/>
      <c r="J76" s="381"/>
      <c r="K76" s="381"/>
      <c r="L76" s="381"/>
      <c r="M76" s="381"/>
      <c r="N76" s="381"/>
      <c r="O76" s="381"/>
      <c r="P76" s="381"/>
      <c r="Q76" s="381"/>
      <c r="R76" s="381"/>
      <c r="S76" s="381"/>
      <c r="T76" s="381"/>
      <c r="U76" s="381"/>
      <c r="V76" s="381"/>
      <c r="W76" s="381"/>
      <c r="X76" s="381"/>
      <c r="Y76" s="381"/>
      <c r="Z76" s="381"/>
    </row>
    <row r="77">
      <c r="A77" s="381"/>
      <c r="B77" s="18"/>
      <c r="C77" s="359"/>
      <c r="D77" s="359"/>
      <c r="E77" s="381"/>
      <c r="F77" s="381"/>
      <c r="G77" s="381"/>
      <c r="H77" s="381"/>
      <c r="I77" s="381"/>
      <c r="J77" s="381"/>
      <c r="K77" s="381"/>
      <c r="L77" s="381"/>
      <c r="M77" s="381"/>
      <c r="N77" s="381"/>
      <c r="O77" s="381"/>
      <c r="P77" s="381"/>
      <c r="Q77" s="381"/>
      <c r="R77" s="381"/>
      <c r="S77" s="381"/>
      <c r="T77" s="381"/>
      <c r="U77" s="381"/>
      <c r="V77" s="381"/>
      <c r="W77" s="381"/>
      <c r="X77" s="381"/>
      <c r="Y77" s="381"/>
      <c r="Z77" s="381"/>
    </row>
    <row r="78">
      <c r="A78" s="381"/>
      <c r="B78" s="18"/>
      <c r="C78" s="359"/>
      <c r="D78" s="359"/>
      <c r="E78" s="381"/>
      <c r="F78" s="381"/>
      <c r="G78" s="381"/>
      <c r="H78" s="381"/>
      <c r="I78" s="381"/>
      <c r="J78" s="381"/>
      <c r="K78" s="381"/>
      <c r="L78" s="381"/>
      <c r="M78" s="381"/>
      <c r="N78" s="381"/>
      <c r="O78" s="381"/>
      <c r="P78" s="381"/>
      <c r="Q78" s="381"/>
      <c r="R78" s="381"/>
      <c r="S78" s="381"/>
      <c r="T78" s="381"/>
      <c r="U78" s="381"/>
      <c r="V78" s="381"/>
      <c r="W78" s="381"/>
      <c r="X78" s="381"/>
      <c r="Y78" s="381"/>
      <c r="Z78" s="381"/>
    </row>
    <row r="79">
      <c r="A79" s="381"/>
      <c r="B79" s="18"/>
      <c r="C79" s="359"/>
      <c r="D79" s="359"/>
      <c r="E79" s="381"/>
      <c r="F79" s="381"/>
      <c r="G79" s="381"/>
      <c r="H79" s="381"/>
      <c r="I79" s="381"/>
      <c r="J79" s="381"/>
      <c r="K79" s="381"/>
      <c r="L79" s="381"/>
      <c r="M79" s="381"/>
      <c r="N79" s="381"/>
      <c r="O79" s="381"/>
      <c r="P79" s="381"/>
      <c r="Q79" s="381"/>
      <c r="R79" s="381"/>
      <c r="S79" s="381"/>
      <c r="T79" s="381"/>
      <c r="U79" s="381"/>
      <c r="V79" s="381"/>
      <c r="W79" s="381"/>
      <c r="X79" s="381"/>
      <c r="Y79" s="381"/>
      <c r="Z79" s="381"/>
    </row>
    <row r="80">
      <c r="A80" s="381"/>
      <c r="B80" s="18"/>
      <c r="C80" s="359"/>
      <c r="D80" s="359"/>
      <c r="E80" s="381"/>
      <c r="F80" s="381"/>
      <c r="G80" s="381"/>
      <c r="H80" s="381"/>
      <c r="I80" s="381"/>
      <c r="J80" s="381"/>
      <c r="K80" s="381"/>
      <c r="L80" s="381"/>
      <c r="M80" s="381"/>
      <c r="N80" s="381"/>
      <c r="O80" s="381"/>
      <c r="P80" s="381"/>
      <c r="Q80" s="381"/>
      <c r="R80" s="381"/>
      <c r="S80" s="381"/>
      <c r="T80" s="381"/>
      <c r="U80" s="381"/>
      <c r="V80" s="381"/>
      <c r="W80" s="381"/>
      <c r="X80" s="381"/>
      <c r="Y80" s="381"/>
      <c r="Z80" s="381"/>
    </row>
    <row r="81">
      <c r="A81" s="381"/>
      <c r="B81" s="18"/>
      <c r="C81" s="359"/>
      <c r="D81" s="359"/>
      <c r="E81" s="381"/>
      <c r="F81" s="381"/>
      <c r="G81" s="381"/>
      <c r="H81" s="381"/>
      <c r="I81" s="381"/>
      <c r="J81" s="381"/>
      <c r="K81" s="381"/>
      <c r="L81" s="381"/>
      <c r="M81" s="381"/>
      <c r="N81" s="381"/>
      <c r="O81" s="381"/>
      <c r="P81" s="381"/>
      <c r="Q81" s="381"/>
      <c r="R81" s="381"/>
      <c r="S81" s="381"/>
      <c r="T81" s="381"/>
      <c r="U81" s="381"/>
      <c r="V81" s="381"/>
      <c r="W81" s="381"/>
      <c r="X81" s="381"/>
      <c r="Y81" s="381"/>
      <c r="Z81" s="381"/>
    </row>
    <row r="82">
      <c r="A82" s="381"/>
      <c r="B82" s="18"/>
      <c r="C82" s="359"/>
      <c r="D82" s="359"/>
      <c r="E82" s="381"/>
      <c r="F82" s="381"/>
      <c r="G82" s="381"/>
      <c r="H82" s="381"/>
      <c r="I82" s="381"/>
      <c r="J82" s="381"/>
      <c r="K82" s="381"/>
      <c r="L82" s="381"/>
      <c r="M82" s="381"/>
      <c r="N82" s="381"/>
      <c r="O82" s="381"/>
      <c r="P82" s="381"/>
      <c r="Q82" s="381"/>
      <c r="R82" s="381"/>
      <c r="S82" s="381"/>
      <c r="T82" s="381"/>
      <c r="U82" s="381"/>
      <c r="V82" s="381"/>
      <c r="W82" s="381"/>
      <c r="X82" s="381"/>
      <c r="Y82" s="381"/>
      <c r="Z82" s="381"/>
    </row>
    <row r="83">
      <c r="A83" s="381"/>
      <c r="B83" s="18"/>
      <c r="C83" s="359"/>
      <c r="D83" s="359"/>
      <c r="E83" s="381"/>
      <c r="F83" s="381"/>
      <c r="G83" s="381"/>
      <c r="H83" s="381"/>
      <c r="I83" s="381"/>
      <c r="J83" s="381"/>
      <c r="K83" s="381"/>
      <c r="L83" s="381"/>
      <c r="M83" s="381"/>
      <c r="N83" s="381"/>
      <c r="O83" s="381"/>
      <c r="P83" s="381"/>
      <c r="Q83" s="381"/>
      <c r="R83" s="381"/>
      <c r="S83" s="381"/>
      <c r="T83" s="381"/>
      <c r="U83" s="381"/>
      <c r="V83" s="381"/>
      <c r="W83" s="381"/>
      <c r="X83" s="381"/>
      <c r="Y83" s="381"/>
      <c r="Z83" s="381"/>
    </row>
    <row r="84">
      <c r="A84" s="381"/>
      <c r="B84" s="18"/>
      <c r="C84" s="359"/>
      <c r="D84" s="359"/>
      <c r="E84" s="381"/>
      <c r="F84" s="381"/>
      <c r="G84" s="381"/>
      <c r="H84" s="381"/>
      <c r="I84" s="381"/>
      <c r="J84" s="381"/>
      <c r="K84" s="381"/>
      <c r="L84" s="381"/>
      <c r="M84" s="381"/>
      <c r="N84" s="381"/>
      <c r="O84" s="381"/>
      <c r="P84" s="381"/>
      <c r="Q84" s="381"/>
      <c r="R84" s="381"/>
      <c r="S84" s="381"/>
      <c r="T84" s="381"/>
      <c r="U84" s="381"/>
      <c r="V84" s="381"/>
      <c r="W84" s="381"/>
      <c r="X84" s="381"/>
      <c r="Y84" s="381"/>
      <c r="Z84" s="381"/>
    </row>
    <row r="85">
      <c r="A85" s="381"/>
      <c r="B85" s="18"/>
      <c r="C85" s="359"/>
      <c r="D85" s="359"/>
      <c r="E85" s="381"/>
      <c r="F85" s="381"/>
      <c r="G85" s="381"/>
      <c r="H85" s="381"/>
      <c r="I85" s="381"/>
      <c r="J85" s="381"/>
      <c r="K85" s="381"/>
      <c r="L85" s="381"/>
      <c r="M85" s="381"/>
      <c r="N85" s="381"/>
      <c r="O85" s="381"/>
      <c r="P85" s="381"/>
      <c r="Q85" s="381"/>
      <c r="R85" s="381"/>
      <c r="S85" s="381"/>
      <c r="T85" s="381"/>
      <c r="U85" s="381"/>
      <c r="V85" s="381"/>
      <c r="W85" s="381"/>
      <c r="X85" s="381"/>
      <c r="Y85" s="381"/>
      <c r="Z85" s="381"/>
    </row>
    <row r="86">
      <c r="A86" s="381"/>
      <c r="B86" s="18"/>
      <c r="C86" s="359"/>
      <c r="D86" s="359"/>
      <c r="E86" s="381"/>
      <c r="F86" s="381"/>
      <c r="G86" s="381"/>
      <c r="H86" s="381"/>
      <c r="I86" s="381"/>
      <c r="J86" s="381"/>
      <c r="K86" s="381"/>
      <c r="L86" s="381"/>
      <c r="M86" s="381"/>
      <c r="N86" s="381"/>
      <c r="O86" s="381"/>
      <c r="P86" s="381"/>
      <c r="Q86" s="381"/>
      <c r="R86" s="381"/>
      <c r="S86" s="381"/>
      <c r="T86" s="381"/>
      <c r="U86" s="381"/>
      <c r="V86" s="381"/>
      <c r="W86" s="381"/>
      <c r="X86" s="381"/>
      <c r="Y86" s="381"/>
      <c r="Z86" s="381"/>
    </row>
    <row r="87">
      <c r="A87" s="381"/>
      <c r="B87" s="18"/>
      <c r="C87" s="359"/>
      <c r="D87" s="359"/>
      <c r="E87" s="381"/>
      <c r="F87" s="381"/>
      <c r="G87" s="381"/>
      <c r="H87" s="381"/>
      <c r="I87" s="381"/>
      <c r="J87" s="381"/>
      <c r="K87" s="381"/>
      <c r="L87" s="381"/>
      <c r="M87" s="381"/>
      <c r="N87" s="381"/>
      <c r="O87" s="381"/>
      <c r="P87" s="381"/>
      <c r="Q87" s="381"/>
      <c r="R87" s="381"/>
      <c r="S87" s="381"/>
      <c r="T87" s="381"/>
      <c r="U87" s="381"/>
      <c r="V87" s="381"/>
      <c r="W87" s="381"/>
      <c r="X87" s="381"/>
      <c r="Y87" s="381"/>
      <c r="Z87" s="381"/>
    </row>
    <row r="88">
      <c r="A88" s="381"/>
      <c r="B88" s="18"/>
      <c r="C88" s="359"/>
      <c r="D88" s="359"/>
      <c r="E88" s="381"/>
      <c r="F88" s="381"/>
      <c r="G88" s="381"/>
      <c r="H88" s="381"/>
      <c r="I88" s="381"/>
      <c r="J88" s="381"/>
      <c r="K88" s="381"/>
      <c r="L88" s="381"/>
      <c r="M88" s="381"/>
      <c r="N88" s="381"/>
      <c r="O88" s="381"/>
      <c r="P88" s="381"/>
      <c r="Q88" s="381"/>
      <c r="R88" s="381"/>
      <c r="S88" s="381"/>
      <c r="T88" s="381"/>
      <c r="U88" s="381"/>
      <c r="V88" s="381"/>
      <c r="W88" s="381"/>
      <c r="X88" s="381"/>
      <c r="Y88" s="381"/>
      <c r="Z88" s="381"/>
    </row>
    <row r="89">
      <c r="A89" s="381"/>
      <c r="B89" s="18"/>
      <c r="C89" s="359"/>
      <c r="D89" s="359"/>
      <c r="E89" s="381"/>
      <c r="F89" s="381"/>
      <c r="G89" s="381"/>
      <c r="H89" s="381"/>
      <c r="I89" s="381"/>
      <c r="J89" s="381"/>
      <c r="K89" s="381"/>
      <c r="L89" s="381"/>
      <c r="M89" s="381"/>
      <c r="N89" s="381"/>
      <c r="O89" s="381"/>
      <c r="P89" s="381"/>
      <c r="Q89" s="381"/>
      <c r="R89" s="381"/>
      <c r="S89" s="381"/>
      <c r="T89" s="381"/>
      <c r="U89" s="381"/>
      <c r="V89" s="381"/>
      <c r="W89" s="381"/>
      <c r="X89" s="381"/>
      <c r="Y89" s="381"/>
      <c r="Z89" s="381"/>
    </row>
    <row r="90">
      <c r="A90" s="381"/>
      <c r="B90" s="18"/>
      <c r="C90" s="359"/>
      <c r="D90" s="359"/>
      <c r="E90" s="381"/>
      <c r="F90" s="381"/>
      <c r="G90" s="381"/>
      <c r="H90" s="381"/>
      <c r="I90" s="381"/>
      <c r="J90" s="381"/>
      <c r="K90" s="381"/>
      <c r="L90" s="381"/>
      <c r="M90" s="381"/>
      <c r="N90" s="381"/>
      <c r="O90" s="381"/>
      <c r="P90" s="381"/>
      <c r="Q90" s="381"/>
      <c r="R90" s="381"/>
      <c r="S90" s="381"/>
      <c r="T90" s="381"/>
      <c r="U90" s="381"/>
      <c r="V90" s="381"/>
      <c r="W90" s="381"/>
      <c r="X90" s="381"/>
      <c r="Y90" s="381"/>
      <c r="Z90" s="381"/>
    </row>
    <row r="91">
      <c r="A91" s="381"/>
      <c r="B91" s="18"/>
      <c r="C91" s="359"/>
      <c r="D91" s="359"/>
      <c r="E91" s="381"/>
      <c r="F91" s="381"/>
      <c r="G91" s="381"/>
      <c r="H91" s="381"/>
      <c r="I91" s="381"/>
      <c r="J91" s="381"/>
      <c r="K91" s="381"/>
      <c r="L91" s="381"/>
      <c r="M91" s="381"/>
      <c r="N91" s="381"/>
      <c r="O91" s="381"/>
      <c r="P91" s="381"/>
      <c r="Q91" s="381"/>
      <c r="R91" s="381"/>
      <c r="S91" s="381"/>
      <c r="T91" s="381"/>
      <c r="U91" s="381"/>
      <c r="V91" s="381"/>
      <c r="W91" s="381"/>
      <c r="X91" s="381"/>
      <c r="Y91" s="381"/>
      <c r="Z91" s="381"/>
    </row>
    <row r="92">
      <c r="A92" s="381"/>
      <c r="B92" s="18"/>
      <c r="C92" s="359"/>
      <c r="D92" s="359"/>
      <c r="E92" s="381"/>
      <c r="F92" s="381"/>
      <c r="G92" s="381"/>
      <c r="H92" s="381"/>
      <c r="I92" s="381"/>
      <c r="J92" s="381"/>
      <c r="K92" s="381"/>
      <c r="L92" s="381"/>
      <c r="M92" s="381"/>
      <c r="N92" s="381"/>
      <c r="O92" s="381"/>
      <c r="P92" s="381"/>
      <c r="Q92" s="381"/>
      <c r="R92" s="381"/>
      <c r="S92" s="381"/>
      <c r="T92" s="381"/>
      <c r="U92" s="381"/>
      <c r="V92" s="381"/>
      <c r="W92" s="381"/>
      <c r="X92" s="381"/>
      <c r="Y92" s="381"/>
      <c r="Z92" s="381"/>
    </row>
    <row r="93">
      <c r="A93" s="381"/>
      <c r="B93" s="18"/>
      <c r="C93" s="359"/>
      <c r="D93" s="359"/>
      <c r="E93" s="381"/>
      <c r="F93" s="381"/>
      <c r="G93" s="381"/>
      <c r="H93" s="381"/>
      <c r="I93" s="381"/>
      <c r="J93" s="381"/>
      <c r="K93" s="381"/>
      <c r="L93" s="381"/>
      <c r="M93" s="381"/>
      <c r="N93" s="381"/>
      <c r="O93" s="381"/>
      <c r="P93" s="381"/>
      <c r="Q93" s="381"/>
      <c r="R93" s="381"/>
      <c r="S93" s="381"/>
      <c r="T93" s="381"/>
      <c r="U93" s="381"/>
      <c r="V93" s="381"/>
      <c r="W93" s="381"/>
      <c r="X93" s="381"/>
      <c r="Y93" s="381"/>
      <c r="Z93" s="381"/>
    </row>
    <row r="94">
      <c r="A94" s="381"/>
      <c r="B94" s="18"/>
      <c r="C94" s="359"/>
      <c r="D94" s="359"/>
      <c r="E94" s="381"/>
      <c r="F94" s="381"/>
      <c r="G94" s="381"/>
      <c r="H94" s="381"/>
      <c r="I94" s="381"/>
      <c r="J94" s="381"/>
      <c r="K94" s="381"/>
      <c r="L94" s="381"/>
      <c r="M94" s="381"/>
      <c r="N94" s="381"/>
      <c r="O94" s="381"/>
      <c r="P94" s="381"/>
      <c r="Q94" s="381"/>
      <c r="R94" s="381"/>
      <c r="S94" s="381"/>
      <c r="T94" s="381"/>
      <c r="U94" s="381"/>
      <c r="V94" s="381"/>
      <c r="W94" s="381"/>
      <c r="X94" s="381"/>
      <c r="Y94" s="381"/>
      <c r="Z94" s="381"/>
    </row>
    <row r="95">
      <c r="A95" s="381"/>
      <c r="B95" s="18"/>
      <c r="C95" s="359"/>
      <c r="D95" s="359"/>
      <c r="E95" s="381"/>
      <c r="F95" s="381"/>
      <c r="G95" s="381"/>
      <c r="H95" s="381"/>
      <c r="I95" s="381"/>
      <c r="J95" s="381"/>
      <c r="K95" s="381"/>
      <c r="L95" s="381"/>
      <c r="M95" s="381"/>
      <c r="N95" s="381"/>
      <c r="O95" s="381"/>
      <c r="P95" s="381"/>
      <c r="Q95" s="381"/>
      <c r="R95" s="381"/>
      <c r="S95" s="381"/>
      <c r="T95" s="381"/>
      <c r="U95" s="381"/>
      <c r="V95" s="381"/>
      <c r="W95" s="381"/>
      <c r="X95" s="381"/>
      <c r="Y95" s="381"/>
      <c r="Z95" s="381"/>
    </row>
    <row r="96">
      <c r="A96" s="381"/>
      <c r="B96" s="18"/>
      <c r="C96" s="359"/>
      <c r="D96" s="359"/>
      <c r="E96" s="381"/>
      <c r="F96" s="381"/>
      <c r="G96" s="381"/>
      <c r="H96" s="381"/>
      <c r="I96" s="381"/>
      <c r="J96" s="381"/>
      <c r="K96" s="381"/>
      <c r="L96" s="381"/>
      <c r="M96" s="381"/>
      <c r="N96" s="381"/>
      <c r="O96" s="381"/>
      <c r="P96" s="381"/>
      <c r="Q96" s="381"/>
      <c r="R96" s="381"/>
      <c r="S96" s="381"/>
      <c r="T96" s="381"/>
      <c r="U96" s="381"/>
      <c r="V96" s="381"/>
      <c r="W96" s="381"/>
      <c r="X96" s="381"/>
      <c r="Y96" s="381"/>
      <c r="Z96" s="381"/>
    </row>
    <row r="97">
      <c r="A97" s="381"/>
      <c r="B97" s="18"/>
      <c r="C97" s="359"/>
      <c r="D97" s="359"/>
      <c r="E97" s="381"/>
      <c r="F97" s="381"/>
      <c r="G97" s="381"/>
      <c r="H97" s="381"/>
      <c r="I97" s="381"/>
      <c r="J97" s="381"/>
      <c r="K97" s="381"/>
      <c r="L97" s="381"/>
      <c r="M97" s="381"/>
      <c r="N97" s="381"/>
      <c r="O97" s="381"/>
      <c r="P97" s="381"/>
      <c r="Q97" s="381"/>
      <c r="R97" s="381"/>
      <c r="S97" s="381"/>
      <c r="T97" s="381"/>
      <c r="U97" s="381"/>
      <c r="V97" s="381"/>
      <c r="W97" s="381"/>
      <c r="X97" s="381"/>
      <c r="Y97" s="381"/>
      <c r="Z97" s="381"/>
    </row>
    <row r="98">
      <c r="A98" s="381"/>
      <c r="B98" s="18"/>
      <c r="C98" s="359"/>
      <c r="D98" s="359"/>
      <c r="E98" s="381"/>
      <c r="F98" s="381"/>
      <c r="G98" s="381"/>
      <c r="H98" s="381"/>
      <c r="I98" s="381"/>
      <c r="J98" s="381"/>
      <c r="K98" s="381"/>
      <c r="L98" s="381"/>
      <c r="M98" s="381"/>
      <c r="N98" s="381"/>
      <c r="O98" s="381"/>
      <c r="P98" s="381"/>
      <c r="Q98" s="381"/>
      <c r="R98" s="381"/>
      <c r="S98" s="381"/>
      <c r="T98" s="381"/>
      <c r="U98" s="381"/>
      <c r="V98" s="381"/>
      <c r="W98" s="381"/>
      <c r="X98" s="381"/>
      <c r="Y98" s="381"/>
      <c r="Z98" s="381"/>
    </row>
    <row r="99">
      <c r="A99" s="381"/>
      <c r="B99" s="18"/>
      <c r="C99" s="359"/>
      <c r="D99" s="359"/>
      <c r="E99" s="381"/>
      <c r="F99" s="381"/>
      <c r="G99" s="381"/>
      <c r="H99" s="381"/>
      <c r="I99" s="381"/>
      <c r="J99" s="381"/>
      <c r="K99" s="381"/>
      <c r="L99" s="381"/>
      <c r="M99" s="381"/>
      <c r="N99" s="381"/>
      <c r="O99" s="381"/>
      <c r="P99" s="381"/>
      <c r="Q99" s="381"/>
      <c r="R99" s="381"/>
      <c r="S99" s="381"/>
      <c r="T99" s="381"/>
      <c r="U99" s="381"/>
      <c r="V99" s="381"/>
      <c r="W99" s="381"/>
      <c r="X99" s="381"/>
      <c r="Y99" s="381"/>
      <c r="Z99" s="381"/>
    </row>
    <row r="100">
      <c r="A100" s="381"/>
      <c r="B100" s="18"/>
      <c r="C100" s="359"/>
      <c r="D100" s="359"/>
      <c r="E100" s="381"/>
      <c r="F100" s="381"/>
      <c r="G100" s="381"/>
      <c r="H100" s="381"/>
      <c r="I100" s="381"/>
      <c r="J100" s="381"/>
      <c r="K100" s="381"/>
      <c r="L100" s="381"/>
      <c r="M100" s="381"/>
      <c r="N100" s="381"/>
      <c r="O100" s="381"/>
      <c r="P100" s="381"/>
      <c r="Q100" s="381"/>
      <c r="R100" s="381"/>
      <c r="S100" s="381"/>
      <c r="T100" s="381"/>
      <c r="U100" s="381"/>
      <c r="V100" s="381"/>
      <c r="W100" s="381"/>
      <c r="X100" s="381"/>
      <c r="Y100" s="381"/>
      <c r="Z100" s="381"/>
    </row>
    <row r="101">
      <c r="A101" s="381"/>
      <c r="B101" s="18"/>
      <c r="C101" s="359"/>
      <c r="D101" s="359"/>
      <c r="E101" s="381"/>
      <c r="F101" s="381"/>
      <c r="G101" s="381"/>
      <c r="H101" s="381"/>
      <c r="I101" s="381"/>
      <c r="J101" s="381"/>
      <c r="K101" s="381"/>
      <c r="L101" s="381"/>
      <c r="M101" s="381"/>
      <c r="N101" s="381"/>
      <c r="O101" s="381"/>
      <c r="P101" s="381"/>
      <c r="Q101" s="381"/>
      <c r="R101" s="381"/>
      <c r="S101" s="381"/>
      <c r="T101" s="381"/>
      <c r="U101" s="381"/>
      <c r="V101" s="381"/>
      <c r="W101" s="381"/>
      <c r="X101" s="381"/>
      <c r="Y101" s="381"/>
      <c r="Z101" s="381"/>
    </row>
    <row r="102">
      <c r="A102" s="381"/>
      <c r="B102" s="18"/>
      <c r="C102" s="359"/>
      <c r="D102" s="359"/>
      <c r="E102" s="381"/>
      <c r="F102" s="381"/>
      <c r="G102" s="381"/>
      <c r="H102" s="381"/>
      <c r="I102" s="381"/>
      <c r="J102" s="381"/>
      <c r="K102" s="381"/>
      <c r="L102" s="381"/>
      <c r="M102" s="381"/>
      <c r="N102" s="381"/>
      <c r="O102" s="381"/>
      <c r="P102" s="381"/>
      <c r="Q102" s="381"/>
      <c r="R102" s="381"/>
      <c r="S102" s="381"/>
      <c r="T102" s="381"/>
      <c r="U102" s="381"/>
      <c r="V102" s="381"/>
      <c r="W102" s="381"/>
      <c r="X102" s="381"/>
      <c r="Y102" s="381"/>
      <c r="Z102" s="381"/>
    </row>
    <row r="103">
      <c r="A103" s="381"/>
      <c r="B103" s="18"/>
      <c r="C103" s="359"/>
      <c r="D103" s="359"/>
      <c r="E103" s="381"/>
      <c r="F103" s="381"/>
      <c r="G103" s="381"/>
      <c r="H103" s="381"/>
      <c r="I103" s="381"/>
      <c r="J103" s="381"/>
      <c r="K103" s="381"/>
      <c r="L103" s="381"/>
      <c r="M103" s="381"/>
      <c r="N103" s="381"/>
      <c r="O103" s="381"/>
      <c r="P103" s="381"/>
      <c r="Q103" s="381"/>
      <c r="R103" s="381"/>
      <c r="S103" s="381"/>
      <c r="T103" s="381"/>
      <c r="U103" s="381"/>
      <c r="V103" s="381"/>
      <c r="W103" s="381"/>
      <c r="X103" s="381"/>
      <c r="Y103" s="381"/>
      <c r="Z103" s="381"/>
    </row>
    <row r="104">
      <c r="A104" s="381"/>
      <c r="B104" s="18"/>
      <c r="C104" s="359"/>
      <c r="D104" s="359"/>
      <c r="E104" s="381"/>
      <c r="F104" s="381"/>
      <c r="G104" s="381"/>
      <c r="H104" s="381"/>
      <c r="I104" s="381"/>
      <c r="J104" s="381"/>
      <c r="K104" s="381"/>
      <c r="L104" s="381"/>
      <c r="M104" s="381"/>
      <c r="N104" s="381"/>
      <c r="O104" s="381"/>
      <c r="P104" s="381"/>
      <c r="Q104" s="381"/>
      <c r="R104" s="381"/>
      <c r="S104" s="381"/>
      <c r="T104" s="381"/>
      <c r="U104" s="381"/>
      <c r="V104" s="381"/>
      <c r="W104" s="381"/>
      <c r="X104" s="381"/>
      <c r="Y104" s="381"/>
      <c r="Z104" s="381"/>
    </row>
    <row r="105">
      <c r="A105" s="381"/>
      <c r="B105" s="18"/>
      <c r="C105" s="359"/>
      <c r="D105" s="359"/>
      <c r="E105" s="381"/>
      <c r="F105" s="381"/>
      <c r="G105" s="381"/>
      <c r="H105" s="381"/>
      <c r="I105" s="381"/>
      <c r="J105" s="381"/>
      <c r="K105" s="381"/>
      <c r="L105" s="381"/>
      <c r="M105" s="381"/>
      <c r="N105" s="381"/>
      <c r="O105" s="381"/>
      <c r="P105" s="381"/>
      <c r="Q105" s="381"/>
      <c r="R105" s="381"/>
      <c r="S105" s="381"/>
      <c r="T105" s="381"/>
      <c r="U105" s="381"/>
      <c r="V105" s="381"/>
      <c r="W105" s="381"/>
      <c r="X105" s="381"/>
      <c r="Y105" s="381"/>
      <c r="Z105" s="381"/>
    </row>
    <row r="106">
      <c r="A106" s="381"/>
      <c r="B106" s="18"/>
      <c r="C106" s="359"/>
      <c r="D106" s="359"/>
      <c r="E106" s="381"/>
      <c r="F106" s="381"/>
      <c r="G106" s="381"/>
      <c r="H106" s="381"/>
      <c r="I106" s="381"/>
      <c r="J106" s="381"/>
      <c r="K106" s="381"/>
      <c r="L106" s="381"/>
      <c r="M106" s="381"/>
      <c r="N106" s="381"/>
      <c r="O106" s="381"/>
      <c r="P106" s="381"/>
      <c r="Q106" s="381"/>
      <c r="R106" s="381"/>
      <c r="S106" s="381"/>
      <c r="T106" s="381"/>
      <c r="U106" s="381"/>
      <c r="V106" s="381"/>
      <c r="W106" s="381"/>
      <c r="X106" s="381"/>
      <c r="Y106" s="381"/>
      <c r="Z106" s="381"/>
    </row>
    <row r="107">
      <c r="A107" s="381"/>
      <c r="B107" s="18"/>
      <c r="C107" s="359"/>
      <c r="D107" s="359"/>
      <c r="E107" s="381"/>
      <c r="F107" s="381"/>
      <c r="G107" s="381"/>
      <c r="H107" s="381"/>
      <c r="I107" s="381"/>
      <c r="J107" s="381"/>
      <c r="K107" s="381"/>
      <c r="L107" s="381"/>
      <c r="M107" s="381"/>
      <c r="N107" s="381"/>
      <c r="O107" s="381"/>
      <c r="P107" s="381"/>
      <c r="Q107" s="381"/>
      <c r="R107" s="381"/>
      <c r="S107" s="381"/>
      <c r="T107" s="381"/>
      <c r="U107" s="381"/>
      <c r="V107" s="381"/>
      <c r="W107" s="381"/>
      <c r="X107" s="381"/>
      <c r="Y107" s="381"/>
      <c r="Z107" s="381"/>
    </row>
    <row r="108">
      <c r="A108" s="381"/>
      <c r="B108" s="18"/>
      <c r="C108" s="359"/>
      <c r="D108" s="359"/>
      <c r="E108" s="381"/>
      <c r="F108" s="381"/>
      <c r="G108" s="381"/>
      <c r="H108" s="381"/>
      <c r="I108" s="381"/>
      <c r="J108" s="381"/>
      <c r="K108" s="381"/>
      <c r="L108" s="381"/>
      <c r="M108" s="381"/>
      <c r="N108" s="381"/>
      <c r="O108" s="381"/>
      <c r="P108" s="381"/>
      <c r="Q108" s="381"/>
      <c r="R108" s="381"/>
      <c r="S108" s="381"/>
      <c r="T108" s="381"/>
      <c r="U108" s="381"/>
      <c r="V108" s="381"/>
      <c r="W108" s="381"/>
      <c r="X108" s="381"/>
      <c r="Y108" s="381"/>
      <c r="Z108" s="381"/>
    </row>
    <row r="109">
      <c r="A109" s="381"/>
      <c r="B109" s="18"/>
      <c r="C109" s="359"/>
      <c r="D109" s="359"/>
      <c r="E109" s="381"/>
      <c r="F109" s="381"/>
      <c r="G109" s="381"/>
      <c r="H109" s="381"/>
      <c r="I109" s="381"/>
      <c r="J109" s="381"/>
      <c r="K109" s="381"/>
      <c r="L109" s="381"/>
      <c r="M109" s="381"/>
      <c r="N109" s="381"/>
      <c r="O109" s="381"/>
      <c r="P109" s="381"/>
      <c r="Q109" s="381"/>
      <c r="R109" s="381"/>
      <c r="S109" s="381"/>
      <c r="T109" s="381"/>
      <c r="U109" s="381"/>
      <c r="V109" s="381"/>
      <c r="W109" s="381"/>
      <c r="X109" s="381"/>
      <c r="Y109" s="381"/>
      <c r="Z109" s="381"/>
    </row>
    <row r="110">
      <c r="A110" s="381"/>
      <c r="B110" s="18"/>
      <c r="C110" s="359"/>
      <c r="D110" s="359"/>
      <c r="E110" s="381"/>
      <c r="F110" s="381"/>
      <c r="G110" s="381"/>
      <c r="H110" s="381"/>
      <c r="I110" s="381"/>
      <c r="J110" s="381"/>
      <c r="K110" s="381"/>
      <c r="L110" s="381"/>
      <c r="M110" s="381"/>
      <c r="N110" s="381"/>
      <c r="O110" s="381"/>
      <c r="P110" s="381"/>
      <c r="Q110" s="381"/>
      <c r="R110" s="381"/>
      <c r="S110" s="381"/>
      <c r="T110" s="381"/>
      <c r="U110" s="381"/>
      <c r="V110" s="381"/>
      <c r="W110" s="381"/>
      <c r="X110" s="381"/>
      <c r="Y110" s="381"/>
      <c r="Z110" s="381"/>
    </row>
    <row r="111">
      <c r="A111" s="381"/>
      <c r="B111" s="18"/>
      <c r="C111" s="359"/>
      <c r="D111" s="359"/>
      <c r="E111" s="381"/>
      <c r="F111" s="381"/>
      <c r="G111" s="381"/>
      <c r="H111" s="381"/>
      <c r="I111" s="381"/>
      <c r="J111" s="381"/>
      <c r="K111" s="381"/>
      <c r="L111" s="381"/>
      <c r="M111" s="381"/>
      <c r="N111" s="381"/>
      <c r="O111" s="381"/>
      <c r="P111" s="381"/>
      <c r="Q111" s="381"/>
      <c r="R111" s="381"/>
      <c r="S111" s="381"/>
      <c r="T111" s="381"/>
      <c r="U111" s="381"/>
      <c r="V111" s="381"/>
      <c r="W111" s="381"/>
      <c r="X111" s="381"/>
      <c r="Y111" s="381"/>
      <c r="Z111" s="381"/>
    </row>
    <row r="112">
      <c r="A112" s="381"/>
      <c r="B112" s="18"/>
      <c r="C112" s="359"/>
      <c r="D112" s="359"/>
      <c r="E112" s="381"/>
      <c r="F112" s="381"/>
      <c r="G112" s="381"/>
      <c r="H112" s="381"/>
      <c r="I112" s="381"/>
      <c r="J112" s="381"/>
      <c r="K112" s="381"/>
      <c r="L112" s="381"/>
      <c r="M112" s="381"/>
      <c r="N112" s="381"/>
      <c r="O112" s="381"/>
      <c r="P112" s="381"/>
      <c r="Q112" s="381"/>
      <c r="R112" s="381"/>
      <c r="S112" s="381"/>
      <c r="T112" s="381"/>
      <c r="U112" s="381"/>
      <c r="V112" s="381"/>
      <c r="W112" s="381"/>
      <c r="X112" s="381"/>
      <c r="Y112" s="381"/>
      <c r="Z112" s="381"/>
    </row>
    <row r="113">
      <c r="A113" s="381"/>
      <c r="B113" s="18"/>
      <c r="C113" s="359"/>
      <c r="D113" s="359"/>
      <c r="E113" s="381"/>
      <c r="F113" s="381"/>
      <c r="G113" s="381"/>
      <c r="H113" s="381"/>
      <c r="I113" s="381"/>
      <c r="J113" s="381"/>
      <c r="K113" s="381"/>
      <c r="L113" s="381"/>
      <c r="M113" s="381"/>
      <c r="N113" s="381"/>
      <c r="O113" s="381"/>
      <c r="P113" s="381"/>
      <c r="Q113" s="381"/>
      <c r="R113" s="381"/>
      <c r="S113" s="381"/>
      <c r="T113" s="381"/>
      <c r="U113" s="381"/>
      <c r="V113" s="381"/>
      <c r="W113" s="381"/>
      <c r="X113" s="381"/>
      <c r="Y113" s="381"/>
      <c r="Z113" s="381"/>
    </row>
    <row r="114">
      <c r="A114" s="381"/>
      <c r="B114" s="18"/>
      <c r="C114" s="359"/>
      <c r="D114" s="359"/>
      <c r="E114" s="381"/>
      <c r="F114" s="381"/>
      <c r="G114" s="381"/>
      <c r="H114" s="381"/>
      <c r="I114" s="381"/>
      <c r="J114" s="381"/>
      <c r="K114" s="381"/>
      <c r="L114" s="381"/>
      <c r="M114" s="381"/>
      <c r="N114" s="381"/>
      <c r="O114" s="381"/>
      <c r="P114" s="381"/>
      <c r="Q114" s="381"/>
      <c r="R114" s="381"/>
      <c r="S114" s="381"/>
      <c r="T114" s="381"/>
      <c r="U114" s="381"/>
      <c r="V114" s="381"/>
      <c r="W114" s="381"/>
      <c r="X114" s="381"/>
      <c r="Y114" s="381"/>
      <c r="Z114" s="381"/>
    </row>
    <row r="115">
      <c r="A115" s="381"/>
      <c r="B115" s="18"/>
      <c r="C115" s="359"/>
      <c r="D115" s="359"/>
      <c r="E115" s="381"/>
      <c r="F115" s="381"/>
      <c r="G115" s="381"/>
      <c r="H115" s="381"/>
      <c r="I115" s="381"/>
      <c r="J115" s="381"/>
      <c r="K115" s="381"/>
      <c r="L115" s="381"/>
      <c r="M115" s="381"/>
      <c r="N115" s="381"/>
      <c r="O115" s="381"/>
      <c r="P115" s="381"/>
      <c r="Q115" s="381"/>
      <c r="R115" s="381"/>
      <c r="S115" s="381"/>
      <c r="T115" s="381"/>
      <c r="U115" s="381"/>
      <c r="V115" s="381"/>
      <c r="W115" s="381"/>
      <c r="X115" s="381"/>
      <c r="Y115" s="381"/>
      <c r="Z115" s="381"/>
    </row>
    <row r="116">
      <c r="A116" s="381"/>
      <c r="B116" s="18"/>
      <c r="C116" s="359"/>
      <c r="D116" s="359"/>
      <c r="E116" s="381"/>
      <c r="F116" s="381"/>
      <c r="G116" s="381"/>
      <c r="H116" s="381"/>
      <c r="I116" s="381"/>
      <c r="J116" s="381"/>
      <c r="K116" s="381"/>
      <c r="L116" s="381"/>
      <c r="M116" s="381"/>
      <c r="N116" s="381"/>
      <c r="O116" s="381"/>
      <c r="P116" s="381"/>
      <c r="Q116" s="381"/>
      <c r="R116" s="381"/>
      <c r="S116" s="381"/>
      <c r="T116" s="381"/>
      <c r="U116" s="381"/>
      <c r="V116" s="381"/>
      <c r="W116" s="381"/>
      <c r="X116" s="381"/>
      <c r="Y116" s="381"/>
      <c r="Z116" s="381"/>
    </row>
    <row r="117">
      <c r="A117" s="381"/>
      <c r="B117" s="18"/>
      <c r="C117" s="359"/>
      <c r="D117" s="359"/>
      <c r="E117" s="381"/>
      <c r="F117" s="381"/>
      <c r="G117" s="381"/>
      <c r="H117" s="381"/>
      <c r="I117" s="381"/>
      <c r="J117" s="381"/>
      <c r="K117" s="381"/>
      <c r="L117" s="381"/>
      <c r="M117" s="381"/>
      <c r="N117" s="381"/>
      <c r="O117" s="381"/>
      <c r="P117" s="381"/>
      <c r="Q117" s="381"/>
      <c r="R117" s="381"/>
      <c r="S117" s="381"/>
      <c r="T117" s="381"/>
      <c r="U117" s="381"/>
      <c r="V117" s="381"/>
      <c r="W117" s="381"/>
      <c r="X117" s="381"/>
      <c r="Y117" s="381"/>
      <c r="Z117" s="381"/>
    </row>
    <row r="118">
      <c r="A118" s="381"/>
      <c r="B118" s="18"/>
      <c r="C118" s="359"/>
      <c r="D118" s="359"/>
      <c r="E118" s="381"/>
      <c r="F118" s="381"/>
      <c r="G118" s="381"/>
      <c r="H118" s="381"/>
      <c r="I118" s="381"/>
      <c r="J118" s="381"/>
      <c r="K118" s="381"/>
      <c r="L118" s="381"/>
      <c r="M118" s="381"/>
      <c r="N118" s="381"/>
      <c r="O118" s="381"/>
      <c r="P118" s="381"/>
      <c r="Q118" s="381"/>
      <c r="R118" s="381"/>
      <c r="S118" s="381"/>
      <c r="T118" s="381"/>
      <c r="U118" s="381"/>
      <c r="V118" s="381"/>
      <c r="W118" s="381"/>
      <c r="X118" s="381"/>
      <c r="Y118" s="381"/>
      <c r="Z118" s="381"/>
    </row>
    <row r="119">
      <c r="A119" s="381"/>
      <c r="B119" s="18"/>
      <c r="C119" s="359"/>
      <c r="D119" s="359"/>
      <c r="E119" s="381"/>
      <c r="F119" s="381"/>
      <c r="G119" s="381"/>
      <c r="H119" s="381"/>
      <c r="I119" s="381"/>
      <c r="J119" s="381"/>
      <c r="K119" s="381"/>
      <c r="L119" s="381"/>
      <c r="M119" s="381"/>
      <c r="N119" s="381"/>
      <c r="O119" s="381"/>
      <c r="P119" s="381"/>
      <c r="Q119" s="381"/>
      <c r="R119" s="381"/>
      <c r="S119" s="381"/>
      <c r="T119" s="381"/>
      <c r="U119" s="381"/>
      <c r="V119" s="381"/>
      <c r="W119" s="381"/>
      <c r="X119" s="381"/>
      <c r="Y119" s="381"/>
      <c r="Z119" s="381"/>
    </row>
    <row r="120">
      <c r="A120" s="381"/>
      <c r="B120" s="18"/>
      <c r="C120" s="359"/>
      <c r="D120" s="359"/>
      <c r="E120" s="381"/>
      <c r="F120" s="381"/>
      <c r="G120" s="381"/>
      <c r="H120" s="381"/>
      <c r="I120" s="381"/>
      <c r="J120" s="381"/>
      <c r="K120" s="381"/>
      <c r="L120" s="381"/>
      <c r="M120" s="381"/>
      <c r="N120" s="381"/>
      <c r="O120" s="381"/>
      <c r="P120" s="381"/>
      <c r="Q120" s="381"/>
      <c r="R120" s="381"/>
      <c r="S120" s="381"/>
      <c r="T120" s="381"/>
      <c r="U120" s="381"/>
      <c r="V120" s="381"/>
      <c r="W120" s="381"/>
      <c r="X120" s="381"/>
      <c r="Y120" s="381"/>
      <c r="Z120" s="381"/>
    </row>
    <row r="121">
      <c r="A121" s="381"/>
      <c r="B121" s="18"/>
      <c r="C121" s="359"/>
      <c r="D121" s="359"/>
      <c r="E121" s="381"/>
      <c r="F121" s="381"/>
      <c r="G121" s="381"/>
      <c r="H121" s="381"/>
      <c r="I121" s="381"/>
      <c r="J121" s="381"/>
      <c r="K121" s="381"/>
      <c r="L121" s="381"/>
      <c r="M121" s="381"/>
      <c r="N121" s="381"/>
      <c r="O121" s="381"/>
      <c r="P121" s="381"/>
      <c r="Q121" s="381"/>
      <c r="R121" s="381"/>
      <c r="S121" s="381"/>
      <c r="T121" s="381"/>
      <c r="U121" s="381"/>
      <c r="V121" s="381"/>
      <c r="W121" s="381"/>
      <c r="X121" s="381"/>
      <c r="Y121" s="381"/>
      <c r="Z121" s="381"/>
    </row>
    <row r="122">
      <c r="A122" s="381"/>
      <c r="B122" s="18"/>
      <c r="C122" s="359"/>
      <c r="D122" s="359"/>
      <c r="E122" s="381"/>
      <c r="F122" s="381"/>
      <c r="G122" s="381"/>
      <c r="H122" s="381"/>
      <c r="I122" s="381"/>
      <c r="J122" s="381"/>
      <c r="K122" s="381"/>
      <c r="L122" s="381"/>
      <c r="M122" s="381"/>
      <c r="N122" s="381"/>
      <c r="O122" s="381"/>
      <c r="P122" s="381"/>
      <c r="Q122" s="381"/>
      <c r="R122" s="381"/>
      <c r="S122" s="381"/>
      <c r="T122" s="381"/>
      <c r="U122" s="381"/>
      <c r="V122" s="381"/>
      <c r="W122" s="381"/>
      <c r="X122" s="381"/>
      <c r="Y122" s="381"/>
      <c r="Z122" s="381"/>
    </row>
    <row r="123">
      <c r="A123" s="381"/>
      <c r="B123" s="18"/>
      <c r="C123" s="359"/>
      <c r="D123" s="359"/>
      <c r="E123" s="381"/>
      <c r="F123" s="381"/>
      <c r="G123" s="381"/>
      <c r="H123" s="381"/>
      <c r="I123" s="381"/>
      <c r="J123" s="381"/>
      <c r="K123" s="381"/>
      <c r="L123" s="381"/>
      <c r="M123" s="381"/>
      <c r="N123" s="381"/>
      <c r="O123" s="381"/>
      <c r="P123" s="381"/>
      <c r="Q123" s="381"/>
      <c r="R123" s="381"/>
      <c r="S123" s="381"/>
      <c r="T123" s="381"/>
      <c r="U123" s="381"/>
      <c r="V123" s="381"/>
      <c r="W123" s="381"/>
      <c r="X123" s="381"/>
      <c r="Y123" s="381"/>
      <c r="Z123" s="381"/>
    </row>
    <row r="124">
      <c r="A124" s="381"/>
      <c r="B124" s="18"/>
      <c r="C124" s="359"/>
      <c r="D124" s="359"/>
      <c r="E124" s="381"/>
      <c r="F124" s="381"/>
      <c r="G124" s="381"/>
      <c r="H124" s="381"/>
      <c r="I124" s="381"/>
      <c r="J124" s="381"/>
      <c r="K124" s="381"/>
      <c r="L124" s="381"/>
      <c r="M124" s="381"/>
      <c r="N124" s="381"/>
      <c r="O124" s="381"/>
      <c r="P124" s="381"/>
      <c r="Q124" s="381"/>
      <c r="R124" s="381"/>
      <c r="S124" s="381"/>
      <c r="T124" s="381"/>
      <c r="U124" s="381"/>
      <c r="V124" s="381"/>
      <c r="W124" s="381"/>
      <c r="X124" s="381"/>
      <c r="Y124" s="381"/>
      <c r="Z124" s="381"/>
    </row>
    <row r="125">
      <c r="A125" s="381"/>
      <c r="B125" s="18"/>
      <c r="C125" s="359"/>
      <c r="D125" s="359"/>
      <c r="E125" s="381"/>
      <c r="F125" s="381"/>
      <c r="G125" s="381"/>
      <c r="H125" s="381"/>
      <c r="I125" s="381"/>
      <c r="J125" s="381"/>
      <c r="K125" s="381"/>
      <c r="L125" s="381"/>
      <c r="M125" s="381"/>
      <c r="N125" s="381"/>
      <c r="O125" s="381"/>
      <c r="P125" s="381"/>
      <c r="Q125" s="381"/>
      <c r="R125" s="381"/>
      <c r="S125" s="381"/>
      <c r="T125" s="381"/>
      <c r="U125" s="381"/>
      <c r="V125" s="381"/>
      <c r="W125" s="381"/>
      <c r="X125" s="381"/>
      <c r="Y125" s="381"/>
      <c r="Z125" s="381"/>
    </row>
    <row r="126">
      <c r="A126" s="381"/>
      <c r="B126" s="18"/>
      <c r="C126" s="359"/>
      <c r="D126" s="359"/>
      <c r="E126" s="381"/>
      <c r="F126" s="381"/>
      <c r="G126" s="381"/>
      <c r="H126" s="381"/>
      <c r="I126" s="381"/>
      <c r="J126" s="381"/>
      <c r="K126" s="381"/>
      <c r="L126" s="381"/>
      <c r="M126" s="381"/>
      <c r="N126" s="381"/>
      <c r="O126" s="381"/>
      <c r="P126" s="381"/>
      <c r="Q126" s="381"/>
      <c r="R126" s="381"/>
      <c r="S126" s="381"/>
      <c r="T126" s="381"/>
      <c r="U126" s="381"/>
      <c r="V126" s="381"/>
      <c r="W126" s="381"/>
      <c r="X126" s="381"/>
      <c r="Y126" s="381"/>
      <c r="Z126" s="381"/>
    </row>
    <row r="127">
      <c r="A127" s="381"/>
      <c r="B127" s="18"/>
      <c r="C127" s="359"/>
      <c r="D127" s="359"/>
      <c r="E127" s="381"/>
      <c r="F127" s="381"/>
      <c r="G127" s="381"/>
      <c r="H127" s="381"/>
      <c r="I127" s="381"/>
      <c r="J127" s="381"/>
      <c r="K127" s="381"/>
      <c r="L127" s="381"/>
      <c r="M127" s="381"/>
      <c r="N127" s="381"/>
      <c r="O127" s="381"/>
      <c r="P127" s="381"/>
      <c r="Q127" s="381"/>
      <c r="R127" s="381"/>
      <c r="S127" s="381"/>
      <c r="T127" s="381"/>
      <c r="U127" s="381"/>
      <c r="V127" s="381"/>
      <c r="W127" s="381"/>
      <c r="X127" s="381"/>
      <c r="Y127" s="381"/>
      <c r="Z127" s="381"/>
    </row>
    <row r="128">
      <c r="A128" s="381"/>
      <c r="B128" s="18"/>
      <c r="C128" s="359"/>
      <c r="D128" s="359"/>
      <c r="E128" s="381"/>
      <c r="F128" s="381"/>
      <c r="G128" s="381"/>
      <c r="H128" s="381"/>
      <c r="I128" s="381"/>
      <c r="J128" s="381"/>
      <c r="K128" s="381"/>
      <c r="L128" s="381"/>
      <c r="M128" s="381"/>
      <c r="N128" s="381"/>
      <c r="O128" s="381"/>
      <c r="P128" s="381"/>
      <c r="Q128" s="381"/>
      <c r="R128" s="381"/>
      <c r="S128" s="381"/>
      <c r="T128" s="381"/>
      <c r="U128" s="381"/>
      <c r="V128" s="381"/>
      <c r="W128" s="381"/>
      <c r="X128" s="381"/>
      <c r="Y128" s="381"/>
      <c r="Z128" s="381"/>
    </row>
    <row r="129">
      <c r="A129" s="381"/>
      <c r="B129" s="18"/>
      <c r="C129" s="359"/>
      <c r="D129" s="359"/>
      <c r="E129" s="381"/>
      <c r="F129" s="381"/>
      <c r="G129" s="381"/>
      <c r="H129" s="381"/>
      <c r="I129" s="381"/>
      <c r="J129" s="381"/>
      <c r="K129" s="381"/>
      <c r="L129" s="381"/>
      <c r="M129" s="381"/>
      <c r="N129" s="381"/>
      <c r="O129" s="381"/>
      <c r="P129" s="381"/>
      <c r="Q129" s="381"/>
      <c r="R129" s="381"/>
      <c r="S129" s="381"/>
      <c r="T129" s="381"/>
      <c r="U129" s="381"/>
      <c r="V129" s="381"/>
      <c r="W129" s="381"/>
      <c r="X129" s="381"/>
      <c r="Y129" s="381"/>
      <c r="Z129" s="381"/>
    </row>
    <row r="130">
      <c r="A130" s="381"/>
      <c r="B130" s="18"/>
      <c r="C130" s="359"/>
      <c r="D130" s="359"/>
      <c r="E130" s="381"/>
      <c r="F130" s="381"/>
      <c r="G130" s="381"/>
      <c r="H130" s="381"/>
      <c r="I130" s="381"/>
      <c r="J130" s="381"/>
      <c r="K130" s="381"/>
      <c r="L130" s="381"/>
      <c r="M130" s="381"/>
      <c r="N130" s="381"/>
      <c r="O130" s="381"/>
      <c r="P130" s="381"/>
      <c r="Q130" s="381"/>
      <c r="R130" s="381"/>
      <c r="S130" s="381"/>
      <c r="T130" s="381"/>
      <c r="U130" s="381"/>
      <c r="V130" s="381"/>
      <c r="W130" s="381"/>
      <c r="X130" s="381"/>
      <c r="Y130" s="381"/>
      <c r="Z130" s="381"/>
    </row>
    <row r="131">
      <c r="A131" s="381"/>
      <c r="B131" s="18"/>
      <c r="C131" s="359"/>
      <c r="D131" s="359"/>
      <c r="E131" s="381"/>
      <c r="F131" s="381"/>
      <c r="G131" s="381"/>
      <c r="H131" s="381"/>
      <c r="I131" s="381"/>
      <c r="J131" s="381"/>
      <c r="K131" s="381"/>
      <c r="L131" s="381"/>
      <c r="M131" s="381"/>
      <c r="N131" s="381"/>
      <c r="O131" s="381"/>
      <c r="P131" s="381"/>
      <c r="Q131" s="381"/>
      <c r="R131" s="381"/>
      <c r="S131" s="381"/>
      <c r="T131" s="381"/>
      <c r="U131" s="381"/>
      <c r="V131" s="381"/>
      <c r="W131" s="381"/>
      <c r="X131" s="381"/>
      <c r="Y131" s="381"/>
      <c r="Z131" s="381"/>
    </row>
    <row r="132">
      <c r="A132" s="381"/>
      <c r="B132" s="18"/>
      <c r="C132" s="359"/>
      <c r="D132" s="359"/>
      <c r="E132" s="381"/>
      <c r="F132" s="381"/>
      <c r="G132" s="381"/>
      <c r="H132" s="381"/>
      <c r="I132" s="381"/>
      <c r="J132" s="381"/>
      <c r="K132" s="381"/>
      <c r="L132" s="381"/>
      <c r="M132" s="381"/>
      <c r="N132" s="381"/>
      <c r="O132" s="381"/>
      <c r="P132" s="381"/>
      <c r="Q132" s="381"/>
      <c r="R132" s="381"/>
      <c r="S132" s="381"/>
      <c r="T132" s="381"/>
      <c r="U132" s="381"/>
      <c r="V132" s="381"/>
      <c r="W132" s="381"/>
      <c r="X132" s="381"/>
      <c r="Y132" s="381"/>
      <c r="Z132" s="381"/>
    </row>
    <row r="133">
      <c r="A133" s="381"/>
      <c r="B133" s="18"/>
      <c r="C133" s="359"/>
      <c r="D133" s="359"/>
      <c r="E133" s="381"/>
      <c r="F133" s="381"/>
      <c r="G133" s="381"/>
      <c r="H133" s="381"/>
      <c r="I133" s="381"/>
      <c r="J133" s="381"/>
      <c r="K133" s="381"/>
      <c r="L133" s="381"/>
      <c r="M133" s="381"/>
      <c r="N133" s="381"/>
      <c r="O133" s="381"/>
      <c r="P133" s="381"/>
      <c r="Q133" s="381"/>
      <c r="R133" s="381"/>
      <c r="S133" s="381"/>
      <c r="T133" s="381"/>
      <c r="U133" s="381"/>
      <c r="V133" s="381"/>
      <c r="W133" s="381"/>
      <c r="X133" s="381"/>
      <c r="Y133" s="381"/>
      <c r="Z133" s="381"/>
    </row>
    <row r="134">
      <c r="A134" s="381"/>
      <c r="B134" s="18"/>
      <c r="C134" s="359"/>
      <c r="D134" s="359"/>
      <c r="E134" s="381"/>
      <c r="F134" s="381"/>
      <c r="G134" s="381"/>
      <c r="H134" s="381"/>
      <c r="I134" s="381"/>
      <c r="J134" s="381"/>
      <c r="K134" s="381"/>
      <c r="L134" s="381"/>
      <c r="M134" s="381"/>
      <c r="N134" s="381"/>
      <c r="O134" s="381"/>
      <c r="P134" s="381"/>
      <c r="Q134" s="381"/>
      <c r="R134" s="381"/>
      <c r="S134" s="381"/>
      <c r="T134" s="381"/>
      <c r="U134" s="381"/>
      <c r="V134" s="381"/>
      <c r="W134" s="381"/>
      <c r="X134" s="381"/>
      <c r="Y134" s="381"/>
      <c r="Z134" s="381"/>
    </row>
    <row r="135">
      <c r="A135" s="381"/>
      <c r="B135" s="18"/>
      <c r="C135" s="359"/>
      <c r="D135" s="359"/>
      <c r="E135" s="381"/>
      <c r="F135" s="381"/>
      <c r="G135" s="381"/>
      <c r="H135" s="381"/>
      <c r="I135" s="381"/>
      <c r="J135" s="381"/>
      <c r="K135" s="381"/>
      <c r="L135" s="381"/>
      <c r="M135" s="381"/>
      <c r="N135" s="381"/>
      <c r="O135" s="381"/>
      <c r="P135" s="381"/>
      <c r="Q135" s="381"/>
      <c r="R135" s="381"/>
      <c r="S135" s="381"/>
      <c r="T135" s="381"/>
      <c r="U135" s="381"/>
      <c r="V135" s="381"/>
      <c r="W135" s="381"/>
      <c r="X135" s="381"/>
      <c r="Y135" s="381"/>
      <c r="Z135" s="381"/>
    </row>
    <row r="136">
      <c r="A136" s="381"/>
      <c r="B136" s="18"/>
      <c r="C136" s="359"/>
      <c r="D136" s="359"/>
      <c r="E136" s="381"/>
      <c r="F136" s="381"/>
      <c r="G136" s="381"/>
      <c r="H136" s="381"/>
      <c r="I136" s="381"/>
      <c r="J136" s="381"/>
      <c r="K136" s="381"/>
      <c r="L136" s="381"/>
      <c r="M136" s="381"/>
      <c r="N136" s="381"/>
      <c r="O136" s="381"/>
      <c r="P136" s="381"/>
      <c r="Q136" s="381"/>
      <c r="R136" s="381"/>
      <c r="S136" s="381"/>
      <c r="T136" s="381"/>
      <c r="U136" s="381"/>
      <c r="V136" s="381"/>
      <c r="W136" s="381"/>
      <c r="X136" s="381"/>
      <c r="Y136" s="381"/>
      <c r="Z136" s="381"/>
    </row>
    <row r="137">
      <c r="A137" s="381"/>
      <c r="B137" s="18"/>
      <c r="C137" s="359"/>
      <c r="D137" s="359"/>
      <c r="E137" s="381"/>
      <c r="F137" s="381"/>
      <c r="G137" s="381"/>
      <c r="H137" s="381"/>
      <c r="I137" s="381"/>
      <c r="J137" s="381"/>
      <c r="K137" s="381"/>
      <c r="L137" s="381"/>
      <c r="M137" s="381"/>
      <c r="N137" s="381"/>
      <c r="O137" s="381"/>
      <c r="P137" s="381"/>
      <c r="Q137" s="381"/>
      <c r="R137" s="381"/>
      <c r="S137" s="381"/>
      <c r="T137" s="381"/>
      <c r="U137" s="381"/>
      <c r="V137" s="381"/>
      <c r="W137" s="381"/>
      <c r="X137" s="381"/>
      <c r="Y137" s="381"/>
      <c r="Z137" s="381"/>
    </row>
    <row r="138">
      <c r="A138" s="381"/>
      <c r="B138" s="18"/>
      <c r="C138" s="359"/>
      <c r="D138" s="359"/>
      <c r="E138" s="381"/>
      <c r="F138" s="381"/>
      <c r="G138" s="381"/>
      <c r="H138" s="381"/>
      <c r="I138" s="381"/>
      <c r="J138" s="381"/>
      <c r="K138" s="381"/>
      <c r="L138" s="381"/>
      <c r="M138" s="381"/>
      <c r="N138" s="381"/>
      <c r="O138" s="381"/>
      <c r="P138" s="381"/>
      <c r="Q138" s="381"/>
      <c r="R138" s="381"/>
      <c r="S138" s="381"/>
      <c r="T138" s="381"/>
      <c r="U138" s="381"/>
      <c r="V138" s="381"/>
      <c r="W138" s="381"/>
      <c r="X138" s="381"/>
      <c r="Y138" s="381"/>
      <c r="Z138" s="381"/>
    </row>
    <row r="139">
      <c r="A139" s="381"/>
      <c r="B139" s="18"/>
      <c r="C139" s="359"/>
      <c r="D139" s="359"/>
      <c r="E139" s="381"/>
      <c r="F139" s="381"/>
      <c r="G139" s="381"/>
      <c r="H139" s="381"/>
      <c r="I139" s="381"/>
      <c r="J139" s="381"/>
      <c r="K139" s="381"/>
      <c r="L139" s="381"/>
      <c r="M139" s="381"/>
      <c r="N139" s="381"/>
      <c r="O139" s="381"/>
      <c r="P139" s="381"/>
      <c r="Q139" s="381"/>
      <c r="R139" s="381"/>
      <c r="S139" s="381"/>
      <c r="T139" s="381"/>
      <c r="U139" s="381"/>
      <c r="V139" s="381"/>
      <c r="W139" s="381"/>
      <c r="X139" s="381"/>
      <c r="Y139" s="381"/>
      <c r="Z139" s="381"/>
    </row>
    <row r="140">
      <c r="A140" s="381"/>
      <c r="B140" s="18"/>
      <c r="C140" s="359"/>
      <c r="D140" s="359"/>
      <c r="E140" s="381"/>
      <c r="F140" s="381"/>
      <c r="G140" s="381"/>
      <c r="H140" s="381"/>
      <c r="I140" s="381"/>
      <c r="J140" s="381"/>
      <c r="K140" s="381"/>
      <c r="L140" s="381"/>
      <c r="M140" s="381"/>
      <c r="N140" s="381"/>
      <c r="O140" s="381"/>
      <c r="P140" s="381"/>
      <c r="Q140" s="381"/>
      <c r="R140" s="381"/>
      <c r="S140" s="381"/>
      <c r="T140" s="381"/>
      <c r="U140" s="381"/>
      <c r="V140" s="381"/>
      <c r="W140" s="381"/>
      <c r="X140" s="381"/>
      <c r="Y140" s="381"/>
      <c r="Z140" s="381"/>
    </row>
    <row r="141">
      <c r="A141" s="381"/>
      <c r="B141" s="18"/>
      <c r="C141" s="359"/>
      <c r="D141" s="359"/>
      <c r="E141" s="381"/>
      <c r="F141" s="381"/>
      <c r="G141" s="381"/>
      <c r="H141" s="381"/>
      <c r="I141" s="381"/>
      <c r="J141" s="381"/>
      <c r="K141" s="381"/>
      <c r="L141" s="381"/>
      <c r="M141" s="381"/>
      <c r="N141" s="381"/>
      <c r="O141" s="381"/>
      <c r="P141" s="381"/>
      <c r="Q141" s="381"/>
      <c r="R141" s="381"/>
      <c r="S141" s="381"/>
      <c r="T141" s="381"/>
      <c r="U141" s="381"/>
      <c r="V141" s="381"/>
      <c r="W141" s="381"/>
      <c r="X141" s="381"/>
      <c r="Y141" s="381"/>
      <c r="Z141" s="381"/>
    </row>
    <row r="142">
      <c r="A142" s="381"/>
      <c r="B142" s="18"/>
      <c r="C142" s="359"/>
      <c r="D142" s="359"/>
      <c r="E142" s="381"/>
      <c r="F142" s="381"/>
      <c r="G142" s="381"/>
      <c r="H142" s="381"/>
      <c r="I142" s="381"/>
      <c r="J142" s="381"/>
      <c r="K142" s="381"/>
      <c r="L142" s="381"/>
      <c r="M142" s="381"/>
      <c r="N142" s="381"/>
      <c r="O142" s="381"/>
      <c r="P142" s="381"/>
      <c r="Q142" s="381"/>
      <c r="R142" s="381"/>
      <c r="S142" s="381"/>
      <c r="T142" s="381"/>
      <c r="U142" s="381"/>
      <c r="V142" s="381"/>
      <c r="W142" s="381"/>
      <c r="X142" s="381"/>
      <c r="Y142" s="381"/>
      <c r="Z142" s="381"/>
    </row>
    <row r="143">
      <c r="A143" s="381"/>
      <c r="B143" s="18"/>
      <c r="C143" s="359"/>
      <c r="D143" s="359"/>
      <c r="E143" s="381"/>
      <c r="F143" s="381"/>
      <c r="G143" s="381"/>
      <c r="H143" s="381"/>
      <c r="I143" s="381"/>
      <c r="J143" s="381"/>
      <c r="K143" s="381"/>
      <c r="L143" s="381"/>
      <c r="M143" s="381"/>
      <c r="N143" s="381"/>
      <c r="O143" s="381"/>
      <c r="P143" s="381"/>
      <c r="Q143" s="381"/>
      <c r="R143" s="381"/>
      <c r="S143" s="381"/>
      <c r="T143" s="381"/>
      <c r="U143" s="381"/>
      <c r="V143" s="381"/>
      <c r="W143" s="381"/>
      <c r="X143" s="381"/>
      <c r="Y143" s="381"/>
      <c r="Z143" s="381"/>
    </row>
    <row r="144">
      <c r="A144" s="381"/>
      <c r="B144" s="18"/>
      <c r="C144" s="359"/>
      <c r="D144" s="359"/>
      <c r="E144" s="381"/>
      <c r="F144" s="381"/>
      <c r="G144" s="381"/>
      <c r="H144" s="381"/>
      <c r="I144" s="381"/>
      <c r="J144" s="381"/>
      <c r="K144" s="381"/>
      <c r="L144" s="381"/>
      <c r="M144" s="381"/>
      <c r="N144" s="381"/>
      <c r="O144" s="381"/>
      <c r="P144" s="381"/>
      <c r="Q144" s="381"/>
      <c r="R144" s="381"/>
      <c r="S144" s="381"/>
      <c r="T144" s="381"/>
      <c r="U144" s="381"/>
      <c r="V144" s="381"/>
      <c r="W144" s="381"/>
      <c r="X144" s="381"/>
      <c r="Y144" s="381"/>
      <c r="Z144" s="381"/>
    </row>
    <row r="145">
      <c r="A145" s="381"/>
      <c r="B145" s="18"/>
      <c r="C145" s="359"/>
      <c r="D145" s="359"/>
      <c r="E145" s="381"/>
      <c r="F145" s="381"/>
      <c r="G145" s="381"/>
      <c r="H145" s="381"/>
      <c r="I145" s="381"/>
      <c r="J145" s="381"/>
      <c r="K145" s="381"/>
      <c r="L145" s="381"/>
      <c r="M145" s="381"/>
      <c r="N145" s="381"/>
      <c r="O145" s="381"/>
      <c r="P145" s="381"/>
      <c r="Q145" s="381"/>
      <c r="R145" s="381"/>
      <c r="S145" s="381"/>
      <c r="T145" s="381"/>
      <c r="U145" s="381"/>
      <c r="V145" s="381"/>
      <c r="W145" s="381"/>
      <c r="X145" s="381"/>
      <c r="Y145" s="381"/>
      <c r="Z145" s="381"/>
    </row>
    <row r="146">
      <c r="A146" s="381"/>
      <c r="B146" s="18"/>
      <c r="C146" s="359"/>
      <c r="D146" s="359"/>
      <c r="E146" s="381"/>
      <c r="F146" s="381"/>
      <c r="G146" s="381"/>
      <c r="H146" s="381"/>
      <c r="I146" s="381"/>
      <c r="J146" s="381"/>
      <c r="K146" s="381"/>
      <c r="L146" s="381"/>
      <c r="M146" s="381"/>
      <c r="N146" s="381"/>
      <c r="O146" s="381"/>
      <c r="P146" s="381"/>
      <c r="Q146" s="381"/>
      <c r="R146" s="381"/>
      <c r="S146" s="381"/>
      <c r="T146" s="381"/>
      <c r="U146" s="381"/>
      <c r="V146" s="381"/>
      <c r="W146" s="381"/>
      <c r="X146" s="381"/>
      <c r="Y146" s="381"/>
      <c r="Z146" s="381"/>
    </row>
    <row r="147">
      <c r="A147" s="381"/>
      <c r="B147" s="18"/>
      <c r="C147" s="359"/>
      <c r="D147" s="359"/>
      <c r="E147" s="381"/>
      <c r="F147" s="381"/>
      <c r="G147" s="381"/>
      <c r="H147" s="381"/>
      <c r="I147" s="381"/>
      <c r="J147" s="381"/>
      <c r="K147" s="381"/>
      <c r="L147" s="381"/>
      <c r="M147" s="381"/>
      <c r="N147" s="381"/>
      <c r="O147" s="381"/>
      <c r="P147" s="381"/>
      <c r="Q147" s="381"/>
      <c r="R147" s="381"/>
      <c r="S147" s="381"/>
      <c r="T147" s="381"/>
      <c r="U147" s="381"/>
      <c r="V147" s="381"/>
      <c r="W147" s="381"/>
      <c r="X147" s="381"/>
      <c r="Y147" s="381"/>
      <c r="Z147" s="381"/>
    </row>
    <row r="148">
      <c r="A148" s="381"/>
      <c r="B148" s="18"/>
      <c r="C148" s="359"/>
      <c r="D148" s="359"/>
      <c r="E148" s="381"/>
      <c r="F148" s="381"/>
      <c r="G148" s="381"/>
      <c r="H148" s="381"/>
      <c r="I148" s="381"/>
      <c r="J148" s="381"/>
      <c r="K148" s="381"/>
      <c r="L148" s="381"/>
      <c r="M148" s="381"/>
      <c r="N148" s="381"/>
      <c r="O148" s="381"/>
      <c r="P148" s="381"/>
      <c r="Q148" s="381"/>
      <c r="R148" s="381"/>
      <c r="S148" s="381"/>
      <c r="T148" s="381"/>
      <c r="U148" s="381"/>
      <c r="V148" s="381"/>
      <c r="W148" s="381"/>
      <c r="X148" s="381"/>
      <c r="Y148" s="381"/>
      <c r="Z148" s="381"/>
    </row>
    <row r="149">
      <c r="A149" s="381"/>
      <c r="B149" s="18"/>
      <c r="C149" s="359"/>
      <c r="D149" s="359"/>
      <c r="E149" s="381"/>
      <c r="F149" s="381"/>
      <c r="G149" s="381"/>
      <c r="H149" s="381"/>
      <c r="I149" s="381"/>
      <c r="J149" s="381"/>
      <c r="K149" s="381"/>
      <c r="L149" s="381"/>
      <c r="M149" s="381"/>
      <c r="N149" s="381"/>
      <c r="O149" s="381"/>
      <c r="P149" s="381"/>
      <c r="Q149" s="381"/>
      <c r="R149" s="381"/>
      <c r="S149" s="381"/>
      <c r="T149" s="381"/>
      <c r="U149" s="381"/>
      <c r="V149" s="381"/>
      <c r="W149" s="381"/>
      <c r="X149" s="381"/>
      <c r="Y149" s="381"/>
      <c r="Z149" s="381"/>
    </row>
    <row r="150">
      <c r="A150" s="381"/>
      <c r="B150" s="18"/>
      <c r="C150" s="359"/>
      <c r="D150" s="359"/>
      <c r="E150" s="381"/>
      <c r="F150" s="381"/>
      <c r="G150" s="381"/>
      <c r="H150" s="381"/>
      <c r="I150" s="381"/>
      <c r="J150" s="381"/>
      <c r="K150" s="381"/>
      <c r="L150" s="381"/>
      <c r="M150" s="381"/>
      <c r="N150" s="381"/>
      <c r="O150" s="381"/>
      <c r="P150" s="381"/>
      <c r="Q150" s="381"/>
      <c r="R150" s="381"/>
      <c r="S150" s="381"/>
      <c r="T150" s="381"/>
      <c r="U150" s="381"/>
      <c r="V150" s="381"/>
      <c r="W150" s="381"/>
      <c r="X150" s="381"/>
      <c r="Y150" s="381"/>
      <c r="Z150" s="381"/>
    </row>
    <row r="151">
      <c r="A151" s="381"/>
      <c r="B151" s="18"/>
      <c r="C151" s="359"/>
      <c r="D151" s="359"/>
      <c r="E151" s="381"/>
      <c r="F151" s="381"/>
      <c r="G151" s="381"/>
      <c r="H151" s="381"/>
      <c r="I151" s="381"/>
      <c r="J151" s="381"/>
      <c r="K151" s="381"/>
      <c r="L151" s="381"/>
      <c r="M151" s="381"/>
      <c r="N151" s="381"/>
      <c r="O151" s="381"/>
      <c r="P151" s="381"/>
      <c r="Q151" s="381"/>
      <c r="R151" s="381"/>
      <c r="S151" s="381"/>
      <c r="T151" s="381"/>
      <c r="U151" s="381"/>
      <c r="V151" s="381"/>
      <c r="W151" s="381"/>
      <c r="X151" s="381"/>
      <c r="Y151" s="381"/>
      <c r="Z151" s="381"/>
    </row>
    <row r="152">
      <c r="A152" s="381"/>
      <c r="B152" s="18"/>
      <c r="C152" s="359"/>
      <c r="D152" s="359"/>
      <c r="E152" s="381"/>
      <c r="F152" s="381"/>
      <c r="G152" s="381"/>
      <c r="H152" s="381"/>
      <c r="I152" s="381"/>
      <c r="J152" s="381"/>
      <c r="K152" s="381"/>
      <c r="L152" s="381"/>
      <c r="M152" s="381"/>
      <c r="N152" s="381"/>
      <c r="O152" s="381"/>
      <c r="P152" s="381"/>
      <c r="Q152" s="381"/>
      <c r="R152" s="381"/>
      <c r="S152" s="381"/>
      <c r="T152" s="381"/>
      <c r="U152" s="381"/>
      <c r="V152" s="381"/>
      <c r="W152" s="381"/>
      <c r="X152" s="381"/>
      <c r="Y152" s="381"/>
      <c r="Z152" s="381"/>
    </row>
    <row r="153">
      <c r="A153" s="381"/>
      <c r="B153" s="18"/>
      <c r="C153" s="359"/>
      <c r="D153" s="359"/>
      <c r="E153" s="381"/>
      <c r="F153" s="381"/>
      <c r="G153" s="381"/>
      <c r="H153" s="381"/>
      <c r="I153" s="381"/>
      <c r="J153" s="381"/>
      <c r="K153" s="381"/>
      <c r="L153" s="381"/>
      <c r="M153" s="381"/>
      <c r="N153" s="381"/>
      <c r="O153" s="381"/>
      <c r="P153" s="381"/>
      <c r="Q153" s="381"/>
      <c r="R153" s="381"/>
      <c r="S153" s="381"/>
      <c r="T153" s="381"/>
      <c r="U153" s="381"/>
      <c r="V153" s="381"/>
      <c r="W153" s="381"/>
      <c r="X153" s="381"/>
      <c r="Y153" s="381"/>
      <c r="Z153" s="381"/>
    </row>
    <row r="154">
      <c r="A154" s="381"/>
      <c r="B154" s="18"/>
      <c r="C154" s="359"/>
      <c r="D154" s="359"/>
      <c r="E154" s="381"/>
      <c r="F154" s="381"/>
      <c r="G154" s="381"/>
      <c r="H154" s="381"/>
      <c r="I154" s="381"/>
      <c r="J154" s="381"/>
      <c r="K154" s="381"/>
      <c r="L154" s="381"/>
      <c r="M154" s="381"/>
      <c r="N154" s="381"/>
      <c r="O154" s="381"/>
      <c r="P154" s="381"/>
      <c r="Q154" s="381"/>
      <c r="R154" s="381"/>
      <c r="S154" s="381"/>
      <c r="T154" s="381"/>
      <c r="U154" s="381"/>
      <c r="V154" s="381"/>
      <c r="W154" s="381"/>
      <c r="X154" s="381"/>
      <c r="Y154" s="381"/>
      <c r="Z154" s="381"/>
    </row>
    <row r="155">
      <c r="A155" s="381"/>
      <c r="B155" s="18"/>
      <c r="C155" s="359"/>
      <c r="D155" s="359"/>
      <c r="E155" s="381"/>
      <c r="F155" s="381"/>
      <c r="G155" s="381"/>
      <c r="H155" s="381"/>
      <c r="I155" s="381"/>
      <c r="J155" s="381"/>
      <c r="K155" s="381"/>
      <c r="L155" s="381"/>
      <c r="M155" s="381"/>
      <c r="N155" s="381"/>
      <c r="O155" s="381"/>
      <c r="P155" s="381"/>
      <c r="Q155" s="381"/>
      <c r="R155" s="381"/>
      <c r="S155" s="381"/>
      <c r="T155" s="381"/>
      <c r="U155" s="381"/>
      <c r="V155" s="381"/>
      <c r="W155" s="381"/>
      <c r="X155" s="381"/>
      <c r="Y155" s="381"/>
      <c r="Z155" s="381"/>
    </row>
    <row r="156">
      <c r="A156" s="381"/>
      <c r="B156" s="18"/>
      <c r="C156" s="359"/>
      <c r="D156" s="359"/>
      <c r="E156" s="381"/>
      <c r="F156" s="381"/>
      <c r="G156" s="381"/>
      <c r="H156" s="381"/>
      <c r="I156" s="381"/>
      <c r="J156" s="381"/>
      <c r="K156" s="381"/>
      <c r="L156" s="381"/>
      <c r="M156" s="381"/>
      <c r="N156" s="381"/>
      <c r="O156" s="381"/>
      <c r="P156" s="381"/>
      <c r="Q156" s="381"/>
      <c r="R156" s="381"/>
      <c r="S156" s="381"/>
      <c r="T156" s="381"/>
      <c r="U156" s="381"/>
      <c r="V156" s="381"/>
      <c r="W156" s="381"/>
      <c r="X156" s="381"/>
      <c r="Y156" s="381"/>
      <c r="Z156" s="381"/>
    </row>
    <row r="157">
      <c r="A157" s="381"/>
      <c r="B157" s="18"/>
      <c r="C157" s="359"/>
      <c r="D157" s="359"/>
      <c r="E157" s="381"/>
      <c r="F157" s="381"/>
      <c r="G157" s="381"/>
      <c r="H157" s="381"/>
      <c r="I157" s="381"/>
      <c r="J157" s="381"/>
      <c r="K157" s="381"/>
      <c r="L157" s="381"/>
      <c r="M157" s="381"/>
      <c r="N157" s="381"/>
      <c r="O157" s="381"/>
      <c r="P157" s="381"/>
      <c r="Q157" s="381"/>
      <c r="R157" s="381"/>
      <c r="S157" s="381"/>
      <c r="T157" s="381"/>
      <c r="U157" s="381"/>
      <c r="V157" s="381"/>
      <c r="W157" s="381"/>
      <c r="X157" s="381"/>
      <c r="Y157" s="381"/>
      <c r="Z157" s="381"/>
    </row>
    <row r="158">
      <c r="A158" s="381"/>
      <c r="B158" s="18"/>
      <c r="C158" s="359"/>
      <c r="D158" s="359"/>
      <c r="E158" s="381"/>
      <c r="F158" s="381"/>
      <c r="G158" s="381"/>
      <c r="H158" s="381"/>
      <c r="I158" s="381"/>
      <c r="J158" s="381"/>
      <c r="K158" s="381"/>
      <c r="L158" s="381"/>
      <c r="M158" s="381"/>
      <c r="N158" s="381"/>
      <c r="O158" s="381"/>
      <c r="P158" s="381"/>
      <c r="Q158" s="381"/>
      <c r="R158" s="381"/>
      <c r="S158" s="381"/>
      <c r="T158" s="381"/>
      <c r="U158" s="381"/>
      <c r="V158" s="381"/>
      <c r="W158" s="381"/>
      <c r="X158" s="381"/>
      <c r="Y158" s="381"/>
      <c r="Z158" s="381"/>
    </row>
    <row r="159">
      <c r="A159" s="381"/>
      <c r="B159" s="18"/>
      <c r="C159" s="359"/>
      <c r="D159" s="359"/>
      <c r="E159" s="381"/>
      <c r="F159" s="381"/>
      <c r="G159" s="381"/>
      <c r="H159" s="381"/>
      <c r="I159" s="381"/>
      <c r="J159" s="381"/>
      <c r="K159" s="381"/>
      <c r="L159" s="381"/>
      <c r="M159" s="381"/>
      <c r="N159" s="381"/>
      <c r="O159" s="381"/>
      <c r="P159" s="381"/>
      <c r="Q159" s="381"/>
      <c r="R159" s="381"/>
      <c r="S159" s="381"/>
      <c r="T159" s="381"/>
      <c r="U159" s="381"/>
      <c r="V159" s="381"/>
      <c r="W159" s="381"/>
      <c r="X159" s="381"/>
      <c r="Y159" s="381"/>
      <c r="Z159" s="381"/>
    </row>
    <row r="160">
      <c r="A160" s="381"/>
      <c r="B160" s="18"/>
      <c r="C160" s="359"/>
      <c r="D160" s="359"/>
      <c r="E160" s="381"/>
      <c r="F160" s="381"/>
      <c r="G160" s="381"/>
      <c r="H160" s="381"/>
      <c r="I160" s="381"/>
      <c r="J160" s="381"/>
      <c r="K160" s="381"/>
      <c r="L160" s="381"/>
      <c r="M160" s="381"/>
      <c r="N160" s="381"/>
      <c r="O160" s="381"/>
      <c r="P160" s="381"/>
      <c r="Q160" s="381"/>
      <c r="R160" s="381"/>
      <c r="S160" s="381"/>
      <c r="T160" s="381"/>
      <c r="U160" s="381"/>
      <c r="V160" s="381"/>
      <c r="W160" s="381"/>
      <c r="X160" s="381"/>
      <c r="Y160" s="381"/>
      <c r="Z160" s="381"/>
    </row>
    <row r="161">
      <c r="A161" s="381"/>
      <c r="B161" s="18"/>
      <c r="C161" s="359"/>
      <c r="D161" s="359"/>
      <c r="E161" s="381"/>
      <c r="F161" s="381"/>
      <c r="G161" s="381"/>
      <c r="H161" s="381"/>
      <c r="I161" s="381"/>
      <c r="J161" s="381"/>
      <c r="K161" s="381"/>
      <c r="L161" s="381"/>
      <c r="M161" s="381"/>
      <c r="N161" s="381"/>
      <c r="O161" s="381"/>
      <c r="P161" s="381"/>
      <c r="Q161" s="381"/>
      <c r="R161" s="381"/>
      <c r="S161" s="381"/>
      <c r="T161" s="381"/>
      <c r="U161" s="381"/>
      <c r="V161" s="381"/>
      <c r="W161" s="381"/>
      <c r="X161" s="381"/>
      <c r="Y161" s="381"/>
      <c r="Z161" s="381"/>
    </row>
    <row r="162">
      <c r="A162" s="381"/>
      <c r="B162" s="18"/>
      <c r="C162" s="359"/>
      <c r="D162" s="359"/>
      <c r="E162" s="381"/>
      <c r="F162" s="381"/>
      <c r="G162" s="381"/>
      <c r="H162" s="381"/>
      <c r="I162" s="381"/>
      <c r="J162" s="381"/>
      <c r="K162" s="381"/>
      <c r="L162" s="381"/>
      <c r="M162" s="381"/>
      <c r="N162" s="381"/>
      <c r="O162" s="381"/>
      <c r="P162" s="381"/>
      <c r="Q162" s="381"/>
      <c r="R162" s="381"/>
      <c r="S162" s="381"/>
      <c r="T162" s="381"/>
      <c r="U162" s="381"/>
      <c r="V162" s="381"/>
      <c r="W162" s="381"/>
      <c r="X162" s="381"/>
      <c r="Y162" s="381"/>
      <c r="Z162" s="381"/>
    </row>
    <row r="163">
      <c r="A163" s="381"/>
      <c r="B163" s="18"/>
      <c r="C163" s="359"/>
      <c r="D163" s="359"/>
      <c r="E163" s="381"/>
      <c r="F163" s="381"/>
      <c r="G163" s="381"/>
      <c r="H163" s="381"/>
      <c r="I163" s="381"/>
      <c r="J163" s="381"/>
      <c r="K163" s="381"/>
      <c r="L163" s="381"/>
      <c r="M163" s="381"/>
      <c r="N163" s="381"/>
      <c r="O163" s="381"/>
      <c r="P163" s="381"/>
      <c r="Q163" s="381"/>
      <c r="R163" s="381"/>
      <c r="S163" s="381"/>
      <c r="T163" s="381"/>
      <c r="U163" s="381"/>
      <c r="V163" s="381"/>
      <c r="W163" s="381"/>
      <c r="X163" s="381"/>
      <c r="Y163" s="381"/>
      <c r="Z163" s="381"/>
    </row>
    <row r="164">
      <c r="A164" s="381"/>
      <c r="B164" s="18"/>
      <c r="C164" s="359"/>
      <c r="D164" s="359"/>
      <c r="E164" s="381"/>
      <c r="F164" s="381"/>
      <c r="G164" s="381"/>
      <c r="H164" s="381"/>
      <c r="I164" s="381"/>
      <c r="J164" s="381"/>
      <c r="K164" s="381"/>
      <c r="L164" s="381"/>
      <c r="M164" s="381"/>
      <c r="N164" s="381"/>
      <c r="O164" s="381"/>
      <c r="P164" s="381"/>
      <c r="Q164" s="381"/>
      <c r="R164" s="381"/>
      <c r="S164" s="381"/>
      <c r="T164" s="381"/>
      <c r="U164" s="381"/>
      <c r="V164" s="381"/>
      <c r="W164" s="381"/>
      <c r="X164" s="381"/>
      <c r="Y164" s="381"/>
      <c r="Z164" s="381"/>
    </row>
    <row r="165">
      <c r="A165" s="381"/>
      <c r="B165" s="18"/>
      <c r="C165" s="359"/>
      <c r="D165" s="359"/>
      <c r="E165" s="381"/>
      <c r="F165" s="381"/>
      <c r="G165" s="381"/>
      <c r="H165" s="381"/>
      <c r="I165" s="381"/>
      <c r="J165" s="381"/>
      <c r="K165" s="381"/>
      <c r="L165" s="381"/>
      <c r="M165" s="381"/>
      <c r="N165" s="381"/>
      <c r="O165" s="381"/>
      <c r="P165" s="381"/>
      <c r="Q165" s="381"/>
      <c r="R165" s="381"/>
      <c r="S165" s="381"/>
      <c r="T165" s="381"/>
      <c r="U165" s="381"/>
      <c r="V165" s="381"/>
      <c r="W165" s="381"/>
      <c r="X165" s="381"/>
      <c r="Y165" s="381"/>
      <c r="Z165" s="381"/>
    </row>
    <row r="166">
      <c r="A166" s="381"/>
      <c r="B166" s="18"/>
      <c r="C166" s="359"/>
      <c r="D166" s="359"/>
      <c r="E166" s="381"/>
      <c r="F166" s="381"/>
      <c r="G166" s="381"/>
      <c r="H166" s="381"/>
      <c r="I166" s="381"/>
      <c r="J166" s="381"/>
      <c r="K166" s="381"/>
      <c r="L166" s="381"/>
      <c r="M166" s="381"/>
      <c r="N166" s="381"/>
      <c r="O166" s="381"/>
      <c r="P166" s="381"/>
      <c r="Q166" s="381"/>
      <c r="R166" s="381"/>
      <c r="S166" s="381"/>
      <c r="T166" s="381"/>
      <c r="U166" s="381"/>
      <c r="V166" s="381"/>
      <c r="W166" s="381"/>
      <c r="X166" s="381"/>
      <c r="Y166" s="381"/>
      <c r="Z166" s="381"/>
    </row>
    <row r="167">
      <c r="A167" s="381"/>
      <c r="B167" s="18"/>
      <c r="C167" s="359"/>
      <c r="D167" s="359"/>
      <c r="E167" s="381"/>
      <c r="F167" s="381"/>
      <c r="G167" s="381"/>
      <c r="H167" s="381"/>
      <c r="I167" s="381"/>
      <c r="J167" s="381"/>
      <c r="K167" s="381"/>
      <c r="L167" s="381"/>
      <c r="M167" s="381"/>
      <c r="N167" s="381"/>
      <c r="O167" s="381"/>
      <c r="P167" s="381"/>
      <c r="Q167" s="381"/>
      <c r="R167" s="381"/>
      <c r="S167" s="381"/>
      <c r="T167" s="381"/>
      <c r="U167" s="381"/>
      <c r="V167" s="381"/>
      <c r="W167" s="381"/>
      <c r="X167" s="381"/>
      <c r="Y167" s="381"/>
      <c r="Z167" s="381"/>
    </row>
    <row r="168">
      <c r="A168" s="381"/>
      <c r="B168" s="18"/>
      <c r="C168" s="359"/>
      <c r="D168" s="359"/>
      <c r="E168" s="381"/>
      <c r="F168" s="381"/>
      <c r="G168" s="381"/>
      <c r="H168" s="381"/>
      <c r="I168" s="381"/>
      <c r="J168" s="381"/>
      <c r="K168" s="381"/>
      <c r="L168" s="381"/>
      <c r="M168" s="381"/>
      <c r="N168" s="381"/>
      <c r="O168" s="381"/>
      <c r="P168" s="381"/>
      <c r="Q168" s="381"/>
      <c r="R168" s="381"/>
      <c r="S168" s="381"/>
      <c r="T168" s="381"/>
      <c r="U168" s="381"/>
      <c r="V168" s="381"/>
      <c r="W168" s="381"/>
      <c r="X168" s="381"/>
      <c r="Y168" s="381"/>
      <c r="Z168" s="381"/>
    </row>
    <row r="169">
      <c r="A169" s="381"/>
      <c r="B169" s="18"/>
      <c r="C169" s="359"/>
      <c r="D169" s="359"/>
      <c r="E169" s="381"/>
      <c r="F169" s="381"/>
      <c r="G169" s="381"/>
      <c r="H169" s="381"/>
      <c r="I169" s="381"/>
      <c r="J169" s="381"/>
      <c r="K169" s="381"/>
      <c r="L169" s="381"/>
      <c r="M169" s="381"/>
      <c r="N169" s="381"/>
      <c r="O169" s="381"/>
      <c r="P169" s="381"/>
      <c r="Q169" s="381"/>
      <c r="R169" s="381"/>
      <c r="S169" s="381"/>
      <c r="T169" s="381"/>
      <c r="U169" s="381"/>
      <c r="V169" s="381"/>
      <c r="W169" s="381"/>
      <c r="X169" s="381"/>
      <c r="Y169" s="381"/>
      <c r="Z169" s="381"/>
    </row>
    <row r="170">
      <c r="A170" s="381"/>
      <c r="B170" s="18"/>
      <c r="C170" s="359"/>
      <c r="D170" s="359"/>
      <c r="E170" s="381"/>
      <c r="F170" s="381"/>
      <c r="G170" s="381"/>
      <c r="H170" s="381"/>
      <c r="I170" s="381"/>
      <c r="J170" s="381"/>
      <c r="K170" s="381"/>
      <c r="L170" s="381"/>
      <c r="M170" s="381"/>
      <c r="N170" s="381"/>
      <c r="O170" s="381"/>
      <c r="P170" s="381"/>
      <c r="Q170" s="381"/>
      <c r="R170" s="381"/>
      <c r="S170" s="381"/>
      <c r="T170" s="381"/>
      <c r="U170" s="381"/>
      <c r="V170" s="381"/>
      <c r="W170" s="381"/>
      <c r="X170" s="381"/>
      <c r="Y170" s="381"/>
      <c r="Z170" s="381"/>
    </row>
    <row r="171">
      <c r="A171" s="381"/>
      <c r="B171" s="18"/>
      <c r="C171" s="359"/>
      <c r="D171" s="359"/>
      <c r="E171" s="381"/>
      <c r="F171" s="381"/>
      <c r="G171" s="381"/>
      <c r="H171" s="381"/>
      <c r="I171" s="381"/>
      <c r="J171" s="381"/>
      <c r="K171" s="381"/>
      <c r="L171" s="381"/>
      <c r="M171" s="381"/>
      <c r="N171" s="381"/>
      <c r="O171" s="381"/>
      <c r="P171" s="381"/>
      <c r="Q171" s="381"/>
      <c r="R171" s="381"/>
      <c r="S171" s="381"/>
      <c r="T171" s="381"/>
      <c r="U171" s="381"/>
      <c r="V171" s="381"/>
      <c r="W171" s="381"/>
      <c r="X171" s="381"/>
      <c r="Y171" s="381"/>
      <c r="Z171" s="381"/>
    </row>
    <row r="172">
      <c r="A172" s="381"/>
      <c r="B172" s="18"/>
      <c r="C172" s="359"/>
      <c r="D172" s="359"/>
      <c r="E172" s="381"/>
      <c r="F172" s="381"/>
      <c r="G172" s="381"/>
      <c r="H172" s="381"/>
      <c r="I172" s="381"/>
      <c r="J172" s="381"/>
      <c r="K172" s="381"/>
      <c r="L172" s="381"/>
      <c r="M172" s="381"/>
      <c r="N172" s="381"/>
      <c r="O172" s="381"/>
      <c r="P172" s="381"/>
      <c r="Q172" s="381"/>
      <c r="R172" s="381"/>
      <c r="S172" s="381"/>
      <c r="T172" s="381"/>
      <c r="U172" s="381"/>
      <c r="V172" s="381"/>
      <c r="W172" s="381"/>
      <c r="X172" s="381"/>
      <c r="Y172" s="381"/>
      <c r="Z172" s="381"/>
    </row>
    <row r="173">
      <c r="A173" s="381"/>
      <c r="B173" s="18"/>
      <c r="C173" s="359"/>
      <c r="D173" s="359"/>
      <c r="E173" s="381"/>
      <c r="F173" s="381"/>
      <c r="G173" s="381"/>
      <c r="H173" s="381"/>
      <c r="I173" s="381"/>
      <c r="J173" s="381"/>
      <c r="K173" s="381"/>
      <c r="L173" s="381"/>
      <c r="M173" s="381"/>
      <c r="N173" s="381"/>
      <c r="O173" s="381"/>
      <c r="P173" s="381"/>
      <c r="Q173" s="381"/>
      <c r="R173" s="381"/>
      <c r="S173" s="381"/>
      <c r="T173" s="381"/>
      <c r="U173" s="381"/>
      <c r="V173" s="381"/>
      <c r="W173" s="381"/>
      <c r="X173" s="381"/>
      <c r="Y173" s="381"/>
      <c r="Z173" s="381"/>
    </row>
    <row r="174">
      <c r="A174" s="381"/>
      <c r="B174" s="18"/>
      <c r="C174" s="359"/>
      <c r="D174" s="359"/>
      <c r="E174" s="381"/>
      <c r="F174" s="381"/>
      <c r="G174" s="381"/>
      <c r="H174" s="381"/>
      <c r="I174" s="381"/>
      <c r="J174" s="381"/>
      <c r="K174" s="381"/>
      <c r="L174" s="381"/>
      <c r="M174" s="381"/>
      <c r="N174" s="381"/>
      <c r="O174" s="381"/>
      <c r="P174" s="381"/>
      <c r="Q174" s="381"/>
      <c r="R174" s="381"/>
      <c r="S174" s="381"/>
      <c r="T174" s="381"/>
      <c r="U174" s="381"/>
      <c r="V174" s="381"/>
      <c r="W174" s="381"/>
      <c r="X174" s="381"/>
      <c r="Y174" s="381"/>
      <c r="Z174" s="381"/>
    </row>
    <row r="175">
      <c r="A175" s="381"/>
      <c r="B175" s="18"/>
      <c r="C175" s="359"/>
      <c r="D175" s="359"/>
      <c r="E175" s="381"/>
      <c r="F175" s="381"/>
      <c r="G175" s="381"/>
      <c r="H175" s="381"/>
      <c r="I175" s="381"/>
      <c r="J175" s="381"/>
      <c r="K175" s="381"/>
      <c r="L175" s="381"/>
      <c r="M175" s="381"/>
      <c r="N175" s="381"/>
      <c r="O175" s="381"/>
      <c r="P175" s="381"/>
      <c r="Q175" s="381"/>
      <c r="R175" s="381"/>
      <c r="S175" s="381"/>
      <c r="T175" s="381"/>
      <c r="U175" s="381"/>
      <c r="V175" s="381"/>
      <c r="W175" s="381"/>
      <c r="X175" s="381"/>
      <c r="Y175" s="381"/>
      <c r="Z175" s="381"/>
    </row>
    <row r="176">
      <c r="A176" s="381"/>
      <c r="B176" s="18"/>
      <c r="C176" s="359"/>
      <c r="D176" s="359"/>
      <c r="E176" s="381"/>
      <c r="F176" s="381"/>
      <c r="G176" s="381"/>
      <c r="H176" s="381"/>
      <c r="I176" s="381"/>
      <c r="J176" s="381"/>
      <c r="K176" s="381"/>
      <c r="L176" s="381"/>
      <c r="M176" s="381"/>
      <c r="N176" s="381"/>
      <c r="O176" s="381"/>
      <c r="P176" s="381"/>
      <c r="Q176" s="381"/>
      <c r="R176" s="381"/>
      <c r="S176" s="381"/>
      <c r="T176" s="381"/>
      <c r="U176" s="381"/>
      <c r="V176" s="381"/>
      <c r="W176" s="381"/>
      <c r="X176" s="381"/>
      <c r="Y176" s="381"/>
      <c r="Z176" s="381"/>
    </row>
    <row r="177">
      <c r="A177" s="381"/>
      <c r="B177" s="18"/>
      <c r="C177" s="359"/>
      <c r="D177" s="359"/>
      <c r="E177" s="381"/>
      <c r="F177" s="381"/>
      <c r="G177" s="381"/>
      <c r="H177" s="381"/>
      <c r="I177" s="381"/>
      <c r="J177" s="381"/>
      <c r="K177" s="381"/>
      <c r="L177" s="381"/>
      <c r="M177" s="381"/>
      <c r="N177" s="381"/>
      <c r="O177" s="381"/>
      <c r="P177" s="381"/>
      <c r="Q177" s="381"/>
      <c r="R177" s="381"/>
      <c r="S177" s="381"/>
      <c r="T177" s="381"/>
      <c r="U177" s="381"/>
      <c r="V177" s="381"/>
      <c r="W177" s="381"/>
      <c r="X177" s="381"/>
      <c r="Y177" s="381"/>
      <c r="Z177" s="381"/>
    </row>
    <row r="178">
      <c r="A178" s="381"/>
      <c r="B178" s="18"/>
      <c r="C178" s="359"/>
      <c r="D178" s="359"/>
      <c r="E178" s="381"/>
      <c r="F178" s="381"/>
      <c r="G178" s="381"/>
      <c r="H178" s="381"/>
      <c r="I178" s="381"/>
      <c r="J178" s="381"/>
      <c r="K178" s="381"/>
      <c r="L178" s="381"/>
      <c r="M178" s="381"/>
      <c r="N178" s="381"/>
      <c r="O178" s="381"/>
      <c r="P178" s="381"/>
      <c r="Q178" s="381"/>
      <c r="R178" s="381"/>
      <c r="S178" s="381"/>
      <c r="T178" s="381"/>
      <c r="U178" s="381"/>
      <c r="V178" s="381"/>
      <c r="W178" s="381"/>
      <c r="X178" s="381"/>
      <c r="Y178" s="381"/>
      <c r="Z178" s="381"/>
    </row>
    <row r="179">
      <c r="A179" s="381"/>
      <c r="B179" s="18"/>
      <c r="C179" s="359"/>
      <c r="D179" s="359"/>
      <c r="E179" s="381"/>
      <c r="F179" s="381"/>
      <c r="G179" s="381"/>
      <c r="H179" s="381"/>
      <c r="I179" s="381"/>
      <c r="J179" s="381"/>
      <c r="K179" s="381"/>
      <c r="L179" s="381"/>
      <c r="M179" s="381"/>
      <c r="N179" s="381"/>
      <c r="O179" s="381"/>
      <c r="P179" s="381"/>
      <c r="Q179" s="381"/>
      <c r="R179" s="381"/>
      <c r="S179" s="381"/>
      <c r="T179" s="381"/>
      <c r="U179" s="381"/>
      <c r="V179" s="381"/>
      <c r="W179" s="381"/>
      <c r="X179" s="381"/>
      <c r="Y179" s="381"/>
      <c r="Z179" s="381"/>
    </row>
    <row r="180">
      <c r="A180" s="381"/>
      <c r="B180" s="18"/>
      <c r="C180" s="359"/>
      <c r="D180" s="359"/>
      <c r="E180" s="381"/>
      <c r="F180" s="381"/>
      <c r="G180" s="381"/>
      <c r="H180" s="381"/>
      <c r="I180" s="381"/>
      <c r="J180" s="381"/>
      <c r="K180" s="381"/>
      <c r="L180" s="381"/>
      <c r="M180" s="381"/>
      <c r="N180" s="381"/>
      <c r="O180" s="381"/>
      <c r="P180" s="381"/>
      <c r="Q180" s="381"/>
      <c r="R180" s="381"/>
      <c r="S180" s="381"/>
      <c r="T180" s="381"/>
      <c r="U180" s="381"/>
      <c r="V180" s="381"/>
      <c r="W180" s="381"/>
      <c r="X180" s="381"/>
      <c r="Y180" s="381"/>
      <c r="Z180" s="381"/>
    </row>
    <row r="181">
      <c r="A181" s="381"/>
      <c r="B181" s="18"/>
      <c r="C181" s="359"/>
      <c r="D181" s="359"/>
      <c r="E181" s="381"/>
      <c r="F181" s="381"/>
      <c r="G181" s="381"/>
      <c r="H181" s="381"/>
      <c r="I181" s="381"/>
      <c r="J181" s="381"/>
      <c r="K181" s="381"/>
      <c r="L181" s="381"/>
      <c r="M181" s="381"/>
      <c r="N181" s="381"/>
      <c r="O181" s="381"/>
      <c r="P181" s="381"/>
      <c r="Q181" s="381"/>
      <c r="R181" s="381"/>
      <c r="S181" s="381"/>
      <c r="T181" s="381"/>
      <c r="U181" s="381"/>
      <c r="V181" s="381"/>
      <c r="W181" s="381"/>
      <c r="X181" s="381"/>
      <c r="Y181" s="381"/>
      <c r="Z181" s="381"/>
    </row>
    <row r="182">
      <c r="A182" s="381"/>
      <c r="B182" s="18"/>
      <c r="C182" s="359"/>
      <c r="D182" s="359"/>
      <c r="E182" s="381"/>
      <c r="F182" s="381"/>
      <c r="G182" s="381"/>
      <c r="H182" s="381"/>
      <c r="I182" s="381"/>
      <c r="J182" s="381"/>
      <c r="K182" s="381"/>
      <c r="L182" s="381"/>
      <c r="M182" s="381"/>
      <c r="N182" s="381"/>
      <c r="O182" s="381"/>
      <c r="P182" s="381"/>
      <c r="Q182" s="381"/>
      <c r="R182" s="381"/>
      <c r="S182" s="381"/>
      <c r="T182" s="381"/>
      <c r="U182" s="381"/>
      <c r="V182" s="381"/>
      <c r="W182" s="381"/>
      <c r="X182" s="381"/>
      <c r="Y182" s="381"/>
      <c r="Z182" s="381"/>
    </row>
    <row r="183">
      <c r="A183" s="381"/>
      <c r="B183" s="18"/>
      <c r="C183" s="359"/>
      <c r="D183" s="359"/>
      <c r="E183" s="381"/>
      <c r="F183" s="381"/>
      <c r="G183" s="381"/>
      <c r="H183" s="381"/>
      <c r="I183" s="381"/>
      <c r="J183" s="381"/>
      <c r="K183" s="381"/>
      <c r="L183" s="381"/>
      <c r="M183" s="381"/>
      <c r="N183" s="381"/>
      <c r="O183" s="381"/>
      <c r="P183" s="381"/>
      <c r="Q183" s="381"/>
      <c r="R183" s="381"/>
      <c r="S183" s="381"/>
      <c r="T183" s="381"/>
      <c r="U183" s="381"/>
      <c r="V183" s="381"/>
      <c r="W183" s="381"/>
      <c r="X183" s="381"/>
      <c r="Y183" s="381"/>
      <c r="Z183" s="381"/>
    </row>
    <row r="184">
      <c r="A184" s="381"/>
      <c r="B184" s="18"/>
      <c r="C184" s="359"/>
      <c r="D184" s="359"/>
      <c r="E184" s="381"/>
      <c r="F184" s="381"/>
      <c r="G184" s="381"/>
      <c r="H184" s="381"/>
      <c r="I184" s="381"/>
      <c r="J184" s="381"/>
      <c r="K184" s="381"/>
      <c r="L184" s="381"/>
      <c r="M184" s="381"/>
      <c r="N184" s="381"/>
      <c r="O184" s="381"/>
      <c r="P184" s="381"/>
      <c r="Q184" s="381"/>
      <c r="R184" s="381"/>
      <c r="S184" s="381"/>
      <c r="T184" s="381"/>
      <c r="U184" s="381"/>
      <c r="V184" s="381"/>
      <c r="W184" s="381"/>
      <c r="X184" s="381"/>
      <c r="Y184" s="381"/>
      <c r="Z184" s="381"/>
    </row>
    <row r="185">
      <c r="A185" s="381"/>
      <c r="B185" s="18"/>
      <c r="C185" s="359"/>
      <c r="D185" s="359"/>
      <c r="E185" s="381"/>
      <c r="F185" s="381"/>
      <c r="G185" s="381"/>
      <c r="H185" s="381"/>
      <c r="I185" s="381"/>
      <c r="J185" s="381"/>
      <c r="K185" s="381"/>
      <c r="L185" s="381"/>
      <c r="M185" s="381"/>
      <c r="N185" s="381"/>
      <c r="O185" s="381"/>
      <c r="P185" s="381"/>
      <c r="Q185" s="381"/>
      <c r="R185" s="381"/>
      <c r="S185" s="381"/>
      <c r="T185" s="381"/>
      <c r="U185" s="381"/>
      <c r="V185" s="381"/>
      <c r="W185" s="381"/>
      <c r="X185" s="381"/>
      <c r="Y185" s="381"/>
      <c r="Z185" s="381"/>
    </row>
    <row r="186">
      <c r="A186" s="381"/>
      <c r="B186" s="18"/>
      <c r="C186" s="359"/>
      <c r="D186" s="359"/>
      <c r="E186" s="381"/>
      <c r="F186" s="381"/>
      <c r="G186" s="381"/>
      <c r="H186" s="381"/>
      <c r="I186" s="381"/>
      <c r="J186" s="381"/>
      <c r="K186" s="381"/>
      <c r="L186" s="381"/>
      <c r="M186" s="381"/>
      <c r="N186" s="381"/>
      <c r="O186" s="381"/>
      <c r="P186" s="381"/>
      <c r="Q186" s="381"/>
      <c r="R186" s="381"/>
      <c r="S186" s="381"/>
      <c r="T186" s="381"/>
      <c r="U186" s="381"/>
      <c r="V186" s="381"/>
      <c r="W186" s="381"/>
      <c r="X186" s="381"/>
      <c r="Y186" s="381"/>
      <c r="Z186" s="381"/>
    </row>
    <row r="187">
      <c r="A187" s="381"/>
      <c r="B187" s="18"/>
      <c r="C187" s="359"/>
      <c r="D187" s="359"/>
      <c r="E187" s="381"/>
      <c r="F187" s="381"/>
      <c r="G187" s="381"/>
      <c r="H187" s="381"/>
      <c r="I187" s="381"/>
      <c r="J187" s="381"/>
      <c r="K187" s="381"/>
      <c r="L187" s="381"/>
      <c r="M187" s="381"/>
      <c r="N187" s="381"/>
      <c r="O187" s="381"/>
      <c r="P187" s="381"/>
      <c r="Q187" s="381"/>
      <c r="R187" s="381"/>
      <c r="S187" s="381"/>
      <c r="T187" s="381"/>
      <c r="U187" s="381"/>
      <c r="V187" s="381"/>
      <c r="W187" s="381"/>
      <c r="X187" s="381"/>
      <c r="Y187" s="381"/>
      <c r="Z187" s="381"/>
    </row>
    <row r="188">
      <c r="A188" s="381"/>
      <c r="B188" s="18"/>
      <c r="C188" s="359"/>
      <c r="D188" s="359"/>
      <c r="E188" s="381"/>
      <c r="F188" s="381"/>
      <c r="G188" s="381"/>
      <c r="H188" s="381"/>
      <c r="I188" s="381"/>
      <c r="J188" s="381"/>
      <c r="K188" s="381"/>
      <c r="L188" s="381"/>
      <c r="M188" s="381"/>
      <c r="N188" s="381"/>
      <c r="O188" s="381"/>
      <c r="P188" s="381"/>
      <c r="Q188" s="381"/>
      <c r="R188" s="381"/>
      <c r="S188" s="381"/>
      <c r="T188" s="381"/>
      <c r="U188" s="381"/>
      <c r="V188" s="381"/>
      <c r="W188" s="381"/>
      <c r="X188" s="381"/>
      <c r="Y188" s="381"/>
      <c r="Z188" s="381"/>
    </row>
    <row r="189">
      <c r="A189" s="381"/>
      <c r="B189" s="18"/>
      <c r="C189" s="359"/>
      <c r="D189" s="359"/>
      <c r="E189" s="381"/>
      <c r="F189" s="381"/>
      <c r="G189" s="381"/>
      <c r="H189" s="381"/>
      <c r="I189" s="381"/>
      <c r="J189" s="381"/>
      <c r="K189" s="381"/>
      <c r="L189" s="381"/>
      <c r="M189" s="381"/>
      <c r="N189" s="381"/>
      <c r="O189" s="381"/>
      <c r="P189" s="381"/>
      <c r="Q189" s="381"/>
      <c r="R189" s="381"/>
      <c r="S189" s="381"/>
      <c r="T189" s="381"/>
      <c r="U189" s="381"/>
      <c r="V189" s="381"/>
      <c r="W189" s="381"/>
      <c r="X189" s="381"/>
      <c r="Y189" s="381"/>
      <c r="Z189" s="381"/>
    </row>
    <row r="190">
      <c r="A190" s="381"/>
      <c r="B190" s="18"/>
      <c r="C190" s="359"/>
      <c r="D190" s="359"/>
      <c r="E190" s="381"/>
      <c r="F190" s="381"/>
      <c r="G190" s="381"/>
      <c r="H190" s="381"/>
      <c r="I190" s="381"/>
      <c r="J190" s="381"/>
      <c r="K190" s="381"/>
      <c r="L190" s="381"/>
      <c r="M190" s="381"/>
      <c r="N190" s="381"/>
      <c r="O190" s="381"/>
      <c r="P190" s="381"/>
      <c r="Q190" s="381"/>
      <c r="R190" s="381"/>
      <c r="S190" s="381"/>
      <c r="T190" s="381"/>
      <c r="U190" s="381"/>
      <c r="V190" s="381"/>
      <c r="W190" s="381"/>
      <c r="X190" s="381"/>
      <c r="Y190" s="381"/>
      <c r="Z190" s="381"/>
    </row>
    <row r="191">
      <c r="A191" s="381"/>
      <c r="B191" s="18"/>
      <c r="C191" s="359"/>
      <c r="D191" s="359"/>
      <c r="E191" s="381"/>
      <c r="F191" s="381"/>
      <c r="G191" s="381"/>
      <c r="H191" s="381"/>
      <c r="I191" s="381"/>
      <c r="J191" s="381"/>
      <c r="K191" s="381"/>
      <c r="L191" s="381"/>
      <c r="M191" s="381"/>
      <c r="N191" s="381"/>
      <c r="O191" s="381"/>
      <c r="P191" s="381"/>
      <c r="Q191" s="381"/>
      <c r="R191" s="381"/>
      <c r="S191" s="381"/>
      <c r="T191" s="381"/>
      <c r="U191" s="381"/>
      <c r="V191" s="381"/>
      <c r="W191" s="381"/>
      <c r="X191" s="381"/>
      <c r="Y191" s="381"/>
      <c r="Z191" s="381"/>
    </row>
    <row r="192">
      <c r="A192" s="381"/>
      <c r="B192" s="18"/>
      <c r="C192" s="359"/>
      <c r="D192" s="359"/>
      <c r="E192" s="381"/>
      <c r="F192" s="381"/>
      <c r="G192" s="381"/>
      <c r="H192" s="381"/>
      <c r="I192" s="381"/>
      <c r="J192" s="381"/>
      <c r="K192" s="381"/>
      <c r="L192" s="381"/>
      <c r="M192" s="381"/>
      <c r="N192" s="381"/>
      <c r="O192" s="381"/>
      <c r="P192" s="381"/>
      <c r="Q192" s="381"/>
      <c r="R192" s="381"/>
      <c r="S192" s="381"/>
      <c r="T192" s="381"/>
      <c r="U192" s="381"/>
      <c r="V192" s="381"/>
      <c r="W192" s="381"/>
      <c r="X192" s="381"/>
      <c r="Y192" s="381"/>
      <c r="Z192" s="381"/>
    </row>
    <row r="193">
      <c r="A193" s="381"/>
      <c r="B193" s="18"/>
      <c r="C193" s="359"/>
      <c r="D193" s="359"/>
      <c r="E193" s="381"/>
      <c r="F193" s="381"/>
      <c r="G193" s="381"/>
      <c r="H193" s="381"/>
      <c r="I193" s="381"/>
      <c r="J193" s="381"/>
      <c r="K193" s="381"/>
      <c r="L193" s="381"/>
      <c r="M193" s="381"/>
      <c r="N193" s="381"/>
      <c r="O193" s="381"/>
      <c r="P193" s="381"/>
      <c r="Q193" s="381"/>
      <c r="R193" s="381"/>
      <c r="S193" s="381"/>
      <c r="T193" s="381"/>
      <c r="U193" s="381"/>
      <c r="V193" s="381"/>
      <c r="W193" s="381"/>
      <c r="X193" s="381"/>
      <c r="Y193" s="381"/>
      <c r="Z193" s="381"/>
    </row>
    <row r="194">
      <c r="A194" s="381"/>
      <c r="B194" s="18"/>
      <c r="C194" s="359"/>
      <c r="D194" s="359"/>
      <c r="E194" s="381"/>
      <c r="F194" s="381"/>
      <c r="G194" s="381"/>
      <c r="H194" s="381"/>
      <c r="I194" s="381"/>
      <c r="J194" s="381"/>
      <c r="K194" s="381"/>
      <c r="L194" s="381"/>
      <c r="M194" s="381"/>
      <c r="N194" s="381"/>
      <c r="O194" s="381"/>
      <c r="P194" s="381"/>
      <c r="Q194" s="381"/>
      <c r="R194" s="381"/>
      <c r="S194" s="381"/>
      <c r="T194" s="381"/>
      <c r="U194" s="381"/>
      <c r="V194" s="381"/>
      <c r="W194" s="381"/>
      <c r="X194" s="381"/>
      <c r="Y194" s="381"/>
      <c r="Z194" s="381"/>
    </row>
    <row r="195">
      <c r="A195" s="381"/>
      <c r="B195" s="18"/>
      <c r="C195" s="359"/>
      <c r="D195" s="359"/>
      <c r="E195" s="381"/>
      <c r="F195" s="381"/>
      <c r="G195" s="381"/>
      <c r="H195" s="381"/>
      <c r="I195" s="381"/>
      <c r="J195" s="381"/>
      <c r="K195" s="381"/>
      <c r="L195" s="381"/>
      <c r="M195" s="381"/>
      <c r="N195" s="381"/>
      <c r="O195" s="381"/>
      <c r="P195" s="381"/>
      <c r="Q195" s="381"/>
      <c r="R195" s="381"/>
      <c r="S195" s="381"/>
      <c r="T195" s="381"/>
      <c r="U195" s="381"/>
      <c r="V195" s="381"/>
      <c r="W195" s="381"/>
      <c r="X195" s="381"/>
      <c r="Y195" s="381"/>
      <c r="Z195" s="381"/>
    </row>
    <row r="196">
      <c r="A196" s="381"/>
      <c r="B196" s="18"/>
      <c r="C196" s="359"/>
      <c r="D196" s="359"/>
      <c r="E196" s="381"/>
      <c r="F196" s="381"/>
      <c r="G196" s="381"/>
      <c r="H196" s="381"/>
      <c r="I196" s="381"/>
      <c r="J196" s="381"/>
      <c r="K196" s="381"/>
      <c r="L196" s="381"/>
      <c r="M196" s="381"/>
      <c r="N196" s="381"/>
      <c r="O196" s="381"/>
      <c r="P196" s="381"/>
      <c r="Q196" s="381"/>
      <c r="R196" s="381"/>
      <c r="S196" s="381"/>
      <c r="T196" s="381"/>
      <c r="U196" s="381"/>
      <c r="V196" s="381"/>
      <c r="W196" s="381"/>
      <c r="X196" s="381"/>
      <c r="Y196" s="381"/>
      <c r="Z196" s="381"/>
    </row>
    <row r="197">
      <c r="A197" s="381"/>
      <c r="B197" s="18"/>
      <c r="C197" s="359"/>
      <c r="D197" s="359"/>
      <c r="E197" s="381"/>
      <c r="F197" s="381"/>
      <c r="G197" s="381"/>
      <c r="H197" s="381"/>
      <c r="I197" s="381"/>
      <c r="J197" s="381"/>
      <c r="K197" s="381"/>
      <c r="L197" s="381"/>
      <c r="M197" s="381"/>
      <c r="N197" s="381"/>
      <c r="O197" s="381"/>
      <c r="P197" s="381"/>
      <c r="Q197" s="381"/>
      <c r="R197" s="381"/>
      <c r="S197" s="381"/>
      <c r="T197" s="381"/>
      <c r="U197" s="381"/>
      <c r="V197" s="381"/>
      <c r="W197" s="381"/>
      <c r="X197" s="381"/>
      <c r="Y197" s="381"/>
      <c r="Z197" s="381"/>
    </row>
    <row r="198">
      <c r="A198" s="381"/>
      <c r="B198" s="18"/>
      <c r="C198" s="359"/>
      <c r="D198" s="359"/>
      <c r="E198" s="381"/>
      <c r="F198" s="381"/>
      <c r="G198" s="381"/>
      <c r="H198" s="381"/>
      <c r="I198" s="381"/>
      <c r="J198" s="381"/>
      <c r="K198" s="381"/>
      <c r="L198" s="381"/>
      <c r="M198" s="381"/>
      <c r="N198" s="381"/>
      <c r="O198" s="381"/>
      <c r="P198" s="381"/>
      <c r="Q198" s="381"/>
      <c r="R198" s="381"/>
      <c r="S198" s="381"/>
      <c r="T198" s="381"/>
      <c r="U198" s="381"/>
      <c r="V198" s="381"/>
      <c r="W198" s="381"/>
      <c r="X198" s="381"/>
      <c r="Y198" s="381"/>
      <c r="Z198" s="381"/>
    </row>
    <row r="199">
      <c r="A199" s="381"/>
      <c r="B199" s="18"/>
      <c r="C199" s="359"/>
      <c r="D199" s="359"/>
      <c r="E199" s="381"/>
      <c r="F199" s="381"/>
      <c r="G199" s="381"/>
      <c r="H199" s="381"/>
      <c r="I199" s="381"/>
      <c r="J199" s="381"/>
      <c r="K199" s="381"/>
      <c r="L199" s="381"/>
      <c r="M199" s="381"/>
      <c r="N199" s="381"/>
      <c r="O199" s="381"/>
      <c r="P199" s="381"/>
      <c r="Q199" s="381"/>
      <c r="R199" s="381"/>
      <c r="S199" s="381"/>
      <c r="T199" s="381"/>
      <c r="U199" s="381"/>
      <c r="V199" s="381"/>
      <c r="W199" s="381"/>
      <c r="X199" s="381"/>
      <c r="Y199" s="381"/>
      <c r="Z199" s="381"/>
    </row>
    <row r="200">
      <c r="A200" s="381"/>
      <c r="B200" s="18"/>
      <c r="C200" s="359"/>
      <c r="D200" s="359"/>
      <c r="E200" s="381"/>
      <c r="F200" s="381"/>
      <c r="G200" s="381"/>
      <c r="H200" s="381"/>
      <c r="I200" s="381"/>
      <c r="J200" s="381"/>
      <c r="K200" s="381"/>
      <c r="L200" s="381"/>
      <c r="M200" s="381"/>
      <c r="N200" s="381"/>
      <c r="O200" s="381"/>
      <c r="P200" s="381"/>
      <c r="Q200" s="381"/>
      <c r="R200" s="381"/>
      <c r="S200" s="381"/>
      <c r="T200" s="381"/>
      <c r="U200" s="381"/>
      <c r="V200" s="381"/>
      <c r="W200" s="381"/>
      <c r="X200" s="381"/>
      <c r="Y200" s="381"/>
      <c r="Z200" s="381"/>
    </row>
    <row r="201">
      <c r="A201" s="381"/>
      <c r="B201" s="18"/>
      <c r="C201" s="359"/>
      <c r="D201" s="359"/>
      <c r="E201" s="381"/>
      <c r="F201" s="381"/>
      <c r="G201" s="381"/>
      <c r="H201" s="381"/>
      <c r="I201" s="381"/>
      <c r="J201" s="381"/>
      <c r="K201" s="381"/>
      <c r="L201" s="381"/>
      <c r="M201" s="381"/>
      <c r="N201" s="381"/>
      <c r="O201" s="381"/>
      <c r="P201" s="381"/>
      <c r="Q201" s="381"/>
      <c r="R201" s="381"/>
      <c r="S201" s="381"/>
      <c r="T201" s="381"/>
      <c r="U201" s="381"/>
      <c r="V201" s="381"/>
      <c r="W201" s="381"/>
      <c r="X201" s="381"/>
      <c r="Y201" s="381"/>
      <c r="Z201" s="381"/>
    </row>
    <row r="202">
      <c r="A202" s="381"/>
      <c r="B202" s="18"/>
      <c r="C202" s="359"/>
      <c r="D202" s="359"/>
      <c r="E202" s="381"/>
      <c r="F202" s="381"/>
      <c r="G202" s="381"/>
      <c r="H202" s="381"/>
      <c r="I202" s="381"/>
      <c r="J202" s="381"/>
      <c r="K202" s="381"/>
      <c r="L202" s="381"/>
      <c r="M202" s="381"/>
      <c r="N202" s="381"/>
      <c r="O202" s="381"/>
      <c r="P202" s="381"/>
      <c r="Q202" s="381"/>
      <c r="R202" s="381"/>
      <c r="S202" s="381"/>
      <c r="T202" s="381"/>
      <c r="U202" s="381"/>
      <c r="V202" s="381"/>
      <c r="W202" s="381"/>
      <c r="X202" s="381"/>
      <c r="Y202" s="381"/>
      <c r="Z202" s="381"/>
    </row>
    <row r="203">
      <c r="A203" s="381"/>
      <c r="B203" s="18"/>
      <c r="C203" s="359"/>
      <c r="D203" s="359"/>
      <c r="E203" s="381"/>
      <c r="F203" s="381"/>
      <c r="G203" s="381"/>
      <c r="H203" s="381"/>
      <c r="I203" s="381"/>
      <c r="J203" s="381"/>
      <c r="K203" s="381"/>
      <c r="L203" s="381"/>
      <c r="M203" s="381"/>
      <c r="N203" s="381"/>
      <c r="O203" s="381"/>
      <c r="P203" s="381"/>
      <c r="Q203" s="381"/>
      <c r="R203" s="381"/>
      <c r="S203" s="381"/>
      <c r="T203" s="381"/>
      <c r="U203" s="381"/>
      <c r="V203" s="381"/>
      <c r="W203" s="381"/>
      <c r="X203" s="381"/>
      <c r="Y203" s="381"/>
      <c r="Z203" s="381"/>
    </row>
    <row r="204">
      <c r="A204" s="381"/>
      <c r="B204" s="18"/>
      <c r="C204" s="359"/>
      <c r="D204" s="359"/>
      <c r="E204" s="381"/>
      <c r="F204" s="381"/>
      <c r="G204" s="381"/>
      <c r="H204" s="381"/>
      <c r="I204" s="381"/>
      <c r="J204" s="381"/>
      <c r="K204" s="381"/>
      <c r="L204" s="381"/>
      <c r="M204" s="381"/>
      <c r="N204" s="381"/>
      <c r="O204" s="381"/>
      <c r="P204" s="381"/>
      <c r="Q204" s="381"/>
      <c r="R204" s="381"/>
      <c r="S204" s="381"/>
      <c r="T204" s="381"/>
      <c r="U204" s="381"/>
      <c r="V204" s="381"/>
      <c r="W204" s="381"/>
      <c r="X204" s="381"/>
      <c r="Y204" s="381"/>
      <c r="Z204" s="381"/>
    </row>
    <row r="205">
      <c r="A205" s="381"/>
      <c r="B205" s="18"/>
      <c r="C205" s="359"/>
      <c r="D205" s="359"/>
      <c r="E205" s="381"/>
      <c r="F205" s="381"/>
      <c r="G205" s="381"/>
      <c r="H205" s="381"/>
      <c r="I205" s="381"/>
      <c r="J205" s="381"/>
      <c r="K205" s="381"/>
      <c r="L205" s="381"/>
      <c r="M205" s="381"/>
      <c r="N205" s="381"/>
      <c r="O205" s="381"/>
      <c r="P205" s="381"/>
      <c r="Q205" s="381"/>
      <c r="R205" s="381"/>
      <c r="S205" s="381"/>
      <c r="T205" s="381"/>
      <c r="U205" s="381"/>
      <c r="V205" s="381"/>
      <c r="W205" s="381"/>
      <c r="X205" s="381"/>
      <c r="Y205" s="381"/>
      <c r="Z205" s="381"/>
    </row>
    <row r="206">
      <c r="A206" s="381"/>
      <c r="B206" s="18"/>
      <c r="C206" s="359"/>
      <c r="D206" s="359"/>
      <c r="E206" s="381"/>
      <c r="F206" s="381"/>
      <c r="G206" s="381"/>
      <c r="H206" s="381"/>
      <c r="I206" s="381"/>
      <c r="J206" s="381"/>
      <c r="K206" s="381"/>
      <c r="L206" s="381"/>
      <c r="M206" s="381"/>
      <c r="N206" s="381"/>
      <c r="O206" s="381"/>
      <c r="P206" s="381"/>
      <c r="Q206" s="381"/>
      <c r="R206" s="381"/>
      <c r="S206" s="381"/>
      <c r="T206" s="381"/>
      <c r="U206" s="381"/>
      <c r="V206" s="381"/>
      <c r="W206" s="381"/>
      <c r="X206" s="381"/>
      <c r="Y206" s="381"/>
      <c r="Z206" s="381"/>
    </row>
    <row r="207">
      <c r="A207" s="381"/>
      <c r="B207" s="18"/>
      <c r="C207" s="359"/>
      <c r="D207" s="359"/>
      <c r="E207" s="381"/>
      <c r="F207" s="381"/>
      <c r="G207" s="381"/>
      <c r="H207" s="381"/>
      <c r="I207" s="381"/>
      <c r="J207" s="381"/>
      <c r="K207" s="381"/>
      <c r="L207" s="381"/>
      <c r="M207" s="381"/>
      <c r="N207" s="381"/>
      <c r="O207" s="381"/>
      <c r="P207" s="381"/>
      <c r="Q207" s="381"/>
      <c r="R207" s="381"/>
      <c r="S207" s="381"/>
      <c r="T207" s="381"/>
      <c r="U207" s="381"/>
      <c r="V207" s="381"/>
      <c r="W207" s="381"/>
      <c r="X207" s="381"/>
      <c r="Y207" s="381"/>
      <c r="Z207" s="381"/>
    </row>
    <row r="208">
      <c r="A208" s="381"/>
      <c r="B208" s="18"/>
      <c r="C208" s="359"/>
      <c r="D208" s="359"/>
      <c r="E208" s="381"/>
      <c r="F208" s="381"/>
      <c r="G208" s="381"/>
      <c r="H208" s="381"/>
      <c r="I208" s="381"/>
      <c r="J208" s="381"/>
      <c r="K208" s="381"/>
      <c r="L208" s="381"/>
      <c r="M208" s="381"/>
      <c r="N208" s="381"/>
      <c r="O208" s="381"/>
      <c r="P208" s="381"/>
      <c r="Q208" s="381"/>
      <c r="R208" s="381"/>
      <c r="S208" s="381"/>
      <c r="T208" s="381"/>
      <c r="U208" s="381"/>
      <c r="V208" s="381"/>
      <c r="W208" s="381"/>
      <c r="X208" s="381"/>
      <c r="Y208" s="381"/>
      <c r="Z208" s="381"/>
    </row>
    <row r="209">
      <c r="A209" s="381"/>
      <c r="B209" s="18"/>
      <c r="C209" s="359"/>
      <c r="D209" s="359"/>
      <c r="E209" s="381"/>
      <c r="F209" s="381"/>
      <c r="G209" s="381"/>
      <c r="H209" s="381"/>
      <c r="I209" s="381"/>
      <c r="J209" s="381"/>
      <c r="K209" s="381"/>
      <c r="L209" s="381"/>
      <c r="M209" s="381"/>
      <c r="N209" s="381"/>
      <c r="O209" s="381"/>
      <c r="P209" s="381"/>
      <c r="Q209" s="381"/>
      <c r="R209" s="381"/>
      <c r="S209" s="381"/>
      <c r="T209" s="381"/>
      <c r="U209" s="381"/>
      <c r="V209" s="381"/>
      <c r="W209" s="381"/>
      <c r="X209" s="381"/>
      <c r="Y209" s="381"/>
      <c r="Z209" s="381"/>
    </row>
    <row r="210">
      <c r="A210" s="381"/>
      <c r="B210" s="18"/>
      <c r="C210" s="359"/>
      <c r="D210" s="359"/>
      <c r="E210" s="381"/>
      <c r="F210" s="381"/>
      <c r="G210" s="381"/>
      <c r="H210" s="381"/>
      <c r="I210" s="381"/>
      <c r="J210" s="381"/>
      <c r="K210" s="381"/>
      <c r="L210" s="381"/>
      <c r="M210" s="381"/>
      <c r="N210" s="381"/>
      <c r="O210" s="381"/>
      <c r="P210" s="381"/>
      <c r="Q210" s="381"/>
      <c r="R210" s="381"/>
      <c r="S210" s="381"/>
      <c r="T210" s="381"/>
      <c r="U210" s="381"/>
      <c r="V210" s="381"/>
      <c r="W210" s="381"/>
      <c r="X210" s="381"/>
      <c r="Y210" s="381"/>
      <c r="Z210" s="381"/>
    </row>
    <row r="211">
      <c r="A211" s="381"/>
      <c r="B211" s="18"/>
      <c r="C211" s="359"/>
      <c r="D211" s="359"/>
      <c r="E211" s="381"/>
      <c r="F211" s="381"/>
      <c r="G211" s="381"/>
      <c r="H211" s="381"/>
      <c r="I211" s="381"/>
      <c r="J211" s="381"/>
      <c r="K211" s="381"/>
      <c r="L211" s="381"/>
      <c r="M211" s="381"/>
      <c r="N211" s="381"/>
      <c r="O211" s="381"/>
      <c r="P211" s="381"/>
      <c r="Q211" s="381"/>
      <c r="R211" s="381"/>
      <c r="S211" s="381"/>
      <c r="T211" s="381"/>
      <c r="U211" s="381"/>
      <c r="V211" s="381"/>
      <c r="W211" s="381"/>
      <c r="X211" s="381"/>
      <c r="Y211" s="381"/>
      <c r="Z211" s="381"/>
    </row>
    <row r="212">
      <c r="A212" s="381"/>
      <c r="B212" s="18"/>
      <c r="C212" s="359"/>
      <c r="D212" s="359"/>
      <c r="E212" s="381"/>
      <c r="F212" s="381"/>
      <c r="G212" s="381"/>
      <c r="H212" s="381"/>
      <c r="I212" s="381"/>
      <c r="J212" s="381"/>
      <c r="K212" s="381"/>
      <c r="L212" s="381"/>
      <c r="M212" s="381"/>
      <c r="N212" s="381"/>
      <c r="O212" s="381"/>
      <c r="P212" s="381"/>
      <c r="Q212" s="381"/>
      <c r="R212" s="381"/>
      <c r="S212" s="381"/>
      <c r="T212" s="381"/>
      <c r="U212" s="381"/>
      <c r="V212" s="381"/>
      <c r="W212" s="381"/>
      <c r="X212" s="381"/>
      <c r="Y212" s="381"/>
      <c r="Z212" s="381"/>
    </row>
    <row r="213">
      <c r="A213" s="381"/>
      <c r="B213" s="18"/>
      <c r="C213" s="359"/>
      <c r="D213" s="359"/>
      <c r="E213" s="381"/>
      <c r="F213" s="381"/>
      <c r="G213" s="381"/>
      <c r="H213" s="381"/>
      <c r="I213" s="381"/>
      <c r="J213" s="381"/>
      <c r="K213" s="381"/>
      <c r="L213" s="381"/>
      <c r="M213" s="381"/>
      <c r="N213" s="381"/>
      <c r="O213" s="381"/>
      <c r="P213" s="381"/>
      <c r="Q213" s="381"/>
      <c r="R213" s="381"/>
      <c r="S213" s="381"/>
      <c r="T213" s="381"/>
      <c r="U213" s="381"/>
      <c r="V213" s="381"/>
      <c r="W213" s="381"/>
      <c r="X213" s="381"/>
      <c r="Y213" s="381"/>
      <c r="Z213" s="381"/>
    </row>
    <row r="214">
      <c r="A214" s="381"/>
      <c r="B214" s="18"/>
      <c r="C214" s="359"/>
      <c r="D214" s="359"/>
      <c r="E214" s="381"/>
      <c r="F214" s="381"/>
      <c r="G214" s="381"/>
      <c r="H214" s="381"/>
      <c r="I214" s="381"/>
      <c r="J214" s="381"/>
      <c r="K214" s="381"/>
      <c r="L214" s="381"/>
      <c r="M214" s="381"/>
      <c r="N214" s="381"/>
      <c r="O214" s="381"/>
      <c r="P214" s="381"/>
      <c r="Q214" s="381"/>
      <c r="R214" s="381"/>
      <c r="S214" s="381"/>
      <c r="T214" s="381"/>
      <c r="U214" s="381"/>
      <c r="V214" s="381"/>
      <c r="W214" s="381"/>
      <c r="X214" s="381"/>
      <c r="Y214" s="381"/>
      <c r="Z214" s="381"/>
    </row>
    <row r="215">
      <c r="A215" s="381"/>
      <c r="B215" s="18"/>
      <c r="C215" s="359"/>
      <c r="D215" s="359"/>
      <c r="E215" s="381"/>
      <c r="F215" s="381"/>
      <c r="G215" s="381"/>
      <c r="H215" s="381"/>
      <c r="I215" s="381"/>
      <c r="J215" s="381"/>
      <c r="K215" s="381"/>
      <c r="L215" s="381"/>
      <c r="M215" s="381"/>
      <c r="N215" s="381"/>
      <c r="O215" s="381"/>
      <c r="P215" s="381"/>
      <c r="Q215" s="381"/>
      <c r="R215" s="381"/>
      <c r="S215" s="381"/>
      <c r="T215" s="381"/>
      <c r="U215" s="381"/>
      <c r="V215" s="381"/>
      <c r="W215" s="381"/>
      <c r="X215" s="381"/>
      <c r="Y215" s="381"/>
      <c r="Z215" s="381"/>
    </row>
    <row r="216">
      <c r="A216" s="381"/>
      <c r="B216" s="18"/>
      <c r="C216" s="359"/>
      <c r="D216" s="359"/>
      <c r="E216" s="381"/>
      <c r="F216" s="381"/>
      <c r="G216" s="381"/>
      <c r="H216" s="381"/>
      <c r="I216" s="381"/>
      <c r="J216" s="381"/>
      <c r="K216" s="381"/>
      <c r="L216" s="381"/>
      <c r="M216" s="381"/>
      <c r="N216" s="381"/>
      <c r="O216" s="381"/>
      <c r="P216" s="381"/>
      <c r="Q216" s="381"/>
      <c r="R216" s="381"/>
      <c r="S216" s="381"/>
      <c r="T216" s="381"/>
      <c r="U216" s="381"/>
      <c r="V216" s="381"/>
      <c r="W216" s="381"/>
      <c r="X216" s="381"/>
      <c r="Y216" s="381"/>
      <c r="Z216" s="381"/>
    </row>
    <row r="217">
      <c r="A217" s="381"/>
      <c r="B217" s="18"/>
      <c r="C217" s="359"/>
      <c r="D217" s="359"/>
      <c r="E217" s="381"/>
      <c r="F217" s="381"/>
      <c r="G217" s="381"/>
      <c r="H217" s="381"/>
      <c r="I217" s="381"/>
      <c r="J217" s="381"/>
      <c r="K217" s="381"/>
      <c r="L217" s="381"/>
      <c r="M217" s="381"/>
      <c r="N217" s="381"/>
      <c r="O217" s="381"/>
      <c r="P217" s="381"/>
      <c r="Q217" s="381"/>
      <c r="R217" s="381"/>
      <c r="S217" s="381"/>
      <c r="T217" s="381"/>
      <c r="U217" s="381"/>
      <c r="V217" s="381"/>
      <c r="W217" s="381"/>
      <c r="X217" s="381"/>
      <c r="Y217" s="381"/>
      <c r="Z217" s="381"/>
    </row>
    <row r="218">
      <c r="A218" s="381"/>
      <c r="B218" s="18"/>
      <c r="C218" s="359"/>
      <c r="D218" s="359"/>
      <c r="E218" s="381"/>
      <c r="F218" s="381"/>
      <c r="G218" s="381"/>
      <c r="H218" s="381"/>
      <c r="I218" s="381"/>
      <c r="J218" s="381"/>
      <c r="K218" s="381"/>
      <c r="L218" s="381"/>
      <c r="M218" s="381"/>
      <c r="N218" s="381"/>
      <c r="O218" s="381"/>
      <c r="P218" s="381"/>
      <c r="Q218" s="381"/>
      <c r="R218" s="381"/>
      <c r="S218" s="381"/>
      <c r="T218" s="381"/>
      <c r="U218" s="381"/>
      <c r="V218" s="381"/>
      <c r="W218" s="381"/>
      <c r="X218" s="381"/>
      <c r="Y218" s="381"/>
      <c r="Z218" s="381"/>
    </row>
    <row r="219">
      <c r="A219" s="381"/>
      <c r="B219" s="18"/>
      <c r="C219" s="359"/>
      <c r="D219" s="359"/>
      <c r="E219" s="381"/>
      <c r="F219" s="381"/>
      <c r="G219" s="381"/>
      <c r="H219" s="381"/>
      <c r="I219" s="381"/>
      <c r="J219" s="381"/>
      <c r="K219" s="381"/>
      <c r="L219" s="381"/>
      <c r="M219" s="381"/>
      <c r="N219" s="381"/>
      <c r="O219" s="381"/>
      <c r="P219" s="381"/>
      <c r="Q219" s="381"/>
      <c r="R219" s="381"/>
      <c r="S219" s="381"/>
      <c r="T219" s="381"/>
      <c r="U219" s="381"/>
      <c r="V219" s="381"/>
      <c r="W219" s="381"/>
      <c r="X219" s="381"/>
      <c r="Y219" s="381"/>
      <c r="Z219" s="381"/>
    </row>
    <row r="220">
      <c r="A220" s="381"/>
      <c r="B220" s="18"/>
      <c r="C220" s="359"/>
      <c r="D220" s="359"/>
      <c r="E220" s="381"/>
      <c r="F220" s="381"/>
      <c r="G220" s="381"/>
      <c r="H220" s="381"/>
      <c r="I220" s="381"/>
      <c r="J220" s="381"/>
      <c r="K220" s="381"/>
      <c r="L220" s="381"/>
      <c r="M220" s="381"/>
      <c r="N220" s="381"/>
      <c r="O220" s="381"/>
      <c r="P220" s="381"/>
      <c r="Q220" s="381"/>
      <c r="R220" s="381"/>
      <c r="S220" s="381"/>
      <c r="T220" s="381"/>
      <c r="U220" s="381"/>
      <c r="V220" s="381"/>
      <c r="W220" s="381"/>
      <c r="X220" s="381"/>
      <c r="Y220" s="381"/>
      <c r="Z220" s="381"/>
    </row>
    <row r="221">
      <c r="A221" s="381"/>
      <c r="B221" s="18"/>
      <c r="C221" s="359"/>
      <c r="D221" s="359"/>
      <c r="E221" s="381"/>
      <c r="F221" s="381"/>
      <c r="G221" s="381"/>
      <c r="H221" s="381"/>
      <c r="I221" s="381"/>
      <c r="J221" s="381"/>
      <c r="K221" s="381"/>
      <c r="L221" s="381"/>
      <c r="M221" s="381"/>
      <c r="N221" s="381"/>
      <c r="O221" s="381"/>
      <c r="P221" s="381"/>
      <c r="Q221" s="381"/>
      <c r="R221" s="381"/>
      <c r="S221" s="381"/>
      <c r="T221" s="381"/>
      <c r="U221" s="381"/>
      <c r="V221" s="381"/>
      <c r="W221" s="381"/>
      <c r="X221" s="381"/>
      <c r="Y221" s="381"/>
      <c r="Z221" s="381"/>
    </row>
    <row r="222">
      <c r="A222" s="381"/>
      <c r="B222" s="18"/>
      <c r="C222" s="359"/>
      <c r="D222" s="359"/>
      <c r="E222" s="381"/>
      <c r="F222" s="381"/>
      <c r="G222" s="381"/>
      <c r="H222" s="381"/>
      <c r="I222" s="381"/>
      <c r="J222" s="381"/>
      <c r="K222" s="381"/>
      <c r="L222" s="381"/>
      <c r="M222" s="381"/>
      <c r="N222" s="381"/>
      <c r="O222" s="381"/>
      <c r="P222" s="381"/>
      <c r="Q222" s="381"/>
      <c r="R222" s="381"/>
      <c r="S222" s="381"/>
      <c r="T222" s="381"/>
      <c r="U222" s="381"/>
      <c r="V222" s="381"/>
      <c r="W222" s="381"/>
      <c r="X222" s="381"/>
      <c r="Y222" s="381"/>
      <c r="Z222" s="381"/>
    </row>
    <row r="223">
      <c r="A223" s="381"/>
      <c r="B223" s="18"/>
      <c r="C223" s="359"/>
      <c r="D223" s="359"/>
      <c r="E223" s="381"/>
      <c r="F223" s="381"/>
      <c r="G223" s="381"/>
      <c r="H223" s="381"/>
      <c r="I223" s="381"/>
      <c r="J223" s="381"/>
      <c r="K223" s="381"/>
      <c r="L223" s="381"/>
      <c r="M223" s="381"/>
      <c r="N223" s="381"/>
      <c r="O223" s="381"/>
      <c r="P223" s="381"/>
      <c r="Q223" s="381"/>
      <c r="R223" s="381"/>
      <c r="S223" s="381"/>
      <c r="T223" s="381"/>
      <c r="U223" s="381"/>
      <c r="V223" s="381"/>
      <c r="W223" s="381"/>
      <c r="X223" s="381"/>
      <c r="Y223" s="381"/>
      <c r="Z223" s="381"/>
    </row>
    <row r="224">
      <c r="A224" s="381"/>
      <c r="B224" s="18"/>
      <c r="C224" s="359"/>
      <c r="D224" s="359"/>
      <c r="E224" s="381"/>
      <c r="F224" s="381"/>
      <c r="G224" s="381"/>
      <c r="H224" s="381"/>
      <c r="I224" s="381"/>
      <c r="J224" s="381"/>
      <c r="K224" s="381"/>
      <c r="L224" s="381"/>
      <c r="M224" s="381"/>
      <c r="N224" s="381"/>
      <c r="O224" s="381"/>
      <c r="P224" s="381"/>
      <c r="Q224" s="381"/>
      <c r="R224" s="381"/>
      <c r="S224" s="381"/>
      <c r="T224" s="381"/>
      <c r="U224" s="381"/>
      <c r="V224" s="381"/>
      <c r="W224" s="381"/>
      <c r="X224" s="381"/>
      <c r="Y224" s="381"/>
      <c r="Z224" s="381"/>
    </row>
    <row r="225">
      <c r="A225" s="381"/>
      <c r="B225" s="18"/>
      <c r="C225" s="359"/>
      <c r="D225" s="359"/>
      <c r="E225" s="381"/>
      <c r="F225" s="381"/>
      <c r="G225" s="381"/>
      <c r="H225" s="381"/>
      <c r="I225" s="381"/>
      <c r="J225" s="381"/>
      <c r="K225" s="381"/>
      <c r="L225" s="381"/>
      <c r="M225" s="381"/>
      <c r="N225" s="381"/>
      <c r="O225" s="381"/>
      <c r="P225" s="381"/>
      <c r="Q225" s="381"/>
      <c r="R225" s="381"/>
      <c r="S225" s="381"/>
      <c r="T225" s="381"/>
      <c r="U225" s="381"/>
      <c r="V225" s="381"/>
      <c r="W225" s="381"/>
      <c r="X225" s="381"/>
      <c r="Y225" s="381"/>
      <c r="Z225" s="381"/>
    </row>
    <row r="226">
      <c r="A226" s="381"/>
      <c r="B226" s="18"/>
      <c r="C226" s="359"/>
      <c r="D226" s="359"/>
      <c r="E226" s="381"/>
      <c r="F226" s="381"/>
      <c r="G226" s="381"/>
      <c r="H226" s="381"/>
      <c r="I226" s="381"/>
      <c r="J226" s="381"/>
      <c r="K226" s="381"/>
      <c r="L226" s="381"/>
      <c r="M226" s="381"/>
      <c r="N226" s="381"/>
      <c r="O226" s="381"/>
      <c r="P226" s="381"/>
      <c r="Q226" s="381"/>
      <c r="R226" s="381"/>
      <c r="S226" s="381"/>
      <c r="T226" s="381"/>
      <c r="U226" s="381"/>
      <c r="V226" s="381"/>
      <c r="W226" s="381"/>
      <c r="X226" s="381"/>
      <c r="Y226" s="381"/>
      <c r="Z226" s="381"/>
    </row>
    <row r="227">
      <c r="A227" s="381"/>
      <c r="B227" s="18"/>
      <c r="C227" s="359"/>
      <c r="D227" s="359"/>
      <c r="E227" s="381"/>
      <c r="F227" s="381"/>
      <c r="G227" s="381"/>
      <c r="H227" s="381"/>
      <c r="I227" s="381"/>
      <c r="J227" s="381"/>
      <c r="K227" s="381"/>
      <c r="L227" s="381"/>
      <c r="M227" s="381"/>
      <c r="N227" s="381"/>
      <c r="O227" s="381"/>
      <c r="P227" s="381"/>
      <c r="Q227" s="381"/>
      <c r="R227" s="381"/>
      <c r="S227" s="381"/>
      <c r="T227" s="381"/>
      <c r="U227" s="381"/>
      <c r="V227" s="381"/>
      <c r="W227" s="381"/>
      <c r="X227" s="381"/>
      <c r="Y227" s="381"/>
      <c r="Z227" s="381"/>
    </row>
    <row r="228">
      <c r="A228" s="381"/>
      <c r="B228" s="18"/>
      <c r="C228" s="359"/>
      <c r="D228" s="359"/>
      <c r="E228" s="381"/>
      <c r="F228" s="381"/>
      <c r="G228" s="381"/>
      <c r="H228" s="381"/>
      <c r="I228" s="381"/>
      <c r="J228" s="381"/>
      <c r="K228" s="381"/>
      <c r="L228" s="381"/>
      <c r="M228" s="381"/>
      <c r="N228" s="381"/>
      <c r="O228" s="381"/>
      <c r="P228" s="381"/>
      <c r="Q228" s="381"/>
      <c r="R228" s="381"/>
      <c r="S228" s="381"/>
      <c r="T228" s="381"/>
      <c r="U228" s="381"/>
      <c r="V228" s="381"/>
      <c r="W228" s="381"/>
      <c r="X228" s="381"/>
      <c r="Y228" s="381"/>
      <c r="Z228" s="381"/>
    </row>
    <row r="229">
      <c r="A229" s="381"/>
      <c r="B229" s="18"/>
      <c r="C229" s="359"/>
      <c r="D229" s="359"/>
      <c r="E229" s="381"/>
      <c r="F229" s="381"/>
      <c r="G229" s="381"/>
      <c r="H229" s="381"/>
      <c r="I229" s="381"/>
      <c r="J229" s="381"/>
      <c r="K229" s="381"/>
      <c r="L229" s="381"/>
      <c r="M229" s="381"/>
      <c r="N229" s="381"/>
      <c r="O229" s="381"/>
      <c r="P229" s="381"/>
      <c r="Q229" s="381"/>
      <c r="R229" s="381"/>
      <c r="S229" s="381"/>
      <c r="T229" s="381"/>
      <c r="U229" s="381"/>
      <c r="V229" s="381"/>
      <c r="W229" s="381"/>
      <c r="X229" s="381"/>
      <c r="Y229" s="381"/>
      <c r="Z229" s="381"/>
    </row>
    <row r="230">
      <c r="A230" s="381"/>
      <c r="B230" s="18"/>
      <c r="C230" s="359"/>
      <c r="D230" s="359"/>
      <c r="E230" s="381"/>
      <c r="F230" s="381"/>
      <c r="G230" s="381"/>
      <c r="H230" s="381"/>
      <c r="I230" s="381"/>
      <c r="J230" s="381"/>
      <c r="K230" s="381"/>
      <c r="L230" s="381"/>
      <c r="M230" s="381"/>
      <c r="N230" s="381"/>
      <c r="O230" s="381"/>
      <c r="P230" s="381"/>
      <c r="Q230" s="381"/>
      <c r="R230" s="381"/>
      <c r="S230" s="381"/>
      <c r="T230" s="381"/>
      <c r="U230" s="381"/>
      <c r="V230" s="381"/>
      <c r="W230" s="381"/>
      <c r="X230" s="381"/>
      <c r="Y230" s="381"/>
      <c r="Z230" s="381"/>
    </row>
    <row r="231">
      <c r="A231" s="381"/>
      <c r="B231" s="18"/>
      <c r="C231" s="359"/>
      <c r="D231" s="359"/>
      <c r="E231" s="381"/>
      <c r="F231" s="381"/>
      <c r="G231" s="381"/>
      <c r="H231" s="381"/>
      <c r="I231" s="381"/>
      <c r="J231" s="381"/>
      <c r="K231" s="381"/>
      <c r="L231" s="381"/>
      <c r="M231" s="381"/>
      <c r="N231" s="381"/>
      <c r="O231" s="381"/>
      <c r="P231" s="381"/>
      <c r="Q231" s="381"/>
      <c r="R231" s="381"/>
      <c r="S231" s="381"/>
      <c r="T231" s="381"/>
      <c r="U231" s="381"/>
      <c r="V231" s="381"/>
      <c r="W231" s="381"/>
      <c r="X231" s="381"/>
      <c r="Y231" s="381"/>
      <c r="Z231" s="381"/>
    </row>
    <row r="232">
      <c r="A232" s="381"/>
      <c r="B232" s="18"/>
      <c r="C232" s="359"/>
      <c r="D232" s="359"/>
      <c r="E232" s="381"/>
      <c r="F232" s="381"/>
      <c r="G232" s="381"/>
      <c r="H232" s="381"/>
      <c r="I232" s="381"/>
      <c r="J232" s="381"/>
      <c r="K232" s="381"/>
      <c r="L232" s="381"/>
      <c r="M232" s="381"/>
      <c r="N232" s="381"/>
      <c r="O232" s="381"/>
      <c r="P232" s="381"/>
      <c r="Q232" s="381"/>
      <c r="R232" s="381"/>
      <c r="S232" s="381"/>
      <c r="T232" s="381"/>
      <c r="U232" s="381"/>
      <c r="V232" s="381"/>
      <c r="W232" s="381"/>
      <c r="X232" s="381"/>
      <c r="Y232" s="381"/>
      <c r="Z232" s="381"/>
    </row>
    <row r="233">
      <c r="A233" s="381"/>
      <c r="B233" s="18"/>
      <c r="C233" s="359"/>
      <c r="D233" s="359"/>
      <c r="E233" s="381"/>
      <c r="F233" s="381"/>
      <c r="G233" s="381"/>
      <c r="H233" s="381"/>
      <c r="I233" s="381"/>
      <c r="J233" s="381"/>
      <c r="K233" s="381"/>
      <c r="L233" s="381"/>
      <c r="M233" s="381"/>
      <c r="N233" s="381"/>
      <c r="O233" s="381"/>
      <c r="P233" s="381"/>
      <c r="Q233" s="381"/>
      <c r="R233" s="381"/>
      <c r="S233" s="381"/>
      <c r="T233" s="381"/>
      <c r="U233" s="381"/>
      <c r="V233" s="381"/>
      <c r="W233" s="381"/>
      <c r="X233" s="381"/>
      <c r="Y233" s="381"/>
      <c r="Z233" s="381"/>
    </row>
    <row r="234">
      <c r="A234" s="381"/>
      <c r="B234" s="18"/>
      <c r="C234" s="359"/>
      <c r="D234" s="359"/>
      <c r="E234" s="381"/>
      <c r="F234" s="381"/>
      <c r="G234" s="381"/>
      <c r="H234" s="381"/>
      <c r="I234" s="381"/>
      <c r="J234" s="381"/>
      <c r="K234" s="381"/>
      <c r="L234" s="381"/>
      <c r="M234" s="381"/>
      <c r="N234" s="381"/>
      <c r="O234" s="381"/>
      <c r="P234" s="381"/>
      <c r="Q234" s="381"/>
      <c r="R234" s="381"/>
      <c r="S234" s="381"/>
      <c r="T234" s="381"/>
      <c r="U234" s="381"/>
      <c r="V234" s="381"/>
      <c r="W234" s="381"/>
      <c r="X234" s="381"/>
      <c r="Y234" s="381"/>
      <c r="Z234" s="381"/>
    </row>
    <row r="235">
      <c r="A235" s="381"/>
      <c r="B235" s="18"/>
      <c r="C235" s="359"/>
      <c r="D235" s="359"/>
      <c r="E235" s="381"/>
      <c r="F235" s="381"/>
      <c r="G235" s="381"/>
      <c r="H235" s="381"/>
      <c r="I235" s="381"/>
      <c r="J235" s="381"/>
      <c r="K235" s="381"/>
      <c r="L235" s="381"/>
      <c r="M235" s="381"/>
      <c r="N235" s="381"/>
      <c r="O235" s="381"/>
      <c r="P235" s="381"/>
      <c r="Q235" s="381"/>
      <c r="R235" s="381"/>
      <c r="S235" s="381"/>
      <c r="T235" s="381"/>
      <c r="U235" s="381"/>
      <c r="V235" s="381"/>
      <c r="W235" s="381"/>
      <c r="X235" s="381"/>
      <c r="Y235" s="381"/>
      <c r="Z235" s="381"/>
    </row>
    <row r="236">
      <c r="A236" s="381"/>
      <c r="B236" s="18"/>
      <c r="C236" s="359"/>
      <c r="D236" s="359"/>
      <c r="E236" s="381"/>
      <c r="F236" s="381"/>
      <c r="G236" s="381"/>
      <c r="H236" s="381"/>
      <c r="I236" s="381"/>
      <c r="J236" s="381"/>
      <c r="K236" s="381"/>
      <c r="L236" s="381"/>
      <c r="M236" s="381"/>
      <c r="N236" s="381"/>
      <c r="O236" s="381"/>
      <c r="P236" s="381"/>
      <c r="Q236" s="381"/>
      <c r="R236" s="381"/>
      <c r="S236" s="381"/>
      <c r="T236" s="381"/>
      <c r="U236" s="381"/>
      <c r="V236" s="381"/>
      <c r="W236" s="381"/>
      <c r="X236" s="381"/>
      <c r="Y236" s="381"/>
      <c r="Z236" s="381"/>
    </row>
    <row r="237">
      <c r="A237" s="381"/>
      <c r="B237" s="18"/>
      <c r="C237" s="359"/>
      <c r="D237" s="359"/>
      <c r="E237" s="381"/>
      <c r="F237" s="381"/>
      <c r="G237" s="381"/>
      <c r="H237" s="381"/>
      <c r="I237" s="381"/>
      <c r="J237" s="381"/>
      <c r="K237" s="381"/>
      <c r="L237" s="381"/>
      <c r="M237" s="381"/>
      <c r="N237" s="381"/>
      <c r="O237" s="381"/>
      <c r="P237" s="381"/>
      <c r="Q237" s="381"/>
      <c r="R237" s="381"/>
      <c r="S237" s="381"/>
      <c r="T237" s="381"/>
      <c r="U237" s="381"/>
      <c r="V237" s="381"/>
      <c r="W237" s="381"/>
      <c r="X237" s="381"/>
      <c r="Y237" s="381"/>
      <c r="Z237" s="381"/>
    </row>
    <row r="238">
      <c r="A238" s="381"/>
      <c r="B238" s="18"/>
      <c r="C238" s="359"/>
      <c r="D238" s="359"/>
      <c r="E238" s="381"/>
      <c r="F238" s="381"/>
      <c r="G238" s="381"/>
      <c r="H238" s="381"/>
      <c r="I238" s="381"/>
      <c r="J238" s="381"/>
      <c r="K238" s="381"/>
      <c r="L238" s="381"/>
      <c r="M238" s="381"/>
      <c r="N238" s="381"/>
      <c r="O238" s="381"/>
      <c r="P238" s="381"/>
      <c r="Q238" s="381"/>
      <c r="R238" s="381"/>
      <c r="S238" s="381"/>
      <c r="T238" s="381"/>
      <c r="U238" s="381"/>
      <c r="V238" s="381"/>
      <c r="W238" s="381"/>
      <c r="X238" s="381"/>
      <c r="Y238" s="381"/>
      <c r="Z238" s="381"/>
    </row>
    <row r="239">
      <c r="A239" s="381"/>
      <c r="B239" s="18"/>
      <c r="C239" s="359"/>
      <c r="D239" s="359"/>
      <c r="E239" s="381"/>
      <c r="F239" s="381"/>
      <c r="G239" s="381"/>
      <c r="H239" s="381"/>
      <c r="I239" s="381"/>
      <c r="J239" s="381"/>
      <c r="K239" s="381"/>
      <c r="L239" s="381"/>
      <c r="M239" s="381"/>
      <c r="N239" s="381"/>
      <c r="O239" s="381"/>
      <c r="P239" s="381"/>
      <c r="Q239" s="381"/>
      <c r="R239" s="381"/>
      <c r="S239" s="381"/>
      <c r="T239" s="381"/>
      <c r="U239" s="381"/>
      <c r="V239" s="381"/>
      <c r="W239" s="381"/>
      <c r="X239" s="381"/>
      <c r="Y239" s="381"/>
      <c r="Z239" s="381"/>
    </row>
    <row r="240">
      <c r="A240" s="381"/>
      <c r="B240" s="18"/>
      <c r="C240" s="359"/>
      <c r="D240" s="359"/>
      <c r="E240" s="381"/>
      <c r="F240" s="381"/>
      <c r="G240" s="381"/>
      <c r="H240" s="381"/>
      <c r="I240" s="381"/>
      <c r="J240" s="381"/>
      <c r="K240" s="381"/>
      <c r="L240" s="381"/>
      <c r="M240" s="381"/>
      <c r="N240" s="381"/>
      <c r="O240" s="381"/>
      <c r="P240" s="381"/>
      <c r="Q240" s="381"/>
      <c r="R240" s="381"/>
      <c r="S240" s="381"/>
      <c r="T240" s="381"/>
      <c r="U240" s="381"/>
      <c r="V240" s="381"/>
      <c r="W240" s="381"/>
      <c r="X240" s="381"/>
      <c r="Y240" s="381"/>
      <c r="Z240" s="381"/>
    </row>
    <row r="241">
      <c r="A241" s="381"/>
      <c r="B241" s="18"/>
      <c r="C241" s="359"/>
      <c r="D241" s="359"/>
      <c r="E241" s="381"/>
      <c r="F241" s="381"/>
      <c r="G241" s="381"/>
      <c r="H241" s="381"/>
      <c r="I241" s="381"/>
      <c r="J241" s="381"/>
      <c r="K241" s="381"/>
      <c r="L241" s="381"/>
      <c r="M241" s="381"/>
      <c r="N241" s="381"/>
      <c r="O241" s="381"/>
      <c r="P241" s="381"/>
      <c r="Q241" s="381"/>
      <c r="R241" s="381"/>
      <c r="S241" s="381"/>
      <c r="T241" s="381"/>
      <c r="U241" s="381"/>
      <c r="V241" s="381"/>
      <c r="W241" s="381"/>
      <c r="X241" s="381"/>
      <c r="Y241" s="381"/>
      <c r="Z241" s="381"/>
    </row>
    <row r="242">
      <c r="A242" s="381"/>
      <c r="B242" s="18"/>
      <c r="C242" s="359"/>
      <c r="D242" s="359"/>
      <c r="E242" s="381"/>
      <c r="F242" s="381"/>
      <c r="G242" s="381"/>
      <c r="H242" s="381"/>
      <c r="I242" s="381"/>
      <c r="J242" s="381"/>
      <c r="K242" s="381"/>
      <c r="L242" s="381"/>
      <c r="M242" s="381"/>
      <c r="N242" s="381"/>
      <c r="O242" s="381"/>
      <c r="P242" s="381"/>
      <c r="Q242" s="381"/>
      <c r="R242" s="381"/>
      <c r="S242" s="381"/>
      <c r="T242" s="381"/>
      <c r="U242" s="381"/>
      <c r="V242" s="381"/>
      <c r="W242" s="381"/>
      <c r="X242" s="381"/>
      <c r="Y242" s="381"/>
      <c r="Z242" s="381"/>
    </row>
    <row r="243">
      <c r="A243" s="381"/>
      <c r="B243" s="18"/>
      <c r="C243" s="359"/>
      <c r="D243" s="359"/>
      <c r="E243" s="381"/>
      <c r="F243" s="381"/>
      <c r="G243" s="381"/>
      <c r="H243" s="381"/>
      <c r="I243" s="381"/>
      <c r="J243" s="381"/>
      <c r="K243" s="381"/>
      <c r="L243" s="381"/>
      <c r="M243" s="381"/>
      <c r="N243" s="381"/>
      <c r="O243" s="381"/>
      <c r="P243" s="381"/>
      <c r="Q243" s="381"/>
      <c r="R243" s="381"/>
      <c r="S243" s="381"/>
      <c r="T243" s="381"/>
      <c r="U243" s="381"/>
      <c r="V243" s="381"/>
      <c r="W243" s="381"/>
      <c r="X243" s="381"/>
      <c r="Y243" s="381"/>
      <c r="Z243" s="381"/>
    </row>
    <row r="244">
      <c r="A244" s="381"/>
      <c r="B244" s="18"/>
      <c r="C244" s="359"/>
      <c r="D244" s="359"/>
      <c r="E244" s="381"/>
      <c r="F244" s="381"/>
      <c r="G244" s="381"/>
      <c r="H244" s="381"/>
      <c r="I244" s="381"/>
      <c r="J244" s="381"/>
      <c r="K244" s="381"/>
      <c r="L244" s="381"/>
      <c r="M244" s="381"/>
      <c r="N244" s="381"/>
      <c r="O244" s="381"/>
      <c r="P244" s="381"/>
      <c r="Q244" s="381"/>
      <c r="R244" s="381"/>
      <c r="S244" s="381"/>
      <c r="T244" s="381"/>
      <c r="U244" s="381"/>
      <c r="V244" s="381"/>
      <c r="W244" s="381"/>
      <c r="X244" s="381"/>
      <c r="Y244" s="381"/>
      <c r="Z244" s="381"/>
    </row>
    <row r="245">
      <c r="A245" s="381"/>
      <c r="B245" s="18"/>
      <c r="C245" s="359"/>
      <c r="D245" s="359"/>
      <c r="E245" s="381"/>
      <c r="F245" s="381"/>
      <c r="G245" s="381"/>
      <c r="H245" s="381"/>
      <c r="I245" s="381"/>
      <c r="J245" s="381"/>
      <c r="K245" s="381"/>
      <c r="L245" s="381"/>
      <c r="M245" s="381"/>
      <c r="N245" s="381"/>
      <c r="O245" s="381"/>
      <c r="P245" s="381"/>
      <c r="Q245" s="381"/>
      <c r="R245" s="381"/>
      <c r="S245" s="381"/>
      <c r="T245" s="381"/>
      <c r="U245" s="381"/>
      <c r="V245" s="381"/>
      <c r="W245" s="381"/>
      <c r="X245" s="381"/>
      <c r="Y245" s="381"/>
      <c r="Z245" s="381"/>
    </row>
    <row r="246">
      <c r="A246" s="381"/>
      <c r="B246" s="18"/>
      <c r="C246" s="359"/>
      <c r="D246" s="359"/>
      <c r="E246" s="381"/>
      <c r="F246" s="381"/>
      <c r="G246" s="381"/>
      <c r="H246" s="381"/>
      <c r="I246" s="381"/>
      <c r="J246" s="381"/>
      <c r="K246" s="381"/>
      <c r="L246" s="381"/>
      <c r="M246" s="381"/>
      <c r="N246" s="381"/>
      <c r="O246" s="381"/>
      <c r="P246" s="381"/>
      <c r="Q246" s="381"/>
      <c r="R246" s="381"/>
      <c r="S246" s="381"/>
      <c r="T246" s="381"/>
      <c r="U246" s="381"/>
      <c r="V246" s="381"/>
      <c r="W246" s="381"/>
      <c r="X246" s="381"/>
      <c r="Y246" s="381"/>
      <c r="Z246" s="381"/>
    </row>
    <row r="247">
      <c r="A247" s="381"/>
      <c r="B247" s="18"/>
      <c r="C247" s="359"/>
      <c r="D247" s="359"/>
      <c r="E247" s="381"/>
      <c r="F247" s="381"/>
      <c r="G247" s="381"/>
      <c r="H247" s="381"/>
      <c r="I247" s="381"/>
      <c r="J247" s="381"/>
      <c r="K247" s="381"/>
      <c r="L247" s="381"/>
      <c r="M247" s="381"/>
      <c r="N247" s="381"/>
      <c r="O247" s="381"/>
      <c r="P247" s="381"/>
      <c r="Q247" s="381"/>
      <c r="R247" s="381"/>
      <c r="S247" s="381"/>
      <c r="T247" s="381"/>
      <c r="U247" s="381"/>
      <c r="V247" s="381"/>
      <c r="W247" s="381"/>
      <c r="X247" s="381"/>
      <c r="Y247" s="381"/>
      <c r="Z247" s="381"/>
    </row>
    <row r="248">
      <c r="A248" s="381"/>
      <c r="B248" s="18"/>
      <c r="C248" s="359"/>
      <c r="D248" s="359"/>
      <c r="E248" s="381"/>
      <c r="F248" s="381"/>
      <c r="G248" s="381"/>
      <c r="H248" s="381"/>
      <c r="I248" s="381"/>
      <c r="J248" s="381"/>
      <c r="K248" s="381"/>
      <c r="L248" s="381"/>
      <c r="M248" s="381"/>
      <c r="N248" s="381"/>
      <c r="O248" s="381"/>
      <c r="P248" s="381"/>
      <c r="Q248" s="381"/>
      <c r="R248" s="381"/>
      <c r="S248" s="381"/>
      <c r="T248" s="381"/>
      <c r="U248" s="381"/>
      <c r="V248" s="381"/>
      <c r="W248" s="381"/>
      <c r="X248" s="381"/>
      <c r="Y248" s="381"/>
      <c r="Z248" s="381"/>
    </row>
    <row r="249">
      <c r="A249" s="381"/>
      <c r="B249" s="18"/>
      <c r="C249" s="359"/>
      <c r="D249" s="359"/>
      <c r="E249" s="381"/>
      <c r="F249" s="381"/>
      <c r="G249" s="381"/>
      <c r="H249" s="381"/>
      <c r="I249" s="381"/>
      <c r="J249" s="381"/>
      <c r="K249" s="381"/>
      <c r="L249" s="381"/>
      <c r="M249" s="381"/>
      <c r="N249" s="381"/>
      <c r="O249" s="381"/>
      <c r="P249" s="381"/>
      <c r="Q249" s="381"/>
      <c r="R249" s="381"/>
      <c r="S249" s="381"/>
      <c r="T249" s="381"/>
      <c r="U249" s="381"/>
      <c r="V249" s="381"/>
      <c r="W249" s="381"/>
      <c r="X249" s="381"/>
      <c r="Y249" s="381"/>
      <c r="Z249" s="381"/>
    </row>
    <row r="250">
      <c r="A250" s="381"/>
      <c r="B250" s="18"/>
      <c r="C250" s="359"/>
      <c r="D250" s="359"/>
      <c r="E250" s="381"/>
      <c r="F250" s="381"/>
      <c r="G250" s="381"/>
      <c r="H250" s="381"/>
      <c r="I250" s="381"/>
      <c r="J250" s="381"/>
      <c r="K250" s="381"/>
      <c r="L250" s="381"/>
      <c r="M250" s="381"/>
      <c r="N250" s="381"/>
      <c r="O250" s="381"/>
      <c r="P250" s="381"/>
      <c r="Q250" s="381"/>
      <c r="R250" s="381"/>
      <c r="S250" s="381"/>
      <c r="T250" s="381"/>
      <c r="U250" s="381"/>
      <c r="V250" s="381"/>
      <c r="W250" s="381"/>
      <c r="X250" s="381"/>
      <c r="Y250" s="381"/>
      <c r="Z250" s="381"/>
    </row>
    <row r="251">
      <c r="A251" s="381"/>
      <c r="B251" s="18"/>
      <c r="C251" s="359"/>
      <c r="D251" s="359"/>
      <c r="E251" s="381"/>
      <c r="F251" s="381"/>
      <c r="G251" s="381"/>
      <c r="H251" s="381"/>
      <c r="I251" s="381"/>
      <c r="J251" s="381"/>
      <c r="K251" s="381"/>
      <c r="L251" s="381"/>
      <c r="M251" s="381"/>
      <c r="N251" s="381"/>
      <c r="O251" s="381"/>
      <c r="P251" s="381"/>
      <c r="Q251" s="381"/>
      <c r="R251" s="381"/>
      <c r="S251" s="381"/>
      <c r="T251" s="381"/>
      <c r="U251" s="381"/>
      <c r="V251" s="381"/>
      <c r="W251" s="381"/>
      <c r="X251" s="381"/>
      <c r="Y251" s="381"/>
      <c r="Z251" s="381"/>
    </row>
    <row r="252">
      <c r="A252" s="381"/>
      <c r="B252" s="18"/>
      <c r="C252" s="359"/>
      <c r="D252" s="359"/>
      <c r="E252" s="381"/>
      <c r="F252" s="381"/>
      <c r="G252" s="381"/>
      <c r="H252" s="381"/>
      <c r="I252" s="381"/>
      <c r="J252" s="381"/>
      <c r="K252" s="381"/>
      <c r="L252" s="381"/>
      <c r="M252" s="381"/>
      <c r="N252" s="381"/>
      <c r="O252" s="381"/>
      <c r="P252" s="381"/>
      <c r="Q252" s="381"/>
      <c r="R252" s="381"/>
      <c r="S252" s="381"/>
      <c r="T252" s="381"/>
      <c r="U252" s="381"/>
      <c r="V252" s="381"/>
      <c r="W252" s="381"/>
      <c r="X252" s="381"/>
      <c r="Y252" s="381"/>
      <c r="Z252" s="381"/>
    </row>
    <row r="253">
      <c r="A253" s="381"/>
      <c r="B253" s="18"/>
      <c r="C253" s="359"/>
      <c r="D253" s="359"/>
      <c r="E253" s="381"/>
      <c r="F253" s="381"/>
      <c r="G253" s="381"/>
      <c r="H253" s="381"/>
      <c r="I253" s="381"/>
      <c r="J253" s="381"/>
      <c r="K253" s="381"/>
      <c r="L253" s="381"/>
      <c r="M253" s="381"/>
      <c r="N253" s="381"/>
      <c r="O253" s="381"/>
      <c r="P253" s="381"/>
      <c r="Q253" s="381"/>
      <c r="R253" s="381"/>
      <c r="S253" s="381"/>
      <c r="T253" s="381"/>
      <c r="U253" s="381"/>
      <c r="V253" s="381"/>
      <c r="W253" s="381"/>
      <c r="X253" s="381"/>
      <c r="Y253" s="381"/>
      <c r="Z253" s="381"/>
    </row>
    <row r="254">
      <c r="A254" s="381"/>
      <c r="B254" s="18"/>
      <c r="C254" s="359"/>
      <c r="D254" s="359"/>
      <c r="E254" s="381"/>
      <c r="F254" s="381"/>
      <c r="G254" s="381"/>
      <c r="H254" s="381"/>
      <c r="I254" s="381"/>
      <c r="J254" s="381"/>
      <c r="K254" s="381"/>
      <c r="L254" s="381"/>
      <c r="M254" s="381"/>
      <c r="N254" s="381"/>
      <c r="O254" s="381"/>
      <c r="P254" s="381"/>
      <c r="Q254" s="381"/>
      <c r="R254" s="381"/>
      <c r="S254" s="381"/>
      <c r="T254" s="381"/>
      <c r="U254" s="381"/>
      <c r="V254" s="381"/>
      <c r="W254" s="381"/>
      <c r="X254" s="381"/>
      <c r="Y254" s="381"/>
      <c r="Z254" s="381"/>
    </row>
    <row r="255">
      <c r="A255" s="381"/>
      <c r="B255" s="18"/>
      <c r="C255" s="359"/>
      <c r="D255" s="359"/>
      <c r="E255" s="381"/>
      <c r="F255" s="381"/>
      <c r="G255" s="381"/>
      <c r="H255" s="381"/>
      <c r="I255" s="381"/>
      <c r="J255" s="381"/>
      <c r="K255" s="381"/>
      <c r="L255" s="381"/>
      <c r="M255" s="381"/>
      <c r="N255" s="381"/>
      <c r="O255" s="381"/>
      <c r="P255" s="381"/>
      <c r="Q255" s="381"/>
      <c r="R255" s="381"/>
      <c r="S255" s="381"/>
      <c r="T255" s="381"/>
      <c r="U255" s="381"/>
      <c r="V255" s="381"/>
      <c r="W255" s="381"/>
      <c r="X255" s="381"/>
      <c r="Y255" s="381"/>
      <c r="Z255" s="381"/>
    </row>
    <row r="256">
      <c r="A256" s="381"/>
      <c r="B256" s="18"/>
      <c r="C256" s="359"/>
      <c r="D256" s="359"/>
      <c r="E256" s="381"/>
      <c r="F256" s="381"/>
      <c r="G256" s="381"/>
      <c r="H256" s="381"/>
      <c r="I256" s="381"/>
      <c r="J256" s="381"/>
      <c r="K256" s="381"/>
      <c r="L256" s="381"/>
      <c r="M256" s="381"/>
      <c r="N256" s="381"/>
      <c r="O256" s="381"/>
      <c r="P256" s="381"/>
      <c r="Q256" s="381"/>
      <c r="R256" s="381"/>
      <c r="S256" s="381"/>
      <c r="T256" s="381"/>
      <c r="U256" s="381"/>
      <c r="V256" s="381"/>
      <c r="W256" s="381"/>
      <c r="X256" s="381"/>
      <c r="Y256" s="381"/>
      <c r="Z256" s="381"/>
    </row>
    <row r="257">
      <c r="A257" s="381"/>
      <c r="B257" s="18"/>
      <c r="C257" s="359"/>
      <c r="D257" s="359"/>
      <c r="E257" s="381"/>
      <c r="F257" s="381"/>
      <c r="G257" s="381"/>
      <c r="H257" s="381"/>
      <c r="I257" s="381"/>
      <c r="J257" s="381"/>
      <c r="K257" s="381"/>
      <c r="L257" s="381"/>
      <c r="M257" s="381"/>
      <c r="N257" s="381"/>
      <c r="O257" s="381"/>
      <c r="P257" s="381"/>
      <c r="Q257" s="381"/>
      <c r="R257" s="381"/>
      <c r="S257" s="381"/>
      <c r="T257" s="381"/>
      <c r="U257" s="381"/>
      <c r="V257" s="381"/>
      <c r="W257" s="381"/>
      <c r="X257" s="381"/>
      <c r="Y257" s="381"/>
      <c r="Z257" s="381"/>
    </row>
    <row r="258">
      <c r="A258" s="381"/>
      <c r="B258" s="18"/>
      <c r="C258" s="359"/>
      <c r="D258" s="359"/>
      <c r="E258" s="381"/>
      <c r="F258" s="381"/>
      <c r="G258" s="381"/>
      <c r="H258" s="381"/>
      <c r="I258" s="381"/>
      <c r="J258" s="381"/>
      <c r="K258" s="381"/>
      <c r="L258" s="381"/>
      <c r="M258" s="381"/>
      <c r="N258" s="381"/>
      <c r="O258" s="381"/>
      <c r="P258" s="381"/>
      <c r="Q258" s="381"/>
      <c r="R258" s="381"/>
      <c r="S258" s="381"/>
      <c r="T258" s="381"/>
      <c r="U258" s="381"/>
      <c r="V258" s="381"/>
      <c r="W258" s="381"/>
      <c r="X258" s="381"/>
      <c r="Y258" s="381"/>
      <c r="Z258" s="381"/>
    </row>
    <row r="259">
      <c r="A259" s="381"/>
      <c r="B259" s="18"/>
      <c r="C259" s="359"/>
      <c r="D259" s="359"/>
      <c r="E259" s="381"/>
      <c r="F259" s="381"/>
      <c r="G259" s="381"/>
      <c r="H259" s="381"/>
      <c r="I259" s="381"/>
      <c r="J259" s="381"/>
      <c r="K259" s="381"/>
      <c r="L259" s="381"/>
      <c r="M259" s="381"/>
      <c r="N259" s="381"/>
      <c r="O259" s="381"/>
      <c r="P259" s="381"/>
      <c r="Q259" s="381"/>
      <c r="R259" s="381"/>
      <c r="S259" s="381"/>
      <c r="T259" s="381"/>
      <c r="U259" s="381"/>
      <c r="V259" s="381"/>
      <c r="W259" s="381"/>
      <c r="X259" s="381"/>
      <c r="Y259" s="381"/>
      <c r="Z259" s="381"/>
    </row>
    <row r="260">
      <c r="A260" s="381"/>
      <c r="B260" s="18"/>
      <c r="C260" s="359"/>
      <c r="D260" s="359"/>
      <c r="E260" s="381"/>
      <c r="F260" s="381"/>
      <c r="G260" s="381"/>
      <c r="H260" s="381"/>
      <c r="I260" s="381"/>
      <c r="J260" s="381"/>
      <c r="K260" s="381"/>
      <c r="L260" s="381"/>
      <c r="M260" s="381"/>
      <c r="N260" s="381"/>
      <c r="O260" s="381"/>
      <c r="P260" s="381"/>
      <c r="Q260" s="381"/>
      <c r="R260" s="381"/>
      <c r="S260" s="381"/>
      <c r="T260" s="381"/>
      <c r="U260" s="381"/>
      <c r="V260" s="381"/>
      <c r="W260" s="381"/>
      <c r="X260" s="381"/>
      <c r="Y260" s="381"/>
      <c r="Z260" s="381"/>
    </row>
    <row r="261">
      <c r="A261" s="381"/>
      <c r="B261" s="18"/>
      <c r="C261" s="359"/>
      <c r="D261" s="359"/>
      <c r="E261" s="381"/>
      <c r="F261" s="381"/>
      <c r="G261" s="381"/>
      <c r="H261" s="381"/>
      <c r="I261" s="381"/>
      <c r="J261" s="381"/>
      <c r="K261" s="381"/>
      <c r="L261" s="381"/>
      <c r="M261" s="381"/>
      <c r="N261" s="381"/>
      <c r="O261" s="381"/>
      <c r="P261" s="381"/>
      <c r="Q261" s="381"/>
      <c r="R261" s="381"/>
      <c r="S261" s="381"/>
      <c r="T261" s="381"/>
      <c r="U261" s="381"/>
      <c r="V261" s="381"/>
      <c r="W261" s="381"/>
      <c r="X261" s="381"/>
      <c r="Y261" s="381"/>
      <c r="Z261" s="381"/>
    </row>
    <row r="262">
      <c r="A262" s="381"/>
      <c r="B262" s="18"/>
      <c r="C262" s="359"/>
      <c r="D262" s="359"/>
      <c r="E262" s="381"/>
      <c r="F262" s="381"/>
      <c r="G262" s="381"/>
      <c r="H262" s="381"/>
      <c r="I262" s="381"/>
      <c r="J262" s="381"/>
      <c r="K262" s="381"/>
      <c r="L262" s="381"/>
      <c r="M262" s="381"/>
      <c r="N262" s="381"/>
      <c r="O262" s="381"/>
      <c r="P262" s="381"/>
      <c r="Q262" s="381"/>
      <c r="R262" s="381"/>
      <c r="S262" s="381"/>
      <c r="T262" s="381"/>
      <c r="U262" s="381"/>
      <c r="V262" s="381"/>
      <c r="W262" s="381"/>
      <c r="X262" s="381"/>
      <c r="Y262" s="381"/>
      <c r="Z262" s="381"/>
    </row>
    <row r="263">
      <c r="A263" s="381"/>
      <c r="B263" s="18"/>
      <c r="C263" s="359"/>
      <c r="D263" s="359"/>
      <c r="E263" s="381"/>
      <c r="F263" s="381"/>
      <c r="G263" s="381"/>
      <c r="H263" s="381"/>
      <c r="I263" s="381"/>
      <c r="J263" s="381"/>
      <c r="K263" s="381"/>
      <c r="L263" s="381"/>
      <c r="M263" s="381"/>
      <c r="N263" s="381"/>
      <c r="O263" s="381"/>
      <c r="P263" s="381"/>
      <c r="Q263" s="381"/>
      <c r="R263" s="381"/>
      <c r="S263" s="381"/>
      <c r="T263" s="381"/>
      <c r="U263" s="381"/>
      <c r="V263" s="381"/>
      <c r="W263" s="381"/>
      <c r="X263" s="381"/>
      <c r="Y263" s="381"/>
      <c r="Z263" s="381"/>
    </row>
    <row r="264">
      <c r="A264" s="381"/>
      <c r="B264" s="18"/>
      <c r="C264" s="359"/>
      <c r="D264" s="359"/>
      <c r="E264" s="381"/>
      <c r="F264" s="381"/>
      <c r="G264" s="381"/>
      <c r="H264" s="381"/>
      <c r="I264" s="381"/>
      <c r="J264" s="381"/>
      <c r="K264" s="381"/>
      <c r="L264" s="381"/>
      <c r="M264" s="381"/>
      <c r="N264" s="381"/>
      <c r="O264" s="381"/>
      <c r="P264" s="381"/>
      <c r="Q264" s="381"/>
      <c r="R264" s="381"/>
      <c r="S264" s="381"/>
      <c r="T264" s="381"/>
      <c r="U264" s="381"/>
      <c r="V264" s="381"/>
      <c r="W264" s="381"/>
      <c r="X264" s="381"/>
      <c r="Y264" s="381"/>
      <c r="Z264" s="381"/>
    </row>
    <row r="265">
      <c r="A265" s="381"/>
      <c r="B265" s="18"/>
      <c r="C265" s="359"/>
      <c r="D265" s="359"/>
      <c r="E265" s="381"/>
      <c r="F265" s="381"/>
      <c r="G265" s="381"/>
      <c r="H265" s="381"/>
      <c r="I265" s="381"/>
      <c r="J265" s="381"/>
      <c r="K265" s="381"/>
      <c r="L265" s="381"/>
      <c r="M265" s="381"/>
      <c r="N265" s="381"/>
      <c r="O265" s="381"/>
      <c r="P265" s="381"/>
      <c r="Q265" s="381"/>
      <c r="R265" s="381"/>
      <c r="S265" s="381"/>
      <c r="T265" s="381"/>
      <c r="U265" s="381"/>
      <c r="V265" s="381"/>
      <c r="W265" s="381"/>
      <c r="X265" s="381"/>
      <c r="Y265" s="381"/>
      <c r="Z265" s="381"/>
    </row>
    <row r="266">
      <c r="A266" s="381"/>
      <c r="B266" s="18"/>
      <c r="C266" s="359"/>
      <c r="D266" s="359"/>
      <c r="E266" s="381"/>
      <c r="F266" s="381"/>
      <c r="G266" s="381"/>
      <c r="H266" s="381"/>
      <c r="I266" s="381"/>
      <c r="J266" s="381"/>
      <c r="K266" s="381"/>
      <c r="L266" s="381"/>
      <c r="M266" s="381"/>
      <c r="N266" s="381"/>
      <c r="O266" s="381"/>
      <c r="P266" s="381"/>
      <c r="Q266" s="381"/>
      <c r="R266" s="381"/>
      <c r="S266" s="381"/>
      <c r="T266" s="381"/>
      <c r="U266" s="381"/>
      <c r="V266" s="381"/>
      <c r="W266" s="381"/>
      <c r="X266" s="381"/>
      <c r="Y266" s="381"/>
      <c r="Z266" s="381"/>
    </row>
    <row r="267">
      <c r="A267" s="381"/>
      <c r="B267" s="18"/>
      <c r="C267" s="359"/>
      <c r="D267" s="359"/>
      <c r="E267" s="381"/>
      <c r="F267" s="381"/>
      <c r="G267" s="381"/>
      <c r="H267" s="381"/>
      <c r="I267" s="381"/>
      <c r="J267" s="381"/>
      <c r="K267" s="381"/>
      <c r="L267" s="381"/>
      <c r="M267" s="381"/>
      <c r="N267" s="381"/>
      <c r="O267" s="381"/>
      <c r="P267" s="381"/>
      <c r="Q267" s="381"/>
      <c r="R267" s="381"/>
      <c r="S267" s="381"/>
      <c r="T267" s="381"/>
      <c r="U267" s="381"/>
      <c r="V267" s="381"/>
      <c r="W267" s="381"/>
      <c r="X267" s="381"/>
      <c r="Y267" s="381"/>
      <c r="Z267" s="381"/>
    </row>
    <row r="268">
      <c r="A268" s="381"/>
      <c r="B268" s="18"/>
      <c r="C268" s="359"/>
      <c r="D268" s="359"/>
      <c r="E268" s="381"/>
      <c r="F268" s="381"/>
      <c r="G268" s="381"/>
      <c r="H268" s="381"/>
      <c r="I268" s="381"/>
      <c r="J268" s="381"/>
      <c r="K268" s="381"/>
      <c r="L268" s="381"/>
      <c r="M268" s="381"/>
      <c r="N268" s="381"/>
      <c r="O268" s="381"/>
      <c r="P268" s="381"/>
      <c r="Q268" s="381"/>
      <c r="R268" s="381"/>
      <c r="S268" s="381"/>
      <c r="T268" s="381"/>
      <c r="U268" s="381"/>
      <c r="V268" s="381"/>
      <c r="W268" s="381"/>
      <c r="X268" s="381"/>
      <c r="Y268" s="381"/>
      <c r="Z268" s="381"/>
    </row>
    <row r="269">
      <c r="A269" s="381"/>
      <c r="B269" s="18"/>
      <c r="C269" s="359"/>
      <c r="D269" s="359"/>
      <c r="E269" s="381"/>
      <c r="F269" s="381"/>
      <c r="G269" s="381"/>
      <c r="H269" s="381"/>
      <c r="I269" s="381"/>
      <c r="J269" s="381"/>
      <c r="K269" s="381"/>
      <c r="L269" s="381"/>
      <c r="M269" s="381"/>
      <c r="N269" s="381"/>
      <c r="O269" s="381"/>
      <c r="P269" s="381"/>
      <c r="Q269" s="381"/>
      <c r="R269" s="381"/>
      <c r="S269" s="381"/>
      <c r="T269" s="381"/>
      <c r="U269" s="381"/>
      <c r="V269" s="381"/>
      <c r="W269" s="381"/>
      <c r="X269" s="381"/>
      <c r="Y269" s="381"/>
      <c r="Z269" s="381"/>
    </row>
    <row r="270">
      <c r="A270" s="381"/>
      <c r="B270" s="18"/>
      <c r="C270" s="359"/>
      <c r="D270" s="359"/>
      <c r="E270" s="381"/>
      <c r="F270" s="381"/>
      <c r="G270" s="381"/>
      <c r="H270" s="381"/>
      <c r="I270" s="381"/>
      <c r="J270" s="381"/>
      <c r="K270" s="381"/>
      <c r="L270" s="381"/>
      <c r="M270" s="381"/>
      <c r="N270" s="381"/>
      <c r="O270" s="381"/>
      <c r="P270" s="381"/>
      <c r="Q270" s="381"/>
      <c r="R270" s="381"/>
      <c r="S270" s="381"/>
      <c r="T270" s="381"/>
      <c r="U270" s="381"/>
      <c r="V270" s="381"/>
      <c r="W270" s="381"/>
      <c r="X270" s="381"/>
      <c r="Y270" s="381"/>
      <c r="Z270" s="381"/>
    </row>
    <row r="271">
      <c r="A271" s="381"/>
      <c r="B271" s="18"/>
      <c r="C271" s="359"/>
      <c r="D271" s="359"/>
      <c r="E271" s="381"/>
      <c r="F271" s="381"/>
      <c r="G271" s="381"/>
      <c r="H271" s="381"/>
      <c r="I271" s="381"/>
      <c r="J271" s="381"/>
      <c r="K271" s="381"/>
      <c r="L271" s="381"/>
      <c r="M271" s="381"/>
      <c r="N271" s="381"/>
      <c r="O271" s="381"/>
      <c r="P271" s="381"/>
      <c r="Q271" s="381"/>
      <c r="R271" s="381"/>
      <c r="S271" s="381"/>
      <c r="T271" s="381"/>
      <c r="U271" s="381"/>
      <c r="V271" s="381"/>
      <c r="W271" s="381"/>
      <c r="X271" s="381"/>
      <c r="Y271" s="381"/>
      <c r="Z271" s="381"/>
    </row>
    <row r="272">
      <c r="A272" s="381"/>
      <c r="B272" s="18"/>
      <c r="C272" s="359"/>
      <c r="D272" s="359"/>
      <c r="E272" s="381"/>
      <c r="F272" s="381"/>
      <c r="G272" s="381"/>
      <c r="H272" s="381"/>
      <c r="I272" s="381"/>
      <c r="J272" s="381"/>
      <c r="K272" s="381"/>
      <c r="L272" s="381"/>
      <c r="M272" s="381"/>
      <c r="N272" s="381"/>
      <c r="O272" s="381"/>
      <c r="P272" s="381"/>
      <c r="Q272" s="381"/>
      <c r="R272" s="381"/>
      <c r="S272" s="381"/>
      <c r="T272" s="381"/>
      <c r="U272" s="381"/>
      <c r="V272" s="381"/>
      <c r="W272" s="381"/>
      <c r="X272" s="381"/>
      <c r="Y272" s="381"/>
      <c r="Z272" s="381"/>
    </row>
    <row r="273">
      <c r="A273" s="381"/>
      <c r="B273" s="18"/>
      <c r="C273" s="359"/>
      <c r="D273" s="359"/>
      <c r="E273" s="381"/>
      <c r="F273" s="381"/>
      <c r="G273" s="381"/>
      <c r="H273" s="381"/>
      <c r="I273" s="381"/>
      <c r="J273" s="381"/>
      <c r="K273" s="381"/>
      <c r="L273" s="381"/>
      <c r="M273" s="381"/>
      <c r="N273" s="381"/>
      <c r="O273" s="381"/>
      <c r="P273" s="381"/>
      <c r="Q273" s="381"/>
      <c r="R273" s="381"/>
      <c r="S273" s="381"/>
      <c r="T273" s="381"/>
      <c r="U273" s="381"/>
      <c r="V273" s="381"/>
      <c r="W273" s="381"/>
      <c r="X273" s="381"/>
      <c r="Y273" s="381"/>
      <c r="Z273" s="381"/>
    </row>
    <row r="274">
      <c r="A274" s="381"/>
      <c r="B274" s="18"/>
      <c r="C274" s="359"/>
      <c r="D274" s="359"/>
      <c r="E274" s="381"/>
      <c r="F274" s="381"/>
      <c r="G274" s="381"/>
      <c r="H274" s="381"/>
      <c r="I274" s="381"/>
      <c r="J274" s="381"/>
      <c r="K274" s="381"/>
      <c r="L274" s="381"/>
      <c r="M274" s="381"/>
      <c r="N274" s="381"/>
      <c r="O274" s="381"/>
      <c r="P274" s="381"/>
      <c r="Q274" s="381"/>
      <c r="R274" s="381"/>
      <c r="S274" s="381"/>
      <c r="T274" s="381"/>
      <c r="U274" s="381"/>
      <c r="V274" s="381"/>
      <c r="W274" s="381"/>
      <c r="X274" s="381"/>
      <c r="Y274" s="381"/>
      <c r="Z274" s="381"/>
    </row>
    <row r="275">
      <c r="A275" s="381"/>
      <c r="B275" s="18"/>
      <c r="C275" s="359"/>
      <c r="D275" s="359"/>
      <c r="E275" s="381"/>
      <c r="F275" s="381"/>
      <c r="G275" s="381"/>
      <c r="H275" s="381"/>
      <c r="I275" s="381"/>
      <c r="J275" s="381"/>
      <c r="K275" s="381"/>
      <c r="L275" s="381"/>
      <c r="M275" s="381"/>
      <c r="N275" s="381"/>
      <c r="O275" s="381"/>
      <c r="P275" s="381"/>
      <c r="Q275" s="381"/>
      <c r="R275" s="381"/>
      <c r="S275" s="381"/>
      <c r="T275" s="381"/>
      <c r="U275" s="381"/>
      <c r="V275" s="381"/>
      <c r="W275" s="381"/>
      <c r="X275" s="381"/>
      <c r="Y275" s="381"/>
      <c r="Z275" s="381"/>
    </row>
    <row r="276">
      <c r="A276" s="381"/>
      <c r="B276" s="18"/>
      <c r="C276" s="359"/>
      <c r="D276" s="359"/>
      <c r="E276" s="381"/>
      <c r="F276" s="381"/>
      <c r="G276" s="381"/>
      <c r="H276" s="381"/>
      <c r="I276" s="381"/>
      <c r="J276" s="381"/>
      <c r="K276" s="381"/>
      <c r="L276" s="381"/>
      <c r="M276" s="381"/>
      <c r="N276" s="381"/>
      <c r="O276" s="381"/>
      <c r="P276" s="381"/>
      <c r="Q276" s="381"/>
      <c r="R276" s="381"/>
      <c r="S276" s="381"/>
      <c r="T276" s="381"/>
      <c r="U276" s="381"/>
      <c r="V276" s="381"/>
      <c r="W276" s="381"/>
      <c r="X276" s="381"/>
      <c r="Y276" s="381"/>
      <c r="Z276" s="381"/>
    </row>
    <row r="277">
      <c r="A277" s="381"/>
      <c r="B277" s="18"/>
      <c r="C277" s="359"/>
      <c r="D277" s="359"/>
      <c r="E277" s="381"/>
      <c r="F277" s="381"/>
      <c r="G277" s="381"/>
      <c r="H277" s="381"/>
      <c r="I277" s="381"/>
      <c r="J277" s="381"/>
      <c r="K277" s="381"/>
      <c r="L277" s="381"/>
      <c r="M277" s="381"/>
      <c r="N277" s="381"/>
      <c r="O277" s="381"/>
      <c r="P277" s="381"/>
      <c r="Q277" s="381"/>
      <c r="R277" s="381"/>
      <c r="S277" s="381"/>
      <c r="T277" s="381"/>
      <c r="U277" s="381"/>
      <c r="V277" s="381"/>
      <c r="W277" s="381"/>
      <c r="X277" s="381"/>
      <c r="Y277" s="381"/>
      <c r="Z277" s="381"/>
    </row>
    <row r="278">
      <c r="A278" s="381"/>
      <c r="B278" s="18"/>
      <c r="C278" s="359"/>
      <c r="D278" s="359"/>
      <c r="E278" s="381"/>
      <c r="F278" s="381"/>
      <c r="G278" s="381"/>
      <c r="H278" s="381"/>
      <c r="I278" s="381"/>
      <c r="J278" s="381"/>
      <c r="K278" s="381"/>
      <c r="L278" s="381"/>
      <c r="M278" s="381"/>
      <c r="N278" s="381"/>
      <c r="O278" s="381"/>
      <c r="P278" s="381"/>
      <c r="Q278" s="381"/>
      <c r="R278" s="381"/>
      <c r="S278" s="381"/>
      <c r="T278" s="381"/>
      <c r="U278" s="381"/>
      <c r="V278" s="381"/>
      <c r="W278" s="381"/>
      <c r="X278" s="381"/>
      <c r="Y278" s="381"/>
      <c r="Z278" s="381"/>
    </row>
    <row r="279">
      <c r="A279" s="381"/>
      <c r="B279" s="18"/>
      <c r="C279" s="359"/>
      <c r="D279" s="359"/>
      <c r="E279" s="381"/>
      <c r="F279" s="381"/>
      <c r="G279" s="381"/>
      <c r="H279" s="381"/>
      <c r="I279" s="381"/>
      <c r="J279" s="381"/>
      <c r="K279" s="381"/>
      <c r="L279" s="381"/>
      <c r="M279" s="381"/>
      <c r="N279" s="381"/>
      <c r="O279" s="381"/>
      <c r="P279" s="381"/>
      <c r="Q279" s="381"/>
      <c r="R279" s="381"/>
      <c r="S279" s="381"/>
      <c r="T279" s="381"/>
      <c r="U279" s="381"/>
      <c r="V279" s="381"/>
      <c r="W279" s="381"/>
      <c r="X279" s="381"/>
      <c r="Y279" s="381"/>
      <c r="Z279" s="381"/>
    </row>
    <row r="280">
      <c r="A280" s="381"/>
      <c r="B280" s="18"/>
      <c r="C280" s="359"/>
      <c r="D280" s="359"/>
      <c r="E280" s="381"/>
      <c r="F280" s="381"/>
      <c r="G280" s="381"/>
      <c r="H280" s="381"/>
      <c r="I280" s="381"/>
      <c r="J280" s="381"/>
      <c r="K280" s="381"/>
      <c r="L280" s="381"/>
      <c r="M280" s="381"/>
      <c r="N280" s="381"/>
      <c r="O280" s="381"/>
      <c r="P280" s="381"/>
      <c r="Q280" s="381"/>
      <c r="R280" s="381"/>
      <c r="S280" s="381"/>
      <c r="T280" s="381"/>
      <c r="U280" s="381"/>
      <c r="V280" s="381"/>
      <c r="W280" s="381"/>
      <c r="X280" s="381"/>
      <c r="Y280" s="381"/>
      <c r="Z280" s="381"/>
    </row>
    <row r="281">
      <c r="A281" s="381"/>
      <c r="B281" s="18"/>
      <c r="C281" s="359"/>
      <c r="D281" s="359"/>
      <c r="E281" s="381"/>
      <c r="F281" s="381"/>
      <c r="G281" s="381"/>
      <c r="H281" s="381"/>
      <c r="I281" s="381"/>
      <c r="J281" s="381"/>
      <c r="K281" s="381"/>
      <c r="L281" s="381"/>
      <c r="M281" s="381"/>
      <c r="N281" s="381"/>
      <c r="O281" s="381"/>
      <c r="P281" s="381"/>
      <c r="Q281" s="381"/>
      <c r="R281" s="381"/>
      <c r="S281" s="381"/>
      <c r="T281" s="381"/>
      <c r="U281" s="381"/>
      <c r="V281" s="381"/>
      <c r="W281" s="381"/>
      <c r="X281" s="381"/>
      <c r="Y281" s="381"/>
      <c r="Z281" s="381"/>
    </row>
    <row r="282">
      <c r="A282" s="381"/>
      <c r="B282" s="18"/>
      <c r="C282" s="359"/>
      <c r="D282" s="359"/>
      <c r="E282" s="381"/>
      <c r="F282" s="381"/>
      <c r="G282" s="381"/>
      <c r="H282" s="381"/>
      <c r="I282" s="381"/>
      <c r="J282" s="381"/>
      <c r="K282" s="381"/>
      <c r="L282" s="381"/>
      <c r="M282" s="381"/>
      <c r="N282" s="381"/>
      <c r="O282" s="381"/>
      <c r="P282" s="381"/>
      <c r="Q282" s="381"/>
      <c r="R282" s="381"/>
      <c r="S282" s="381"/>
      <c r="T282" s="381"/>
      <c r="U282" s="381"/>
      <c r="V282" s="381"/>
      <c r="W282" s="381"/>
      <c r="X282" s="381"/>
      <c r="Y282" s="381"/>
      <c r="Z282" s="381"/>
    </row>
    <row r="283">
      <c r="A283" s="381"/>
      <c r="B283" s="18"/>
      <c r="C283" s="359"/>
      <c r="D283" s="359"/>
      <c r="E283" s="381"/>
      <c r="F283" s="381"/>
      <c r="G283" s="381"/>
      <c r="H283" s="381"/>
      <c r="I283" s="381"/>
      <c r="J283" s="381"/>
      <c r="K283" s="381"/>
      <c r="L283" s="381"/>
      <c r="M283" s="381"/>
      <c r="N283" s="381"/>
      <c r="O283" s="381"/>
      <c r="P283" s="381"/>
      <c r="Q283" s="381"/>
      <c r="R283" s="381"/>
      <c r="S283" s="381"/>
      <c r="T283" s="381"/>
      <c r="U283" s="381"/>
      <c r="V283" s="381"/>
      <c r="W283" s="381"/>
      <c r="X283" s="381"/>
      <c r="Y283" s="381"/>
      <c r="Z283" s="381"/>
    </row>
    <row r="284">
      <c r="A284" s="381"/>
      <c r="B284" s="18"/>
      <c r="C284" s="359"/>
      <c r="D284" s="359"/>
      <c r="E284" s="381"/>
      <c r="F284" s="381"/>
      <c r="G284" s="381"/>
      <c r="H284" s="381"/>
      <c r="I284" s="381"/>
      <c r="J284" s="381"/>
      <c r="K284" s="381"/>
      <c r="L284" s="381"/>
      <c r="M284" s="381"/>
      <c r="N284" s="381"/>
      <c r="O284" s="381"/>
      <c r="P284" s="381"/>
      <c r="Q284" s="381"/>
      <c r="R284" s="381"/>
      <c r="S284" s="381"/>
      <c r="T284" s="381"/>
      <c r="U284" s="381"/>
      <c r="V284" s="381"/>
      <c r="W284" s="381"/>
      <c r="X284" s="381"/>
      <c r="Y284" s="381"/>
      <c r="Z284" s="381"/>
    </row>
    <row r="285">
      <c r="A285" s="381"/>
      <c r="B285" s="18"/>
      <c r="C285" s="359"/>
      <c r="D285" s="359"/>
      <c r="E285" s="381"/>
      <c r="F285" s="381"/>
      <c r="G285" s="381"/>
      <c r="H285" s="381"/>
      <c r="I285" s="381"/>
      <c r="J285" s="381"/>
      <c r="K285" s="381"/>
      <c r="L285" s="381"/>
      <c r="M285" s="381"/>
      <c r="N285" s="381"/>
      <c r="O285" s="381"/>
      <c r="P285" s="381"/>
      <c r="Q285" s="381"/>
      <c r="R285" s="381"/>
      <c r="S285" s="381"/>
      <c r="T285" s="381"/>
      <c r="U285" s="381"/>
      <c r="V285" s="381"/>
      <c r="W285" s="381"/>
      <c r="X285" s="381"/>
      <c r="Y285" s="381"/>
      <c r="Z285" s="381"/>
    </row>
    <row r="286">
      <c r="A286" s="381"/>
      <c r="B286" s="18"/>
      <c r="C286" s="359"/>
      <c r="D286" s="359"/>
      <c r="E286" s="381"/>
      <c r="F286" s="381"/>
      <c r="G286" s="381"/>
      <c r="H286" s="381"/>
      <c r="I286" s="381"/>
      <c r="J286" s="381"/>
      <c r="K286" s="381"/>
      <c r="L286" s="381"/>
      <c r="M286" s="381"/>
      <c r="N286" s="381"/>
      <c r="O286" s="381"/>
      <c r="P286" s="381"/>
      <c r="Q286" s="381"/>
      <c r="R286" s="381"/>
      <c r="S286" s="381"/>
      <c r="T286" s="381"/>
      <c r="U286" s="381"/>
      <c r="V286" s="381"/>
      <c r="W286" s="381"/>
      <c r="X286" s="381"/>
      <c r="Y286" s="381"/>
      <c r="Z286" s="381"/>
    </row>
    <row r="287">
      <c r="A287" s="381"/>
      <c r="B287" s="18"/>
      <c r="C287" s="359"/>
      <c r="D287" s="359"/>
      <c r="E287" s="381"/>
      <c r="F287" s="381"/>
      <c r="G287" s="381"/>
      <c r="H287" s="381"/>
      <c r="I287" s="381"/>
      <c r="J287" s="381"/>
      <c r="K287" s="381"/>
      <c r="L287" s="381"/>
      <c r="M287" s="381"/>
      <c r="N287" s="381"/>
      <c r="O287" s="381"/>
      <c r="P287" s="381"/>
      <c r="Q287" s="381"/>
      <c r="R287" s="381"/>
      <c r="S287" s="381"/>
      <c r="T287" s="381"/>
      <c r="U287" s="381"/>
      <c r="V287" s="381"/>
      <c r="W287" s="381"/>
      <c r="X287" s="381"/>
      <c r="Y287" s="381"/>
      <c r="Z287" s="381"/>
    </row>
    <row r="288">
      <c r="A288" s="381"/>
      <c r="B288" s="18"/>
      <c r="C288" s="359"/>
      <c r="D288" s="359"/>
      <c r="E288" s="381"/>
      <c r="F288" s="381"/>
      <c r="G288" s="381"/>
      <c r="H288" s="381"/>
      <c r="I288" s="381"/>
      <c r="J288" s="381"/>
      <c r="K288" s="381"/>
      <c r="L288" s="381"/>
      <c r="M288" s="381"/>
      <c r="N288" s="381"/>
      <c r="O288" s="381"/>
      <c r="P288" s="381"/>
      <c r="Q288" s="381"/>
      <c r="R288" s="381"/>
      <c r="S288" s="381"/>
      <c r="T288" s="381"/>
      <c r="U288" s="381"/>
      <c r="V288" s="381"/>
      <c r="W288" s="381"/>
      <c r="X288" s="381"/>
      <c r="Y288" s="381"/>
      <c r="Z288" s="381"/>
    </row>
    <row r="289">
      <c r="A289" s="381"/>
      <c r="B289" s="18"/>
      <c r="C289" s="359"/>
      <c r="D289" s="359"/>
      <c r="E289" s="381"/>
      <c r="F289" s="381"/>
      <c r="G289" s="381"/>
      <c r="H289" s="381"/>
      <c r="I289" s="381"/>
      <c r="J289" s="381"/>
      <c r="K289" s="381"/>
      <c r="L289" s="381"/>
      <c r="M289" s="381"/>
      <c r="N289" s="381"/>
      <c r="O289" s="381"/>
      <c r="P289" s="381"/>
      <c r="Q289" s="381"/>
      <c r="R289" s="381"/>
      <c r="S289" s="381"/>
      <c r="T289" s="381"/>
      <c r="U289" s="381"/>
      <c r="V289" s="381"/>
      <c r="W289" s="381"/>
      <c r="X289" s="381"/>
      <c r="Y289" s="381"/>
      <c r="Z289" s="381"/>
    </row>
    <row r="290">
      <c r="A290" s="381"/>
      <c r="B290" s="18"/>
      <c r="C290" s="359"/>
      <c r="D290" s="359"/>
      <c r="E290" s="381"/>
      <c r="F290" s="381"/>
      <c r="G290" s="381"/>
      <c r="H290" s="381"/>
      <c r="I290" s="381"/>
      <c r="J290" s="381"/>
      <c r="K290" s="381"/>
      <c r="L290" s="381"/>
      <c r="M290" s="381"/>
      <c r="N290" s="381"/>
      <c r="O290" s="381"/>
      <c r="P290" s="381"/>
      <c r="Q290" s="381"/>
      <c r="R290" s="381"/>
      <c r="S290" s="381"/>
      <c r="T290" s="381"/>
      <c r="U290" s="381"/>
      <c r="V290" s="381"/>
      <c r="W290" s="381"/>
      <c r="X290" s="381"/>
      <c r="Y290" s="381"/>
      <c r="Z290" s="381"/>
    </row>
    <row r="291">
      <c r="A291" s="381"/>
      <c r="B291" s="18"/>
      <c r="C291" s="359"/>
      <c r="D291" s="359"/>
      <c r="E291" s="381"/>
      <c r="F291" s="381"/>
      <c r="G291" s="381"/>
      <c r="H291" s="381"/>
      <c r="I291" s="381"/>
      <c r="J291" s="381"/>
      <c r="K291" s="381"/>
      <c r="L291" s="381"/>
      <c r="M291" s="381"/>
      <c r="N291" s="381"/>
      <c r="O291" s="381"/>
      <c r="P291" s="381"/>
      <c r="Q291" s="381"/>
      <c r="R291" s="381"/>
      <c r="S291" s="381"/>
      <c r="T291" s="381"/>
      <c r="U291" s="381"/>
      <c r="V291" s="381"/>
      <c r="W291" s="381"/>
      <c r="X291" s="381"/>
      <c r="Y291" s="381"/>
      <c r="Z291" s="381"/>
    </row>
    <row r="292">
      <c r="A292" s="381"/>
      <c r="B292" s="18"/>
      <c r="C292" s="359"/>
      <c r="D292" s="359"/>
      <c r="E292" s="381"/>
      <c r="F292" s="381"/>
      <c r="G292" s="381"/>
      <c r="H292" s="381"/>
      <c r="I292" s="381"/>
      <c r="J292" s="381"/>
      <c r="K292" s="381"/>
      <c r="L292" s="381"/>
      <c r="M292" s="381"/>
      <c r="N292" s="381"/>
      <c r="O292" s="381"/>
      <c r="P292" s="381"/>
      <c r="Q292" s="381"/>
      <c r="R292" s="381"/>
      <c r="S292" s="381"/>
      <c r="T292" s="381"/>
      <c r="U292" s="381"/>
      <c r="V292" s="381"/>
      <c r="W292" s="381"/>
      <c r="X292" s="381"/>
      <c r="Y292" s="381"/>
      <c r="Z292" s="381"/>
    </row>
    <row r="293">
      <c r="A293" s="381"/>
      <c r="B293" s="18"/>
      <c r="C293" s="359"/>
      <c r="D293" s="359"/>
      <c r="E293" s="381"/>
      <c r="F293" s="381"/>
      <c r="G293" s="381"/>
      <c r="H293" s="381"/>
      <c r="I293" s="381"/>
      <c r="J293" s="381"/>
      <c r="K293" s="381"/>
      <c r="L293" s="381"/>
      <c r="M293" s="381"/>
      <c r="N293" s="381"/>
      <c r="O293" s="381"/>
      <c r="P293" s="381"/>
      <c r="Q293" s="381"/>
      <c r="R293" s="381"/>
      <c r="S293" s="381"/>
      <c r="T293" s="381"/>
      <c r="U293" s="381"/>
      <c r="V293" s="381"/>
      <c r="W293" s="381"/>
      <c r="X293" s="381"/>
      <c r="Y293" s="381"/>
      <c r="Z293" s="381"/>
    </row>
    <row r="294">
      <c r="A294" s="381"/>
      <c r="B294" s="18"/>
      <c r="C294" s="359"/>
      <c r="D294" s="359"/>
      <c r="E294" s="381"/>
      <c r="F294" s="381"/>
      <c r="G294" s="381"/>
      <c r="H294" s="381"/>
      <c r="I294" s="381"/>
      <c r="J294" s="381"/>
      <c r="K294" s="381"/>
      <c r="L294" s="381"/>
      <c r="M294" s="381"/>
      <c r="N294" s="381"/>
      <c r="O294" s="381"/>
      <c r="P294" s="381"/>
      <c r="Q294" s="381"/>
      <c r="R294" s="381"/>
      <c r="S294" s="381"/>
      <c r="T294" s="381"/>
      <c r="U294" s="381"/>
      <c r="V294" s="381"/>
      <c r="W294" s="381"/>
      <c r="X294" s="381"/>
      <c r="Y294" s="381"/>
      <c r="Z294" s="381"/>
    </row>
    <row r="295">
      <c r="A295" s="381"/>
      <c r="B295" s="18"/>
      <c r="C295" s="359"/>
      <c r="D295" s="359"/>
      <c r="E295" s="381"/>
      <c r="F295" s="381"/>
      <c r="G295" s="381"/>
      <c r="H295" s="381"/>
      <c r="I295" s="381"/>
      <c r="J295" s="381"/>
      <c r="K295" s="381"/>
      <c r="L295" s="381"/>
      <c r="M295" s="381"/>
      <c r="N295" s="381"/>
      <c r="O295" s="381"/>
      <c r="P295" s="381"/>
      <c r="Q295" s="381"/>
      <c r="R295" s="381"/>
      <c r="S295" s="381"/>
      <c r="T295" s="381"/>
      <c r="U295" s="381"/>
      <c r="V295" s="381"/>
      <c r="W295" s="381"/>
      <c r="X295" s="381"/>
      <c r="Y295" s="381"/>
      <c r="Z295" s="381"/>
    </row>
    <row r="296">
      <c r="A296" s="381"/>
      <c r="B296" s="18"/>
      <c r="C296" s="359"/>
      <c r="D296" s="359"/>
      <c r="E296" s="381"/>
      <c r="F296" s="381"/>
      <c r="G296" s="381"/>
      <c r="H296" s="381"/>
      <c r="I296" s="381"/>
      <c r="J296" s="381"/>
      <c r="K296" s="381"/>
      <c r="L296" s="381"/>
      <c r="M296" s="381"/>
      <c r="N296" s="381"/>
      <c r="O296" s="381"/>
      <c r="P296" s="381"/>
      <c r="Q296" s="381"/>
      <c r="R296" s="381"/>
      <c r="S296" s="381"/>
      <c r="T296" s="381"/>
      <c r="U296" s="381"/>
      <c r="V296" s="381"/>
      <c r="W296" s="381"/>
      <c r="X296" s="381"/>
      <c r="Y296" s="381"/>
      <c r="Z296" s="381"/>
    </row>
    <row r="297">
      <c r="A297" s="381"/>
      <c r="B297" s="18"/>
      <c r="C297" s="359"/>
      <c r="D297" s="359"/>
      <c r="E297" s="381"/>
      <c r="F297" s="381"/>
      <c r="G297" s="381"/>
      <c r="H297" s="381"/>
      <c r="I297" s="381"/>
      <c r="J297" s="381"/>
      <c r="K297" s="381"/>
      <c r="L297" s="381"/>
      <c r="M297" s="381"/>
      <c r="N297" s="381"/>
      <c r="O297" s="381"/>
      <c r="P297" s="381"/>
      <c r="Q297" s="381"/>
      <c r="R297" s="381"/>
      <c r="S297" s="381"/>
      <c r="T297" s="381"/>
      <c r="U297" s="381"/>
      <c r="V297" s="381"/>
      <c r="W297" s="381"/>
      <c r="X297" s="381"/>
      <c r="Y297" s="381"/>
      <c r="Z297" s="381"/>
    </row>
    <row r="298">
      <c r="A298" s="381"/>
      <c r="B298" s="18"/>
      <c r="C298" s="359"/>
      <c r="D298" s="359"/>
      <c r="E298" s="381"/>
      <c r="F298" s="381"/>
      <c r="G298" s="381"/>
      <c r="H298" s="381"/>
      <c r="I298" s="381"/>
      <c r="J298" s="381"/>
      <c r="K298" s="381"/>
      <c r="L298" s="381"/>
      <c r="M298" s="381"/>
      <c r="N298" s="381"/>
      <c r="O298" s="381"/>
      <c r="P298" s="381"/>
      <c r="Q298" s="381"/>
      <c r="R298" s="381"/>
      <c r="S298" s="381"/>
      <c r="T298" s="381"/>
      <c r="U298" s="381"/>
      <c r="V298" s="381"/>
      <c r="W298" s="381"/>
      <c r="X298" s="381"/>
      <c r="Y298" s="381"/>
      <c r="Z298" s="381"/>
    </row>
    <row r="299">
      <c r="A299" s="381"/>
      <c r="B299" s="18"/>
      <c r="C299" s="359"/>
      <c r="D299" s="359"/>
      <c r="E299" s="381"/>
      <c r="F299" s="381"/>
      <c r="G299" s="381"/>
      <c r="H299" s="381"/>
      <c r="I299" s="381"/>
      <c r="J299" s="381"/>
      <c r="K299" s="381"/>
      <c r="L299" s="381"/>
      <c r="M299" s="381"/>
      <c r="N299" s="381"/>
      <c r="O299" s="381"/>
      <c r="P299" s="381"/>
      <c r="Q299" s="381"/>
      <c r="R299" s="381"/>
      <c r="S299" s="381"/>
      <c r="T299" s="381"/>
      <c r="U299" s="381"/>
      <c r="V299" s="381"/>
      <c r="W299" s="381"/>
      <c r="X299" s="381"/>
      <c r="Y299" s="381"/>
      <c r="Z299" s="381"/>
    </row>
    <row r="300">
      <c r="A300" s="381"/>
      <c r="B300" s="18"/>
      <c r="C300" s="359"/>
      <c r="D300" s="359"/>
      <c r="E300" s="381"/>
      <c r="F300" s="381"/>
      <c r="G300" s="381"/>
      <c r="H300" s="381"/>
      <c r="I300" s="381"/>
      <c r="J300" s="381"/>
      <c r="K300" s="381"/>
      <c r="L300" s="381"/>
      <c r="M300" s="381"/>
      <c r="N300" s="381"/>
      <c r="O300" s="381"/>
      <c r="P300" s="381"/>
      <c r="Q300" s="381"/>
      <c r="R300" s="381"/>
      <c r="S300" s="381"/>
      <c r="T300" s="381"/>
      <c r="U300" s="381"/>
      <c r="V300" s="381"/>
      <c r="W300" s="381"/>
      <c r="X300" s="381"/>
      <c r="Y300" s="381"/>
      <c r="Z300" s="381"/>
    </row>
    <row r="301">
      <c r="A301" s="381"/>
      <c r="B301" s="18"/>
      <c r="C301" s="359"/>
      <c r="D301" s="359"/>
      <c r="E301" s="381"/>
      <c r="F301" s="381"/>
      <c r="G301" s="381"/>
      <c r="H301" s="381"/>
      <c r="I301" s="381"/>
      <c r="J301" s="381"/>
      <c r="K301" s="381"/>
      <c r="L301" s="381"/>
      <c r="M301" s="381"/>
      <c r="N301" s="381"/>
      <c r="O301" s="381"/>
      <c r="P301" s="381"/>
      <c r="Q301" s="381"/>
      <c r="R301" s="381"/>
      <c r="S301" s="381"/>
      <c r="T301" s="381"/>
      <c r="U301" s="381"/>
      <c r="V301" s="381"/>
      <c r="W301" s="381"/>
      <c r="X301" s="381"/>
      <c r="Y301" s="381"/>
      <c r="Z301" s="381"/>
    </row>
    <row r="302">
      <c r="A302" s="381"/>
      <c r="B302" s="18"/>
      <c r="C302" s="359"/>
      <c r="D302" s="359"/>
      <c r="E302" s="381"/>
      <c r="F302" s="381"/>
      <c r="G302" s="381"/>
      <c r="H302" s="381"/>
      <c r="I302" s="381"/>
      <c r="J302" s="381"/>
      <c r="K302" s="381"/>
      <c r="L302" s="381"/>
      <c r="M302" s="381"/>
      <c r="N302" s="381"/>
      <c r="O302" s="381"/>
      <c r="P302" s="381"/>
      <c r="Q302" s="381"/>
      <c r="R302" s="381"/>
      <c r="S302" s="381"/>
      <c r="T302" s="381"/>
      <c r="U302" s="381"/>
      <c r="V302" s="381"/>
      <c r="W302" s="381"/>
      <c r="X302" s="381"/>
      <c r="Y302" s="381"/>
      <c r="Z302" s="381"/>
    </row>
    <row r="303">
      <c r="A303" s="381"/>
      <c r="B303" s="18"/>
      <c r="C303" s="359"/>
      <c r="D303" s="359"/>
      <c r="E303" s="381"/>
      <c r="F303" s="381"/>
      <c r="G303" s="381"/>
      <c r="H303" s="381"/>
      <c r="I303" s="381"/>
      <c r="J303" s="381"/>
      <c r="K303" s="381"/>
      <c r="L303" s="381"/>
      <c r="M303" s="381"/>
      <c r="N303" s="381"/>
      <c r="O303" s="381"/>
      <c r="P303" s="381"/>
      <c r="Q303" s="381"/>
      <c r="R303" s="381"/>
      <c r="S303" s="381"/>
      <c r="T303" s="381"/>
      <c r="U303" s="381"/>
      <c r="V303" s="381"/>
      <c r="W303" s="381"/>
      <c r="X303" s="381"/>
      <c r="Y303" s="381"/>
      <c r="Z303" s="381"/>
    </row>
    <row r="304">
      <c r="A304" s="381"/>
      <c r="B304" s="18"/>
      <c r="C304" s="359"/>
      <c r="D304" s="359"/>
      <c r="E304" s="381"/>
      <c r="F304" s="381"/>
      <c r="G304" s="381"/>
      <c r="H304" s="381"/>
      <c r="I304" s="381"/>
      <c r="J304" s="381"/>
      <c r="K304" s="381"/>
      <c r="L304" s="381"/>
      <c r="M304" s="381"/>
      <c r="N304" s="381"/>
      <c r="O304" s="381"/>
      <c r="P304" s="381"/>
      <c r="Q304" s="381"/>
      <c r="R304" s="381"/>
      <c r="S304" s="381"/>
      <c r="T304" s="381"/>
      <c r="U304" s="381"/>
      <c r="V304" s="381"/>
      <c r="W304" s="381"/>
      <c r="X304" s="381"/>
      <c r="Y304" s="381"/>
      <c r="Z304" s="381"/>
    </row>
    <row r="305">
      <c r="A305" s="381"/>
      <c r="B305" s="18"/>
      <c r="C305" s="359"/>
      <c r="D305" s="359"/>
      <c r="E305" s="381"/>
      <c r="F305" s="381"/>
      <c r="G305" s="381"/>
      <c r="H305" s="381"/>
      <c r="I305" s="381"/>
      <c r="J305" s="381"/>
      <c r="K305" s="381"/>
      <c r="L305" s="381"/>
      <c r="M305" s="381"/>
      <c r="N305" s="381"/>
      <c r="O305" s="381"/>
      <c r="P305" s="381"/>
      <c r="Q305" s="381"/>
      <c r="R305" s="381"/>
      <c r="S305" s="381"/>
      <c r="T305" s="381"/>
      <c r="U305" s="381"/>
      <c r="V305" s="381"/>
      <c r="W305" s="381"/>
      <c r="X305" s="381"/>
      <c r="Y305" s="381"/>
      <c r="Z305" s="381"/>
    </row>
    <row r="306">
      <c r="A306" s="381"/>
      <c r="B306" s="18"/>
      <c r="C306" s="359"/>
      <c r="D306" s="359"/>
      <c r="E306" s="381"/>
      <c r="F306" s="381"/>
      <c r="G306" s="381"/>
      <c r="H306" s="381"/>
      <c r="I306" s="381"/>
      <c r="J306" s="381"/>
      <c r="K306" s="381"/>
      <c r="L306" s="381"/>
      <c r="M306" s="381"/>
      <c r="N306" s="381"/>
      <c r="O306" s="381"/>
      <c r="P306" s="381"/>
      <c r="Q306" s="381"/>
      <c r="R306" s="381"/>
      <c r="S306" s="381"/>
      <c r="T306" s="381"/>
      <c r="U306" s="381"/>
      <c r="V306" s="381"/>
      <c r="W306" s="381"/>
      <c r="X306" s="381"/>
      <c r="Y306" s="381"/>
      <c r="Z306" s="381"/>
    </row>
    <row r="307">
      <c r="A307" s="381"/>
      <c r="B307" s="18"/>
      <c r="C307" s="359"/>
      <c r="D307" s="359"/>
      <c r="E307" s="381"/>
      <c r="F307" s="381"/>
      <c r="G307" s="381"/>
      <c r="H307" s="381"/>
      <c r="I307" s="381"/>
      <c r="J307" s="381"/>
      <c r="K307" s="381"/>
      <c r="L307" s="381"/>
      <c r="M307" s="381"/>
      <c r="N307" s="381"/>
      <c r="O307" s="381"/>
      <c r="P307" s="381"/>
      <c r="Q307" s="381"/>
      <c r="R307" s="381"/>
      <c r="S307" s="381"/>
      <c r="T307" s="381"/>
      <c r="U307" s="381"/>
      <c r="V307" s="381"/>
      <c r="W307" s="381"/>
      <c r="X307" s="381"/>
      <c r="Y307" s="381"/>
      <c r="Z307" s="381"/>
    </row>
    <row r="308">
      <c r="A308" s="381"/>
      <c r="B308" s="18"/>
      <c r="C308" s="359"/>
      <c r="D308" s="359"/>
      <c r="E308" s="381"/>
      <c r="F308" s="381"/>
      <c r="G308" s="381"/>
      <c r="H308" s="381"/>
      <c r="I308" s="381"/>
      <c r="J308" s="381"/>
      <c r="K308" s="381"/>
      <c r="L308" s="381"/>
      <c r="M308" s="381"/>
      <c r="N308" s="381"/>
      <c r="O308" s="381"/>
      <c r="P308" s="381"/>
      <c r="Q308" s="381"/>
      <c r="R308" s="381"/>
      <c r="S308" s="381"/>
      <c r="T308" s="381"/>
      <c r="U308" s="381"/>
      <c r="V308" s="381"/>
      <c r="W308" s="381"/>
      <c r="X308" s="381"/>
      <c r="Y308" s="381"/>
      <c r="Z308" s="381"/>
    </row>
    <row r="309">
      <c r="A309" s="381"/>
      <c r="B309" s="18"/>
      <c r="C309" s="359"/>
      <c r="D309" s="359"/>
      <c r="E309" s="381"/>
      <c r="F309" s="381"/>
      <c r="G309" s="381"/>
      <c r="H309" s="381"/>
      <c r="I309" s="381"/>
      <c r="J309" s="381"/>
      <c r="K309" s="381"/>
      <c r="L309" s="381"/>
      <c r="M309" s="381"/>
      <c r="N309" s="381"/>
      <c r="O309" s="381"/>
      <c r="P309" s="381"/>
      <c r="Q309" s="381"/>
      <c r="R309" s="381"/>
      <c r="S309" s="381"/>
      <c r="T309" s="381"/>
      <c r="U309" s="381"/>
      <c r="V309" s="381"/>
      <c r="W309" s="381"/>
      <c r="X309" s="381"/>
      <c r="Y309" s="381"/>
      <c r="Z309" s="381"/>
    </row>
    <row r="310">
      <c r="A310" s="381"/>
      <c r="B310" s="18"/>
      <c r="C310" s="359"/>
      <c r="D310" s="359"/>
      <c r="E310" s="381"/>
      <c r="F310" s="381"/>
      <c r="G310" s="381"/>
      <c r="H310" s="381"/>
      <c r="I310" s="381"/>
      <c r="J310" s="381"/>
      <c r="K310" s="381"/>
      <c r="L310" s="381"/>
      <c r="M310" s="381"/>
      <c r="N310" s="381"/>
      <c r="O310" s="381"/>
      <c r="P310" s="381"/>
      <c r="Q310" s="381"/>
      <c r="R310" s="381"/>
      <c r="S310" s="381"/>
      <c r="T310" s="381"/>
      <c r="U310" s="381"/>
      <c r="V310" s="381"/>
      <c r="W310" s="381"/>
      <c r="X310" s="381"/>
      <c r="Y310" s="381"/>
      <c r="Z310" s="381"/>
    </row>
    <row r="311">
      <c r="A311" s="381"/>
      <c r="B311" s="18"/>
      <c r="C311" s="359"/>
      <c r="D311" s="359"/>
      <c r="E311" s="381"/>
      <c r="F311" s="381"/>
      <c r="G311" s="381"/>
      <c r="H311" s="381"/>
      <c r="I311" s="381"/>
      <c r="J311" s="381"/>
      <c r="K311" s="381"/>
      <c r="L311" s="381"/>
      <c r="M311" s="381"/>
      <c r="N311" s="381"/>
      <c r="O311" s="381"/>
      <c r="P311" s="381"/>
      <c r="Q311" s="381"/>
      <c r="R311" s="381"/>
      <c r="S311" s="381"/>
      <c r="T311" s="381"/>
      <c r="U311" s="381"/>
      <c r="V311" s="381"/>
      <c r="W311" s="381"/>
      <c r="X311" s="381"/>
      <c r="Y311" s="381"/>
      <c r="Z311" s="381"/>
    </row>
    <row r="312">
      <c r="A312" s="381"/>
      <c r="B312" s="18"/>
      <c r="C312" s="359"/>
      <c r="D312" s="359"/>
      <c r="E312" s="381"/>
      <c r="F312" s="381"/>
      <c r="G312" s="381"/>
      <c r="H312" s="381"/>
      <c r="I312" s="381"/>
      <c r="J312" s="381"/>
      <c r="K312" s="381"/>
      <c r="L312" s="381"/>
      <c r="M312" s="381"/>
      <c r="N312" s="381"/>
      <c r="O312" s="381"/>
      <c r="P312" s="381"/>
      <c r="Q312" s="381"/>
      <c r="R312" s="381"/>
      <c r="S312" s="381"/>
      <c r="T312" s="381"/>
      <c r="U312" s="381"/>
      <c r="V312" s="381"/>
      <c r="W312" s="381"/>
      <c r="X312" s="381"/>
      <c r="Y312" s="381"/>
      <c r="Z312" s="381"/>
    </row>
    <row r="313">
      <c r="A313" s="381"/>
      <c r="B313" s="18"/>
      <c r="C313" s="359"/>
      <c r="D313" s="359"/>
      <c r="E313" s="381"/>
      <c r="F313" s="381"/>
      <c r="G313" s="381"/>
      <c r="H313" s="381"/>
      <c r="I313" s="381"/>
      <c r="J313" s="381"/>
      <c r="K313" s="381"/>
      <c r="L313" s="381"/>
      <c r="M313" s="381"/>
      <c r="N313" s="381"/>
      <c r="O313" s="381"/>
      <c r="P313" s="381"/>
      <c r="Q313" s="381"/>
      <c r="R313" s="381"/>
      <c r="S313" s="381"/>
      <c r="T313" s="381"/>
      <c r="U313" s="381"/>
      <c r="V313" s="381"/>
      <c r="W313" s="381"/>
      <c r="X313" s="381"/>
      <c r="Y313" s="381"/>
      <c r="Z313" s="381"/>
    </row>
    <row r="314">
      <c r="A314" s="381"/>
      <c r="B314" s="18"/>
      <c r="C314" s="359"/>
      <c r="D314" s="359"/>
      <c r="E314" s="381"/>
      <c r="F314" s="381"/>
      <c r="G314" s="381"/>
      <c r="H314" s="381"/>
      <c r="I314" s="381"/>
      <c r="J314" s="381"/>
      <c r="K314" s="381"/>
      <c r="L314" s="381"/>
      <c r="M314" s="381"/>
      <c r="N314" s="381"/>
      <c r="O314" s="381"/>
      <c r="P314" s="381"/>
      <c r="Q314" s="381"/>
      <c r="R314" s="381"/>
      <c r="S314" s="381"/>
      <c r="T314" s="381"/>
      <c r="U314" s="381"/>
      <c r="V314" s="381"/>
      <c r="W314" s="381"/>
      <c r="X314" s="381"/>
      <c r="Y314" s="381"/>
      <c r="Z314" s="381"/>
    </row>
    <row r="315">
      <c r="A315" s="381"/>
      <c r="B315" s="18"/>
      <c r="C315" s="359"/>
      <c r="D315" s="359"/>
      <c r="E315" s="381"/>
      <c r="F315" s="381"/>
      <c r="G315" s="381"/>
      <c r="H315" s="381"/>
      <c r="I315" s="381"/>
      <c r="J315" s="381"/>
      <c r="K315" s="381"/>
      <c r="L315" s="381"/>
      <c r="M315" s="381"/>
      <c r="N315" s="381"/>
      <c r="O315" s="381"/>
      <c r="P315" s="381"/>
      <c r="Q315" s="381"/>
      <c r="R315" s="381"/>
      <c r="S315" s="381"/>
      <c r="T315" s="381"/>
      <c r="U315" s="381"/>
      <c r="V315" s="381"/>
      <c r="W315" s="381"/>
      <c r="X315" s="381"/>
      <c r="Y315" s="381"/>
      <c r="Z315" s="381"/>
    </row>
    <row r="316">
      <c r="A316" s="381"/>
      <c r="B316" s="18"/>
      <c r="C316" s="359"/>
      <c r="D316" s="359"/>
      <c r="E316" s="381"/>
      <c r="F316" s="381"/>
      <c r="G316" s="381"/>
      <c r="H316" s="381"/>
      <c r="I316" s="381"/>
      <c r="J316" s="381"/>
      <c r="K316" s="381"/>
      <c r="L316" s="381"/>
      <c r="M316" s="381"/>
      <c r="N316" s="381"/>
      <c r="O316" s="381"/>
      <c r="P316" s="381"/>
      <c r="Q316" s="381"/>
      <c r="R316" s="381"/>
      <c r="S316" s="381"/>
      <c r="T316" s="381"/>
      <c r="U316" s="381"/>
      <c r="V316" s="381"/>
      <c r="W316" s="381"/>
      <c r="X316" s="381"/>
      <c r="Y316" s="381"/>
      <c r="Z316" s="381"/>
    </row>
    <row r="317">
      <c r="A317" s="381"/>
      <c r="B317" s="18"/>
      <c r="C317" s="359"/>
      <c r="D317" s="359"/>
      <c r="E317" s="381"/>
      <c r="F317" s="381"/>
      <c r="G317" s="381"/>
      <c r="H317" s="381"/>
      <c r="I317" s="381"/>
      <c r="J317" s="381"/>
      <c r="K317" s="381"/>
      <c r="L317" s="381"/>
      <c r="M317" s="381"/>
      <c r="N317" s="381"/>
      <c r="O317" s="381"/>
      <c r="P317" s="381"/>
      <c r="Q317" s="381"/>
      <c r="R317" s="381"/>
      <c r="S317" s="381"/>
      <c r="T317" s="381"/>
      <c r="U317" s="381"/>
      <c r="V317" s="381"/>
      <c r="W317" s="381"/>
      <c r="X317" s="381"/>
      <c r="Y317" s="381"/>
      <c r="Z317" s="381"/>
    </row>
    <row r="318">
      <c r="A318" s="381"/>
      <c r="B318" s="18"/>
      <c r="C318" s="359"/>
      <c r="D318" s="359"/>
      <c r="E318" s="381"/>
      <c r="F318" s="381"/>
      <c r="G318" s="381"/>
      <c r="H318" s="381"/>
      <c r="I318" s="381"/>
      <c r="J318" s="381"/>
      <c r="K318" s="381"/>
      <c r="L318" s="381"/>
      <c r="M318" s="381"/>
      <c r="N318" s="381"/>
      <c r="O318" s="381"/>
      <c r="P318" s="381"/>
      <c r="Q318" s="381"/>
      <c r="R318" s="381"/>
      <c r="S318" s="381"/>
      <c r="T318" s="381"/>
      <c r="U318" s="381"/>
      <c r="V318" s="381"/>
      <c r="W318" s="381"/>
      <c r="X318" s="381"/>
      <c r="Y318" s="381"/>
      <c r="Z318" s="381"/>
    </row>
    <row r="319">
      <c r="A319" s="381"/>
      <c r="B319" s="18"/>
      <c r="C319" s="359"/>
      <c r="D319" s="359"/>
      <c r="E319" s="381"/>
      <c r="F319" s="381"/>
      <c r="G319" s="381"/>
      <c r="H319" s="381"/>
      <c r="I319" s="381"/>
      <c r="J319" s="381"/>
      <c r="K319" s="381"/>
      <c r="L319" s="381"/>
      <c r="M319" s="381"/>
      <c r="N319" s="381"/>
      <c r="O319" s="381"/>
      <c r="P319" s="381"/>
      <c r="Q319" s="381"/>
      <c r="R319" s="381"/>
      <c r="S319" s="381"/>
      <c r="T319" s="381"/>
      <c r="U319" s="381"/>
      <c r="V319" s="381"/>
      <c r="W319" s="381"/>
      <c r="X319" s="381"/>
      <c r="Y319" s="381"/>
      <c r="Z319" s="381"/>
    </row>
    <row r="320">
      <c r="A320" s="381"/>
      <c r="B320" s="18"/>
      <c r="C320" s="359"/>
      <c r="D320" s="359"/>
      <c r="E320" s="381"/>
      <c r="F320" s="381"/>
      <c r="G320" s="381"/>
      <c r="H320" s="381"/>
      <c r="I320" s="381"/>
      <c r="J320" s="381"/>
      <c r="K320" s="381"/>
      <c r="L320" s="381"/>
      <c r="M320" s="381"/>
      <c r="N320" s="381"/>
      <c r="O320" s="381"/>
      <c r="P320" s="381"/>
      <c r="Q320" s="381"/>
      <c r="R320" s="381"/>
      <c r="S320" s="381"/>
      <c r="T320" s="381"/>
      <c r="U320" s="381"/>
      <c r="V320" s="381"/>
      <c r="W320" s="381"/>
      <c r="X320" s="381"/>
      <c r="Y320" s="381"/>
      <c r="Z320" s="381"/>
    </row>
    <row r="321">
      <c r="A321" s="381"/>
      <c r="B321" s="18"/>
      <c r="C321" s="359"/>
      <c r="D321" s="359"/>
      <c r="E321" s="381"/>
      <c r="F321" s="381"/>
      <c r="G321" s="381"/>
      <c r="H321" s="381"/>
      <c r="I321" s="381"/>
      <c r="J321" s="381"/>
      <c r="K321" s="381"/>
      <c r="L321" s="381"/>
      <c r="M321" s="381"/>
      <c r="N321" s="381"/>
      <c r="O321" s="381"/>
      <c r="P321" s="381"/>
      <c r="Q321" s="381"/>
      <c r="R321" s="381"/>
      <c r="S321" s="381"/>
      <c r="T321" s="381"/>
      <c r="U321" s="381"/>
      <c r="V321" s="381"/>
      <c r="W321" s="381"/>
      <c r="X321" s="381"/>
      <c r="Y321" s="381"/>
      <c r="Z321" s="381"/>
    </row>
    <row r="322">
      <c r="A322" s="381"/>
      <c r="B322" s="18"/>
      <c r="C322" s="359"/>
      <c r="D322" s="359"/>
      <c r="E322" s="381"/>
      <c r="F322" s="381"/>
      <c r="G322" s="381"/>
      <c r="H322" s="381"/>
      <c r="I322" s="381"/>
      <c r="J322" s="381"/>
      <c r="K322" s="381"/>
      <c r="L322" s="381"/>
      <c r="M322" s="381"/>
      <c r="N322" s="381"/>
      <c r="O322" s="381"/>
      <c r="P322" s="381"/>
      <c r="Q322" s="381"/>
      <c r="R322" s="381"/>
      <c r="S322" s="381"/>
      <c r="T322" s="381"/>
      <c r="U322" s="381"/>
      <c r="V322" s="381"/>
      <c r="W322" s="381"/>
      <c r="X322" s="381"/>
      <c r="Y322" s="381"/>
      <c r="Z322" s="381"/>
    </row>
    <row r="323">
      <c r="A323" s="381"/>
      <c r="B323" s="18"/>
      <c r="C323" s="359"/>
      <c r="D323" s="359"/>
      <c r="E323" s="381"/>
      <c r="F323" s="381"/>
      <c r="G323" s="381"/>
      <c r="H323" s="381"/>
      <c r="I323" s="381"/>
      <c r="J323" s="381"/>
      <c r="K323" s="381"/>
      <c r="L323" s="381"/>
      <c r="M323" s="381"/>
      <c r="N323" s="381"/>
      <c r="O323" s="381"/>
      <c r="P323" s="381"/>
      <c r="Q323" s="381"/>
      <c r="R323" s="381"/>
      <c r="S323" s="381"/>
      <c r="T323" s="381"/>
      <c r="U323" s="381"/>
      <c r="V323" s="381"/>
      <c r="W323" s="381"/>
      <c r="X323" s="381"/>
      <c r="Y323" s="381"/>
      <c r="Z323" s="381"/>
    </row>
    <row r="324">
      <c r="A324" s="381"/>
      <c r="B324" s="18"/>
      <c r="C324" s="359"/>
      <c r="D324" s="359"/>
      <c r="E324" s="381"/>
      <c r="F324" s="381"/>
      <c r="G324" s="381"/>
      <c r="H324" s="381"/>
      <c r="I324" s="381"/>
      <c r="J324" s="381"/>
      <c r="K324" s="381"/>
      <c r="L324" s="381"/>
      <c r="M324" s="381"/>
      <c r="N324" s="381"/>
      <c r="O324" s="381"/>
      <c r="P324" s="381"/>
      <c r="Q324" s="381"/>
      <c r="R324" s="381"/>
      <c r="S324" s="381"/>
      <c r="T324" s="381"/>
      <c r="U324" s="381"/>
      <c r="V324" s="381"/>
      <c r="W324" s="381"/>
      <c r="X324" s="381"/>
      <c r="Y324" s="381"/>
      <c r="Z324" s="381"/>
    </row>
    <row r="325">
      <c r="A325" s="381"/>
      <c r="B325" s="18"/>
      <c r="C325" s="359"/>
      <c r="D325" s="359"/>
      <c r="E325" s="381"/>
      <c r="F325" s="381"/>
      <c r="G325" s="381"/>
      <c r="H325" s="381"/>
      <c r="I325" s="381"/>
      <c r="J325" s="381"/>
      <c r="K325" s="381"/>
      <c r="L325" s="381"/>
      <c r="M325" s="381"/>
      <c r="N325" s="381"/>
      <c r="O325" s="381"/>
      <c r="P325" s="381"/>
      <c r="Q325" s="381"/>
      <c r="R325" s="381"/>
      <c r="S325" s="381"/>
      <c r="T325" s="381"/>
      <c r="U325" s="381"/>
      <c r="V325" s="381"/>
      <c r="W325" s="381"/>
      <c r="X325" s="381"/>
      <c r="Y325" s="381"/>
      <c r="Z325" s="381"/>
    </row>
    <row r="326">
      <c r="A326" s="381"/>
      <c r="B326" s="18"/>
      <c r="C326" s="359"/>
      <c r="D326" s="359"/>
      <c r="E326" s="381"/>
      <c r="F326" s="381"/>
      <c r="G326" s="381"/>
      <c r="H326" s="381"/>
      <c r="I326" s="381"/>
      <c r="J326" s="381"/>
      <c r="K326" s="381"/>
      <c r="L326" s="381"/>
      <c r="M326" s="381"/>
      <c r="N326" s="381"/>
      <c r="O326" s="381"/>
      <c r="P326" s="381"/>
      <c r="Q326" s="381"/>
      <c r="R326" s="381"/>
      <c r="S326" s="381"/>
      <c r="T326" s="381"/>
      <c r="U326" s="381"/>
      <c r="V326" s="381"/>
      <c r="W326" s="381"/>
      <c r="X326" s="381"/>
      <c r="Y326" s="381"/>
      <c r="Z326" s="381"/>
    </row>
    <row r="327">
      <c r="A327" s="381"/>
      <c r="B327" s="18"/>
      <c r="C327" s="359"/>
      <c r="D327" s="359"/>
      <c r="E327" s="381"/>
      <c r="F327" s="381"/>
      <c r="G327" s="381"/>
      <c r="H327" s="381"/>
      <c r="I327" s="381"/>
      <c r="J327" s="381"/>
      <c r="K327" s="381"/>
      <c r="L327" s="381"/>
      <c r="M327" s="381"/>
      <c r="N327" s="381"/>
      <c r="O327" s="381"/>
      <c r="P327" s="381"/>
      <c r="Q327" s="381"/>
      <c r="R327" s="381"/>
      <c r="S327" s="381"/>
      <c r="T327" s="381"/>
      <c r="U327" s="381"/>
      <c r="V327" s="381"/>
      <c r="W327" s="381"/>
      <c r="X327" s="381"/>
      <c r="Y327" s="381"/>
      <c r="Z327" s="381"/>
    </row>
    <row r="328">
      <c r="A328" s="381"/>
      <c r="B328" s="18"/>
      <c r="C328" s="359"/>
      <c r="D328" s="359"/>
      <c r="E328" s="381"/>
      <c r="F328" s="381"/>
      <c r="G328" s="381"/>
      <c r="H328" s="381"/>
      <c r="I328" s="381"/>
      <c r="J328" s="381"/>
      <c r="K328" s="381"/>
      <c r="L328" s="381"/>
      <c r="M328" s="381"/>
      <c r="N328" s="381"/>
      <c r="O328" s="381"/>
      <c r="P328" s="381"/>
      <c r="Q328" s="381"/>
      <c r="R328" s="381"/>
      <c r="S328" s="381"/>
      <c r="T328" s="381"/>
      <c r="U328" s="381"/>
      <c r="V328" s="381"/>
      <c r="W328" s="381"/>
      <c r="X328" s="381"/>
      <c r="Y328" s="381"/>
      <c r="Z328" s="381"/>
    </row>
    <row r="329">
      <c r="A329" s="381"/>
      <c r="B329" s="18"/>
      <c r="C329" s="359"/>
      <c r="D329" s="359"/>
      <c r="E329" s="381"/>
      <c r="F329" s="381"/>
      <c r="G329" s="381"/>
      <c r="H329" s="381"/>
      <c r="I329" s="381"/>
      <c r="J329" s="381"/>
      <c r="K329" s="381"/>
      <c r="L329" s="381"/>
      <c r="M329" s="381"/>
      <c r="N329" s="381"/>
      <c r="O329" s="381"/>
      <c r="P329" s="381"/>
      <c r="Q329" s="381"/>
      <c r="R329" s="381"/>
      <c r="S329" s="381"/>
      <c r="T329" s="381"/>
      <c r="U329" s="381"/>
      <c r="V329" s="381"/>
      <c r="W329" s="381"/>
      <c r="X329" s="381"/>
      <c r="Y329" s="381"/>
      <c r="Z329" s="381"/>
    </row>
    <row r="330">
      <c r="A330" s="381"/>
      <c r="B330" s="18"/>
      <c r="C330" s="359"/>
      <c r="D330" s="359"/>
      <c r="E330" s="381"/>
      <c r="F330" s="381"/>
      <c r="G330" s="381"/>
      <c r="H330" s="381"/>
      <c r="I330" s="381"/>
      <c r="J330" s="381"/>
      <c r="K330" s="381"/>
      <c r="L330" s="381"/>
      <c r="M330" s="381"/>
      <c r="N330" s="381"/>
      <c r="O330" s="381"/>
      <c r="P330" s="381"/>
      <c r="Q330" s="381"/>
      <c r="R330" s="381"/>
      <c r="S330" s="381"/>
      <c r="T330" s="381"/>
      <c r="U330" s="381"/>
      <c r="V330" s="381"/>
      <c r="W330" s="381"/>
      <c r="X330" s="381"/>
      <c r="Y330" s="381"/>
      <c r="Z330" s="381"/>
    </row>
    <row r="331">
      <c r="A331" s="381"/>
      <c r="B331" s="18"/>
      <c r="C331" s="359"/>
      <c r="D331" s="359"/>
      <c r="E331" s="381"/>
      <c r="F331" s="381"/>
      <c r="G331" s="381"/>
      <c r="H331" s="381"/>
      <c r="I331" s="381"/>
      <c r="J331" s="381"/>
      <c r="K331" s="381"/>
      <c r="L331" s="381"/>
      <c r="M331" s="381"/>
      <c r="N331" s="381"/>
      <c r="O331" s="381"/>
      <c r="P331" s="381"/>
      <c r="Q331" s="381"/>
      <c r="R331" s="381"/>
      <c r="S331" s="381"/>
      <c r="T331" s="381"/>
      <c r="U331" s="381"/>
      <c r="V331" s="381"/>
      <c r="W331" s="381"/>
      <c r="X331" s="381"/>
      <c r="Y331" s="381"/>
      <c r="Z331" s="381"/>
    </row>
    <row r="332">
      <c r="A332" s="381"/>
      <c r="B332" s="18"/>
      <c r="C332" s="359"/>
      <c r="D332" s="359"/>
      <c r="E332" s="381"/>
      <c r="F332" s="381"/>
      <c r="G332" s="381"/>
      <c r="H332" s="381"/>
      <c r="I332" s="381"/>
      <c r="J332" s="381"/>
      <c r="K332" s="381"/>
      <c r="L332" s="381"/>
      <c r="M332" s="381"/>
      <c r="N332" s="381"/>
      <c r="O332" s="381"/>
      <c r="P332" s="381"/>
      <c r="Q332" s="381"/>
      <c r="R332" s="381"/>
      <c r="S332" s="381"/>
      <c r="T332" s="381"/>
      <c r="U332" s="381"/>
      <c r="V332" s="381"/>
      <c r="W332" s="381"/>
      <c r="X332" s="381"/>
      <c r="Y332" s="381"/>
      <c r="Z332" s="381"/>
    </row>
    <row r="333">
      <c r="A333" s="381"/>
      <c r="B333" s="18"/>
      <c r="C333" s="359"/>
      <c r="D333" s="359"/>
      <c r="E333" s="381"/>
      <c r="F333" s="381"/>
      <c r="G333" s="381"/>
      <c r="H333" s="381"/>
      <c r="I333" s="381"/>
      <c r="J333" s="381"/>
      <c r="K333" s="381"/>
      <c r="L333" s="381"/>
      <c r="M333" s="381"/>
      <c r="N333" s="381"/>
      <c r="O333" s="381"/>
      <c r="P333" s="381"/>
      <c r="Q333" s="381"/>
      <c r="R333" s="381"/>
      <c r="S333" s="381"/>
      <c r="T333" s="381"/>
      <c r="U333" s="381"/>
      <c r="V333" s="381"/>
      <c r="W333" s="381"/>
      <c r="X333" s="381"/>
      <c r="Y333" s="381"/>
      <c r="Z333" s="381"/>
    </row>
    <row r="334">
      <c r="A334" s="381"/>
      <c r="B334" s="18"/>
      <c r="C334" s="359"/>
      <c r="D334" s="359"/>
      <c r="E334" s="381"/>
      <c r="F334" s="381"/>
      <c r="G334" s="381"/>
      <c r="H334" s="381"/>
      <c r="I334" s="381"/>
      <c r="J334" s="381"/>
      <c r="K334" s="381"/>
      <c r="L334" s="381"/>
      <c r="M334" s="381"/>
      <c r="N334" s="381"/>
      <c r="O334" s="381"/>
      <c r="P334" s="381"/>
      <c r="Q334" s="381"/>
      <c r="R334" s="381"/>
      <c r="S334" s="381"/>
      <c r="T334" s="381"/>
      <c r="U334" s="381"/>
      <c r="V334" s="381"/>
      <c r="W334" s="381"/>
      <c r="X334" s="381"/>
      <c r="Y334" s="381"/>
      <c r="Z334" s="381"/>
    </row>
    <row r="335">
      <c r="A335" s="381"/>
      <c r="B335" s="18"/>
      <c r="C335" s="359"/>
      <c r="D335" s="359"/>
      <c r="E335" s="381"/>
      <c r="F335" s="381"/>
      <c r="G335" s="381"/>
      <c r="H335" s="381"/>
      <c r="I335" s="381"/>
      <c r="J335" s="381"/>
      <c r="K335" s="381"/>
      <c r="L335" s="381"/>
      <c r="M335" s="381"/>
      <c r="N335" s="381"/>
      <c r="O335" s="381"/>
      <c r="P335" s="381"/>
      <c r="Q335" s="381"/>
      <c r="R335" s="381"/>
      <c r="S335" s="381"/>
      <c r="T335" s="381"/>
      <c r="U335" s="381"/>
      <c r="V335" s="381"/>
      <c r="W335" s="381"/>
      <c r="X335" s="381"/>
      <c r="Y335" s="381"/>
      <c r="Z335" s="381"/>
    </row>
    <row r="336">
      <c r="A336" s="381"/>
      <c r="B336" s="18"/>
      <c r="C336" s="359"/>
      <c r="D336" s="359"/>
      <c r="E336" s="381"/>
      <c r="F336" s="381"/>
      <c r="G336" s="381"/>
      <c r="H336" s="381"/>
      <c r="I336" s="381"/>
      <c r="J336" s="381"/>
      <c r="K336" s="381"/>
      <c r="L336" s="381"/>
      <c r="M336" s="381"/>
      <c r="N336" s="381"/>
      <c r="O336" s="381"/>
      <c r="P336" s="381"/>
      <c r="Q336" s="381"/>
      <c r="R336" s="381"/>
      <c r="S336" s="381"/>
      <c r="T336" s="381"/>
      <c r="U336" s="381"/>
      <c r="V336" s="381"/>
      <c r="W336" s="381"/>
      <c r="X336" s="381"/>
      <c r="Y336" s="381"/>
      <c r="Z336" s="381"/>
    </row>
    <row r="337">
      <c r="A337" s="381"/>
      <c r="B337" s="18"/>
      <c r="C337" s="359"/>
      <c r="D337" s="359"/>
      <c r="E337" s="381"/>
      <c r="F337" s="381"/>
      <c r="G337" s="381"/>
      <c r="H337" s="381"/>
      <c r="I337" s="381"/>
      <c r="J337" s="381"/>
      <c r="K337" s="381"/>
      <c r="L337" s="381"/>
      <c r="M337" s="381"/>
      <c r="N337" s="381"/>
      <c r="O337" s="381"/>
      <c r="P337" s="381"/>
      <c r="Q337" s="381"/>
      <c r="R337" s="381"/>
      <c r="S337" s="381"/>
      <c r="T337" s="381"/>
      <c r="U337" s="381"/>
      <c r="V337" s="381"/>
      <c r="W337" s="381"/>
      <c r="X337" s="381"/>
      <c r="Y337" s="381"/>
      <c r="Z337" s="381"/>
    </row>
    <row r="338">
      <c r="A338" s="381"/>
      <c r="B338" s="18"/>
      <c r="C338" s="359"/>
      <c r="D338" s="359"/>
      <c r="E338" s="381"/>
      <c r="F338" s="381"/>
      <c r="G338" s="381"/>
      <c r="H338" s="381"/>
      <c r="I338" s="381"/>
      <c r="J338" s="381"/>
      <c r="K338" s="381"/>
      <c r="L338" s="381"/>
      <c r="M338" s="381"/>
      <c r="N338" s="381"/>
      <c r="O338" s="381"/>
      <c r="P338" s="381"/>
      <c r="Q338" s="381"/>
      <c r="R338" s="381"/>
      <c r="S338" s="381"/>
      <c r="T338" s="381"/>
      <c r="U338" s="381"/>
      <c r="V338" s="381"/>
      <c r="W338" s="381"/>
      <c r="X338" s="381"/>
      <c r="Y338" s="381"/>
      <c r="Z338" s="381"/>
    </row>
    <row r="339">
      <c r="A339" s="381"/>
      <c r="B339" s="18"/>
      <c r="C339" s="359"/>
      <c r="D339" s="359"/>
      <c r="E339" s="381"/>
      <c r="F339" s="381"/>
      <c r="G339" s="381"/>
      <c r="H339" s="381"/>
      <c r="I339" s="381"/>
      <c r="J339" s="381"/>
      <c r="K339" s="381"/>
      <c r="L339" s="381"/>
      <c r="M339" s="381"/>
      <c r="N339" s="381"/>
      <c r="O339" s="381"/>
      <c r="P339" s="381"/>
      <c r="Q339" s="381"/>
      <c r="R339" s="381"/>
      <c r="S339" s="381"/>
      <c r="T339" s="381"/>
      <c r="U339" s="381"/>
      <c r="V339" s="381"/>
      <c r="W339" s="381"/>
      <c r="X339" s="381"/>
      <c r="Y339" s="381"/>
      <c r="Z339" s="381"/>
    </row>
    <row r="340">
      <c r="A340" s="381"/>
      <c r="B340" s="18"/>
      <c r="C340" s="359"/>
      <c r="D340" s="359"/>
      <c r="E340" s="381"/>
      <c r="F340" s="381"/>
      <c r="G340" s="381"/>
      <c r="H340" s="381"/>
      <c r="I340" s="381"/>
      <c r="J340" s="381"/>
      <c r="K340" s="381"/>
      <c r="L340" s="381"/>
      <c r="M340" s="381"/>
      <c r="N340" s="381"/>
      <c r="O340" s="381"/>
      <c r="P340" s="381"/>
      <c r="Q340" s="381"/>
      <c r="R340" s="381"/>
      <c r="S340" s="381"/>
      <c r="T340" s="381"/>
      <c r="U340" s="381"/>
      <c r="V340" s="381"/>
      <c r="W340" s="381"/>
      <c r="X340" s="381"/>
      <c r="Y340" s="381"/>
      <c r="Z340" s="381"/>
    </row>
    <row r="341">
      <c r="A341" s="381"/>
      <c r="B341" s="18"/>
      <c r="C341" s="359"/>
      <c r="D341" s="359"/>
      <c r="E341" s="381"/>
      <c r="F341" s="381"/>
      <c r="G341" s="381"/>
      <c r="H341" s="381"/>
      <c r="I341" s="381"/>
      <c r="J341" s="381"/>
      <c r="K341" s="381"/>
      <c r="L341" s="381"/>
      <c r="M341" s="381"/>
      <c r="N341" s="381"/>
      <c r="O341" s="381"/>
      <c r="P341" s="381"/>
      <c r="Q341" s="381"/>
      <c r="R341" s="381"/>
      <c r="S341" s="381"/>
      <c r="T341" s="381"/>
      <c r="U341" s="381"/>
      <c r="V341" s="381"/>
      <c r="W341" s="381"/>
      <c r="X341" s="381"/>
      <c r="Y341" s="381"/>
      <c r="Z341" s="381"/>
    </row>
    <row r="342">
      <c r="A342" s="381"/>
      <c r="B342" s="18"/>
      <c r="C342" s="359"/>
      <c r="D342" s="359"/>
      <c r="E342" s="381"/>
      <c r="F342" s="381"/>
      <c r="G342" s="381"/>
      <c r="H342" s="381"/>
      <c r="I342" s="381"/>
      <c r="J342" s="381"/>
      <c r="K342" s="381"/>
      <c r="L342" s="381"/>
      <c r="M342" s="381"/>
      <c r="N342" s="381"/>
      <c r="O342" s="381"/>
      <c r="P342" s="381"/>
      <c r="Q342" s="381"/>
      <c r="R342" s="381"/>
      <c r="S342" s="381"/>
      <c r="T342" s="381"/>
      <c r="U342" s="381"/>
      <c r="V342" s="381"/>
      <c r="W342" s="381"/>
      <c r="X342" s="381"/>
      <c r="Y342" s="381"/>
      <c r="Z342" s="381"/>
    </row>
    <row r="343">
      <c r="A343" s="381"/>
      <c r="B343" s="18"/>
      <c r="C343" s="359"/>
      <c r="D343" s="359"/>
      <c r="E343" s="381"/>
      <c r="F343" s="381"/>
      <c r="G343" s="381"/>
      <c r="H343" s="381"/>
      <c r="I343" s="381"/>
      <c r="J343" s="381"/>
      <c r="K343" s="381"/>
      <c r="L343" s="381"/>
      <c r="M343" s="381"/>
      <c r="N343" s="381"/>
      <c r="O343" s="381"/>
      <c r="P343" s="381"/>
      <c r="Q343" s="381"/>
      <c r="R343" s="381"/>
      <c r="S343" s="381"/>
      <c r="T343" s="381"/>
      <c r="U343" s="381"/>
      <c r="V343" s="381"/>
      <c r="W343" s="381"/>
      <c r="X343" s="381"/>
      <c r="Y343" s="381"/>
      <c r="Z343" s="381"/>
    </row>
    <row r="344">
      <c r="A344" s="381"/>
      <c r="B344" s="18"/>
      <c r="C344" s="359"/>
      <c r="D344" s="359"/>
      <c r="E344" s="381"/>
      <c r="F344" s="381"/>
      <c r="G344" s="381"/>
      <c r="H344" s="381"/>
      <c r="I344" s="381"/>
      <c r="J344" s="381"/>
      <c r="K344" s="381"/>
      <c r="L344" s="381"/>
      <c r="M344" s="381"/>
      <c r="N344" s="381"/>
      <c r="O344" s="381"/>
      <c r="P344" s="381"/>
      <c r="Q344" s="381"/>
      <c r="R344" s="381"/>
      <c r="S344" s="381"/>
      <c r="T344" s="381"/>
      <c r="U344" s="381"/>
      <c r="V344" s="381"/>
      <c r="W344" s="381"/>
      <c r="X344" s="381"/>
      <c r="Y344" s="381"/>
      <c r="Z344" s="381"/>
    </row>
    <row r="345">
      <c r="A345" s="381"/>
      <c r="B345" s="18"/>
      <c r="C345" s="359"/>
      <c r="D345" s="359"/>
      <c r="E345" s="381"/>
      <c r="F345" s="381"/>
      <c r="G345" s="381"/>
      <c r="H345" s="381"/>
      <c r="I345" s="381"/>
      <c r="J345" s="381"/>
      <c r="K345" s="381"/>
      <c r="L345" s="381"/>
      <c r="M345" s="381"/>
      <c r="N345" s="381"/>
      <c r="O345" s="381"/>
      <c r="P345" s="381"/>
      <c r="Q345" s="381"/>
      <c r="R345" s="381"/>
      <c r="S345" s="381"/>
      <c r="T345" s="381"/>
      <c r="U345" s="381"/>
      <c r="V345" s="381"/>
      <c r="W345" s="381"/>
      <c r="X345" s="381"/>
      <c r="Y345" s="381"/>
      <c r="Z345" s="381"/>
    </row>
    <row r="346">
      <c r="A346" s="381"/>
      <c r="B346" s="18"/>
      <c r="C346" s="359"/>
      <c r="D346" s="359"/>
      <c r="E346" s="381"/>
      <c r="F346" s="381"/>
      <c r="G346" s="381"/>
      <c r="H346" s="381"/>
      <c r="I346" s="381"/>
      <c r="J346" s="381"/>
      <c r="K346" s="381"/>
      <c r="L346" s="381"/>
      <c r="M346" s="381"/>
      <c r="N346" s="381"/>
      <c r="O346" s="381"/>
      <c r="P346" s="381"/>
      <c r="Q346" s="381"/>
      <c r="R346" s="381"/>
      <c r="S346" s="381"/>
      <c r="T346" s="381"/>
      <c r="U346" s="381"/>
      <c r="V346" s="381"/>
      <c r="W346" s="381"/>
      <c r="X346" s="381"/>
      <c r="Y346" s="381"/>
      <c r="Z346" s="381"/>
    </row>
    <row r="347">
      <c r="A347" s="381"/>
      <c r="B347" s="18"/>
      <c r="C347" s="359"/>
      <c r="D347" s="359"/>
      <c r="E347" s="381"/>
      <c r="F347" s="381"/>
      <c r="G347" s="381"/>
      <c r="H347" s="381"/>
      <c r="I347" s="381"/>
      <c r="J347" s="381"/>
      <c r="K347" s="381"/>
      <c r="L347" s="381"/>
      <c r="M347" s="381"/>
      <c r="N347" s="381"/>
      <c r="O347" s="381"/>
      <c r="P347" s="381"/>
      <c r="Q347" s="381"/>
      <c r="R347" s="381"/>
      <c r="S347" s="381"/>
      <c r="T347" s="381"/>
      <c r="U347" s="381"/>
      <c r="V347" s="381"/>
      <c r="W347" s="381"/>
      <c r="X347" s="381"/>
      <c r="Y347" s="381"/>
      <c r="Z347" s="381"/>
    </row>
    <row r="348">
      <c r="A348" s="381"/>
      <c r="B348" s="18"/>
      <c r="C348" s="359"/>
      <c r="D348" s="359"/>
      <c r="E348" s="381"/>
      <c r="F348" s="381"/>
      <c r="G348" s="381"/>
      <c r="H348" s="381"/>
      <c r="I348" s="381"/>
      <c r="J348" s="381"/>
      <c r="K348" s="381"/>
      <c r="L348" s="381"/>
      <c r="M348" s="381"/>
      <c r="N348" s="381"/>
      <c r="O348" s="381"/>
      <c r="P348" s="381"/>
      <c r="Q348" s="381"/>
      <c r="R348" s="381"/>
      <c r="S348" s="381"/>
      <c r="T348" s="381"/>
      <c r="U348" s="381"/>
      <c r="V348" s="381"/>
      <c r="W348" s="381"/>
      <c r="X348" s="381"/>
      <c r="Y348" s="381"/>
      <c r="Z348" s="381"/>
    </row>
    <row r="349">
      <c r="A349" s="381"/>
      <c r="B349" s="18"/>
      <c r="C349" s="359"/>
      <c r="D349" s="359"/>
      <c r="E349" s="381"/>
      <c r="F349" s="381"/>
      <c r="G349" s="381"/>
      <c r="H349" s="381"/>
      <c r="I349" s="381"/>
      <c r="J349" s="381"/>
      <c r="K349" s="381"/>
      <c r="L349" s="381"/>
      <c r="M349" s="381"/>
      <c r="N349" s="381"/>
      <c r="O349" s="381"/>
      <c r="P349" s="381"/>
      <c r="Q349" s="381"/>
      <c r="R349" s="381"/>
      <c r="S349" s="381"/>
      <c r="T349" s="381"/>
      <c r="U349" s="381"/>
      <c r="V349" s="381"/>
      <c r="W349" s="381"/>
      <c r="X349" s="381"/>
      <c r="Y349" s="381"/>
      <c r="Z349" s="381"/>
    </row>
    <row r="350">
      <c r="A350" s="381"/>
      <c r="B350" s="18"/>
      <c r="C350" s="359"/>
      <c r="D350" s="359"/>
      <c r="E350" s="381"/>
      <c r="F350" s="381"/>
      <c r="G350" s="381"/>
      <c r="H350" s="381"/>
      <c r="I350" s="381"/>
      <c r="J350" s="381"/>
      <c r="K350" s="381"/>
      <c r="L350" s="381"/>
      <c r="M350" s="381"/>
      <c r="N350" s="381"/>
      <c r="O350" s="381"/>
      <c r="P350" s="381"/>
      <c r="Q350" s="381"/>
      <c r="R350" s="381"/>
      <c r="S350" s="381"/>
      <c r="T350" s="381"/>
      <c r="U350" s="381"/>
      <c r="V350" s="381"/>
      <c r="W350" s="381"/>
      <c r="X350" s="381"/>
      <c r="Y350" s="381"/>
      <c r="Z350" s="381"/>
    </row>
    <row r="351">
      <c r="A351" s="381"/>
      <c r="B351" s="18"/>
      <c r="C351" s="359"/>
      <c r="D351" s="359"/>
      <c r="E351" s="381"/>
      <c r="F351" s="381"/>
      <c r="G351" s="381"/>
      <c r="H351" s="381"/>
      <c r="I351" s="381"/>
      <c r="J351" s="381"/>
      <c r="K351" s="381"/>
      <c r="L351" s="381"/>
      <c r="M351" s="381"/>
      <c r="N351" s="381"/>
      <c r="O351" s="381"/>
      <c r="P351" s="381"/>
      <c r="Q351" s="381"/>
      <c r="R351" s="381"/>
      <c r="S351" s="381"/>
      <c r="T351" s="381"/>
      <c r="U351" s="381"/>
      <c r="V351" s="381"/>
      <c r="W351" s="381"/>
      <c r="X351" s="381"/>
      <c r="Y351" s="381"/>
      <c r="Z351" s="381"/>
    </row>
    <row r="352">
      <c r="A352" s="381"/>
      <c r="B352" s="18"/>
      <c r="C352" s="359"/>
      <c r="D352" s="359"/>
      <c r="E352" s="381"/>
      <c r="F352" s="381"/>
      <c r="G352" s="381"/>
      <c r="H352" s="381"/>
      <c r="I352" s="381"/>
      <c r="J352" s="381"/>
      <c r="K352" s="381"/>
      <c r="L352" s="381"/>
      <c r="M352" s="381"/>
      <c r="N352" s="381"/>
      <c r="O352" s="381"/>
      <c r="P352" s="381"/>
      <c r="Q352" s="381"/>
      <c r="R352" s="381"/>
      <c r="S352" s="381"/>
      <c r="T352" s="381"/>
      <c r="U352" s="381"/>
      <c r="V352" s="381"/>
      <c r="W352" s="381"/>
      <c r="X352" s="381"/>
      <c r="Y352" s="381"/>
      <c r="Z352" s="381"/>
    </row>
    <row r="353">
      <c r="A353" s="381"/>
      <c r="B353" s="18"/>
      <c r="C353" s="359"/>
      <c r="D353" s="359"/>
      <c r="E353" s="381"/>
      <c r="F353" s="381"/>
      <c r="G353" s="381"/>
      <c r="H353" s="381"/>
      <c r="I353" s="381"/>
      <c r="J353" s="381"/>
      <c r="K353" s="381"/>
      <c r="L353" s="381"/>
      <c r="M353" s="381"/>
      <c r="N353" s="381"/>
      <c r="O353" s="381"/>
      <c r="P353" s="381"/>
      <c r="Q353" s="381"/>
      <c r="R353" s="381"/>
      <c r="S353" s="381"/>
      <c r="T353" s="381"/>
      <c r="U353" s="381"/>
      <c r="V353" s="381"/>
      <c r="W353" s="381"/>
      <c r="X353" s="381"/>
      <c r="Y353" s="381"/>
      <c r="Z353" s="381"/>
    </row>
    <row r="354">
      <c r="A354" s="381"/>
      <c r="B354" s="18"/>
      <c r="C354" s="359"/>
      <c r="D354" s="359"/>
      <c r="E354" s="381"/>
      <c r="F354" s="381"/>
      <c r="G354" s="381"/>
      <c r="H354" s="381"/>
      <c r="I354" s="381"/>
      <c r="J354" s="381"/>
      <c r="K354" s="381"/>
      <c r="L354" s="381"/>
      <c r="M354" s="381"/>
      <c r="N354" s="381"/>
      <c r="O354" s="381"/>
      <c r="P354" s="381"/>
      <c r="Q354" s="381"/>
      <c r="R354" s="381"/>
      <c r="S354" s="381"/>
      <c r="T354" s="381"/>
      <c r="U354" s="381"/>
      <c r="V354" s="381"/>
      <c r="W354" s="381"/>
      <c r="X354" s="381"/>
      <c r="Y354" s="381"/>
      <c r="Z354" s="381"/>
    </row>
    <row r="355">
      <c r="A355" s="381"/>
      <c r="B355" s="18"/>
      <c r="C355" s="359"/>
      <c r="D355" s="359"/>
      <c r="E355" s="381"/>
      <c r="F355" s="381"/>
      <c r="G355" s="381"/>
      <c r="H355" s="381"/>
      <c r="I355" s="381"/>
      <c r="J355" s="381"/>
      <c r="K355" s="381"/>
      <c r="L355" s="381"/>
      <c r="M355" s="381"/>
      <c r="N355" s="381"/>
      <c r="O355" s="381"/>
      <c r="P355" s="381"/>
      <c r="Q355" s="381"/>
      <c r="R355" s="381"/>
      <c r="S355" s="381"/>
      <c r="T355" s="381"/>
      <c r="U355" s="381"/>
      <c r="V355" s="381"/>
      <c r="W355" s="381"/>
      <c r="X355" s="381"/>
      <c r="Y355" s="381"/>
      <c r="Z355" s="381"/>
    </row>
    <row r="356">
      <c r="A356" s="381"/>
      <c r="B356" s="18"/>
      <c r="C356" s="359"/>
      <c r="D356" s="359"/>
      <c r="E356" s="381"/>
      <c r="F356" s="381"/>
      <c r="G356" s="381"/>
      <c r="H356" s="381"/>
      <c r="I356" s="381"/>
      <c r="J356" s="381"/>
      <c r="K356" s="381"/>
      <c r="L356" s="381"/>
      <c r="M356" s="381"/>
      <c r="N356" s="381"/>
      <c r="O356" s="381"/>
      <c r="P356" s="381"/>
      <c r="Q356" s="381"/>
      <c r="R356" s="381"/>
      <c r="S356" s="381"/>
      <c r="T356" s="381"/>
      <c r="U356" s="381"/>
      <c r="V356" s="381"/>
      <c r="W356" s="381"/>
      <c r="X356" s="381"/>
      <c r="Y356" s="381"/>
      <c r="Z356" s="381"/>
    </row>
    <row r="357">
      <c r="A357" s="381"/>
      <c r="B357" s="18"/>
      <c r="C357" s="359"/>
      <c r="D357" s="359"/>
      <c r="E357" s="381"/>
      <c r="F357" s="381"/>
      <c r="G357" s="381"/>
      <c r="H357" s="381"/>
      <c r="I357" s="381"/>
      <c r="J357" s="381"/>
      <c r="K357" s="381"/>
      <c r="L357" s="381"/>
      <c r="M357" s="381"/>
      <c r="N357" s="381"/>
      <c r="O357" s="381"/>
      <c r="P357" s="381"/>
      <c r="Q357" s="381"/>
      <c r="R357" s="381"/>
      <c r="S357" s="381"/>
      <c r="T357" s="381"/>
      <c r="U357" s="381"/>
      <c r="V357" s="381"/>
      <c r="W357" s="381"/>
      <c r="X357" s="381"/>
      <c r="Y357" s="381"/>
      <c r="Z357" s="381"/>
    </row>
    <row r="358">
      <c r="A358" s="381"/>
      <c r="B358" s="18"/>
      <c r="C358" s="359"/>
      <c r="D358" s="359"/>
      <c r="E358" s="381"/>
      <c r="F358" s="381"/>
      <c r="G358" s="381"/>
      <c r="H358" s="381"/>
      <c r="I358" s="381"/>
      <c r="J358" s="381"/>
      <c r="K358" s="381"/>
      <c r="L358" s="381"/>
      <c r="M358" s="381"/>
      <c r="N358" s="381"/>
      <c r="O358" s="381"/>
      <c r="P358" s="381"/>
      <c r="Q358" s="381"/>
      <c r="R358" s="381"/>
      <c r="S358" s="381"/>
      <c r="T358" s="381"/>
      <c r="U358" s="381"/>
      <c r="V358" s="381"/>
      <c r="W358" s="381"/>
      <c r="X358" s="381"/>
      <c r="Y358" s="381"/>
      <c r="Z358" s="381"/>
    </row>
    <row r="359">
      <c r="A359" s="381"/>
      <c r="B359" s="18"/>
      <c r="C359" s="359"/>
      <c r="D359" s="359"/>
      <c r="E359" s="381"/>
      <c r="F359" s="381"/>
      <c r="G359" s="381"/>
      <c r="H359" s="381"/>
      <c r="I359" s="381"/>
      <c r="J359" s="381"/>
      <c r="K359" s="381"/>
      <c r="L359" s="381"/>
      <c r="M359" s="381"/>
      <c r="N359" s="381"/>
      <c r="O359" s="381"/>
      <c r="P359" s="381"/>
      <c r="Q359" s="381"/>
      <c r="R359" s="381"/>
      <c r="S359" s="381"/>
      <c r="T359" s="381"/>
      <c r="U359" s="381"/>
      <c r="V359" s="381"/>
      <c r="W359" s="381"/>
      <c r="X359" s="381"/>
      <c r="Y359" s="381"/>
      <c r="Z359" s="381"/>
    </row>
    <row r="360">
      <c r="A360" s="381"/>
      <c r="B360" s="18"/>
      <c r="C360" s="359"/>
      <c r="D360" s="359"/>
      <c r="E360" s="381"/>
      <c r="F360" s="381"/>
      <c r="G360" s="381"/>
      <c r="H360" s="381"/>
      <c r="I360" s="381"/>
      <c r="J360" s="381"/>
      <c r="K360" s="381"/>
      <c r="L360" s="381"/>
      <c r="M360" s="381"/>
      <c r="N360" s="381"/>
      <c r="O360" s="381"/>
      <c r="P360" s="381"/>
      <c r="Q360" s="381"/>
      <c r="R360" s="381"/>
      <c r="S360" s="381"/>
      <c r="T360" s="381"/>
      <c r="U360" s="381"/>
      <c r="V360" s="381"/>
      <c r="W360" s="381"/>
      <c r="X360" s="381"/>
      <c r="Y360" s="381"/>
      <c r="Z360" s="381"/>
    </row>
    <row r="361">
      <c r="A361" s="381"/>
      <c r="B361" s="18"/>
      <c r="C361" s="359"/>
      <c r="D361" s="359"/>
      <c r="E361" s="381"/>
      <c r="F361" s="381"/>
      <c r="G361" s="381"/>
      <c r="H361" s="381"/>
      <c r="I361" s="381"/>
      <c r="J361" s="381"/>
      <c r="K361" s="381"/>
      <c r="L361" s="381"/>
      <c r="M361" s="381"/>
      <c r="N361" s="381"/>
      <c r="O361" s="381"/>
      <c r="P361" s="381"/>
      <c r="Q361" s="381"/>
      <c r="R361" s="381"/>
      <c r="S361" s="381"/>
      <c r="T361" s="381"/>
      <c r="U361" s="381"/>
      <c r="V361" s="381"/>
      <c r="W361" s="381"/>
      <c r="X361" s="381"/>
      <c r="Y361" s="381"/>
      <c r="Z361" s="381"/>
    </row>
    <row r="362">
      <c r="A362" s="381"/>
      <c r="B362" s="18"/>
      <c r="C362" s="359"/>
      <c r="D362" s="359"/>
      <c r="E362" s="381"/>
      <c r="F362" s="381"/>
      <c r="G362" s="381"/>
      <c r="H362" s="381"/>
      <c r="I362" s="381"/>
      <c r="J362" s="381"/>
      <c r="K362" s="381"/>
      <c r="L362" s="381"/>
      <c r="M362" s="381"/>
      <c r="N362" s="381"/>
      <c r="O362" s="381"/>
      <c r="P362" s="381"/>
      <c r="Q362" s="381"/>
      <c r="R362" s="381"/>
      <c r="S362" s="381"/>
      <c r="T362" s="381"/>
      <c r="U362" s="381"/>
      <c r="V362" s="381"/>
      <c r="W362" s="381"/>
      <c r="X362" s="381"/>
      <c r="Y362" s="381"/>
      <c r="Z362" s="381"/>
    </row>
    <row r="363">
      <c r="A363" s="381"/>
      <c r="B363" s="18"/>
      <c r="C363" s="359"/>
      <c r="D363" s="359"/>
      <c r="E363" s="381"/>
      <c r="F363" s="381"/>
      <c r="G363" s="381"/>
      <c r="H363" s="381"/>
      <c r="I363" s="381"/>
      <c r="J363" s="381"/>
      <c r="K363" s="381"/>
      <c r="L363" s="381"/>
      <c r="M363" s="381"/>
      <c r="N363" s="381"/>
      <c r="O363" s="381"/>
      <c r="P363" s="381"/>
      <c r="Q363" s="381"/>
      <c r="R363" s="381"/>
      <c r="S363" s="381"/>
      <c r="T363" s="381"/>
      <c r="U363" s="381"/>
      <c r="V363" s="381"/>
      <c r="W363" s="381"/>
      <c r="X363" s="381"/>
      <c r="Y363" s="381"/>
      <c r="Z363" s="381"/>
    </row>
    <row r="364">
      <c r="A364" s="381"/>
      <c r="B364" s="18"/>
      <c r="C364" s="359"/>
      <c r="D364" s="359"/>
      <c r="E364" s="381"/>
      <c r="F364" s="381"/>
      <c r="G364" s="381"/>
      <c r="H364" s="381"/>
      <c r="I364" s="381"/>
      <c r="J364" s="381"/>
      <c r="K364" s="381"/>
      <c r="L364" s="381"/>
      <c r="M364" s="381"/>
      <c r="N364" s="381"/>
      <c r="O364" s="381"/>
      <c r="P364" s="381"/>
      <c r="Q364" s="381"/>
      <c r="R364" s="381"/>
      <c r="S364" s="381"/>
      <c r="T364" s="381"/>
      <c r="U364" s="381"/>
      <c r="V364" s="381"/>
      <c r="W364" s="381"/>
      <c r="X364" s="381"/>
      <c r="Y364" s="381"/>
      <c r="Z364" s="381"/>
    </row>
    <row r="365">
      <c r="A365" s="381"/>
      <c r="B365" s="18"/>
      <c r="C365" s="359"/>
      <c r="D365" s="359"/>
      <c r="E365" s="381"/>
      <c r="F365" s="381"/>
      <c r="G365" s="381"/>
      <c r="H365" s="381"/>
      <c r="I365" s="381"/>
      <c r="J365" s="381"/>
      <c r="K365" s="381"/>
      <c r="L365" s="381"/>
      <c r="M365" s="381"/>
      <c r="N365" s="381"/>
      <c r="O365" s="381"/>
      <c r="P365" s="381"/>
      <c r="Q365" s="381"/>
      <c r="R365" s="381"/>
      <c r="S365" s="381"/>
      <c r="T365" s="381"/>
      <c r="U365" s="381"/>
      <c r="V365" s="381"/>
      <c r="W365" s="381"/>
      <c r="X365" s="381"/>
      <c r="Y365" s="381"/>
      <c r="Z365" s="381"/>
    </row>
    <row r="366">
      <c r="A366" s="381"/>
      <c r="B366" s="18"/>
      <c r="C366" s="359"/>
      <c r="D366" s="359"/>
      <c r="E366" s="381"/>
      <c r="F366" s="381"/>
      <c r="G366" s="381"/>
      <c r="H366" s="381"/>
      <c r="I366" s="381"/>
      <c r="J366" s="381"/>
      <c r="K366" s="381"/>
      <c r="L366" s="381"/>
      <c r="M366" s="381"/>
      <c r="N366" s="381"/>
      <c r="O366" s="381"/>
      <c r="P366" s="381"/>
      <c r="Q366" s="381"/>
      <c r="R366" s="381"/>
      <c r="S366" s="381"/>
      <c r="T366" s="381"/>
      <c r="U366" s="381"/>
      <c r="V366" s="381"/>
      <c r="W366" s="381"/>
      <c r="X366" s="381"/>
      <c r="Y366" s="381"/>
      <c r="Z366" s="381"/>
    </row>
    <row r="367">
      <c r="A367" s="381"/>
      <c r="B367" s="18"/>
      <c r="C367" s="359"/>
      <c r="D367" s="359"/>
      <c r="E367" s="381"/>
      <c r="F367" s="381"/>
      <c r="G367" s="381"/>
      <c r="H367" s="381"/>
      <c r="I367" s="381"/>
      <c r="J367" s="381"/>
      <c r="K367" s="381"/>
      <c r="L367" s="381"/>
      <c r="M367" s="381"/>
      <c r="N367" s="381"/>
      <c r="O367" s="381"/>
      <c r="P367" s="381"/>
      <c r="Q367" s="381"/>
      <c r="R367" s="381"/>
      <c r="S367" s="381"/>
      <c r="T367" s="381"/>
      <c r="U367" s="381"/>
      <c r="V367" s="381"/>
      <c r="W367" s="381"/>
      <c r="X367" s="381"/>
      <c r="Y367" s="381"/>
      <c r="Z367" s="381"/>
    </row>
    <row r="368">
      <c r="A368" s="381"/>
      <c r="B368" s="18"/>
      <c r="C368" s="359"/>
      <c r="D368" s="359"/>
      <c r="E368" s="381"/>
      <c r="F368" s="381"/>
      <c r="G368" s="381"/>
      <c r="H368" s="381"/>
      <c r="I368" s="381"/>
      <c r="J368" s="381"/>
      <c r="K368" s="381"/>
      <c r="L368" s="381"/>
      <c r="M368" s="381"/>
      <c r="N368" s="381"/>
      <c r="O368" s="381"/>
      <c r="P368" s="381"/>
      <c r="Q368" s="381"/>
      <c r="R368" s="381"/>
      <c r="S368" s="381"/>
      <c r="T368" s="381"/>
      <c r="U368" s="381"/>
      <c r="V368" s="381"/>
      <c r="W368" s="381"/>
      <c r="X368" s="381"/>
      <c r="Y368" s="381"/>
      <c r="Z368" s="381"/>
    </row>
    <row r="369">
      <c r="A369" s="381"/>
      <c r="B369" s="18"/>
      <c r="C369" s="359"/>
      <c r="D369" s="359"/>
      <c r="E369" s="381"/>
      <c r="F369" s="381"/>
      <c r="G369" s="381"/>
      <c r="H369" s="381"/>
      <c r="I369" s="381"/>
      <c r="J369" s="381"/>
      <c r="K369" s="381"/>
      <c r="L369" s="381"/>
      <c r="M369" s="381"/>
      <c r="N369" s="381"/>
      <c r="O369" s="381"/>
      <c r="P369" s="381"/>
      <c r="Q369" s="381"/>
      <c r="R369" s="381"/>
      <c r="S369" s="381"/>
      <c r="T369" s="381"/>
      <c r="U369" s="381"/>
      <c r="V369" s="381"/>
      <c r="W369" s="381"/>
      <c r="X369" s="381"/>
      <c r="Y369" s="381"/>
      <c r="Z369" s="381"/>
    </row>
    <row r="370">
      <c r="A370" s="381"/>
      <c r="B370" s="18"/>
      <c r="C370" s="359"/>
      <c r="D370" s="359"/>
      <c r="E370" s="381"/>
      <c r="F370" s="381"/>
      <c r="G370" s="381"/>
      <c r="H370" s="381"/>
      <c r="I370" s="381"/>
      <c r="J370" s="381"/>
      <c r="K370" s="381"/>
      <c r="L370" s="381"/>
      <c r="M370" s="381"/>
      <c r="N370" s="381"/>
      <c r="O370" s="381"/>
      <c r="P370" s="381"/>
      <c r="Q370" s="381"/>
      <c r="R370" s="381"/>
      <c r="S370" s="381"/>
      <c r="T370" s="381"/>
      <c r="U370" s="381"/>
      <c r="V370" s="381"/>
      <c r="W370" s="381"/>
      <c r="X370" s="381"/>
      <c r="Y370" s="381"/>
      <c r="Z370" s="381"/>
    </row>
    <row r="371">
      <c r="A371" s="381"/>
      <c r="B371" s="18"/>
      <c r="C371" s="359"/>
      <c r="D371" s="359"/>
      <c r="E371" s="381"/>
      <c r="F371" s="381"/>
      <c r="G371" s="381"/>
      <c r="H371" s="381"/>
      <c r="I371" s="381"/>
      <c r="J371" s="381"/>
      <c r="K371" s="381"/>
      <c r="L371" s="381"/>
      <c r="M371" s="381"/>
      <c r="N371" s="381"/>
      <c r="O371" s="381"/>
      <c r="P371" s="381"/>
      <c r="Q371" s="381"/>
      <c r="R371" s="381"/>
      <c r="S371" s="381"/>
      <c r="T371" s="381"/>
      <c r="U371" s="381"/>
      <c r="V371" s="381"/>
      <c r="W371" s="381"/>
      <c r="X371" s="381"/>
      <c r="Y371" s="381"/>
      <c r="Z371" s="381"/>
    </row>
    <row r="372">
      <c r="A372" s="381"/>
      <c r="B372" s="18"/>
      <c r="C372" s="359"/>
      <c r="D372" s="359"/>
      <c r="E372" s="381"/>
      <c r="F372" s="381"/>
      <c r="G372" s="381"/>
      <c r="H372" s="381"/>
      <c r="I372" s="381"/>
      <c r="J372" s="381"/>
      <c r="K372" s="381"/>
      <c r="L372" s="381"/>
      <c r="M372" s="381"/>
      <c r="N372" s="381"/>
      <c r="O372" s="381"/>
      <c r="P372" s="381"/>
      <c r="Q372" s="381"/>
      <c r="R372" s="381"/>
      <c r="S372" s="381"/>
      <c r="T372" s="381"/>
      <c r="U372" s="381"/>
      <c r="V372" s="381"/>
      <c r="W372" s="381"/>
      <c r="X372" s="381"/>
      <c r="Y372" s="381"/>
      <c r="Z372" s="381"/>
    </row>
    <row r="373">
      <c r="A373" s="381"/>
      <c r="B373" s="18"/>
      <c r="C373" s="359"/>
      <c r="D373" s="359"/>
      <c r="E373" s="381"/>
      <c r="F373" s="381"/>
      <c r="G373" s="381"/>
      <c r="H373" s="381"/>
      <c r="I373" s="381"/>
      <c r="J373" s="381"/>
      <c r="K373" s="381"/>
      <c r="L373" s="381"/>
      <c r="M373" s="381"/>
      <c r="N373" s="381"/>
      <c r="O373" s="381"/>
      <c r="P373" s="381"/>
      <c r="Q373" s="381"/>
      <c r="R373" s="381"/>
      <c r="S373" s="381"/>
      <c r="T373" s="381"/>
      <c r="U373" s="381"/>
      <c r="V373" s="381"/>
      <c r="W373" s="381"/>
      <c r="X373" s="381"/>
      <c r="Y373" s="381"/>
      <c r="Z373" s="381"/>
    </row>
    <row r="374">
      <c r="A374" s="381"/>
      <c r="B374" s="18"/>
      <c r="C374" s="359"/>
      <c r="D374" s="359"/>
      <c r="E374" s="381"/>
      <c r="F374" s="381"/>
      <c r="G374" s="381"/>
      <c r="H374" s="381"/>
      <c r="I374" s="381"/>
      <c r="J374" s="381"/>
      <c r="K374" s="381"/>
      <c r="L374" s="381"/>
      <c r="M374" s="381"/>
      <c r="N374" s="381"/>
      <c r="O374" s="381"/>
      <c r="P374" s="381"/>
      <c r="Q374" s="381"/>
      <c r="R374" s="381"/>
      <c r="S374" s="381"/>
      <c r="T374" s="381"/>
      <c r="U374" s="381"/>
      <c r="V374" s="381"/>
      <c r="W374" s="381"/>
      <c r="X374" s="381"/>
      <c r="Y374" s="381"/>
      <c r="Z374" s="381"/>
    </row>
    <row r="375">
      <c r="A375" s="381"/>
      <c r="B375" s="18"/>
      <c r="C375" s="359"/>
      <c r="D375" s="359"/>
      <c r="E375" s="381"/>
      <c r="F375" s="381"/>
      <c r="G375" s="381"/>
      <c r="H375" s="381"/>
      <c r="I375" s="381"/>
      <c r="J375" s="381"/>
      <c r="K375" s="381"/>
      <c r="L375" s="381"/>
      <c r="M375" s="381"/>
      <c r="N375" s="381"/>
      <c r="O375" s="381"/>
      <c r="P375" s="381"/>
      <c r="Q375" s="381"/>
      <c r="R375" s="381"/>
      <c r="S375" s="381"/>
      <c r="T375" s="381"/>
      <c r="U375" s="381"/>
      <c r="V375" s="381"/>
      <c r="W375" s="381"/>
      <c r="X375" s="381"/>
      <c r="Y375" s="381"/>
      <c r="Z375" s="381"/>
    </row>
    <row r="376">
      <c r="A376" s="381"/>
      <c r="B376" s="18"/>
      <c r="C376" s="359"/>
      <c r="D376" s="359"/>
      <c r="E376" s="381"/>
      <c r="F376" s="381"/>
      <c r="G376" s="381"/>
      <c r="H376" s="381"/>
      <c r="I376" s="381"/>
      <c r="J376" s="381"/>
      <c r="K376" s="381"/>
      <c r="L376" s="381"/>
      <c r="M376" s="381"/>
      <c r="N376" s="381"/>
      <c r="O376" s="381"/>
      <c r="P376" s="381"/>
      <c r="Q376" s="381"/>
      <c r="R376" s="381"/>
      <c r="S376" s="381"/>
      <c r="T376" s="381"/>
      <c r="U376" s="381"/>
      <c r="V376" s="381"/>
      <c r="W376" s="381"/>
      <c r="X376" s="381"/>
      <c r="Y376" s="381"/>
      <c r="Z376" s="381"/>
    </row>
    <row r="377">
      <c r="A377" s="381"/>
      <c r="B377" s="18"/>
      <c r="C377" s="359"/>
      <c r="D377" s="359"/>
      <c r="E377" s="381"/>
      <c r="F377" s="381"/>
      <c r="G377" s="381"/>
      <c r="H377" s="381"/>
      <c r="I377" s="381"/>
      <c r="J377" s="381"/>
      <c r="K377" s="381"/>
      <c r="L377" s="381"/>
      <c r="M377" s="381"/>
      <c r="N377" s="381"/>
      <c r="O377" s="381"/>
      <c r="P377" s="381"/>
      <c r="Q377" s="381"/>
      <c r="R377" s="381"/>
      <c r="S377" s="381"/>
      <c r="T377" s="381"/>
      <c r="U377" s="381"/>
      <c r="V377" s="381"/>
      <c r="W377" s="381"/>
      <c r="X377" s="381"/>
      <c r="Y377" s="381"/>
      <c r="Z377" s="381"/>
    </row>
    <row r="378">
      <c r="A378" s="381"/>
      <c r="B378" s="18"/>
      <c r="C378" s="359"/>
      <c r="D378" s="359"/>
      <c r="E378" s="381"/>
      <c r="F378" s="381"/>
      <c r="G378" s="381"/>
      <c r="H378" s="381"/>
      <c r="I378" s="381"/>
      <c r="J378" s="381"/>
      <c r="K378" s="381"/>
      <c r="L378" s="381"/>
      <c r="M378" s="381"/>
      <c r="N378" s="381"/>
      <c r="O378" s="381"/>
      <c r="P378" s="381"/>
      <c r="Q378" s="381"/>
      <c r="R378" s="381"/>
      <c r="S378" s="381"/>
      <c r="T378" s="381"/>
      <c r="U378" s="381"/>
      <c r="V378" s="381"/>
      <c r="W378" s="381"/>
      <c r="X378" s="381"/>
      <c r="Y378" s="381"/>
      <c r="Z378" s="381"/>
    </row>
    <row r="379">
      <c r="A379" s="381"/>
      <c r="B379" s="18"/>
      <c r="C379" s="359"/>
      <c r="D379" s="359"/>
      <c r="E379" s="381"/>
      <c r="F379" s="381"/>
      <c r="G379" s="381"/>
      <c r="H379" s="381"/>
      <c r="I379" s="381"/>
      <c r="J379" s="381"/>
      <c r="K379" s="381"/>
      <c r="L379" s="381"/>
      <c r="M379" s="381"/>
      <c r="N379" s="381"/>
      <c r="O379" s="381"/>
      <c r="P379" s="381"/>
      <c r="Q379" s="381"/>
      <c r="R379" s="381"/>
      <c r="S379" s="381"/>
      <c r="T379" s="381"/>
      <c r="U379" s="381"/>
      <c r="V379" s="381"/>
      <c r="W379" s="381"/>
      <c r="X379" s="381"/>
      <c r="Y379" s="381"/>
      <c r="Z379" s="381"/>
    </row>
    <row r="380">
      <c r="A380" s="381"/>
      <c r="B380" s="18"/>
      <c r="C380" s="359"/>
      <c r="D380" s="359"/>
      <c r="E380" s="381"/>
      <c r="F380" s="381"/>
      <c r="G380" s="381"/>
      <c r="H380" s="381"/>
      <c r="I380" s="381"/>
      <c r="J380" s="381"/>
      <c r="K380" s="381"/>
      <c r="L380" s="381"/>
      <c r="M380" s="381"/>
      <c r="N380" s="381"/>
      <c r="O380" s="381"/>
      <c r="P380" s="381"/>
      <c r="Q380" s="381"/>
      <c r="R380" s="381"/>
      <c r="S380" s="381"/>
      <c r="T380" s="381"/>
      <c r="U380" s="381"/>
      <c r="V380" s="381"/>
      <c r="W380" s="381"/>
      <c r="X380" s="381"/>
      <c r="Y380" s="381"/>
      <c r="Z380" s="381"/>
    </row>
    <row r="381">
      <c r="A381" s="381"/>
      <c r="B381" s="18"/>
      <c r="C381" s="359"/>
      <c r="D381" s="359"/>
      <c r="E381" s="381"/>
      <c r="F381" s="381"/>
      <c r="G381" s="381"/>
      <c r="H381" s="381"/>
      <c r="I381" s="381"/>
      <c r="J381" s="381"/>
      <c r="K381" s="381"/>
      <c r="L381" s="381"/>
      <c r="M381" s="381"/>
      <c r="N381" s="381"/>
      <c r="O381" s="381"/>
      <c r="P381" s="381"/>
      <c r="Q381" s="381"/>
      <c r="R381" s="381"/>
      <c r="S381" s="381"/>
      <c r="T381" s="381"/>
      <c r="U381" s="381"/>
      <c r="V381" s="381"/>
      <c r="W381" s="381"/>
      <c r="X381" s="381"/>
      <c r="Y381" s="381"/>
      <c r="Z381" s="381"/>
    </row>
    <row r="382">
      <c r="A382" s="381"/>
      <c r="B382" s="18"/>
      <c r="C382" s="359"/>
      <c r="D382" s="359"/>
      <c r="E382" s="381"/>
      <c r="F382" s="381"/>
      <c r="G382" s="381"/>
      <c r="H382" s="381"/>
      <c r="I382" s="381"/>
      <c r="J382" s="381"/>
      <c r="K382" s="381"/>
      <c r="L382" s="381"/>
      <c r="M382" s="381"/>
      <c r="N382" s="381"/>
      <c r="O382" s="381"/>
      <c r="P382" s="381"/>
      <c r="Q382" s="381"/>
      <c r="R382" s="381"/>
      <c r="S382" s="381"/>
      <c r="T382" s="381"/>
      <c r="U382" s="381"/>
      <c r="V382" s="381"/>
      <c r="W382" s="381"/>
      <c r="X382" s="381"/>
      <c r="Y382" s="381"/>
      <c r="Z382" s="381"/>
    </row>
    <row r="383">
      <c r="A383" s="381"/>
      <c r="B383" s="18"/>
      <c r="C383" s="359"/>
      <c r="D383" s="359"/>
      <c r="E383" s="381"/>
      <c r="F383" s="381"/>
      <c r="G383" s="381"/>
      <c r="H383" s="381"/>
      <c r="I383" s="381"/>
      <c r="J383" s="381"/>
      <c r="K383" s="381"/>
      <c r="L383" s="381"/>
      <c r="M383" s="381"/>
      <c r="N383" s="381"/>
      <c r="O383" s="381"/>
      <c r="P383" s="381"/>
      <c r="Q383" s="381"/>
      <c r="R383" s="381"/>
      <c r="S383" s="381"/>
      <c r="T383" s="381"/>
      <c r="U383" s="381"/>
      <c r="V383" s="381"/>
      <c r="W383" s="381"/>
      <c r="X383" s="381"/>
      <c r="Y383" s="381"/>
      <c r="Z383" s="381"/>
    </row>
    <row r="384">
      <c r="A384" s="381"/>
      <c r="B384" s="18"/>
      <c r="C384" s="359"/>
      <c r="D384" s="359"/>
      <c r="E384" s="381"/>
      <c r="F384" s="381"/>
      <c r="G384" s="381"/>
      <c r="H384" s="381"/>
      <c r="I384" s="381"/>
      <c r="J384" s="381"/>
      <c r="K384" s="381"/>
      <c r="L384" s="381"/>
      <c r="M384" s="381"/>
      <c r="N384" s="381"/>
      <c r="O384" s="381"/>
      <c r="P384" s="381"/>
      <c r="Q384" s="381"/>
      <c r="R384" s="381"/>
      <c r="S384" s="381"/>
      <c r="T384" s="381"/>
      <c r="U384" s="381"/>
      <c r="V384" s="381"/>
      <c r="W384" s="381"/>
      <c r="X384" s="381"/>
      <c r="Y384" s="381"/>
      <c r="Z384" s="381"/>
    </row>
    <row r="385">
      <c r="A385" s="381"/>
      <c r="B385" s="18"/>
      <c r="C385" s="359"/>
      <c r="D385" s="359"/>
      <c r="E385" s="381"/>
      <c r="F385" s="381"/>
      <c r="G385" s="381"/>
      <c r="H385" s="381"/>
      <c r="I385" s="381"/>
      <c r="J385" s="381"/>
      <c r="K385" s="381"/>
      <c r="L385" s="381"/>
      <c r="M385" s="381"/>
      <c r="N385" s="381"/>
      <c r="O385" s="381"/>
      <c r="P385" s="381"/>
      <c r="Q385" s="381"/>
      <c r="R385" s="381"/>
      <c r="S385" s="381"/>
      <c r="T385" s="381"/>
      <c r="U385" s="381"/>
      <c r="V385" s="381"/>
      <c r="W385" s="381"/>
      <c r="X385" s="381"/>
      <c r="Y385" s="381"/>
      <c r="Z385" s="381"/>
    </row>
    <row r="386">
      <c r="A386" s="381"/>
      <c r="B386" s="18"/>
      <c r="C386" s="359"/>
      <c r="D386" s="359"/>
      <c r="E386" s="381"/>
      <c r="F386" s="381"/>
      <c r="G386" s="381"/>
      <c r="H386" s="381"/>
      <c r="I386" s="381"/>
      <c r="J386" s="381"/>
      <c r="K386" s="381"/>
      <c r="L386" s="381"/>
      <c r="M386" s="381"/>
      <c r="N386" s="381"/>
      <c r="O386" s="381"/>
      <c r="P386" s="381"/>
      <c r="Q386" s="381"/>
      <c r="R386" s="381"/>
      <c r="S386" s="381"/>
      <c r="T386" s="381"/>
      <c r="U386" s="381"/>
      <c r="V386" s="381"/>
      <c r="W386" s="381"/>
      <c r="X386" s="381"/>
      <c r="Y386" s="381"/>
      <c r="Z386" s="381"/>
    </row>
    <row r="387">
      <c r="A387" s="381"/>
      <c r="B387" s="18"/>
      <c r="C387" s="359"/>
      <c r="D387" s="359"/>
      <c r="E387" s="381"/>
      <c r="F387" s="381"/>
      <c r="G387" s="381"/>
      <c r="H387" s="381"/>
      <c r="I387" s="381"/>
      <c r="J387" s="381"/>
      <c r="K387" s="381"/>
      <c r="L387" s="381"/>
      <c r="M387" s="381"/>
      <c r="N387" s="381"/>
      <c r="O387" s="381"/>
      <c r="P387" s="381"/>
      <c r="Q387" s="381"/>
      <c r="R387" s="381"/>
      <c r="S387" s="381"/>
      <c r="T387" s="381"/>
      <c r="U387" s="381"/>
      <c r="V387" s="381"/>
      <c r="W387" s="381"/>
      <c r="X387" s="381"/>
      <c r="Y387" s="381"/>
      <c r="Z387" s="381"/>
    </row>
    <row r="388">
      <c r="A388" s="381"/>
      <c r="B388" s="18"/>
      <c r="C388" s="359"/>
      <c r="D388" s="359"/>
      <c r="E388" s="381"/>
      <c r="F388" s="381"/>
      <c r="G388" s="381"/>
      <c r="H388" s="381"/>
      <c r="I388" s="381"/>
      <c r="J388" s="381"/>
      <c r="K388" s="381"/>
      <c r="L388" s="381"/>
      <c r="M388" s="381"/>
      <c r="N388" s="381"/>
      <c r="O388" s="381"/>
      <c r="P388" s="381"/>
      <c r="Q388" s="381"/>
      <c r="R388" s="381"/>
      <c r="S388" s="381"/>
      <c r="T388" s="381"/>
      <c r="U388" s="381"/>
      <c r="V388" s="381"/>
      <c r="W388" s="381"/>
      <c r="X388" s="381"/>
      <c r="Y388" s="381"/>
      <c r="Z388" s="381"/>
    </row>
    <row r="389">
      <c r="A389" s="381"/>
      <c r="B389" s="18"/>
      <c r="C389" s="359"/>
      <c r="D389" s="359"/>
      <c r="E389" s="381"/>
      <c r="F389" s="381"/>
      <c r="G389" s="381"/>
      <c r="H389" s="381"/>
      <c r="I389" s="381"/>
      <c r="J389" s="381"/>
      <c r="K389" s="381"/>
      <c r="L389" s="381"/>
      <c r="M389" s="381"/>
      <c r="N389" s="381"/>
      <c r="O389" s="381"/>
      <c r="P389" s="381"/>
      <c r="Q389" s="381"/>
      <c r="R389" s="381"/>
      <c r="S389" s="381"/>
      <c r="T389" s="381"/>
      <c r="U389" s="381"/>
      <c r="V389" s="381"/>
      <c r="W389" s="381"/>
      <c r="X389" s="381"/>
      <c r="Y389" s="381"/>
      <c r="Z389" s="381"/>
    </row>
    <row r="390">
      <c r="A390" s="381"/>
      <c r="B390" s="18"/>
      <c r="C390" s="359"/>
      <c r="D390" s="359"/>
      <c r="E390" s="381"/>
      <c r="F390" s="381"/>
      <c r="G390" s="381"/>
      <c r="H390" s="381"/>
      <c r="I390" s="381"/>
      <c r="J390" s="381"/>
      <c r="K390" s="381"/>
      <c r="L390" s="381"/>
      <c r="M390" s="381"/>
      <c r="N390" s="381"/>
      <c r="O390" s="381"/>
      <c r="P390" s="381"/>
      <c r="Q390" s="381"/>
      <c r="R390" s="381"/>
      <c r="S390" s="381"/>
      <c r="T390" s="381"/>
      <c r="U390" s="381"/>
      <c r="V390" s="381"/>
      <c r="W390" s="381"/>
      <c r="X390" s="381"/>
      <c r="Y390" s="381"/>
      <c r="Z390" s="381"/>
    </row>
    <row r="391">
      <c r="A391" s="381"/>
      <c r="B391" s="18"/>
      <c r="C391" s="359"/>
      <c r="D391" s="359"/>
      <c r="E391" s="381"/>
      <c r="F391" s="381"/>
      <c r="G391" s="381"/>
      <c r="H391" s="381"/>
      <c r="I391" s="381"/>
      <c r="J391" s="381"/>
      <c r="K391" s="381"/>
      <c r="L391" s="381"/>
      <c r="M391" s="381"/>
      <c r="N391" s="381"/>
      <c r="O391" s="381"/>
      <c r="P391" s="381"/>
      <c r="Q391" s="381"/>
      <c r="R391" s="381"/>
      <c r="S391" s="381"/>
      <c r="T391" s="381"/>
      <c r="U391" s="381"/>
      <c r="V391" s="381"/>
      <c r="W391" s="381"/>
      <c r="X391" s="381"/>
      <c r="Y391" s="381"/>
      <c r="Z391" s="381"/>
    </row>
    <row r="392">
      <c r="A392" s="381"/>
      <c r="B392" s="18"/>
      <c r="C392" s="359"/>
      <c r="D392" s="359"/>
      <c r="E392" s="381"/>
      <c r="F392" s="381"/>
      <c r="G392" s="381"/>
      <c r="H392" s="381"/>
      <c r="I392" s="381"/>
      <c r="J392" s="381"/>
      <c r="K392" s="381"/>
      <c r="L392" s="381"/>
      <c r="M392" s="381"/>
      <c r="N392" s="381"/>
      <c r="O392" s="381"/>
      <c r="P392" s="381"/>
      <c r="Q392" s="381"/>
      <c r="R392" s="381"/>
      <c r="S392" s="381"/>
      <c r="T392" s="381"/>
      <c r="U392" s="381"/>
      <c r="V392" s="381"/>
      <c r="W392" s="381"/>
      <c r="X392" s="381"/>
      <c r="Y392" s="381"/>
      <c r="Z392" s="381"/>
    </row>
    <row r="393">
      <c r="A393" s="381"/>
      <c r="B393" s="18"/>
      <c r="C393" s="359"/>
      <c r="D393" s="359"/>
      <c r="E393" s="381"/>
      <c r="F393" s="381"/>
      <c r="G393" s="381"/>
      <c r="H393" s="381"/>
      <c r="I393" s="381"/>
      <c r="J393" s="381"/>
      <c r="K393" s="381"/>
      <c r="L393" s="381"/>
      <c r="M393" s="381"/>
      <c r="N393" s="381"/>
      <c r="O393" s="381"/>
      <c r="P393" s="381"/>
      <c r="Q393" s="381"/>
      <c r="R393" s="381"/>
      <c r="S393" s="381"/>
      <c r="T393" s="381"/>
      <c r="U393" s="381"/>
      <c r="V393" s="381"/>
      <c r="W393" s="381"/>
      <c r="X393" s="381"/>
      <c r="Y393" s="381"/>
      <c r="Z393" s="381"/>
    </row>
    <row r="394">
      <c r="A394" s="381"/>
      <c r="B394" s="18"/>
      <c r="C394" s="359"/>
      <c r="D394" s="359"/>
      <c r="E394" s="381"/>
      <c r="F394" s="381"/>
      <c r="G394" s="381"/>
      <c r="H394" s="381"/>
      <c r="I394" s="381"/>
      <c r="J394" s="381"/>
      <c r="K394" s="381"/>
      <c r="L394" s="381"/>
      <c r="M394" s="381"/>
      <c r="N394" s="381"/>
      <c r="O394" s="381"/>
      <c r="P394" s="381"/>
      <c r="Q394" s="381"/>
      <c r="R394" s="381"/>
      <c r="S394" s="381"/>
      <c r="T394" s="381"/>
      <c r="U394" s="381"/>
      <c r="V394" s="381"/>
      <c r="W394" s="381"/>
      <c r="X394" s="381"/>
      <c r="Y394" s="381"/>
      <c r="Z394" s="381"/>
    </row>
    <row r="395">
      <c r="A395" s="381"/>
      <c r="B395" s="18"/>
      <c r="C395" s="359"/>
      <c r="D395" s="359"/>
      <c r="E395" s="381"/>
      <c r="F395" s="381"/>
      <c r="G395" s="381"/>
      <c r="H395" s="381"/>
      <c r="I395" s="381"/>
      <c r="J395" s="381"/>
      <c r="K395" s="381"/>
      <c r="L395" s="381"/>
      <c r="M395" s="381"/>
      <c r="N395" s="381"/>
      <c r="O395" s="381"/>
      <c r="P395" s="381"/>
      <c r="Q395" s="381"/>
      <c r="R395" s="381"/>
      <c r="S395" s="381"/>
      <c r="T395" s="381"/>
      <c r="U395" s="381"/>
      <c r="V395" s="381"/>
      <c r="W395" s="381"/>
      <c r="X395" s="381"/>
      <c r="Y395" s="381"/>
      <c r="Z395" s="381"/>
    </row>
    <row r="396">
      <c r="A396" s="381"/>
      <c r="B396" s="18"/>
      <c r="C396" s="359"/>
      <c r="D396" s="359"/>
      <c r="E396" s="381"/>
      <c r="F396" s="381"/>
      <c r="G396" s="381"/>
      <c r="H396" s="381"/>
      <c r="I396" s="381"/>
      <c r="J396" s="381"/>
      <c r="K396" s="381"/>
      <c r="L396" s="381"/>
      <c r="M396" s="381"/>
      <c r="N396" s="381"/>
      <c r="O396" s="381"/>
      <c r="P396" s="381"/>
      <c r="Q396" s="381"/>
      <c r="R396" s="381"/>
      <c r="S396" s="381"/>
      <c r="T396" s="381"/>
      <c r="U396" s="381"/>
      <c r="V396" s="381"/>
      <c r="W396" s="381"/>
      <c r="X396" s="381"/>
      <c r="Y396" s="381"/>
      <c r="Z396" s="381"/>
    </row>
    <row r="397">
      <c r="A397" s="381"/>
      <c r="B397" s="18"/>
      <c r="C397" s="359"/>
      <c r="D397" s="359"/>
      <c r="E397" s="381"/>
      <c r="F397" s="381"/>
      <c r="G397" s="381"/>
      <c r="H397" s="381"/>
      <c r="I397" s="381"/>
      <c r="J397" s="381"/>
      <c r="K397" s="381"/>
      <c r="L397" s="381"/>
      <c r="M397" s="381"/>
      <c r="N397" s="381"/>
      <c r="O397" s="381"/>
      <c r="P397" s="381"/>
      <c r="Q397" s="381"/>
      <c r="R397" s="381"/>
      <c r="S397" s="381"/>
      <c r="T397" s="381"/>
      <c r="U397" s="381"/>
      <c r="V397" s="381"/>
      <c r="W397" s="381"/>
      <c r="X397" s="381"/>
      <c r="Y397" s="381"/>
      <c r="Z397" s="381"/>
    </row>
    <row r="398">
      <c r="A398" s="381"/>
      <c r="B398" s="18"/>
      <c r="C398" s="359"/>
      <c r="D398" s="359"/>
      <c r="E398" s="381"/>
      <c r="F398" s="381"/>
      <c r="G398" s="381"/>
      <c r="H398" s="381"/>
      <c r="I398" s="381"/>
      <c r="J398" s="381"/>
      <c r="K398" s="381"/>
      <c r="L398" s="381"/>
      <c r="M398" s="381"/>
      <c r="N398" s="381"/>
      <c r="O398" s="381"/>
      <c r="P398" s="381"/>
      <c r="Q398" s="381"/>
      <c r="R398" s="381"/>
      <c r="S398" s="381"/>
      <c r="T398" s="381"/>
      <c r="U398" s="381"/>
      <c r="V398" s="381"/>
      <c r="W398" s="381"/>
      <c r="X398" s="381"/>
      <c r="Y398" s="381"/>
      <c r="Z398" s="381"/>
    </row>
    <row r="399">
      <c r="A399" s="381"/>
      <c r="B399" s="18"/>
      <c r="C399" s="359"/>
      <c r="D399" s="359"/>
      <c r="E399" s="381"/>
      <c r="F399" s="381"/>
      <c r="G399" s="381"/>
      <c r="H399" s="381"/>
      <c r="I399" s="381"/>
      <c r="J399" s="381"/>
      <c r="K399" s="381"/>
      <c r="L399" s="381"/>
      <c r="M399" s="381"/>
      <c r="N399" s="381"/>
      <c r="O399" s="381"/>
      <c r="P399" s="381"/>
      <c r="Q399" s="381"/>
      <c r="R399" s="381"/>
      <c r="S399" s="381"/>
      <c r="T399" s="381"/>
      <c r="U399" s="381"/>
      <c r="V399" s="381"/>
      <c r="W399" s="381"/>
      <c r="X399" s="381"/>
      <c r="Y399" s="381"/>
      <c r="Z399" s="381"/>
    </row>
    <row r="400">
      <c r="A400" s="381"/>
      <c r="B400" s="18"/>
      <c r="C400" s="359"/>
      <c r="D400" s="359"/>
      <c r="E400" s="381"/>
      <c r="F400" s="381"/>
      <c r="G400" s="381"/>
      <c r="H400" s="381"/>
      <c r="I400" s="381"/>
      <c r="J400" s="381"/>
      <c r="K400" s="381"/>
      <c r="L400" s="381"/>
      <c r="M400" s="381"/>
      <c r="N400" s="381"/>
      <c r="O400" s="381"/>
      <c r="P400" s="381"/>
      <c r="Q400" s="381"/>
      <c r="R400" s="381"/>
      <c r="S400" s="381"/>
      <c r="T400" s="381"/>
      <c r="U400" s="381"/>
      <c r="V400" s="381"/>
      <c r="W400" s="381"/>
      <c r="X400" s="381"/>
      <c r="Y400" s="381"/>
      <c r="Z400" s="381"/>
    </row>
    <row r="401">
      <c r="A401" s="381"/>
      <c r="B401" s="18"/>
      <c r="C401" s="359"/>
      <c r="D401" s="359"/>
      <c r="E401" s="381"/>
      <c r="F401" s="381"/>
      <c r="G401" s="381"/>
      <c r="H401" s="381"/>
      <c r="I401" s="381"/>
      <c r="J401" s="381"/>
      <c r="K401" s="381"/>
      <c r="L401" s="381"/>
      <c r="M401" s="381"/>
      <c r="N401" s="381"/>
      <c r="O401" s="381"/>
      <c r="P401" s="381"/>
      <c r="Q401" s="381"/>
      <c r="R401" s="381"/>
      <c r="S401" s="381"/>
      <c r="T401" s="381"/>
      <c r="U401" s="381"/>
      <c r="V401" s="381"/>
      <c r="W401" s="381"/>
      <c r="X401" s="381"/>
      <c r="Y401" s="381"/>
      <c r="Z401" s="381"/>
    </row>
    <row r="402">
      <c r="A402" s="381"/>
      <c r="B402" s="18"/>
      <c r="C402" s="359"/>
      <c r="D402" s="359"/>
      <c r="E402" s="381"/>
      <c r="F402" s="381"/>
      <c r="G402" s="381"/>
      <c r="H402" s="381"/>
      <c r="I402" s="381"/>
      <c r="J402" s="381"/>
      <c r="K402" s="381"/>
      <c r="L402" s="381"/>
      <c r="M402" s="381"/>
      <c r="N402" s="381"/>
      <c r="O402" s="381"/>
      <c r="P402" s="381"/>
      <c r="Q402" s="381"/>
      <c r="R402" s="381"/>
      <c r="S402" s="381"/>
      <c r="T402" s="381"/>
      <c r="U402" s="381"/>
      <c r="V402" s="381"/>
      <c r="W402" s="381"/>
      <c r="X402" s="381"/>
      <c r="Y402" s="381"/>
      <c r="Z402" s="381"/>
    </row>
    <row r="403">
      <c r="A403" s="381"/>
      <c r="B403" s="18"/>
      <c r="C403" s="359"/>
      <c r="D403" s="359"/>
      <c r="E403" s="381"/>
      <c r="F403" s="381"/>
      <c r="G403" s="381"/>
      <c r="H403" s="381"/>
      <c r="I403" s="381"/>
      <c r="J403" s="381"/>
      <c r="K403" s="381"/>
      <c r="L403" s="381"/>
      <c r="M403" s="381"/>
      <c r="N403" s="381"/>
      <c r="O403" s="381"/>
      <c r="P403" s="381"/>
      <c r="Q403" s="381"/>
      <c r="R403" s="381"/>
      <c r="S403" s="381"/>
      <c r="T403" s="381"/>
      <c r="U403" s="381"/>
      <c r="V403" s="381"/>
      <c r="W403" s="381"/>
      <c r="X403" s="381"/>
      <c r="Y403" s="381"/>
      <c r="Z403" s="381"/>
    </row>
    <row r="404">
      <c r="A404" s="381"/>
      <c r="B404" s="18"/>
      <c r="C404" s="359"/>
      <c r="D404" s="359"/>
      <c r="E404" s="381"/>
      <c r="F404" s="381"/>
      <c r="G404" s="381"/>
      <c r="H404" s="381"/>
      <c r="I404" s="381"/>
      <c r="J404" s="381"/>
      <c r="K404" s="381"/>
      <c r="L404" s="381"/>
      <c r="M404" s="381"/>
      <c r="N404" s="381"/>
      <c r="O404" s="381"/>
      <c r="P404" s="381"/>
      <c r="Q404" s="381"/>
      <c r="R404" s="381"/>
      <c r="S404" s="381"/>
      <c r="T404" s="381"/>
      <c r="U404" s="381"/>
      <c r="V404" s="381"/>
      <c r="W404" s="381"/>
      <c r="X404" s="381"/>
      <c r="Y404" s="381"/>
      <c r="Z404" s="381"/>
    </row>
    <row r="405">
      <c r="A405" s="381"/>
      <c r="B405" s="18"/>
      <c r="C405" s="359"/>
      <c r="D405" s="359"/>
      <c r="E405" s="381"/>
      <c r="F405" s="381"/>
      <c r="G405" s="381"/>
      <c r="H405" s="381"/>
      <c r="I405" s="381"/>
      <c r="J405" s="381"/>
      <c r="K405" s="381"/>
      <c r="L405" s="381"/>
      <c r="M405" s="381"/>
      <c r="N405" s="381"/>
      <c r="O405" s="381"/>
      <c r="P405" s="381"/>
      <c r="Q405" s="381"/>
      <c r="R405" s="381"/>
      <c r="S405" s="381"/>
      <c r="T405" s="381"/>
      <c r="U405" s="381"/>
      <c r="V405" s="381"/>
      <c r="W405" s="381"/>
      <c r="X405" s="381"/>
      <c r="Y405" s="381"/>
      <c r="Z405" s="381"/>
    </row>
    <row r="406">
      <c r="A406" s="381"/>
      <c r="B406" s="18"/>
      <c r="C406" s="359"/>
      <c r="D406" s="359"/>
      <c r="E406" s="381"/>
      <c r="F406" s="381"/>
      <c r="G406" s="381"/>
      <c r="H406" s="381"/>
      <c r="I406" s="381"/>
      <c r="J406" s="381"/>
      <c r="K406" s="381"/>
      <c r="L406" s="381"/>
      <c r="M406" s="381"/>
      <c r="N406" s="381"/>
      <c r="O406" s="381"/>
      <c r="P406" s="381"/>
      <c r="Q406" s="381"/>
      <c r="R406" s="381"/>
      <c r="S406" s="381"/>
      <c r="T406" s="381"/>
      <c r="U406" s="381"/>
      <c r="V406" s="381"/>
      <c r="W406" s="381"/>
      <c r="X406" s="381"/>
      <c r="Y406" s="381"/>
      <c r="Z406" s="381"/>
    </row>
    <row r="407">
      <c r="A407" s="381"/>
      <c r="B407" s="18"/>
      <c r="C407" s="359"/>
      <c r="D407" s="359"/>
      <c r="E407" s="381"/>
      <c r="F407" s="381"/>
      <c r="G407" s="381"/>
      <c r="H407" s="381"/>
      <c r="I407" s="381"/>
      <c r="J407" s="381"/>
      <c r="K407" s="381"/>
      <c r="L407" s="381"/>
      <c r="M407" s="381"/>
      <c r="N407" s="381"/>
      <c r="O407" s="381"/>
      <c r="P407" s="381"/>
      <c r="Q407" s="381"/>
      <c r="R407" s="381"/>
      <c r="S407" s="381"/>
      <c r="T407" s="381"/>
      <c r="U407" s="381"/>
      <c r="V407" s="381"/>
      <c r="W407" s="381"/>
      <c r="X407" s="381"/>
      <c r="Y407" s="381"/>
      <c r="Z407" s="381"/>
    </row>
    <row r="408">
      <c r="A408" s="381"/>
      <c r="B408" s="18"/>
      <c r="C408" s="359"/>
      <c r="D408" s="359"/>
      <c r="E408" s="381"/>
      <c r="F408" s="381"/>
      <c r="G408" s="381"/>
      <c r="H408" s="381"/>
      <c r="I408" s="381"/>
      <c r="J408" s="381"/>
      <c r="K408" s="381"/>
      <c r="L408" s="381"/>
      <c r="M408" s="381"/>
      <c r="N408" s="381"/>
      <c r="O408" s="381"/>
      <c r="P408" s="381"/>
      <c r="Q408" s="381"/>
      <c r="R408" s="381"/>
      <c r="S408" s="381"/>
      <c r="T408" s="381"/>
      <c r="U408" s="381"/>
      <c r="V408" s="381"/>
      <c r="W408" s="381"/>
      <c r="X408" s="381"/>
      <c r="Y408" s="381"/>
      <c r="Z408" s="381"/>
    </row>
    <row r="409">
      <c r="A409" s="381"/>
      <c r="B409" s="18"/>
      <c r="C409" s="359"/>
      <c r="D409" s="359"/>
      <c r="E409" s="381"/>
      <c r="F409" s="381"/>
      <c r="G409" s="381"/>
      <c r="H409" s="381"/>
      <c r="I409" s="381"/>
      <c r="J409" s="381"/>
      <c r="K409" s="381"/>
      <c r="L409" s="381"/>
      <c r="M409" s="381"/>
      <c r="N409" s="381"/>
      <c r="O409" s="381"/>
      <c r="P409" s="381"/>
      <c r="Q409" s="381"/>
      <c r="R409" s="381"/>
      <c r="S409" s="381"/>
      <c r="T409" s="381"/>
      <c r="U409" s="381"/>
      <c r="V409" s="381"/>
      <c r="W409" s="381"/>
      <c r="X409" s="381"/>
      <c r="Y409" s="381"/>
      <c r="Z409" s="381"/>
    </row>
    <row r="410">
      <c r="A410" s="381"/>
      <c r="B410" s="18"/>
      <c r="C410" s="359"/>
      <c r="D410" s="359"/>
      <c r="E410" s="381"/>
      <c r="F410" s="381"/>
      <c r="G410" s="381"/>
      <c r="H410" s="381"/>
      <c r="I410" s="381"/>
      <c r="J410" s="381"/>
      <c r="K410" s="381"/>
      <c r="L410" s="381"/>
      <c r="M410" s="381"/>
      <c r="N410" s="381"/>
      <c r="O410" s="381"/>
      <c r="P410" s="381"/>
      <c r="Q410" s="381"/>
      <c r="R410" s="381"/>
      <c r="S410" s="381"/>
      <c r="T410" s="381"/>
      <c r="U410" s="381"/>
      <c r="V410" s="381"/>
      <c r="W410" s="381"/>
      <c r="X410" s="381"/>
      <c r="Y410" s="381"/>
      <c r="Z410" s="381"/>
    </row>
    <row r="411">
      <c r="A411" s="381"/>
      <c r="B411" s="18"/>
      <c r="C411" s="359"/>
      <c r="D411" s="359"/>
      <c r="E411" s="381"/>
      <c r="F411" s="381"/>
      <c r="G411" s="381"/>
      <c r="H411" s="381"/>
      <c r="I411" s="381"/>
      <c r="J411" s="381"/>
      <c r="K411" s="381"/>
      <c r="L411" s="381"/>
      <c r="M411" s="381"/>
      <c r="N411" s="381"/>
      <c r="O411" s="381"/>
      <c r="P411" s="381"/>
      <c r="Q411" s="381"/>
      <c r="R411" s="381"/>
      <c r="S411" s="381"/>
      <c r="T411" s="381"/>
      <c r="U411" s="381"/>
      <c r="V411" s="381"/>
      <c r="W411" s="381"/>
      <c r="X411" s="381"/>
      <c r="Y411" s="381"/>
      <c r="Z411" s="381"/>
    </row>
    <row r="412">
      <c r="A412" s="381"/>
      <c r="B412" s="18"/>
      <c r="C412" s="359"/>
      <c r="D412" s="359"/>
      <c r="E412" s="381"/>
      <c r="F412" s="381"/>
      <c r="G412" s="381"/>
      <c r="H412" s="381"/>
      <c r="I412" s="381"/>
      <c r="J412" s="381"/>
      <c r="K412" s="381"/>
      <c r="L412" s="381"/>
      <c r="M412" s="381"/>
      <c r="N412" s="381"/>
      <c r="O412" s="381"/>
      <c r="P412" s="381"/>
      <c r="Q412" s="381"/>
      <c r="R412" s="381"/>
      <c r="S412" s="381"/>
      <c r="T412" s="381"/>
      <c r="U412" s="381"/>
      <c r="V412" s="381"/>
      <c r="W412" s="381"/>
      <c r="X412" s="381"/>
      <c r="Y412" s="381"/>
      <c r="Z412" s="381"/>
    </row>
    <row r="413">
      <c r="A413" s="381"/>
      <c r="B413" s="18"/>
      <c r="C413" s="359"/>
      <c r="D413" s="359"/>
      <c r="E413" s="381"/>
      <c r="F413" s="381"/>
      <c r="G413" s="381"/>
      <c r="H413" s="381"/>
      <c r="I413" s="381"/>
      <c r="J413" s="381"/>
      <c r="K413" s="381"/>
      <c r="L413" s="381"/>
      <c r="M413" s="381"/>
      <c r="N413" s="381"/>
      <c r="O413" s="381"/>
      <c r="P413" s="381"/>
      <c r="Q413" s="381"/>
      <c r="R413" s="381"/>
      <c r="S413" s="381"/>
      <c r="T413" s="381"/>
      <c r="U413" s="381"/>
      <c r="V413" s="381"/>
      <c r="W413" s="381"/>
      <c r="X413" s="381"/>
      <c r="Y413" s="381"/>
      <c r="Z413" s="381"/>
    </row>
    <row r="414">
      <c r="A414" s="381"/>
      <c r="B414" s="18"/>
      <c r="C414" s="359"/>
      <c r="D414" s="359"/>
      <c r="E414" s="381"/>
      <c r="F414" s="381"/>
      <c r="G414" s="381"/>
      <c r="H414" s="381"/>
      <c r="I414" s="381"/>
      <c r="J414" s="381"/>
      <c r="K414" s="381"/>
      <c r="L414" s="381"/>
      <c r="M414" s="381"/>
      <c r="N414" s="381"/>
      <c r="O414" s="381"/>
      <c r="P414" s="381"/>
      <c r="Q414" s="381"/>
      <c r="R414" s="381"/>
      <c r="S414" s="381"/>
      <c r="T414" s="381"/>
      <c r="U414" s="381"/>
      <c r="V414" s="381"/>
      <c r="W414" s="381"/>
      <c r="X414" s="381"/>
      <c r="Y414" s="381"/>
      <c r="Z414" s="381"/>
    </row>
    <row r="415">
      <c r="A415" s="381"/>
      <c r="B415" s="18"/>
      <c r="C415" s="359"/>
      <c r="D415" s="359"/>
      <c r="E415" s="381"/>
      <c r="F415" s="381"/>
      <c r="G415" s="381"/>
      <c r="H415" s="381"/>
      <c r="I415" s="381"/>
      <c r="J415" s="381"/>
      <c r="K415" s="381"/>
      <c r="L415" s="381"/>
      <c r="M415" s="381"/>
      <c r="N415" s="381"/>
      <c r="O415" s="381"/>
      <c r="P415" s="381"/>
      <c r="Q415" s="381"/>
      <c r="R415" s="381"/>
      <c r="S415" s="381"/>
      <c r="T415" s="381"/>
      <c r="U415" s="381"/>
      <c r="V415" s="381"/>
      <c r="W415" s="381"/>
      <c r="X415" s="381"/>
      <c r="Y415" s="381"/>
      <c r="Z415" s="381"/>
    </row>
    <row r="416">
      <c r="A416" s="381"/>
      <c r="B416" s="18"/>
      <c r="C416" s="359"/>
      <c r="D416" s="359"/>
      <c r="E416" s="381"/>
      <c r="F416" s="381"/>
      <c r="G416" s="381"/>
      <c r="H416" s="381"/>
      <c r="I416" s="381"/>
      <c r="J416" s="381"/>
      <c r="K416" s="381"/>
      <c r="L416" s="381"/>
      <c r="M416" s="381"/>
      <c r="N416" s="381"/>
      <c r="O416" s="381"/>
      <c r="P416" s="381"/>
      <c r="Q416" s="381"/>
      <c r="R416" s="381"/>
      <c r="S416" s="381"/>
      <c r="T416" s="381"/>
      <c r="U416" s="381"/>
      <c r="V416" s="381"/>
      <c r="W416" s="381"/>
      <c r="X416" s="381"/>
      <c r="Y416" s="381"/>
      <c r="Z416" s="381"/>
    </row>
    <row r="417">
      <c r="A417" s="381"/>
      <c r="B417" s="18"/>
      <c r="C417" s="359"/>
      <c r="D417" s="359"/>
      <c r="E417" s="381"/>
      <c r="F417" s="381"/>
      <c r="G417" s="381"/>
      <c r="H417" s="381"/>
      <c r="I417" s="381"/>
      <c r="J417" s="381"/>
      <c r="K417" s="381"/>
      <c r="L417" s="381"/>
      <c r="M417" s="381"/>
      <c r="N417" s="381"/>
      <c r="O417" s="381"/>
      <c r="P417" s="381"/>
      <c r="Q417" s="381"/>
      <c r="R417" s="381"/>
      <c r="S417" s="381"/>
      <c r="T417" s="381"/>
      <c r="U417" s="381"/>
      <c r="V417" s="381"/>
      <c r="W417" s="381"/>
      <c r="X417" s="381"/>
      <c r="Y417" s="381"/>
      <c r="Z417" s="381"/>
    </row>
    <row r="418">
      <c r="A418" s="381"/>
      <c r="B418" s="18"/>
      <c r="C418" s="359"/>
      <c r="D418" s="359"/>
      <c r="E418" s="381"/>
      <c r="F418" s="381"/>
      <c r="G418" s="381"/>
      <c r="H418" s="381"/>
      <c r="I418" s="381"/>
      <c r="J418" s="381"/>
      <c r="K418" s="381"/>
      <c r="L418" s="381"/>
      <c r="M418" s="381"/>
      <c r="N418" s="381"/>
      <c r="O418" s="381"/>
      <c r="P418" s="381"/>
      <c r="Q418" s="381"/>
      <c r="R418" s="381"/>
      <c r="S418" s="381"/>
      <c r="T418" s="381"/>
      <c r="U418" s="381"/>
      <c r="V418" s="381"/>
      <c r="W418" s="381"/>
      <c r="X418" s="381"/>
      <c r="Y418" s="381"/>
      <c r="Z418" s="381"/>
    </row>
    <row r="419">
      <c r="A419" s="381"/>
      <c r="B419" s="18"/>
      <c r="C419" s="359"/>
      <c r="D419" s="359"/>
      <c r="E419" s="381"/>
      <c r="F419" s="381"/>
      <c r="G419" s="381"/>
      <c r="H419" s="381"/>
      <c r="I419" s="381"/>
      <c r="J419" s="381"/>
      <c r="K419" s="381"/>
      <c r="L419" s="381"/>
      <c r="M419" s="381"/>
      <c r="N419" s="381"/>
      <c r="O419" s="381"/>
      <c r="P419" s="381"/>
      <c r="Q419" s="381"/>
      <c r="R419" s="381"/>
      <c r="S419" s="381"/>
      <c r="T419" s="381"/>
      <c r="U419" s="381"/>
      <c r="V419" s="381"/>
      <c r="W419" s="381"/>
      <c r="X419" s="381"/>
      <c r="Y419" s="381"/>
      <c r="Z419" s="381"/>
    </row>
    <row r="420">
      <c r="A420" s="381"/>
      <c r="B420" s="18"/>
      <c r="C420" s="359"/>
      <c r="D420" s="359"/>
      <c r="E420" s="381"/>
      <c r="F420" s="381"/>
      <c r="G420" s="381"/>
      <c r="H420" s="381"/>
      <c r="I420" s="381"/>
      <c r="J420" s="381"/>
      <c r="K420" s="381"/>
      <c r="L420" s="381"/>
      <c r="M420" s="381"/>
      <c r="N420" s="381"/>
      <c r="O420" s="381"/>
      <c r="P420" s="381"/>
      <c r="Q420" s="381"/>
      <c r="R420" s="381"/>
      <c r="S420" s="381"/>
      <c r="T420" s="381"/>
      <c r="U420" s="381"/>
      <c r="V420" s="381"/>
      <c r="W420" s="381"/>
      <c r="X420" s="381"/>
      <c r="Y420" s="381"/>
      <c r="Z420" s="381"/>
    </row>
    <row r="421">
      <c r="A421" s="381"/>
      <c r="B421" s="18"/>
      <c r="C421" s="359"/>
      <c r="D421" s="359"/>
      <c r="E421" s="381"/>
      <c r="F421" s="381"/>
      <c r="G421" s="381"/>
      <c r="H421" s="381"/>
      <c r="I421" s="381"/>
      <c r="J421" s="381"/>
      <c r="K421" s="381"/>
      <c r="L421" s="381"/>
      <c r="M421" s="381"/>
      <c r="N421" s="381"/>
      <c r="O421" s="381"/>
      <c r="P421" s="381"/>
      <c r="Q421" s="381"/>
      <c r="R421" s="381"/>
      <c r="S421" s="381"/>
      <c r="T421" s="381"/>
      <c r="U421" s="381"/>
      <c r="V421" s="381"/>
      <c r="W421" s="381"/>
      <c r="X421" s="381"/>
      <c r="Y421" s="381"/>
      <c r="Z421" s="381"/>
    </row>
    <row r="422">
      <c r="A422" s="381"/>
      <c r="B422" s="18"/>
      <c r="C422" s="359"/>
      <c r="D422" s="359"/>
      <c r="E422" s="381"/>
      <c r="F422" s="381"/>
      <c r="G422" s="381"/>
      <c r="H422" s="381"/>
      <c r="I422" s="381"/>
      <c r="J422" s="381"/>
      <c r="K422" s="381"/>
      <c r="L422" s="381"/>
      <c r="M422" s="381"/>
      <c r="N422" s="381"/>
      <c r="O422" s="381"/>
      <c r="P422" s="381"/>
      <c r="Q422" s="381"/>
      <c r="R422" s="381"/>
      <c r="S422" s="381"/>
      <c r="T422" s="381"/>
      <c r="U422" s="381"/>
      <c r="V422" s="381"/>
      <c r="W422" s="381"/>
      <c r="X422" s="381"/>
      <c r="Y422" s="381"/>
      <c r="Z422" s="381"/>
    </row>
    <row r="423">
      <c r="A423" s="381"/>
      <c r="B423" s="18"/>
      <c r="C423" s="359"/>
      <c r="D423" s="359"/>
      <c r="E423" s="381"/>
      <c r="F423" s="381"/>
      <c r="G423" s="381"/>
      <c r="H423" s="381"/>
      <c r="I423" s="381"/>
      <c r="J423" s="381"/>
      <c r="K423" s="381"/>
      <c r="L423" s="381"/>
      <c r="M423" s="381"/>
      <c r="N423" s="381"/>
      <c r="O423" s="381"/>
      <c r="P423" s="381"/>
      <c r="Q423" s="381"/>
      <c r="R423" s="381"/>
      <c r="S423" s="381"/>
      <c r="T423" s="381"/>
      <c r="U423" s="381"/>
      <c r="V423" s="381"/>
      <c r="W423" s="381"/>
      <c r="X423" s="381"/>
      <c r="Y423" s="381"/>
      <c r="Z423" s="381"/>
    </row>
    <row r="424">
      <c r="A424" s="381"/>
      <c r="B424" s="18"/>
      <c r="C424" s="359"/>
      <c r="D424" s="359"/>
      <c r="E424" s="381"/>
      <c r="F424" s="381"/>
      <c r="G424" s="381"/>
      <c r="H424" s="381"/>
      <c r="I424" s="381"/>
      <c r="J424" s="381"/>
      <c r="K424" s="381"/>
      <c r="L424" s="381"/>
      <c r="M424" s="381"/>
      <c r="N424" s="381"/>
      <c r="O424" s="381"/>
      <c r="P424" s="381"/>
      <c r="Q424" s="381"/>
      <c r="R424" s="381"/>
      <c r="S424" s="381"/>
      <c r="T424" s="381"/>
      <c r="U424" s="381"/>
      <c r="V424" s="381"/>
      <c r="W424" s="381"/>
      <c r="X424" s="381"/>
      <c r="Y424" s="381"/>
      <c r="Z424" s="381"/>
    </row>
    <row r="425">
      <c r="A425" s="381"/>
      <c r="B425" s="18"/>
      <c r="C425" s="359"/>
      <c r="D425" s="359"/>
      <c r="E425" s="381"/>
      <c r="F425" s="381"/>
      <c r="G425" s="381"/>
      <c r="H425" s="381"/>
      <c r="I425" s="381"/>
      <c r="J425" s="381"/>
      <c r="K425" s="381"/>
      <c r="L425" s="381"/>
      <c r="M425" s="381"/>
      <c r="N425" s="381"/>
      <c r="O425" s="381"/>
      <c r="P425" s="381"/>
      <c r="Q425" s="381"/>
      <c r="R425" s="381"/>
      <c r="S425" s="381"/>
      <c r="T425" s="381"/>
      <c r="U425" s="381"/>
      <c r="V425" s="381"/>
      <c r="W425" s="381"/>
      <c r="X425" s="381"/>
      <c r="Y425" s="381"/>
      <c r="Z425" s="381"/>
    </row>
    <row r="426">
      <c r="A426" s="381"/>
      <c r="B426" s="18"/>
      <c r="C426" s="359"/>
      <c r="D426" s="359"/>
      <c r="E426" s="381"/>
      <c r="F426" s="381"/>
      <c r="G426" s="381"/>
      <c r="H426" s="381"/>
      <c r="I426" s="381"/>
      <c r="J426" s="381"/>
      <c r="K426" s="381"/>
      <c r="L426" s="381"/>
      <c r="M426" s="381"/>
      <c r="N426" s="381"/>
      <c r="O426" s="381"/>
      <c r="P426" s="381"/>
      <c r="Q426" s="381"/>
      <c r="R426" s="381"/>
      <c r="S426" s="381"/>
      <c r="T426" s="381"/>
      <c r="U426" s="381"/>
      <c r="V426" s="381"/>
      <c r="W426" s="381"/>
      <c r="X426" s="381"/>
      <c r="Y426" s="381"/>
      <c r="Z426" s="381"/>
    </row>
    <row r="427">
      <c r="A427" s="381"/>
      <c r="B427" s="18"/>
      <c r="C427" s="359"/>
      <c r="D427" s="359"/>
      <c r="E427" s="381"/>
      <c r="F427" s="381"/>
      <c r="G427" s="381"/>
      <c r="H427" s="381"/>
      <c r="I427" s="381"/>
      <c r="J427" s="381"/>
      <c r="K427" s="381"/>
      <c r="L427" s="381"/>
      <c r="M427" s="381"/>
      <c r="N427" s="381"/>
      <c r="O427" s="381"/>
      <c r="P427" s="381"/>
      <c r="Q427" s="381"/>
      <c r="R427" s="381"/>
      <c r="S427" s="381"/>
      <c r="T427" s="381"/>
      <c r="U427" s="381"/>
      <c r="V427" s="381"/>
      <c r="W427" s="381"/>
      <c r="X427" s="381"/>
      <c r="Y427" s="381"/>
      <c r="Z427" s="381"/>
    </row>
    <row r="428">
      <c r="A428" s="381"/>
      <c r="B428" s="18"/>
      <c r="C428" s="359"/>
      <c r="D428" s="359"/>
      <c r="E428" s="381"/>
      <c r="F428" s="381"/>
      <c r="G428" s="381"/>
      <c r="H428" s="381"/>
      <c r="I428" s="381"/>
      <c r="J428" s="381"/>
      <c r="K428" s="381"/>
      <c r="L428" s="381"/>
      <c r="M428" s="381"/>
      <c r="N428" s="381"/>
      <c r="O428" s="381"/>
      <c r="P428" s="381"/>
      <c r="Q428" s="381"/>
      <c r="R428" s="381"/>
      <c r="S428" s="381"/>
      <c r="T428" s="381"/>
      <c r="U428" s="381"/>
      <c r="V428" s="381"/>
      <c r="W428" s="381"/>
      <c r="X428" s="381"/>
      <c r="Y428" s="381"/>
      <c r="Z428" s="381"/>
    </row>
    <row r="429">
      <c r="A429" s="381"/>
      <c r="B429" s="18"/>
      <c r="C429" s="359"/>
      <c r="D429" s="359"/>
      <c r="E429" s="381"/>
      <c r="F429" s="381"/>
      <c r="G429" s="381"/>
      <c r="H429" s="381"/>
      <c r="I429" s="381"/>
      <c r="J429" s="381"/>
      <c r="K429" s="381"/>
      <c r="L429" s="381"/>
      <c r="M429" s="381"/>
      <c r="N429" s="381"/>
      <c r="O429" s="381"/>
      <c r="P429" s="381"/>
      <c r="Q429" s="381"/>
      <c r="R429" s="381"/>
      <c r="S429" s="381"/>
      <c r="T429" s="381"/>
      <c r="U429" s="381"/>
      <c r="V429" s="381"/>
      <c r="W429" s="381"/>
      <c r="X429" s="381"/>
      <c r="Y429" s="381"/>
      <c r="Z429" s="381"/>
    </row>
    <row r="430">
      <c r="A430" s="381"/>
      <c r="B430" s="18"/>
      <c r="C430" s="359"/>
      <c r="D430" s="359"/>
      <c r="E430" s="381"/>
      <c r="F430" s="381"/>
      <c r="G430" s="381"/>
      <c r="H430" s="381"/>
      <c r="I430" s="381"/>
      <c r="J430" s="381"/>
      <c r="K430" s="381"/>
      <c r="L430" s="381"/>
      <c r="M430" s="381"/>
      <c r="N430" s="381"/>
      <c r="O430" s="381"/>
      <c r="P430" s="381"/>
      <c r="Q430" s="381"/>
      <c r="R430" s="381"/>
      <c r="S430" s="381"/>
      <c r="T430" s="381"/>
      <c r="U430" s="381"/>
      <c r="V430" s="381"/>
      <c r="W430" s="381"/>
      <c r="X430" s="381"/>
      <c r="Y430" s="381"/>
      <c r="Z430" s="381"/>
    </row>
    <row r="431">
      <c r="A431" s="381"/>
      <c r="B431" s="18"/>
      <c r="C431" s="359"/>
      <c r="D431" s="359"/>
      <c r="E431" s="381"/>
      <c r="F431" s="381"/>
      <c r="G431" s="381"/>
      <c r="H431" s="381"/>
      <c r="I431" s="381"/>
      <c r="J431" s="381"/>
      <c r="K431" s="381"/>
      <c r="L431" s="381"/>
      <c r="M431" s="381"/>
      <c r="N431" s="381"/>
      <c r="O431" s="381"/>
      <c r="P431" s="381"/>
      <c r="Q431" s="381"/>
      <c r="R431" s="381"/>
      <c r="S431" s="381"/>
      <c r="T431" s="381"/>
      <c r="U431" s="381"/>
      <c r="V431" s="381"/>
      <c r="W431" s="381"/>
      <c r="X431" s="381"/>
      <c r="Y431" s="381"/>
      <c r="Z431" s="381"/>
    </row>
    <row r="432">
      <c r="A432" s="381"/>
      <c r="B432" s="18"/>
      <c r="C432" s="359"/>
      <c r="D432" s="359"/>
      <c r="E432" s="381"/>
      <c r="F432" s="381"/>
      <c r="G432" s="381"/>
      <c r="H432" s="381"/>
      <c r="I432" s="381"/>
      <c r="J432" s="381"/>
      <c r="K432" s="381"/>
      <c r="L432" s="381"/>
      <c r="M432" s="381"/>
      <c r="N432" s="381"/>
      <c r="O432" s="381"/>
      <c r="P432" s="381"/>
      <c r="Q432" s="381"/>
      <c r="R432" s="381"/>
      <c r="S432" s="381"/>
      <c r="T432" s="381"/>
      <c r="U432" s="381"/>
      <c r="V432" s="381"/>
      <c r="W432" s="381"/>
      <c r="X432" s="381"/>
      <c r="Y432" s="381"/>
      <c r="Z432" s="381"/>
    </row>
    <row r="433">
      <c r="A433" s="381"/>
      <c r="B433" s="18"/>
      <c r="C433" s="359"/>
      <c r="D433" s="359"/>
      <c r="E433" s="381"/>
      <c r="F433" s="381"/>
      <c r="G433" s="381"/>
      <c r="H433" s="381"/>
      <c r="I433" s="381"/>
      <c r="J433" s="381"/>
      <c r="K433" s="381"/>
      <c r="L433" s="381"/>
      <c r="M433" s="381"/>
      <c r="N433" s="381"/>
      <c r="O433" s="381"/>
      <c r="P433" s="381"/>
      <c r="Q433" s="381"/>
      <c r="R433" s="381"/>
      <c r="S433" s="381"/>
      <c r="T433" s="381"/>
      <c r="U433" s="381"/>
      <c r="V433" s="381"/>
      <c r="W433" s="381"/>
      <c r="X433" s="381"/>
      <c r="Y433" s="381"/>
      <c r="Z433" s="381"/>
    </row>
    <row r="434">
      <c r="A434" s="381"/>
      <c r="B434" s="18"/>
      <c r="C434" s="359"/>
      <c r="D434" s="359"/>
      <c r="E434" s="381"/>
      <c r="F434" s="381"/>
      <c r="G434" s="381"/>
      <c r="H434" s="381"/>
      <c r="I434" s="381"/>
      <c r="J434" s="381"/>
      <c r="K434" s="381"/>
      <c r="L434" s="381"/>
      <c r="M434" s="381"/>
      <c r="N434" s="381"/>
      <c r="O434" s="381"/>
      <c r="P434" s="381"/>
      <c r="Q434" s="381"/>
      <c r="R434" s="381"/>
      <c r="S434" s="381"/>
      <c r="T434" s="381"/>
      <c r="U434" s="381"/>
      <c r="V434" s="381"/>
      <c r="W434" s="381"/>
      <c r="X434" s="381"/>
      <c r="Y434" s="381"/>
      <c r="Z434" s="381"/>
    </row>
    <row r="435">
      <c r="A435" s="381"/>
      <c r="B435" s="18"/>
      <c r="C435" s="359"/>
      <c r="D435" s="359"/>
      <c r="E435" s="381"/>
      <c r="F435" s="381"/>
      <c r="G435" s="381"/>
      <c r="H435" s="381"/>
      <c r="I435" s="381"/>
      <c r="J435" s="381"/>
      <c r="K435" s="381"/>
      <c r="L435" s="381"/>
      <c r="M435" s="381"/>
      <c r="N435" s="381"/>
      <c r="O435" s="381"/>
      <c r="P435" s="381"/>
      <c r="Q435" s="381"/>
      <c r="R435" s="381"/>
      <c r="S435" s="381"/>
      <c r="T435" s="381"/>
      <c r="U435" s="381"/>
      <c r="V435" s="381"/>
      <c r="W435" s="381"/>
      <c r="X435" s="381"/>
      <c r="Y435" s="381"/>
      <c r="Z435" s="381"/>
    </row>
    <row r="436">
      <c r="A436" s="381"/>
      <c r="B436" s="18"/>
      <c r="C436" s="359"/>
      <c r="D436" s="359"/>
      <c r="E436" s="381"/>
      <c r="F436" s="381"/>
      <c r="G436" s="381"/>
      <c r="H436" s="381"/>
      <c r="I436" s="381"/>
      <c r="J436" s="381"/>
      <c r="K436" s="381"/>
      <c r="L436" s="381"/>
      <c r="M436" s="381"/>
      <c r="N436" s="381"/>
      <c r="O436" s="381"/>
      <c r="P436" s="381"/>
      <c r="Q436" s="381"/>
      <c r="R436" s="381"/>
      <c r="S436" s="381"/>
      <c r="T436" s="381"/>
      <c r="U436" s="381"/>
      <c r="V436" s="381"/>
      <c r="W436" s="381"/>
      <c r="X436" s="381"/>
      <c r="Y436" s="381"/>
      <c r="Z436" s="381"/>
    </row>
    <row r="437">
      <c r="A437" s="381"/>
      <c r="B437" s="18"/>
      <c r="C437" s="359"/>
      <c r="D437" s="359"/>
      <c r="E437" s="381"/>
      <c r="F437" s="381"/>
      <c r="G437" s="381"/>
      <c r="H437" s="381"/>
      <c r="I437" s="381"/>
      <c r="J437" s="381"/>
      <c r="K437" s="381"/>
      <c r="L437" s="381"/>
      <c r="M437" s="381"/>
      <c r="N437" s="381"/>
      <c r="O437" s="381"/>
      <c r="P437" s="381"/>
      <c r="Q437" s="381"/>
      <c r="R437" s="381"/>
      <c r="S437" s="381"/>
      <c r="T437" s="381"/>
      <c r="U437" s="381"/>
      <c r="V437" s="381"/>
      <c r="W437" s="381"/>
      <c r="X437" s="381"/>
      <c r="Y437" s="381"/>
      <c r="Z437" s="381"/>
    </row>
    <row r="438">
      <c r="A438" s="381"/>
      <c r="B438" s="18"/>
      <c r="C438" s="359"/>
      <c r="D438" s="359"/>
      <c r="E438" s="381"/>
      <c r="F438" s="381"/>
      <c r="G438" s="381"/>
      <c r="H438" s="381"/>
      <c r="I438" s="381"/>
      <c r="J438" s="381"/>
      <c r="K438" s="381"/>
      <c r="L438" s="381"/>
      <c r="M438" s="381"/>
      <c r="N438" s="381"/>
      <c r="O438" s="381"/>
      <c r="P438" s="381"/>
      <c r="Q438" s="381"/>
      <c r="R438" s="381"/>
      <c r="S438" s="381"/>
      <c r="T438" s="381"/>
      <c r="U438" s="381"/>
      <c r="V438" s="381"/>
      <c r="W438" s="381"/>
      <c r="X438" s="381"/>
      <c r="Y438" s="381"/>
      <c r="Z438" s="381"/>
    </row>
    <row r="439">
      <c r="A439" s="381"/>
      <c r="B439" s="18"/>
      <c r="C439" s="359"/>
      <c r="D439" s="359"/>
      <c r="E439" s="381"/>
      <c r="F439" s="381"/>
      <c r="G439" s="381"/>
      <c r="H439" s="381"/>
      <c r="I439" s="381"/>
      <c r="J439" s="381"/>
      <c r="K439" s="381"/>
      <c r="L439" s="381"/>
      <c r="M439" s="381"/>
      <c r="N439" s="381"/>
      <c r="O439" s="381"/>
      <c r="P439" s="381"/>
      <c r="Q439" s="381"/>
      <c r="R439" s="381"/>
      <c r="S439" s="381"/>
      <c r="T439" s="381"/>
      <c r="U439" s="381"/>
      <c r="V439" s="381"/>
      <c r="W439" s="381"/>
      <c r="X439" s="381"/>
      <c r="Y439" s="381"/>
      <c r="Z439" s="381"/>
    </row>
    <row r="440">
      <c r="A440" s="381"/>
      <c r="B440" s="18"/>
      <c r="C440" s="359"/>
      <c r="D440" s="359"/>
      <c r="E440" s="381"/>
      <c r="F440" s="381"/>
      <c r="G440" s="381"/>
      <c r="H440" s="381"/>
      <c r="I440" s="381"/>
      <c r="J440" s="381"/>
      <c r="K440" s="381"/>
      <c r="L440" s="381"/>
      <c r="M440" s="381"/>
      <c r="N440" s="381"/>
      <c r="O440" s="381"/>
      <c r="P440" s="381"/>
      <c r="Q440" s="381"/>
      <c r="R440" s="381"/>
      <c r="S440" s="381"/>
      <c r="T440" s="381"/>
      <c r="U440" s="381"/>
      <c r="V440" s="381"/>
      <c r="W440" s="381"/>
      <c r="X440" s="381"/>
      <c r="Y440" s="381"/>
      <c r="Z440" s="381"/>
    </row>
    <row r="441">
      <c r="A441" s="381"/>
      <c r="B441" s="18"/>
      <c r="C441" s="359"/>
      <c r="D441" s="359"/>
      <c r="E441" s="381"/>
      <c r="F441" s="381"/>
      <c r="G441" s="381"/>
      <c r="H441" s="381"/>
      <c r="I441" s="381"/>
      <c r="J441" s="381"/>
      <c r="K441" s="381"/>
      <c r="L441" s="381"/>
      <c r="M441" s="381"/>
      <c r="N441" s="381"/>
      <c r="O441" s="381"/>
      <c r="P441" s="381"/>
      <c r="Q441" s="381"/>
      <c r="R441" s="381"/>
      <c r="S441" s="381"/>
      <c r="T441" s="381"/>
      <c r="U441" s="381"/>
      <c r="V441" s="381"/>
      <c r="W441" s="381"/>
      <c r="X441" s="381"/>
      <c r="Y441" s="381"/>
      <c r="Z441" s="381"/>
    </row>
    <row r="442">
      <c r="A442" s="381"/>
      <c r="B442" s="18"/>
      <c r="C442" s="359"/>
      <c r="D442" s="359"/>
      <c r="E442" s="381"/>
      <c r="F442" s="381"/>
      <c r="G442" s="381"/>
      <c r="H442" s="381"/>
      <c r="I442" s="381"/>
      <c r="J442" s="381"/>
      <c r="K442" s="381"/>
      <c r="L442" s="381"/>
      <c r="M442" s="381"/>
      <c r="N442" s="381"/>
      <c r="O442" s="381"/>
      <c r="P442" s="381"/>
      <c r="Q442" s="381"/>
      <c r="R442" s="381"/>
      <c r="S442" s="381"/>
      <c r="T442" s="381"/>
      <c r="U442" s="381"/>
      <c r="V442" s="381"/>
      <c r="W442" s="381"/>
      <c r="X442" s="381"/>
      <c r="Y442" s="381"/>
      <c r="Z442" s="381"/>
    </row>
    <row r="443">
      <c r="A443" s="381"/>
      <c r="B443" s="18"/>
      <c r="C443" s="359"/>
      <c r="D443" s="359"/>
      <c r="E443" s="381"/>
      <c r="F443" s="381"/>
      <c r="G443" s="381"/>
      <c r="H443" s="381"/>
      <c r="I443" s="381"/>
      <c r="J443" s="381"/>
      <c r="K443" s="381"/>
      <c r="L443" s="381"/>
      <c r="M443" s="381"/>
      <c r="N443" s="381"/>
      <c r="O443" s="381"/>
      <c r="P443" s="381"/>
      <c r="Q443" s="381"/>
      <c r="R443" s="381"/>
      <c r="S443" s="381"/>
      <c r="T443" s="381"/>
      <c r="U443" s="381"/>
      <c r="V443" s="381"/>
      <c r="W443" s="381"/>
      <c r="X443" s="381"/>
      <c r="Y443" s="381"/>
      <c r="Z443" s="381"/>
    </row>
    <row r="444">
      <c r="A444" s="381"/>
      <c r="B444" s="18"/>
      <c r="C444" s="359"/>
      <c r="D444" s="359"/>
      <c r="E444" s="381"/>
      <c r="F444" s="381"/>
      <c r="G444" s="381"/>
      <c r="H444" s="381"/>
      <c r="I444" s="381"/>
      <c r="J444" s="381"/>
      <c r="K444" s="381"/>
      <c r="L444" s="381"/>
      <c r="M444" s="381"/>
      <c r="N444" s="381"/>
      <c r="O444" s="381"/>
      <c r="P444" s="381"/>
      <c r="Q444" s="381"/>
      <c r="R444" s="381"/>
      <c r="S444" s="381"/>
      <c r="T444" s="381"/>
      <c r="U444" s="381"/>
      <c r="V444" s="381"/>
      <c r="W444" s="381"/>
      <c r="X444" s="381"/>
      <c r="Y444" s="381"/>
      <c r="Z444" s="381"/>
    </row>
    <row r="445">
      <c r="A445" s="381"/>
      <c r="B445" s="18"/>
      <c r="C445" s="359"/>
      <c r="D445" s="359"/>
      <c r="E445" s="381"/>
      <c r="F445" s="381"/>
      <c r="G445" s="381"/>
      <c r="H445" s="381"/>
      <c r="I445" s="381"/>
      <c r="J445" s="381"/>
      <c r="K445" s="381"/>
      <c r="L445" s="381"/>
      <c r="M445" s="381"/>
      <c r="N445" s="381"/>
      <c r="O445" s="381"/>
      <c r="P445" s="381"/>
      <c r="Q445" s="381"/>
      <c r="R445" s="381"/>
      <c r="S445" s="381"/>
      <c r="T445" s="381"/>
      <c r="U445" s="381"/>
      <c r="V445" s="381"/>
      <c r="W445" s="381"/>
      <c r="X445" s="381"/>
      <c r="Y445" s="381"/>
      <c r="Z445" s="381"/>
    </row>
    <row r="446">
      <c r="A446" s="381"/>
      <c r="B446" s="18"/>
      <c r="C446" s="359"/>
      <c r="D446" s="359"/>
      <c r="E446" s="381"/>
      <c r="F446" s="381"/>
      <c r="G446" s="381"/>
      <c r="H446" s="381"/>
      <c r="I446" s="381"/>
      <c r="J446" s="381"/>
      <c r="K446" s="381"/>
      <c r="L446" s="381"/>
      <c r="M446" s="381"/>
      <c r="N446" s="381"/>
      <c r="O446" s="381"/>
      <c r="P446" s="381"/>
      <c r="Q446" s="381"/>
      <c r="R446" s="381"/>
      <c r="S446" s="381"/>
      <c r="T446" s="381"/>
      <c r="U446" s="381"/>
      <c r="V446" s="381"/>
      <c r="W446" s="381"/>
      <c r="X446" s="381"/>
      <c r="Y446" s="381"/>
      <c r="Z446" s="381"/>
    </row>
    <row r="447">
      <c r="A447" s="381"/>
      <c r="B447" s="18"/>
      <c r="C447" s="359"/>
      <c r="D447" s="359"/>
      <c r="E447" s="381"/>
      <c r="F447" s="381"/>
      <c r="G447" s="381"/>
      <c r="H447" s="381"/>
      <c r="I447" s="381"/>
      <c r="J447" s="381"/>
      <c r="K447" s="381"/>
      <c r="L447" s="381"/>
      <c r="M447" s="381"/>
      <c r="N447" s="381"/>
      <c r="O447" s="381"/>
      <c r="P447" s="381"/>
      <c r="Q447" s="381"/>
      <c r="R447" s="381"/>
      <c r="S447" s="381"/>
      <c r="T447" s="381"/>
      <c r="U447" s="381"/>
      <c r="V447" s="381"/>
      <c r="W447" s="381"/>
      <c r="X447" s="381"/>
      <c r="Y447" s="381"/>
      <c r="Z447" s="381"/>
    </row>
    <row r="448">
      <c r="A448" s="381"/>
      <c r="B448" s="18"/>
      <c r="C448" s="359"/>
      <c r="D448" s="359"/>
      <c r="E448" s="381"/>
      <c r="F448" s="381"/>
      <c r="G448" s="381"/>
      <c r="H448" s="381"/>
      <c r="I448" s="381"/>
      <c r="J448" s="381"/>
      <c r="K448" s="381"/>
      <c r="L448" s="381"/>
      <c r="M448" s="381"/>
      <c r="N448" s="381"/>
      <c r="O448" s="381"/>
      <c r="P448" s="381"/>
      <c r="Q448" s="381"/>
      <c r="R448" s="381"/>
      <c r="S448" s="381"/>
      <c r="T448" s="381"/>
      <c r="U448" s="381"/>
      <c r="V448" s="381"/>
      <c r="W448" s="381"/>
      <c r="X448" s="381"/>
      <c r="Y448" s="381"/>
      <c r="Z448" s="381"/>
    </row>
    <row r="449">
      <c r="A449" s="381"/>
      <c r="B449" s="18"/>
      <c r="C449" s="359"/>
      <c r="D449" s="359"/>
      <c r="E449" s="381"/>
      <c r="F449" s="381"/>
      <c r="G449" s="381"/>
      <c r="H449" s="381"/>
      <c r="I449" s="381"/>
      <c r="J449" s="381"/>
      <c r="K449" s="381"/>
      <c r="L449" s="381"/>
      <c r="M449" s="381"/>
      <c r="N449" s="381"/>
      <c r="O449" s="381"/>
      <c r="P449" s="381"/>
      <c r="Q449" s="381"/>
      <c r="R449" s="381"/>
      <c r="S449" s="381"/>
      <c r="T449" s="381"/>
      <c r="U449" s="381"/>
      <c r="V449" s="381"/>
      <c r="W449" s="381"/>
      <c r="X449" s="381"/>
      <c r="Y449" s="381"/>
      <c r="Z449" s="381"/>
    </row>
    <row r="450">
      <c r="A450" s="381"/>
      <c r="B450" s="18"/>
      <c r="C450" s="359"/>
      <c r="D450" s="359"/>
      <c r="E450" s="381"/>
      <c r="F450" s="381"/>
      <c r="G450" s="381"/>
      <c r="H450" s="381"/>
      <c r="I450" s="381"/>
      <c r="J450" s="381"/>
      <c r="K450" s="381"/>
      <c r="L450" s="381"/>
      <c r="M450" s="381"/>
      <c r="N450" s="381"/>
      <c r="O450" s="381"/>
      <c r="P450" s="381"/>
      <c r="Q450" s="381"/>
      <c r="R450" s="381"/>
      <c r="S450" s="381"/>
      <c r="T450" s="381"/>
      <c r="U450" s="381"/>
      <c r="V450" s="381"/>
      <c r="W450" s="381"/>
      <c r="X450" s="381"/>
      <c r="Y450" s="381"/>
      <c r="Z450" s="381"/>
    </row>
    <row r="451">
      <c r="A451" s="381"/>
      <c r="B451" s="18"/>
      <c r="C451" s="359"/>
      <c r="D451" s="359"/>
      <c r="E451" s="381"/>
      <c r="F451" s="381"/>
      <c r="G451" s="381"/>
      <c r="H451" s="381"/>
      <c r="I451" s="381"/>
      <c r="J451" s="381"/>
      <c r="K451" s="381"/>
      <c r="L451" s="381"/>
      <c r="M451" s="381"/>
      <c r="N451" s="381"/>
      <c r="O451" s="381"/>
      <c r="P451" s="381"/>
      <c r="Q451" s="381"/>
      <c r="R451" s="381"/>
      <c r="S451" s="381"/>
      <c r="T451" s="381"/>
      <c r="U451" s="381"/>
      <c r="V451" s="381"/>
      <c r="W451" s="381"/>
      <c r="X451" s="381"/>
      <c r="Y451" s="381"/>
      <c r="Z451" s="381"/>
    </row>
    <row r="452">
      <c r="A452" s="381"/>
      <c r="B452" s="18"/>
      <c r="C452" s="359"/>
      <c r="D452" s="359"/>
      <c r="E452" s="381"/>
      <c r="F452" s="381"/>
      <c r="G452" s="381"/>
      <c r="H452" s="381"/>
      <c r="I452" s="381"/>
      <c r="J452" s="381"/>
      <c r="K452" s="381"/>
      <c r="L452" s="381"/>
      <c r="M452" s="381"/>
      <c r="N452" s="381"/>
      <c r="O452" s="381"/>
      <c r="P452" s="381"/>
      <c r="Q452" s="381"/>
      <c r="R452" s="381"/>
      <c r="S452" s="381"/>
      <c r="T452" s="381"/>
      <c r="U452" s="381"/>
      <c r="V452" s="381"/>
      <c r="W452" s="381"/>
      <c r="X452" s="381"/>
      <c r="Y452" s="381"/>
      <c r="Z452" s="381"/>
    </row>
    <row r="453">
      <c r="A453" s="381"/>
      <c r="B453" s="18"/>
      <c r="C453" s="359"/>
      <c r="D453" s="359"/>
      <c r="E453" s="381"/>
      <c r="F453" s="381"/>
      <c r="G453" s="381"/>
      <c r="H453" s="381"/>
      <c r="I453" s="381"/>
      <c r="J453" s="381"/>
      <c r="K453" s="381"/>
      <c r="L453" s="381"/>
      <c r="M453" s="381"/>
      <c r="N453" s="381"/>
      <c r="O453" s="381"/>
      <c r="P453" s="381"/>
      <c r="Q453" s="381"/>
      <c r="R453" s="381"/>
      <c r="S453" s="381"/>
      <c r="T453" s="381"/>
      <c r="U453" s="381"/>
      <c r="V453" s="381"/>
      <c r="W453" s="381"/>
      <c r="X453" s="381"/>
      <c r="Y453" s="381"/>
      <c r="Z453" s="381"/>
    </row>
    <row r="454">
      <c r="A454" s="381"/>
      <c r="B454" s="18"/>
      <c r="C454" s="359"/>
      <c r="D454" s="359"/>
      <c r="E454" s="381"/>
      <c r="F454" s="381"/>
      <c r="G454" s="381"/>
      <c r="H454" s="381"/>
      <c r="I454" s="381"/>
      <c r="J454" s="381"/>
      <c r="K454" s="381"/>
      <c r="L454" s="381"/>
      <c r="M454" s="381"/>
      <c r="N454" s="381"/>
      <c r="O454" s="381"/>
      <c r="P454" s="381"/>
      <c r="Q454" s="381"/>
      <c r="R454" s="381"/>
      <c r="S454" s="381"/>
      <c r="T454" s="381"/>
      <c r="U454" s="381"/>
      <c r="V454" s="381"/>
      <c r="W454" s="381"/>
      <c r="X454" s="381"/>
      <c r="Y454" s="381"/>
      <c r="Z454" s="381"/>
    </row>
    <row r="455">
      <c r="A455" s="381"/>
      <c r="B455" s="18"/>
      <c r="C455" s="359"/>
      <c r="D455" s="359"/>
      <c r="E455" s="381"/>
      <c r="F455" s="381"/>
      <c r="G455" s="381"/>
      <c r="H455" s="381"/>
      <c r="I455" s="381"/>
      <c r="J455" s="381"/>
      <c r="K455" s="381"/>
      <c r="L455" s="381"/>
      <c r="M455" s="381"/>
      <c r="N455" s="381"/>
      <c r="O455" s="381"/>
      <c r="P455" s="381"/>
      <c r="Q455" s="381"/>
      <c r="R455" s="381"/>
      <c r="S455" s="381"/>
      <c r="T455" s="381"/>
      <c r="U455" s="381"/>
      <c r="V455" s="381"/>
      <c r="W455" s="381"/>
      <c r="X455" s="381"/>
      <c r="Y455" s="381"/>
      <c r="Z455" s="381"/>
    </row>
    <row r="456">
      <c r="A456" s="381"/>
      <c r="B456" s="18"/>
      <c r="C456" s="359"/>
      <c r="D456" s="359"/>
      <c r="E456" s="381"/>
      <c r="F456" s="381"/>
      <c r="G456" s="381"/>
      <c r="H456" s="381"/>
      <c r="I456" s="381"/>
      <c r="J456" s="381"/>
      <c r="K456" s="381"/>
      <c r="L456" s="381"/>
      <c r="M456" s="381"/>
      <c r="N456" s="381"/>
      <c r="O456" s="381"/>
      <c r="P456" s="381"/>
      <c r="Q456" s="381"/>
      <c r="R456" s="381"/>
      <c r="S456" s="381"/>
      <c r="T456" s="381"/>
      <c r="U456" s="381"/>
      <c r="V456" s="381"/>
      <c r="W456" s="381"/>
      <c r="X456" s="381"/>
      <c r="Y456" s="381"/>
      <c r="Z456" s="381"/>
    </row>
    <row r="457">
      <c r="A457" s="381"/>
      <c r="B457" s="18"/>
      <c r="C457" s="359"/>
      <c r="D457" s="359"/>
      <c r="E457" s="381"/>
      <c r="F457" s="381"/>
      <c r="G457" s="381"/>
      <c r="H457" s="381"/>
      <c r="I457" s="381"/>
      <c r="J457" s="381"/>
      <c r="K457" s="381"/>
      <c r="L457" s="381"/>
      <c r="M457" s="381"/>
      <c r="N457" s="381"/>
      <c r="O457" s="381"/>
      <c r="P457" s="381"/>
      <c r="Q457" s="381"/>
      <c r="R457" s="381"/>
      <c r="S457" s="381"/>
      <c r="T457" s="381"/>
      <c r="U457" s="381"/>
      <c r="V457" s="381"/>
      <c r="W457" s="381"/>
      <c r="X457" s="381"/>
      <c r="Y457" s="381"/>
      <c r="Z457" s="381"/>
    </row>
    <row r="458">
      <c r="A458" s="381"/>
      <c r="B458" s="18"/>
      <c r="C458" s="359"/>
      <c r="D458" s="359"/>
      <c r="E458" s="381"/>
      <c r="F458" s="381"/>
      <c r="G458" s="381"/>
      <c r="H458" s="381"/>
      <c r="I458" s="381"/>
      <c r="J458" s="381"/>
      <c r="K458" s="381"/>
      <c r="L458" s="381"/>
      <c r="M458" s="381"/>
      <c r="N458" s="381"/>
      <c r="O458" s="381"/>
      <c r="P458" s="381"/>
      <c r="Q458" s="381"/>
      <c r="R458" s="381"/>
      <c r="S458" s="381"/>
      <c r="T458" s="381"/>
      <c r="U458" s="381"/>
      <c r="V458" s="381"/>
      <c r="W458" s="381"/>
      <c r="X458" s="381"/>
      <c r="Y458" s="381"/>
      <c r="Z458" s="381"/>
    </row>
    <row r="459">
      <c r="A459" s="381"/>
      <c r="B459" s="18"/>
      <c r="C459" s="359"/>
      <c r="D459" s="359"/>
      <c r="E459" s="381"/>
      <c r="F459" s="381"/>
      <c r="G459" s="381"/>
      <c r="H459" s="381"/>
      <c r="I459" s="381"/>
      <c r="J459" s="381"/>
      <c r="K459" s="381"/>
      <c r="L459" s="381"/>
      <c r="M459" s="381"/>
      <c r="N459" s="381"/>
      <c r="O459" s="381"/>
      <c r="P459" s="381"/>
      <c r="Q459" s="381"/>
      <c r="R459" s="381"/>
      <c r="S459" s="381"/>
      <c r="T459" s="381"/>
      <c r="U459" s="381"/>
      <c r="V459" s="381"/>
      <c r="W459" s="381"/>
      <c r="X459" s="381"/>
      <c r="Y459" s="381"/>
      <c r="Z459" s="381"/>
    </row>
    <row r="460">
      <c r="A460" s="381"/>
      <c r="B460" s="18"/>
      <c r="C460" s="359"/>
      <c r="D460" s="359"/>
      <c r="E460" s="381"/>
      <c r="F460" s="381"/>
      <c r="G460" s="381"/>
      <c r="H460" s="381"/>
      <c r="I460" s="381"/>
      <c r="J460" s="381"/>
      <c r="K460" s="381"/>
      <c r="L460" s="381"/>
      <c r="M460" s="381"/>
      <c r="N460" s="381"/>
      <c r="O460" s="381"/>
      <c r="P460" s="381"/>
      <c r="Q460" s="381"/>
      <c r="R460" s="381"/>
      <c r="S460" s="381"/>
      <c r="T460" s="381"/>
      <c r="U460" s="381"/>
      <c r="V460" s="381"/>
      <c r="W460" s="381"/>
      <c r="X460" s="381"/>
      <c r="Y460" s="381"/>
      <c r="Z460" s="381"/>
    </row>
    <row r="461">
      <c r="A461" s="381"/>
      <c r="B461" s="18"/>
      <c r="C461" s="359"/>
      <c r="D461" s="359"/>
      <c r="E461" s="381"/>
      <c r="F461" s="381"/>
      <c r="G461" s="381"/>
      <c r="H461" s="381"/>
      <c r="I461" s="381"/>
      <c r="J461" s="381"/>
      <c r="K461" s="381"/>
      <c r="L461" s="381"/>
      <c r="M461" s="381"/>
      <c r="N461" s="381"/>
      <c r="O461" s="381"/>
      <c r="P461" s="381"/>
      <c r="Q461" s="381"/>
      <c r="R461" s="381"/>
      <c r="S461" s="381"/>
      <c r="T461" s="381"/>
      <c r="U461" s="381"/>
      <c r="V461" s="381"/>
      <c r="W461" s="381"/>
      <c r="X461" s="381"/>
      <c r="Y461" s="381"/>
      <c r="Z461" s="381"/>
    </row>
    <row r="462">
      <c r="A462" s="381"/>
      <c r="B462" s="18"/>
      <c r="C462" s="359"/>
      <c r="D462" s="359"/>
      <c r="E462" s="381"/>
      <c r="F462" s="381"/>
      <c r="G462" s="381"/>
      <c r="H462" s="381"/>
      <c r="I462" s="381"/>
      <c r="J462" s="381"/>
      <c r="K462" s="381"/>
      <c r="L462" s="381"/>
      <c r="M462" s="381"/>
      <c r="N462" s="381"/>
      <c r="O462" s="381"/>
      <c r="P462" s="381"/>
      <c r="Q462" s="381"/>
      <c r="R462" s="381"/>
      <c r="S462" s="381"/>
      <c r="T462" s="381"/>
      <c r="U462" s="381"/>
      <c r="V462" s="381"/>
      <c r="W462" s="381"/>
      <c r="X462" s="381"/>
      <c r="Y462" s="381"/>
      <c r="Z462" s="381"/>
    </row>
    <row r="463">
      <c r="A463" s="381"/>
      <c r="B463" s="18"/>
      <c r="C463" s="359"/>
      <c r="D463" s="359"/>
      <c r="E463" s="381"/>
      <c r="F463" s="381"/>
      <c r="G463" s="381"/>
      <c r="H463" s="381"/>
      <c r="I463" s="381"/>
      <c r="J463" s="381"/>
      <c r="K463" s="381"/>
      <c r="L463" s="381"/>
      <c r="M463" s="381"/>
      <c r="N463" s="381"/>
      <c r="O463" s="381"/>
      <c r="P463" s="381"/>
      <c r="Q463" s="381"/>
      <c r="R463" s="381"/>
      <c r="S463" s="381"/>
      <c r="T463" s="381"/>
      <c r="U463" s="381"/>
      <c r="V463" s="381"/>
      <c r="W463" s="381"/>
      <c r="X463" s="381"/>
      <c r="Y463" s="381"/>
      <c r="Z463" s="381"/>
    </row>
    <row r="464">
      <c r="A464" s="381"/>
      <c r="B464" s="18"/>
      <c r="C464" s="359"/>
      <c r="D464" s="359"/>
      <c r="E464" s="381"/>
      <c r="F464" s="381"/>
      <c r="G464" s="381"/>
      <c r="H464" s="381"/>
      <c r="I464" s="381"/>
      <c r="J464" s="381"/>
      <c r="K464" s="381"/>
      <c r="L464" s="381"/>
      <c r="M464" s="381"/>
      <c r="N464" s="381"/>
      <c r="O464" s="381"/>
      <c r="P464" s="381"/>
      <c r="Q464" s="381"/>
      <c r="R464" s="381"/>
      <c r="S464" s="381"/>
      <c r="T464" s="381"/>
      <c r="U464" s="381"/>
      <c r="V464" s="381"/>
      <c r="W464" s="381"/>
      <c r="X464" s="381"/>
      <c r="Y464" s="381"/>
      <c r="Z464" s="381"/>
    </row>
    <row r="465">
      <c r="A465" s="381"/>
      <c r="B465" s="18"/>
      <c r="C465" s="359"/>
      <c r="D465" s="359"/>
      <c r="E465" s="381"/>
      <c r="F465" s="381"/>
      <c r="G465" s="381"/>
      <c r="H465" s="381"/>
      <c r="I465" s="381"/>
      <c r="J465" s="381"/>
      <c r="K465" s="381"/>
      <c r="L465" s="381"/>
      <c r="M465" s="381"/>
      <c r="N465" s="381"/>
      <c r="O465" s="381"/>
      <c r="P465" s="381"/>
      <c r="Q465" s="381"/>
      <c r="R465" s="381"/>
      <c r="S465" s="381"/>
      <c r="T465" s="381"/>
      <c r="U465" s="381"/>
      <c r="V465" s="381"/>
      <c r="W465" s="381"/>
      <c r="X465" s="381"/>
      <c r="Y465" s="381"/>
      <c r="Z465" s="381"/>
    </row>
    <row r="466">
      <c r="A466" s="381"/>
      <c r="B466" s="18"/>
      <c r="C466" s="359"/>
      <c r="D466" s="359"/>
      <c r="E466" s="381"/>
      <c r="F466" s="381"/>
      <c r="G466" s="381"/>
      <c r="H466" s="381"/>
      <c r="I466" s="381"/>
      <c r="J466" s="381"/>
      <c r="K466" s="381"/>
      <c r="L466" s="381"/>
      <c r="M466" s="381"/>
      <c r="N466" s="381"/>
      <c r="O466" s="381"/>
      <c r="P466" s="381"/>
      <c r="Q466" s="381"/>
      <c r="R466" s="381"/>
      <c r="S466" s="381"/>
      <c r="T466" s="381"/>
      <c r="U466" s="381"/>
      <c r="V466" s="381"/>
      <c r="W466" s="381"/>
      <c r="X466" s="381"/>
      <c r="Y466" s="381"/>
      <c r="Z466" s="381"/>
    </row>
    <row r="467">
      <c r="A467" s="381"/>
      <c r="B467" s="18"/>
      <c r="C467" s="359"/>
      <c r="D467" s="359"/>
      <c r="E467" s="381"/>
      <c r="F467" s="381"/>
      <c r="G467" s="381"/>
      <c r="H467" s="381"/>
      <c r="I467" s="381"/>
      <c r="J467" s="381"/>
      <c r="K467" s="381"/>
      <c r="L467" s="381"/>
      <c r="M467" s="381"/>
      <c r="N467" s="381"/>
      <c r="O467" s="381"/>
      <c r="P467" s="381"/>
      <c r="Q467" s="381"/>
      <c r="R467" s="381"/>
      <c r="S467" s="381"/>
      <c r="T467" s="381"/>
      <c r="U467" s="381"/>
      <c r="V467" s="381"/>
      <c r="W467" s="381"/>
      <c r="X467" s="381"/>
      <c r="Y467" s="381"/>
      <c r="Z467" s="381"/>
    </row>
    <row r="468">
      <c r="A468" s="381"/>
      <c r="B468" s="18"/>
      <c r="C468" s="359"/>
      <c r="D468" s="359"/>
      <c r="E468" s="381"/>
      <c r="F468" s="381"/>
      <c r="G468" s="381"/>
      <c r="H468" s="381"/>
      <c r="I468" s="381"/>
      <c r="J468" s="381"/>
      <c r="K468" s="381"/>
      <c r="L468" s="381"/>
      <c r="M468" s="381"/>
      <c r="N468" s="381"/>
      <c r="O468" s="381"/>
      <c r="P468" s="381"/>
      <c r="Q468" s="381"/>
      <c r="R468" s="381"/>
      <c r="S468" s="381"/>
      <c r="T468" s="381"/>
      <c r="U468" s="381"/>
      <c r="V468" s="381"/>
      <c r="W468" s="381"/>
      <c r="X468" s="381"/>
      <c r="Y468" s="381"/>
      <c r="Z468" s="381"/>
    </row>
    <row r="469">
      <c r="A469" s="381"/>
      <c r="B469" s="18"/>
      <c r="C469" s="359"/>
      <c r="D469" s="359"/>
      <c r="E469" s="381"/>
      <c r="F469" s="381"/>
      <c r="G469" s="381"/>
      <c r="H469" s="381"/>
      <c r="I469" s="381"/>
      <c r="J469" s="381"/>
      <c r="K469" s="381"/>
      <c r="L469" s="381"/>
      <c r="M469" s="381"/>
      <c r="N469" s="381"/>
      <c r="O469" s="381"/>
      <c r="P469" s="381"/>
      <c r="Q469" s="381"/>
      <c r="R469" s="381"/>
      <c r="S469" s="381"/>
      <c r="T469" s="381"/>
      <c r="U469" s="381"/>
      <c r="V469" s="381"/>
      <c r="W469" s="381"/>
      <c r="X469" s="381"/>
      <c r="Y469" s="381"/>
      <c r="Z469" s="381"/>
    </row>
    <row r="470">
      <c r="A470" s="381"/>
      <c r="B470" s="18"/>
      <c r="C470" s="359"/>
      <c r="D470" s="359"/>
      <c r="E470" s="381"/>
      <c r="F470" s="381"/>
      <c r="G470" s="381"/>
      <c r="H470" s="381"/>
      <c r="I470" s="381"/>
      <c r="J470" s="381"/>
      <c r="K470" s="381"/>
      <c r="L470" s="381"/>
      <c r="M470" s="381"/>
      <c r="N470" s="381"/>
      <c r="O470" s="381"/>
      <c r="P470" s="381"/>
      <c r="Q470" s="381"/>
      <c r="R470" s="381"/>
      <c r="S470" s="381"/>
      <c r="T470" s="381"/>
      <c r="U470" s="381"/>
      <c r="V470" s="381"/>
      <c r="W470" s="381"/>
      <c r="X470" s="381"/>
      <c r="Y470" s="381"/>
      <c r="Z470" s="381"/>
    </row>
    <row r="471">
      <c r="A471" s="381"/>
      <c r="B471" s="18"/>
      <c r="C471" s="359"/>
      <c r="D471" s="359"/>
      <c r="E471" s="381"/>
      <c r="F471" s="381"/>
      <c r="G471" s="381"/>
      <c r="H471" s="381"/>
      <c r="I471" s="381"/>
      <c r="J471" s="381"/>
      <c r="K471" s="381"/>
      <c r="L471" s="381"/>
      <c r="M471" s="381"/>
      <c r="N471" s="381"/>
      <c r="O471" s="381"/>
      <c r="P471" s="381"/>
      <c r="Q471" s="381"/>
      <c r="R471" s="381"/>
      <c r="S471" s="381"/>
      <c r="T471" s="381"/>
      <c r="U471" s="381"/>
      <c r="V471" s="381"/>
      <c r="W471" s="381"/>
      <c r="X471" s="381"/>
      <c r="Y471" s="381"/>
      <c r="Z471" s="381"/>
    </row>
    <row r="472">
      <c r="A472" s="381"/>
      <c r="B472" s="18"/>
      <c r="C472" s="359"/>
      <c r="D472" s="359"/>
      <c r="E472" s="381"/>
      <c r="F472" s="381"/>
      <c r="G472" s="381"/>
      <c r="H472" s="381"/>
      <c r="I472" s="381"/>
      <c r="J472" s="381"/>
      <c r="K472" s="381"/>
      <c r="L472" s="381"/>
      <c r="M472" s="381"/>
      <c r="N472" s="381"/>
      <c r="O472" s="381"/>
      <c r="P472" s="381"/>
      <c r="Q472" s="381"/>
      <c r="R472" s="381"/>
      <c r="S472" s="381"/>
      <c r="T472" s="381"/>
      <c r="U472" s="381"/>
      <c r="V472" s="381"/>
      <c r="W472" s="381"/>
      <c r="X472" s="381"/>
      <c r="Y472" s="381"/>
      <c r="Z472" s="381"/>
    </row>
    <row r="473">
      <c r="A473" s="381"/>
      <c r="B473" s="18"/>
      <c r="C473" s="359"/>
      <c r="D473" s="359"/>
      <c r="E473" s="381"/>
      <c r="F473" s="381"/>
      <c r="G473" s="381"/>
      <c r="H473" s="381"/>
      <c r="I473" s="381"/>
      <c r="J473" s="381"/>
      <c r="K473" s="381"/>
      <c r="L473" s="381"/>
      <c r="M473" s="381"/>
      <c r="N473" s="381"/>
      <c r="O473" s="381"/>
      <c r="P473" s="381"/>
      <c r="Q473" s="381"/>
      <c r="R473" s="381"/>
      <c r="S473" s="381"/>
      <c r="T473" s="381"/>
      <c r="U473" s="381"/>
      <c r="V473" s="381"/>
      <c r="W473" s="381"/>
      <c r="X473" s="381"/>
      <c r="Y473" s="381"/>
      <c r="Z473" s="381"/>
    </row>
    <row r="474">
      <c r="A474" s="381"/>
      <c r="B474" s="18"/>
      <c r="C474" s="359"/>
      <c r="D474" s="359"/>
      <c r="E474" s="381"/>
      <c r="F474" s="381"/>
      <c r="G474" s="381"/>
      <c r="H474" s="381"/>
      <c r="I474" s="381"/>
      <c r="J474" s="381"/>
      <c r="K474" s="381"/>
      <c r="L474" s="381"/>
      <c r="M474" s="381"/>
      <c r="N474" s="381"/>
      <c r="O474" s="381"/>
      <c r="P474" s="381"/>
      <c r="Q474" s="381"/>
      <c r="R474" s="381"/>
      <c r="S474" s="381"/>
      <c r="T474" s="381"/>
      <c r="U474" s="381"/>
      <c r="V474" s="381"/>
      <c r="W474" s="381"/>
      <c r="X474" s="381"/>
      <c r="Y474" s="381"/>
      <c r="Z474" s="381"/>
    </row>
    <row r="475">
      <c r="A475" s="381"/>
      <c r="B475" s="18"/>
      <c r="C475" s="359"/>
      <c r="D475" s="359"/>
      <c r="E475" s="381"/>
      <c r="F475" s="381"/>
      <c r="G475" s="381"/>
      <c r="H475" s="381"/>
      <c r="I475" s="381"/>
      <c r="J475" s="381"/>
      <c r="K475" s="381"/>
      <c r="L475" s="381"/>
      <c r="M475" s="381"/>
      <c r="N475" s="381"/>
      <c r="O475" s="381"/>
      <c r="P475" s="381"/>
      <c r="Q475" s="381"/>
      <c r="R475" s="381"/>
      <c r="S475" s="381"/>
      <c r="T475" s="381"/>
      <c r="U475" s="381"/>
      <c r="V475" s="381"/>
      <c r="W475" s="381"/>
      <c r="X475" s="381"/>
      <c r="Y475" s="381"/>
      <c r="Z475" s="381"/>
    </row>
    <row r="476">
      <c r="A476" s="381"/>
      <c r="B476" s="18"/>
      <c r="C476" s="359"/>
      <c r="D476" s="359"/>
      <c r="E476" s="381"/>
      <c r="F476" s="381"/>
      <c r="G476" s="381"/>
      <c r="H476" s="381"/>
      <c r="I476" s="381"/>
      <c r="J476" s="381"/>
      <c r="K476" s="381"/>
      <c r="L476" s="381"/>
      <c r="M476" s="381"/>
      <c r="N476" s="381"/>
      <c r="O476" s="381"/>
      <c r="P476" s="381"/>
      <c r="Q476" s="381"/>
      <c r="R476" s="381"/>
      <c r="S476" s="381"/>
      <c r="T476" s="381"/>
      <c r="U476" s="381"/>
      <c r="V476" s="381"/>
      <c r="W476" s="381"/>
      <c r="X476" s="381"/>
      <c r="Y476" s="381"/>
      <c r="Z476" s="381"/>
    </row>
    <row r="477">
      <c r="A477" s="381"/>
      <c r="B477" s="18"/>
      <c r="C477" s="359"/>
      <c r="D477" s="359"/>
      <c r="E477" s="381"/>
      <c r="F477" s="381"/>
      <c r="G477" s="381"/>
      <c r="H477" s="381"/>
      <c r="I477" s="381"/>
      <c r="J477" s="381"/>
      <c r="K477" s="381"/>
      <c r="L477" s="381"/>
      <c r="M477" s="381"/>
      <c r="N477" s="381"/>
      <c r="O477" s="381"/>
      <c r="P477" s="381"/>
      <c r="Q477" s="381"/>
      <c r="R477" s="381"/>
      <c r="S477" s="381"/>
      <c r="T477" s="381"/>
      <c r="U477" s="381"/>
      <c r="V477" s="381"/>
      <c r="W477" s="381"/>
      <c r="X477" s="381"/>
      <c r="Y477" s="381"/>
      <c r="Z477" s="381"/>
    </row>
    <row r="478">
      <c r="A478" s="381"/>
      <c r="B478" s="18"/>
      <c r="C478" s="359"/>
      <c r="D478" s="359"/>
      <c r="E478" s="381"/>
      <c r="F478" s="381"/>
      <c r="G478" s="381"/>
      <c r="H478" s="381"/>
      <c r="I478" s="381"/>
      <c r="J478" s="381"/>
      <c r="K478" s="381"/>
      <c r="L478" s="381"/>
      <c r="M478" s="381"/>
      <c r="N478" s="381"/>
      <c r="O478" s="381"/>
      <c r="P478" s="381"/>
      <c r="Q478" s="381"/>
      <c r="R478" s="381"/>
      <c r="S478" s="381"/>
      <c r="T478" s="381"/>
      <c r="U478" s="381"/>
      <c r="V478" s="381"/>
      <c r="W478" s="381"/>
      <c r="X478" s="381"/>
      <c r="Y478" s="381"/>
      <c r="Z478" s="381"/>
    </row>
    <row r="479">
      <c r="A479" s="381"/>
      <c r="B479" s="18"/>
      <c r="C479" s="359"/>
      <c r="D479" s="359"/>
      <c r="E479" s="381"/>
      <c r="F479" s="381"/>
      <c r="G479" s="381"/>
      <c r="H479" s="381"/>
      <c r="I479" s="381"/>
      <c r="J479" s="381"/>
      <c r="K479" s="381"/>
      <c r="L479" s="381"/>
      <c r="M479" s="381"/>
      <c r="N479" s="381"/>
      <c r="O479" s="381"/>
      <c r="P479" s="381"/>
      <c r="Q479" s="381"/>
      <c r="R479" s="381"/>
      <c r="S479" s="381"/>
      <c r="T479" s="381"/>
      <c r="U479" s="381"/>
      <c r="V479" s="381"/>
      <c r="W479" s="381"/>
      <c r="X479" s="381"/>
      <c r="Y479" s="381"/>
      <c r="Z479" s="381"/>
    </row>
    <row r="480">
      <c r="A480" s="381"/>
      <c r="B480" s="18"/>
      <c r="C480" s="359"/>
      <c r="D480" s="359"/>
      <c r="E480" s="381"/>
      <c r="F480" s="381"/>
      <c r="G480" s="381"/>
      <c r="H480" s="381"/>
      <c r="I480" s="381"/>
      <c r="J480" s="381"/>
      <c r="K480" s="381"/>
      <c r="L480" s="381"/>
      <c r="M480" s="381"/>
      <c r="N480" s="381"/>
      <c r="O480" s="381"/>
      <c r="P480" s="381"/>
      <c r="Q480" s="381"/>
      <c r="R480" s="381"/>
      <c r="S480" s="381"/>
      <c r="T480" s="381"/>
      <c r="U480" s="381"/>
      <c r="V480" s="381"/>
      <c r="W480" s="381"/>
      <c r="X480" s="381"/>
      <c r="Y480" s="381"/>
      <c r="Z480" s="381"/>
    </row>
    <row r="481">
      <c r="A481" s="381"/>
      <c r="B481" s="18"/>
      <c r="C481" s="359"/>
      <c r="D481" s="359"/>
      <c r="E481" s="381"/>
      <c r="F481" s="381"/>
      <c r="G481" s="381"/>
      <c r="H481" s="381"/>
      <c r="I481" s="381"/>
      <c r="J481" s="381"/>
      <c r="K481" s="381"/>
      <c r="L481" s="381"/>
      <c r="M481" s="381"/>
      <c r="N481" s="381"/>
      <c r="O481" s="381"/>
      <c r="P481" s="381"/>
      <c r="Q481" s="381"/>
      <c r="R481" s="381"/>
      <c r="S481" s="381"/>
      <c r="T481" s="381"/>
      <c r="U481" s="381"/>
      <c r="V481" s="381"/>
      <c r="W481" s="381"/>
      <c r="X481" s="381"/>
      <c r="Y481" s="381"/>
      <c r="Z481" s="381"/>
    </row>
    <row r="482">
      <c r="A482" s="381"/>
      <c r="B482" s="18"/>
      <c r="C482" s="359"/>
      <c r="D482" s="359"/>
      <c r="E482" s="381"/>
      <c r="F482" s="381"/>
      <c r="G482" s="381"/>
      <c r="H482" s="381"/>
      <c r="I482" s="381"/>
      <c r="J482" s="381"/>
      <c r="K482" s="381"/>
      <c r="L482" s="381"/>
      <c r="M482" s="381"/>
      <c r="N482" s="381"/>
      <c r="O482" s="381"/>
      <c r="P482" s="381"/>
      <c r="Q482" s="381"/>
      <c r="R482" s="381"/>
      <c r="S482" s="381"/>
      <c r="T482" s="381"/>
      <c r="U482" s="381"/>
      <c r="V482" s="381"/>
      <c r="W482" s="381"/>
      <c r="X482" s="381"/>
      <c r="Y482" s="381"/>
      <c r="Z482" s="381"/>
    </row>
    <row r="483">
      <c r="A483" s="381"/>
      <c r="B483" s="18"/>
      <c r="C483" s="359"/>
      <c r="D483" s="359"/>
      <c r="E483" s="381"/>
      <c r="F483" s="381"/>
      <c r="G483" s="381"/>
      <c r="H483" s="381"/>
      <c r="I483" s="381"/>
      <c r="J483" s="381"/>
      <c r="K483" s="381"/>
      <c r="L483" s="381"/>
      <c r="M483" s="381"/>
      <c r="N483" s="381"/>
      <c r="O483" s="381"/>
      <c r="P483" s="381"/>
      <c r="Q483" s="381"/>
      <c r="R483" s="381"/>
      <c r="S483" s="381"/>
      <c r="T483" s="381"/>
      <c r="U483" s="381"/>
      <c r="V483" s="381"/>
      <c r="W483" s="381"/>
      <c r="X483" s="381"/>
      <c r="Y483" s="381"/>
      <c r="Z483" s="381"/>
    </row>
    <row r="484">
      <c r="A484" s="381"/>
      <c r="B484" s="18"/>
      <c r="C484" s="359"/>
      <c r="D484" s="359"/>
      <c r="E484" s="381"/>
      <c r="F484" s="381"/>
      <c r="G484" s="381"/>
      <c r="H484" s="381"/>
      <c r="I484" s="381"/>
      <c r="J484" s="381"/>
      <c r="K484" s="381"/>
      <c r="L484" s="381"/>
      <c r="M484" s="381"/>
      <c r="N484" s="381"/>
      <c r="O484" s="381"/>
      <c r="P484" s="381"/>
      <c r="Q484" s="381"/>
      <c r="R484" s="381"/>
      <c r="S484" s="381"/>
      <c r="T484" s="381"/>
      <c r="U484" s="381"/>
      <c r="V484" s="381"/>
      <c r="W484" s="381"/>
      <c r="X484" s="381"/>
      <c r="Y484" s="381"/>
      <c r="Z484" s="381"/>
    </row>
    <row r="485">
      <c r="A485" s="381"/>
      <c r="B485" s="18"/>
      <c r="C485" s="359"/>
      <c r="D485" s="359"/>
      <c r="E485" s="381"/>
      <c r="F485" s="381"/>
      <c r="G485" s="381"/>
      <c r="H485" s="381"/>
      <c r="I485" s="381"/>
      <c r="J485" s="381"/>
      <c r="K485" s="381"/>
      <c r="L485" s="381"/>
      <c r="M485" s="381"/>
      <c r="N485" s="381"/>
      <c r="O485" s="381"/>
      <c r="P485" s="381"/>
      <c r="Q485" s="381"/>
      <c r="R485" s="381"/>
      <c r="S485" s="381"/>
      <c r="T485" s="381"/>
      <c r="U485" s="381"/>
      <c r="V485" s="381"/>
      <c r="W485" s="381"/>
      <c r="X485" s="381"/>
      <c r="Y485" s="381"/>
      <c r="Z485" s="381"/>
    </row>
    <row r="486">
      <c r="A486" s="381"/>
      <c r="B486" s="18"/>
      <c r="C486" s="359"/>
      <c r="D486" s="359"/>
      <c r="E486" s="381"/>
      <c r="F486" s="381"/>
      <c r="G486" s="381"/>
      <c r="H486" s="381"/>
      <c r="I486" s="381"/>
      <c r="J486" s="381"/>
      <c r="K486" s="381"/>
      <c r="L486" s="381"/>
      <c r="M486" s="381"/>
      <c r="N486" s="381"/>
      <c r="O486" s="381"/>
      <c r="P486" s="381"/>
      <c r="Q486" s="381"/>
      <c r="R486" s="381"/>
      <c r="S486" s="381"/>
      <c r="T486" s="381"/>
      <c r="U486" s="381"/>
      <c r="V486" s="381"/>
      <c r="W486" s="381"/>
      <c r="X486" s="381"/>
      <c r="Y486" s="381"/>
      <c r="Z486" s="381"/>
    </row>
    <row r="487">
      <c r="A487" s="381"/>
      <c r="B487" s="18"/>
      <c r="C487" s="359"/>
      <c r="D487" s="359"/>
      <c r="E487" s="381"/>
      <c r="F487" s="381"/>
      <c r="G487" s="381"/>
      <c r="H487" s="381"/>
      <c r="I487" s="381"/>
      <c r="J487" s="381"/>
      <c r="K487" s="381"/>
      <c r="L487" s="381"/>
      <c r="M487" s="381"/>
      <c r="N487" s="381"/>
      <c r="O487" s="381"/>
      <c r="P487" s="381"/>
      <c r="Q487" s="381"/>
      <c r="R487" s="381"/>
      <c r="S487" s="381"/>
      <c r="T487" s="381"/>
      <c r="U487" s="381"/>
      <c r="V487" s="381"/>
      <c r="W487" s="381"/>
      <c r="X487" s="381"/>
      <c r="Y487" s="381"/>
      <c r="Z487" s="381"/>
    </row>
    <row r="488">
      <c r="A488" s="381"/>
      <c r="B488" s="18"/>
      <c r="C488" s="359"/>
      <c r="D488" s="359"/>
      <c r="E488" s="381"/>
      <c r="F488" s="381"/>
      <c r="G488" s="381"/>
      <c r="H488" s="381"/>
      <c r="I488" s="381"/>
      <c r="J488" s="381"/>
      <c r="K488" s="381"/>
      <c r="L488" s="381"/>
      <c r="M488" s="381"/>
      <c r="N488" s="381"/>
      <c r="O488" s="381"/>
      <c r="P488" s="381"/>
      <c r="Q488" s="381"/>
      <c r="R488" s="381"/>
      <c r="S488" s="381"/>
      <c r="T488" s="381"/>
      <c r="U488" s="381"/>
      <c r="V488" s="381"/>
      <c r="W488" s="381"/>
      <c r="X488" s="381"/>
      <c r="Y488" s="381"/>
      <c r="Z488" s="381"/>
    </row>
    <row r="489">
      <c r="A489" s="381"/>
      <c r="B489" s="18"/>
      <c r="C489" s="359"/>
      <c r="D489" s="359"/>
      <c r="E489" s="381"/>
      <c r="F489" s="381"/>
      <c r="G489" s="381"/>
      <c r="H489" s="381"/>
      <c r="I489" s="381"/>
      <c r="J489" s="381"/>
      <c r="K489" s="381"/>
      <c r="L489" s="381"/>
      <c r="M489" s="381"/>
      <c r="N489" s="381"/>
      <c r="O489" s="381"/>
      <c r="P489" s="381"/>
      <c r="Q489" s="381"/>
      <c r="R489" s="381"/>
      <c r="S489" s="381"/>
      <c r="T489" s="381"/>
      <c r="U489" s="381"/>
      <c r="V489" s="381"/>
      <c r="W489" s="381"/>
      <c r="X489" s="381"/>
      <c r="Y489" s="381"/>
      <c r="Z489" s="381"/>
    </row>
    <row r="490">
      <c r="A490" s="381"/>
      <c r="B490" s="18"/>
      <c r="C490" s="359"/>
      <c r="D490" s="359"/>
      <c r="E490" s="381"/>
      <c r="F490" s="381"/>
      <c r="G490" s="381"/>
      <c r="H490" s="381"/>
      <c r="I490" s="381"/>
      <c r="J490" s="381"/>
      <c r="K490" s="381"/>
      <c r="L490" s="381"/>
      <c r="M490" s="381"/>
      <c r="N490" s="381"/>
      <c r="O490" s="381"/>
      <c r="P490" s="381"/>
      <c r="Q490" s="381"/>
      <c r="R490" s="381"/>
      <c r="S490" s="381"/>
      <c r="T490" s="381"/>
      <c r="U490" s="381"/>
      <c r="V490" s="381"/>
      <c r="W490" s="381"/>
      <c r="X490" s="381"/>
      <c r="Y490" s="381"/>
      <c r="Z490" s="381"/>
    </row>
    <row r="491">
      <c r="A491" s="381"/>
      <c r="B491" s="18"/>
      <c r="C491" s="359"/>
      <c r="D491" s="359"/>
      <c r="E491" s="381"/>
      <c r="F491" s="381"/>
      <c r="G491" s="381"/>
      <c r="H491" s="381"/>
      <c r="I491" s="381"/>
      <c r="J491" s="381"/>
      <c r="K491" s="381"/>
      <c r="L491" s="381"/>
      <c r="M491" s="381"/>
      <c r="N491" s="381"/>
      <c r="O491" s="381"/>
      <c r="P491" s="381"/>
      <c r="Q491" s="381"/>
      <c r="R491" s="381"/>
      <c r="S491" s="381"/>
      <c r="T491" s="381"/>
      <c r="U491" s="381"/>
      <c r="V491" s="381"/>
      <c r="W491" s="381"/>
      <c r="X491" s="381"/>
      <c r="Y491" s="381"/>
      <c r="Z491" s="381"/>
    </row>
    <row r="492">
      <c r="A492" s="381"/>
      <c r="B492" s="18"/>
      <c r="C492" s="359"/>
      <c r="D492" s="359"/>
      <c r="E492" s="381"/>
      <c r="F492" s="381"/>
      <c r="G492" s="381"/>
      <c r="H492" s="381"/>
      <c r="I492" s="381"/>
      <c r="J492" s="381"/>
      <c r="K492" s="381"/>
      <c r="L492" s="381"/>
      <c r="M492" s="381"/>
      <c r="N492" s="381"/>
      <c r="O492" s="381"/>
      <c r="P492" s="381"/>
      <c r="Q492" s="381"/>
      <c r="R492" s="381"/>
      <c r="S492" s="381"/>
      <c r="T492" s="381"/>
      <c r="U492" s="381"/>
      <c r="V492" s="381"/>
      <c r="W492" s="381"/>
      <c r="X492" s="381"/>
      <c r="Y492" s="381"/>
      <c r="Z492" s="381"/>
    </row>
    <row r="493">
      <c r="A493" s="381"/>
      <c r="B493" s="18"/>
      <c r="C493" s="359"/>
      <c r="D493" s="359"/>
      <c r="E493" s="381"/>
      <c r="F493" s="381"/>
      <c r="G493" s="381"/>
      <c r="H493" s="381"/>
      <c r="I493" s="381"/>
      <c r="J493" s="381"/>
      <c r="K493" s="381"/>
      <c r="L493" s="381"/>
      <c r="M493" s="381"/>
      <c r="N493" s="381"/>
      <c r="O493" s="381"/>
      <c r="P493" s="381"/>
      <c r="Q493" s="381"/>
      <c r="R493" s="381"/>
      <c r="S493" s="381"/>
      <c r="T493" s="381"/>
      <c r="U493" s="381"/>
      <c r="V493" s="381"/>
      <c r="W493" s="381"/>
      <c r="X493" s="381"/>
      <c r="Y493" s="381"/>
      <c r="Z493" s="381"/>
    </row>
    <row r="494">
      <c r="A494" s="381"/>
      <c r="B494" s="18"/>
      <c r="C494" s="359"/>
      <c r="D494" s="359"/>
      <c r="E494" s="381"/>
      <c r="F494" s="381"/>
      <c r="G494" s="381"/>
      <c r="H494" s="381"/>
      <c r="I494" s="381"/>
      <c r="J494" s="381"/>
      <c r="K494" s="381"/>
      <c r="L494" s="381"/>
      <c r="M494" s="381"/>
      <c r="N494" s="381"/>
      <c r="O494" s="381"/>
      <c r="P494" s="381"/>
      <c r="Q494" s="381"/>
      <c r="R494" s="381"/>
      <c r="S494" s="381"/>
      <c r="T494" s="381"/>
      <c r="U494" s="381"/>
      <c r="V494" s="381"/>
      <c r="W494" s="381"/>
      <c r="X494" s="381"/>
      <c r="Y494" s="381"/>
      <c r="Z494" s="381"/>
    </row>
    <row r="495">
      <c r="A495" s="381"/>
      <c r="B495" s="18"/>
      <c r="C495" s="359"/>
      <c r="D495" s="359"/>
      <c r="E495" s="381"/>
      <c r="F495" s="381"/>
      <c r="G495" s="381"/>
      <c r="H495" s="381"/>
      <c r="I495" s="381"/>
      <c r="J495" s="381"/>
      <c r="K495" s="381"/>
      <c r="L495" s="381"/>
      <c r="M495" s="381"/>
      <c r="N495" s="381"/>
      <c r="O495" s="381"/>
      <c r="P495" s="381"/>
      <c r="Q495" s="381"/>
      <c r="R495" s="381"/>
      <c r="S495" s="381"/>
      <c r="T495" s="381"/>
      <c r="U495" s="381"/>
      <c r="V495" s="381"/>
      <c r="W495" s="381"/>
      <c r="X495" s="381"/>
      <c r="Y495" s="381"/>
      <c r="Z495" s="381"/>
    </row>
    <row r="496">
      <c r="A496" s="381"/>
      <c r="B496" s="18"/>
      <c r="C496" s="359"/>
      <c r="D496" s="359"/>
      <c r="E496" s="381"/>
      <c r="F496" s="381"/>
      <c r="G496" s="381"/>
      <c r="H496" s="381"/>
      <c r="I496" s="381"/>
      <c r="J496" s="381"/>
      <c r="K496" s="381"/>
      <c r="L496" s="381"/>
      <c r="M496" s="381"/>
      <c r="N496" s="381"/>
      <c r="O496" s="381"/>
      <c r="P496" s="381"/>
      <c r="Q496" s="381"/>
      <c r="R496" s="381"/>
      <c r="S496" s="381"/>
      <c r="T496" s="381"/>
      <c r="U496" s="381"/>
      <c r="V496" s="381"/>
      <c r="W496" s="381"/>
      <c r="X496" s="381"/>
      <c r="Y496" s="381"/>
      <c r="Z496" s="381"/>
    </row>
    <row r="497">
      <c r="A497" s="381"/>
      <c r="B497" s="18"/>
      <c r="C497" s="359"/>
      <c r="D497" s="359"/>
      <c r="E497" s="381"/>
      <c r="F497" s="381"/>
      <c r="G497" s="381"/>
      <c r="H497" s="381"/>
      <c r="I497" s="381"/>
      <c r="J497" s="381"/>
      <c r="K497" s="381"/>
      <c r="L497" s="381"/>
      <c r="M497" s="381"/>
      <c r="N497" s="381"/>
      <c r="O497" s="381"/>
      <c r="P497" s="381"/>
      <c r="Q497" s="381"/>
      <c r="R497" s="381"/>
      <c r="S497" s="381"/>
      <c r="T497" s="381"/>
      <c r="U497" s="381"/>
      <c r="V497" s="381"/>
      <c r="W497" s="381"/>
      <c r="X497" s="381"/>
      <c r="Y497" s="381"/>
      <c r="Z497" s="381"/>
    </row>
    <row r="498">
      <c r="A498" s="381"/>
      <c r="B498" s="18"/>
      <c r="C498" s="359"/>
      <c r="D498" s="359"/>
      <c r="E498" s="381"/>
      <c r="F498" s="381"/>
      <c r="G498" s="381"/>
      <c r="H498" s="381"/>
      <c r="I498" s="381"/>
      <c r="J498" s="381"/>
      <c r="K498" s="381"/>
      <c r="L498" s="381"/>
      <c r="M498" s="381"/>
      <c r="N498" s="381"/>
      <c r="O498" s="381"/>
      <c r="P498" s="381"/>
      <c r="Q498" s="381"/>
      <c r="R498" s="381"/>
      <c r="S498" s="381"/>
      <c r="T498" s="381"/>
      <c r="U498" s="381"/>
      <c r="V498" s="381"/>
      <c r="W498" s="381"/>
      <c r="X498" s="381"/>
      <c r="Y498" s="381"/>
      <c r="Z498" s="381"/>
    </row>
    <row r="499">
      <c r="A499" s="381"/>
      <c r="B499" s="18"/>
      <c r="C499" s="359"/>
      <c r="D499" s="359"/>
      <c r="E499" s="381"/>
      <c r="F499" s="381"/>
      <c r="G499" s="381"/>
      <c r="H499" s="381"/>
      <c r="I499" s="381"/>
      <c r="J499" s="381"/>
      <c r="K499" s="381"/>
      <c r="L499" s="381"/>
      <c r="M499" s="381"/>
      <c r="N499" s="381"/>
      <c r="O499" s="381"/>
      <c r="P499" s="381"/>
      <c r="Q499" s="381"/>
      <c r="R499" s="381"/>
      <c r="S499" s="381"/>
      <c r="T499" s="381"/>
      <c r="U499" s="381"/>
      <c r="V499" s="381"/>
      <c r="W499" s="381"/>
      <c r="X499" s="381"/>
      <c r="Y499" s="381"/>
      <c r="Z499" s="381"/>
    </row>
    <row r="500">
      <c r="A500" s="381"/>
      <c r="B500" s="18"/>
      <c r="C500" s="359"/>
      <c r="D500" s="359"/>
      <c r="E500" s="381"/>
      <c r="F500" s="381"/>
      <c r="G500" s="381"/>
      <c r="H500" s="381"/>
      <c r="I500" s="381"/>
      <c r="J500" s="381"/>
      <c r="K500" s="381"/>
      <c r="L500" s="381"/>
      <c r="M500" s="381"/>
      <c r="N500" s="381"/>
      <c r="O500" s="381"/>
      <c r="P500" s="381"/>
      <c r="Q500" s="381"/>
      <c r="R500" s="381"/>
      <c r="S500" s="381"/>
      <c r="T500" s="381"/>
      <c r="U500" s="381"/>
      <c r="V500" s="381"/>
      <c r="W500" s="381"/>
      <c r="X500" s="381"/>
      <c r="Y500" s="381"/>
      <c r="Z500" s="381"/>
    </row>
    <row r="501">
      <c r="A501" s="381"/>
      <c r="B501" s="18"/>
      <c r="C501" s="359"/>
      <c r="D501" s="359"/>
      <c r="E501" s="381"/>
      <c r="F501" s="381"/>
      <c r="G501" s="381"/>
      <c r="H501" s="381"/>
      <c r="I501" s="381"/>
      <c r="J501" s="381"/>
      <c r="K501" s="381"/>
      <c r="L501" s="381"/>
      <c r="M501" s="381"/>
      <c r="N501" s="381"/>
      <c r="O501" s="381"/>
      <c r="P501" s="381"/>
      <c r="Q501" s="381"/>
      <c r="R501" s="381"/>
      <c r="S501" s="381"/>
      <c r="T501" s="381"/>
      <c r="U501" s="381"/>
      <c r="V501" s="381"/>
      <c r="W501" s="381"/>
      <c r="X501" s="381"/>
      <c r="Y501" s="381"/>
      <c r="Z501" s="381"/>
    </row>
    <row r="502">
      <c r="A502" s="381"/>
      <c r="B502" s="18"/>
      <c r="C502" s="359"/>
      <c r="D502" s="359"/>
      <c r="E502" s="381"/>
      <c r="F502" s="381"/>
      <c r="G502" s="381"/>
      <c r="H502" s="381"/>
      <c r="I502" s="381"/>
      <c r="J502" s="381"/>
      <c r="K502" s="381"/>
      <c r="L502" s="381"/>
      <c r="M502" s="381"/>
      <c r="N502" s="381"/>
      <c r="O502" s="381"/>
      <c r="P502" s="381"/>
      <c r="Q502" s="381"/>
      <c r="R502" s="381"/>
      <c r="S502" s="381"/>
      <c r="T502" s="381"/>
      <c r="U502" s="381"/>
      <c r="V502" s="381"/>
      <c r="W502" s="381"/>
      <c r="X502" s="381"/>
      <c r="Y502" s="381"/>
      <c r="Z502" s="381"/>
    </row>
    <row r="503">
      <c r="A503" s="381"/>
      <c r="B503" s="18"/>
      <c r="C503" s="359"/>
      <c r="D503" s="359"/>
      <c r="E503" s="381"/>
      <c r="F503" s="381"/>
      <c r="G503" s="381"/>
      <c r="H503" s="381"/>
      <c r="I503" s="381"/>
      <c r="J503" s="381"/>
      <c r="K503" s="381"/>
      <c r="L503" s="381"/>
      <c r="M503" s="381"/>
      <c r="N503" s="381"/>
      <c r="O503" s="381"/>
      <c r="P503" s="381"/>
      <c r="Q503" s="381"/>
      <c r="R503" s="381"/>
      <c r="S503" s="381"/>
      <c r="T503" s="381"/>
      <c r="U503" s="381"/>
      <c r="V503" s="381"/>
      <c r="W503" s="381"/>
      <c r="X503" s="381"/>
      <c r="Y503" s="381"/>
      <c r="Z503" s="381"/>
    </row>
    <row r="504">
      <c r="A504" s="381"/>
      <c r="B504" s="18"/>
      <c r="C504" s="359"/>
      <c r="D504" s="359"/>
      <c r="E504" s="381"/>
      <c r="F504" s="381"/>
      <c r="G504" s="381"/>
      <c r="H504" s="381"/>
      <c r="I504" s="381"/>
      <c r="J504" s="381"/>
      <c r="K504" s="381"/>
      <c r="L504" s="381"/>
      <c r="M504" s="381"/>
      <c r="N504" s="381"/>
      <c r="O504" s="381"/>
      <c r="P504" s="381"/>
      <c r="Q504" s="381"/>
      <c r="R504" s="381"/>
      <c r="S504" s="381"/>
      <c r="T504" s="381"/>
      <c r="U504" s="381"/>
      <c r="V504" s="381"/>
      <c r="W504" s="381"/>
      <c r="X504" s="381"/>
      <c r="Y504" s="381"/>
      <c r="Z504" s="381"/>
    </row>
    <row r="505">
      <c r="A505" s="381"/>
      <c r="B505" s="18"/>
      <c r="C505" s="359"/>
      <c r="D505" s="359"/>
      <c r="E505" s="381"/>
      <c r="F505" s="381"/>
      <c r="G505" s="381"/>
      <c r="H505" s="381"/>
      <c r="I505" s="381"/>
      <c r="J505" s="381"/>
      <c r="K505" s="381"/>
      <c r="L505" s="381"/>
      <c r="M505" s="381"/>
      <c r="N505" s="381"/>
      <c r="O505" s="381"/>
      <c r="P505" s="381"/>
      <c r="Q505" s="381"/>
      <c r="R505" s="381"/>
      <c r="S505" s="381"/>
      <c r="T505" s="381"/>
      <c r="U505" s="381"/>
      <c r="V505" s="381"/>
      <c r="W505" s="381"/>
      <c r="X505" s="381"/>
      <c r="Y505" s="381"/>
      <c r="Z505" s="381"/>
    </row>
    <row r="506">
      <c r="A506" s="381"/>
      <c r="B506" s="18"/>
      <c r="C506" s="359"/>
      <c r="D506" s="359"/>
      <c r="E506" s="381"/>
      <c r="F506" s="381"/>
      <c r="G506" s="381"/>
      <c r="H506" s="381"/>
      <c r="I506" s="381"/>
      <c r="J506" s="381"/>
      <c r="K506" s="381"/>
      <c r="L506" s="381"/>
      <c r="M506" s="381"/>
      <c r="N506" s="381"/>
      <c r="O506" s="381"/>
      <c r="P506" s="381"/>
      <c r="Q506" s="381"/>
      <c r="R506" s="381"/>
      <c r="S506" s="381"/>
      <c r="T506" s="381"/>
      <c r="U506" s="381"/>
      <c r="V506" s="381"/>
      <c r="W506" s="381"/>
      <c r="X506" s="381"/>
      <c r="Y506" s="381"/>
      <c r="Z506" s="381"/>
    </row>
    <row r="507">
      <c r="A507" s="381"/>
      <c r="B507" s="18"/>
      <c r="C507" s="359"/>
      <c r="D507" s="359"/>
      <c r="E507" s="381"/>
      <c r="F507" s="381"/>
      <c r="G507" s="381"/>
      <c r="H507" s="381"/>
      <c r="I507" s="381"/>
      <c r="J507" s="381"/>
      <c r="K507" s="381"/>
      <c r="L507" s="381"/>
      <c r="M507" s="381"/>
      <c r="N507" s="381"/>
      <c r="O507" s="381"/>
      <c r="P507" s="381"/>
      <c r="Q507" s="381"/>
      <c r="R507" s="381"/>
      <c r="S507" s="381"/>
      <c r="T507" s="381"/>
      <c r="U507" s="381"/>
      <c r="V507" s="381"/>
      <c r="W507" s="381"/>
      <c r="X507" s="381"/>
      <c r="Y507" s="381"/>
      <c r="Z507" s="381"/>
    </row>
    <row r="508">
      <c r="A508" s="381"/>
      <c r="B508" s="18"/>
      <c r="C508" s="359"/>
      <c r="D508" s="359"/>
      <c r="E508" s="381"/>
      <c r="F508" s="381"/>
      <c r="G508" s="381"/>
      <c r="H508" s="381"/>
      <c r="I508" s="381"/>
      <c r="J508" s="381"/>
      <c r="K508" s="381"/>
      <c r="L508" s="381"/>
      <c r="M508" s="381"/>
      <c r="N508" s="381"/>
      <c r="O508" s="381"/>
      <c r="P508" s="381"/>
      <c r="Q508" s="381"/>
      <c r="R508" s="381"/>
      <c r="S508" s="381"/>
      <c r="T508" s="381"/>
      <c r="U508" s="381"/>
      <c r="V508" s="381"/>
      <c r="W508" s="381"/>
      <c r="X508" s="381"/>
      <c r="Y508" s="381"/>
      <c r="Z508" s="381"/>
    </row>
    <row r="509">
      <c r="A509" s="381"/>
      <c r="B509" s="18"/>
      <c r="C509" s="359"/>
      <c r="D509" s="359"/>
      <c r="E509" s="381"/>
      <c r="F509" s="381"/>
      <c r="G509" s="381"/>
      <c r="H509" s="381"/>
      <c r="I509" s="381"/>
      <c r="J509" s="381"/>
      <c r="K509" s="381"/>
      <c r="L509" s="381"/>
      <c r="M509" s="381"/>
      <c r="N509" s="381"/>
      <c r="O509" s="381"/>
      <c r="P509" s="381"/>
      <c r="Q509" s="381"/>
      <c r="R509" s="381"/>
      <c r="S509" s="381"/>
      <c r="T509" s="381"/>
      <c r="U509" s="381"/>
      <c r="V509" s="381"/>
      <c r="W509" s="381"/>
      <c r="X509" s="381"/>
      <c r="Y509" s="381"/>
      <c r="Z509" s="381"/>
    </row>
    <row r="510">
      <c r="A510" s="381"/>
      <c r="B510" s="18"/>
      <c r="C510" s="359"/>
      <c r="D510" s="359"/>
      <c r="E510" s="381"/>
      <c r="F510" s="381"/>
      <c r="G510" s="381"/>
      <c r="H510" s="381"/>
      <c r="I510" s="381"/>
      <c r="J510" s="381"/>
      <c r="K510" s="381"/>
      <c r="L510" s="381"/>
      <c r="M510" s="381"/>
      <c r="N510" s="381"/>
      <c r="O510" s="381"/>
      <c r="P510" s="381"/>
      <c r="Q510" s="381"/>
      <c r="R510" s="381"/>
      <c r="S510" s="381"/>
      <c r="T510" s="381"/>
      <c r="U510" s="381"/>
      <c r="V510" s="381"/>
      <c r="W510" s="381"/>
      <c r="X510" s="381"/>
      <c r="Y510" s="381"/>
      <c r="Z510" s="381"/>
    </row>
    <row r="511">
      <c r="A511" s="381"/>
      <c r="B511" s="18"/>
      <c r="C511" s="359"/>
      <c r="D511" s="359"/>
      <c r="E511" s="381"/>
      <c r="F511" s="381"/>
      <c r="G511" s="381"/>
      <c r="H511" s="381"/>
      <c r="I511" s="381"/>
      <c r="J511" s="381"/>
      <c r="K511" s="381"/>
      <c r="L511" s="381"/>
      <c r="M511" s="381"/>
      <c r="N511" s="381"/>
      <c r="O511" s="381"/>
      <c r="P511" s="381"/>
      <c r="Q511" s="381"/>
      <c r="R511" s="381"/>
      <c r="S511" s="381"/>
      <c r="T511" s="381"/>
      <c r="U511" s="381"/>
      <c r="V511" s="381"/>
      <c r="W511" s="381"/>
      <c r="X511" s="381"/>
      <c r="Y511" s="381"/>
      <c r="Z511" s="381"/>
    </row>
    <row r="512">
      <c r="A512" s="381"/>
      <c r="B512" s="18"/>
      <c r="C512" s="359"/>
      <c r="D512" s="359"/>
      <c r="E512" s="381"/>
      <c r="F512" s="381"/>
      <c r="G512" s="381"/>
      <c r="H512" s="381"/>
      <c r="I512" s="381"/>
      <c r="J512" s="381"/>
      <c r="K512" s="381"/>
      <c r="L512" s="381"/>
      <c r="M512" s="381"/>
      <c r="N512" s="381"/>
      <c r="O512" s="381"/>
      <c r="P512" s="381"/>
      <c r="Q512" s="381"/>
      <c r="R512" s="381"/>
      <c r="S512" s="381"/>
      <c r="T512" s="381"/>
      <c r="U512" s="381"/>
      <c r="V512" s="381"/>
      <c r="W512" s="381"/>
      <c r="X512" s="381"/>
      <c r="Y512" s="381"/>
      <c r="Z512" s="381"/>
    </row>
    <row r="513">
      <c r="A513" s="381"/>
      <c r="B513" s="18"/>
      <c r="C513" s="359"/>
      <c r="D513" s="359"/>
      <c r="E513" s="381"/>
      <c r="F513" s="381"/>
      <c r="G513" s="381"/>
      <c r="H513" s="381"/>
      <c r="I513" s="381"/>
      <c r="J513" s="381"/>
      <c r="K513" s="381"/>
      <c r="L513" s="381"/>
      <c r="M513" s="381"/>
      <c r="N513" s="381"/>
      <c r="O513" s="381"/>
      <c r="P513" s="381"/>
      <c r="Q513" s="381"/>
      <c r="R513" s="381"/>
      <c r="S513" s="381"/>
      <c r="T513" s="381"/>
      <c r="U513" s="381"/>
      <c r="V513" s="381"/>
      <c r="W513" s="381"/>
      <c r="X513" s="381"/>
      <c r="Y513" s="381"/>
      <c r="Z513" s="381"/>
    </row>
    <row r="514">
      <c r="A514" s="381"/>
      <c r="B514" s="18"/>
      <c r="C514" s="359"/>
      <c r="D514" s="359"/>
      <c r="E514" s="381"/>
      <c r="F514" s="381"/>
      <c r="G514" s="381"/>
      <c r="H514" s="381"/>
      <c r="I514" s="381"/>
      <c r="J514" s="381"/>
      <c r="K514" s="381"/>
      <c r="L514" s="381"/>
      <c r="M514" s="381"/>
      <c r="N514" s="381"/>
      <c r="O514" s="381"/>
      <c r="P514" s="381"/>
      <c r="Q514" s="381"/>
      <c r="R514" s="381"/>
      <c r="S514" s="381"/>
      <c r="T514" s="381"/>
      <c r="U514" s="381"/>
      <c r="V514" s="381"/>
      <c r="W514" s="381"/>
      <c r="X514" s="381"/>
      <c r="Y514" s="381"/>
      <c r="Z514" s="381"/>
    </row>
    <row r="515">
      <c r="A515" s="381"/>
      <c r="B515" s="18"/>
      <c r="C515" s="359"/>
      <c r="D515" s="359"/>
      <c r="E515" s="381"/>
      <c r="F515" s="381"/>
      <c r="G515" s="381"/>
      <c r="H515" s="381"/>
      <c r="I515" s="381"/>
      <c r="J515" s="381"/>
      <c r="K515" s="381"/>
      <c r="L515" s="381"/>
      <c r="M515" s="381"/>
      <c r="N515" s="381"/>
      <c r="O515" s="381"/>
      <c r="P515" s="381"/>
      <c r="Q515" s="381"/>
      <c r="R515" s="381"/>
      <c r="S515" s="381"/>
      <c r="T515" s="381"/>
      <c r="U515" s="381"/>
      <c r="V515" s="381"/>
      <c r="W515" s="381"/>
      <c r="X515" s="381"/>
      <c r="Y515" s="381"/>
      <c r="Z515" s="381"/>
    </row>
    <row r="516">
      <c r="A516" s="381"/>
      <c r="B516" s="18"/>
      <c r="C516" s="359"/>
      <c r="D516" s="359"/>
      <c r="E516" s="381"/>
      <c r="F516" s="381"/>
      <c r="G516" s="381"/>
      <c r="H516" s="381"/>
      <c r="I516" s="381"/>
      <c r="J516" s="381"/>
      <c r="K516" s="381"/>
      <c r="L516" s="381"/>
      <c r="M516" s="381"/>
      <c r="N516" s="381"/>
      <c r="O516" s="381"/>
      <c r="P516" s="381"/>
      <c r="Q516" s="381"/>
      <c r="R516" s="381"/>
      <c r="S516" s="381"/>
      <c r="T516" s="381"/>
      <c r="U516" s="381"/>
      <c r="V516" s="381"/>
      <c r="W516" s="381"/>
      <c r="X516" s="381"/>
      <c r="Y516" s="381"/>
      <c r="Z516" s="381"/>
    </row>
    <row r="517">
      <c r="A517" s="381"/>
      <c r="B517" s="18"/>
      <c r="C517" s="359"/>
      <c r="D517" s="359"/>
      <c r="E517" s="381"/>
      <c r="F517" s="381"/>
      <c r="G517" s="381"/>
      <c r="H517" s="381"/>
      <c r="I517" s="381"/>
      <c r="J517" s="381"/>
      <c r="K517" s="381"/>
      <c r="L517" s="381"/>
      <c r="M517" s="381"/>
      <c r="N517" s="381"/>
      <c r="O517" s="381"/>
      <c r="P517" s="381"/>
      <c r="Q517" s="381"/>
      <c r="R517" s="381"/>
      <c r="S517" s="381"/>
      <c r="T517" s="381"/>
      <c r="U517" s="381"/>
      <c r="V517" s="381"/>
      <c r="W517" s="381"/>
      <c r="X517" s="381"/>
      <c r="Y517" s="381"/>
      <c r="Z517" s="381"/>
    </row>
    <row r="518">
      <c r="A518" s="381"/>
      <c r="B518" s="18"/>
      <c r="C518" s="359"/>
      <c r="D518" s="359"/>
      <c r="E518" s="381"/>
      <c r="F518" s="381"/>
      <c r="G518" s="381"/>
      <c r="H518" s="381"/>
      <c r="I518" s="381"/>
      <c r="J518" s="381"/>
      <c r="K518" s="381"/>
      <c r="L518" s="381"/>
      <c r="M518" s="381"/>
      <c r="N518" s="381"/>
      <c r="O518" s="381"/>
      <c r="P518" s="381"/>
      <c r="Q518" s="381"/>
      <c r="R518" s="381"/>
      <c r="S518" s="381"/>
      <c r="T518" s="381"/>
      <c r="U518" s="381"/>
      <c r="V518" s="381"/>
      <c r="W518" s="381"/>
      <c r="X518" s="381"/>
      <c r="Y518" s="381"/>
      <c r="Z518" s="381"/>
    </row>
    <row r="519">
      <c r="A519" s="381"/>
      <c r="B519" s="18"/>
      <c r="C519" s="359"/>
      <c r="D519" s="359"/>
      <c r="E519" s="381"/>
      <c r="F519" s="381"/>
      <c r="G519" s="381"/>
      <c r="H519" s="381"/>
      <c r="I519" s="381"/>
      <c r="J519" s="381"/>
      <c r="K519" s="381"/>
      <c r="L519" s="381"/>
      <c r="M519" s="381"/>
      <c r="N519" s="381"/>
      <c r="O519" s="381"/>
      <c r="P519" s="381"/>
      <c r="Q519" s="381"/>
      <c r="R519" s="381"/>
      <c r="S519" s="381"/>
      <c r="T519" s="381"/>
      <c r="U519" s="381"/>
      <c r="V519" s="381"/>
      <c r="W519" s="381"/>
      <c r="X519" s="381"/>
      <c r="Y519" s="381"/>
      <c r="Z519" s="381"/>
    </row>
    <row r="520">
      <c r="A520" s="381"/>
      <c r="B520" s="18"/>
      <c r="C520" s="359"/>
      <c r="D520" s="359"/>
      <c r="E520" s="381"/>
      <c r="F520" s="381"/>
      <c r="G520" s="381"/>
      <c r="H520" s="381"/>
      <c r="I520" s="381"/>
      <c r="J520" s="381"/>
      <c r="K520" s="381"/>
      <c r="L520" s="381"/>
      <c r="M520" s="381"/>
      <c r="N520" s="381"/>
      <c r="O520" s="381"/>
      <c r="P520" s="381"/>
      <c r="Q520" s="381"/>
      <c r="R520" s="381"/>
      <c r="S520" s="381"/>
      <c r="T520" s="381"/>
      <c r="U520" s="381"/>
      <c r="V520" s="381"/>
      <c r="W520" s="381"/>
      <c r="X520" s="381"/>
      <c r="Y520" s="381"/>
      <c r="Z520" s="381"/>
    </row>
    <row r="521">
      <c r="A521" s="381"/>
      <c r="B521" s="18"/>
      <c r="C521" s="359"/>
      <c r="D521" s="359"/>
      <c r="E521" s="381"/>
      <c r="F521" s="381"/>
      <c r="G521" s="381"/>
      <c r="H521" s="381"/>
      <c r="I521" s="381"/>
      <c r="J521" s="381"/>
      <c r="K521" s="381"/>
      <c r="L521" s="381"/>
      <c r="M521" s="381"/>
      <c r="N521" s="381"/>
      <c r="O521" s="381"/>
      <c r="P521" s="381"/>
      <c r="Q521" s="381"/>
      <c r="R521" s="381"/>
      <c r="S521" s="381"/>
      <c r="T521" s="381"/>
      <c r="U521" s="381"/>
      <c r="V521" s="381"/>
      <c r="W521" s="381"/>
      <c r="X521" s="381"/>
      <c r="Y521" s="381"/>
      <c r="Z521" s="381"/>
    </row>
    <row r="522">
      <c r="A522" s="381"/>
      <c r="B522" s="18"/>
      <c r="C522" s="359"/>
      <c r="D522" s="359"/>
      <c r="E522" s="381"/>
      <c r="F522" s="381"/>
      <c r="G522" s="381"/>
      <c r="H522" s="381"/>
      <c r="I522" s="381"/>
      <c r="J522" s="381"/>
      <c r="K522" s="381"/>
      <c r="L522" s="381"/>
      <c r="M522" s="381"/>
      <c r="N522" s="381"/>
      <c r="O522" s="381"/>
      <c r="P522" s="381"/>
      <c r="Q522" s="381"/>
      <c r="R522" s="381"/>
      <c r="S522" s="381"/>
      <c r="T522" s="381"/>
      <c r="U522" s="381"/>
      <c r="V522" s="381"/>
      <c r="W522" s="381"/>
      <c r="X522" s="381"/>
      <c r="Y522" s="381"/>
      <c r="Z522" s="381"/>
    </row>
    <row r="523">
      <c r="A523" s="381"/>
      <c r="B523" s="18"/>
      <c r="C523" s="359"/>
      <c r="D523" s="359"/>
      <c r="E523" s="381"/>
      <c r="F523" s="381"/>
      <c r="G523" s="381"/>
      <c r="H523" s="381"/>
      <c r="I523" s="381"/>
      <c r="J523" s="381"/>
      <c r="K523" s="381"/>
      <c r="L523" s="381"/>
      <c r="M523" s="381"/>
      <c r="N523" s="381"/>
      <c r="O523" s="381"/>
      <c r="P523" s="381"/>
      <c r="Q523" s="381"/>
      <c r="R523" s="381"/>
      <c r="S523" s="381"/>
      <c r="T523" s="381"/>
      <c r="U523" s="381"/>
      <c r="V523" s="381"/>
      <c r="W523" s="381"/>
      <c r="X523" s="381"/>
      <c r="Y523" s="381"/>
      <c r="Z523" s="381"/>
    </row>
    <row r="524">
      <c r="A524" s="381"/>
      <c r="B524" s="18"/>
      <c r="C524" s="359"/>
      <c r="D524" s="359"/>
      <c r="E524" s="381"/>
      <c r="F524" s="381"/>
      <c r="G524" s="381"/>
      <c r="H524" s="381"/>
      <c r="I524" s="381"/>
      <c r="J524" s="381"/>
      <c r="K524" s="381"/>
      <c r="L524" s="381"/>
      <c r="M524" s="381"/>
      <c r="N524" s="381"/>
      <c r="O524" s="381"/>
      <c r="P524" s="381"/>
      <c r="Q524" s="381"/>
      <c r="R524" s="381"/>
      <c r="S524" s="381"/>
      <c r="T524" s="381"/>
      <c r="U524" s="381"/>
      <c r="V524" s="381"/>
      <c r="W524" s="381"/>
      <c r="X524" s="381"/>
      <c r="Y524" s="381"/>
      <c r="Z524" s="381"/>
    </row>
    <row r="525">
      <c r="A525" s="381"/>
      <c r="B525" s="18"/>
      <c r="C525" s="359"/>
      <c r="D525" s="359"/>
      <c r="E525" s="381"/>
      <c r="F525" s="381"/>
      <c r="G525" s="381"/>
      <c r="H525" s="381"/>
      <c r="I525" s="381"/>
      <c r="J525" s="381"/>
      <c r="K525" s="381"/>
      <c r="L525" s="381"/>
      <c r="M525" s="381"/>
      <c r="N525" s="381"/>
      <c r="O525" s="381"/>
      <c r="P525" s="381"/>
      <c r="Q525" s="381"/>
      <c r="R525" s="381"/>
      <c r="S525" s="381"/>
      <c r="T525" s="381"/>
      <c r="U525" s="381"/>
      <c r="V525" s="381"/>
      <c r="W525" s="381"/>
      <c r="X525" s="381"/>
      <c r="Y525" s="381"/>
      <c r="Z525" s="381"/>
    </row>
    <row r="526">
      <c r="A526" s="381"/>
      <c r="B526" s="18"/>
      <c r="C526" s="359"/>
      <c r="D526" s="359"/>
      <c r="E526" s="381"/>
      <c r="F526" s="381"/>
      <c r="G526" s="381"/>
      <c r="H526" s="381"/>
      <c r="I526" s="381"/>
      <c r="J526" s="381"/>
      <c r="K526" s="381"/>
      <c r="L526" s="381"/>
      <c r="M526" s="381"/>
      <c r="N526" s="381"/>
      <c r="O526" s="381"/>
      <c r="P526" s="381"/>
      <c r="Q526" s="381"/>
      <c r="R526" s="381"/>
      <c r="S526" s="381"/>
      <c r="T526" s="381"/>
      <c r="U526" s="381"/>
      <c r="V526" s="381"/>
      <c r="W526" s="381"/>
      <c r="X526" s="381"/>
      <c r="Y526" s="381"/>
      <c r="Z526" s="381"/>
    </row>
    <row r="527">
      <c r="A527" s="381"/>
      <c r="B527" s="18"/>
      <c r="C527" s="359"/>
      <c r="D527" s="359"/>
      <c r="E527" s="381"/>
      <c r="F527" s="381"/>
      <c r="G527" s="381"/>
      <c r="H527" s="381"/>
      <c r="I527" s="381"/>
      <c r="J527" s="381"/>
      <c r="K527" s="381"/>
      <c r="L527" s="381"/>
      <c r="M527" s="381"/>
      <c r="N527" s="381"/>
      <c r="O527" s="381"/>
      <c r="P527" s="381"/>
      <c r="Q527" s="381"/>
      <c r="R527" s="381"/>
      <c r="S527" s="381"/>
      <c r="T527" s="381"/>
      <c r="U527" s="381"/>
      <c r="V527" s="381"/>
      <c r="W527" s="381"/>
      <c r="X527" s="381"/>
      <c r="Y527" s="381"/>
      <c r="Z527" s="381"/>
    </row>
    <row r="528">
      <c r="A528" s="381"/>
      <c r="B528" s="18"/>
      <c r="C528" s="359"/>
      <c r="D528" s="359"/>
      <c r="E528" s="381"/>
      <c r="F528" s="381"/>
      <c r="G528" s="381"/>
      <c r="H528" s="381"/>
      <c r="I528" s="381"/>
      <c r="J528" s="381"/>
      <c r="K528" s="381"/>
      <c r="L528" s="381"/>
      <c r="M528" s="381"/>
      <c r="N528" s="381"/>
      <c r="O528" s="381"/>
      <c r="P528" s="381"/>
      <c r="Q528" s="381"/>
      <c r="R528" s="381"/>
      <c r="S528" s="381"/>
      <c r="T528" s="381"/>
      <c r="U528" s="381"/>
      <c r="V528" s="381"/>
      <c r="W528" s="381"/>
      <c r="X528" s="381"/>
      <c r="Y528" s="381"/>
      <c r="Z528" s="381"/>
    </row>
    <row r="529">
      <c r="A529" s="381"/>
      <c r="B529" s="18"/>
      <c r="C529" s="359"/>
      <c r="D529" s="359"/>
      <c r="E529" s="381"/>
      <c r="F529" s="381"/>
      <c r="G529" s="381"/>
      <c r="H529" s="381"/>
      <c r="I529" s="381"/>
      <c r="J529" s="381"/>
      <c r="K529" s="381"/>
      <c r="L529" s="381"/>
      <c r="M529" s="381"/>
      <c r="N529" s="381"/>
      <c r="O529" s="381"/>
      <c r="P529" s="381"/>
      <c r="Q529" s="381"/>
      <c r="R529" s="381"/>
      <c r="S529" s="381"/>
      <c r="T529" s="381"/>
      <c r="U529" s="381"/>
      <c r="V529" s="381"/>
      <c r="W529" s="381"/>
      <c r="X529" s="381"/>
      <c r="Y529" s="381"/>
      <c r="Z529" s="381"/>
    </row>
    <row r="530">
      <c r="A530" s="381"/>
      <c r="B530" s="18"/>
      <c r="C530" s="359"/>
      <c r="D530" s="359"/>
      <c r="E530" s="381"/>
      <c r="F530" s="381"/>
      <c r="G530" s="381"/>
      <c r="H530" s="381"/>
      <c r="I530" s="381"/>
      <c r="J530" s="381"/>
      <c r="K530" s="381"/>
      <c r="L530" s="381"/>
      <c r="M530" s="381"/>
      <c r="N530" s="381"/>
      <c r="O530" s="381"/>
      <c r="P530" s="381"/>
      <c r="Q530" s="381"/>
      <c r="R530" s="381"/>
      <c r="S530" s="381"/>
      <c r="T530" s="381"/>
      <c r="U530" s="381"/>
      <c r="V530" s="381"/>
      <c r="W530" s="381"/>
      <c r="X530" s="381"/>
      <c r="Y530" s="381"/>
      <c r="Z530" s="381"/>
    </row>
    <row r="531">
      <c r="A531" s="381"/>
      <c r="B531" s="18"/>
      <c r="C531" s="359"/>
      <c r="D531" s="359"/>
      <c r="E531" s="381"/>
      <c r="F531" s="381"/>
      <c r="G531" s="381"/>
      <c r="H531" s="381"/>
      <c r="I531" s="381"/>
      <c r="J531" s="381"/>
      <c r="K531" s="381"/>
      <c r="L531" s="381"/>
      <c r="M531" s="381"/>
      <c r="N531" s="381"/>
      <c r="O531" s="381"/>
      <c r="P531" s="381"/>
      <c r="Q531" s="381"/>
      <c r="R531" s="381"/>
      <c r="S531" s="381"/>
      <c r="T531" s="381"/>
      <c r="U531" s="381"/>
      <c r="V531" s="381"/>
      <c r="W531" s="381"/>
      <c r="X531" s="381"/>
      <c r="Y531" s="381"/>
      <c r="Z531" s="381"/>
    </row>
    <row r="532">
      <c r="A532" s="381"/>
      <c r="B532" s="18"/>
      <c r="C532" s="359"/>
      <c r="D532" s="359"/>
      <c r="E532" s="381"/>
      <c r="F532" s="381"/>
      <c r="G532" s="381"/>
      <c r="H532" s="381"/>
      <c r="I532" s="381"/>
      <c r="J532" s="381"/>
      <c r="K532" s="381"/>
      <c r="L532" s="381"/>
      <c r="M532" s="381"/>
      <c r="N532" s="381"/>
      <c r="O532" s="381"/>
      <c r="P532" s="381"/>
      <c r="Q532" s="381"/>
      <c r="R532" s="381"/>
      <c r="S532" s="381"/>
      <c r="T532" s="381"/>
      <c r="U532" s="381"/>
      <c r="V532" s="381"/>
      <c r="W532" s="381"/>
      <c r="X532" s="381"/>
      <c r="Y532" s="381"/>
      <c r="Z532" s="381"/>
    </row>
    <row r="533">
      <c r="A533" s="381"/>
      <c r="B533" s="18"/>
      <c r="C533" s="359"/>
      <c r="D533" s="359"/>
      <c r="E533" s="381"/>
      <c r="F533" s="381"/>
      <c r="G533" s="381"/>
      <c r="H533" s="381"/>
      <c r="I533" s="381"/>
      <c r="J533" s="381"/>
      <c r="K533" s="381"/>
      <c r="L533" s="381"/>
      <c r="M533" s="381"/>
      <c r="N533" s="381"/>
      <c r="O533" s="381"/>
      <c r="P533" s="381"/>
      <c r="Q533" s="381"/>
      <c r="R533" s="381"/>
      <c r="S533" s="381"/>
      <c r="T533" s="381"/>
      <c r="U533" s="381"/>
      <c r="V533" s="381"/>
      <c r="W533" s="381"/>
      <c r="X533" s="381"/>
      <c r="Y533" s="381"/>
      <c r="Z533" s="381"/>
    </row>
    <row r="534">
      <c r="A534" s="381"/>
      <c r="B534" s="18"/>
      <c r="C534" s="359"/>
      <c r="D534" s="359"/>
      <c r="E534" s="381"/>
      <c r="F534" s="381"/>
      <c r="G534" s="381"/>
      <c r="H534" s="381"/>
      <c r="I534" s="381"/>
      <c r="J534" s="381"/>
      <c r="K534" s="381"/>
      <c r="L534" s="381"/>
      <c r="M534" s="381"/>
      <c r="N534" s="381"/>
      <c r="O534" s="381"/>
      <c r="P534" s="381"/>
      <c r="Q534" s="381"/>
      <c r="R534" s="381"/>
      <c r="S534" s="381"/>
      <c r="T534" s="381"/>
      <c r="U534" s="381"/>
      <c r="V534" s="381"/>
      <c r="W534" s="381"/>
      <c r="X534" s="381"/>
      <c r="Y534" s="381"/>
      <c r="Z534" s="381"/>
    </row>
    <row r="535">
      <c r="A535" s="381"/>
      <c r="B535" s="18"/>
      <c r="C535" s="359"/>
      <c r="D535" s="359"/>
      <c r="E535" s="381"/>
      <c r="F535" s="381"/>
      <c r="G535" s="381"/>
      <c r="H535" s="381"/>
      <c r="I535" s="381"/>
      <c r="J535" s="381"/>
      <c r="K535" s="381"/>
      <c r="L535" s="381"/>
      <c r="M535" s="381"/>
      <c r="N535" s="381"/>
      <c r="O535" s="381"/>
      <c r="P535" s="381"/>
      <c r="Q535" s="381"/>
      <c r="R535" s="381"/>
      <c r="S535" s="381"/>
      <c r="T535" s="381"/>
      <c r="U535" s="381"/>
      <c r="V535" s="381"/>
      <c r="W535" s="381"/>
      <c r="X535" s="381"/>
      <c r="Y535" s="381"/>
      <c r="Z535" s="381"/>
    </row>
    <row r="536">
      <c r="A536" s="381"/>
      <c r="B536" s="18"/>
      <c r="C536" s="359"/>
      <c r="D536" s="359"/>
      <c r="E536" s="381"/>
      <c r="F536" s="381"/>
      <c r="G536" s="381"/>
      <c r="H536" s="381"/>
      <c r="I536" s="381"/>
      <c r="J536" s="381"/>
      <c r="K536" s="381"/>
      <c r="L536" s="381"/>
      <c r="M536" s="381"/>
      <c r="N536" s="381"/>
      <c r="O536" s="381"/>
      <c r="P536" s="381"/>
      <c r="Q536" s="381"/>
      <c r="R536" s="381"/>
      <c r="S536" s="381"/>
      <c r="T536" s="381"/>
      <c r="U536" s="381"/>
      <c r="V536" s="381"/>
      <c r="W536" s="381"/>
      <c r="X536" s="381"/>
      <c r="Y536" s="381"/>
      <c r="Z536" s="381"/>
    </row>
    <row r="537">
      <c r="A537" s="381"/>
      <c r="B537" s="18"/>
      <c r="C537" s="359"/>
      <c r="D537" s="359"/>
      <c r="E537" s="381"/>
      <c r="F537" s="381"/>
      <c r="G537" s="381"/>
      <c r="H537" s="381"/>
      <c r="I537" s="381"/>
      <c r="J537" s="381"/>
      <c r="K537" s="381"/>
      <c r="L537" s="381"/>
      <c r="M537" s="381"/>
      <c r="N537" s="381"/>
      <c r="O537" s="381"/>
      <c r="P537" s="381"/>
      <c r="Q537" s="381"/>
      <c r="R537" s="381"/>
      <c r="S537" s="381"/>
      <c r="T537" s="381"/>
      <c r="U537" s="381"/>
      <c r="V537" s="381"/>
      <c r="W537" s="381"/>
      <c r="X537" s="381"/>
      <c r="Y537" s="381"/>
      <c r="Z537" s="381"/>
    </row>
    <row r="538">
      <c r="A538" s="381"/>
      <c r="B538" s="18"/>
      <c r="C538" s="359"/>
      <c r="D538" s="359"/>
      <c r="E538" s="381"/>
      <c r="F538" s="381"/>
      <c r="G538" s="381"/>
      <c r="H538" s="381"/>
      <c r="I538" s="381"/>
      <c r="J538" s="381"/>
      <c r="K538" s="381"/>
      <c r="L538" s="381"/>
      <c r="M538" s="381"/>
      <c r="N538" s="381"/>
      <c r="O538" s="381"/>
      <c r="P538" s="381"/>
      <c r="Q538" s="381"/>
      <c r="R538" s="381"/>
      <c r="S538" s="381"/>
      <c r="T538" s="381"/>
      <c r="U538" s="381"/>
      <c r="V538" s="381"/>
      <c r="W538" s="381"/>
      <c r="X538" s="381"/>
      <c r="Y538" s="381"/>
      <c r="Z538" s="381"/>
    </row>
    <row r="539">
      <c r="A539" s="381"/>
      <c r="B539" s="18"/>
      <c r="C539" s="359"/>
      <c r="D539" s="359"/>
      <c r="E539" s="381"/>
      <c r="F539" s="381"/>
      <c r="G539" s="381"/>
      <c r="H539" s="381"/>
      <c r="I539" s="381"/>
      <c r="J539" s="381"/>
      <c r="K539" s="381"/>
      <c r="L539" s="381"/>
      <c r="M539" s="381"/>
      <c r="N539" s="381"/>
      <c r="O539" s="381"/>
      <c r="P539" s="381"/>
      <c r="Q539" s="381"/>
      <c r="R539" s="381"/>
      <c r="S539" s="381"/>
      <c r="T539" s="381"/>
      <c r="U539" s="381"/>
      <c r="V539" s="381"/>
      <c r="W539" s="381"/>
      <c r="X539" s="381"/>
      <c r="Y539" s="381"/>
      <c r="Z539" s="381"/>
    </row>
    <row r="540">
      <c r="A540" s="381"/>
      <c r="B540" s="18"/>
      <c r="C540" s="359"/>
      <c r="D540" s="359"/>
      <c r="E540" s="381"/>
      <c r="F540" s="381"/>
      <c r="G540" s="381"/>
      <c r="H540" s="381"/>
      <c r="I540" s="381"/>
      <c r="J540" s="381"/>
      <c r="K540" s="381"/>
      <c r="L540" s="381"/>
      <c r="M540" s="381"/>
      <c r="N540" s="381"/>
      <c r="O540" s="381"/>
      <c r="P540" s="381"/>
      <c r="Q540" s="381"/>
      <c r="R540" s="381"/>
      <c r="S540" s="381"/>
      <c r="T540" s="381"/>
      <c r="U540" s="381"/>
      <c r="V540" s="381"/>
      <c r="W540" s="381"/>
      <c r="X540" s="381"/>
      <c r="Y540" s="381"/>
      <c r="Z540" s="381"/>
    </row>
    <row r="541">
      <c r="A541" s="381"/>
      <c r="B541" s="18"/>
      <c r="C541" s="359"/>
      <c r="D541" s="359"/>
      <c r="E541" s="381"/>
      <c r="F541" s="381"/>
      <c r="G541" s="381"/>
      <c r="H541" s="381"/>
      <c r="I541" s="381"/>
      <c r="J541" s="381"/>
      <c r="K541" s="381"/>
      <c r="L541" s="381"/>
      <c r="M541" s="381"/>
      <c r="N541" s="381"/>
      <c r="O541" s="381"/>
      <c r="P541" s="381"/>
      <c r="Q541" s="381"/>
      <c r="R541" s="381"/>
      <c r="S541" s="381"/>
      <c r="T541" s="381"/>
      <c r="U541" s="381"/>
      <c r="V541" s="381"/>
      <c r="W541" s="381"/>
      <c r="X541" s="381"/>
      <c r="Y541" s="381"/>
      <c r="Z541" s="381"/>
    </row>
    <row r="542">
      <c r="A542" s="381"/>
      <c r="B542" s="18"/>
      <c r="C542" s="359"/>
      <c r="D542" s="359"/>
      <c r="E542" s="381"/>
      <c r="F542" s="381"/>
      <c r="G542" s="381"/>
      <c r="H542" s="381"/>
      <c r="I542" s="381"/>
      <c r="J542" s="381"/>
      <c r="K542" s="381"/>
      <c r="L542" s="381"/>
      <c r="M542" s="381"/>
      <c r="N542" s="381"/>
      <c r="O542" s="381"/>
      <c r="P542" s="381"/>
      <c r="Q542" s="381"/>
      <c r="R542" s="381"/>
      <c r="S542" s="381"/>
      <c r="T542" s="381"/>
      <c r="U542" s="381"/>
      <c r="V542" s="381"/>
      <c r="W542" s="381"/>
      <c r="X542" s="381"/>
      <c r="Y542" s="381"/>
      <c r="Z542" s="381"/>
    </row>
    <row r="543">
      <c r="A543" s="381"/>
      <c r="B543" s="18"/>
      <c r="C543" s="359"/>
      <c r="D543" s="359"/>
      <c r="E543" s="381"/>
      <c r="F543" s="381"/>
      <c r="G543" s="381"/>
      <c r="H543" s="381"/>
      <c r="I543" s="381"/>
      <c r="J543" s="381"/>
      <c r="K543" s="381"/>
      <c r="L543" s="381"/>
      <c r="M543" s="381"/>
      <c r="N543" s="381"/>
      <c r="O543" s="381"/>
      <c r="P543" s="381"/>
      <c r="Q543" s="381"/>
      <c r="R543" s="381"/>
      <c r="S543" s="381"/>
      <c r="T543" s="381"/>
      <c r="U543" s="381"/>
      <c r="V543" s="381"/>
      <c r="W543" s="381"/>
      <c r="X543" s="381"/>
      <c r="Y543" s="381"/>
      <c r="Z543" s="381"/>
    </row>
    <row r="544">
      <c r="A544" s="381"/>
      <c r="B544" s="18"/>
      <c r="C544" s="359"/>
      <c r="D544" s="359"/>
      <c r="E544" s="381"/>
      <c r="F544" s="381"/>
      <c r="G544" s="381"/>
      <c r="H544" s="381"/>
      <c r="I544" s="381"/>
      <c r="J544" s="381"/>
      <c r="K544" s="381"/>
      <c r="L544" s="381"/>
      <c r="M544" s="381"/>
      <c r="N544" s="381"/>
      <c r="O544" s="381"/>
      <c r="P544" s="381"/>
      <c r="Q544" s="381"/>
      <c r="R544" s="381"/>
      <c r="S544" s="381"/>
      <c r="T544" s="381"/>
      <c r="U544" s="381"/>
      <c r="V544" s="381"/>
      <c r="W544" s="381"/>
      <c r="X544" s="381"/>
      <c r="Y544" s="381"/>
      <c r="Z544" s="381"/>
    </row>
    <row r="545">
      <c r="A545" s="381"/>
      <c r="B545" s="18"/>
      <c r="C545" s="359"/>
      <c r="D545" s="359"/>
      <c r="E545" s="381"/>
      <c r="F545" s="381"/>
      <c r="G545" s="381"/>
      <c r="H545" s="381"/>
      <c r="I545" s="381"/>
      <c r="J545" s="381"/>
      <c r="K545" s="381"/>
      <c r="L545" s="381"/>
      <c r="M545" s="381"/>
      <c r="N545" s="381"/>
      <c r="O545" s="381"/>
      <c r="P545" s="381"/>
      <c r="Q545" s="381"/>
      <c r="R545" s="381"/>
      <c r="S545" s="381"/>
      <c r="T545" s="381"/>
      <c r="U545" s="381"/>
      <c r="V545" s="381"/>
      <c r="W545" s="381"/>
      <c r="X545" s="381"/>
      <c r="Y545" s="381"/>
      <c r="Z545" s="381"/>
    </row>
    <row r="546">
      <c r="A546" s="381"/>
      <c r="B546" s="18"/>
      <c r="C546" s="359"/>
      <c r="D546" s="359"/>
      <c r="E546" s="381"/>
      <c r="F546" s="381"/>
      <c r="G546" s="381"/>
      <c r="H546" s="381"/>
      <c r="I546" s="381"/>
      <c r="J546" s="381"/>
      <c r="K546" s="381"/>
      <c r="L546" s="381"/>
      <c r="M546" s="381"/>
      <c r="N546" s="381"/>
      <c r="O546" s="381"/>
      <c r="P546" s="381"/>
      <c r="Q546" s="381"/>
      <c r="R546" s="381"/>
      <c r="S546" s="381"/>
      <c r="T546" s="381"/>
      <c r="U546" s="381"/>
      <c r="V546" s="381"/>
      <c r="W546" s="381"/>
      <c r="X546" s="381"/>
      <c r="Y546" s="381"/>
      <c r="Z546" s="381"/>
    </row>
    <row r="547">
      <c r="A547" s="381"/>
      <c r="B547" s="18"/>
      <c r="C547" s="359"/>
      <c r="D547" s="359"/>
      <c r="E547" s="381"/>
      <c r="F547" s="381"/>
      <c r="G547" s="381"/>
      <c r="H547" s="381"/>
      <c r="I547" s="381"/>
      <c r="J547" s="381"/>
      <c r="K547" s="381"/>
      <c r="L547" s="381"/>
      <c r="M547" s="381"/>
      <c r="N547" s="381"/>
      <c r="O547" s="381"/>
      <c r="P547" s="381"/>
      <c r="Q547" s="381"/>
      <c r="R547" s="381"/>
      <c r="S547" s="381"/>
      <c r="T547" s="381"/>
      <c r="U547" s="381"/>
      <c r="V547" s="381"/>
      <c r="W547" s="381"/>
      <c r="X547" s="381"/>
      <c r="Y547" s="381"/>
      <c r="Z547" s="381"/>
    </row>
    <row r="548">
      <c r="A548" s="381"/>
      <c r="B548" s="18"/>
      <c r="C548" s="359"/>
      <c r="D548" s="359"/>
      <c r="E548" s="381"/>
      <c r="F548" s="381"/>
      <c r="G548" s="381"/>
      <c r="H548" s="381"/>
      <c r="I548" s="381"/>
      <c r="J548" s="381"/>
      <c r="K548" s="381"/>
      <c r="L548" s="381"/>
      <c r="M548" s="381"/>
      <c r="N548" s="381"/>
      <c r="O548" s="381"/>
      <c r="P548" s="381"/>
      <c r="Q548" s="381"/>
      <c r="R548" s="381"/>
      <c r="S548" s="381"/>
      <c r="T548" s="381"/>
      <c r="U548" s="381"/>
      <c r="V548" s="381"/>
      <c r="W548" s="381"/>
      <c r="X548" s="381"/>
      <c r="Y548" s="381"/>
      <c r="Z548" s="381"/>
    </row>
    <row r="549">
      <c r="A549" s="381"/>
      <c r="B549" s="18"/>
      <c r="C549" s="359"/>
      <c r="D549" s="359"/>
      <c r="E549" s="381"/>
      <c r="F549" s="381"/>
      <c r="G549" s="381"/>
      <c r="H549" s="381"/>
      <c r="I549" s="381"/>
      <c r="J549" s="381"/>
      <c r="K549" s="381"/>
      <c r="L549" s="381"/>
      <c r="M549" s="381"/>
      <c r="N549" s="381"/>
      <c r="O549" s="381"/>
      <c r="P549" s="381"/>
      <c r="Q549" s="381"/>
      <c r="R549" s="381"/>
      <c r="S549" s="381"/>
      <c r="T549" s="381"/>
      <c r="U549" s="381"/>
      <c r="V549" s="381"/>
      <c r="W549" s="381"/>
      <c r="X549" s="381"/>
      <c r="Y549" s="381"/>
      <c r="Z549" s="381"/>
    </row>
    <row r="550">
      <c r="A550" s="381"/>
      <c r="B550" s="18"/>
      <c r="C550" s="359"/>
      <c r="D550" s="359"/>
      <c r="E550" s="381"/>
      <c r="F550" s="381"/>
      <c r="G550" s="381"/>
      <c r="H550" s="381"/>
      <c r="I550" s="381"/>
      <c r="J550" s="381"/>
      <c r="K550" s="381"/>
      <c r="L550" s="381"/>
      <c r="M550" s="381"/>
      <c r="N550" s="381"/>
      <c r="O550" s="381"/>
      <c r="P550" s="381"/>
      <c r="Q550" s="381"/>
      <c r="R550" s="381"/>
      <c r="S550" s="381"/>
      <c r="T550" s="381"/>
      <c r="U550" s="381"/>
      <c r="V550" s="381"/>
      <c r="W550" s="381"/>
      <c r="X550" s="381"/>
      <c r="Y550" s="381"/>
      <c r="Z550" s="381"/>
    </row>
    <row r="551">
      <c r="A551" s="381"/>
      <c r="B551" s="18"/>
      <c r="C551" s="359"/>
      <c r="D551" s="359"/>
      <c r="E551" s="381"/>
      <c r="F551" s="381"/>
      <c r="G551" s="381"/>
      <c r="H551" s="381"/>
      <c r="I551" s="381"/>
      <c r="J551" s="381"/>
      <c r="K551" s="381"/>
      <c r="L551" s="381"/>
      <c r="M551" s="381"/>
      <c r="N551" s="381"/>
      <c r="O551" s="381"/>
      <c r="P551" s="381"/>
      <c r="Q551" s="381"/>
      <c r="R551" s="381"/>
      <c r="S551" s="381"/>
      <c r="T551" s="381"/>
      <c r="U551" s="381"/>
      <c r="V551" s="381"/>
      <c r="W551" s="381"/>
      <c r="X551" s="381"/>
      <c r="Y551" s="381"/>
      <c r="Z551" s="381"/>
    </row>
    <row r="552">
      <c r="A552" s="381"/>
      <c r="B552" s="18"/>
      <c r="C552" s="359"/>
      <c r="D552" s="359"/>
      <c r="E552" s="381"/>
      <c r="F552" s="381"/>
      <c r="G552" s="381"/>
      <c r="H552" s="381"/>
      <c r="I552" s="381"/>
      <c r="J552" s="381"/>
      <c r="K552" s="381"/>
      <c r="L552" s="381"/>
      <c r="M552" s="381"/>
      <c r="N552" s="381"/>
      <c r="O552" s="381"/>
      <c r="P552" s="381"/>
      <c r="Q552" s="381"/>
      <c r="R552" s="381"/>
      <c r="S552" s="381"/>
      <c r="T552" s="381"/>
      <c r="U552" s="381"/>
      <c r="V552" s="381"/>
      <c r="W552" s="381"/>
      <c r="X552" s="381"/>
      <c r="Y552" s="381"/>
      <c r="Z552" s="381"/>
    </row>
    <row r="553">
      <c r="A553" s="381"/>
      <c r="B553" s="18"/>
      <c r="C553" s="359"/>
      <c r="D553" s="359"/>
      <c r="E553" s="381"/>
      <c r="F553" s="381"/>
      <c r="G553" s="381"/>
      <c r="H553" s="381"/>
      <c r="I553" s="381"/>
      <c r="J553" s="381"/>
      <c r="K553" s="381"/>
      <c r="L553" s="381"/>
      <c r="M553" s="381"/>
      <c r="N553" s="381"/>
      <c r="O553" s="381"/>
      <c r="P553" s="381"/>
      <c r="Q553" s="381"/>
      <c r="R553" s="381"/>
      <c r="S553" s="381"/>
      <c r="T553" s="381"/>
      <c r="U553" s="381"/>
      <c r="V553" s="381"/>
      <c r="W553" s="381"/>
      <c r="X553" s="381"/>
      <c r="Y553" s="381"/>
      <c r="Z553" s="381"/>
    </row>
    <row r="554">
      <c r="A554" s="381"/>
      <c r="B554" s="18"/>
      <c r="C554" s="359"/>
      <c r="D554" s="359"/>
      <c r="E554" s="381"/>
      <c r="F554" s="381"/>
      <c r="G554" s="381"/>
      <c r="H554" s="381"/>
      <c r="I554" s="381"/>
      <c r="J554" s="381"/>
      <c r="K554" s="381"/>
      <c r="L554" s="381"/>
      <c r="M554" s="381"/>
      <c r="N554" s="381"/>
      <c r="O554" s="381"/>
      <c r="P554" s="381"/>
      <c r="Q554" s="381"/>
      <c r="R554" s="381"/>
      <c r="S554" s="381"/>
      <c r="T554" s="381"/>
      <c r="U554" s="381"/>
      <c r="V554" s="381"/>
      <c r="W554" s="381"/>
      <c r="X554" s="381"/>
      <c r="Y554" s="381"/>
      <c r="Z554" s="381"/>
    </row>
    <row r="555">
      <c r="A555" s="381"/>
      <c r="B555" s="18"/>
      <c r="C555" s="359"/>
      <c r="D555" s="359"/>
      <c r="E555" s="381"/>
      <c r="F555" s="381"/>
      <c r="G555" s="381"/>
      <c r="H555" s="381"/>
      <c r="I555" s="381"/>
      <c r="J555" s="381"/>
      <c r="K555" s="381"/>
      <c r="L555" s="381"/>
      <c r="M555" s="381"/>
      <c r="N555" s="381"/>
      <c r="O555" s="381"/>
      <c r="P555" s="381"/>
      <c r="Q555" s="381"/>
      <c r="R555" s="381"/>
      <c r="S555" s="381"/>
      <c r="T555" s="381"/>
      <c r="U555" s="381"/>
      <c r="V555" s="381"/>
      <c r="W555" s="381"/>
      <c r="X555" s="381"/>
      <c r="Y555" s="381"/>
      <c r="Z555" s="381"/>
    </row>
    <row r="556">
      <c r="A556" s="381"/>
      <c r="B556" s="18"/>
      <c r="C556" s="359"/>
      <c r="D556" s="359"/>
      <c r="E556" s="381"/>
      <c r="F556" s="381"/>
      <c r="G556" s="381"/>
      <c r="H556" s="381"/>
      <c r="I556" s="381"/>
      <c r="J556" s="381"/>
      <c r="K556" s="381"/>
      <c r="L556" s="381"/>
      <c r="M556" s="381"/>
      <c r="N556" s="381"/>
      <c r="O556" s="381"/>
      <c r="P556" s="381"/>
      <c r="Q556" s="381"/>
      <c r="R556" s="381"/>
      <c r="S556" s="381"/>
      <c r="T556" s="381"/>
      <c r="U556" s="381"/>
      <c r="V556" s="381"/>
      <c r="W556" s="381"/>
      <c r="X556" s="381"/>
      <c r="Y556" s="381"/>
      <c r="Z556" s="381"/>
    </row>
    <row r="557">
      <c r="A557" s="381"/>
      <c r="B557" s="18"/>
      <c r="C557" s="359"/>
      <c r="D557" s="359"/>
      <c r="E557" s="381"/>
      <c r="F557" s="381"/>
      <c r="G557" s="381"/>
      <c r="H557" s="381"/>
      <c r="I557" s="381"/>
      <c r="J557" s="381"/>
      <c r="K557" s="381"/>
      <c r="L557" s="381"/>
      <c r="M557" s="381"/>
      <c r="N557" s="381"/>
      <c r="O557" s="381"/>
      <c r="P557" s="381"/>
      <c r="Q557" s="381"/>
      <c r="R557" s="381"/>
      <c r="S557" s="381"/>
      <c r="T557" s="381"/>
      <c r="U557" s="381"/>
      <c r="V557" s="381"/>
      <c r="W557" s="381"/>
      <c r="X557" s="381"/>
      <c r="Y557" s="381"/>
      <c r="Z557" s="381"/>
    </row>
    <row r="558">
      <c r="A558" s="381"/>
      <c r="B558" s="18"/>
      <c r="C558" s="359"/>
      <c r="D558" s="359"/>
      <c r="E558" s="381"/>
      <c r="F558" s="381"/>
      <c r="G558" s="381"/>
      <c r="H558" s="381"/>
      <c r="I558" s="381"/>
      <c r="J558" s="381"/>
      <c r="K558" s="381"/>
      <c r="L558" s="381"/>
      <c r="M558" s="381"/>
      <c r="N558" s="381"/>
      <c r="O558" s="381"/>
      <c r="P558" s="381"/>
      <c r="Q558" s="381"/>
      <c r="R558" s="381"/>
      <c r="S558" s="381"/>
      <c r="T558" s="381"/>
      <c r="U558" s="381"/>
      <c r="V558" s="381"/>
      <c r="W558" s="381"/>
      <c r="X558" s="381"/>
      <c r="Y558" s="381"/>
      <c r="Z558" s="381"/>
    </row>
    <row r="559">
      <c r="A559" s="381"/>
      <c r="B559" s="18"/>
      <c r="C559" s="359"/>
      <c r="D559" s="359"/>
      <c r="E559" s="381"/>
      <c r="F559" s="381"/>
      <c r="G559" s="381"/>
      <c r="H559" s="381"/>
      <c r="I559" s="381"/>
      <c r="J559" s="381"/>
      <c r="K559" s="381"/>
      <c r="L559" s="381"/>
      <c r="M559" s="381"/>
      <c r="N559" s="381"/>
      <c r="O559" s="381"/>
      <c r="P559" s="381"/>
      <c r="Q559" s="381"/>
      <c r="R559" s="381"/>
      <c r="S559" s="381"/>
      <c r="T559" s="381"/>
      <c r="U559" s="381"/>
      <c r="V559" s="381"/>
      <c r="W559" s="381"/>
      <c r="X559" s="381"/>
      <c r="Y559" s="381"/>
      <c r="Z559" s="381"/>
    </row>
    <row r="560">
      <c r="A560" s="381"/>
      <c r="B560" s="18"/>
      <c r="C560" s="359"/>
      <c r="D560" s="359"/>
      <c r="E560" s="381"/>
      <c r="F560" s="381"/>
      <c r="G560" s="381"/>
      <c r="H560" s="381"/>
      <c r="I560" s="381"/>
      <c r="J560" s="381"/>
      <c r="K560" s="381"/>
      <c r="L560" s="381"/>
      <c r="M560" s="381"/>
      <c r="N560" s="381"/>
      <c r="O560" s="381"/>
      <c r="P560" s="381"/>
      <c r="Q560" s="381"/>
      <c r="R560" s="381"/>
      <c r="S560" s="381"/>
      <c r="T560" s="381"/>
      <c r="U560" s="381"/>
      <c r="V560" s="381"/>
      <c r="W560" s="381"/>
      <c r="X560" s="381"/>
      <c r="Y560" s="381"/>
      <c r="Z560" s="381"/>
    </row>
    <row r="561">
      <c r="A561" s="381"/>
      <c r="B561" s="18"/>
      <c r="C561" s="359"/>
      <c r="D561" s="359"/>
      <c r="E561" s="381"/>
      <c r="F561" s="381"/>
      <c r="G561" s="381"/>
      <c r="H561" s="381"/>
      <c r="I561" s="381"/>
      <c r="J561" s="381"/>
      <c r="K561" s="381"/>
      <c r="L561" s="381"/>
      <c r="M561" s="381"/>
      <c r="N561" s="381"/>
      <c r="O561" s="381"/>
      <c r="P561" s="381"/>
      <c r="Q561" s="381"/>
      <c r="R561" s="381"/>
      <c r="S561" s="381"/>
      <c r="T561" s="381"/>
      <c r="U561" s="381"/>
      <c r="V561" s="381"/>
      <c r="W561" s="381"/>
      <c r="X561" s="381"/>
      <c r="Y561" s="381"/>
      <c r="Z561" s="381"/>
    </row>
    <row r="562">
      <c r="A562" s="381"/>
      <c r="B562" s="18"/>
      <c r="C562" s="359"/>
      <c r="D562" s="359"/>
      <c r="E562" s="381"/>
      <c r="F562" s="381"/>
      <c r="G562" s="381"/>
      <c r="H562" s="381"/>
      <c r="I562" s="381"/>
      <c r="J562" s="381"/>
      <c r="K562" s="381"/>
      <c r="L562" s="381"/>
      <c r="M562" s="381"/>
      <c r="N562" s="381"/>
      <c r="O562" s="381"/>
      <c r="P562" s="381"/>
      <c r="Q562" s="381"/>
      <c r="R562" s="381"/>
      <c r="S562" s="381"/>
      <c r="T562" s="381"/>
      <c r="U562" s="381"/>
      <c r="V562" s="381"/>
      <c r="W562" s="381"/>
      <c r="X562" s="381"/>
      <c r="Y562" s="381"/>
      <c r="Z562" s="381"/>
    </row>
    <row r="563">
      <c r="A563" s="381"/>
      <c r="B563" s="18"/>
      <c r="C563" s="359"/>
      <c r="D563" s="359"/>
      <c r="E563" s="381"/>
      <c r="F563" s="381"/>
      <c r="G563" s="381"/>
      <c r="H563" s="381"/>
      <c r="I563" s="381"/>
      <c r="J563" s="381"/>
      <c r="K563" s="381"/>
      <c r="L563" s="381"/>
      <c r="M563" s="381"/>
      <c r="N563" s="381"/>
      <c r="O563" s="381"/>
      <c r="P563" s="381"/>
      <c r="Q563" s="381"/>
      <c r="R563" s="381"/>
      <c r="S563" s="381"/>
      <c r="T563" s="381"/>
      <c r="U563" s="381"/>
      <c r="V563" s="381"/>
      <c r="W563" s="381"/>
      <c r="X563" s="381"/>
      <c r="Y563" s="381"/>
      <c r="Z563" s="381"/>
    </row>
    <row r="564">
      <c r="A564" s="381"/>
      <c r="B564" s="18"/>
      <c r="C564" s="359"/>
      <c r="D564" s="359"/>
      <c r="E564" s="381"/>
      <c r="F564" s="381"/>
      <c r="G564" s="381"/>
      <c r="H564" s="381"/>
      <c r="I564" s="381"/>
      <c r="J564" s="381"/>
      <c r="K564" s="381"/>
      <c r="L564" s="381"/>
      <c r="M564" s="381"/>
      <c r="N564" s="381"/>
      <c r="O564" s="381"/>
      <c r="P564" s="381"/>
      <c r="Q564" s="381"/>
      <c r="R564" s="381"/>
      <c r="S564" s="381"/>
      <c r="T564" s="381"/>
      <c r="U564" s="381"/>
      <c r="V564" s="381"/>
      <c r="W564" s="381"/>
      <c r="X564" s="381"/>
      <c r="Y564" s="381"/>
      <c r="Z564" s="381"/>
    </row>
    <row r="565">
      <c r="A565" s="381"/>
      <c r="B565" s="18"/>
      <c r="C565" s="359"/>
      <c r="D565" s="359"/>
      <c r="E565" s="381"/>
      <c r="F565" s="381"/>
      <c r="G565" s="381"/>
      <c r="H565" s="381"/>
      <c r="I565" s="381"/>
      <c r="J565" s="381"/>
      <c r="K565" s="381"/>
      <c r="L565" s="381"/>
      <c r="M565" s="381"/>
      <c r="N565" s="381"/>
      <c r="O565" s="381"/>
      <c r="P565" s="381"/>
      <c r="Q565" s="381"/>
      <c r="R565" s="381"/>
      <c r="S565" s="381"/>
      <c r="T565" s="381"/>
      <c r="U565" s="381"/>
      <c r="V565" s="381"/>
      <c r="W565" s="381"/>
      <c r="X565" s="381"/>
      <c r="Y565" s="381"/>
      <c r="Z565" s="381"/>
    </row>
    <row r="566">
      <c r="A566" s="381"/>
      <c r="B566" s="18"/>
      <c r="C566" s="359"/>
      <c r="D566" s="359"/>
      <c r="E566" s="381"/>
      <c r="F566" s="381"/>
      <c r="G566" s="381"/>
      <c r="H566" s="381"/>
      <c r="I566" s="381"/>
      <c r="J566" s="381"/>
      <c r="K566" s="381"/>
      <c r="L566" s="381"/>
      <c r="M566" s="381"/>
      <c r="N566" s="381"/>
      <c r="O566" s="381"/>
      <c r="P566" s="381"/>
      <c r="Q566" s="381"/>
      <c r="R566" s="381"/>
      <c r="S566" s="381"/>
      <c r="T566" s="381"/>
      <c r="U566" s="381"/>
      <c r="V566" s="381"/>
      <c r="W566" s="381"/>
      <c r="X566" s="381"/>
      <c r="Y566" s="381"/>
      <c r="Z566" s="381"/>
    </row>
    <row r="567">
      <c r="A567" s="381"/>
      <c r="B567" s="18"/>
      <c r="C567" s="359"/>
      <c r="D567" s="359"/>
      <c r="E567" s="381"/>
      <c r="F567" s="381"/>
      <c r="G567" s="381"/>
      <c r="H567" s="381"/>
      <c r="I567" s="381"/>
      <c r="J567" s="381"/>
      <c r="K567" s="381"/>
      <c r="L567" s="381"/>
      <c r="M567" s="381"/>
      <c r="N567" s="381"/>
      <c r="O567" s="381"/>
      <c r="P567" s="381"/>
      <c r="Q567" s="381"/>
      <c r="R567" s="381"/>
      <c r="S567" s="381"/>
      <c r="T567" s="381"/>
      <c r="U567" s="381"/>
      <c r="V567" s="381"/>
      <c r="W567" s="381"/>
      <c r="X567" s="381"/>
      <c r="Y567" s="381"/>
      <c r="Z567" s="381"/>
    </row>
    <row r="568">
      <c r="A568" s="381"/>
      <c r="B568" s="18"/>
      <c r="C568" s="359"/>
      <c r="D568" s="359"/>
      <c r="E568" s="381"/>
      <c r="F568" s="381"/>
      <c r="G568" s="381"/>
      <c r="H568" s="381"/>
      <c r="I568" s="381"/>
      <c r="J568" s="381"/>
      <c r="K568" s="381"/>
      <c r="L568" s="381"/>
      <c r="M568" s="381"/>
      <c r="N568" s="381"/>
      <c r="O568" s="381"/>
      <c r="P568" s="381"/>
      <c r="Q568" s="381"/>
      <c r="R568" s="381"/>
      <c r="S568" s="381"/>
      <c r="T568" s="381"/>
      <c r="U568" s="381"/>
      <c r="V568" s="381"/>
      <c r="W568" s="381"/>
      <c r="X568" s="381"/>
      <c r="Y568" s="381"/>
      <c r="Z568" s="381"/>
    </row>
    <row r="569">
      <c r="A569" s="381"/>
      <c r="B569" s="18"/>
      <c r="C569" s="359"/>
      <c r="D569" s="359"/>
      <c r="E569" s="381"/>
      <c r="F569" s="381"/>
      <c r="G569" s="381"/>
      <c r="H569" s="381"/>
      <c r="I569" s="381"/>
      <c r="J569" s="381"/>
      <c r="K569" s="381"/>
      <c r="L569" s="381"/>
      <c r="M569" s="381"/>
      <c r="N569" s="381"/>
      <c r="O569" s="381"/>
      <c r="P569" s="381"/>
      <c r="Q569" s="381"/>
      <c r="R569" s="381"/>
      <c r="S569" s="381"/>
      <c r="T569" s="381"/>
      <c r="U569" s="381"/>
      <c r="V569" s="381"/>
      <c r="W569" s="381"/>
      <c r="X569" s="381"/>
      <c r="Y569" s="381"/>
      <c r="Z569" s="381"/>
    </row>
    <row r="570">
      <c r="A570" s="381"/>
      <c r="B570" s="18"/>
      <c r="C570" s="359"/>
      <c r="D570" s="359"/>
      <c r="E570" s="381"/>
      <c r="F570" s="381"/>
      <c r="G570" s="381"/>
      <c r="H570" s="381"/>
      <c r="I570" s="381"/>
      <c r="J570" s="381"/>
      <c r="K570" s="381"/>
      <c r="L570" s="381"/>
      <c r="M570" s="381"/>
      <c r="N570" s="381"/>
      <c r="O570" s="381"/>
      <c r="P570" s="381"/>
      <c r="Q570" s="381"/>
      <c r="R570" s="381"/>
      <c r="S570" s="381"/>
      <c r="T570" s="381"/>
      <c r="U570" s="381"/>
      <c r="V570" s="381"/>
      <c r="W570" s="381"/>
      <c r="X570" s="381"/>
      <c r="Y570" s="381"/>
      <c r="Z570" s="381"/>
    </row>
    <row r="571">
      <c r="A571" s="381"/>
      <c r="B571" s="18"/>
      <c r="C571" s="359"/>
      <c r="D571" s="359"/>
      <c r="E571" s="381"/>
      <c r="F571" s="381"/>
      <c r="G571" s="381"/>
      <c r="H571" s="381"/>
      <c r="I571" s="381"/>
      <c r="J571" s="381"/>
      <c r="K571" s="381"/>
      <c r="L571" s="381"/>
      <c r="M571" s="381"/>
      <c r="N571" s="381"/>
      <c r="O571" s="381"/>
      <c r="P571" s="381"/>
      <c r="Q571" s="381"/>
      <c r="R571" s="381"/>
      <c r="S571" s="381"/>
      <c r="T571" s="381"/>
      <c r="U571" s="381"/>
      <c r="V571" s="381"/>
      <c r="W571" s="381"/>
      <c r="X571" s="381"/>
      <c r="Y571" s="381"/>
      <c r="Z571" s="381"/>
    </row>
    <row r="572">
      <c r="A572" s="381"/>
      <c r="B572" s="18"/>
      <c r="C572" s="359"/>
      <c r="D572" s="359"/>
      <c r="E572" s="381"/>
      <c r="F572" s="381"/>
      <c r="G572" s="381"/>
      <c r="H572" s="381"/>
      <c r="I572" s="381"/>
      <c r="J572" s="381"/>
      <c r="K572" s="381"/>
      <c r="L572" s="381"/>
      <c r="M572" s="381"/>
      <c r="N572" s="381"/>
      <c r="O572" s="381"/>
      <c r="P572" s="381"/>
      <c r="Q572" s="381"/>
      <c r="R572" s="381"/>
      <c r="S572" s="381"/>
      <c r="T572" s="381"/>
      <c r="U572" s="381"/>
      <c r="V572" s="381"/>
      <c r="W572" s="381"/>
      <c r="X572" s="381"/>
      <c r="Y572" s="381"/>
      <c r="Z572" s="381"/>
    </row>
    <row r="573">
      <c r="A573" s="381"/>
      <c r="B573" s="18"/>
      <c r="C573" s="359"/>
      <c r="D573" s="359"/>
      <c r="E573" s="381"/>
      <c r="F573" s="381"/>
      <c r="G573" s="381"/>
      <c r="H573" s="381"/>
      <c r="I573" s="381"/>
      <c r="J573" s="381"/>
      <c r="K573" s="381"/>
      <c r="L573" s="381"/>
      <c r="M573" s="381"/>
      <c r="N573" s="381"/>
      <c r="O573" s="381"/>
      <c r="P573" s="381"/>
      <c r="Q573" s="381"/>
      <c r="R573" s="381"/>
      <c r="S573" s="381"/>
      <c r="T573" s="381"/>
      <c r="U573" s="381"/>
      <c r="V573" s="381"/>
      <c r="W573" s="381"/>
      <c r="X573" s="381"/>
      <c r="Y573" s="381"/>
      <c r="Z573" s="381"/>
    </row>
    <row r="574">
      <c r="A574" s="381"/>
      <c r="B574" s="18"/>
      <c r="C574" s="359"/>
      <c r="D574" s="359"/>
      <c r="E574" s="381"/>
      <c r="F574" s="381"/>
      <c r="G574" s="381"/>
      <c r="H574" s="381"/>
      <c r="I574" s="381"/>
      <c r="J574" s="381"/>
      <c r="K574" s="381"/>
      <c r="L574" s="381"/>
      <c r="M574" s="381"/>
      <c r="N574" s="381"/>
      <c r="O574" s="381"/>
      <c r="P574" s="381"/>
      <c r="Q574" s="381"/>
      <c r="R574" s="381"/>
      <c r="S574" s="381"/>
      <c r="T574" s="381"/>
      <c r="U574" s="381"/>
      <c r="V574" s="381"/>
      <c r="W574" s="381"/>
      <c r="X574" s="381"/>
      <c r="Y574" s="381"/>
      <c r="Z574" s="381"/>
    </row>
    <row r="575">
      <c r="A575" s="381"/>
      <c r="B575" s="18"/>
      <c r="C575" s="359"/>
      <c r="D575" s="359"/>
      <c r="E575" s="381"/>
      <c r="F575" s="381"/>
      <c r="G575" s="381"/>
      <c r="H575" s="381"/>
      <c r="I575" s="381"/>
      <c r="J575" s="381"/>
      <c r="K575" s="381"/>
      <c r="L575" s="381"/>
      <c r="M575" s="381"/>
      <c r="N575" s="381"/>
      <c r="O575" s="381"/>
      <c r="P575" s="381"/>
      <c r="Q575" s="381"/>
      <c r="R575" s="381"/>
      <c r="S575" s="381"/>
      <c r="T575" s="381"/>
      <c r="U575" s="381"/>
      <c r="V575" s="381"/>
      <c r="W575" s="381"/>
      <c r="X575" s="381"/>
      <c r="Y575" s="381"/>
      <c r="Z575" s="381"/>
    </row>
    <row r="576">
      <c r="A576" s="381"/>
      <c r="B576" s="18"/>
      <c r="C576" s="359"/>
      <c r="D576" s="359"/>
      <c r="E576" s="381"/>
      <c r="F576" s="381"/>
      <c r="G576" s="381"/>
      <c r="H576" s="381"/>
      <c r="I576" s="381"/>
      <c r="J576" s="381"/>
      <c r="K576" s="381"/>
      <c r="L576" s="381"/>
      <c r="M576" s="381"/>
      <c r="N576" s="381"/>
      <c r="O576" s="381"/>
      <c r="P576" s="381"/>
      <c r="Q576" s="381"/>
      <c r="R576" s="381"/>
      <c r="S576" s="381"/>
      <c r="T576" s="381"/>
      <c r="U576" s="381"/>
      <c r="V576" s="381"/>
      <c r="W576" s="381"/>
      <c r="X576" s="381"/>
      <c r="Y576" s="381"/>
      <c r="Z576" s="381"/>
    </row>
    <row r="577">
      <c r="A577" s="381"/>
      <c r="B577" s="18"/>
      <c r="C577" s="359"/>
      <c r="D577" s="359"/>
      <c r="E577" s="381"/>
      <c r="F577" s="381"/>
      <c r="G577" s="381"/>
      <c r="H577" s="381"/>
      <c r="I577" s="381"/>
      <c r="J577" s="381"/>
      <c r="K577" s="381"/>
      <c r="L577" s="381"/>
      <c r="M577" s="381"/>
      <c r="N577" s="381"/>
      <c r="O577" s="381"/>
      <c r="P577" s="381"/>
      <c r="Q577" s="381"/>
      <c r="R577" s="381"/>
      <c r="S577" s="381"/>
      <c r="T577" s="381"/>
      <c r="U577" s="381"/>
      <c r="V577" s="381"/>
      <c r="W577" s="381"/>
      <c r="X577" s="381"/>
      <c r="Y577" s="381"/>
      <c r="Z577" s="381"/>
    </row>
    <row r="578">
      <c r="A578" s="381"/>
      <c r="B578" s="18"/>
      <c r="C578" s="359"/>
      <c r="D578" s="359"/>
      <c r="E578" s="381"/>
      <c r="F578" s="381"/>
      <c r="G578" s="381"/>
      <c r="H578" s="381"/>
      <c r="I578" s="381"/>
      <c r="J578" s="381"/>
      <c r="K578" s="381"/>
      <c r="L578" s="381"/>
      <c r="M578" s="381"/>
      <c r="N578" s="381"/>
      <c r="O578" s="381"/>
      <c r="P578" s="381"/>
      <c r="Q578" s="381"/>
      <c r="R578" s="381"/>
      <c r="S578" s="381"/>
      <c r="T578" s="381"/>
      <c r="U578" s="381"/>
      <c r="V578" s="381"/>
      <c r="W578" s="381"/>
      <c r="X578" s="381"/>
      <c r="Y578" s="381"/>
      <c r="Z578" s="381"/>
    </row>
    <row r="579">
      <c r="A579" s="381"/>
      <c r="B579" s="18"/>
      <c r="C579" s="359"/>
      <c r="D579" s="359"/>
      <c r="E579" s="381"/>
      <c r="F579" s="381"/>
      <c r="G579" s="381"/>
      <c r="H579" s="381"/>
      <c r="I579" s="381"/>
      <c r="J579" s="381"/>
      <c r="K579" s="381"/>
      <c r="L579" s="381"/>
      <c r="M579" s="381"/>
      <c r="N579" s="381"/>
      <c r="O579" s="381"/>
      <c r="P579" s="381"/>
      <c r="Q579" s="381"/>
      <c r="R579" s="381"/>
      <c r="S579" s="381"/>
      <c r="T579" s="381"/>
      <c r="U579" s="381"/>
      <c r="V579" s="381"/>
      <c r="W579" s="381"/>
      <c r="X579" s="381"/>
      <c r="Y579" s="381"/>
      <c r="Z579" s="381"/>
    </row>
    <row r="580">
      <c r="A580" s="381"/>
      <c r="B580" s="18"/>
      <c r="C580" s="359"/>
      <c r="D580" s="359"/>
      <c r="E580" s="381"/>
      <c r="F580" s="381"/>
      <c r="G580" s="381"/>
      <c r="H580" s="381"/>
      <c r="I580" s="381"/>
      <c r="J580" s="381"/>
      <c r="K580" s="381"/>
      <c r="L580" s="381"/>
      <c r="M580" s="381"/>
      <c r="N580" s="381"/>
      <c r="O580" s="381"/>
      <c r="P580" s="381"/>
      <c r="Q580" s="381"/>
      <c r="R580" s="381"/>
      <c r="S580" s="381"/>
      <c r="T580" s="381"/>
      <c r="U580" s="381"/>
      <c r="V580" s="381"/>
      <c r="W580" s="381"/>
      <c r="X580" s="381"/>
      <c r="Y580" s="381"/>
      <c r="Z580" s="381"/>
    </row>
    <row r="581">
      <c r="A581" s="381"/>
      <c r="B581" s="18"/>
      <c r="C581" s="359"/>
      <c r="D581" s="359"/>
      <c r="E581" s="381"/>
      <c r="F581" s="381"/>
      <c r="G581" s="381"/>
      <c r="H581" s="381"/>
      <c r="I581" s="381"/>
      <c r="J581" s="381"/>
      <c r="K581" s="381"/>
      <c r="L581" s="381"/>
      <c r="M581" s="381"/>
      <c r="N581" s="381"/>
      <c r="O581" s="381"/>
      <c r="P581" s="381"/>
      <c r="Q581" s="381"/>
      <c r="R581" s="381"/>
      <c r="S581" s="381"/>
      <c r="T581" s="381"/>
      <c r="U581" s="381"/>
      <c r="V581" s="381"/>
      <c r="W581" s="381"/>
      <c r="X581" s="381"/>
      <c r="Y581" s="381"/>
      <c r="Z581" s="381"/>
    </row>
    <row r="582">
      <c r="A582" s="381"/>
      <c r="B582" s="18"/>
      <c r="C582" s="359"/>
      <c r="D582" s="359"/>
      <c r="E582" s="381"/>
      <c r="F582" s="381"/>
      <c r="G582" s="381"/>
      <c r="H582" s="381"/>
      <c r="I582" s="381"/>
      <c r="J582" s="381"/>
      <c r="K582" s="381"/>
      <c r="L582" s="381"/>
      <c r="M582" s="381"/>
      <c r="N582" s="381"/>
      <c r="O582" s="381"/>
      <c r="P582" s="381"/>
      <c r="Q582" s="381"/>
      <c r="R582" s="381"/>
      <c r="S582" s="381"/>
      <c r="T582" s="381"/>
      <c r="U582" s="381"/>
      <c r="V582" s="381"/>
      <c r="W582" s="381"/>
      <c r="X582" s="381"/>
      <c r="Y582" s="381"/>
      <c r="Z582" s="381"/>
    </row>
    <row r="583">
      <c r="A583" s="381"/>
      <c r="B583" s="18"/>
      <c r="C583" s="359"/>
      <c r="D583" s="359"/>
      <c r="E583" s="381"/>
      <c r="F583" s="381"/>
      <c r="G583" s="381"/>
      <c r="H583" s="381"/>
      <c r="I583" s="381"/>
      <c r="J583" s="381"/>
      <c r="K583" s="381"/>
      <c r="L583" s="381"/>
      <c r="M583" s="381"/>
      <c r="N583" s="381"/>
      <c r="O583" s="381"/>
      <c r="P583" s="381"/>
      <c r="Q583" s="381"/>
      <c r="R583" s="381"/>
      <c r="S583" s="381"/>
      <c r="T583" s="381"/>
      <c r="U583" s="381"/>
      <c r="V583" s="381"/>
      <c r="W583" s="381"/>
      <c r="X583" s="381"/>
      <c r="Y583" s="381"/>
      <c r="Z583" s="381"/>
    </row>
    <row r="584">
      <c r="A584" s="381"/>
      <c r="B584" s="18"/>
      <c r="C584" s="359"/>
      <c r="D584" s="359"/>
      <c r="E584" s="381"/>
      <c r="F584" s="381"/>
      <c r="G584" s="381"/>
      <c r="H584" s="381"/>
      <c r="I584" s="381"/>
      <c r="J584" s="381"/>
      <c r="K584" s="381"/>
      <c r="L584" s="381"/>
      <c r="M584" s="381"/>
      <c r="N584" s="381"/>
      <c r="O584" s="381"/>
      <c r="P584" s="381"/>
      <c r="Q584" s="381"/>
      <c r="R584" s="381"/>
      <c r="S584" s="381"/>
      <c r="T584" s="381"/>
      <c r="U584" s="381"/>
      <c r="V584" s="381"/>
      <c r="W584" s="381"/>
      <c r="X584" s="381"/>
      <c r="Y584" s="381"/>
      <c r="Z584" s="381"/>
    </row>
    <row r="585">
      <c r="A585" s="381"/>
      <c r="B585" s="18"/>
      <c r="C585" s="359"/>
      <c r="D585" s="359"/>
      <c r="E585" s="381"/>
      <c r="F585" s="381"/>
      <c r="G585" s="381"/>
      <c r="H585" s="381"/>
      <c r="I585" s="381"/>
      <c r="J585" s="381"/>
      <c r="K585" s="381"/>
      <c r="L585" s="381"/>
      <c r="M585" s="381"/>
      <c r="N585" s="381"/>
      <c r="O585" s="381"/>
      <c r="P585" s="381"/>
      <c r="Q585" s="381"/>
      <c r="R585" s="381"/>
      <c r="S585" s="381"/>
      <c r="T585" s="381"/>
      <c r="U585" s="381"/>
      <c r="V585" s="381"/>
      <c r="W585" s="381"/>
      <c r="X585" s="381"/>
      <c r="Y585" s="381"/>
      <c r="Z585" s="381"/>
    </row>
    <row r="586">
      <c r="A586" s="381"/>
      <c r="B586" s="18"/>
      <c r="C586" s="359"/>
      <c r="D586" s="359"/>
      <c r="E586" s="381"/>
      <c r="F586" s="381"/>
      <c r="G586" s="381"/>
      <c r="H586" s="381"/>
      <c r="I586" s="381"/>
      <c r="J586" s="381"/>
      <c r="K586" s="381"/>
      <c r="L586" s="381"/>
      <c r="M586" s="381"/>
      <c r="N586" s="381"/>
      <c r="O586" s="381"/>
      <c r="P586" s="381"/>
      <c r="Q586" s="381"/>
      <c r="R586" s="381"/>
      <c r="S586" s="381"/>
      <c r="T586" s="381"/>
      <c r="U586" s="381"/>
      <c r="V586" s="381"/>
      <c r="W586" s="381"/>
      <c r="X586" s="381"/>
      <c r="Y586" s="381"/>
      <c r="Z586" s="381"/>
    </row>
    <row r="587">
      <c r="A587" s="381"/>
      <c r="B587" s="18"/>
      <c r="C587" s="359"/>
      <c r="D587" s="359"/>
      <c r="E587" s="381"/>
      <c r="F587" s="381"/>
      <c r="G587" s="381"/>
      <c r="H587" s="381"/>
      <c r="I587" s="381"/>
      <c r="J587" s="381"/>
      <c r="K587" s="381"/>
      <c r="L587" s="381"/>
      <c r="M587" s="381"/>
      <c r="N587" s="381"/>
      <c r="O587" s="381"/>
      <c r="P587" s="381"/>
      <c r="Q587" s="381"/>
      <c r="R587" s="381"/>
      <c r="S587" s="381"/>
      <c r="T587" s="381"/>
      <c r="U587" s="381"/>
      <c r="V587" s="381"/>
      <c r="W587" s="381"/>
      <c r="X587" s="381"/>
      <c r="Y587" s="381"/>
      <c r="Z587" s="381"/>
    </row>
    <row r="588">
      <c r="A588" s="381"/>
      <c r="B588" s="18"/>
      <c r="C588" s="359"/>
      <c r="D588" s="359"/>
      <c r="E588" s="381"/>
      <c r="F588" s="381"/>
      <c r="G588" s="381"/>
      <c r="H588" s="381"/>
      <c r="I588" s="381"/>
      <c r="J588" s="381"/>
      <c r="K588" s="381"/>
      <c r="L588" s="381"/>
      <c r="M588" s="381"/>
      <c r="N588" s="381"/>
      <c r="O588" s="381"/>
      <c r="P588" s="381"/>
      <c r="Q588" s="381"/>
      <c r="R588" s="381"/>
      <c r="S588" s="381"/>
      <c r="T588" s="381"/>
      <c r="U588" s="381"/>
      <c r="V588" s="381"/>
      <c r="W588" s="381"/>
      <c r="X588" s="381"/>
      <c r="Y588" s="381"/>
      <c r="Z588" s="381"/>
    </row>
    <row r="589">
      <c r="A589" s="381"/>
      <c r="B589" s="18"/>
      <c r="C589" s="359"/>
      <c r="D589" s="359"/>
      <c r="E589" s="381"/>
      <c r="F589" s="381"/>
      <c r="G589" s="381"/>
      <c r="H589" s="381"/>
      <c r="I589" s="381"/>
      <c r="J589" s="381"/>
      <c r="K589" s="381"/>
      <c r="L589" s="381"/>
      <c r="M589" s="381"/>
      <c r="N589" s="381"/>
      <c r="O589" s="381"/>
      <c r="P589" s="381"/>
      <c r="Q589" s="381"/>
      <c r="R589" s="381"/>
      <c r="S589" s="381"/>
      <c r="T589" s="381"/>
      <c r="U589" s="381"/>
      <c r="V589" s="381"/>
      <c r="W589" s="381"/>
      <c r="X589" s="381"/>
      <c r="Y589" s="381"/>
      <c r="Z589" s="381"/>
    </row>
    <row r="590">
      <c r="A590" s="381"/>
      <c r="B590" s="18"/>
      <c r="C590" s="359"/>
      <c r="D590" s="359"/>
      <c r="E590" s="381"/>
      <c r="F590" s="381"/>
      <c r="G590" s="381"/>
      <c r="H590" s="381"/>
      <c r="I590" s="381"/>
      <c r="J590" s="381"/>
      <c r="K590" s="381"/>
      <c r="L590" s="381"/>
      <c r="M590" s="381"/>
      <c r="N590" s="381"/>
      <c r="O590" s="381"/>
      <c r="P590" s="381"/>
      <c r="Q590" s="381"/>
      <c r="R590" s="381"/>
      <c r="S590" s="381"/>
      <c r="T590" s="381"/>
      <c r="U590" s="381"/>
      <c r="V590" s="381"/>
      <c r="W590" s="381"/>
      <c r="X590" s="381"/>
      <c r="Y590" s="381"/>
      <c r="Z590" s="381"/>
    </row>
    <row r="591">
      <c r="A591" s="381"/>
      <c r="B591" s="18"/>
      <c r="C591" s="359"/>
      <c r="D591" s="359"/>
      <c r="E591" s="381"/>
      <c r="F591" s="381"/>
      <c r="G591" s="381"/>
      <c r="H591" s="381"/>
      <c r="I591" s="381"/>
      <c r="J591" s="381"/>
      <c r="K591" s="381"/>
      <c r="L591" s="381"/>
      <c r="M591" s="381"/>
      <c r="N591" s="381"/>
      <c r="O591" s="381"/>
      <c r="P591" s="381"/>
      <c r="Q591" s="381"/>
      <c r="R591" s="381"/>
      <c r="S591" s="381"/>
      <c r="T591" s="381"/>
      <c r="U591" s="381"/>
      <c r="V591" s="381"/>
      <c r="W591" s="381"/>
      <c r="X591" s="381"/>
      <c r="Y591" s="381"/>
      <c r="Z591" s="381"/>
    </row>
    <row r="592">
      <c r="A592" s="381"/>
      <c r="B592" s="18"/>
      <c r="C592" s="359"/>
      <c r="D592" s="359"/>
      <c r="E592" s="381"/>
      <c r="F592" s="381"/>
      <c r="G592" s="381"/>
      <c r="H592" s="381"/>
      <c r="I592" s="381"/>
      <c r="J592" s="381"/>
      <c r="K592" s="381"/>
      <c r="L592" s="381"/>
      <c r="M592" s="381"/>
      <c r="N592" s="381"/>
      <c r="O592" s="381"/>
      <c r="P592" s="381"/>
      <c r="Q592" s="381"/>
      <c r="R592" s="381"/>
      <c r="S592" s="381"/>
      <c r="T592" s="381"/>
      <c r="U592" s="381"/>
      <c r="V592" s="381"/>
      <c r="W592" s="381"/>
      <c r="X592" s="381"/>
      <c r="Y592" s="381"/>
      <c r="Z592" s="381"/>
    </row>
    <row r="593">
      <c r="A593" s="381"/>
      <c r="B593" s="18"/>
      <c r="C593" s="359"/>
      <c r="D593" s="359"/>
      <c r="E593" s="381"/>
      <c r="F593" s="381"/>
      <c r="G593" s="381"/>
      <c r="H593" s="381"/>
      <c r="I593" s="381"/>
      <c r="J593" s="381"/>
      <c r="K593" s="381"/>
      <c r="L593" s="381"/>
      <c r="M593" s="381"/>
      <c r="N593" s="381"/>
      <c r="O593" s="381"/>
      <c r="P593" s="381"/>
      <c r="Q593" s="381"/>
      <c r="R593" s="381"/>
      <c r="S593" s="381"/>
      <c r="T593" s="381"/>
      <c r="U593" s="381"/>
      <c r="V593" s="381"/>
      <c r="W593" s="381"/>
      <c r="X593" s="381"/>
      <c r="Y593" s="381"/>
      <c r="Z593" s="381"/>
    </row>
    <row r="594">
      <c r="A594" s="381"/>
      <c r="B594" s="18"/>
      <c r="C594" s="359"/>
      <c r="D594" s="359"/>
      <c r="E594" s="381"/>
      <c r="F594" s="381"/>
      <c r="G594" s="381"/>
      <c r="H594" s="381"/>
      <c r="I594" s="381"/>
      <c r="J594" s="381"/>
      <c r="K594" s="381"/>
      <c r="L594" s="381"/>
      <c r="M594" s="381"/>
      <c r="N594" s="381"/>
      <c r="O594" s="381"/>
      <c r="P594" s="381"/>
      <c r="Q594" s="381"/>
      <c r="R594" s="381"/>
      <c r="S594" s="381"/>
      <c r="T594" s="381"/>
      <c r="U594" s="381"/>
      <c r="V594" s="381"/>
      <c r="W594" s="381"/>
      <c r="X594" s="381"/>
      <c r="Y594" s="381"/>
      <c r="Z594" s="381"/>
    </row>
    <row r="595">
      <c r="A595" s="381"/>
      <c r="B595" s="18"/>
      <c r="C595" s="359"/>
      <c r="D595" s="359"/>
      <c r="E595" s="381"/>
      <c r="F595" s="381"/>
      <c r="G595" s="381"/>
      <c r="H595" s="381"/>
      <c r="I595" s="381"/>
      <c r="J595" s="381"/>
      <c r="K595" s="381"/>
      <c r="L595" s="381"/>
      <c r="M595" s="381"/>
      <c r="N595" s="381"/>
      <c r="O595" s="381"/>
      <c r="P595" s="381"/>
      <c r="Q595" s="381"/>
      <c r="R595" s="381"/>
      <c r="S595" s="381"/>
      <c r="T595" s="381"/>
      <c r="U595" s="381"/>
      <c r="V595" s="381"/>
      <c r="W595" s="381"/>
      <c r="X595" s="381"/>
      <c r="Y595" s="381"/>
      <c r="Z595" s="381"/>
    </row>
    <row r="596">
      <c r="A596" s="381"/>
      <c r="B596" s="18"/>
      <c r="C596" s="359"/>
      <c r="D596" s="359"/>
      <c r="E596" s="381"/>
      <c r="F596" s="381"/>
      <c r="G596" s="381"/>
      <c r="H596" s="381"/>
      <c r="I596" s="381"/>
      <c r="J596" s="381"/>
      <c r="K596" s="381"/>
      <c r="L596" s="381"/>
      <c r="M596" s="381"/>
      <c r="N596" s="381"/>
      <c r="O596" s="381"/>
      <c r="P596" s="381"/>
      <c r="Q596" s="381"/>
      <c r="R596" s="381"/>
      <c r="S596" s="381"/>
      <c r="T596" s="381"/>
      <c r="U596" s="381"/>
      <c r="V596" s="381"/>
      <c r="W596" s="381"/>
      <c r="X596" s="381"/>
      <c r="Y596" s="381"/>
      <c r="Z596" s="381"/>
    </row>
    <row r="597">
      <c r="A597" s="381"/>
      <c r="B597" s="18"/>
      <c r="C597" s="359"/>
      <c r="D597" s="359"/>
      <c r="E597" s="381"/>
      <c r="F597" s="381"/>
      <c r="G597" s="381"/>
      <c r="H597" s="381"/>
      <c r="I597" s="381"/>
      <c r="J597" s="381"/>
      <c r="K597" s="381"/>
      <c r="L597" s="381"/>
      <c r="M597" s="381"/>
      <c r="N597" s="381"/>
      <c r="O597" s="381"/>
      <c r="P597" s="381"/>
      <c r="Q597" s="381"/>
      <c r="R597" s="381"/>
      <c r="S597" s="381"/>
      <c r="T597" s="381"/>
      <c r="U597" s="381"/>
      <c r="V597" s="381"/>
      <c r="W597" s="381"/>
      <c r="X597" s="381"/>
      <c r="Y597" s="381"/>
      <c r="Z597" s="381"/>
    </row>
    <row r="598">
      <c r="A598" s="381"/>
      <c r="B598" s="18"/>
      <c r="C598" s="359"/>
      <c r="D598" s="359"/>
      <c r="E598" s="381"/>
      <c r="F598" s="381"/>
      <c r="G598" s="381"/>
      <c r="H598" s="381"/>
      <c r="I598" s="381"/>
      <c r="J598" s="381"/>
      <c r="K598" s="381"/>
      <c r="L598" s="381"/>
      <c r="M598" s="381"/>
      <c r="N598" s="381"/>
      <c r="O598" s="381"/>
      <c r="P598" s="381"/>
      <c r="Q598" s="381"/>
      <c r="R598" s="381"/>
      <c r="S598" s="381"/>
      <c r="T598" s="381"/>
      <c r="U598" s="381"/>
      <c r="V598" s="381"/>
      <c r="W598" s="381"/>
      <c r="X598" s="381"/>
      <c r="Y598" s="381"/>
      <c r="Z598" s="381"/>
    </row>
    <row r="599">
      <c r="A599" s="381"/>
      <c r="B599" s="18"/>
      <c r="C599" s="359"/>
      <c r="D599" s="359"/>
      <c r="E599" s="381"/>
      <c r="F599" s="381"/>
      <c r="G599" s="381"/>
      <c r="H599" s="381"/>
      <c r="I599" s="381"/>
      <c r="J599" s="381"/>
      <c r="K599" s="381"/>
      <c r="L599" s="381"/>
      <c r="M599" s="381"/>
      <c r="N599" s="381"/>
      <c r="O599" s="381"/>
      <c r="P599" s="381"/>
      <c r="Q599" s="381"/>
      <c r="R599" s="381"/>
      <c r="S599" s="381"/>
      <c r="T599" s="381"/>
      <c r="U599" s="381"/>
      <c r="V599" s="381"/>
      <c r="W599" s="381"/>
      <c r="X599" s="381"/>
      <c r="Y599" s="381"/>
      <c r="Z599" s="381"/>
    </row>
    <row r="600">
      <c r="A600" s="381"/>
      <c r="B600" s="18"/>
      <c r="C600" s="359"/>
      <c r="D600" s="359"/>
      <c r="E600" s="381"/>
      <c r="F600" s="381"/>
      <c r="G600" s="381"/>
      <c r="H600" s="381"/>
      <c r="I600" s="381"/>
      <c r="J600" s="381"/>
      <c r="K600" s="381"/>
      <c r="L600" s="381"/>
      <c r="M600" s="381"/>
      <c r="N600" s="381"/>
      <c r="O600" s="381"/>
      <c r="P600" s="381"/>
      <c r="Q600" s="381"/>
      <c r="R600" s="381"/>
      <c r="S600" s="381"/>
      <c r="T600" s="381"/>
      <c r="U600" s="381"/>
      <c r="V600" s="381"/>
      <c r="W600" s="381"/>
      <c r="X600" s="381"/>
      <c r="Y600" s="381"/>
      <c r="Z600" s="381"/>
    </row>
    <row r="601">
      <c r="A601" s="381"/>
      <c r="B601" s="18"/>
      <c r="C601" s="359"/>
      <c r="D601" s="359"/>
      <c r="E601" s="381"/>
      <c r="F601" s="381"/>
      <c r="G601" s="381"/>
      <c r="H601" s="381"/>
      <c r="I601" s="381"/>
      <c r="J601" s="381"/>
      <c r="K601" s="381"/>
      <c r="L601" s="381"/>
      <c r="M601" s="381"/>
      <c r="N601" s="381"/>
      <c r="O601" s="381"/>
      <c r="P601" s="381"/>
      <c r="Q601" s="381"/>
      <c r="R601" s="381"/>
      <c r="S601" s="381"/>
      <c r="T601" s="381"/>
      <c r="U601" s="381"/>
      <c r="V601" s="381"/>
      <c r="W601" s="381"/>
      <c r="X601" s="381"/>
      <c r="Y601" s="381"/>
      <c r="Z601" s="381"/>
    </row>
    <row r="602">
      <c r="A602" s="381"/>
      <c r="B602" s="18"/>
      <c r="C602" s="359"/>
      <c r="D602" s="359"/>
      <c r="E602" s="381"/>
      <c r="F602" s="381"/>
      <c r="G602" s="381"/>
      <c r="H602" s="381"/>
      <c r="I602" s="381"/>
      <c r="J602" s="381"/>
      <c r="K602" s="381"/>
      <c r="L602" s="381"/>
      <c r="M602" s="381"/>
      <c r="N602" s="381"/>
      <c r="O602" s="381"/>
      <c r="P602" s="381"/>
      <c r="Q602" s="381"/>
      <c r="R602" s="381"/>
      <c r="S602" s="381"/>
      <c r="T602" s="381"/>
      <c r="U602" s="381"/>
      <c r="V602" s="381"/>
      <c r="W602" s="381"/>
      <c r="X602" s="381"/>
      <c r="Y602" s="381"/>
      <c r="Z602" s="381"/>
    </row>
    <row r="603">
      <c r="A603" s="381"/>
      <c r="B603" s="18"/>
      <c r="C603" s="359"/>
      <c r="D603" s="359"/>
      <c r="E603" s="381"/>
      <c r="F603" s="381"/>
      <c r="G603" s="381"/>
      <c r="H603" s="381"/>
      <c r="I603" s="381"/>
      <c r="J603" s="381"/>
      <c r="K603" s="381"/>
      <c r="L603" s="381"/>
      <c r="M603" s="381"/>
      <c r="N603" s="381"/>
      <c r="O603" s="381"/>
      <c r="P603" s="381"/>
      <c r="Q603" s="381"/>
      <c r="R603" s="381"/>
      <c r="S603" s="381"/>
      <c r="T603" s="381"/>
      <c r="U603" s="381"/>
      <c r="V603" s="381"/>
      <c r="W603" s="381"/>
      <c r="X603" s="381"/>
      <c r="Y603" s="381"/>
      <c r="Z603" s="381"/>
    </row>
    <row r="604">
      <c r="A604" s="381"/>
      <c r="B604" s="18"/>
      <c r="C604" s="359"/>
      <c r="D604" s="359"/>
      <c r="E604" s="381"/>
      <c r="F604" s="381"/>
      <c r="G604" s="381"/>
      <c r="H604" s="381"/>
      <c r="I604" s="381"/>
      <c r="J604" s="381"/>
      <c r="K604" s="381"/>
      <c r="L604" s="381"/>
      <c r="M604" s="381"/>
      <c r="N604" s="381"/>
      <c r="O604" s="381"/>
      <c r="P604" s="381"/>
      <c r="Q604" s="381"/>
      <c r="R604" s="381"/>
      <c r="S604" s="381"/>
      <c r="T604" s="381"/>
      <c r="U604" s="381"/>
      <c r="V604" s="381"/>
      <c r="W604" s="381"/>
      <c r="X604" s="381"/>
      <c r="Y604" s="381"/>
      <c r="Z604" s="381"/>
    </row>
    <row r="605">
      <c r="A605" s="381"/>
      <c r="B605" s="18"/>
      <c r="C605" s="359"/>
      <c r="D605" s="359"/>
      <c r="E605" s="381"/>
      <c r="F605" s="381"/>
      <c r="G605" s="381"/>
      <c r="H605" s="381"/>
      <c r="I605" s="381"/>
      <c r="J605" s="381"/>
      <c r="K605" s="381"/>
      <c r="L605" s="381"/>
      <c r="M605" s="381"/>
      <c r="N605" s="381"/>
      <c r="O605" s="381"/>
      <c r="P605" s="381"/>
      <c r="Q605" s="381"/>
      <c r="R605" s="381"/>
      <c r="S605" s="381"/>
      <c r="T605" s="381"/>
      <c r="U605" s="381"/>
      <c r="V605" s="381"/>
      <c r="W605" s="381"/>
      <c r="X605" s="381"/>
      <c r="Y605" s="381"/>
      <c r="Z605" s="381"/>
    </row>
    <row r="606">
      <c r="A606" s="381"/>
      <c r="B606" s="18"/>
      <c r="C606" s="359"/>
      <c r="D606" s="359"/>
      <c r="E606" s="381"/>
      <c r="F606" s="381"/>
      <c r="G606" s="381"/>
      <c r="H606" s="381"/>
      <c r="I606" s="381"/>
      <c r="J606" s="381"/>
      <c r="K606" s="381"/>
      <c r="L606" s="381"/>
      <c r="M606" s="381"/>
      <c r="N606" s="381"/>
      <c r="O606" s="381"/>
      <c r="P606" s="381"/>
      <c r="Q606" s="381"/>
      <c r="R606" s="381"/>
      <c r="S606" s="381"/>
      <c r="T606" s="381"/>
      <c r="U606" s="381"/>
      <c r="V606" s="381"/>
      <c r="W606" s="381"/>
      <c r="X606" s="381"/>
      <c r="Y606" s="381"/>
      <c r="Z606" s="381"/>
    </row>
    <row r="607">
      <c r="A607" s="381"/>
      <c r="B607" s="18"/>
      <c r="C607" s="359"/>
      <c r="D607" s="359"/>
      <c r="E607" s="381"/>
      <c r="F607" s="381"/>
      <c r="G607" s="381"/>
      <c r="H607" s="381"/>
      <c r="I607" s="381"/>
      <c r="J607" s="381"/>
      <c r="K607" s="381"/>
      <c r="L607" s="381"/>
      <c r="M607" s="381"/>
      <c r="N607" s="381"/>
      <c r="O607" s="381"/>
      <c r="P607" s="381"/>
      <c r="Q607" s="381"/>
      <c r="R607" s="381"/>
      <c r="S607" s="381"/>
      <c r="T607" s="381"/>
      <c r="U607" s="381"/>
      <c r="V607" s="381"/>
      <c r="W607" s="381"/>
      <c r="X607" s="381"/>
      <c r="Y607" s="381"/>
      <c r="Z607" s="381"/>
    </row>
    <row r="608">
      <c r="A608" s="381"/>
      <c r="B608" s="18"/>
      <c r="C608" s="359"/>
      <c r="D608" s="359"/>
      <c r="E608" s="381"/>
      <c r="F608" s="381"/>
      <c r="G608" s="381"/>
      <c r="H608" s="381"/>
      <c r="I608" s="381"/>
      <c r="J608" s="381"/>
      <c r="K608" s="381"/>
      <c r="L608" s="381"/>
      <c r="M608" s="381"/>
      <c r="N608" s="381"/>
      <c r="O608" s="381"/>
      <c r="P608" s="381"/>
      <c r="Q608" s="381"/>
      <c r="R608" s="381"/>
      <c r="S608" s="381"/>
      <c r="T608" s="381"/>
      <c r="U608" s="381"/>
      <c r="V608" s="381"/>
      <c r="W608" s="381"/>
      <c r="X608" s="381"/>
      <c r="Y608" s="381"/>
      <c r="Z608" s="381"/>
    </row>
    <row r="609">
      <c r="A609" s="381"/>
      <c r="B609" s="18"/>
      <c r="C609" s="359"/>
      <c r="D609" s="359"/>
      <c r="E609" s="381"/>
      <c r="F609" s="381"/>
      <c r="G609" s="381"/>
      <c r="H609" s="381"/>
      <c r="I609" s="381"/>
      <c r="J609" s="381"/>
      <c r="K609" s="381"/>
      <c r="L609" s="381"/>
      <c r="M609" s="381"/>
      <c r="N609" s="381"/>
      <c r="O609" s="381"/>
      <c r="P609" s="381"/>
      <c r="Q609" s="381"/>
      <c r="R609" s="381"/>
      <c r="S609" s="381"/>
      <c r="T609" s="381"/>
      <c r="U609" s="381"/>
      <c r="V609" s="381"/>
      <c r="W609" s="381"/>
      <c r="X609" s="381"/>
      <c r="Y609" s="381"/>
      <c r="Z609" s="381"/>
    </row>
    <row r="610">
      <c r="A610" s="381"/>
      <c r="B610" s="18"/>
      <c r="C610" s="359"/>
      <c r="D610" s="359"/>
      <c r="E610" s="381"/>
      <c r="F610" s="381"/>
      <c r="G610" s="381"/>
      <c r="H610" s="381"/>
      <c r="I610" s="381"/>
      <c r="J610" s="381"/>
      <c r="K610" s="381"/>
      <c r="L610" s="381"/>
      <c r="M610" s="381"/>
      <c r="N610" s="381"/>
      <c r="O610" s="381"/>
      <c r="P610" s="381"/>
      <c r="Q610" s="381"/>
      <c r="R610" s="381"/>
      <c r="S610" s="381"/>
      <c r="T610" s="381"/>
      <c r="U610" s="381"/>
      <c r="V610" s="381"/>
      <c r="W610" s="381"/>
      <c r="X610" s="381"/>
      <c r="Y610" s="381"/>
      <c r="Z610" s="381"/>
    </row>
    <row r="611">
      <c r="A611" s="381"/>
      <c r="B611" s="18"/>
      <c r="C611" s="359"/>
      <c r="D611" s="359"/>
      <c r="E611" s="381"/>
      <c r="F611" s="381"/>
      <c r="G611" s="381"/>
      <c r="H611" s="381"/>
      <c r="I611" s="381"/>
      <c r="J611" s="381"/>
      <c r="K611" s="381"/>
      <c r="L611" s="381"/>
      <c r="M611" s="381"/>
      <c r="N611" s="381"/>
      <c r="O611" s="381"/>
      <c r="P611" s="381"/>
      <c r="Q611" s="381"/>
      <c r="R611" s="381"/>
      <c r="S611" s="381"/>
      <c r="T611" s="381"/>
      <c r="U611" s="381"/>
      <c r="V611" s="381"/>
      <c r="W611" s="381"/>
      <c r="X611" s="381"/>
      <c r="Y611" s="381"/>
      <c r="Z611" s="381"/>
    </row>
    <row r="612">
      <c r="A612" s="381"/>
      <c r="B612" s="18"/>
      <c r="C612" s="359"/>
      <c r="D612" s="359"/>
      <c r="E612" s="381"/>
      <c r="F612" s="381"/>
      <c r="G612" s="381"/>
      <c r="H612" s="381"/>
      <c r="I612" s="381"/>
      <c r="J612" s="381"/>
      <c r="K612" s="381"/>
      <c r="L612" s="381"/>
      <c r="M612" s="381"/>
      <c r="N612" s="381"/>
      <c r="O612" s="381"/>
      <c r="P612" s="381"/>
      <c r="Q612" s="381"/>
      <c r="R612" s="381"/>
      <c r="S612" s="381"/>
      <c r="T612" s="381"/>
      <c r="U612" s="381"/>
      <c r="V612" s="381"/>
      <c r="W612" s="381"/>
      <c r="X612" s="381"/>
      <c r="Y612" s="381"/>
      <c r="Z612" s="381"/>
    </row>
    <row r="613">
      <c r="A613" s="381"/>
      <c r="B613" s="18"/>
      <c r="C613" s="359"/>
      <c r="D613" s="359"/>
      <c r="E613" s="381"/>
      <c r="F613" s="381"/>
      <c r="G613" s="381"/>
      <c r="H613" s="381"/>
      <c r="I613" s="381"/>
      <c r="J613" s="381"/>
      <c r="K613" s="381"/>
      <c r="L613" s="381"/>
      <c r="M613" s="381"/>
      <c r="N613" s="381"/>
      <c r="O613" s="381"/>
      <c r="P613" s="381"/>
      <c r="Q613" s="381"/>
      <c r="R613" s="381"/>
      <c r="S613" s="381"/>
      <c r="T613" s="381"/>
      <c r="U613" s="381"/>
      <c r="V613" s="381"/>
      <c r="W613" s="381"/>
      <c r="X613" s="381"/>
      <c r="Y613" s="381"/>
      <c r="Z613" s="381"/>
    </row>
    <row r="614">
      <c r="A614" s="381"/>
      <c r="B614" s="18"/>
      <c r="C614" s="359"/>
      <c r="D614" s="359"/>
      <c r="E614" s="381"/>
      <c r="F614" s="381"/>
      <c r="G614" s="381"/>
      <c r="H614" s="381"/>
      <c r="I614" s="381"/>
      <c r="J614" s="381"/>
      <c r="K614" s="381"/>
      <c r="L614" s="381"/>
      <c r="M614" s="381"/>
      <c r="N614" s="381"/>
      <c r="O614" s="381"/>
      <c r="P614" s="381"/>
      <c r="Q614" s="381"/>
      <c r="R614" s="381"/>
      <c r="S614" s="381"/>
      <c r="T614" s="381"/>
      <c r="U614" s="381"/>
      <c r="V614" s="381"/>
      <c r="W614" s="381"/>
      <c r="X614" s="381"/>
      <c r="Y614" s="381"/>
      <c r="Z614" s="381"/>
    </row>
    <row r="615">
      <c r="A615" s="381"/>
      <c r="B615" s="18"/>
      <c r="C615" s="359"/>
      <c r="D615" s="359"/>
      <c r="E615" s="381"/>
      <c r="F615" s="381"/>
      <c r="G615" s="381"/>
      <c r="H615" s="381"/>
      <c r="I615" s="381"/>
      <c r="J615" s="381"/>
      <c r="K615" s="381"/>
      <c r="L615" s="381"/>
      <c r="M615" s="381"/>
      <c r="N615" s="381"/>
      <c r="O615" s="381"/>
      <c r="P615" s="381"/>
      <c r="Q615" s="381"/>
      <c r="R615" s="381"/>
      <c r="S615" s="381"/>
      <c r="T615" s="381"/>
      <c r="U615" s="381"/>
      <c r="V615" s="381"/>
      <c r="W615" s="381"/>
      <c r="X615" s="381"/>
      <c r="Y615" s="381"/>
      <c r="Z615" s="381"/>
    </row>
    <row r="616">
      <c r="A616" s="381"/>
      <c r="B616" s="18"/>
      <c r="C616" s="359"/>
      <c r="D616" s="359"/>
      <c r="E616" s="381"/>
      <c r="F616" s="381"/>
      <c r="G616" s="381"/>
      <c r="H616" s="381"/>
      <c r="I616" s="381"/>
      <c r="J616" s="381"/>
      <c r="K616" s="381"/>
      <c r="L616" s="381"/>
      <c r="M616" s="381"/>
      <c r="N616" s="381"/>
      <c r="O616" s="381"/>
      <c r="P616" s="381"/>
      <c r="Q616" s="381"/>
      <c r="R616" s="381"/>
      <c r="S616" s="381"/>
      <c r="T616" s="381"/>
      <c r="U616" s="381"/>
      <c r="V616" s="381"/>
      <c r="W616" s="381"/>
      <c r="X616" s="381"/>
      <c r="Y616" s="381"/>
      <c r="Z616" s="381"/>
    </row>
    <row r="617">
      <c r="A617" s="381"/>
      <c r="B617" s="18"/>
      <c r="C617" s="359"/>
      <c r="D617" s="359"/>
      <c r="E617" s="381"/>
      <c r="F617" s="381"/>
      <c r="G617" s="381"/>
      <c r="H617" s="381"/>
      <c r="I617" s="381"/>
      <c r="J617" s="381"/>
      <c r="K617" s="381"/>
      <c r="L617" s="381"/>
      <c r="M617" s="381"/>
      <c r="N617" s="381"/>
      <c r="O617" s="381"/>
      <c r="P617" s="381"/>
      <c r="Q617" s="381"/>
      <c r="R617" s="381"/>
      <c r="S617" s="381"/>
      <c r="T617" s="381"/>
      <c r="U617" s="381"/>
      <c r="V617" s="381"/>
      <c r="W617" s="381"/>
      <c r="X617" s="381"/>
      <c r="Y617" s="381"/>
      <c r="Z617" s="381"/>
    </row>
    <row r="618">
      <c r="A618" s="381"/>
      <c r="B618" s="18"/>
      <c r="C618" s="359"/>
      <c r="D618" s="359"/>
      <c r="E618" s="381"/>
      <c r="F618" s="381"/>
      <c r="G618" s="381"/>
      <c r="H618" s="381"/>
      <c r="I618" s="381"/>
      <c r="J618" s="381"/>
      <c r="K618" s="381"/>
      <c r="L618" s="381"/>
      <c r="M618" s="381"/>
      <c r="N618" s="381"/>
      <c r="O618" s="381"/>
      <c r="P618" s="381"/>
      <c r="Q618" s="381"/>
      <c r="R618" s="381"/>
      <c r="S618" s="381"/>
      <c r="T618" s="381"/>
      <c r="U618" s="381"/>
      <c r="V618" s="381"/>
      <c r="W618" s="381"/>
      <c r="X618" s="381"/>
      <c r="Y618" s="381"/>
      <c r="Z618" s="381"/>
    </row>
    <row r="619">
      <c r="A619" s="381"/>
      <c r="B619" s="18"/>
      <c r="C619" s="359"/>
      <c r="D619" s="359"/>
      <c r="E619" s="381"/>
      <c r="F619" s="381"/>
      <c r="G619" s="381"/>
      <c r="H619" s="381"/>
      <c r="I619" s="381"/>
      <c r="J619" s="381"/>
      <c r="K619" s="381"/>
      <c r="L619" s="381"/>
      <c r="M619" s="381"/>
      <c r="N619" s="381"/>
      <c r="O619" s="381"/>
      <c r="P619" s="381"/>
      <c r="Q619" s="381"/>
      <c r="R619" s="381"/>
      <c r="S619" s="381"/>
      <c r="T619" s="381"/>
      <c r="U619" s="381"/>
      <c r="V619" s="381"/>
      <c r="W619" s="381"/>
      <c r="X619" s="381"/>
      <c r="Y619" s="381"/>
      <c r="Z619" s="381"/>
    </row>
    <row r="620">
      <c r="A620" s="381"/>
      <c r="B620" s="18"/>
      <c r="C620" s="359"/>
      <c r="D620" s="359"/>
      <c r="E620" s="381"/>
      <c r="F620" s="381"/>
      <c r="G620" s="381"/>
      <c r="H620" s="381"/>
      <c r="I620" s="381"/>
      <c r="J620" s="381"/>
      <c r="K620" s="381"/>
      <c r="L620" s="381"/>
      <c r="M620" s="381"/>
      <c r="N620" s="381"/>
      <c r="O620" s="381"/>
      <c r="P620" s="381"/>
      <c r="Q620" s="381"/>
      <c r="R620" s="381"/>
      <c r="S620" s="381"/>
      <c r="T620" s="381"/>
      <c r="U620" s="381"/>
      <c r="V620" s="381"/>
      <c r="W620" s="381"/>
      <c r="X620" s="381"/>
      <c r="Y620" s="381"/>
      <c r="Z620" s="381"/>
    </row>
    <row r="621">
      <c r="A621" s="381"/>
      <c r="B621" s="18"/>
      <c r="C621" s="359"/>
      <c r="D621" s="359"/>
      <c r="E621" s="381"/>
      <c r="F621" s="381"/>
      <c r="G621" s="381"/>
      <c r="H621" s="381"/>
      <c r="I621" s="381"/>
      <c r="J621" s="381"/>
      <c r="K621" s="381"/>
      <c r="L621" s="381"/>
      <c r="M621" s="381"/>
      <c r="N621" s="381"/>
      <c r="O621" s="381"/>
      <c r="P621" s="381"/>
      <c r="Q621" s="381"/>
      <c r="R621" s="381"/>
      <c r="S621" s="381"/>
      <c r="T621" s="381"/>
      <c r="U621" s="381"/>
      <c r="V621" s="381"/>
      <c r="W621" s="381"/>
      <c r="X621" s="381"/>
      <c r="Y621" s="381"/>
      <c r="Z621" s="381"/>
    </row>
    <row r="622">
      <c r="A622" s="381"/>
      <c r="B622" s="18"/>
      <c r="C622" s="359"/>
      <c r="D622" s="359"/>
      <c r="E622" s="381"/>
      <c r="F622" s="381"/>
      <c r="G622" s="381"/>
      <c r="H622" s="381"/>
      <c r="I622" s="381"/>
      <c r="J622" s="381"/>
      <c r="K622" s="381"/>
      <c r="L622" s="381"/>
      <c r="M622" s="381"/>
      <c r="N622" s="381"/>
      <c r="O622" s="381"/>
      <c r="P622" s="381"/>
      <c r="Q622" s="381"/>
      <c r="R622" s="381"/>
      <c r="S622" s="381"/>
      <c r="T622" s="381"/>
      <c r="U622" s="381"/>
      <c r="V622" s="381"/>
      <c r="W622" s="381"/>
      <c r="X622" s="381"/>
      <c r="Y622" s="381"/>
      <c r="Z622" s="381"/>
    </row>
    <row r="623">
      <c r="A623" s="381"/>
      <c r="B623" s="18"/>
      <c r="C623" s="359"/>
      <c r="D623" s="359"/>
      <c r="E623" s="381"/>
      <c r="F623" s="381"/>
      <c r="G623" s="381"/>
      <c r="H623" s="381"/>
      <c r="I623" s="381"/>
      <c r="J623" s="381"/>
      <c r="K623" s="381"/>
      <c r="L623" s="381"/>
      <c r="M623" s="381"/>
      <c r="N623" s="381"/>
      <c r="O623" s="381"/>
      <c r="P623" s="381"/>
      <c r="Q623" s="381"/>
      <c r="R623" s="381"/>
      <c r="S623" s="381"/>
      <c r="T623" s="381"/>
      <c r="U623" s="381"/>
      <c r="V623" s="381"/>
      <c r="W623" s="381"/>
      <c r="X623" s="381"/>
      <c r="Y623" s="381"/>
      <c r="Z623" s="381"/>
    </row>
    <row r="624">
      <c r="A624" s="381"/>
      <c r="B624" s="18"/>
      <c r="C624" s="359"/>
      <c r="D624" s="359"/>
      <c r="E624" s="381"/>
      <c r="F624" s="381"/>
      <c r="G624" s="381"/>
      <c r="H624" s="381"/>
      <c r="I624" s="381"/>
      <c r="J624" s="381"/>
      <c r="K624" s="381"/>
      <c r="L624" s="381"/>
      <c r="M624" s="381"/>
      <c r="N624" s="381"/>
      <c r="O624" s="381"/>
      <c r="P624" s="381"/>
      <c r="Q624" s="381"/>
      <c r="R624" s="381"/>
      <c r="S624" s="381"/>
      <c r="T624" s="381"/>
      <c r="U624" s="381"/>
      <c r="V624" s="381"/>
      <c r="W624" s="381"/>
      <c r="X624" s="381"/>
      <c r="Y624" s="381"/>
      <c r="Z624" s="381"/>
    </row>
    <row r="625">
      <c r="A625" s="381"/>
      <c r="B625" s="18"/>
      <c r="C625" s="359"/>
      <c r="D625" s="359"/>
      <c r="E625" s="381"/>
      <c r="F625" s="381"/>
      <c r="G625" s="381"/>
      <c r="H625" s="381"/>
      <c r="I625" s="381"/>
      <c r="J625" s="381"/>
      <c r="K625" s="381"/>
      <c r="L625" s="381"/>
      <c r="M625" s="381"/>
      <c r="N625" s="381"/>
      <c r="O625" s="381"/>
      <c r="P625" s="381"/>
      <c r="Q625" s="381"/>
      <c r="R625" s="381"/>
      <c r="S625" s="381"/>
      <c r="T625" s="381"/>
      <c r="U625" s="381"/>
      <c r="V625" s="381"/>
      <c r="W625" s="381"/>
      <c r="X625" s="381"/>
      <c r="Y625" s="381"/>
      <c r="Z625" s="381"/>
    </row>
    <row r="626">
      <c r="A626" s="381"/>
      <c r="B626" s="18"/>
      <c r="C626" s="359"/>
      <c r="D626" s="359"/>
      <c r="E626" s="381"/>
      <c r="F626" s="381"/>
      <c r="G626" s="381"/>
      <c r="H626" s="381"/>
      <c r="I626" s="381"/>
      <c r="J626" s="381"/>
      <c r="K626" s="381"/>
      <c r="L626" s="381"/>
      <c r="M626" s="381"/>
      <c r="N626" s="381"/>
      <c r="O626" s="381"/>
      <c r="P626" s="381"/>
      <c r="Q626" s="381"/>
      <c r="R626" s="381"/>
      <c r="S626" s="381"/>
      <c r="T626" s="381"/>
      <c r="U626" s="381"/>
      <c r="V626" s="381"/>
      <c r="W626" s="381"/>
      <c r="X626" s="381"/>
      <c r="Y626" s="381"/>
      <c r="Z626" s="381"/>
    </row>
    <row r="627">
      <c r="A627" s="381"/>
      <c r="B627" s="18"/>
      <c r="C627" s="359"/>
      <c r="D627" s="359"/>
      <c r="E627" s="381"/>
      <c r="F627" s="381"/>
      <c r="G627" s="381"/>
      <c r="H627" s="381"/>
      <c r="I627" s="381"/>
      <c r="J627" s="381"/>
      <c r="K627" s="381"/>
      <c r="L627" s="381"/>
      <c r="M627" s="381"/>
      <c r="N627" s="381"/>
      <c r="O627" s="381"/>
      <c r="P627" s="381"/>
      <c r="Q627" s="381"/>
      <c r="R627" s="381"/>
      <c r="S627" s="381"/>
      <c r="T627" s="381"/>
      <c r="U627" s="381"/>
      <c r="V627" s="381"/>
      <c r="W627" s="381"/>
      <c r="X627" s="381"/>
      <c r="Y627" s="381"/>
      <c r="Z627" s="381"/>
    </row>
    <row r="628">
      <c r="A628" s="381"/>
      <c r="B628" s="18"/>
      <c r="C628" s="359"/>
      <c r="D628" s="359"/>
      <c r="E628" s="381"/>
      <c r="F628" s="381"/>
      <c r="G628" s="381"/>
      <c r="H628" s="381"/>
      <c r="I628" s="381"/>
      <c r="J628" s="381"/>
      <c r="K628" s="381"/>
      <c r="L628" s="381"/>
      <c r="M628" s="381"/>
      <c r="N628" s="381"/>
      <c r="O628" s="381"/>
      <c r="P628" s="381"/>
      <c r="Q628" s="381"/>
      <c r="R628" s="381"/>
      <c r="S628" s="381"/>
      <c r="T628" s="381"/>
      <c r="U628" s="381"/>
      <c r="V628" s="381"/>
      <c r="W628" s="381"/>
      <c r="X628" s="381"/>
      <c r="Y628" s="381"/>
      <c r="Z628" s="381"/>
    </row>
    <row r="629">
      <c r="A629" s="381"/>
      <c r="B629" s="18"/>
      <c r="C629" s="359"/>
      <c r="D629" s="359"/>
      <c r="E629" s="381"/>
      <c r="F629" s="381"/>
      <c r="G629" s="381"/>
      <c r="H629" s="381"/>
      <c r="I629" s="381"/>
      <c r="J629" s="381"/>
      <c r="K629" s="381"/>
      <c r="L629" s="381"/>
      <c r="M629" s="381"/>
      <c r="N629" s="381"/>
      <c r="O629" s="381"/>
      <c r="P629" s="381"/>
      <c r="Q629" s="381"/>
      <c r="R629" s="381"/>
      <c r="S629" s="381"/>
      <c r="T629" s="381"/>
      <c r="U629" s="381"/>
      <c r="V629" s="381"/>
      <c r="W629" s="381"/>
      <c r="X629" s="381"/>
      <c r="Y629" s="381"/>
      <c r="Z629" s="381"/>
    </row>
    <row r="630">
      <c r="A630" s="381"/>
      <c r="B630" s="18"/>
      <c r="C630" s="359"/>
      <c r="D630" s="359"/>
      <c r="E630" s="381"/>
      <c r="F630" s="381"/>
      <c r="G630" s="381"/>
      <c r="H630" s="381"/>
      <c r="I630" s="381"/>
      <c r="J630" s="381"/>
      <c r="K630" s="381"/>
      <c r="L630" s="381"/>
      <c r="M630" s="381"/>
      <c r="N630" s="381"/>
      <c r="O630" s="381"/>
      <c r="P630" s="381"/>
      <c r="Q630" s="381"/>
      <c r="R630" s="381"/>
      <c r="S630" s="381"/>
      <c r="T630" s="381"/>
      <c r="U630" s="381"/>
      <c r="V630" s="381"/>
      <c r="W630" s="381"/>
      <c r="X630" s="381"/>
      <c r="Y630" s="381"/>
      <c r="Z630" s="381"/>
    </row>
    <row r="631">
      <c r="A631" s="381"/>
      <c r="B631" s="18"/>
      <c r="C631" s="359"/>
      <c r="D631" s="359"/>
      <c r="E631" s="381"/>
      <c r="F631" s="381"/>
      <c r="G631" s="381"/>
      <c r="H631" s="381"/>
      <c r="I631" s="381"/>
      <c r="J631" s="381"/>
      <c r="K631" s="381"/>
      <c r="L631" s="381"/>
      <c r="M631" s="381"/>
      <c r="N631" s="381"/>
      <c r="O631" s="381"/>
      <c r="P631" s="381"/>
      <c r="Q631" s="381"/>
      <c r="R631" s="381"/>
      <c r="S631" s="381"/>
      <c r="T631" s="381"/>
      <c r="U631" s="381"/>
      <c r="V631" s="381"/>
      <c r="W631" s="381"/>
      <c r="X631" s="381"/>
      <c r="Y631" s="381"/>
      <c r="Z631" s="381"/>
    </row>
    <row r="632">
      <c r="A632" s="381"/>
      <c r="B632" s="18"/>
      <c r="C632" s="359"/>
      <c r="D632" s="359"/>
      <c r="E632" s="381"/>
      <c r="F632" s="381"/>
      <c r="G632" s="381"/>
      <c r="H632" s="381"/>
      <c r="I632" s="381"/>
      <c r="J632" s="381"/>
      <c r="K632" s="381"/>
      <c r="L632" s="381"/>
      <c r="M632" s="381"/>
      <c r="N632" s="381"/>
      <c r="O632" s="381"/>
      <c r="P632" s="381"/>
      <c r="Q632" s="381"/>
      <c r="R632" s="381"/>
      <c r="S632" s="381"/>
      <c r="T632" s="381"/>
      <c r="U632" s="381"/>
      <c r="V632" s="381"/>
      <c r="W632" s="381"/>
      <c r="X632" s="381"/>
      <c r="Y632" s="381"/>
      <c r="Z632" s="381"/>
    </row>
    <row r="633">
      <c r="A633" s="381"/>
      <c r="B633" s="18"/>
      <c r="C633" s="359"/>
      <c r="D633" s="359"/>
      <c r="E633" s="381"/>
      <c r="F633" s="381"/>
      <c r="G633" s="381"/>
      <c r="H633" s="381"/>
      <c r="I633" s="381"/>
      <c r="J633" s="381"/>
      <c r="K633" s="381"/>
      <c r="L633" s="381"/>
      <c r="M633" s="381"/>
      <c r="N633" s="381"/>
      <c r="O633" s="381"/>
      <c r="P633" s="381"/>
      <c r="Q633" s="381"/>
      <c r="R633" s="381"/>
      <c r="S633" s="381"/>
      <c r="T633" s="381"/>
      <c r="U633" s="381"/>
      <c r="V633" s="381"/>
      <c r="W633" s="381"/>
      <c r="X633" s="381"/>
      <c r="Y633" s="381"/>
      <c r="Z633" s="381"/>
    </row>
    <row r="634">
      <c r="A634" s="381"/>
      <c r="B634" s="18"/>
      <c r="C634" s="359"/>
      <c r="D634" s="359"/>
      <c r="E634" s="381"/>
      <c r="F634" s="381"/>
      <c r="G634" s="381"/>
      <c r="H634" s="381"/>
      <c r="I634" s="381"/>
      <c r="J634" s="381"/>
      <c r="K634" s="381"/>
      <c r="L634" s="381"/>
      <c r="M634" s="381"/>
      <c r="N634" s="381"/>
      <c r="O634" s="381"/>
      <c r="P634" s="381"/>
      <c r="Q634" s="381"/>
      <c r="R634" s="381"/>
      <c r="S634" s="381"/>
      <c r="T634" s="381"/>
      <c r="U634" s="381"/>
      <c r="V634" s="381"/>
      <c r="W634" s="381"/>
      <c r="X634" s="381"/>
      <c r="Y634" s="381"/>
      <c r="Z634" s="381"/>
    </row>
    <row r="635">
      <c r="A635" s="381"/>
      <c r="B635" s="18"/>
      <c r="C635" s="359"/>
      <c r="D635" s="359"/>
      <c r="E635" s="381"/>
      <c r="F635" s="381"/>
      <c r="G635" s="381"/>
      <c r="H635" s="381"/>
      <c r="I635" s="381"/>
      <c r="J635" s="381"/>
      <c r="K635" s="381"/>
      <c r="L635" s="381"/>
      <c r="M635" s="381"/>
      <c r="N635" s="381"/>
      <c r="O635" s="381"/>
      <c r="P635" s="381"/>
      <c r="Q635" s="381"/>
      <c r="R635" s="381"/>
      <c r="S635" s="381"/>
      <c r="T635" s="381"/>
      <c r="U635" s="381"/>
      <c r="V635" s="381"/>
      <c r="W635" s="381"/>
      <c r="X635" s="381"/>
      <c r="Y635" s="381"/>
      <c r="Z635" s="381"/>
    </row>
    <row r="636">
      <c r="A636" s="381"/>
      <c r="B636" s="18"/>
      <c r="C636" s="359"/>
      <c r="D636" s="359"/>
      <c r="E636" s="381"/>
      <c r="F636" s="381"/>
      <c r="G636" s="381"/>
      <c r="H636" s="381"/>
      <c r="I636" s="381"/>
      <c r="J636" s="381"/>
      <c r="K636" s="381"/>
      <c r="L636" s="381"/>
      <c r="M636" s="381"/>
      <c r="N636" s="381"/>
      <c r="O636" s="381"/>
      <c r="P636" s="381"/>
      <c r="Q636" s="381"/>
      <c r="R636" s="381"/>
      <c r="S636" s="381"/>
      <c r="T636" s="381"/>
      <c r="U636" s="381"/>
      <c r="V636" s="381"/>
      <c r="W636" s="381"/>
      <c r="X636" s="381"/>
      <c r="Y636" s="381"/>
      <c r="Z636" s="381"/>
    </row>
    <row r="637">
      <c r="A637" s="381"/>
      <c r="B637" s="18"/>
      <c r="C637" s="359"/>
      <c r="D637" s="359"/>
      <c r="E637" s="381"/>
      <c r="F637" s="381"/>
      <c r="G637" s="381"/>
      <c r="H637" s="381"/>
      <c r="I637" s="381"/>
      <c r="J637" s="381"/>
      <c r="K637" s="381"/>
      <c r="L637" s="381"/>
      <c r="M637" s="381"/>
      <c r="N637" s="381"/>
      <c r="O637" s="381"/>
      <c r="P637" s="381"/>
      <c r="Q637" s="381"/>
      <c r="R637" s="381"/>
      <c r="S637" s="381"/>
      <c r="T637" s="381"/>
      <c r="U637" s="381"/>
      <c r="V637" s="381"/>
      <c r="W637" s="381"/>
      <c r="X637" s="381"/>
      <c r="Y637" s="381"/>
      <c r="Z637" s="381"/>
    </row>
    <row r="638">
      <c r="A638" s="381"/>
      <c r="B638" s="18"/>
      <c r="C638" s="359"/>
      <c r="D638" s="359"/>
      <c r="E638" s="381"/>
      <c r="F638" s="381"/>
      <c r="G638" s="381"/>
      <c r="H638" s="381"/>
      <c r="I638" s="381"/>
      <c r="J638" s="381"/>
      <c r="K638" s="381"/>
      <c r="L638" s="381"/>
      <c r="M638" s="381"/>
      <c r="N638" s="381"/>
      <c r="O638" s="381"/>
      <c r="P638" s="381"/>
      <c r="Q638" s="381"/>
      <c r="R638" s="381"/>
      <c r="S638" s="381"/>
      <c r="T638" s="381"/>
      <c r="U638" s="381"/>
      <c r="V638" s="381"/>
      <c r="W638" s="381"/>
      <c r="X638" s="381"/>
      <c r="Y638" s="381"/>
      <c r="Z638" s="381"/>
    </row>
    <row r="639">
      <c r="A639" s="381"/>
      <c r="B639" s="18"/>
      <c r="C639" s="359"/>
      <c r="D639" s="359"/>
      <c r="E639" s="381"/>
      <c r="F639" s="381"/>
      <c r="G639" s="381"/>
      <c r="H639" s="381"/>
      <c r="I639" s="381"/>
      <c r="J639" s="381"/>
      <c r="K639" s="381"/>
      <c r="L639" s="381"/>
      <c r="M639" s="381"/>
      <c r="N639" s="381"/>
      <c r="O639" s="381"/>
      <c r="P639" s="381"/>
      <c r="Q639" s="381"/>
      <c r="R639" s="381"/>
      <c r="S639" s="381"/>
      <c r="T639" s="381"/>
      <c r="U639" s="381"/>
      <c r="V639" s="381"/>
      <c r="W639" s="381"/>
      <c r="X639" s="381"/>
      <c r="Y639" s="381"/>
      <c r="Z639" s="381"/>
    </row>
    <row r="640">
      <c r="A640" s="381"/>
      <c r="B640" s="18"/>
      <c r="C640" s="359"/>
      <c r="D640" s="359"/>
      <c r="E640" s="381"/>
      <c r="F640" s="381"/>
      <c r="G640" s="381"/>
      <c r="H640" s="381"/>
      <c r="I640" s="381"/>
      <c r="J640" s="381"/>
      <c r="K640" s="381"/>
      <c r="L640" s="381"/>
      <c r="M640" s="381"/>
      <c r="N640" s="381"/>
      <c r="O640" s="381"/>
      <c r="P640" s="381"/>
      <c r="Q640" s="381"/>
      <c r="R640" s="381"/>
      <c r="S640" s="381"/>
      <c r="T640" s="381"/>
      <c r="U640" s="381"/>
      <c r="V640" s="381"/>
      <c r="W640" s="381"/>
      <c r="X640" s="381"/>
      <c r="Y640" s="381"/>
      <c r="Z640" s="381"/>
    </row>
    <row r="641">
      <c r="A641" s="381"/>
      <c r="B641" s="18"/>
      <c r="C641" s="359"/>
      <c r="D641" s="359"/>
      <c r="E641" s="381"/>
      <c r="F641" s="381"/>
      <c r="G641" s="381"/>
      <c r="H641" s="381"/>
      <c r="I641" s="381"/>
      <c r="J641" s="381"/>
      <c r="K641" s="381"/>
      <c r="L641" s="381"/>
      <c r="M641" s="381"/>
      <c r="N641" s="381"/>
      <c r="O641" s="381"/>
      <c r="P641" s="381"/>
      <c r="Q641" s="381"/>
      <c r="R641" s="381"/>
      <c r="S641" s="381"/>
      <c r="T641" s="381"/>
      <c r="U641" s="381"/>
      <c r="V641" s="381"/>
      <c r="W641" s="381"/>
      <c r="X641" s="381"/>
      <c r="Y641" s="381"/>
      <c r="Z641" s="381"/>
    </row>
    <row r="642">
      <c r="A642" s="381"/>
      <c r="B642" s="18"/>
      <c r="C642" s="359"/>
      <c r="D642" s="359"/>
      <c r="E642" s="381"/>
      <c r="F642" s="381"/>
      <c r="G642" s="381"/>
      <c r="H642" s="381"/>
      <c r="I642" s="381"/>
      <c r="J642" s="381"/>
      <c r="K642" s="381"/>
      <c r="L642" s="381"/>
      <c r="M642" s="381"/>
      <c r="N642" s="381"/>
      <c r="O642" s="381"/>
      <c r="P642" s="381"/>
      <c r="Q642" s="381"/>
      <c r="R642" s="381"/>
      <c r="S642" s="381"/>
      <c r="T642" s="381"/>
      <c r="U642" s="381"/>
      <c r="V642" s="381"/>
      <c r="W642" s="381"/>
      <c r="X642" s="381"/>
      <c r="Y642" s="381"/>
      <c r="Z642" s="381"/>
    </row>
    <row r="643">
      <c r="A643" s="381"/>
      <c r="B643" s="18"/>
      <c r="C643" s="359"/>
      <c r="D643" s="359"/>
      <c r="E643" s="381"/>
      <c r="F643" s="381"/>
      <c r="G643" s="381"/>
      <c r="H643" s="381"/>
      <c r="I643" s="381"/>
      <c r="J643" s="381"/>
      <c r="K643" s="381"/>
      <c r="L643" s="381"/>
      <c r="M643" s="381"/>
      <c r="N643" s="381"/>
      <c r="O643" s="381"/>
      <c r="P643" s="381"/>
      <c r="Q643" s="381"/>
      <c r="R643" s="381"/>
      <c r="S643" s="381"/>
      <c r="T643" s="381"/>
      <c r="U643" s="381"/>
      <c r="V643" s="381"/>
      <c r="W643" s="381"/>
      <c r="X643" s="381"/>
      <c r="Y643" s="381"/>
      <c r="Z643" s="381"/>
    </row>
    <row r="644">
      <c r="A644" s="381"/>
      <c r="B644" s="18"/>
      <c r="C644" s="359"/>
      <c r="D644" s="359"/>
      <c r="E644" s="381"/>
      <c r="F644" s="381"/>
      <c r="G644" s="381"/>
      <c r="H644" s="381"/>
      <c r="I644" s="381"/>
      <c r="J644" s="381"/>
      <c r="K644" s="381"/>
      <c r="L644" s="381"/>
      <c r="M644" s="381"/>
      <c r="N644" s="381"/>
      <c r="O644" s="381"/>
      <c r="P644" s="381"/>
      <c r="Q644" s="381"/>
      <c r="R644" s="381"/>
      <c r="S644" s="381"/>
      <c r="T644" s="381"/>
      <c r="U644" s="381"/>
      <c r="V644" s="381"/>
      <c r="W644" s="381"/>
      <c r="X644" s="381"/>
      <c r="Y644" s="381"/>
      <c r="Z644" s="381"/>
    </row>
    <row r="645">
      <c r="A645" s="381"/>
      <c r="B645" s="18"/>
      <c r="C645" s="359"/>
      <c r="D645" s="359"/>
      <c r="E645" s="381"/>
      <c r="F645" s="381"/>
      <c r="G645" s="381"/>
      <c r="H645" s="381"/>
      <c r="I645" s="381"/>
      <c r="J645" s="381"/>
      <c r="K645" s="381"/>
      <c r="L645" s="381"/>
      <c r="M645" s="381"/>
      <c r="N645" s="381"/>
      <c r="O645" s="381"/>
      <c r="P645" s="381"/>
      <c r="Q645" s="381"/>
      <c r="R645" s="381"/>
      <c r="S645" s="381"/>
      <c r="T645" s="381"/>
      <c r="U645" s="381"/>
      <c r="V645" s="381"/>
      <c r="W645" s="381"/>
      <c r="X645" s="381"/>
      <c r="Y645" s="381"/>
      <c r="Z645" s="381"/>
    </row>
    <row r="646">
      <c r="A646" s="381"/>
      <c r="B646" s="18"/>
      <c r="C646" s="359"/>
      <c r="D646" s="359"/>
      <c r="E646" s="381"/>
      <c r="F646" s="381"/>
      <c r="G646" s="381"/>
      <c r="H646" s="381"/>
      <c r="I646" s="381"/>
      <c r="J646" s="381"/>
      <c r="K646" s="381"/>
      <c r="L646" s="381"/>
      <c r="M646" s="381"/>
      <c r="N646" s="381"/>
      <c r="O646" s="381"/>
      <c r="P646" s="381"/>
      <c r="Q646" s="381"/>
      <c r="R646" s="381"/>
      <c r="S646" s="381"/>
      <c r="T646" s="381"/>
      <c r="U646" s="381"/>
      <c r="V646" s="381"/>
      <c r="W646" s="381"/>
      <c r="X646" s="381"/>
      <c r="Y646" s="381"/>
      <c r="Z646" s="381"/>
    </row>
    <row r="647">
      <c r="A647" s="381"/>
      <c r="B647" s="18"/>
      <c r="C647" s="359"/>
      <c r="D647" s="359"/>
      <c r="E647" s="381"/>
      <c r="F647" s="381"/>
      <c r="G647" s="381"/>
      <c r="H647" s="381"/>
      <c r="I647" s="381"/>
      <c r="J647" s="381"/>
      <c r="K647" s="381"/>
      <c r="L647" s="381"/>
      <c r="M647" s="381"/>
      <c r="N647" s="381"/>
      <c r="O647" s="381"/>
      <c r="P647" s="381"/>
      <c r="Q647" s="381"/>
      <c r="R647" s="381"/>
      <c r="S647" s="381"/>
      <c r="T647" s="381"/>
      <c r="U647" s="381"/>
      <c r="V647" s="381"/>
      <c r="W647" s="381"/>
      <c r="X647" s="381"/>
      <c r="Y647" s="381"/>
      <c r="Z647" s="381"/>
    </row>
    <row r="648">
      <c r="A648" s="381"/>
      <c r="B648" s="18"/>
      <c r="C648" s="359"/>
      <c r="D648" s="359"/>
      <c r="E648" s="381"/>
      <c r="F648" s="381"/>
      <c r="G648" s="381"/>
      <c r="H648" s="381"/>
      <c r="I648" s="381"/>
      <c r="J648" s="381"/>
      <c r="K648" s="381"/>
      <c r="L648" s="381"/>
      <c r="M648" s="381"/>
      <c r="N648" s="381"/>
      <c r="O648" s="381"/>
      <c r="P648" s="381"/>
      <c r="Q648" s="381"/>
      <c r="R648" s="381"/>
      <c r="S648" s="381"/>
      <c r="T648" s="381"/>
      <c r="U648" s="381"/>
      <c r="V648" s="381"/>
      <c r="W648" s="381"/>
      <c r="X648" s="381"/>
      <c r="Y648" s="381"/>
      <c r="Z648" s="381"/>
    </row>
    <row r="649">
      <c r="A649" s="381"/>
      <c r="B649" s="18"/>
      <c r="C649" s="359"/>
      <c r="D649" s="359"/>
      <c r="E649" s="381"/>
      <c r="F649" s="381"/>
      <c r="G649" s="381"/>
      <c r="H649" s="381"/>
      <c r="I649" s="381"/>
      <c r="J649" s="381"/>
      <c r="K649" s="381"/>
      <c r="L649" s="381"/>
      <c r="M649" s="381"/>
      <c r="N649" s="381"/>
      <c r="O649" s="381"/>
      <c r="P649" s="381"/>
      <c r="Q649" s="381"/>
      <c r="R649" s="381"/>
      <c r="S649" s="381"/>
      <c r="T649" s="381"/>
      <c r="U649" s="381"/>
      <c r="V649" s="381"/>
      <c r="W649" s="381"/>
      <c r="X649" s="381"/>
      <c r="Y649" s="381"/>
      <c r="Z649" s="381"/>
    </row>
    <row r="650">
      <c r="A650" s="381"/>
      <c r="B650" s="18"/>
      <c r="C650" s="359"/>
      <c r="D650" s="359"/>
      <c r="E650" s="381"/>
      <c r="F650" s="381"/>
      <c r="G650" s="381"/>
      <c r="H650" s="381"/>
      <c r="I650" s="381"/>
      <c r="J650" s="381"/>
      <c r="K650" s="381"/>
      <c r="L650" s="381"/>
      <c r="M650" s="381"/>
      <c r="N650" s="381"/>
      <c r="O650" s="381"/>
      <c r="P650" s="381"/>
      <c r="Q650" s="381"/>
      <c r="R650" s="381"/>
      <c r="S650" s="381"/>
      <c r="T650" s="381"/>
      <c r="U650" s="381"/>
      <c r="V650" s="381"/>
      <c r="W650" s="381"/>
      <c r="X650" s="381"/>
      <c r="Y650" s="381"/>
      <c r="Z650" s="381"/>
    </row>
    <row r="651">
      <c r="A651" s="381"/>
      <c r="B651" s="18"/>
      <c r="C651" s="359"/>
      <c r="D651" s="359"/>
      <c r="E651" s="381"/>
      <c r="F651" s="381"/>
      <c r="G651" s="381"/>
      <c r="H651" s="381"/>
      <c r="I651" s="381"/>
      <c r="J651" s="381"/>
      <c r="K651" s="381"/>
      <c r="L651" s="381"/>
      <c r="M651" s="381"/>
      <c r="N651" s="381"/>
      <c r="O651" s="381"/>
      <c r="P651" s="381"/>
      <c r="Q651" s="381"/>
      <c r="R651" s="381"/>
      <c r="S651" s="381"/>
      <c r="T651" s="381"/>
      <c r="U651" s="381"/>
      <c r="V651" s="381"/>
      <c r="W651" s="381"/>
      <c r="X651" s="381"/>
      <c r="Y651" s="381"/>
      <c r="Z651" s="381"/>
    </row>
    <row r="652">
      <c r="A652" s="381"/>
      <c r="B652" s="18"/>
      <c r="C652" s="359"/>
      <c r="D652" s="359"/>
      <c r="E652" s="381"/>
      <c r="F652" s="381"/>
      <c r="G652" s="381"/>
      <c r="H652" s="381"/>
      <c r="I652" s="381"/>
      <c r="J652" s="381"/>
      <c r="K652" s="381"/>
      <c r="L652" s="381"/>
      <c r="M652" s="381"/>
      <c r="N652" s="381"/>
      <c r="O652" s="381"/>
      <c r="P652" s="381"/>
      <c r="Q652" s="381"/>
      <c r="R652" s="381"/>
      <c r="S652" s="381"/>
      <c r="T652" s="381"/>
      <c r="U652" s="381"/>
      <c r="V652" s="381"/>
      <c r="W652" s="381"/>
      <c r="X652" s="381"/>
      <c r="Y652" s="381"/>
      <c r="Z652" s="381"/>
    </row>
    <row r="653">
      <c r="A653" s="381"/>
      <c r="B653" s="18"/>
      <c r="C653" s="359"/>
      <c r="D653" s="359"/>
      <c r="E653" s="381"/>
      <c r="F653" s="381"/>
      <c r="G653" s="381"/>
      <c r="H653" s="381"/>
      <c r="I653" s="381"/>
      <c r="J653" s="381"/>
      <c r="K653" s="381"/>
      <c r="L653" s="381"/>
      <c r="M653" s="381"/>
      <c r="N653" s="381"/>
      <c r="O653" s="381"/>
      <c r="P653" s="381"/>
      <c r="Q653" s="381"/>
      <c r="R653" s="381"/>
      <c r="S653" s="381"/>
      <c r="T653" s="381"/>
      <c r="U653" s="381"/>
      <c r="V653" s="381"/>
      <c r="W653" s="381"/>
      <c r="X653" s="381"/>
      <c r="Y653" s="381"/>
      <c r="Z653" s="381"/>
    </row>
    <row r="654">
      <c r="A654" s="381"/>
      <c r="B654" s="18"/>
      <c r="C654" s="359"/>
      <c r="D654" s="359"/>
      <c r="E654" s="381"/>
      <c r="F654" s="381"/>
      <c r="G654" s="381"/>
      <c r="H654" s="381"/>
      <c r="I654" s="381"/>
      <c r="J654" s="381"/>
      <c r="K654" s="381"/>
      <c r="L654" s="381"/>
      <c r="M654" s="381"/>
      <c r="N654" s="381"/>
      <c r="O654" s="381"/>
      <c r="P654" s="381"/>
      <c r="Q654" s="381"/>
      <c r="R654" s="381"/>
      <c r="S654" s="381"/>
      <c r="T654" s="381"/>
      <c r="U654" s="381"/>
      <c r="V654" s="381"/>
      <c r="W654" s="381"/>
      <c r="X654" s="381"/>
      <c r="Y654" s="381"/>
      <c r="Z654" s="381"/>
    </row>
    <row r="655">
      <c r="A655" s="381"/>
      <c r="B655" s="18"/>
      <c r="C655" s="359"/>
      <c r="D655" s="359"/>
      <c r="E655" s="381"/>
      <c r="F655" s="381"/>
      <c r="G655" s="381"/>
      <c r="H655" s="381"/>
      <c r="I655" s="381"/>
      <c r="J655" s="381"/>
      <c r="K655" s="381"/>
      <c r="L655" s="381"/>
      <c r="M655" s="381"/>
      <c r="N655" s="381"/>
      <c r="O655" s="381"/>
      <c r="P655" s="381"/>
      <c r="Q655" s="381"/>
      <c r="R655" s="381"/>
      <c r="S655" s="381"/>
      <c r="T655" s="381"/>
      <c r="U655" s="381"/>
      <c r="V655" s="381"/>
      <c r="W655" s="381"/>
      <c r="X655" s="381"/>
      <c r="Y655" s="381"/>
      <c r="Z655" s="381"/>
    </row>
    <row r="656">
      <c r="A656" s="381"/>
      <c r="B656" s="18"/>
      <c r="C656" s="359"/>
      <c r="D656" s="359"/>
      <c r="E656" s="381"/>
      <c r="F656" s="381"/>
      <c r="G656" s="381"/>
      <c r="H656" s="381"/>
      <c r="I656" s="381"/>
      <c r="J656" s="381"/>
      <c r="K656" s="381"/>
      <c r="L656" s="381"/>
      <c r="M656" s="381"/>
      <c r="N656" s="381"/>
      <c r="O656" s="381"/>
      <c r="P656" s="381"/>
      <c r="Q656" s="381"/>
      <c r="R656" s="381"/>
      <c r="S656" s="381"/>
      <c r="T656" s="381"/>
      <c r="U656" s="381"/>
      <c r="V656" s="381"/>
      <c r="W656" s="381"/>
      <c r="X656" s="381"/>
      <c r="Y656" s="381"/>
      <c r="Z656" s="381"/>
    </row>
    <row r="657">
      <c r="A657" s="381"/>
      <c r="B657" s="18"/>
      <c r="C657" s="359"/>
      <c r="D657" s="359"/>
      <c r="E657" s="381"/>
      <c r="F657" s="381"/>
      <c r="G657" s="381"/>
      <c r="H657" s="381"/>
      <c r="I657" s="381"/>
      <c r="J657" s="381"/>
      <c r="K657" s="381"/>
      <c r="L657" s="381"/>
      <c r="M657" s="381"/>
      <c r="N657" s="381"/>
      <c r="O657" s="381"/>
      <c r="P657" s="381"/>
      <c r="Q657" s="381"/>
      <c r="R657" s="381"/>
      <c r="S657" s="381"/>
      <c r="T657" s="381"/>
      <c r="U657" s="381"/>
      <c r="V657" s="381"/>
      <c r="W657" s="381"/>
      <c r="X657" s="381"/>
      <c r="Y657" s="381"/>
      <c r="Z657" s="381"/>
    </row>
    <row r="658">
      <c r="A658" s="381"/>
      <c r="B658" s="18"/>
      <c r="C658" s="359"/>
      <c r="D658" s="359"/>
      <c r="E658" s="381"/>
      <c r="F658" s="381"/>
      <c r="G658" s="381"/>
      <c r="H658" s="381"/>
      <c r="I658" s="381"/>
      <c r="J658" s="381"/>
      <c r="K658" s="381"/>
      <c r="L658" s="381"/>
      <c r="M658" s="381"/>
      <c r="N658" s="381"/>
      <c r="O658" s="381"/>
      <c r="P658" s="381"/>
      <c r="Q658" s="381"/>
      <c r="R658" s="381"/>
      <c r="S658" s="381"/>
      <c r="T658" s="381"/>
      <c r="U658" s="381"/>
      <c r="V658" s="381"/>
      <c r="W658" s="381"/>
      <c r="X658" s="381"/>
      <c r="Y658" s="381"/>
      <c r="Z658" s="381"/>
    </row>
    <row r="659">
      <c r="A659" s="381"/>
      <c r="B659" s="18"/>
      <c r="C659" s="359"/>
      <c r="D659" s="359"/>
      <c r="E659" s="381"/>
      <c r="F659" s="381"/>
      <c r="G659" s="381"/>
      <c r="H659" s="381"/>
      <c r="I659" s="381"/>
      <c r="J659" s="381"/>
      <c r="K659" s="381"/>
      <c r="L659" s="381"/>
      <c r="M659" s="381"/>
      <c r="N659" s="381"/>
      <c r="O659" s="381"/>
      <c r="P659" s="381"/>
      <c r="Q659" s="381"/>
      <c r="R659" s="381"/>
      <c r="S659" s="381"/>
      <c r="T659" s="381"/>
      <c r="U659" s="381"/>
      <c r="V659" s="381"/>
      <c r="W659" s="381"/>
      <c r="X659" s="381"/>
      <c r="Y659" s="381"/>
      <c r="Z659" s="381"/>
    </row>
    <row r="660">
      <c r="A660" s="381"/>
      <c r="B660" s="18"/>
      <c r="C660" s="359"/>
      <c r="D660" s="359"/>
      <c r="E660" s="381"/>
      <c r="F660" s="381"/>
      <c r="G660" s="381"/>
      <c r="H660" s="381"/>
      <c r="I660" s="381"/>
      <c r="J660" s="381"/>
      <c r="K660" s="381"/>
      <c r="L660" s="381"/>
      <c r="M660" s="381"/>
      <c r="N660" s="381"/>
      <c r="O660" s="381"/>
      <c r="P660" s="381"/>
      <c r="Q660" s="381"/>
      <c r="R660" s="381"/>
      <c r="S660" s="381"/>
      <c r="T660" s="381"/>
      <c r="U660" s="381"/>
      <c r="V660" s="381"/>
      <c r="W660" s="381"/>
      <c r="X660" s="381"/>
      <c r="Y660" s="381"/>
      <c r="Z660" s="381"/>
    </row>
    <row r="661">
      <c r="A661" s="381"/>
      <c r="B661" s="18"/>
      <c r="C661" s="359"/>
      <c r="D661" s="359"/>
      <c r="E661" s="381"/>
      <c r="F661" s="381"/>
      <c r="G661" s="381"/>
      <c r="H661" s="381"/>
      <c r="I661" s="381"/>
      <c r="J661" s="381"/>
      <c r="K661" s="381"/>
      <c r="L661" s="381"/>
      <c r="M661" s="381"/>
      <c r="N661" s="381"/>
      <c r="O661" s="381"/>
      <c r="P661" s="381"/>
      <c r="Q661" s="381"/>
      <c r="R661" s="381"/>
      <c r="S661" s="381"/>
      <c r="T661" s="381"/>
      <c r="U661" s="381"/>
      <c r="V661" s="381"/>
      <c r="W661" s="381"/>
      <c r="X661" s="381"/>
      <c r="Y661" s="381"/>
      <c r="Z661" s="381"/>
    </row>
    <row r="662">
      <c r="A662" s="381"/>
      <c r="B662" s="18"/>
      <c r="C662" s="359"/>
      <c r="D662" s="359"/>
      <c r="E662" s="381"/>
      <c r="F662" s="381"/>
      <c r="G662" s="381"/>
      <c r="H662" s="381"/>
      <c r="I662" s="381"/>
      <c r="J662" s="381"/>
      <c r="K662" s="381"/>
      <c r="L662" s="381"/>
      <c r="M662" s="381"/>
      <c r="N662" s="381"/>
      <c r="O662" s="381"/>
      <c r="P662" s="381"/>
      <c r="Q662" s="381"/>
      <c r="R662" s="381"/>
      <c r="S662" s="381"/>
      <c r="T662" s="381"/>
      <c r="U662" s="381"/>
      <c r="V662" s="381"/>
      <c r="W662" s="381"/>
      <c r="X662" s="381"/>
      <c r="Y662" s="381"/>
      <c r="Z662" s="381"/>
    </row>
    <row r="663">
      <c r="A663" s="381"/>
      <c r="B663" s="18"/>
      <c r="C663" s="359"/>
      <c r="D663" s="359"/>
      <c r="E663" s="381"/>
      <c r="F663" s="381"/>
      <c r="G663" s="381"/>
      <c r="H663" s="381"/>
      <c r="I663" s="381"/>
      <c r="J663" s="381"/>
      <c r="K663" s="381"/>
      <c r="L663" s="381"/>
      <c r="M663" s="381"/>
      <c r="N663" s="381"/>
      <c r="O663" s="381"/>
      <c r="P663" s="381"/>
      <c r="Q663" s="381"/>
      <c r="R663" s="381"/>
      <c r="S663" s="381"/>
      <c r="T663" s="381"/>
      <c r="U663" s="381"/>
      <c r="V663" s="381"/>
      <c r="W663" s="381"/>
      <c r="X663" s="381"/>
      <c r="Y663" s="381"/>
      <c r="Z663" s="381"/>
    </row>
    <row r="664">
      <c r="A664" s="381"/>
      <c r="B664" s="18"/>
      <c r="C664" s="359"/>
      <c r="D664" s="359"/>
      <c r="E664" s="381"/>
      <c r="F664" s="381"/>
      <c r="G664" s="381"/>
      <c r="H664" s="381"/>
      <c r="I664" s="381"/>
      <c r="J664" s="381"/>
      <c r="K664" s="381"/>
      <c r="L664" s="381"/>
      <c r="M664" s="381"/>
      <c r="N664" s="381"/>
      <c r="O664" s="381"/>
      <c r="P664" s="381"/>
      <c r="Q664" s="381"/>
      <c r="R664" s="381"/>
      <c r="S664" s="381"/>
      <c r="T664" s="381"/>
      <c r="U664" s="381"/>
      <c r="V664" s="381"/>
      <c r="W664" s="381"/>
      <c r="X664" s="381"/>
      <c r="Y664" s="381"/>
      <c r="Z664" s="381"/>
    </row>
    <row r="665">
      <c r="A665" s="381"/>
      <c r="B665" s="18"/>
      <c r="C665" s="359"/>
      <c r="D665" s="359"/>
      <c r="E665" s="381"/>
      <c r="F665" s="381"/>
      <c r="G665" s="381"/>
      <c r="H665" s="381"/>
      <c r="I665" s="381"/>
      <c r="J665" s="381"/>
      <c r="K665" s="381"/>
      <c r="L665" s="381"/>
      <c r="M665" s="381"/>
      <c r="N665" s="381"/>
      <c r="O665" s="381"/>
      <c r="P665" s="381"/>
      <c r="Q665" s="381"/>
      <c r="R665" s="381"/>
      <c r="S665" s="381"/>
      <c r="T665" s="381"/>
      <c r="U665" s="381"/>
      <c r="V665" s="381"/>
      <c r="W665" s="381"/>
      <c r="X665" s="381"/>
      <c r="Y665" s="381"/>
      <c r="Z665" s="381"/>
    </row>
    <row r="666">
      <c r="A666" s="381"/>
      <c r="B666" s="18"/>
      <c r="C666" s="359"/>
      <c r="D666" s="359"/>
      <c r="E666" s="381"/>
      <c r="F666" s="381"/>
      <c r="G666" s="381"/>
      <c r="H666" s="381"/>
      <c r="I666" s="381"/>
      <c r="J666" s="381"/>
      <c r="K666" s="381"/>
      <c r="L666" s="381"/>
      <c r="M666" s="381"/>
      <c r="N666" s="381"/>
      <c r="O666" s="381"/>
      <c r="P666" s="381"/>
      <c r="Q666" s="381"/>
      <c r="R666" s="381"/>
      <c r="S666" s="381"/>
      <c r="T666" s="381"/>
      <c r="U666" s="381"/>
      <c r="V666" s="381"/>
      <c r="W666" s="381"/>
      <c r="X666" s="381"/>
      <c r="Y666" s="381"/>
      <c r="Z666" s="381"/>
    </row>
    <row r="667">
      <c r="A667" s="381"/>
      <c r="B667" s="18"/>
      <c r="C667" s="359"/>
      <c r="D667" s="359"/>
      <c r="E667" s="381"/>
      <c r="F667" s="381"/>
      <c r="G667" s="381"/>
      <c r="H667" s="381"/>
      <c r="I667" s="381"/>
      <c r="J667" s="381"/>
      <c r="K667" s="381"/>
      <c r="L667" s="381"/>
      <c r="M667" s="381"/>
      <c r="N667" s="381"/>
      <c r="O667" s="381"/>
      <c r="P667" s="381"/>
      <c r="Q667" s="381"/>
      <c r="R667" s="381"/>
      <c r="S667" s="381"/>
      <c r="T667" s="381"/>
      <c r="U667" s="381"/>
      <c r="V667" s="381"/>
      <c r="W667" s="381"/>
      <c r="X667" s="381"/>
      <c r="Y667" s="381"/>
      <c r="Z667" s="381"/>
    </row>
    <row r="668">
      <c r="A668" s="381"/>
      <c r="B668" s="18"/>
      <c r="C668" s="359"/>
      <c r="D668" s="359"/>
      <c r="E668" s="381"/>
      <c r="F668" s="381"/>
      <c r="G668" s="381"/>
      <c r="H668" s="381"/>
      <c r="I668" s="381"/>
      <c r="J668" s="381"/>
      <c r="K668" s="381"/>
      <c r="L668" s="381"/>
      <c r="M668" s="381"/>
      <c r="N668" s="381"/>
      <c r="O668" s="381"/>
      <c r="P668" s="381"/>
      <c r="Q668" s="381"/>
      <c r="R668" s="381"/>
      <c r="S668" s="381"/>
      <c r="T668" s="381"/>
      <c r="U668" s="381"/>
      <c r="V668" s="381"/>
      <c r="W668" s="381"/>
      <c r="X668" s="381"/>
      <c r="Y668" s="381"/>
      <c r="Z668" s="381"/>
    </row>
    <row r="669">
      <c r="A669" s="381"/>
      <c r="B669" s="18"/>
      <c r="C669" s="359"/>
      <c r="D669" s="359"/>
      <c r="E669" s="381"/>
      <c r="F669" s="381"/>
      <c r="G669" s="381"/>
      <c r="H669" s="381"/>
      <c r="I669" s="381"/>
      <c r="J669" s="381"/>
      <c r="K669" s="381"/>
      <c r="L669" s="381"/>
      <c r="M669" s="381"/>
      <c r="N669" s="381"/>
      <c r="O669" s="381"/>
      <c r="P669" s="381"/>
      <c r="Q669" s="381"/>
      <c r="R669" s="381"/>
      <c r="S669" s="381"/>
      <c r="T669" s="381"/>
      <c r="U669" s="381"/>
      <c r="V669" s="381"/>
      <c r="W669" s="381"/>
      <c r="X669" s="381"/>
      <c r="Y669" s="381"/>
      <c r="Z669" s="381"/>
    </row>
    <row r="670">
      <c r="A670" s="381"/>
      <c r="B670" s="18"/>
      <c r="C670" s="359"/>
      <c r="D670" s="359"/>
      <c r="E670" s="381"/>
      <c r="F670" s="381"/>
      <c r="G670" s="381"/>
      <c r="H670" s="381"/>
      <c r="I670" s="381"/>
      <c r="J670" s="381"/>
      <c r="K670" s="381"/>
      <c r="L670" s="381"/>
      <c r="M670" s="381"/>
      <c r="N670" s="381"/>
      <c r="O670" s="381"/>
      <c r="P670" s="381"/>
      <c r="Q670" s="381"/>
      <c r="R670" s="381"/>
      <c r="S670" s="381"/>
      <c r="T670" s="381"/>
      <c r="U670" s="381"/>
      <c r="V670" s="381"/>
      <c r="W670" s="381"/>
      <c r="X670" s="381"/>
      <c r="Y670" s="381"/>
      <c r="Z670" s="381"/>
    </row>
    <row r="671">
      <c r="A671" s="381"/>
      <c r="B671" s="18"/>
      <c r="C671" s="359"/>
      <c r="D671" s="359"/>
      <c r="E671" s="381"/>
      <c r="F671" s="381"/>
      <c r="G671" s="381"/>
      <c r="H671" s="381"/>
      <c r="I671" s="381"/>
      <c r="J671" s="381"/>
      <c r="K671" s="381"/>
      <c r="L671" s="381"/>
      <c r="M671" s="381"/>
      <c r="N671" s="381"/>
      <c r="O671" s="381"/>
      <c r="P671" s="381"/>
      <c r="Q671" s="381"/>
      <c r="R671" s="381"/>
      <c r="S671" s="381"/>
      <c r="T671" s="381"/>
      <c r="U671" s="381"/>
      <c r="V671" s="381"/>
      <c r="W671" s="381"/>
      <c r="X671" s="381"/>
      <c r="Y671" s="381"/>
      <c r="Z671" s="381"/>
    </row>
    <row r="672">
      <c r="A672" s="381"/>
      <c r="B672" s="18"/>
      <c r="C672" s="359"/>
      <c r="D672" s="359"/>
      <c r="E672" s="381"/>
      <c r="F672" s="381"/>
      <c r="G672" s="381"/>
      <c r="H672" s="381"/>
      <c r="I672" s="381"/>
      <c r="J672" s="381"/>
      <c r="K672" s="381"/>
      <c r="L672" s="381"/>
      <c r="M672" s="381"/>
      <c r="N672" s="381"/>
      <c r="O672" s="381"/>
      <c r="P672" s="381"/>
      <c r="Q672" s="381"/>
      <c r="R672" s="381"/>
      <c r="S672" s="381"/>
      <c r="T672" s="381"/>
      <c r="U672" s="381"/>
      <c r="V672" s="381"/>
      <c r="W672" s="381"/>
      <c r="X672" s="381"/>
      <c r="Y672" s="381"/>
      <c r="Z672" s="381"/>
    </row>
    <row r="673">
      <c r="A673" s="381"/>
      <c r="B673" s="18"/>
      <c r="C673" s="359"/>
      <c r="D673" s="359"/>
      <c r="E673" s="381"/>
      <c r="F673" s="381"/>
      <c r="G673" s="381"/>
      <c r="H673" s="381"/>
      <c r="I673" s="381"/>
      <c r="J673" s="381"/>
      <c r="K673" s="381"/>
      <c r="L673" s="381"/>
      <c r="M673" s="381"/>
      <c r="N673" s="381"/>
      <c r="O673" s="381"/>
      <c r="P673" s="381"/>
      <c r="Q673" s="381"/>
      <c r="R673" s="381"/>
      <c r="S673" s="381"/>
      <c r="T673" s="381"/>
      <c r="U673" s="381"/>
      <c r="V673" s="381"/>
      <c r="W673" s="381"/>
      <c r="X673" s="381"/>
      <c r="Y673" s="381"/>
      <c r="Z673" s="381"/>
    </row>
    <row r="674">
      <c r="A674" s="381"/>
      <c r="B674" s="18"/>
      <c r="C674" s="359"/>
      <c r="D674" s="359"/>
      <c r="E674" s="381"/>
      <c r="F674" s="381"/>
      <c r="G674" s="381"/>
      <c r="H674" s="381"/>
      <c r="I674" s="381"/>
      <c r="J674" s="381"/>
      <c r="K674" s="381"/>
      <c r="L674" s="381"/>
      <c r="M674" s="381"/>
      <c r="N674" s="381"/>
      <c r="O674" s="381"/>
      <c r="P674" s="381"/>
      <c r="Q674" s="381"/>
      <c r="R674" s="381"/>
      <c r="S674" s="381"/>
      <c r="T674" s="381"/>
      <c r="U674" s="381"/>
      <c r="V674" s="381"/>
      <c r="W674" s="381"/>
      <c r="X674" s="381"/>
      <c r="Y674" s="381"/>
      <c r="Z674" s="381"/>
    </row>
    <row r="675">
      <c r="A675" s="381"/>
      <c r="B675" s="18"/>
      <c r="C675" s="359"/>
      <c r="D675" s="359"/>
      <c r="E675" s="381"/>
      <c r="F675" s="381"/>
      <c r="G675" s="381"/>
      <c r="H675" s="381"/>
      <c r="I675" s="381"/>
      <c r="J675" s="381"/>
      <c r="K675" s="381"/>
      <c r="L675" s="381"/>
      <c r="M675" s="381"/>
      <c r="N675" s="381"/>
      <c r="O675" s="381"/>
      <c r="P675" s="381"/>
      <c r="Q675" s="381"/>
      <c r="R675" s="381"/>
      <c r="S675" s="381"/>
      <c r="T675" s="381"/>
      <c r="U675" s="381"/>
      <c r="V675" s="381"/>
      <c r="W675" s="381"/>
      <c r="X675" s="381"/>
      <c r="Y675" s="381"/>
      <c r="Z675" s="381"/>
    </row>
    <row r="676">
      <c r="A676" s="381"/>
      <c r="B676" s="18"/>
      <c r="C676" s="359"/>
      <c r="D676" s="359"/>
      <c r="E676" s="381"/>
      <c r="F676" s="381"/>
      <c r="G676" s="381"/>
      <c r="H676" s="381"/>
      <c r="I676" s="381"/>
      <c r="J676" s="381"/>
      <c r="K676" s="381"/>
      <c r="L676" s="381"/>
      <c r="M676" s="381"/>
      <c r="N676" s="381"/>
      <c r="O676" s="381"/>
      <c r="P676" s="381"/>
      <c r="Q676" s="381"/>
      <c r="R676" s="381"/>
      <c r="S676" s="381"/>
      <c r="T676" s="381"/>
      <c r="U676" s="381"/>
      <c r="V676" s="381"/>
      <c r="W676" s="381"/>
      <c r="X676" s="381"/>
      <c r="Y676" s="381"/>
      <c r="Z676" s="381"/>
    </row>
    <row r="677">
      <c r="A677" s="381"/>
      <c r="B677" s="18"/>
      <c r="C677" s="359"/>
      <c r="D677" s="359"/>
      <c r="E677" s="381"/>
      <c r="F677" s="381"/>
      <c r="G677" s="381"/>
      <c r="H677" s="381"/>
      <c r="I677" s="381"/>
      <c r="J677" s="381"/>
      <c r="K677" s="381"/>
      <c r="L677" s="381"/>
      <c r="M677" s="381"/>
      <c r="N677" s="381"/>
      <c r="O677" s="381"/>
      <c r="P677" s="381"/>
      <c r="Q677" s="381"/>
      <c r="R677" s="381"/>
      <c r="S677" s="381"/>
      <c r="T677" s="381"/>
      <c r="U677" s="381"/>
      <c r="V677" s="381"/>
      <c r="W677" s="381"/>
      <c r="X677" s="381"/>
      <c r="Y677" s="381"/>
      <c r="Z677" s="381"/>
    </row>
    <row r="678">
      <c r="A678" s="381"/>
      <c r="B678" s="18"/>
      <c r="C678" s="359"/>
      <c r="D678" s="359"/>
      <c r="E678" s="381"/>
      <c r="F678" s="381"/>
      <c r="G678" s="381"/>
      <c r="H678" s="381"/>
      <c r="I678" s="381"/>
      <c r="J678" s="381"/>
      <c r="K678" s="381"/>
      <c r="L678" s="381"/>
      <c r="M678" s="381"/>
      <c r="N678" s="381"/>
      <c r="O678" s="381"/>
      <c r="P678" s="381"/>
      <c r="Q678" s="381"/>
      <c r="R678" s="381"/>
      <c r="S678" s="381"/>
      <c r="T678" s="381"/>
      <c r="U678" s="381"/>
      <c r="V678" s="381"/>
      <c r="W678" s="381"/>
      <c r="X678" s="381"/>
      <c r="Y678" s="381"/>
      <c r="Z678" s="381"/>
    </row>
    <row r="679">
      <c r="A679" s="381"/>
      <c r="B679" s="18"/>
      <c r="C679" s="359"/>
      <c r="D679" s="359"/>
      <c r="E679" s="381"/>
      <c r="F679" s="381"/>
      <c r="G679" s="381"/>
      <c r="H679" s="381"/>
      <c r="I679" s="381"/>
      <c r="J679" s="381"/>
      <c r="K679" s="381"/>
      <c r="L679" s="381"/>
      <c r="M679" s="381"/>
      <c r="N679" s="381"/>
      <c r="O679" s="381"/>
      <c r="P679" s="381"/>
      <c r="Q679" s="381"/>
      <c r="R679" s="381"/>
      <c r="S679" s="381"/>
      <c r="T679" s="381"/>
      <c r="U679" s="381"/>
      <c r="V679" s="381"/>
      <c r="W679" s="381"/>
      <c r="X679" s="381"/>
      <c r="Y679" s="381"/>
      <c r="Z679" s="381"/>
    </row>
    <row r="680">
      <c r="A680" s="381"/>
      <c r="B680" s="18"/>
      <c r="C680" s="359"/>
      <c r="D680" s="359"/>
      <c r="E680" s="381"/>
      <c r="F680" s="381"/>
      <c r="G680" s="381"/>
      <c r="H680" s="381"/>
      <c r="I680" s="381"/>
      <c r="J680" s="381"/>
      <c r="K680" s="381"/>
      <c r="L680" s="381"/>
      <c r="M680" s="381"/>
      <c r="N680" s="381"/>
      <c r="O680" s="381"/>
      <c r="P680" s="381"/>
      <c r="Q680" s="381"/>
      <c r="R680" s="381"/>
      <c r="S680" s="381"/>
      <c r="T680" s="381"/>
      <c r="U680" s="381"/>
      <c r="V680" s="381"/>
      <c r="W680" s="381"/>
      <c r="X680" s="381"/>
      <c r="Y680" s="381"/>
      <c r="Z680" s="381"/>
    </row>
    <row r="681">
      <c r="A681" s="381"/>
      <c r="B681" s="18"/>
      <c r="C681" s="359"/>
      <c r="D681" s="359"/>
      <c r="E681" s="381"/>
      <c r="F681" s="381"/>
      <c r="G681" s="381"/>
      <c r="H681" s="381"/>
      <c r="I681" s="381"/>
      <c r="J681" s="381"/>
      <c r="K681" s="381"/>
      <c r="L681" s="381"/>
      <c r="M681" s="381"/>
      <c r="N681" s="381"/>
      <c r="O681" s="381"/>
      <c r="P681" s="381"/>
      <c r="Q681" s="381"/>
      <c r="R681" s="381"/>
      <c r="S681" s="381"/>
      <c r="T681" s="381"/>
      <c r="U681" s="381"/>
      <c r="V681" s="381"/>
      <c r="W681" s="381"/>
      <c r="X681" s="381"/>
      <c r="Y681" s="381"/>
      <c r="Z681" s="381"/>
    </row>
    <row r="682">
      <c r="A682" s="381"/>
      <c r="B682" s="18"/>
      <c r="C682" s="359"/>
      <c r="D682" s="359"/>
      <c r="E682" s="381"/>
      <c r="F682" s="381"/>
      <c r="G682" s="381"/>
      <c r="H682" s="381"/>
      <c r="I682" s="381"/>
      <c r="J682" s="381"/>
      <c r="K682" s="381"/>
      <c r="L682" s="381"/>
      <c r="M682" s="381"/>
      <c r="N682" s="381"/>
      <c r="O682" s="381"/>
      <c r="P682" s="381"/>
      <c r="Q682" s="381"/>
      <c r="R682" s="381"/>
      <c r="S682" s="381"/>
      <c r="T682" s="381"/>
      <c r="U682" s="381"/>
      <c r="V682" s="381"/>
      <c r="W682" s="381"/>
      <c r="X682" s="381"/>
      <c r="Y682" s="381"/>
      <c r="Z682" s="381"/>
    </row>
    <row r="683">
      <c r="A683" s="381"/>
      <c r="B683" s="18"/>
      <c r="C683" s="359"/>
      <c r="D683" s="359"/>
      <c r="E683" s="381"/>
      <c r="F683" s="381"/>
      <c r="G683" s="381"/>
      <c r="H683" s="381"/>
      <c r="I683" s="381"/>
      <c r="J683" s="381"/>
      <c r="K683" s="381"/>
      <c r="L683" s="381"/>
      <c r="M683" s="381"/>
      <c r="N683" s="381"/>
      <c r="O683" s="381"/>
      <c r="P683" s="381"/>
      <c r="Q683" s="381"/>
      <c r="R683" s="381"/>
      <c r="S683" s="381"/>
      <c r="T683" s="381"/>
      <c r="U683" s="381"/>
      <c r="V683" s="381"/>
      <c r="W683" s="381"/>
      <c r="X683" s="381"/>
      <c r="Y683" s="381"/>
      <c r="Z683" s="381"/>
    </row>
    <row r="684">
      <c r="A684" s="381"/>
      <c r="B684" s="18"/>
      <c r="C684" s="359"/>
      <c r="D684" s="359"/>
      <c r="E684" s="381"/>
      <c r="F684" s="381"/>
      <c r="G684" s="381"/>
      <c r="H684" s="381"/>
      <c r="I684" s="381"/>
      <c r="J684" s="381"/>
      <c r="K684" s="381"/>
      <c r="L684" s="381"/>
      <c r="M684" s="381"/>
      <c r="N684" s="381"/>
      <c r="O684" s="381"/>
      <c r="P684" s="381"/>
      <c r="Q684" s="381"/>
      <c r="R684" s="381"/>
      <c r="S684" s="381"/>
      <c r="T684" s="381"/>
      <c r="U684" s="381"/>
      <c r="V684" s="381"/>
      <c r="W684" s="381"/>
      <c r="X684" s="381"/>
      <c r="Y684" s="381"/>
      <c r="Z684" s="381"/>
    </row>
    <row r="685">
      <c r="A685" s="381"/>
      <c r="B685" s="18"/>
      <c r="C685" s="359"/>
      <c r="D685" s="359"/>
      <c r="E685" s="381"/>
      <c r="F685" s="381"/>
      <c r="G685" s="381"/>
      <c r="H685" s="381"/>
      <c r="I685" s="381"/>
      <c r="J685" s="381"/>
      <c r="K685" s="381"/>
      <c r="L685" s="381"/>
      <c r="M685" s="381"/>
      <c r="N685" s="381"/>
      <c r="O685" s="381"/>
      <c r="P685" s="381"/>
      <c r="Q685" s="381"/>
      <c r="R685" s="381"/>
      <c r="S685" s="381"/>
      <c r="T685" s="381"/>
      <c r="U685" s="381"/>
      <c r="V685" s="381"/>
      <c r="W685" s="381"/>
      <c r="X685" s="381"/>
      <c r="Y685" s="381"/>
      <c r="Z685" s="381"/>
    </row>
    <row r="686">
      <c r="A686" s="381"/>
      <c r="B686" s="18"/>
      <c r="C686" s="359"/>
      <c r="D686" s="359"/>
      <c r="E686" s="381"/>
      <c r="F686" s="381"/>
      <c r="G686" s="381"/>
      <c r="H686" s="381"/>
      <c r="I686" s="381"/>
      <c r="J686" s="381"/>
      <c r="K686" s="381"/>
      <c r="L686" s="381"/>
      <c r="M686" s="381"/>
      <c r="N686" s="381"/>
      <c r="O686" s="381"/>
      <c r="P686" s="381"/>
      <c r="Q686" s="381"/>
      <c r="R686" s="381"/>
      <c r="S686" s="381"/>
      <c r="T686" s="381"/>
      <c r="U686" s="381"/>
      <c r="V686" s="381"/>
      <c r="W686" s="381"/>
      <c r="X686" s="381"/>
      <c r="Y686" s="381"/>
      <c r="Z686" s="381"/>
    </row>
    <row r="687">
      <c r="A687" s="381"/>
      <c r="B687" s="18"/>
      <c r="C687" s="359"/>
      <c r="D687" s="359"/>
      <c r="E687" s="381"/>
      <c r="F687" s="381"/>
      <c r="G687" s="381"/>
      <c r="H687" s="381"/>
      <c r="I687" s="381"/>
      <c r="J687" s="381"/>
      <c r="K687" s="381"/>
      <c r="L687" s="381"/>
      <c r="M687" s="381"/>
      <c r="N687" s="381"/>
      <c r="O687" s="381"/>
      <c r="P687" s="381"/>
      <c r="Q687" s="381"/>
      <c r="R687" s="381"/>
      <c r="S687" s="381"/>
      <c r="T687" s="381"/>
      <c r="U687" s="381"/>
      <c r="V687" s="381"/>
      <c r="W687" s="381"/>
      <c r="X687" s="381"/>
      <c r="Y687" s="381"/>
      <c r="Z687" s="381"/>
    </row>
    <row r="688">
      <c r="A688" s="381"/>
      <c r="B688" s="18"/>
      <c r="C688" s="359"/>
      <c r="D688" s="359"/>
      <c r="E688" s="381"/>
      <c r="F688" s="381"/>
      <c r="G688" s="381"/>
      <c r="H688" s="381"/>
      <c r="I688" s="381"/>
      <c r="J688" s="381"/>
      <c r="K688" s="381"/>
      <c r="L688" s="381"/>
      <c r="M688" s="381"/>
      <c r="N688" s="381"/>
      <c r="O688" s="381"/>
      <c r="P688" s="381"/>
      <c r="Q688" s="381"/>
      <c r="R688" s="381"/>
      <c r="S688" s="381"/>
      <c r="T688" s="381"/>
      <c r="U688" s="381"/>
      <c r="V688" s="381"/>
      <c r="W688" s="381"/>
      <c r="X688" s="381"/>
      <c r="Y688" s="381"/>
      <c r="Z688" s="381"/>
    </row>
    <row r="689">
      <c r="A689" s="381"/>
      <c r="B689" s="18"/>
      <c r="C689" s="359"/>
      <c r="D689" s="359"/>
      <c r="E689" s="381"/>
      <c r="F689" s="381"/>
      <c r="G689" s="381"/>
      <c r="H689" s="381"/>
      <c r="I689" s="381"/>
      <c r="J689" s="381"/>
      <c r="K689" s="381"/>
      <c r="L689" s="381"/>
      <c r="M689" s="381"/>
      <c r="N689" s="381"/>
      <c r="O689" s="381"/>
      <c r="P689" s="381"/>
      <c r="Q689" s="381"/>
      <c r="R689" s="381"/>
      <c r="S689" s="381"/>
      <c r="T689" s="381"/>
      <c r="U689" s="381"/>
      <c r="V689" s="381"/>
      <c r="W689" s="381"/>
      <c r="X689" s="381"/>
      <c r="Y689" s="381"/>
      <c r="Z689" s="381"/>
    </row>
    <row r="690">
      <c r="A690" s="381"/>
      <c r="B690" s="18"/>
      <c r="C690" s="359"/>
      <c r="D690" s="359"/>
      <c r="E690" s="381"/>
      <c r="F690" s="381"/>
      <c r="G690" s="381"/>
      <c r="H690" s="381"/>
      <c r="I690" s="381"/>
      <c r="J690" s="381"/>
      <c r="K690" s="381"/>
      <c r="L690" s="381"/>
      <c r="M690" s="381"/>
      <c r="N690" s="381"/>
      <c r="O690" s="381"/>
      <c r="P690" s="381"/>
      <c r="Q690" s="381"/>
      <c r="R690" s="381"/>
      <c r="S690" s="381"/>
      <c r="T690" s="381"/>
      <c r="U690" s="381"/>
      <c r="V690" s="381"/>
      <c r="W690" s="381"/>
      <c r="X690" s="381"/>
      <c r="Y690" s="381"/>
      <c r="Z690" s="381"/>
    </row>
    <row r="691">
      <c r="A691" s="381"/>
      <c r="B691" s="18"/>
      <c r="C691" s="359"/>
      <c r="D691" s="359"/>
      <c r="E691" s="381"/>
      <c r="F691" s="381"/>
      <c r="G691" s="381"/>
      <c r="H691" s="381"/>
      <c r="I691" s="381"/>
      <c r="J691" s="381"/>
      <c r="K691" s="381"/>
      <c r="L691" s="381"/>
      <c r="M691" s="381"/>
      <c r="N691" s="381"/>
      <c r="O691" s="381"/>
      <c r="P691" s="381"/>
      <c r="Q691" s="381"/>
      <c r="R691" s="381"/>
      <c r="S691" s="381"/>
      <c r="T691" s="381"/>
      <c r="U691" s="381"/>
      <c r="V691" s="381"/>
      <c r="W691" s="381"/>
      <c r="X691" s="381"/>
      <c r="Y691" s="381"/>
      <c r="Z691" s="381"/>
    </row>
    <row r="692">
      <c r="A692" s="381"/>
      <c r="B692" s="18"/>
      <c r="C692" s="359"/>
      <c r="D692" s="359"/>
      <c r="E692" s="381"/>
      <c r="F692" s="381"/>
      <c r="G692" s="381"/>
      <c r="H692" s="381"/>
      <c r="I692" s="381"/>
      <c r="J692" s="381"/>
      <c r="K692" s="381"/>
      <c r="L692" s="381"/>
      <c r="M692" s="381"/>
      <c r="N692" s="381"/>
      <c r="O692" s="381"/>
      <c r="P692" s="381"/>
      <c r="Q692" s="381"/>
      <c r="R692" s="381"/>
      <c r="S692" s="381"/>
      <c r="T692" s="381"/>
      <c r="U692" s="381"/>
      <c r="V692" s="381"/>
      <c r="W692" s="381"/>
      <c r="X692" s="381"/>
      <c r="Y692" s="381"/>
      <c r="Z692" s="381"/>
    </row>
    <row r="693">
      <c r="A693" s="381"/>
      <c r="B693" s="18"/>
      <c r="C693" s="359"/>
      <c r="D693" s="359"/>
      <c r="E693" s="381"/>
      <c r="F693" s="381"/>
      <c r="G693" s="381"/>
      <c r="H693" s="381"/>
      <c r="I693" s="381"/>
      <c r="J693" s="381"/>
      <c r="K693" s="381"/>
      <c r="L693" s="381"/>
      <c r="M693" s="381"/>
      <c r="N693" s="381"/>
      <c r="O693" s="381"/>
      <c r="P693" s="381"/>
      <c r="Q693" s="381"/>
      <c r="R693" s="381"/>
      <c r="S693" s="381"/>
      <c r="T693" s="381"/>
      <c r="U693" s="381"/>
      <c r="V693" s="381"/>
      <c r="W693" s="381"/>
      <c r="X693" s="381"/>
      <c r="Y693" s="381"/>
      <c r="Z693" s="381"/>
    </row>
    <row r="694">
      <c r="A694" s="381"/>
      <c r="B694" s="18"/>
      <c r="C694" s="359"/>
      <c r="D694" s="359"/>
      <c r="E694" s="381"/>
      <c r="F694" s="381"/>
      <c r="G694" s="381"/>
      <c r="H694" s="381"/>
      <c r="I694" s="381"/>
      <c r="J694" s="381"/>
      <c r="K694" s="381"/>
      <c r="L694" s="381"/>
      <c r="M694" s="381"/>
      <c r="N694" s="381"/>
      <c r="O694" s="381"/>
      <c r="P694" s="381"/>
      <c r="Q694" s="381"/>
      <c r="R694" s="381"/>
      <c r="S694" s="381"/>
      <c r="T694" s="381"/>
      <c r="U694" s="381"/>
      <c r="V694" s="381"/>
      <c r="W694" s="381"/>
      <c r="X694" s="381"/>
      <c r="Y694" s="381"/>
      <c r="Z694" s="381"/>
    </row>
    <row r="695">
      <c r="A695" s="381"/>
      <c r="B695" s="18"/>
      <c r="C695" s="359"/>
      <c r="D695" s="359"/>
      <c r="E695" s="381"/>
      <c r="F695" s="381"/>
      <c r="G695" s="381"/>
      <c r="H695" s="381"/>
      <c r="I695" s="381"/>
      <c r="J695" s="381"/>
      <c r="K695" s="381"/>
      <c r="L695" s="381"/>
      <c r="M695" s="381"/>
      <c r="N695" s="381"/>
      <c r="O695" s="381"/>
      <c r="P695" s="381"/>
      <c r="Q695" s="381"/>
      <c r="R695" s="381"/>
      <c r="S695" s="381"/>
      <c r="T695" s="381"/>
      <c r="U695" s="381"/>
      <c r="V695" s="381"/>
      <c r="W695" s="381"/>
      <c r="X695" s="381"/>
      <c r="Y695" s="381"/>
      <c r="Z695" s="381"/>
    </row>
    <row r="696">
      <c r="A696" s="381"/>
      <c r="B696" s="18"/>
      <c r="C696" s="359"/>
      <c r="D696" s="359"/>
      <c r="E696" s="381"/>
      <c r="F696" s="381"/>
      <c r="G696" s="381"/>
      <c r="H696" s="381"/>
      <c r="I696" s="381"/>
      <c r="J696" s="381"/>
      <c r="K696" s="381"/>
      <c r="L696" s="381"/>
      <c r="M696" s="381"/>
      <c r="N696" s="381"/>
      <c r="O696" s="381"/>
      <c r="P696" s="381"/>
      <c r="Q696" s="381"/>
      <c r="R696" s="381"/>
      <c r="S696" s="381"/>
      <c r="T696" s="381"/>
      <c r="U696" s="381"/>
      <c r="V696" s="381"/>
      <c r="W696" s="381"/>
      <c r="X696" s="381"/>
      <c r="Y696" s="381"/>
      <c r="Z696" s="381"/>
    </row>
    <row r="697">
      <c r="A697" s="381"/>
      <c r="B697" s="18"/>
      <c r="C697" s="359"/>
      <c r="D697" s="359"/>
      <c r="E697" s="381"/>
      <c r="F697" s="381"/>
      <c r="G697" s="381"/>
      <c r="H697" s="381"/>
      <c r="I697" s="381"/>
      <c r="J697" s="381"/>
      <c r="K697" s="381"/>
      <c r="L697" s="381"/>
      <c r="M697" s="381"/>
      <c r="N697" s="381"/>
      <c r="O697" s="381"/>
      <c r="P697" s="381"/>
      <c r="Q697" s="381"/>
      <c r="R697" s="381"/>
      <c r="S697" s="381"/>
      <c r="T697" s="381"/>
      <c r="U697" s="381"/>
      <c r="V697" s="381"/>
      <c r="W697" s="381"/>
      <c r="X697" s="381"/>
      <c r="Y697" s="381"/>
      <c r="Z697" s="381"/>
    </row>
    <row r="698">
      <c r="A698" s="381"/>
      <c r="B698" s="18"/>
      <c r="C698" s="359"/>
      <c r="D698" s="359"/>
      <c r="E698" s="381"/>
      <c r="F698" s="381"/>
      <c r="G698" s="381"/>
      <c r="H698" s="381"/>
      <c r="I698" s="381"/>
      <c r="J698" s="381"/>
      <c r="K698" s="381"/>
      <c r="L698" s="381"/>
      <c r="M698" s="381"/>
      <c r="N698" s="381"/>
      <c r="O698" s="381"/>
      <c r="P698" s="381"/>
      <c r="Q698" s="381"/>
      <c r="R698" s="381"/>
      <c r="S698" s="381"/>
      <c r="T698" s="381"/>
      <c r="U698" s="381"/>
      <c r="V698" s="381"/>
      <c r="W698" s="381"/>
      <c r="X698" s="381"/>
      <c r="Y698" s="381"/>
      <c r="Z698" s="381"/>
    </row>
    <row r="699">
      <c r="A699" s="381"/>
      <c r="B699" s="18"/>
      <c r="C699" s="359"/>
      <c r="D699" s="359"/>
      <c r="E699" s="381"/>
      <c r="F699" s="381"/>
      <c r="G699" s="381"/>
      <c r="H699" s="381"/>
      <c r="I699" s="381"/>
      <c r="J699" s="381"/>
      <c r="K699" s="381"/>
      <c r="L699" s="381"/>
      <c r="M699" s="381"/>
      <c r="N699" s="381"/>
      <c r="O699" s="381"/>
      <c r="P699" s="381"/>
      <c r="Q699" s="381"/>
      <c r="R699" s="381"/>
      <c r="S699" s="381"/>
      <c r="T699" s="381"/>
      <c r="U699" s="381"/>
      <c r="V699" s="381"/>
      <c r="W699" s="381"/>
      <c r="X699" s="381"/>
      <c r="Y699" s="381"/>
      <c r="Z699" s="381"/>
    </row>
    <row r="700">
      <c r="A700" s="381"/>
      <c r="B700" s="18"/>
      <c r="C700" s="359"/>
      <c r="D700" s="359"/>
      <c r="E700" s="381"/>
      <c r="F700" s="381"/>
      <c r="G700" s="381"/>
      <c r="H700" s="381"/>
      <c r="I700" s="381"/>
      <c r="J700" s="381"/>
      <c r="K700" s="381"/>
      <c r="L700" s="381"/>
      <c r="M700" s="381"/>
      <c r="N700" s="381"/>
      <c r="O700" s="381"/>
      <c r="P700" s="381"/>
      <c r="Q700" s="381"/>
      <c r="R700" s="381"/>
      <c r="S700" s="381"/>
      <c r="T700" s="381"/>
      <c r="U700" s="381"/>
      <c r="V700" s="381"/>
      <c r="W700" s="381"/>
      <c r="X700" s="381"/>
      <c r="Y700" s="381"/>
      <c r="Z700" s="381"/>
    </row>
    <row r="701">
      <c r="A701" s="381"/>
      <c r="B701" s="18"/>
      <c r="C701" s="359"/>
      <c r="D701" s="359"/>
      <c r="E701" s="381"/>
      <c r="F701" s="381"/>
      <c r="G701" s="381"/>
      <c r="H701" s="381"/>
      <c r="I701" s="381"/>
      <c r="J701" s="381"/>
      <c r="K701" s="381"/>
      <c r="L701" s="381"/>
      <c r="M701" s="381"/>
      <c r="N701" s="381"/>
      <c r="O701" s="381"/>
      <c r="P701" s="381"/>
      <c r="Q701" s="381"/>
      <c r="R701" s="381"/>
      <c r="S701" s="381"/>
      <c r="T701" s="381"/>
      <c r="U701" s="381"/>
      <c r="V701" s="381"/>
      <c r="W701" s="381"/>
      <c r="X701" s="381"/>
      <c r="Y701" s="381"/>
      <c r="Z701" s="381"/>
    </row>
    <row r="702">
      <c r="A702" s="381"/>
      <c r="B702" s="18"/>
      <c r="C702" s="359"/>
      <c r="D702" s="359"/>
      <c r="E702" s="381"/>
      <c r="F702" s="381"/>
      <c r="G702" s="381"/>
      <c r="H702" s="381"/>
      <c r="I702" s="381"/>
      <c r="J702" s="381"/>
      <c r="K702" s="381"/>
      <c r="L702" s="381"/>
      <c r="M702" s="381"/>
      <c r="N702" s="381"/>
      <c r="O702" s="381"/>
      <c r="P702" s="381"/>
      <c r="Q702" s="381"/>
      <c r="R702" s="381"/>
      <c r="S702" s="381"/>
      <c r="T702" s="381"/>
      <c r="U702" s="381"/>
      <c r="V702" s="381"/>
      <c r="W702" s="381"/>
      <c r="X702" s="381"/>
      <c r="Y702" s="381"/>
      <c r="Z702" s="381"/>
    </row>
    <row r="703">
      <c r="A703" s="381"/>
      <c r="B703" s="18"/>
      <c r="C703" s="359"/>
      <c r="D703" s="359"/>
      <c r="E703" s="381"/>
      <c r="F703" s="381"/>
      <c r="G703" s="381"/>
      <c r="H703" s="381"/>
      <c r="I703" s="381"/>
      <c r="J703" s="381"/>
      <c r="K703" s="381"/>
      <c r="L703" s="381"/>
      <c r="M703" s="381"/>
      <c r="N703" s="381"/>
      <c r="O703" s="381"/>
      <c r="P703" s="381"/>
      <c r="Q703" s="381"/>
      <c r="R703" s="381"/>
      <c r="S703" s="381"/>
      <c r="T703" s="381"/>
      <c r="U703" s="381"/>
      <c r="V703" s="381"/>
      <c r="W703" s="381"/>
      <c r="X703" s="381"/>
      <c r="Y703" s="381"/>
      <c r="Z703" s="381"/>
    </row>
    <row r="704">
      <c r="A704" s="381"/>
      <c r="B704" s="18"/>
      <c r="C704" s="359"/>
      <c r="D704" s="359"/>
      <c r="E704" s="381"/>
      <c r="F704" s="381"/>
      <c r="G704" s="381"/>
      <c r="H704" s="381"/>
      <c r="I704" s="381"/>
      <c r="J704" s="381"/>
      <c r="K704" s="381"/>
      <c r="L704" s="381"/>
      <c r="M704" s="381"/>
      <c r="N704" s="381"/>
      <c r="O704" s="381"/>
      <c r="P704" s="381"/>
      <c r="Q704" s="381"/>
      <c r="R704" s="381"/>
      <c r="S704" s="381"/>
      <c r="T704" s="381"/>
      <c r="U704" s="381"/>
      <c r="V704" s="381"/>
      <c r="W704" s="381"/>
      <c r="X704" s="381"/>
      <c r="Y704" s="381"/>
      <c r="Z704" s="381"/>
    </row>
    <row r="705">
      <c r="A705" s="381"/>
      <c r="B705" s="18"/>
      <c r="C705" s="359"/>
      <c r="D705" s="359"/>
      <c r="E705" s="381"/>
      <c r="F705" s="381"/>
      <c r="G705" s="381"/>
      <c r="H705" s="381"/>
      <c r="I705" s="381"/>
      <c r="J705" s="381"/>
      <c r="K705" s="381"/>
      <c r="L705" s="381"/>
      <c r="M705" s="381"/>
      <c r="N705" s="381"/>
      <c r="O705" s="381"/>
      <c r="P705" s="381"/>
      <c r="Q705" s="381"/>
      <c r="R705" s="381"/>
      <c r="S705" s="381"/>
      <c r="T705" s="381"/>
      <c r="U705" s="381"/>
      <c r="V705" s="381"/>
      <c r="W705" s="381"/>
      <c r="X705" s="381"/>
      <c r="Y705" s="381"/>
      <c r="Z705" s="381"/>
    </row>
    <row r="706">
      <c r="A706" s="381"/>
      <c r="B706" s="18"/>
      <c r="C706" s="359"/>
      <c r="D706" s="359"/>
      <c r="E706" s="381"/>
      <c r="F706" s="381"/>
      <c r="G706" s="381"/>
      <c r="H706" s="381"/>
      <c r="I706" s="381"/>
      <c r="J706" s="381"/>
      <c r="K706" s="381"/>
      <c r="L706" s="381"/>
      <c r="M706" s="381"/>
      <c r="N706" s="381"/>
      <c r="O706" s="381"/>
      <c r="P706" s="381"/>
      <c r="Q706" s="381"/>
      <c r="R706" s="381"/>
      <c r="S706" s="381"/>
      <c r="T706" s="381"/>
      <c r="U706" s="381"/>
      <c r="V706" s="381"/>
      <c r="W706" s="381"/>
      <c r="X706" s="381"/>
      <c r="Y706" s="381"/>
      <c r="Z706" s="381"/>
    </row>
    <row r="707">
      <c r="A707" s="381"/>
      <c r="B707" s="18"/>
      <c r="C707" s="359"/>
      <c r="D707" s="359"/>
      <c r="E707" s="381"/>
      <c r="F707" s="381"/>
      <c r="G707" s="381"/>
      <c r="H707" s="381"/>
      <c r="I707" s="381"/>
      <c r="J707" s="381"/>
      <c r="K707" s="381"/>
      <c r="L707" s="381"/>
      <c r="M707" s="381"/>
      <c r="N707" s="381"/>
      <c r="O707" s="381"/>
      <c r="P707" s="381"/>
      <c r="Q707" s="381"/>
      <c r="R707" s="381"/>
      <c r="S707" s="381"/>
      <c r="T707" s="381"/>
      <c r="U707" s="381"/>
      <c r="V707" s="381"/>
      <c r="W707" s="381"/>
      <c r="X707" s="381"/>
      <c r="Y707" s="381"/>
      <c r="Z707" s="381"/>
    </row>
    <row r="708">
      <c r="A708" s="381"/>
      <c r="B708" s="18"/>
      <c r="C708" s="359"/>
      <c r="D708" s="359"/>
      <c r="E708" s="381"/>
      <c r="F708" s="381"/>
      <c r="G708" s="381"/>
      <c r="H708" s="381"/>
      <c r="I708" s="381"/>
      <c r="J708" s="381"/>
      <c r="K708" s="381"/>
      <c r="L708" s="381"/>
      <c r="M708" s="381"/>
      <c r="N708" s="381"/>
      <c r="O708" s="381"/>
      <c r="P708" s="381"/>
      <c r="Q708" s="381"/>
      <c r="R708" s="381"/>
      <c r="S708" s="381"/>
      <c r="T708" s="381"/>
      <c r="U708" s="381"/>
      <c r="V708" s="381"/>
      <c r="W708" s="381"/>
      <c r="X708" s="381"/>
      <c r="Y708" s="381"/>
      <c r="Z708" s="381"/>
    </row>
    <row r="709">
      <c r="A709" s="381"/>
      <c r="B709" s="18"/>
      <c r="C709" s="359"/>
      <c r="D709" s="359"/>
      <c r="E709" s="381"/>
      <c r="F709" s="381"/>
      <c r="G709" s="381"/>
      <c r="H709" s="381"/>
      <c r="I709" s="381"/>
      <c r="J709" s="381"/>
      <c r="K709" s="381"/>
      <c r="L709" s="381"/>
      <c r="M709" s="381"/>
      <c r="N709" s="381"/>
      <c r="O709" s="381"/>
      <c r="P709" s="381"/>
      <c r="Q709" s="381"/>
      <c r="R709" s="381"/>
      <c r="S709" s="381"/>
      <c r="T709" s="381"/>
      <c r="U709" s="381"/>
      <c r="V709" s="381"/>
      <c r="W709" s="381"/>
      <c r="X709" s="381"/>
      <c r="Y709" s="381"/>
      <c r="Z709" s="381"/>
    </row>
    <row r="710">
      <c r="A710" s="381"/>
      <c r="B710" s="18"/>
      <c r="C710" s="359"/>
      <c r="D710" s="359"/>
      <c r="E710" s="381"/>
      <c r="F710" s="381"/>
      <c r="G710" s="381"/>
      <c r="H710" s="381"/>
      <c r="I710" s="381"/>
      <c r="J710" s="381"/>
      <c r="K710" s="381"/>
      <c r="L710" s="381"/>
      <c r="M710" s="381"/>
      <c r="N710" s="381"/>
      <c r="O710" s="381"/>
      <c r="P710" s="381"/>
      <c r="Q710" s="381"/>
      <c r="R710" s="381"/>
      <c r="S710" s="381"/>
      <c r="T710" s="381"/>
      <c r="U710" s="381"/>
      <c r="V710" s="381"/>
      <c r="W710" s="381"/>
      <c r="X710" s="381"/>
      <c r="Y710" s="381"/>
      <c r="Z710" s="381"/>
    </row>
    <row r="711">
      <c r="A711" s="381"/>
      <c r="B711" s="18"/>
      <c r="C711" s="359"/>
      <c r="D711" s="359"/>
      <c r="E711" s="381"/>
      <c r="F711" s="381"/>
      <c r="G711" s="381"/>
      <c r="H711" s="381"/>
      <c r="I711" s="381"/>
      <c r="J711" s="381"/>
      <c r="K711" s="381"/>
      <c r="L711" s="381"/>
      <c r="M711" s="381"/>
      <c r="N711" s="381"/>
      <c r="O711" s="381"/>
      <c r="P711" s="381"/>
      <c r="Q711" s="381"/>
      <c r="R711" s="381"/>
      <c r="S711" s="381"/>
      <c r="T711" s="381"/>
      <c r="U711" s="381"/>
      <c r="V711" s="381"/>
      <c r="W711" s="381"/>
      <c r="X711" s="381"/>
      <c r="Y711" s="381"/>
      <c r="Z711" s="381"/>
    </row>
    <row r="712">
      <c r="A712" s="381"/>
      <c r="B712" s="18"/>
      <c r="C712" s="359"/>
      <c r="D712" s="359"/>
      <c r="E712" s="381"/>
      <c r="F712" s="381"/>
      <c r="G712" s="381"/>
      <c r="H712" s="381"/>
      <c r="I712" s="381"/>
      <c r="J712" s="381"/>
      <c r="K712" s="381"/>
      <c r="L712" s="381"/>
      <c r="M712" s="381"/>
      <c r="N712" s="381"/>
      <c r="O712" s="381"/>
      <c r="P712" s="381"/>
      <c r="Q712" s="381"/>
      <c r="R712" s="381"/>
      <c r="S712" s="381"/>
      <c r="T712" s="381"/>
      <c r="U712" s="381"/>
      <c r="V712" s="381"/>
      <c r="W712" s="381"/>
      <c r="X712" s="381"/>
      <c r="Y712" s="381"/>
      <c r="Z712" s="381"/>
    </row>
    <row r="713">
      <c r="A713" s="381"/>
      <c r="B713" s="18"/>
      <c r="C713" s="359"/>
      <c r="D713" s="359"/>
      <c r="E713" s="381"/>
      <c r="F713" s="381"/>
      <c r="G713" s="381"/>
      <c r="H713" s="381"/>
      <c r="I713" s="381"/>
      <c r="J713" s="381"/>
      <c r="K713" s="381"/>
      <c r="L713" s="381"/>
      <c r="M713" s="381"/>
      <c r="N713" s="381"/>
      <c r="O713" s="381"/>
      <c r="P713" s="381"/>
      <c r="Q713" s="381"/>
      <c r="R713" s="381"/>
      <c r="S713" s="381"/>
      <c r="T713" s="381"/>
      <c r="U713" s="381"/>
      <c r="V713" s="381"/>
      <c r="W713" s="381"/>
      <c r="X713" s="381"/>
      <c r="Y713" s="381"/>
      <c r="Z713" s="381"/>
    </row>
    <row r="714">
      <c r="A714" s="381"/>
      <c r="B714" s="18"/>
      <c r="C714" s="359"/>
      <c r="D714" s="359"/>
      <c r="E714" s="381"/>
      <c r="F714" s="381"/>
      <c r="G714" s="381"/>
      <c r="H714" s="381"/>
      <c r="I714" s="381"/>
      <c r="J714" s="381"/>
      <c r="K714" s="381"/>
      <c r="L714" s="381"/>
      <c r="M714" s="381"/>
      <c r="N714" s="381"/>
      <c r="O714" s="381"/>
      <c r="P714" s="381"/>
      <c r="Q714" s="381"/>
      <c r="R714" s="381"/>
      <c r="S714" s="381"/>
      <c r="T714" s="381"/>
      <c r="U714" s="381"/>
      <c r="V714" s="381"/>
      <c r="W714" s="381"/>
      <c r="X714" s="381"/>
      <c r="Y714" s="381"/>
      <c r="Z714" s="381"/>
    </row>
    <row r="715">
      <c r="A715" s="381"/>
      <c r="B715" s="18"/>
      <c r="C715" s="359"/>
      <c r="D715" s="359"/>
      <c r="E715" s="381"/>
      <c r="F715" s="381"/>
      <c r="G715" s="381"/>
      <c r="H715" s="381"/>
      <c r="I715" s="381"/>
      <c r="J715" s="381"/>
      <c r="K715" s="381"/>
      <c r="L715" s="381"/>
      <c r="M715" s="381"/>
      <c r="N715" s="381"/>
      <c r="O715" s="381"/>
      <c r="P715" s="381"/>
      <c r="Q715" s="381"/>
      <c r="R715" s="381"/>
      <c r="S715" s="381"/>
      <c r="T715" s="381"/>
      <c r="U715" s="381"/>
      <c r="V715" s="381"/>
      <c r="W715" s="381"/>
      <c r="X715" s="381"/>
      <c r="Y715" s="381"/>
      <c r="Z715" s="381"/>
    </row>
    <row r="716">
      <c r="A716" s="381"/>
      <c r="B716" s="18"/>
      <c r="C716" s="359"/>
      <c r="D716" s="359"/>
      <c r="E716" s="381"/>
      <c r="F716" s="381"/>
      <c r="G716" s="381"/>
      <c r="H716" s="381"/>
      <c r="I716" s="381"/>
      <c r="J716" s="381"/>
      <c r="K716" s="381"/>
      <c r="L716" s="381"/>
      <c r="M716" s="381"/>
      <c r="N716" s="381"/>
      <c r="O716" s="381"/>
      <c r="P716" s="381"/>
      <c r="Q716" s="381"/>
      <c r="R716" s="381"/>
      <c r="S716" s="381"/>
      <c r="T716" s="381"/>
      <c r="U716" s="381"/>
      <c r="V716" s="381"/>
      <c r="W716" s="381"/>
      <c r="X716" s="381"/>
      <c r="Y716" s="381"/>
      <c r="Z716" s="381"/>
    </row>
    <row r="717">
      <c r="A717" s="381"/>
      <c r="B717" s="18"/>
      <c r="C717" s="359"/>
      <c r="D717" s="359"/>
      <c r="E717" s="381"/>
      <c r="F717" s="381"/>
      <c r="G717" s="381"/>
      <c r="H717" s="381"/>
      <c r="I717" s="381"/>
      <c r="J717" s="381"/>
      <c r="K717" s="381"/>
      <c r="L717" s="381"/>
      <c r="M717" s="381"/>
      <c r="N717" s="381"/>
      <c r="O717" s="381"/>
      <c r="P717" s="381"/>
      <c r="Q717" s="381"/>
      <c r="R717" s="381"/>
      <c r="S717" s="381"/>
      <c r="T717" s="381"/>
      <c r="U717" s="381"/>
      <c r="V717" s="381"/>
      <c r="W717" s="381"/>
      <c r="X717" s="381"/>
      <c r="Y717" s="381"/>
      <c r="Z717" s="381"/>
    </row>
    <row r="718">
      <c r="A718" s="381"/>
      <c r="B718" s="18"/>
      <c r="C718" s="359"/>
      <c r="D718" s="359"/>
      <c r="E718" s="381"/>
      <c r="F718" s="381"/>
      <c r="G718" s="381"/>
      <c r="H718" s="381"/>
      <c r="I718" s="381"/>
      <c r="J718" s="381"/>
      <c r="K718" s="381"/>
      <c r="L718" s="381"/>
      <c r="M718" s="381"/>
      <c r="N718" s="381"/>
      <c r="O718" s="381"/>
      <c r="P718" s="381"/>
      <c r="Q718" s="381"/>
      <c r="R718" s="381"/>
      <c r="S718" s="381"/>
      <c r="T718" s="381"/>
      <c r="U718" s="381"/>
      <c r="V718" s="381"/>
      <c r="W718" s="381"/>
      <c r="X718" s="381"/>
      <c r="Y718" s="381"/>
      <c r="Z718" s="381"/>
    </row>
    <row r="719">
      <c r="A719" s="381"/>
      <c r="B719" s="18"/>
      <c r="C719" s="359"/>
      <c r="D719" s="359"/>
      <c r="E719" s="381"/>
      <c r="F719" s="381"/>
      <c r="G719" s="381"/>
      <c r="H719" s="381"/>
      <c r="I719" s="381"/>
      <c r="J719" s="381"/>
      <c r="K719" s="381"/>
      <c r="L719" s="381"/>
      <c r="M719" s="381"/>
      <c r="N719" s="381"/>
      <c r="O719" s="381"/>
      <c r="P719" s="381"/>
      <c r="Q719" s="381"/>
      <c r="R719" s="381"/>
      <c r="S719" s="381"/>
      <c r="T719" s="381"/>
      <c r="U719" s="381"/>
      <c r="V719" s="381"/>
      <c r="W719" s="381"/>
      <c r="X719" s="381"/>
      <c r="Y719" s="381"/>
      <c r="Z719" s="381"/>
    </row>
    <row r="720">
      <c r="A720" s="381"/>
      <c r="B720" s="18"/>
      <c r="C720" s="359"/>
      <c r="D720" s="359"/>
      <c r="E720" s="381"/>
      <c r="F720" s="381"/>
      <c r="G720" s="381"/>
      <c r="H720" s="381"/>
      <c r="I720" s="381"/>
      <c r="J720" s="381"/>
      <c r="K720" s="381"/>
      <c r="L720" s="381"/>
      <c r="M720" s="381"/>
      <c r="N720" s="381"/>
      <c r="O720" s="381"/>
      <c r="P720" s="381"/>
      <c r="Q720" s="381"/>
      <c r="R720" s="381"/>
      <c r="S720" s="381"/>
      <c r="T720" s="381"/>
      <c r="U720" s="381"/>
      <c r="V720" s="381"/>
      <c r="W720" s="381"/>
      <c r="X720" s="381"/>
      <c r="Y720" s="381"/>
      <c r="Z720" s="381"/>
    </row>
    <row r="721">
      <c r="A721" s="381"/>
      <c r="B721" s="18"/>
      <c r="C721" s="359"/>
      <c r="D721" s="359"/>
      <c r="E721" s="381"/>
      <c r="F721" s="381"/>
      <c r="G721" s="381"/>
      <c r="H721" s="381"/>
      <c r="I721" s="381"/>
      <c r="J721" s="381"/>
      <c r="K721" s="381"/>
      <c r="L721" s="381"/>
      <c r="M721" s="381"/>
      <c r="N721" s="381"/>
      <c r="O721" s="381"/>
      <c r="P721" s="381"/>
      <c r="Q721" s="381"/>
      <c r="R721" s="381"/>
      <c r="S721" s="381"/>
      <c r="T721" s="381"/>
      <c r="U721" s="381"/>
      <c r="V721" s="381"/>
      <c r="W721" s="381"/>
      <c r="X721" s="381"/>
      <c r="Y721" s="381"/>
      <c r="Z721" s="381"/>
    </row>
    <row r="722">
      <c r="A722" s="381"/>
      <c r="B722" s="18"/>
      <c r="C722" s="359"/>
      <c r="D722" s="359"/>
      <c r="E722" s="381"/>
      <c r="F722" s="381"/>
      <c r="G722" s="381"/>
      <c r="H722" s="381"/>
      <c r="I722" s="381"/>
      <c r="J722" s="381"/>
      <c r="K722" s="381"/>
      <c r="L722" s="381"/>
      <c r="M722" s="381"/>
      <c r="N722" s="381"/>
      <c r="O722" s="381"/>
      <c r="P722" s="381"/>
      <c r="Q722" s="381"/>
      <c r="R722" s="381"/>
      <c r="S722" s="381"/>
      <c r="T722" s="381"/>
      <c r="U722" s="381"/>
      <c r="V722" s="381"/>
      <c r="W722" s="381"/>
      <c r="X722" s="381"/>
      <c r="Y722" s="381"/>
      <c r="Z722" s="381"/>
    </row>
    <row r="723">
      <c r="A723" s="381"/>
      <c r="B723" s="18"/>
      <c r="C723" s="359"/>
      <c r="D723" s="359"/>
      <c r="E723" s="381"/>
      <c r="F723" s="381"/>
      <c r="G723" s="381"/>
      <c r="H723" s="381"/>
      <c r="I723" s="381"/>
      <c r="J723" s="381"/>
      <c r="K723" s="381"/>
      <c r="L723" s="381"/>
      <c r="M723" s="381"/>
      <c r="N723" s="381"/>
      <c r="O723" s="381"/>
      <c r="P723" s="381"/>
      <c r="Q723" s="381"/>
      <c r="R723" s="381"/>
      <c r="S723" s="381"/>
      <c r="T723" s="381"/>
      <c r="U723" s="381"/>
      <c r="V723" s="381"/>
      <c r="W723" s="381"/>
      <c r="X723" s="381"/>
      <c r="Y723" s="381"/>
      <c r="Z723" s="381"/>
    </row>
    <row r="724">
      <c r="A724" s="381"/>
      <c r="B724" s="18"/>
      <c r="C724" s="359"/>
      <c r="D724" s="359"/>
      <c r="E724" s="381"/>
      <c r="F724" s="381"/>
      <c r="G724" s="381"/>
      <c r="H724" s="381"/>
      <c r="I724" s="381"/>
      <c r="J724" s="381"/>
      <c r="K724" s="381"/>
      <c r="L724" s="381"/>
      <c r="M724" s="381"/>
      <c r="N724" s="381"/>
      <c r="O724" s="381"/>
      <c r="P724" s="381"/>
      <c r="Q724" s="381"/>
      <c r="R724" s="381"/>
      <c r="S724" s="381"/>
      <c r="T724" s="381"/>
      <c r="U724" s="381"/>
      <c r="V724" s="381"/>
      <c r="W724" s="381"/>
      <c r="X724" s="381"/>
      <c r="Y724" s="381"/>
      <c r="Z724" s="381"/>
    </row>
    <row r="725">
      <c r="A725" s="381"/>
      <c r="B725" s="18"/>
      <c r="C725" s="359"/>
      <c r="D725" s="359"/>
      <c r="E725" s="381"/>
      <c r="F725" s="381"/>
      <c r="G725" s="381"/>
      <c r="H725" s="381"/>
      <c r="I725" s="381"/>
      <c r="J725" s="381"/>
      <c r="K725" s="381"/>
      <c r="L725" s="381"/>
      <c r="M725" s="381"/>
      <c r="N725" s="381"/>
      <c r="O725" s="381"/>
      <c r="P725" s="381"/>
      <c r="Q725" s="381"/>
      <c r="R725" s="381"/>
      <c r="S725" s="381"/>
      <c r="T725" s="381"/>
      <c r="U725" s="381"/>
      <c r="V725" s="381"/>
      <c r="W725" s="381"/>
      <c r="X725" s="381"/>
      <c r="Y725" s="381"/>
      <c r="Z725" s="381"/>
    </row>
    <row r="726">
      <c r="A726" s="381"/>
      <c r="B726" s="18"/>
      <c r="C726" s="359"/>
      <c r="D726" s="359"/>
      <c r="E726" s="381"/>
      <c r="F726" s="381"/>
      <c r="G726" s="381"/>
      <c r="H726" s="381"/>
      <c r="I726" s="381"/>
      <c r="J726" s="381"/>
      <c r="K726" s="381"/>
      <c r="L726" s="381"/>
      <c r="M726" s="381"/>
      <c r="N726" s="381"/>
      <c r="O726" s="381"/>
      <c r="P726" s="381"/>
      <c r="Q726" s="381"/>
      <c r="R726" s="381"/>
      <c r="S726" s="381"/>
      <c r="T726" s="381"/>
      <c r="U726" s="381"/>
      <c r="V726" s="381"/>
      <c r="W726" s="381"/>
      <c r="X726" s="381"/>
      <c r="Y726" s="381"/>
      <c r="Z726" s="381"/>
    </row>
    <row r="727">
      <c r="A727" s="381"/>
      <c r="B727" s="18"/>
      <c r="C727" s="359"/>
      <c r="D727" s="359"/>
      <c r="E727" s="381"/>
      <c r="F727" s="381"/>
      <c r="G727" s="381"/>
      <c r="H727" s="381"/>
      <c r="I727" s="381"/>
      <c r="J727" s="381"/>
      <c r="K727" s="381"/>
      <c r="L727" s="381"/>
      <c r="M727" s="381"/>
      <c r="N727" s="381"/>
      <c r="O727" s="381"/>
      <c r="P727" s="381"/>
      <c r="Q727" s="381"/>
      <c r="R727" s="381"/>
      <c r="S727" s="381"/>
      <c r="T727" s="381"/>
      <c r="U727" s="381"/>
      <c r="V727" s="381"/>
      <c r="W727" s="381"/>
      <c r="X727" s="381"/>
      <c r="Y727" s="381"/>
      <c r="Z727" s="381"/>
    </row>
    <row r="728">
      <c r="A728" s="381"/>
      <c r="B728" s="18"/>
      <c r="C728" s="359"/>
      <c r="D728" s="359"/>
      <c r="E728" s="381"/>
      <c r="F728" s="381"/>
      <c r="G728" s="381"/>
      <c r="H728" s="381"/>
      <c r="I728" s="381"/>
      <c r="J728" s="381"/>
      <c r="K728" s="381"/>
      <c r="L728" s="381"/>
      <c r="M728" s="381"/>
      <c r="N728" s="381"/>
      <c r="O728" s="381"/>
      <c r="P728" s="381"/>
      <c r="Q728" s="381"/>
      <c r="R728" s="381"/>
      <c r="S728" s="381"/>
      <c r="T728" s="381"/>
      <c r="U728" s="381"/>
      <c r="V728" s="381"/>
      <c r="W728" s="381"/>
      <c r="X728" s="381"/>
      <c r="Y728" s="381"/>
      <c r="Z728" s="381"/>
    </row>
    <row r="729">
      <c r="A729" s="381"/>
      <c r="B729" s="18"/>
      <c r="C729" s="359"/>
      <c r="D729" s="359"/>
      <c r="E729" s="381"/>
      <c r="F729" s="381"/>
      <c r="G729" s="381"/>
      <c r="H729" s="381"/>
      <c r="I729" s="381"/>
      <c r="J729" s="381"/>
      <c r="K729" s="381"/>
      <c r="L729" s="381"/>
      <c r="M729" s="381"/>
      <c r="N729" s="381"/>
      <c r="O729" s="381"/>
      <c r="P729" s="381"/>
      <c r="Q729" s="381"/>
      <c r="R729" s="381"/>
      <c r="S729" s="381"/>
      <c r="T729" s="381"/>
      <c r="U729" s="381"/>
      <c r="V729" s="381"/>
      <c r="W729" s="381"/>
      <c r="X729" s="381"/>
      <c r="Y729" s="381"/>
      <c r="Z729" s="381"/>
    </row>
    <row r="730">
      <c r="A730" s="381"/>
      <c r="B730" s="18"/>
      <c r="C730" s="359"/>
      <c r="D730" s="359"/>
      <c r="E730" s="381"/>
      <c r="F730" s="381"/>
      <c r="G730" s="381"/>
      <c r="H730" s="381"/>
      <c r="I730" s="381"/>
      <c r="J730" s="381"/>
      <c r="K730" s="381"/>
      <c r="L730" s="381"/>
      <c r="M730" s="381"/>
      <c r="N730" s="381"/>
      <c r="O730" s="381"/>
      <c r="P730" s="381"/>
      <c r="Q730" s="381"/>
      <c r="R730" s="381"/>
      <c r="S730" s="381"/>
      <c r="T730" s="381"/>
      <c r="U730" s="381"/>
      <c r="V730" s="381"/>
      <c r="W730" s="381"/>
      <c r="X730" s="381"/>
      <c r="Y730" s="381"/>
      <c r="Z730" s="381"/>
    </row>
    <row r="731">
      <c r="A731" s="381"/>
      <c r="B731" s="18"/>
      <c r="C731" s="359"/>
      <c r="D731" s="359"/>
      <c r="E731" s="381"/>
      <c r="F731" s="381"/>
      <c r="G731" s="381"/>
      <c r="H731" s="381"/>
      <c r="I731" s="381"/>
      <c r="J731" s="381"/>
      <c r="K731" s="381"/>
      <c r="L731" s="381"/>
      <c r="M731" s="381"/>
      <c r="N731" s="381"/>
      <c r="O731" s="381"/>
      <c r="P731" s="381"/>
      <c r="Q731" s="381"/>
      <c r="R731" s="381"/>
      <c r="S731" s="381"/>
      <c r="T731" s="381"/>
      <c r="U731" s="381"/>
      <c r="V731" s="381"/>
      <c r="W731" s="381"/>
      <c r="X731" s="381"/>
      <c r="Y731" s="381"/>
      <c r="Z731" s="381"/>
    </row>
    <row r="732">
      <c r="A732" s="381"/>
      <c r="B732" s="18"/>
      <c r="C732" s="359"/>
      <c r="D732" s="359"/>
      <c r="E732" s="381"/>
      <c r="F732" s="381"/>
      <c r="G732" s="381"/>
      <c r="H732" s="381"/>
      <c r="I732" s="381"/>
      <c r="J732" s="381"/>
      <c r="K732" s="381"/>
      <c r="L732" s="381"/>
      <c r="M732" s="381"/>
      <c r="N732" s="381"/>
      <c r="O732" s="381"/>
      <c r="P732" s="381"/>
      <c r="Q732" s="381"/>
      <c r="R732" s="381"/>
      <c r="S732" s="381"/>
      <c r="T732" s="381"/>
      <c r="U732" s="381"/>
      <c r="V732" s="381"/>
      <c r="W732" s="381"/>
      <c r="X732" s="381"/>
      <c r="Y732" s="381"/>
      <c r="Z732" s="381"/>
    </row>
    <row r="733">
      <c r="A733" s="381"/>
      <c r="B733" s="18"/>
      <c r="C733" s="359"/>
      <c r="D733" s="359"/>
      <c r="E733" s="381"/>
      <c r="F733" s="381"/>
      <c r="G733" s="381"/>
      <c r="H733" s="381"/>
      <c r="I733" s="381"/>
      <c r="J733" s="381"/>
      <c r="K733" s="381"/>
      <c r="L733" s="381"/>
      <c r="M733" s="381"/>
      <c r="N733" s="381"/>
      <c r="O733" s="381"/>
      <c r="P733" s="381"/>
      <c r="Q733" s="381"/>
      <c r="R733" s="381"/>
      <c r="S733" s="381"/>
      <c r="T733" s="381"/>
      <c r="U733" s="381"/>
      <c r="V733" s="381"/>
      <c r="W733" s="381"/>
      <c r="X733" s="381"/>
      <c r="Y733" s="381"/>
      <c r="Z733" s="381"/>
    </row>
    <row r="734">
      <c r="A734" s="381"/>
      <c r="B734" s="18"/>
      <c r="C734" s="359"/>
      <c r="D734" s="359"/>
      <c r="E734" s="381"/>
      <c r="F734" s="381"/>
      <c r="G734" s="381"/>
      <c r="H734" s="381"/>
      <c r="I734" s="381"/>
      <c r="J734" s="381"/>
      <c r="K734" s="381"/>
      <c r="L734" s="381"/>
      <c r="M734" s="381"/>
      <c r="N734" s="381"/>
      <c r="O734" s="381"/>
      <c r="P734" s="381"/>
      <c r="Q734" s="381"/>
      <c r="R734" s="381"/>
      <c r="S734" s="381"/>
      <c r="T734" s="381"/>
      <c r="U734" s="381"/>
      <c r="V734" s="381"/>
      <c r="W734" s="381"/>
      <c r="X734" s="381"/>
      <c r="Y734" s="381"/>
      <c r="Z734" s="381"/>
    </row>
    <row r="735">
      <c r="A735" s="381"/>
      <c r="B735" s="18"/>
      <c r="C735" s="359"/>
      <c r="D735" s="359"/>
      <c r="E735" s="381"/>
      <c r="F735" s="381"/>
      <c r="G735" s="381"/>
      <c r="H735" s="381"/>
      <c r="I735" s="381"/>
      <c r="J735" s="381"/>
      <c r="K735" s="381"/>
      <c r="L735" s="381"/>
      <c r="M735" s="381"/>
      <c r="N735" s="381"/>
      <c r="O735" s="381"/>
      <c r="P735" s="381"/>
      <c r="Q735" s="381"/>
      <c r="R735" s="381"/>
      <c r="S735" s="381"/>
      <c r="T735" s="381"/>
      <c r="U735" s="381"/>
      <c r="V735" s="381"/>
      <c r="W735" s="381"/>
      <c r="X735" s="381"/>
      <c r="Y735" s="381"/>
      <c r="Z735" s="381"/>
    </row>
    <row r="736">
      <c r="A736" s="381"/>
      <c r="B736" s="18"/>
      <c r="C736" s="359"/>
      <c r="D736" s="359"/>
      <c r="E736" s="381"/>
      <c r="F736" s="381"/>
      <c r="G736" s="381"/>
      <c r="H736" s="381"/>
      <c r="I736" s="381"/>
      <c r="J736" s="381"/>
      <c r="K736" s="381"/>
      <c r="L736" s="381"/>
      <c r="M736" s="381"/>
      <c r="N736" s="381"/>
      <c r="O736" s="381"/>
      <c r="P736" s="381"/>
      <c r="Q736" s="381"/>
      <c r="R736" s="381"/>
      <c r="S736" s="381"/>
      <c r="T736" s="381"/>
      <c r="U736" s="381"/>
      <c r="V736" s="381"/>
      <c r="W736" s="381"/>
      <c r="X736" s="381"/>
      <c r="Y736" s="381"/>
      <c r="Z736" s="381"/>
    </row>
    <row r="737">
      <c r="A737" s="381"/>
      <c r="B737" s="18"/>
      <c r="C737" s="359"/>
      <c r="D737" s="359"/>
      <c r="E737" s="381"/>
      <c r="F737" s="381"/>
      <c r="G737" s="381"/>
      <c r="H737" s="381"/>
      <c r="I737" s="381"/>
      <c r="J737" s="381"/>
      <c r="K737" s="381"/>
      <c r="L737" s="381"/>
      <c r="M737" s="381"/>
      <c r="N737" s="381"/>
      <c r="O737" s="381"/>
      <c r="P737" s="381"/>
      <c r="Q737" s="381"/>
      <c r="R737" s="381"/>
      <c r="S737" s="381"/>
      <c r="T737" s="381"/>
      <c r="U737" s="381"/>
      <c r="V737" s="381"/>
      <c r="W737" s="381"/>
      <c r="X737" s="381"/>
      <c r="Y737" s="381"/>
      <c r="Z737" s="381"/>
    </row>
    <row r="738">
      <c r="A738" s="381"/>
      <c r="B738" s="18"/>
      <c r="C738" s="359"/>
      <c r="D738" s="359"/>
      <c r="E738" s="381"/>
      <c r="F738" s="381"/>
      <c r="G738" s="381"/>
      <c r="H738" s="381"/>
      <c r="I738" s="381"/>
      <c r="J738" s="381"/>
      <c r="K738" s="381"/>
      <c r="L738" s="381"/>
      <c r="M738" s="381"/>
      <c r="N738" s="381"/>
      <c r="O738" s="381"/>
      <c r="P738" s="381"/>
      <c r="Q738" s="381"/>
      <c r="R738" s="381"/>
      <c r="S738" s="381"/>
      <c r="T738" s="381"/>
      <c r="U738" s="381"/>
      <c r="V738" s="381"/>
      <c r="W738" s="381"/>
      <c r="X738" s="381"/>
      <c r="Y738" s="381"/>
      <c r="Z738" s="381"/>
    </row>
    <row r="739">
      <c r="A739" s="381"/>
      <c r="B739" s="18"/>
      <c r="C739" s="359"/>
      <c r="D739" s="359"/>
      <c r="E739" s="381"/>
      <c r="F739" s="381"/>
      <c r="G739" s="381"/>
      <c r="H739" s="381"/>
      <c r="I739" s="381"/>
      <c r="J739" s="381"/>
      <c r="K739" s="381"/>
      <c r="L739" s="381"/>
      <c r="M739" s="381"/>
      <c r="N739" s="381"/>
      <c r="O739" s="381"/>
      <c r="P739" s="381"/>
      <c r="Q739" s="381"/>
      <c r="R739" s="381"/>
      <c r="S739" s="381"/>
      <c r="T739" s="381"/>
      <c r="U739" s="381"/>
      <c r="V739" s="381"/>
      <c r="W739" s="381"/>
      <c r="X739" s="381"/>
      <c r="Y739" s="381"/>
      <c r="Z739" s="381"/>
    </row>
    <row r="740">
      <c r="A740" s="381"/>
      <c r="B740" s="18"/>
      <c r="C740" s="359"/>
      <c r="D740" s="359"/>
      <c r="E740" s="381"/>
      <c r="F740" s="381"/>
      <c r="G740" s="381"/>
      <c r="H740" s="381"/>
      <c r="I740" s="381"/>
      <c r="J740" s="381"/>
      <c r="K740" s="381"/>
      <c r="L740" s="381"/>
      <c r="M740" s="381"/>
      <c r="N740" s="381"/>
      <c r="O740" s="381"/>
      <c r="P740" s="381"/>
      <c r="Q740" s="381"/>
      <c r="R740" s="381"/>
      <c r="S740" s="381"/>
      <c r="T740" s="381"/>
      <c r="U740" s="381"/>
      <c r="V740" s="381"/>
      <c r="W740" s="381"/>
      <c r="X740" s="381"/>
      <c r="Y740" s="381"/>
      <c r="Z740" s="381"/>
    </row>
    <row r="741">
      <c r="A741" s="381"/>
      <c r="B741" s="18"/>
      <c r="C741" s="359"/>
      <c r="D741" s="359"/>
      <c r="E741" s="381"/>
      <c r="F741" s="381"/>
      <c r="G741" s="381"/>
      <c r="H741" s="381"/>
      <c r="I741" s="381"/>
      <c r="J741" s="381"/>
      <c r="K741" s="381"/>
      <c r="L741" s="381"/>
      <c r="M741" s="381"/>
      <c r="N741" s="381"/>
      <c r="O741" s="381"/>
      <c r="P741" s="381"/>
      <c r="Q741" s="381"/>
      <c r="R741" s="381"/>
      <c r="S741" s="381"/>
      <c r="T741" s="381"/>
      <c r="U741" s="381"/>
      <c r="V741" s="381"/>
      <c r="W741" s="381"/>
      <c r="X741" s="381"/>
      <c r="Y741" s="381"/>
      <c r="Z741" s="381"/>
    </row>
    <row r="742">
      <c r="A742" s="381"/>
      <c r="B742" s="18"/>
      <c r="C742" s="359"/>
      <c r="D742" s="359"/>
      <c r="E742" s="381"/>
      <c r="F742" s="381"/>
      <c r="G742" s="381"/>
      <c r="H742" s="381"/>
      <c r="I742" s="381"/>
      <c r="J742" s="381"/>
      <c r="K742" s="381"/>
      <c r="L742" s="381"/>
      <c r="M742" s="381"/>
      <c r="N742" s="381"/>
      <c r="O742" s="381"/>
      <c r="P742" s="381"/>
      <c r="Q742" s="381"/>
      <c r="R742" s="381"/>
      <c r="S742" s="381"/>
      <c r="T742" s="381"/>
      <c r="U742" s="381"/>
      <c r="V742" s="381"/>
      <c r="W742" s="381"/>
      <c r="X742" s="381"/>
      <c r="Y742" s="381"/>
      <c r="Z742" s="381"/>
    </row>
    <row r="743">
      <c r="A743" s="381"/>
      <c r="B743" s="18"/>
      <c r="C743" s="359"/>
      <c r="D743" s="359"/>
      <c r="E743" s="381"/>
      <c r="F743" s="381"/>
      <c r="G743" s="381"/>
      <c r="H743" s="381"/>
      <c r="I743" s="381"/>
      <c r="J743" s="381"/>
      <c r="K743" s="381"/>
      <c r="L743" s="381"/>
      <c r="M743" s="381"/>
      <c r="N743" s="381"/>
      <c r="O743" s="381"/>
      <c r="P743" s="381"/>
      <c r="Q743" s="381"/>
      <c r="R743" s="381"/>
      <c r="S743" s="381"/>
      <c r="T743" s="381"/>
      <c r="U743" s="381"/>
      <c r="V743" s="381"/>
      <c r="W743" s="381"/>
      <c r="X743" s="381"/>
      <c r="Y743" s="381"/>
      <c r="Z743" s="381"/>
    </row>
    <row r="744">
      <c r="A744" s="381"/>
      <c r="B744" s="18"/>
      <c r="C744" s="359"/>
      <c r="D744" s="359"/>
      <c r="E744" s="381"/>
      <c r="F744" s="381"/>
      <c r="G744" s="381"/>
      <c r="H744" s="381"/>
      <c r="I744" s="381"/>
      <c r="J744" s="381"/>
      <c r="K744" s="381"/>
      <c r="L744" s="381"/>
      <c r="M744" s="381"/>
      <c r="N744" s="381"/>
      <c r="O744" s="381"/>
      <c r="P744" s="381"/>
      <c r="Q744" s="381"/>
      <c r="R744" s="381"/>
      <c r="S744" s="381"/>
      <c r="T744" s="381"/>
      <c r="U744" s="381"/>
      <c r="V744" s="381"/>
      <c r="W744" s="381"/>
      <c r="X744" s="381"/>
      <c r="Y744" s="381"/>
      <c r="Z744" s="381"/>
    </row>
    <row r="745">
      <c r="A745" s="381"/>
      <c r="B745" s="18"/>
      <c r="C745" s="359"/>
      <c r="D745" s="359"/>
      <c r="E745" s="381"/>
      <c r="F745" s="381"/>
      <c r="G745" s="381"/>
      <c r="H745" s="381"/>
      <c r="I745" s="381"/>
      <c r="J745" s="381"/>
      <c r="K745" s="381"/>
      <c r="L745" s="381"/>
      <c r="M745" s="381"/>
      <c r="N745" s="381"/>
      <c r="O745" s="381"/>
      <c r="P745" s="381"/>
      <c r="Q745" s="381"/>
      <c r="R745" s="381"/>
      <c r="S745" s="381"/>
      <c r="T745" s="381"/>
      <c r="U745" s="381"/>
      <c r="V745" s="381"/>
      <c r="W745" s="381"/>
      <c r="X745" s="381"/>
      <c r="Y745" s="381"/>
      <c r="Z745" s="381"/>
    </row>
    <row r="746">
      <c r="A746" s="381"/>
      <c r="B746" s="18"/>
      <c r="C746" s="359"/>
      <c r="D746" s="359"/>
      <c r="E746" s="381"/>
      <c r="F746" s="381"/>
      <c r="G746" s="381"/>
      <c r="H746" s="381"/>
      <c r="I746" s="381"/>
      <c r="J746" s="381"/>
      <c r="K746" s="381"/>
      <c r="L746" s="381"/>
      <c r="M746" s="381"/>
      <c r="N746" s="381"/>
      <c r="O746" s="381"/>
      <c r="P746" s="381"/>
      <c r="Q746" s="381"/>
      <c r="R746" s="381"/>
      <c r="S746" s="381"/>
      <c r="T746" s="381"/>
      <c r="U746" s="381"/>
      <c r="V746" s="381"/>
      <c r="W746" s="381"/>
      <c r="X746" s="381"/>
      <c r="Y746" s="381"/>
      <c r="Z746" s="381"/>
    </row>
    <row r="747">
      <c r="A747" s="381"/>
      <c r="B747" s="18"/>
      <c r="C747" s="359"/>
      <c r="D747" s="359"/>
      <c r="E747" s="381"/>
      <c r="F747" s="381"/>
      <c r="G747" s="381"/>
      <c r="H747" s="381"/>
      <c r="I747" s="381"/>
      <c r="J747" s="381"/>
      <c r="K747" s="381"/>
      <c r="L747" s="381"/>
      <c r="M747" s="381"/>
      <c r="N747" s="381"/>
      <c r="O747" s="381"/>
      <c r="P747" s="381"/>
      <c r="Q747" s="381"/>
      <c r="R747" s="381"/>
      <c r="S747" s="381"/>
      <c r="T747" s="381"/>
      <c r="U747" s="381"/>
      <c r="V747" s="381"/>
      <c r="W747" s="381"/>
      <c r="X747" s="381"/>
      <c r="Y747" s="381"/>
      <c r="Z747" s="381"/>
    </row>
    <row r="748">
      <c r="A748" s="381"/>
      <c r="B748" s="18"/>
      <c r="C748" s="359"/>
      <c r="D748" s="359"/>
      <c r="E748" s="381"/>
      <c r="F748" s="381"/>
      <c r="G748" s="381"/>
      <c r="H748" s="381"/>
      <c r="I748" s="381"/>
      <c r="J748" s="381"/>
      <c r="K748" s="381"/>
      <c r="L748" s="381"/>
      <c r="M748" s="381"/>
      <c r="N748" s="381"/>
      <c r="O748" s="381"/>
      <c r="P748" s="381"/>
      <c r="Q748" s="381"/>
      <c r="R748" s="381"/>
      <c r="S748" s="381"/>
      <c r="T748" s="381"/>
      <c r="U748" s="381"/>
      <c r="V748" s="381"/>
      <c r="W748" s="381"/>
      <c r="X748" s="381"/>
      <c r="Y748" s="381"/>
      <c r="Z748" s="381"/>
    </row>
    <row r="749">
      <c r="A749" s="381"/>
      <c r="B749" s="18"/>
      <c r="C749" s="359"/>
      <c r="D749" s="359"/>
      <c r="E749" s="381"/>
      <c r="F749" s="381"/>
      <c r="G749" s="381"/>
      <c r="H749" s="381"/>
      <c r="I749" s="381"/>
      <c r="J749" s="381"/>
      <c r="K749" s="381"/>
      <c r="L749" s="381"/>
      <c r="M749" s="381"/>
      <c r="N749" s="381"/>
      <c r="O749" s="381"/>
      <c r="P749" s="381"/>
      <c r="Q749" s="381"/>
      <c r="R749" s="381"/>
      <c r="S749" s="381"/>
      <c r="T749" s="381"/>
      <c r="U749" s="381"/>
      <c r="V749" s="381"/>
      <c r="W749" s="381"/>
      <c r="X749" s="381"/>
      <c r="Y749" s="381"/>
      <c r="Z749" s="381"/>
    </row>
    <row r="750">
      <c r="A750" s="381"/>
      <c r="B750" s="18"/>
      <c r="C750" s="359"/>
      <c r="D750" s="359"/>
      <c r="E750" s="381"/>
      <c r="F750" s="381"/>
      <c r="G750" s="381"/>
      <c r="H750" s="381"/>
      <c r="I750" s="381"/>
      <c r="J750" s="381"/>
      <c r="K750" s="381"/>
      <c r="L750" s="381"/>
      <c r="M750" s="381"/>
      <c r="N750" s="381"/>
      <c r="O750" s="381"/>
      <c r="P750" s="381"/>
      <c r="Q750" s="381"/>
      <c r="R750" s="381"/>
      <c r="S750" s="381"/>
      <c r="T750" s="381"/>
      <c r="U750" s="381"/>
      <c r="V750" s="381"/>
      <c r="W750" s="381"/>
      <c r="X750" s="381"/>
      <c r="Y750" s="381"/>
      <c r="Z750" s="381"/>
    </row>
    <row r="751">
      <c r="A751" s="381"/>
      <c r="B751" s="18"/>
      <c r="C751" s="359"/>
      <c r="D751" s="359"/>
      <c r="E751" s="381"/>
      <c r="F751" s="381"/>
      <c r="G751" s="381"/>
      <c r="H751" s="381"/>
      <c r="I751" s="381"/>
      <c r="J751" s="381"/>
      <c r="K751" s="381"/>
      <c r="L751" s="381"/>
      <c r="M751" s="381"/>
      <c r="N751" s="381"/>
      <c r="O751" s="381"/>
      <c r="P751" s="381"/>
      <c r="Q751" s="381"/>
      <c r="R751" s="381"/>
      <c r="S751" s="381"/>
      <c r="T751" s="381"/>
      <c r="U751" s="381"/>
      <c r="V751" s="381"/>
      <c r="W751" s="381"/>
      <c r="X751" s="381"/>
      <c r="Y751" s="381"/>
      <c r="Z751" s="381"/>
    </row>
    <row r="752">
      <c r="A752" s="381"/>
      <c r="B752" s="18"/>
      <c r="C752" s="359"/>
      <c r="D752" s="359"/>
      <c r="E752" s="381"/>
      <c r="F752" s="381"/>
      <c r="G752" s="381"/>
      <c r="H752" s="381"/>
      <c r="I752" s="381"/>
      <c r="J752" s="381"/>
      <c r="K752" s="381"/>
      <c r="L752" s="381"/>
      <c r="M752" s="381"/>
      <c r="N752" s="381"/>
      <c r="O752" s="381"/>
      <c r="P752" s="381"/>
      <c r="Q752" s="381"/>
      <c r="R752" s="381"/>
      <c r="S752" s="381"/>
      <c r="T752" s="381"/>
      <c r="U752" s="381"/>
      <c r="V752" s="381"/>
      <c r="W752" s="381"/>
      <c r="X752" s="381"/>
      <c r="Y752" s="381"/>
      <c r="Z752" s="381"/>
    </row>
    <row r="753">
      <c r="A753" s="381"/>
      <c r="B753" s="18"/>
      <c r="C753" s="359"/>
      <c r="D753" s="359"/>
      <c r="E753" s="381"/>
      <c r="F753" s="381"/>
      <c r="G753" s="381"/>
      <c r="H753" s="381"/>
      <c r="I753" s="381"/>
      <c r="J753" s="381"/>
      <c r="K753" s="381"/>
      <c r="L753" s="381"/>
      <c r="M753" s="381"/>
      <c r="N753" s="381"/>
      <c r="O753" s="381"/>
      <c r="P753" s="381"/>
      <c r="Q753" s="381"/>
      <c r="R753" s="381"/>
      <c r="S753" s="381"/>
      <c r="T753" s="381"/>
      <c r="U753" s="381"/>
      <c r="V753" s="381"/>
      <c r="W753" s="381"/>
      <c r="X753" s="381"/>
      <c r="Y753" s="381"/>
      <c r="Z753" s="381"/>
    </row>
    <row r="754">
      <c r="A754" s="381"/>
      <c r="B754" s="18"/>
      <c r="C754" s="359"/>
      <c r="D754" s="359"/>
      <c r="E754" s="381"/>
      <c r="F754" s="381"/>
      <c r="G754" s="381"/>
      <c r="H754" s="381"/>
      <c r="I754" s="381"/>
      <c r="J754" s="381"/>
      <c r="K754" s="381"/>
      <c r="L754" s="381"/>
      <c r="M754" s="381"/>
      <c r="N754" s="381"/>
      <c r="O754" s="381"/>
      <c r="P754" s="381"/>
      <c r="Q754" s="381"/>
      <c r="R754" s="381"/>
      <c r="S754" s="381"/>
      <c r="T754" s="381"/>
      <c r="U754" s="381"/>
      <c r="V754" s="381"/>
      <c r="W754" s="381"/>
      <c r="X754" s="381"/>
      <c r="Y754" s="381"/>
      <c r="Z754" s="381"/>
    </row>
    <row r="755">
      <c r="A755" s="381"/>
      <c r="B755" s="18"/>
      <c r="C755" s="359"/>
      <c r="D755" s="359"/>
      <c r="E755" s="381"/>
      <c r="F755" s="381"/>
      <c r="G755" s="381"/>
      <c r="H755" s="381"/>
      <c r="I755" s="381"/>
      <c r="J755" s="381"/>
      <c r="K755" s="381"/>
      <c r="L755" s="381"/>
      <c r="M755" s="381"/>
      <c r="N755" s="381"/>
      <c r="O755" s="381"/>
      <c r="P755" s="381"/>
      <c r="Q755" s="381"/>
      <c r="R755" s="381"/>
      <c r="S755" s="381"/>
      <c r="T755" s="381"/>
      <c r="U755" s="381"/>
      <c r="V755" s="381"/>
      <c r="W755" s="381"/>
      <c r="X755" s="381"/>
      <c r="Y755" s="381"/>
      <c r="Z755" s="381"/>
    </row>
    <row r="756">
      <c r="A756" s="381"/>
      <c r="B756" s="18"/>
      <c r="C756" s="359"/>
      <c r="D756" s="359"/>
      <c r="E756" s="381"/>
      <c r="F756" s="381"/>
      <c r="G756" s="381"/>
      <c r="H756" s="381"/>
      <c r="I756" s="381"/>
      <c r="J756" s="381"/>
      <c r="K756" s="381"/>
      <c r="L756" s="381"/>
      <c r="M756" s="381"/>
      <c r="N756" s="381"/>
      <c r="O756" s="381"/>
      <c r="P756" s="381"/>
      <c r="Q756" s="381"/>
      <c r="R756" s="381"/>
      <c r="S756" s="381"/>
      <c r="T756" s="381"/>
      <c r="U756" s="381"/>
      <c r="V756" s="381"/>
      <c r="W756" s="381"/>
      <c r="X756" s="381"/>
      <c r="Y756" s="381"/>
      <c r="Z756" s="381"/>
    </row>
    <row r="757">
      <c r="A757" s="381"/>
      <c r="B757" s="18"/>
      <c r="C757" s="359"/>
      <c r="D757" s="359"/>
      <c r="E757" s="381"/>
      <c r="F757" s="381"/>
      <c r="G757" s="381"/>
      <c r="H757" s="381"/>
      <c r="I757" s="381"/>
      <c r="J757" s="381"/>
      <c r="K757" s="381"/>
      <c r="L757" s="381"/>
      <c r="M757" s="381"/>
      <c r="N757" s="381"/>
      <c r="O757" s="381"/>
      <c r="P757" s="381"/>
      <c r="Q757" s="381"/>
      <c r="R757" s="381"/>
      <c r="S757" s="381"/>
      <c r="T757" s="381"/>
      <c r="U757" s="381"/>
      <c r="V757" s="381"/>
      <c r="W757" s="381"/>
      <c r="X757" s="381"/>
      <c r="Y757" s="381"/>
      <c r="Z757" s="381"/>
    </row>
    <row r="758">
      <c r="A758" s="381"/>
      <c r="B758" s="18"/>
      <c r="C758" s="359"/>
      <c r="D758" s="359"/>
      <c r="E758" s="381"/>
      <c r="F758" s="381"/>
      <c r="G758" s="381"/>
      <c r="H758" s="381"/>
      <c r="I758" s="381"/>
      <c r="J758" s="381"/>
      <c r="K758" s="381"/>
      <c r="L758" s="381"/>
      <c r="M758" s="381"/>
      <c r="N758" s="381"/>
      <c r="O758" s="381"/>
      <c r="P758" s="381"/>
      <c r="Q758" s="381"/>
      <c r="R758" s="381"/>
      <c r="S758" s="381"/>
      <c r="T758" s="381"/>
      <c r="U758" s="381"/>
      <c r="V758" s="381"/>
      <c r="W758" s="381"/>
      <c r="X758" s="381"/>
      <c r="Y758" s="381"/>
      <c r="Z758" s="381"/>
    </row>
    <row r="759">
      <c r="A759" s="381"/>
      <c r="B759" s="18"/>
      <c r="C759" s="359"/>
      <c r="D759" s="359"/>
      <c r="E759" s="381"/>
      <c r="F759" s="381"/>
      <c r="G759" s="381"/>
      <c r="H759" s="381"/>
      <c r="I759" s="381"/>
      <c r="J759" s="381"/>
      <c r="K759" s="381"/>
      <c r="L759" s="381"/>
      <c r="M759" s="381"/>
      <c r="N759" s="381"/>
      <c r="O759" s="381"/>
      <c r="P759" s="381"/>
      <c r="Q759" s="381"/>
      <c r="R759" s="381"/>
      <c r="S759" s="381"/>
      <c r="T759" s="381"/>
      <c r="U759" s="381"/>
      <c r="V759" s="381"/>
      <c r="W759" s="381"/>
      <c r="X759" s="381"/>
      <c r="Y759" s="381"/>
      <c r="Z759" s="381"/>
    </row>
    <row r="760">
      <c r="A760" s="381"/>
      <c r="B760" s="18"/>
      <c r="C760" s="359"/>
      <c r="D760" s="359"/>
      <c r="E760" s="381"/>
      <c r="F760" s="381"/>
      <c r="G760" s="381"/>
      <c r="H760" s="381"/>
      <c r="I760" s="381"/>
      <c r="J760" s="381"/>
      <c r="K760" s="381"/>
      <c r="L760" s="381"/>
      <c r="M760" s="381"/>
      <c r="N760" s="381"/>
      <c r="O760" s="381"/>
      <c r="P760" s="381"/>
      <c r="Q760" s="381"/>
      <c r="R760" s="381"/>
      <c r="S760" s="381"/>
      <c r="T760" s="381"/>
      <c r="U760" s="381"/>
      <c r="V760" s="381"/>
      <c r="W760" s="381"/>
      <c r="X760" s="381"/>
      <c r="Y760" s="381"/>
      <c r="Z760" s="381"/>
    </row>
    <row r="761">
      <c r="A761" s="381"/>
      <c r="B761" s="18"/>
      <c r="C761" s="359"/>
      <c r="D761" s="359"/>
      <c r="E761" s="381"/>
      <c r="F761" s="381"/>
      <c r="G761" s="381"/>
      <c r="H761" s="381"/>
      <c r="I761" s="381"/>
      <c r="J761" s="381"/>
      <c r="K761" s="381"/>
      <c r="L761" s="381"/>
      <c r="M761" s="381"/>
      <c r="N761" s="381"/>
      <c r="O761" s="381"/>
      <c r="P761" s="381"/>
      <c r="Q761" s="381"/>
      <c r="R761" s="381"/>
      <c r="S761" s="381"/>
      <c r="T761" s="381"/>
      <c r="U761" s="381"/>
      <c r="V761" s="381"/>
      <c r="W761" s="381"/>
      <c r="X761" s="381"/>
      <c r="Y761" s="381"/>
      <c r="Z761" s="381"/>
    </row>
    <row r="762">
      <c r="A762" s="381"/>
      <c r="B762" s="18"/>
      <c r="C762" s="359"/>
      <c r="D762" s="359"/>
      <c r="E762" s="381"/>
      <c r="F762" s="381"/>
      <c r="G762" s="381"/>
      <c r="H762" s="381"/>
      <c r="I762" s="381"/>
      <c r="J762" s="381"/>
      <c r="K762" s="381"/>
      <c r="L762" s="381"/>
      <c r="M762" s="381"/>
      <c r="N762" s="381"/>
      <c r="O762" s="381"/>
      <c r="P762" s="381"/>
      <c r="Q762" s="381"/>
      <c r="R762" s="381"/>
      <c r="S762" s="381"/>
      <c r="T762" s="381"/>
      <c r="U762" s="381"/>
      <c r="V762" s="381"/>
      <c r="W762" s="381"/>
      <c r="X762" s="381"/>
      <c r="Y762" s="381"/>
      <c r="Z762" s="381"/>
    </row>
    <row r="763">
      <c r="A763" s="381"/>
      <c r="B763" s="18"/>
      <c r="C763" s="359"/>
      <c r="D763" s="359"/>
      <c r="E763" s="381"/>
      <c r="F763" s="381"/>
      <c r="G763" s="381"/>
      <c r="H763" s="381"/>
      <c r="I763" s="381"/>
      <c r="J763" s="381"/>
      <c r="K763" s="381"/>
      <c r="L763" s="381"/>
      <c r="M763" s="381"/>
      <c r="N763" s="381"/>
      <c r="O763" s="381"/>
      <c r="P763" s="381"/>
      <c r="Q763" s="381"/>
      <c r="R763" s="381"/>
      <c r="S763" s="381"/>
      <c r="T763" s="381"/>
      <c r="U763" s="381"/>
      <c r="V763" s="381"/>
      <c r="W763" s="381"/>
      <c r="X763" s="381"/>
      <c r="Y763" s="381"/>
      <c r="Z763" s="381"/>
    </row>
    <row r="764">
      <c r="A764" s="381"/>
      <c r="B764" s="18"/>
      <c r="C764" s="359"/>
      <c r="D764" s="359"/>
      <c r="E764" s="381"/>
      <c r="F764" s="381"/>
      <c r="G764" s="381"/>
      <c r="H764" s="381"/>
      <c r="I764" s="381"/>
      <c r="J764" s="381"/>
      <c r="K764" s="381"/>
      <c r="L764" s="381"/>
      <c r="M764" s="381"/>
      <c r="N764" s="381"/>
      <c r="O764" s="381"/>
      <c r="P764" s="381"/>
      <c r="Q764" s="381"/>
      <c r="R764" s="381"/>
      <c r="S764" s="381"/>
      <c r="T764" s="381"/>
      <c r="U764" s="381"/>
      <c r="V764" s="381"/>
      <c r="W764" s="381"/>
      <c r="X764" s="381"/>
      <c r="Y764" s="381"/>
      <c r="Z764" s="381"/>
    </row>
    <row r="765">
      <c r="A765" s="381"/>
      <c r="B765" s="18"/>
      <c r="C765" s="359"/>
      <c r="D765" s="359"/>
      <c r="E765" s="381"/>
      <c r="F765" s="381"/>
      <c r="G765" s="381"/>
      <c r="H765" s="381"/>
      <c r="I765" s="381"/>
      <c r="J765" s="381"/>
      <c r="K765" s="381"/>
      <c r="L765" s="381"/>
      <c r="M765" s="381"/>
      <c r="N765" s="381"/>
      <c r="O765" s="381"/>
      <c r="P765" s="381"/>
      <c r="Q765" s="381"/>
      <c r="R765" s="381"/>
      <c r="S765" s="381"/>
      <c r="T765" s="381"/>
      <c r="U765" s="381"/>
      <c r="V765" s="381"/>
      <c r="W765" s="381"/>
      <c r="X765" s="381"/>
      <c r="Y765" s="381"/>
      <c r="Z765" s="381"/>
    </row>
    <row r="766">
      <c r="A766" s="381"/>
      <c r="B766" s="18"/>
      <c r="C766" s="359"/>
      <c r="D766" s="359"/>
      <c r="E766" s="381"/>
      <c r="F766" s="381"/>
      <c r="G766" s="381"/>
      <c r="H766" s="381"/>
      <c r="I766" s="381"/>
      <c r="J766" s="381"/>
      <c r="K766" s="381"/>
      <c r="L766" s="381"/>
      <c r="M766" s="381"/>
      <c r="N766" s="381"/>
      <c r="O766" s="381"/>
      <c r="P766" s="381"/>
      <c r="Q766" s="381"/>
      <c r="R766" s="381"/>
      <c r="S766" s="381"/>
      <c r="T766" s="381"/>
      <c r="U766" s="381"/>
      <c r="V766" s="381"/>
      <c r="W766" s="381"/>
      <c r="X766" s="381"/>
      <c r="Y766" s="381"/>
      <c r="Z766" s="381"/>
    </row>
    <row r="767">
      <c r="A767" s="381"/>
      <c r="B767" s="18"/>
      <c r="C767" s="359"/>
      <c r="D767" s="359"/>
      <c r="E767" s="381"/>
      <c r="F767" s="381"/>
      <c r="G767" s="381"/>
      <c r="H767" s="381"/>
      <c r="I767" s="381"/>
      <c r="J767" s="381"/>
      <c r="K767" s="381"/>
      <c r="L767" s="381"/>
      <c r="M767" s="381"/>
      <c r="N767" s="381"/>
      <c r="O767" s="381"/>
      <c r="P767" s="381"/>
      <c r="Q767" s="381"/>
      <c r="R767" s="381"/>
      <c r="S767" s="381"/>
      <c r="T767" s="381"/>
      <c r="U767" s="381"/>
      <c r="V767" s="381"/>
      <c r="W767" s="381"/>
      <c r="X767" s="381"/>
      <c r="Y767" s="381"/>
      <c r="Z767" s="381"/>
    </row>
    <row r="768">
      <c r="A768" s="381"/>
      <c r="B768" s="18"/>
      <c r="C768" s="359"/>
      <c r="D768" s="359"/>
      <c r="E768" s="381"/>
      <c r="F768" s="381"/>
      <c r="G768" s="381"/>
      <c r="H768" s="381"/>
      <c r="I768" s="381"/>
      <c r="J768" s="381"/>
      <c r="K768" s="381"/>
      <c r="L768" s="381"/>
      <c r="M768" s="381"/>
      <c r="N768" s="381"/>
      <c r="O768" s="381"/>
      <c r="P768" s="381"/>
      <c r="Q768" s="381"/>
      <c r="R768" s="381"/>
      <c r="S768" s="381"/>
      <c r="T768" s="381"/>
      <c r="U768" s="381"/>
      <c r="V768" s="381"/>
      <c r="W768" s="381"/>
      <c r="X768" s="381"/>
      <c r="Y768" s="381"/>
      <c r="Z768" s="381"/>
    </row>
    <row r="769">
      <c r="A769" s="381"/>
      <c r="B769" s="18"/>
      <c r="C769" s="359"/>
      <c r="D769" s="359"/>
      <c r="E769" s="381"/>
      <c r="F769" s="381"/>
      <c r="G769" s="381"/>
      <c r="H769" s="381"/>
      <c r="I769" s="381"/>
      <c r="J769" s="381"/>
      <c r="K769" s="381"/>
      <c r="L769" s="381"/>
      <c r="M769" s="381"/>
      <c r="N769" s="381"/>
      <c r="O769" s="381"/>
      <c r="P769" s="381"/>
      <c r="Q769" s="381"/>
      <c r="R769" s="381"/>
      <c r="S769" s="381"/>
      <c r="T769" s="381"/>
      <c r="U769" s="381"/>
      <c r="V769" s="381"/>
      <c r="W769" s="381"/>
      <c r="X769" s="381"/>
      <c r="Y769" s="381"/>
      <c r="Z769" s="381"/>
    </row>
    <row r="770">
      <c r="A770" s="381"/>
      <c r="B770" s="18"/>
      <c r="C770" s="359"/>
      <c r="D770" s="359"/>
      <c r="E770" s="381"/>
      <c r="F770" s="381"/>
      <c r="G770" s="381"/>
      <c r="H770" s="381"/>
      <c r="I770" s="381"/>
      <c r="J770" s="381"/>
      <c r="K770" s="381"/>
      <c r="L770" s="381"/>
      <c r="M770" s="381"/>
      <c r="N770" s="381"/>
      <c r="O770" s="381"/>
      <c r="P770" s="381"/>
      <c r="Q770" s="381"/>
      <c r="R770" s="381"/>
      <c r="S770" s="381"/>
      <c r="T770" s="381"/>
      <c r="U770" s="381"/>
      <c r="V770" s="381"/>
      <c r="W770" s="381"/>
      <c r="X770" s="381"/>
      <c r="Y770" s="381"/>
      <c r="Z770" s="381"/>
    </row>
    <row r="771">
      <c r="A771" s="381"/>
      <c r="B771" s="18"/>
      <c r="C771" s="359"/>
      <c r="D771" s="359"/>
      <c r="E771" s="381"/>
      <c r="F771" s="381"/>
      <c r="G771" s="381"/>
      <c r="H771" s="381"/>
      <c r="I771" s="381"/>
      <c r="J771" s="381"/>
      <c r="K771" s="381"/>
      <c r="L771" s="381"/>
      <c r="M771" s="381"/>
      <c r="N771" s="381"/>
      <c r="O771" s="381"/>
      <c r="P771" s="381"/>
      <c r="Q771" s="381"/>
      <c r="R771" s="381"/>
      <c r="S771" s="381"/>
      <c r="T771" s="381"/>
      <c r="U771" s="381"/>
      <c r="V771" s="381"/>
      <c r="W771" s="381"/>
      <c r="X771" s="381"/>
      <c r="Y771" s="381"/>
      <c r="Z771" s="381"/>
    </row>
    <row r="772">
      <c r="A772" s="381"/>
      <c r="B772" s="18"/>
      <c r="C772" s="359"/>
      <c r="D772" s="359"/>
      <c r="E772" s="381"/>
      <c r="F772" s="381"/>
      <c r="G772" s="381"/>
      <c r="H772" s="381"/>
      <c r="I772" s="381"/>
      <c r="J772" s="381"/>
      <c r="K772" s="381"/>
      <c r="L772" s="381"/>
      <c r="M772" s="381"/>
      <c r="N772" s="381"/>
      <c r="O772" s="381"/>
      <c r="P772" s="381"/>
      <c r="Q772" s="381"/>
      <c r="R772" s="381"/>
      <c r="S772" s="381"/>
      <c r="T772" s="381"/>
      <c r="U772" s="381"/>
      <c r="V772" s="381"/>
      <c r="W772" s="381"/>
      <c r="X772" s="381"/>
      <c r="Y772" s="381"/>
      <c r="Z772" s="381"/>
    </row>
    <row r="773">
      <c r="A773" s="381"/>
      <c r="B773" s="18"/>
      <c r="C773" s="359"/>
      <c r="D773" s="359"/>
      <c r="E773" s="381"/>
      <c r="F773" s="381"/>
      <c r="G773" s="381"/>
      <c r="H773" s="381"/>
      <c r="I773" s="381"/>
      <c r="J773" s="381"/>
      <c r="K773" s="381"/>
      <c r="L773" s="381"/>
      <c r="M773" s="381"/>
      <c r="N773" s="381"/>
      <c r="O773" s="381"/>
      <c r="P773" s="381"/>
      <c r="Q773" s="381"/>
      <c r="R773" s="381"/>
      <c r="S773" s="381"/>
      <c r="T773" s="381"/>
      <c r="U773" s="381"/>
      <c r="V773" s="381"/>
      <c r="W773" s="381"/>
      <c r="X773" s="381"/>
      <c r="Y773" s="381"/>
      <c r="Z773" s="381"/>
    </row>
    <row r="774">
      <c r="A774" s="381"/>
      <c r="B774" s="18"/>
      <c r="C774" s="359"/>
      <c r="D774" s="359"/>
      <c r="E774" s="381"/>
      <c r="F774" s="381"/>
      <c r="G774" s="381"/>
      <c r="H774" s="381"/>
      <c r="I774" s="381"/>
      <c r="J774" s="381"/>
      <c r="K774" s="381"/>
      <c r="L774" s="381"/>
      <c r="M774" s="381"/>
      <c r="N774" s="381"/>
      <c r="O774" s="381"/>
      <c r="P774" s="381"/>
      <c r="Q774" s="381"/>
      <c r="R774" s="381"/>
      <c r="S774" s="381"/>
      <c r="T774" s="381"/>
      <c r="U774" s="381"/>
      <c r="V774" s="381"/>
      <c r="W774" s="381"/>
      <c r="X774" s="381"/>
      <c r="Y774" s="381"/>
      <c r="Z774" s="381"/>
    </row>
    <row r="775">
      <c r="A775" s="381"/>
      <c r="B775" s="18"/>
      <c r="C775" s="359"/>
      <c r="D775" s="359"/>
      <c r="E775" s="381"/>
      <c r="F775" s="381"/>
      <c r="G775" s="381"/>
      <c r="H775" s="381"/>
      <c r="I775" s="381"/>
      <c r="J775" s="381"/>
      <c r="K775" s="381"/>
      <c r="L775" s="381"/>
      <c r="M775" s="381"/>
      <c r="N775" s="381"/>
      <c r="O775" s="381"/>
      <c r="P775" s="381"/>
      <c r="Q775" s="381"/>
      <c r="R775" s="381"/>
      <c r="S775" s="381"/>
      <c r="T775" s="381"/>
      <c r="U775" s="381"/>
      <c r="V775" s="381"/>
      <c r="W775" s="381"/>
      <c r="X775" s="381"/>
      <c r="Y775" s="381"/>
      <c r="Z775" s="381"/>
    </row>
    <row r="776">
      <c r="A776" s="381"/>
      <c r="B776" s="18"/>
      <c r="C776" s="359"/>
      <c r="D776" s="359"/>
      <c r="E776" s="381"/>
      <c r="F776" s="381"/>
      <c r="G776" s="381"/>
      <c r="H776" s="381"/>
      <c r="I776" s="381"/>
      <c r="J776" s="381"/>
      <c r="K776" s="381"/>
      <c r="L776" s="381"/>
      <c r="M776" s="381"/>
      <c r="N776" s="381"/>
      <c r="O776" s="381"/>
      <c r="P776" s="381"/>
      <c r="Q776" s="381"/>
      <c r="R776" s="381"/>
      <c r="S776" s="381"/>
      <c r="T776" s="381"/>
      <c r="U776" s="381"/>
      <c r="V776" s="381"/>
      <c r="W776" s="381"/>
      <c r="X776" s="381"/>
      <c r="Y776" s="381"/>
      <c r="Z776" s="381"/>
    </row>
    <row r="777">
      <c r="A777" s="381"/>
      <c r="B777" s="18"/>
      <c r="C777" s="359"/>
      <c r="D777" s="359"/>
      <c r="E777" s="381"/>
      <c r="F777" s="381"/>
      <c r="G777" s="381"/>
      <c r="H777" s="381"/>
      <c r="I777" s="381"/>
      <c r="J777" s="381"/>
      <c r="K777" s="381"/>
      <c r="L777" s="381"/>
      <c r="M777" s="381"/>
      <c r="N777" s="381"/>
      <c r="O777" s="381"/>
      <c r="P777" s="381"/>
      <c r="Q777" s="381"/>
      <c r="R777" s="381"/>
      <c r="S777" s="381"/>
      <c r="T777" s="381"/>
      <c r="U777" s="381"/>
      <c r="V777" s="381"/>
      <c r="W777" s="381"/>
      <c r="X777" s="381"/>
      <c r="Y777" s="381"/>
      <c r="Z777" s="381"/>
    </row>
    <row r="778">
      <c r="A778" s="381"/>
      <c r="B778" s="18"/>
      <c r="C778" s="359"/>
      <c r="D778" s="359"/>
      <c r="E778" s="381"/>
      <c r="F778" s="381"/>
      <c r="G778" s="381"/>
      <c r="H778" s="381"/>
      <c r="I778" s="381"/>
      <c r="J778" s="381"/>
      <c r="K778" s="381"/>
      <c r="L778" s="381"/>
      <c r="M778" s="381"/>
      <c r="N778" s="381"/>
      <c r="O778" s="381"/>
      <c r="P778" s="381"/>
      <c r="Q778" s="381"/>
      <c r="R778" s="381"/>
      <c r="S778" s="381"/>
      <c r="T778" s="381"/>
      <c r="U778" s="381"/>
      <c r="V778" s="381"/>
      <c r="W778" s="381"/>
      <c r="X778" s="381"/>
      <c r="Y778" s="381"/>
      <c r="Z778" s="381"/>
    </row>
    <row r="779">
      <c r="A779" s="381"/>
      <c r="B779" s="18"/>
      <c r="C779" s="359"/>
      <c r="D779" s="359"/>
      <c r="E779" s="381"/>
      <c r="F779" s="381"/>
      <c r="G779" s="381"/>
      <c r="H779" s="381"/>
      <c r="I779" s="381"/>
      <c r="J779" s="381"/>
      <c r="K779" s="381"/>
      <c r="L779" s="381"/>
      <c r="M779" s="381"/>
      <c r="N779" s="381"/>
      <c r="O779" s="381"/>
      <c r="P779" s="381"/>
      <c r="Q779" s="381"/>
      <c r="R779" s="381"/>
      <c r="S779" s="381"/>
      <c r="T779" s="381"/>
      <c r="U779" s="381"/>
      <c r="V779" s="381"/>
      <c r="W779" s="381"/>
      <c r="X779" s="381"/>
      <c r="Y779" s="381"/>
      <c r="Z779" s="381"/>
    </row>
    <row r="780">
      <c r="A780" s="381"/>
      <c r="B780" s="18"/>
      <c r="C780" s="359"/>
      <c r="D780" s="359"/>
      <c r="E780" s="381"/>
      <c r="F780" s="381"/>
      <c r="G780" s="381"/>
      <c r="H780" s="381"/>
      <c r="I780" s="381"/>
      <c r="J780" s="381"/>
      <c r="K780" s="381"/>
      <c r="L780" s="381"/>
      <c r="M780" s="381"/>
      <c r="N780" s="381"/>
      <c r="O780" s="381"/>
      <c r="P780" s="381"/>
      <c r="Q780" s="381"/>
      <c r="R780" s="381"/>
      <c r="S780" s="381"/>
      <c r="T780" s="381"/>
      <c r="U780" s="381"/>
      <c r="V780" s="381"/>
      <c r="W780" s="381"/>
      <c r="X780" s="381"/>
      <c r="Y780" s="381"/>
      <c r="Z780" s="381"/>
    </row>
    <row r="781">
      <c r="A781" s="381"/>
      <c r="B781" s="18"/>
      <c r="C781" s="359"/>
      <c r="D781" s="359"/>
      <c r="E781" s="381"/>
      <c r="F781" s="381"/>
      <c r="G781" s="381"/>
      <c r="H781" s="381"/>
      <c r="I781" s="381"/>
      <c r="J781" s="381"/>
      <c r="K781" s="381"/>
      <c r="L781" s="381"/>
      <c r="M781" s="381"/>
      <c r="N781" s="381"/>
      <c r="O781" s="381"/>
      <c r="P781" s="381"/>
      <c r="Q781" s="381"/>
      <c r="R781" s="381"/>
      <c r="S781" s="381"/>
      <c r="T781" s="381"/>
      <c r="U781" s="381"/>
      <c r="V781" s="381"/>
      <c r="W781" s="381"/>
      <c r="X781" s="381"/>
      <c r="Y781" s="381"/>
      <c r="Z781" s="381"/>
    </row>
    <row r="782">
      <c r="A782" s="381"/>
      <c r="B782" s="18"/>
      <c r="C782" s="359"/>
      <c r="D782" s="359"/>
      <c r="E782" s="381"/>
      <c r="F782" s="381"/>
      <c r="G782" s="381"/>
      <c r="H782" s="381"/>
      <c r="I782" s="381"/>
      <c r="J782" s="381"/>
      <c r="K782" s="381"/>
      <c r="L782" s="381"/>
      <c r="M782" s="381"/>
      <c r="N782" s="381"/>
      <c r="O782" s="381"/>
      <c r="P782" s="381"/>
      <c r="Q782" s="381"/>
      <c r="R782" s="381"/>
      <c r="S782" s="381"/>
      <c r="T782" s="381"/>
      <c r="U782" s="381"/>
      <c r="V782" s="381"/>
      <c r="W782" s="381"/>
      <c r="X782" s="381"/>
      <c r="Y782" s="381"/>
      <c r="Z782" s="381"/>
    </row>
    <row r="783">
      <c r="A783" s="381"/>
      <c r="B783" s="18"/>
      <c r="C783" s="359"/>
      <c r="D783" s="359"/>
      <c r="E783" s="381"/>
      <c r="F783" s="381"/>
      <c r="G783" s="381"/>
      <c r="H783" s="381"/>
      <c r="I783" s="381"/>
      <c r="J783" s="381"/>
      <c r="K783" s="381"/>
      <c r="L783" s="381"/>
      <c r="M783" s="381"/>
      <c r="N783" s="381"/>
      <c r="O783" s="381"/>
      <c r="P783" s="381"/>
      <c r="Q783" s="381"/>
      <c r="R783" s="381"/>
      <c r="S783" s="381"/>
      <c r="T783" s="381"/>
      <c r="U783" s="381"/>
      <c r="V783" s="381"/>
      <c r="W783" s="381"/>
      <c r="X783" s="381"/>
      <c r="Y783" s="381"/>
      <c r="Z783" s="381"/>
    </row>
    <row r="784">
      <c r="A784" s="381"/>
      <c r="B784" s="18"/>
      <c r="C784" s="359"/>
      <c r="D784" s="359"/>
      <c r="E784" s="381"/>
      <c r="F784" s="381"/>
      <c r="G784" s="381"/>
      <c r="H784" s="381"/>
      <c r="I784" s="381"/>
      <c r="J784" s="381"/>
      <c r="K784" s="381"/>
      <c r="L784" s="381"/>
      <c r="M784" s="381"/>
      <c r="N784" s="381"/>
      <c r="O784" s="381"/>
      <c r="P784" s="381"/>
      <c r="Q784" s="381"/>
      <c r="R784" s="381"/>
      <c r="S784" s="381"/>
      <c r="T784" s="381"/>
      <c r="U784" s="381"/>
      <c r="V784" s="381"/>
      <c r="W784" s="381"/>
      <c r="X784" s="381"/>
      <c r="Y784" s="381"/>
      <c r="Z784" s="381"/>
    </row>
    <row r="785">
      <c r="A785" s="381"/>
      <c r="B785" s="18"/>
      <c r="C785" s="359"/>
      <c r="D785" s="359"/>
      <c r="E785" s="381"/>
      <c r="F785" s="381"/>
      <c r="G785" s="381"/>
      <c r="H785" s="381"/>
      <c r="I785" s="381"/>
      <c r="J785" s="381"/>
      <c r="K785" s="381"/>
      <c r="L785" s="381"/>
      <c r="M785" s="381"/>
      <c r="N785" s="381"/>
      <c r="O785" s="381"/>
      <c r="P785" s="381"/>
      <c r="Q785" s="381"/>
      <c r="R785" s="381"/>
      <c r="S785" s="381"/>
      <c r="T785" s="381"/>
      <c r="U785" s="381"/>
      <c r="V785" s="381"/>
      <c r="W785" s="381"/>
      <c r="X785" s="381"/>
      <c r="Y785" s="381"/>
      <c r="Z785" s="381"/>
    </row>
    <row r="786">
      <c r="A786" s="381"/>
      <c r="B786" s="18"/>
      <c r="C786" s="359"/>
      <c r="D786" s="359"/>
      <c r="E786" s="381"/>
      <c r="F786" s="381"/>
      <c r="G786" s="381"/>
      <c r="H786" s="381"/>
      <c r="I786" s="381"/>
      <c r="J786" s="381"/>
      <c r="K786" s="381"/>
      <c r="L786" s="381"/>
      <c r="M786" s="381"/>
      <c r="N786" s="381"/>
      <c r="O786" s="381"/>
      <c r="P786" s="381"/>
      <c r="Q786" s="381"/>
      <c r="R786" s="381"/>
      <c r="S786" s="381"/>
      <c r="T786" s="381"/>
      <c r="U786" s="381"/>
      <c r="V786" s="381"/>
      <c r="W786" s="381"/>
      <c r="X786" s="381"/>
      <c r="Y786" s="381"/>
      <c r="Z786" s="381"/>
    </row>
    <row r="787">
      <c r="A787" s="381"/>
      <c r="B787" s="18"/>
      <c r="C787" s="359"/>
      <c r="D787" s="359"/>
      <c r="E787" s="381"/>
      <c r="F787" s="381"/>
      <c r="G787" s="381"/>
      <c r="H787" s="381"/>
      <c r="I787" s="381"/>
      <c r="J787" s="381"/>
      <c r="K787" s="381"/>
      <c r="L787" s="381"/>
      <c r="M787" s="381"/>
      <c r="N787" s="381"/>
      <c r="O787" s="381"/>
      <c r="P787" s="381"/>
      <c r="Q787" s="381"/>
      <c r="R787" s="381"/>
      <c r="S787" s="381"/>
      <c r="T787" s="381"/>
      <c r="U787" s="381"/>
      <c r="V787" s="381"/>
      <c r="W787" s="381"/>
      <c r="X787" s="381"/>
      <c r="Y787" s="381"/>
      <c r="Z787" s="381"/>
    </row>
    <row r="788">
      <c r="A788" s="381"/>
      <c r="B788" s="18"/>
      <c r="C788" s="359"/>
      <c r="D788" s="359"/>
      <c r="E788" s="381"/>
      <c r="F788" s="381"/>
      <c r="G788" s="381"/>
      <c r="H788" s="381"/>
      <c r="I788" s="381"/>
      <c r="J788" s="381"/>
      <c r="K788" s="381"/>
      <c r="L788" s="381"/>
      <c r="M788" s="381"/>
      <c r="N788" s="381"/>
      <c r="O788" s="381"/>
      <c r="P788" s="381"/>
      <c r="Q788" s="381"/>
      <c r="R788" s="381"/>
      <c r="S788" s="381"/>
      <c r="T788" s="381"/>
      <c r="U788" s="381"/>
      <c r="V788" s="381"/>
      <c r="W788" s="381"/>
      <c r="X788" s="381"/>
      <c r="Y788" s="381"/>
      <c r="Z788" s="381"/>
    </row>
    <row r="789">
      <c r="A789" s="381"/>
      <c r="B789" s="18"/>
      <c r="C789" s="359"/>
      <c r="D789" s="359"/>
      <c r="E789" s="381"/>
      <c r="F789" s="381"/>
      <c r="G789" s="381"/>
      <c r="H789" s="381"/>
      <c r="I789" s="381"/>
      <c r="J789" s="381"/>
      <c r="K789" s="381"/>
      <c r="L789" s="381"/>
      <c r="M789" s="381"/>
      <c r="N789" s="381"/>
      <c r="O789" s="381"/>
      <c r="P789" s="381"/>
      <c r="Q789" s="381"/>
      <c r="R789" s="381"/>
      <c r="S789" s="381"/>
      <c r="T789" s="381"/>
      <c r="U789" s="381"/>
      <c r="V789" s="381"/>
      <c r="W789" s="381"/>
      <c r="X789" s="381"/>
      <c r="Y789" s="381"/>
      <c r="Z789" s="381"/>
    </row>
    <row r="790">
      <c r="A790" s="381"/>
      <c r="B790" s="18"/>
      <c r="C790" s="359"/>
      <c r="D790" s="359"/>
      <c r="E790" s="381"/>
      <c r="F790" s="381"/>
      <c r="G790" s="381"/>
      <c r="H790" s="381"/>
      <c r="I790" s="381"/>
      <c r="J790" s="381"/>
      <c r="K790" s="381"/>
      <c r="L790" s="381"/>
      <c r="M790" s="381"/>
      <c r="N790" s="381"/>
      <c r="O790" s="381"/>
      <c r="P790" s="381"/>
      <c r="Q790" s="381"/>
      <c r="R790" s="381"/>
      <c r="S790" s="381"/>
      <c r="T790" s="381"/>
      <c r="U790" s="381"/>
      <c r="V790" s="381"/>
      <c r="W790" s="381"/>
      <c r="X790" s="381"/>
      <c r="Y790" s="381"/>
      <c r="Z790" s="381"/>
    </row>
    <row r="791">
      <c r="A791" s="381"/>
      <c r="B791" s="18"/>
      <c r="C791" s="359"/>
      <c r="D791" s="359"/>
      <c r="E791" s="381"/>
      <c r="F791" s="381"/>
      <c r="G791" s="381"/>
      <c r="H791" s="381"/>
      <c r="I791" s="381"/>
      <c r="J791" s="381"/>
      <c r="K791" s="381"/>
      <c r="L791" s="381"/>
      <c r="M791" s="381"/>
      <c r="N791" s="381"/>
      <c r="O791" s="381"/>
      <c r="P791" s="381"/>
      <c r="Q791" s="381"/>
      <c r="R791" s="381"/>
      <c r="S791" s="381"/>
      <c r="T791" s="381"/>
      <c r="U791" s="381"/>
      <c r="V791" s="381"/>
      <c r="W791" s="381"/>
      <c r="X791" s="381"/>
      <c r="Y791" s="381"/>
      <c r="Z791" s="381"/>
    </row>
    <row r="792">
      <c r="A792" s="381"/>
      <c r="B792" s="18"/>
      <c r="C792" s="359"/>
      <c r="D792" s="359"/>
      <c r="E792" s="381"/>
      <c r="F792" s="381"/>
      <c r="G792" s="381"/>
      <c r="H792" s="381"/>
      <c r="I792" s="381"/>
      <c r="J792" s="381"/>
      <c r="K792" s="381"/>
      <c r="L792" s="381"/>
      <c r="M792" s="381"/>
      <c r="N792" s="381"/>
      <c r="O792" s="381"/>
      <c r="P792" s="381"/>
      <c r="Q792" s="381"/>
      <c r="R792" s="381"/>
      <c r="S792" s="381"/>
      <c r="T792" s="381"/>
      <c r="U792" s="381"/>
      <c r="V792" s="381"/>
      <c r="W792" s="381"/>
      <c r="X792" s="381"/>
      <c r="Y792" s="381"/>
      <c r="Z792" s="381"/>
    </row>
    <row r="793">
      <c r="A793" s="381"/>
      <c r="B793" s="18"/>
      <c r="C793" s="359"/>
      <c r="D793" s="359"/>
      <c r="E793" s="381"/>
      <c r="F793" s="381"/>
      <c r="G793" s="381"/>
      <c r="H793" s="381"/>
      <c r="I793" s="381"/>
      <c r="J793" s="381"/>
      <c r="K793" s="381"/>
      <c r="L793" s="381"/>
      <c r="M793" s="381"/>
      <c r="N793" s="381"/>
      <c r="O793" s="381"/>
      <c r="P793" s="381"/>
      <c r="Q793" s="381"/>
      <c r="R793" s="381"/>
      <c r="S793" s="381"/>
      <c r="T793" s="381"/>
      <c r="U793" s="381"/>
      <c r="V793" s="381"/>
      <c r="W793" s="381"/>
      <c r="X793" s="381"/>
      <c r="Y793" s="381"/>
      <c r="Z793" s="381"/>
    </row>
    <row r="794">
      <c r="A794" s="381"/>
      <c r="B794" s="18"/>
      <c r="C794" s="359"/>
      <c r="D794" s="359"/>
      <c r="E794" s="381"/>
      <c r="F794" s="381"/>
      <c r="G794" s="381"/>
      <c r="H794" s="381"/>
      <c r="I794" s="381"/>
      <c r="J794" s="381"/>
      <c r="K794" s="381"/>
      <c r="L794" s="381"/>
      <c r="M794" s="381"/>
      <c r="N794" s="381"/>
      <c r="O794" s="381"/>
      <c r="P794" s="381"/>
      <c r="Q794" s="381"/>
      <c r="R794" s="381"/>
      <c r="S794" s="381"/>
      <c r="T794" s="381"/>
      <c r="U794" s="381"/>
      <c r="V794" s="381"/>
      <c r="W794" s="381"/>
      <c r="X794" s="381"/>
      <c r="Y794" s="381"/>
      <c r="Z794" s="381"/>
    </row>
    <row r="795">
      <c r="A795" s="381"/>
      <c r="B795" s="18"/>
      <c r="C795" s="359"/>
      <c r="D795" s="359"/>
      <c r="E795" s="381"/>
      <c r="F795" s="381"/>
      <c r="G795" s="381"/>
      <c r="H795" s="381"/>
      <c r="I795" s="381"/>
      <c r="J795" s="381"/>
      <c r="K795" s="381"/>
      <c r="L795" s="381"/>
      <c r="M795" s="381"/>
      <c r="N795" s="381"/>
      <c r="O795" s="381"/>
      <c r="P795" s="381"/>
      <c r="Q795" s="381"/>
      <c r="R795" s="381"/>
      <c r="S795" s="381"/>
      <c r="T795" s="381"/>
      <c r="U795" s="381"/>
      <c r="V795" s="381"/>
      <c r="W795" s="381"/>
      <c r="X795" s="381"/>
      <c r="Y795" s="381"/>
      <c r="Z795" s="381"/>
    </row>
    <row r="796">
      <c r="A796" s="381"/>
      <c r="B796" s="18"/>
      <c r="C796" s="359"/>
      <c r="D796" s="359"/>
      <c r="E796" s="381"/>
      <c r="F796" s="381"/>
      <c r="G796" s="381"/>
      <c r="H796" s="381"/>
      <c r="I796" s="381"/>
      <c r="J796" s="381"/>
      <c r="K796" s="381"/>
      <c r="L796" s="381"/>
      <c r="M796" s="381"/>
      <c r="N796" s="381"/>
      <c r="O796" s="381"/>
      <c r="P796" s="381"/>
      <c r="Q796" s="381"/>
      <c r="R796" s="381"/>
      <c r="S796" s="381"/>
      <c r="T796" s="381"/>
      <c r="U796" s="381"/>
      <c r="V796" s="381"/>
      <c r="W796" s="381"/>
      <c r="X796" s="381"/>
      <c r="Y796" s="381"/>
      <c r="Z796" s="381"/>
    </row>
    <row r="797">
      <c r="A797" s="381"/>
      <c r="B797" s="18"/>
      <c r="C797" s="359"/>
      <c r="D797" s="359"/>
      <c r="E797" s="381"/>
      <c r="F797" s="381"/>
      <c r="G797" s="381"/>
      <c r="H797" s="381"/>
      <c r="I797" s="381"/>
      <c r="J797" s="381"/>
      <c r="K797" s="381"/>
      <c r="L797" s="381"/>
      <c r="M797" s="381"/>
      <c r="N797" s="381"/>
      <c r="O797" s="381"/>
      <c r="P797" s="381"/>
      <c r="Q797" s="381"/>
      <c r="R797" s="381"/>
      <c r="S797" s="381"/>
      <c r="T797" s="381"/>
      <c r="U797" s="381"/>
      <c r="V797" s="381"/>
      <c r="W797" s="381"/>
      <c r="X797" s="381"/>
      <c r="Y797" s="381"/>
      <c r="Z797" s="381"/>
    </row>
    <row r="798">
      <c r="A798" s="381"/>
      <c r="B798" s="18"/>
      <c r="C798" s="359"/>
      <c r="D798" s="359"/>
      <c r="E798" s="381"/>
      <c r="F798" s="381"/>
      <c r="G798" s="381"/>
      <c r="H798" s="381"/>
      <c r="I798" s="381"/>
      <c r="J798" s="381"/>
      <c r="K798" s="381"/>
      <c r="L798" s="381"/>
      <c r="M798" s="381"/>
      <c r="N798" s="381"/>
      <c r="O798" s="381"/>
      <c r="P798" s="381"/>
      <c r="Q798" s="381"/>
      <c r="R798" s="381"/>
      <c r="S798" s="381"/>
      <c r="T798" s="381"/>
      <c r="U798" s="381"/>
      <c r="V798" s="381"/>
      <c r="W798" s="381"/>
      <c r="X798" s="381"/>
      <c r="Y798" s="381"/>
      <c r="Z798" s="381"/>
    </row>
    <row r="799">
      <c r="A799" s="381"/>
      <c r="B799" s="18"/>
      <c r="C799" s="359"/>
      <c r="D799" s="359"/>
      <c r="E799" s="381"/>
      <c r="F799" s="381"/>
      <c r="G799" s="381"/>
      <c r="H799" s="381"/>
      <c r="I799" s="381"/>
      <c r="J799" s="381"/>
      <c r="K799" s="381"/>
      <c r="L799" s="381"/>
      <c r="M799" s="381"/>
      <c r="N799" s="381"/>
      <c r="O799" s="381"/>
      <c r="P799" s="381"/>
      <c r="Q799" s="381"/>
      <c r="R799" s="381"/>
      <c r="S799" s="381"/>
      <c r="T799" s="381"/>
      <c r="U799" s="381"/>
      <c r="V799" s="381"/>
      <c r="W799" s="381"/>
      <c r="X799" s="381"/>
      <c r="Y799" s="381"/>
      <c r="Z799" s="381"/>
    </row>
    <row r="800">
      <c r="A800" s="381"/>
      <c r="B800" s="18"/>
      <c r="C800" s="359"/>
      <c r="D800" s="359"/>
      <c r="E800" s="381"/>
      <c r="F800" s="381"/>
      <c r="G800" s="381"/>
      <c r="H800" s="381"/>
      <c r="I800" s="381"/>
      <c r="J800" s="381"/>
      <c r="K800" s="381"/>
      <c r="L800" s="381"/>
      <c r="M800" s="381"/>
      <c r="N800" s="381"/>
      <c r="O800" s="381"/>
      <c r="P800" s="381"/>
      <c r="Q800" s="381"/>
      <c r="R800" s="381"/>
      <c r="S800" s="381"/>
      <c r="T800" s="381"/>
      <c r="U800" s="381"/>
      <c r="V800" s="381"/>
      <c r="W800" s="381"/>
      <c r="X800" s="381"/>
      <c r="Y800" s="381"/>
      <c r="Z800" s="381"/>
    </row>
    <row r="801">
      <c r="A801" s="381"/>
      <c r="B801" s="18"/>
      <c r="C801" s="359"/>
      <c r="D801" s="359"/>
      <c r="E801" s="381"/>
      <c r="F801" s="381"/>
      <c r="G801" s="381"/>
      <c r="H801" s="381"/>
      <c r="I801" s="381"/>
      <c r="J801" s="381"/>
      <c r="K801" s="381"/>
      <c r="L801" s="381"/>
      <c r="M801" s="381"/>
      <c r="N801" s="381"/>
      <c r="O801" s="381"/>
      <c r="P801" s="381"/>
      <c r="Q801" s="381"/>
      <c r="R801" s="381"/>
      <c r="S801" s="381"/>
      <c r="T801" s="381"/>
      <c r="U801" s="381"/>
      <c r="V801" s="381"/>
      <c r="W801" s="381"/>
      <c r="X801" s="381"/>
      <c r="Y801" s="381"/>
      <c r="Z801" s="381"/>
    </row>
    <row r="802">
      <c r="A802" s="381"/>
      <c r="B802" s="18"/>
      <c r="C802" s="359"/>
      <c r="D802" s="359"/>
      <c r="E802" s="381"/>
      <c r="F802" s="381"/>
      <c r="G802" s="381"/>
      <c r="H802" s="381"/>
      <c r="I802" s="381"/>
      <c r="J802" s="381"/>
      <c r="K802" s="381"/>
      <c r="L802" s="381"/>
      <c r="M802" s="381"/>
      <c r="N802" s="381"/>
      <c r="O802" s="381"/>
      <c r="P802" s="381"/>
      <c r="Q802" s="381"/>
      <c r="R802" s="381"/>
      <c r="S802" s="381"/>
      <c r="T802" s="381"/>
      <c r="U802" s="381"/>
      <c r="V802" s="381"/>
      <c r="W802" s="381"/>
      <c r="X802" s="381"/>
      <c r="Y802" s="381"/>
      <c r="Z802" s="381"/>
    </row>
    <row r="803">
      <c r="A803" s="381"/>
      <c r="B803" s="18"/>
      <c r="C803" s="359"/>
      <c r="D803" s="359"/>
      <c r="E803" s="381"/>
      <c r="F803" s="381"/>
      <c r="G803" s="381"/>
      <c r="H803" s="381"/>
      <c r="I803" s="381"/>
      <c r="J803" s="381"/>
      <c r="K803" s="381"/>
      <c r="L803" s="381"/>
      <c r="M803" s="381"/>
      <c r="N803" s="381"/>
      <c r="O803" s="381"/>
      <c r="P803" s="381"/>
      <c r="Q803" s="381"/>
      <c r="R803" s="381"/>
      <c r="S803" s="381"/>
      <c r="T803" s="381"/>
      <c r="U803" s="381"/>
      <c r="V803" s="381"/>
      <c r="W803" s="381"/>
      <c r="X803" s="381"/>
      <c r="Y803" s="381"/>
      <c r="Z803" s="381"/>
    </row>
    <row r="804">
      <c r="A804" s="381"/>
      <c r="B804" s="18"/>
      <c r="C804" s="359"/>
      <c r="D804" s="359"/>
      <c r="E804" s="381"/>
      <c r="F804" s="381"/>
      <c r="G804" s="381"/>
      <c r="H804" s="381"/>
      <c r="I804" s="381"/>
      <c r="J804" s="381"/>
      <c r="K804" s="381"/>
      <c r="L804" s="381"/>
      <c r="M804" s="381"/>
      <c r="N804" s="381"/>
      <c r="O804" s="381"/>
      <c r="P804" s="381"/>
      <c r="Q804" s="381"/>
      <c r="R804" s="381"/>
      <c r="S804" s="381"/>
      <c r="T804" s="381"/>
      <c r="U804" s="381"/>
      <c r="V804" s="381"/>
      <c r="W804" s="381"/>
      <c r="X804" s="381"/>
      <c r="Y804" s="381"/>
      <c r="Z804" s="381"/>
    </row>
    <row r="805">
      <c r="A805" s="381"/>
      <c r="B805" s="18"/>
      <c r="C805" s="359"/>
      <c r="D805" s="359"/>
      <c r="E805" s="381"/>
      <c r="F805" s="381"/>
      <c r="G805" s="381"/>
      <c r="H805" s="381"/>
      <c r="I805" s="381"/>
      <c r="J805" s="381"/>
      <c r="K805" s="381"/>
      <c r="L805" s="381"/>
      <c r="M805" s="381"/>
      <c r="N805" s="381"/>
      <c r="O805" s="381"/>
      <c r="P805" s="381"/>
      <c r="Q805" s="381"/>
      <c r="R805" s="381"/>
      <c r="S805" s="381"/>
      <c r="T805" s="381"/>
      <c r="U805" s="381"/>
      <c r="V805" s="381"/>
      <c r="W805" s="381"/>
      <c r="X805" s="381"/>
      <c r="Y805" s="381"/>
      <c r="Z805" s="381"/>
    </row>
    <row r="806">
      <c r="A806" s="381"/>
      <c r="B806" s="18"/>
      <c r="C806" s="359"/>
      <c r="D806" s="359"/>
      <c r="E806" s="381"/>
      <c r="F806" s="381"/>
      <c r="G806" s="381"/>
      <c r="H806" s="381"/>
      <c r="I806" s="381"/>
      <c r="J806" s="381"/>
      <c r="K806" s="381"/>
      <c r="L806" s="381"/>
      <c r="M806" s="381"/>
      <c r="N806" s="381"/>
      <c r="O806" s="381"/>
      <c r="P806" s="381"/>
      <c r="Q806" s="381"/>
      <c r="R806" s="381"/>
      <c r="S806" s="381"/>
      <c r="T806" s="381"/>
      <c r="U806" s="381"/>
      <c r="V806" s="381"/>
      <c r="W806" s="381"/>
      <c r="X806" s="381"/>
      <c r="Y806" s="381"/>
      <c r="Z806" s="381"/>
    </row>
    <row r="807">
      <c r="A807" s="381"/>
      <c r="B807" s="18"/>
      <c r="C807" s="359"/>
      <c r="D807" s="359"/>
      <c r="E807" s="381"/>
      <c r="F807" s="381"/>
      <c r="G807" s="381"/>
      <c r="H807" s="381"/>
      <c r="I807" s="381"/>
      <c r="J807" s="381"/>
      <c r="K807" s="381"/>
      <c r="L807" s="381"/>
      <c r="M807" s="381"/>
      <c r="N807" s="381"/>
      <c r="O807" s="381"/>
      <c r="P807" s="381"/>
      <c r="Q807" s="381"/>
      <c r="R807" s="381"/>
      <c r="S807" s="381"/>
      <c r="T807" s="381"/>
      <c r="U807" s="381"/>
      <c r="V807" s="381"/>
      <c r="W807" s="381"/>
      <c r="X807" s="381"/>
      <c r="Y807" s="381"/>
      <c r="Z807" s="381"/>
    </row>
    <row r="808">
      <c r="A808" s="381"/>
      <c r="B808" s="18"/>
      <c r="C808" s="359"/>
      <c r="D808" s="359"/>
      <c r="E808" s="381"/>
      <c r="F808" s="381"/>
      <c r="G808" s="381"/>
      <c r="H808" s="381"/>
      <c r="I808" s="381"/>
      <c r="J808" s="381"/>
      <c r="K808" s="381"/>
      <c r="L808" s="381"/>
      <c r="M808" s="381"/>
      <c r="N808" s="381"/>
      <c r="O808" s="381"/>
      <c r="P808" s="381"/>
      <c r="Q808" s="381"/>
      <c r="R808" s="381"/>
      <c r="S808" s="381"/>
      <c r="T808" s="381"/>
      <c r="U808" s="381"/>
      <c r="V808" s="381"/>
      <c r="W808" s="381"/>
      <c r="X808" s="381"/>
      <c r="Y808" s="381"/>
      <c r="Z808" s="381"/>
    </row>
    <row r="809">
      <c r="A809" s="381"/>
      <c r="B809" s="18"/>
      <c r="C809" s="359"/>
      <c r="D809" s="359"/>
      <c r="E809" s="381"/>
      <c r="F809" s="381"/>
      <c r="G809" s="381"/>
      <c r="H809" s="381"/>
      <c r="I809" s="381"/>
      <c r="J809" s="381"/>
      <c r="K809" s="381"/>
      <c r="L809" s="381"/>
      <c r="M809" s="381"/>
      <c r="N809" s="381"/>
      <c r="O809" s="381"/>
      <c r="P809" s="381"/>
      <c r="Q809" s="381"/>
      <c r="R809" s="381"/>
      <c r="S809" s="381"/>
      <c r="T809" s="381"/>
      <c r="U809" s="381"/>
      <c r="V809" s="381"/>
      <c r="W809" s="381"/>
      <c r="X809" s="381"/>
      <c r="Y809" s="381"/>
      <c r="Z809" s="381"/>
    </row>
    <row r="810">
      <c r="A810" s="381"/>
      <c r="B810" s="18"/>
      <c r="C810" s="359"/>
      <c r="D810" s="359"/>
      <c r="E810" s="381"/>
      <c r="F810" s="381"/>
      <c r="G810" s="381"/>
      <c r="H810" s="381"/>
      <c r="I810" s="381"/>
      <c r="J810" s="381"/>
      <c r="K810" s="381"/>
      <c r="L810" s="381"/>
      <c r="M810" s="381"/>
      <c r="N810" s="381"/>
      <c r="O810" s="381"/>
      <c r="P810" s="381"/>
      <c r="Q810" s="381"/>
      <c r="R810" s="381"/>
      <c r="S810" s="381"/>
      <c r="T810" s="381"/>
      <c r="U810" s="381"/>
      <c r="V810" s="381"/>
      <c r="W810" s="381"/>
      <c r="X810" s="381"/>
      <c r="Y810" s="381"/>
      <c r="Z810" s="381"/>
    </row>
    <row r="811">
      <c r="A811" s="381"/>
      <c r="B811" s="18"/>
      <c r="C811" s="359"/>
      <c r="D811" s="359"/>
      <c r="E811" s="381"/>
      <c r="F811" s="381"/>
      <c r="G811" s="381"/>
      <c r="H811" s="381"/>
      <c r="I811" s="381"/>
      <c r="J811" s="381"/>
      <c r="K811" s="381"/>
      <c r="L811" s="381"/>
      <c r="M811" s="381"/>
      <c r="N811" s="381"/>
      <c r="O811" s="381"/>
      <c r="P811" s="381"/>
      <c r="Q811" s="381"/>
      <c r="R811" s="381"/>
      <c r="S811" s="381"/>
      <c r="T811" s="381"/>
      <c r="U811" s="381"/>
      <c r="V811" s="381"/>
      <c r="W811" s="381"/>
      <c r="X811" s="381"/>
      <c r="Y811" s="381"/>
      <c r="Z811" s="381"/>
    </row>
    <row r="812">
      <c r="A812" s="381"/>
      <c r="B812" s="18"/>
      <c r="C812" s="359"/>
      <c r="D812" s="359"/>
      <c r="E812" s="381"/>
      <c r="F812" s="381"/>
      <c r="G812" s="381"/>
      <c r="H812" s="381"/>
      <c r="I812" s="381"/>
      <c r="J812" s="381"/>
      <c r="K812" s="381"/>
      <c r="L812" s="381"/>
      <c r="M812" s="381"/>
      <c r="N812" s="381"/>
      <c r="O812" s="381"/>
      <c r="P812" s="381"/>
      <c r="Q812" s="381"/>
      <c r="R812" s="381"/>
      <c r="S812" s="381"/>
      <c r="T812" s="381"/>
      <c r="U812" s="381"/>
      <c r="V812" s="381"/>
      <c r="W812" s="381"/>
      <c r="X812" s="381"/>
      <c r="Y812" s="381"/>
      <c r="Z812" s="381"/>
    </row>
    <row r="813">
      <c r="A813" s="381"/>
      <c r="B813" s="18"/>
      <c r="C813" s="359"/>
      <c r="D813" s="359"/>
      <c r="E813" s="381"/>
      <c r="F813" s="381"/>
      <c r="G813" s="381"/>
      <c r="H813" s="381"/>
      <c r="I813" s="381"/>
      <c r="J813" s="381"/>
      <c r="K813" s="381"/>
      <c r="L813" s="381"/>
      <c r="M813" s="381"/>
      <c r="N813" s="381"/>
      <c r="O813" s="381"/>
      <c r="P813" s="381"/>
      <c r="Q813" s="381"/>
      <c r="R813" s="381"/>
      <c r="S813" s="381"/>
      <c r="T813" s="381"/>
      <c r="U813" s="381"/>
      <c r="V813" s="381"/>
      <c r="W813" s="381"/>
      <c r="X813" s="381"/>
      <c r="Y813" s="381"/>
      <c r="Z813" s="381"/>
    </row>
    <row r="814">
      <c r="A814" s="381"/>
      <c r="B814" s="18"/>
      <c r="C814" s="359"/>
      <c r="D814" s="359"/>
      <c r="E814" s="381"/>
      <c r="F814" s="381"/>
      <c r="G814" s="381"/>
      <c r="H814" s="381"/>
      <c r="I814" s="381"/>
      <c r="J814" s="381"/>
      <c r="K814" s="381"/>
      <c r="L814" s="381"/>
      <c r="M814" s="381"/>
      <c r="N814" s="381"/>
      <c r="O814" s="381"/>
      <c r="P814" s="381"/>
      <c r="Q814" s="381"/>
      <c r="R814" s="381"/>
      <c r="S814" s="381"/>
      <c r="T814" s="381"/>
      <c r="U814" s="381"/>
      <c r="V814" s="381"/>
      <c r="W814" s="381"/>
      <c r="X814" s="381"/>
      <c r="Y814" s="381"/>
      <c r="Z814" s="381"/>
    </row>
    <row r="815">
      <c r="A815" s="381"/>
      <c r="B815" s="18"/>
      <c r="C815" s="359"/>
      <c r="D815" s="359"/>
      <c r="E815" s="381"/>
      <c r="F815" s="381"/>
      <c r="G815" s="381"/>
      <c r="H815" s="381"/>
      <c r="I815" s="381"/>
      <c r="J815" s="381"/>
      <c r="K815" s="381"/>
      <c r="L815" s="381"/>
      <c r="M815" s="381"/>
      <c r="N815" s="381"/>
      <c r="O815" s="381"/>
      <c r="P815" s="381"/>
      <c r="Q815" s="381"/>
      <c r="R815" s="381"/>
      <c r="S815" s="381"/>
      <c r="T815" s="381"/>
      <c r="U815" s="381"/>
      <c r="V815" s="381"/>
      <c r="W815" s="381"/>
      <c r="X815" s="381"/>
      <c r="Y815" s="381"/>
      <c r="Z815" s="381"/>
    </row>
    <row r="816">
      <c r="A816" s="381"/>
      <c r="B816" s="18"/>
      <c r="C816" s="359"/>
      <c r="D816" s="359"/>
      <c r="E816" s="381"/>
      <c r="F816" s="381"/>
      <c r="G816" s="381"/>
      <c r="H816" s="381"/>
      <c r="I816" s="381"/>
      <c r="J816" s="381"/>
      <c r="K816" s="381"/>
      <c r="L816" s="381"/>
      <c r="M816" s="381"/>
      <c r="N816" s="381"/>
      <c r="O816" s="381"/>
      <c r="P816" s="381"/>
      <c r="Q816" s="381"/>
      <c r="R816" s="381"/>
      <c r="S816" s="381"/>
      <c r="T816" s="381"/>
      <c r="U816" s="381"/>
      <c r="V816" s="381"/>
      <c r="W816" s="381"/>
      <c r="X816" s="381"/>
      <c r="Y816" s="381"/>
      <c r="Z816" s="381"/>
    </row>
    <row r="817">
      <c r="A817" s="381"/>
      <c r="B817" s="18"/>
      <c r="C817" s="359"/>
      <c r="D817" s="359"/>
      <c r="E817" s="381"/>
      <c r="F817" s="381"/>
      <c r="G817" s="381"/>
      <c r="H817" s="381"/>
      <c r="I817" s="381"/>
      <c r="J817" s="381"/>
      <c r="K817" s="381"/>
      <c r="L817" s="381"/>
      <c r="M817" s="381"/>
      <c r="N817" s="381"/>
      <c r="O817" s="381"/>
      <c r="P817" s="381"/>
      <c r="Q817" s="381"/>
      <c r="R817" s="381"/>
      <c r="S817" s="381"/>
      <c r="T817" s="381"/>
      <c r="U817" s="381"/>
      <c r="V817" s="381"/>
      <c r="W817" s="381"/>
      <c r="X817" s="381"/>
      <c r="Y817" s="381"/>
      <c r="Z817" s="381"/>
    </row>
    <row r="818">
      <c r="A818" s="381"/>
      <c r="B818" s="18"/>
      <c r="C818" s="359"/>
      <c r="D818" s="359"/>
      <c r="E818" s="381"/>
      <c r="F818" s="381"/>
      <c r="G818" s="381"/>
      <c r="H818" s="381"/>
      <c r="I818" s="381"/>
      <c r="J818" s="381"/>
      <c r="K818" s="381"/>
      <c r="L818" s="381"/>
      <c r="M818" s="381"/>
      <c r="N818" s="381"/>
      <c r="O818" s="381"/>
      <c r="P818" s="381"/>
      <c r="Q818" s="381"/>
      <c r="R818" s="381"/>
      <c r="S818" s="381"/>
      <c r="T818" s="381"/>
      <c r="U818" s="381"/>
      <c r="V818" s="381"/>
      <c r="W818" s="381"/>
      <c r="X818" s="381"/>
      <c r="Y818" s="381"/>
      <c r="Z818" s="381"/>
    </row>
    <row r="819">
      <c r="A819" s="381"/>
      <c r="B819" s="18"/>
      <c r="C819" s="359"/>
      <c r="D819" s="359"/>
      <c r="E819" s="381"/>
      <c r="F819" s="381"/>
      <c r="G819" s="381"/>
      <c r="H819" s="381"/>
      <c r="I819" s="381"/>
      <c r="J819" s="381"/>
      <c r="K819" s="381"/>
      <c r="L819" s="381"/>
      <c r="M819" s="381"/>
      <c r="N819" s="381"/>
      <c r="O819" s="381"/>
      <c r="P819" s="381"/>
      <c r="Q819" s="381"/>
      <c r="R819" s="381"/>
      <c r="S819" s="381"/>
      <c r="T819" s="381"/>
      <c r="U819" s="381"/>
      <c r="V819" s="381"/>
      <c r="W819" s="381"/>
      <c r="X819" s="381"/>
      <c r="Y819" s="381"/>
      <c r="Z819" s="381"/>
    </row>
    <row r="820">
      <c r="A820" s="381"/>
      <c r="B820" s="18"/>
      <c r="C820" s="359"/>
      <c r="D820" s="359"/>
      <c r="E820" s="381"/>
      <c r="F820" s="381"/>
      <c r="G820" s="381"/>
      <c r="H820" s="381"/>
      <c r="I820" s="381"/>
      <c r="J820" s="381"/>
      <c r="K820" s="381"/>
      <c r="L820" s="381"/>
      <c r="M820" s="381"/>
      <c r="N820" s="381"/>
      <c r="O820" s="381"/>
      <c r="P820" s="381"/>
      <c r="Q820" s="381"/>
      <c r="R820" s="381"/>
      <c r="S820" s="381"/>
      <c r="T820" s="381"/>
      <c r="U820" s="381"/>
      <c r="V820" s="381"/>
      <c r="W820" s="381"/>
      <c r="X820" s="381"/>
      <c r="Y820" s="381"/>
      <c r="Z820" s="381"/>
    </row>
    <row r="821">
      <c r="A821" s="381"/>
      <c r="B821" s="18"/>
      <c r="C821" s="359"/>
      <c r="D821" s="359"/>
      <c r="E821" s="381"/>
      <c r="F821" s="381"/>
      <c r="G821" s="381"/>
      <c r="H821" s="381"/>
      <c r="I821" s="381"/>
      <c r="J821" s="381"/>
      <c r="K821" s="381"/>
      <c r="L821" s="381"/>
      <c r="M821" s="381"/>
      <c r="N821" s="381"/>
      <c r="O821" s="381"/>
      <c r="P821" s="381"/>
      <c r="Q821" s="381"/>
      <c r="R821" s="381"/>
      <c r="S821" s="381"/>
      <c r="T821" s="381"/>
      <c r="U821" s="381"/>
      <c r="V821" s="381"/>
      <c r="W821" s="381"/>
      <c r="X821" s="381"/>
      <c r="Y821" s="381"/>
      <c r="Z821" s="381"/>
    </row>
    <row r="822">
      <c r="A822" s="381"/>
      <c r="B822" s="18"/>
      <c r="C822" s="359"/>
      <c r="D822" s="359"/>
      <c r="E822" s="381"/>
      <c r="F822" s="381"/>
      <c r="G822" s="381"/>
      <c r="H822" s="381"/>
      <c r="I822" s="381"/>
      <c r="J822" s="381"/>
      <c r="K822" s="381"/>
      <c r="L822" s="381"/>
      <c r="M822" s="381"/>
      <c r="N822" s="381"/>
      <c r="O822" s="381"/>
      <c r="P822" s="381"/>
      <c r="Q822" s="381"/>
      <c r="R822" s="381"/>
      <c r="S822" s="381"/>
      <c r="T822" s="381"/>
      <c r="U822" s="381"/>
      <c r="V822" s="381"/>
      <c r="W822" s="381"/>
      <c r="X822" s="381"/>
      <c r="Y822" s="381"/>
      <c r="Z822" s="381"/>
    </row>
    <row r="823">
      <c r="A823" s="381"/>
      <c r="B823" s="18"/>
      <c r="C823" s="359"/>
      <c r="D823" s="359"/>
      <c r="E823" s="381"/>
      <c r="F823" s="381"/>
      <c r="G823" s="381"/>
      <c r="H823" s="381"/>
      <c r="I823" s="381"/>
      <c r="J823" s="381"/>
      <c r="K823" s="381"/>
      <c r="L823" s="381"/>
      <c r="M823" s="381"/>
      <c r="N823" s="381"/>
      <c r="O823" s="381"/>
      <c r="P823" s="381"/>
      <c r="Q823" s="381"/>
      <c r="R823" s="381"/>
      <c r="S823" s="381"/>
      <c r="T823" s="381"/>
      <c r="U823" s="381"/>
      <c r="V823" s="381"/>
      <c r="W823" s="381"/>
      <c r="X823" s="381"/>
      <c r="Y823" s="381"/>
      <c r="Z823" s="381"/>
    </row>
    <row r="824">
      <c r="A824" s="381"/>
      <c r="B824" s="18"/>
      <c r="C824" s="359"/>
      <c r="D824" s="359"/>
      <c r="E824" s="381"/>
      <c r="F824" s="381"/>
      <c r="G824" s="381"/>
      <c r="H824" s="381"/>
      <c r="I824" s="381"/>
      <c r="J824" s="381"/>
      <c r="K824" s="381"/>
      <c r="L824" s="381"/>
      <c r="M824" s="381"/>
      <c r="N824" s="381"/>
      <c r="O824" s="381"/>
      <c r="P824" s="381"/>
      <c r="Q824" s="381"/>
      <c r="R824" s="381"/>
      <c r="S824" s="381"/>
      <c r="T824" s="381"/>
      <c r="U824" s="381"/>
      <c r="V824" s="381"/>
      <c r="W824" s="381"/>
      <c r="X824" s="381"/>
      <c r="Y824" s="381"/>
      <c r="Z824" s="381"/>
    </row>
    <row r="825">
      <c r="A825" s="381"/>
      <c r="B825" s="18"/>
      <c r="C825" s="359"/>
      <c r="D825" s="359"/>
      <c r="E825" s="381"/>
      <c r="F825" s="381"/>
      <c r="G825" s="381"/>
      <c r="H825" s="381"/>
      <c r="I825" s="381"/>
      <c r="J825" s="381"/>
      <c r="K825" s="381"/>
      <c r="L825" s="381"/>
      <c r="M825" s="381"/>
      <c r="N825" s="381"/>
      <c r="O825" s="381"/>
      <c r="P825" s="381"/>
      <c r="Q825" s="381"/>
      <c r="R825" s="381"/>
      <c r="S825" s="381"/>
      <c r="T825" s="381"/>
      <c r="U825" s="381"/>
      <c r="V825" s="381"/>
      <c r="W825" s="381"/>
      <c r="X825" s="381"/>
      <c r="Y825" s="381"/>
      <c r="Z825" s="381"/>
    </row>
    <row r="826">
      <c r="A826" s="381"/>
      <c r="B826" s="18"/>
      <c r="C826" s="359"/>
      <c r="D826" s="359"/>
      <c r="E826" s="381"/>
      <c r="F826" s="381"/>
      <c r="G826" s="381"/>
      <c r="H826" s="381"/>
      <c r="I826" s="381"/>
      <c r="J826" s="381"/>
      <c r="K826" s="381"/>
      <c r="L826" s="381"/>
      <c r="M826" s="381"/>
      <c r="N826" s="381"/>
      <c r="O826" s="381"/>
      <c r="P826" s="381"/>
      <c r="Q826" s="381"/>
      <c r="R826" s="381"/>
      <c r="S826" s="381"/>
      <c r="T826" s="381"/>
      <c r="U826" s="381"/>
      <c r="V826" s="381"/>
      <c r="W826" s="381"/>
      <c r="X826" s="381"/>
      <c r="Y826" s="381"/>
      <c r="Z826" s="381"/>
    </row>
    <row r="827">
      <c r="A827" s="381"/>
      <c r="B827" s="18"/>
      <c r="C827" s="359"/>
      <c r="D827" s="359"/>
      <c r="E827" s="381"/>
      <c r="F827" s="381"/>
      <c r="G827" s="381"/>
      <c r="H827" s="381"/>
      <c r="I827" s="381"/>
      <c r="J827" s="381"/>
      <c r="K827" s="381"/>
      <c r="L827" s="381"/>
      <c r="M827" s="381"/>
      <c r="N827" s="381"/>
      <c r="O827" s="381"/>
      <c r="P827" s="381"/>
      <c r="Q827" s="381"/>
      <c r="R827" s="381"/>
      <c r="S827" s="381"/>
      <c r="T827" s="381"/>
      <c r="U827" s="381"/>
      <c r="V827" s="381"/>
      <c r="W827" s="381"/>
      <c r="X827" s="381"/>
      <c r="Y827" s="381"/>
      <c r="Z827" s="381"/>
    </row>
    <row r="828">
      <c r="A828" s="381"/>
      <c r="B828" s="18"/>
      <c r="C828" s="359"/>
      <c r="D828" s="359"/>
      <c r="E828" s="381"/>
      <c r="F828" s="381"/>
      <c r="G828" s="381"/>
      <c r="H828" s="381"/>
      <c r="I828" s="381"/>
      <c r="J828" s="381"/>
      <c r="K828" s="381"/>
      <c r="L828" s="381"/>
      <c r="M828" s="381"/>
      <c r="N828" s="381"/>
      <c r="O828" s="381"/>
      <c r="P828" s="381"/>
      <c r="Q828" s="381"/>
      <c r="R828" s="381"/>
      <c r="S828" s="381"/>
      <c r="T828" s="381"/>
      <c r="U828" s="381"/>
      <c r="V828" s="381"/>
      <c r="W828" s="381"/>
      <c r="X828" s="381"/>
      <c r="Y828" s="381"/>
      <c r="Z828" s="381"/>
    </row>
    <row r="829">
      <c r="A829" s="381"/>
      <c r="B829" s="18"/>
      <c r="C829" s="359"/>
      <c r="D829" s="359"/>
      <c r="E829" s="381"/>
      <c r="F829" s="381"/>
      <c r="G829" s="381"/>
      <c r="H829" s="381"/>
      <c r="I829" s="381"/>
      <c r="J829" s="381"/>
      <c r="K829" s="381"/>
      <c r="L829" s="381"/>
      <c r="M829" s="381"/>
      <c r="N829" s="381"/>
      <c r="O829" s="381"/>
      <c r="P829" s="381"/>
      <c r="Q829" s="381"/>
      <c r="R829" s="381"/>
      <c r="S829" s="381"/>
      <c r="T829" s="381"/>
      <c r="U829" s="381"/>
      <c r="V829" s="381"/>
      <c r="W829" s="381"/>
      <c r="X829" s="381"/>
      <c r="Y829" s="381"/>
      <c r="Z829" s="381"/>
    </row>
    <row r="830">
      <c r="A830" s="381"/>
      <c r="B830" s="18"/>
      <c r="C830" s="359"/>
      <c r="D830" s="359"/>
      <c r="E830" s="381"/>
      <c r="F830" s="381"/>
      <c r="G830" s="381"/>
      <c r="H830" s="381"/>
      <c r="I830" s="381"/>
      <c r="J830" s="381"/>
      <c r="K830" s="381"/>
      <c r="L830" s="381"/>
      <c r="M830" s="381"/>
      <c r="N830" s="381"/>
      <c r="O830" s="381"/>
      <c r="P830" s="381"/>
      <c r="Q830" s="381"/>
      <c r="R830" s="381"/>
      <c r="S830" s="381"/>
      <c r="T830" s="381"/>
      <c r="U830" s="381"/>
      <c r="V830" s="381"/>
      <c r="W830" s="381"/>
      <c r="X830" s="381"/>
      <c r="Y830" s="381"/>
      <c r="Z830" s="381"/>
    </row>
    <row r="831">
      <c r="A831" s="381"/>
      <c r="B831" s="18"/>
      <c r="C831" s="359"/>
      <c r="D831" s="359"/>
      <c r="E831" s="381"/>
      <c r="F831" s="381"/>
      <c r="G831" s="381"/>
      <c r="H831" s="381"/>
      <c r="I831" s="381"/>
      <c r="J831" s="381"/>
      <c r="K831" s="381"/>
      <c r="L831" s="381"/>
      <c r="M831" s="381"/>
      <c r="N831" s="381"/>
      <c r="O831" s="381"/>
      <c r="P831" s="381"/>
      <c r="Q831" s="381"/>
      <c r="R831" s="381"/>
      <c r="S831" s="381"/>
      <c r="T831" s="381"/>
      <c r="U831" s="381"/>
      <c r="V831" s="381"/>
      <c r="W831" s="381"/>
      <c r="X831" s="381"/>
      <c r="Y831" s="381"/>
      <c r="Z831" s="381"/>
    </row>
    <row r="832">
      <c r="A832" s="381"/>
      <c r="B832" s="18"/>
      <c r="C832" s="359"/>
      <c r="D832" s="359"/>
      <c r="E832" s="381"/>
      <c r="F832" s="381"/>
      <c r="G832" s="381"/>
      <c r="H832" s="381"/>
      <c r="I832" s="381"/>
      <c r="J832" s="381"/>
      <c r="K832" s="381"/>
      <c r="L832" s="381"/>
      <c r="M832" s="381"/>
      <c r="N832" s="381"/>
      <c r="O832" s="381"/>
      <c r="P832" s="381"/>
      <c r="Q832" s="381"/>
      <c r="R832" s="381"/>
      <c r="S832" s="381"/>
      <c r="T832" s="381"/>
      <c r="U832" s="381"/>
      <c r="V832" s="381"/>
      <c r="W832" s="381"/>
      <c r="X832" s="381"/>
      <c r="Y832" s="381"/>
      <c r="Z832" s="381"/>
    </row>
    <row r="833">
      <c r="A833" s="381"/>
      <c r="B833" s="18"/>
      <c r="C833" s="359"/>
      <c r="D833" s="359"/>
      <c r="E833" s="381"/>
      <c r="F833" s="381"/>
      <c r="G833" s="381"/>
      <c r="H833" s="381"/>
      <c r="I833" s="381"/>
      <c r="J833" s="381"/>
      <c r="K833" s="381"/>
      <c r="L833" s="381"/>
      <c r="M833" s="381"/>
      <c r="N833" s="381"/>
      <c r="O833" s="381"/>
      <c r="P833" s="381"/>
      <c r="Q833" s="381"/>
      <c r="R833" s="381"/>
      <c r="S833" s="381"/>
      <c r="T833" s="381"/>
      <c r="U833" s="381"/>
      <c r="V833" s="381"/>
      <c r="W833" s="381"/>
      <c r="X833" s="381"/>
      <c r="Y833" s="381"/>
      <c r="Z833" s="381"/>
    </row>
    <row r="834">
      <c r="A834" s="381"/>
      <c r="B834" s="18"/>
      <c r="C834" s="359"/>
      <c r="D834" s="359"/>
      <c r="E834" s="381"/>
      <c r="F834" s="381"/>
      <c r="G834" s="381"/>
      <c r="H834" s="381"/>
      <c r="I834" s="381"/>
      <c r="J834" s="381"/>
      <c r="K834" s="381"/>
      <c r="L834" s="381"/>
      <c r="M834" s="381"/>
      <c r="N834" s="381"/>
      <c r="O834" s="381"/>
      <c r="P834" s="381"/>
      <c r="Q834" s="381"/>
      <c r="R834" s="381"/>
      <c r="S834" s="381"/>
      <c r="T834" s="381"/>
      <c r="U834" s="381"/>
      <c r="V834" s="381"/>
      <c r="W834" s="381"/>
      <c r="X834" s="381"/>
      <c r="Y834" s="381"/>
      <c r="Z834" s="381"/>
    </row>
    <row r="835">
      <c r="A835" s="381"/>
      <c r="B835" s="18"/>
      <c r="C835" s="359"/>
      <c r="D835" s="359"/>
      <c r="E835" s="381"/>
      <c r="F835" s="381"/>
      <c r="G835" s="381"/>
      <c r="H835" s="381"/>
      <c r="I835" s="381"/>
      <c r="J835" s="381"/>
      <c r="K835" s="381"/>
      <c r="L835" s="381"/>
      <c r="M835" s="381"/>
      <c r="N835" s="381"/>
      <c r="O835" s="381"/>
      <c r="P835" s="381"/>
      <c r="Q835" s="381"/>
      <c r="R835" s="381"/>
      <c r="S835" s="381"/>
      <c r="T835" s="381"/>
      <c r="U835" s="381"/>
      <c r="V835" s="381"/>
      <c r="W835" s="381"/>
      <c r="X835" s="381"/>
      <c r="Y835" s="381"/>
      <c r="Z835" s="381"/>
    </row>
    <row r="836">
      <c r="A836" s="381"/>
      <c r="B836" s="18"/>
      <c r="C836" s="359"/>
      <c r="D836" s="359"/>
      <c r="E836" s="381"/>
      <c r="F836" s="381"/>
      <c r="G836" s="381"/>
      <c r="H836" s="381"/>
      <c r="I836" s="381"/>
      <c r="J836" s="381"/>
      <c r="K836" s="381"/>
      <c r="L836" s="381"/>
      <c r="M836" s="381"/>
      <c r="N836" s="381"/>
      <c r="O836" s="381"/>
      <c r="P836" s="381"/>
      <c r="Q836" s="381"/>
      <c r="R836" s="381"/>
      <c r="S836" s="381"/>
      <c r="T836" s="381"/>
      <c r="U836" s="381"/>
      <c r="V836" s="381"/>
      <c r="W836" s="381"/>
      <c r="X836" s="381"/>
      <c r="Y836" s="381"/>
      <c r="Z836" s="381"/>
    </row>
    <row r="837">
      <c r="A837" s="381"/>
      <c r="B837" s="18"/>
      <c r="C837" s="359"/>
      <c r="D837" s="359"/>
      <c r="E837" s="381"/>
      <c r="F837" s="381"/>
      <c r="G837" s="381"/>
      <c r="H837" s="381"/>
      <c r="I837" s="381"/>
      <c r="J837" s="381"/>
      <c r="K837" s="381"/>
      <c r="L837" s="381"/>
      <c r="M837" s="381"/>
      <c r="N837" s="381"/>
      <c r="O837" s="381"/>
      <c r="P837" s="381"/>
      <c r="Q837" s="381"/>
      <c r="R837" s="381"/>
      <c r="S837" s="381"/>
      <c r="T837" s="381"/>
      <c r="U837" s="381"/>
      <c r="V837" s="381"/>
      <c r="W837" s="381"/>
      <c r="X837" s="381"/>
      <c r="Y837" s="381"/>
      <c r="Z837" s="381"/>
    </row>
    <row r="838">
      <c r="A838" s="381"/>
      <c r="B838" s="18"/>
      <c r="C838" s="359"/>
      <c r="D838" s="359"/>
      <c r="E838" s="381"/>
      <c r="F838" s="381"/>
      <c r="G838" s="381"/>
      <c r="H838" s="381"/>
      <c r="I838" s="381"/>
      <c r="J838" s="381"/>
      <c r="K838" s="381"/>
      <c r="L838" s="381"/>
      <c r="M838" s="381"/>
      <c r="N838" s="381"/>
      <c r="O838" s="381"/>
      <c r="P838" s="381"/>
      <c r="Q838" s="381"/>
      <c r="R838" s="381"/>
      <c r="S838" s="381"/>
      <c r="T838" s="381"/>
      <c r="U838" s="381"/>
      <c r="V838" s="381"/>
      <c r="W838" s="381"/>
      <c r="X838" s="381"/>
      <c r="Y838" s="381"/>
      <c r="Z838" s="381"/>
    </row>
    <row r="839">
      <c r="A839" s="381"/>
      <c r="B839" s="18"/>
      <c r="C839" s="359"/>
      <c r="D839" s="359"/>
      <c r="E839" s="381"/>
      <c r="F839" s="381"/>
      <c r="G839" s="381"/>
      <c r="H839" s="381"/>
      <c r="I839" s="381"/>
      <c r="J839" s="381"/>
      <c r="K839" s="381"/>
      <c r="L839" s="381"/>
      <c r="M839" s="381"/>
      <c r="N839" s="381"/>
      <c r="O839" s="381"/>
      <c r="P839" s="381"/>
      <c r="Q839" s="381"/>
      <c r="R839" s="381"/>
      <c r="S839" s="381"/>
      <c r="T839" s="381"/>
      <c r="U839" s="381"/>
      <c r="V839" s="381"/>
      <c r="W839" s="381"/>
      <c r="X839" s="381"/>
      <c r="Y839" s="381"/>
      <c r="Z839" s="381"/>
    </row>
    <row r="840">
      <c r="A840" s="381"/>
      <c r="B840" s="18"/>
      <c r="C840" s="359"/>
      <c r="D840" s="359"/>
      <c r="E840" s="381"/>
      <c r="F840" s="381"/>
      <c r="G840" s="381"/>
      <c r="H840" s="381"/>
      <c r="I840" s="381"/>
      <c r="J840" s="381"/>
      <c r="K840" s="381"/>
      <c r="L840" s="381"/>
      <c r="M840" s="381"/>
      <c r="N840" s="381"/>
      <c r="O840" s="381"/>
      <c r="P840" s="381"/>
      <c r="Q840" s="381"/>
      <c r="R840" s="381"/>
      <c r="S840" s="381"/>
      <c r="T840" s="381"/>
      <c r="U840" s="381"/>
      <c r="V840" s="381"/>
      <c r="W840" s="381"/>
      <c r="X840" s="381"/>
      <c r="Y840" s="381"/>
      <c r="Z840" s="381"/>
    </row>
    <row r="841">
      <c r="A841" s="381"/>
      <c r="B841" s="18"/>
      <c r="C841" s="359"/>
      <c r="D841" s="359"/>
      <c r="E841" s="381"/>
      <c r="F841" s="381"/>
      <c r="G841" s="381"/>
      <c r="H841" s="381"/>
      <c r="I841" s="381"/>
      <c r="J841" s="381"/>
      <c r="K841" s="381"/>
      <c r="L841" s="381"/>
      <c r="M841" s="381"/>
      <c r="N841" s="381"/>
      <c r="O841" s="381"/>
      <c r="P841" s="381"/>
      <c r="Q841" s="381"/>
      <c r="R841" s="381"/>
      <c r="S841" s="381"/>
      <c r="T841" s="381"/>
      <c r="U841" s="381"/>
      <c r="V841" s="381"/>
      <c r="W841" s="381"/>
      <c r="X841" s="381"/>
      <c r="Y841" s="381"/>
      <c r="Z841" s="381"/>
    </row>
    <row r="842">
      <c r="A842" s="381"/>
      <c r="B842" s="18"/>
      <c r="C842" s="359"/>
      <c r="D842" s="359"/>
      <c r="E842" s="381"/>
      <c r="F842" s="381"/>
      <c r="G842" s="381"/>
      <c r="H842" s="381"/>
      <c r="I842" s="381"/>
      <c r="J842" s="381"/>
      <c r="K842" s="381"/>
      <c r="L842" s="381"/>
      <c r="M842" s="381"/>
      <c r="N842" s="381"/>
      <c r="O842" s="381"/>
      <c r="P842" s="381"/>
      <c r="Q842" s="381"/>
      <c r="R842" s="381"/>
      <c r="S842" s="381"/>
      <c r="T842" s="381"/>
      <c r="U842" s="381"/>
      <c r="V842" s="381"/>
      <c r="W842" s="381"/>
      <c r="X842" s="381"/>
      <c r="Y842" s="381"/>
      <c r="Z842" s="381"/>
    </row>
    <row r="843">
      <c r="A843" s="381"/>
      <c r="B843" s="18"/>
      <c r="C843" s="359"/>
      <c r="D843" s="359"/>
      <c r="E843" s="381"/>
      <c r="F843" s="381"/>
      <c r="G843" s="381"/>
      <c r="H843" s="381"/>
      <c r="I843" s="381"/>
      <c r="J843" s="381"/>
      <c r="K843" s="381"/>
      <c r="L843" s="381"/>
      <c r="M843" s="381"/>
      <c r="N843" s="381"/>
      <c r="O843" s="381"/>
      <c r="P843" s="381"/>
      <c r="Q843" s="381"/>
      <c r="R843" s="381"/>
      <c r="S843" s="381"/>
      <c r="T843" s="381"/>
      <c r="U843" s="381"/>
      <c r="V843" s="381"/>
      <c r="W843" s="381"/>
      <c r="X843" s="381"/>
      <c r="Y843" s="381"/>
      <c r="Z843" s="381"/>
    </row>
    <row r="844">
      <c r="A844" s="381"/>
      <c r="B844" s="18"/>
      <c r="C844" s="359"/>
      <c r="D844" s="359"/>
      <c r="E844" s="381"/>
      <c r="F844" s="381"/>
      <c r="G844" s="381"/>
      <c r="H844" s="381"/>
      <c r="I844" s="381"/>
      <c r="J844" s="381"/>
      <c r="K844" s="381"/>
      <c r="L844" s="381"/>
      <c r="M844" s="381"/>
      <c r="N844" s="381"/>
      <c r="O844" s="381"/>
      <c r="P844" s="381"/>
      <c r="Q844" s="381"/>
      <c r="R844" s="381"/>
      <c r="S844" s="381"/>
      <c r="T844" s="381"/>
      <c r="U844" s="381"/>
      <c r="V844" s="381"/>
      <c r="W844" s="381"/>
      <c r="X844" s="381"/>
      <c r="Y844" s="381"/>
      <c r="Z844" s="381"/>
    </row>
    <row r="845">
      <c r="A845" s="381"/>
      <c r="B845" s="18"/>
      <c r="C845" s="359"/>
      <c r="D845" s="359"/>
      <c r="E845" s="381"/>
      <c r="F845" s="381"/>
      <c r="G845" s="381"/>
      <c r="H845" s="381"/>
      <c r="I845" s="381"/>
      <c r="J845" s="381"/>
      <c r="K845" s="381"/>
      <c r="L845" s="381"/>
      <c r="M845" s="381"/>
      <c r="N845" s="381"/>
      <c r="O845" s="381"/>
      <c r="P845" s="381"/>
      <c r="Q845" s="381"/>
      <c r="R845" s="381"/>
      <c r="S845" s="381"/>
      <c r="T845" s="381"/>
      <c r="U845" s="381"/>
      <c r="V845" s="381"/>
      <c r="W845" s="381"/>
      <c r="X845" s="381"/>
      <c r="Y845" s="381"/>
      <c r="Z845" s="381"/>
    </row>
    <row r="846">
      <c r="A846" s="381"/>
      <c r="B846" s="18"/>
      <c r="C846" s="359"/>
      <c r="D846" s="359"/>
      <c r="E846" s="381"/>
      <c r="F846" s="381"/>
      <c r="G846" s="381"/>
      <c r="H846" s="381"/>
      <c r="I846" s="381"/>
      <c r="J846" s="381"/>
      <c r="K846" s="381"/>
      <c r="L846" s="381"/>
      <c r="M846" s="381"/>
      <c r="N846" s="381"/>
      <c r="O846" s="381"/>
      <c r="P846" s="381"/>
      <c r="Q846" s="381"/>
      <c r="R846" s="381"/>
      <c r="S846" s="381"/>
      <c r="T846" s="381"/>
      <c r="U846" s="381"/>
      <c r="V846" s="381"/>
      <c r="W846" s="381"/>
      <c r="X846" s="381"/>
      <c r="Y846" s="381"/>
      <c r="Z846" s="381"/>
    </row>
    <row r="847">
      <c r="A847" s="381"/>
      <c r="B847" s="18"/>
      <c r="C847" s="359"/>
      <c r="D847" s="359"/>
      <c r="E847" s="381"/>
      <c r="F847" s="381"/>
      <c r="G847" s="381"/>
      <c r="H847" s="381"/>
      <c r="I847" s="381"/>
      <c r="J847" s="381"/>
      <c r="K847" s="381"/>
      <c r="L847" s="381"/>
      <c r="M847" s="381"/>
      <c r="N847" s="381"/>
      <c r="O847" s="381"/>
      <c r="P847" s="381"/>
      <c r="Q847" s="381"/>
      <c r="R847" s="381"/>
      <c r="S847" s="381"/>
      <c r="T847" s="381"/>
      <c r="U847" s="381"/>
      <c r="V847" s="381"/>
      <c r="W847" s="381"/>
      <c r="X847" s="381"/>
      <c r="Y847" s="381"/>
      <c r="Z847" s="381"/>
    </row>
    <row r="848">
      <c r="A848" s="381"/>
      <c r="B848" s="18"/>
      <c r="C848" s="359"/>
      <c r="D848" s="359"/>
      <c r="E848" s="381"/>
      <c r="F848" s="381"/>
      <c r="G848" s="381"/>
      <c r="H848" s="381"/>
      <c r="I848" s="381"/>
      <c r="J848" s="381"/>
      <c r="K848" s="381"/>
      <c r="L848" s="381"/>
      <c r="M848" s="381"/>
      <c r="N848" s="381"/>
      <c r="O848" s="381"/>
      <c r="P848" s="381"/>
      <c r="Q848" s="381"/>
      <c r="R848" s="381"/>
      <c r="S848" s="381"/>
      <c r="T848" s="381"/>
      <c r="U848" s="381"/>
      <c r="V848" s="381"/>
      <c r="W848" s="381"/>
      <c r="X848" s="381"/>
      <c r="Y848" s="381"/>
      <c r="Z848" s="381"/>
    </row>
    <row r="849">
      <c r="A849" s="381"/>
      <c r="B849" s="18"/>
      <c r="C849" s="359"/>
      <c r="D849" s="359"/>
      <c r="E849" s="381"/>
      <c r="F849" s="381"/>
      <c r="G849" s="381"/>
      <c r="H849" s="381"/>
      <c r="I849" s="381"/>
      <c r="J849" s="381"/>
      <c r="K849" s="381"/>
      <c r="L849" s="381"/>
      <c r="M849" s="381"/>
      <c r="N849" s="381"/>
      <c r="O849" s="381"/>
      <c r="P849" s="381"/>
      <c r="Q849" s="381"/>
      <c r="R849" s="381"/>
      <c r="S849" s="381"/>
      <c r="T849" s="381"/>
      <c r="U849" s="381"/>
      <c r="V849" s="381"/>
      <c r="W849" s="381"/>
      <c r="X849" s="381"/>
      <c r="Y849" s="381"/>
      <c r="Z849" s="381"/>
    </row>
    <row r="850">
      <c r="A850" s="381"/>
      <c r="B850" s="18"/>
      <c r="C850" s="359"/>
      <c r="D850" s="359"/>
      <c r="E850" s="381"/>
      <c r="F850" s="381"/>
      <c r="G850" s="381"/>
      <c r="H850" s="381"/>
      <c r="I850" s="381"/>
      <c r="J850" s="381"/>
      <c r="K850" s="381"/>
      <c r="L850" s="381"/>
      <c r="M850" s="381"/>
      <c r="N850" s="381"/>
      <c r="O850" s="381"/>
      <c r="P850" s="381"/>
      <c r="Q850" s="381"/>
      <c r="R850" s="381"/>
      <c r="S850" s="381"/>
      <c r="T850" s="381"/>
      <c r="U850" s="381"/>
      <c r="V850" s="381"/>
      <c r="W850" s="381"/>
      <c r="X850" s="381"/>
      <c r="Y850" s="381"/>
      <c r="Z850" s="381"/>
    </row>
    <row r="851">
      <c r="A851" s="381"/>
      <c r="B851" s="18"/>
      <c r="C851" s="359"/>
      <c r="D851" s="359"/>
      <c r="E851" s="381"/>
      <c r="F851" s="381"/>
      <c r="G851" s="381"/>
      <c r="H851" s="381"/>
      <c r="I851" s="381"/>
      <c r="J851" s="381"/>
      <c r="K851" s="381"/>
      <c r="L851" s="381"/>
      <c r="M851" s="381"/>
      <c r="N851" s="381"/>
      <c r="O851" s="381"/>
      <c r="P851" s="381"/>
      <c r="Q851" s="381"/>
      <c r="R851" s="381"/>
      <c r="S851" s="381"/>
      <c r="T851" s="381"/>
      <c r="U851" s="381"/>
      <c r="V851" s="381"/>
      <c r="W851" s="381"/>
      <c r="X851" s="381"/>
      <c r="Y851" s="381"/>
      <c r="Z851" s="381"/>
    </row>
    <row r="852">
      <c r="A852" s="381"/>
      <c r="B852" s="18"/>
      <c r="C852" s="359"/>
      <c r="D852" s="359"/>
      <c r="E852" s="381"/>
      <c r="F852" s="381"/>
      <c r="G852" s="381"/>
      <c r="H852" s="381"/>
      <c r="I852" s="381"/>
      <c r="J852" s="381"/>
      <c r="K852" s="381"/>
      <c r="L852" s="381"/>
      <c r="M852" s="381"/>
      <c r="N852" s="381"/>
      <c r="O852" s="381"/>
      <c r="P852" s="381"/>
      <c r="Q852" s="381"/>
      <c r="R852" s="381"/>
      <c r="S852" s="381"/>
      <c r="T852" s="381"/>
      <c r="U852" s="381"/>
      <c r="V852" s="381"/>
      <c r="W852" s="381"/>
      <c r="X852" s="381"/>
      <c r="Y852" s="381"/>
      <c r="Z852" s="381"/>
    </row>
    <row r="853">
      <c r="A853" s="381"/>
      <c r="B853" s="18"/>
      <c r="C853" s="359"/>
      <c r="D853" s="359"/>
      <c r="E853" s="381"/>
      <c r="F853" s="381"/>
      <c r="G853" s="381"/>
      <c r="H853" s="381"/>
      <c r="I853" s="381"/>
      <c r="J853" s="381"/>
      <c r="K853" s="381"/>
      <c r="L853" s="381"/>
      <c r="M853" s="381"/>
      <c r="N853" s="381"/>
      <c r="O853" s="381"/>
      <c r="P853" s="381"/>
      <c r="Q853" s="381"/>
      <c r="R853" s="381"/>
      <c r="S853" s="381"/>
      <c r="T853" s="381"/>
      <c r="U853" s="381"/>
      <c r="V853" s="381"/>
      <c r="W853" s="381"/>
      <c r="X853" s="381"/>
      <c r="Y853" s="381"/>
      <c r="Z853" s="381"/>
    </row>
    <row r="854">
      <c r="A854" s="381"/>
      <c r="B854" s="18"/>
      <c r="C854" s="359"/>
      <c r="D854" s="359"/>
      <c r="E854" s="381"/>
      <c r="F854" s="381"/>
      <c r="G854" s="381"/>
      <c r="H854" s="381"/>
      <c r="I854" s="381"/>
      <c r="J854" s="381"/>
      <c r="K854" s="381"/>
      <c r="L854" s="381"/>
      <c r="M854" s="381"/>
      <c r="N854" s="381"/>
      <c r="O854" s="381"/>
      <c r="P854" s="381"/>
      <c r="Q854" s="381"/>
      <c r="R854" s="381"/>
      <c r="S854" s="381"/>
      <c r="T854" s="381"/>
      <c r="U854" s="381"/>
      <c r="V854" s="381"/>
      <c r="W854" s="381"/>
      <c r="X854" s="381"/>
      <c r="Y854" s="381"/>
      <c r="Z854" s="381"/>
    </row>
    <row r="855">
      <c r="A855" s="381"/>
      <c r="B855" s="18"/>
      <c r="C855" s="359"/>
      <c r="D855" s="359"/>
      <c r="E855" s="381"/>
      <c r="F855" s="381"/>
      <c r="G855" s="381"/>
      <c r="H855" s="381"/>
      <c r="I855" s="381"/>
      <c r="J855" s="381"/>
      <c r="K855" s="381"/>
      <c r="L855" s="381"/>
      <c r="M855" s="381"/>
      <c r="N855" s="381"/>
      <c r="O855" s="381"/>
      <c r="P855" s="381"/>
      <c r="Q855" s="381"/>
      <c r="R855" s="381"/>
      <c r="S855" s="381"/>
      <c r="T855" s="381"/>
      <c r="U855" s="381"/>
      <c r="V855" s="381"/>
      <c r="W855" s="381"/>
      <c r="X855" s="381"/>
      <c r="Y855" s="381"/>
      <c r="Z855" s="381"/>
    </row>
    <row r="856">
      <c r="A856" s="381"/>
      <c r="B856" s="18"/>
      <c r="C856" s="359"/>
      <c r="D856" s="359"/>
      <c r="E856" s="381"/>
      <c r="F856" s="381"/>
      <c r="G856" s="381"/>
      <c r="H856" s="381"/>
      <c r="I856" s="381"/>
      <c r="J856" s="381"/>
      <c r="K856" s="381"/>
      <c r="L856" s="381"/>
      <c r="M856" s="381"/>
      <c r="N856" s="381"/>
      <c r="O856" s="381"/>
      <c r="P856" s="381"/>
      <c r="Q856" s="381"/>
      <c r="R856" s="381"/>
      <c r="S856" s="381"/>
      <c r="T856" s="381"/>
      <c r="U856" s="381"/>
      <c r="V856" s="381"/>
      <c r="W856" s="381"/>
      <c r="X856" s="381"/>
      <c r="Y856" s="381"/>
      <c r="Z856" s="381"/>
    </row>
    <row r="857">
      <c r="A857" s="381"/>
      <c r="B857" s="18"/>
      <c r="C857" s="359"/>
      <c r="D857" s="359"/>
      <c r="E857" s="381"/>
      <c r="F857" s="381"/>
      <c r="G857" s="381"/>
      <c r="H857" s="381"/>
      <c r="I857" s="381"/>
      <c r="J857" s="381"/>
      <c r="K857" s="381"/>
      <c r="L857" s="381"/>
      <c r="M857" s="381"/>
      <c r="N857" s="381"/>
      <c r="O857" s="381"/>
      <c r="P857" s="381"/>
      <c r="Q857" s="381"/>
      <c r="R857" s="381"/>
      <c r="S857" s="381"/>
      <c r="T857" s="381"/>
      <c r="U857" s="381"/>
      <c r="V857" s="381"/>
      <c r="W857" s="381"/>
      <c r="X857" s="381"/>
      <c r="Y857" s="381"/>
      <c r="Z857" s="381"/>
    </row>
    <row r="858">
      <c r="A858" s="381"/>
      <c r="B858" s="18"/>
      <c r="C858" s="359"/>
      <c r="D858" s="359"/>
      <c r="E858" s="381"/>
      <c r="F858" s="381"/>
      <c r="G858" s="381"/>
      <c r="H858" s="381"/>
      <c r="I858" s="381"/>
      <c r="J858" s="381"/>
      <c r="K858" s="381"/>
      <c r="L858" s="381"/>
      <c r="M858" s="381"/>
      <c r="N858" s="381"/>
      <c r="O858" s="381"/>
      <c r="P858" s="381"/>
      <c r="Q858" s="381"/>
      <c r="R858" s="381"/>
      <c r="S858" s="381"/>
      <c r="T858" s="381"/>
      <c r="U858" s="381"/>
      <c r="V858" s="381"/>
      <c r="W858" s="381"/>
      <c r="X858" s="381"/>
      <c r="Y858" s="381"/>
      <c r="Z858" s="381"/>
    </row>
    <row r="859">
      <c r="A859" s="381"/>
      <c r="B859" s="18"/>
      <c r="C859" s="359"/>
      <c r="D859" s="359"/>
      <c r="E859" s="381"/>
      <c r="F859" s="381"/>
      <c r="G859" s="381"/>
      <c r="H859" s="381"/>
      <c r="I859" s="381"/>
      <c r="J859" s="381"/>
      <c r="K859" s="381"/>
      <c r="L859" s="381"/>
      <c r="M859" s="381"/>
      <c r="N859" s="381"/>
      <c r="O859" s="381"/>
      <c r="P859" s="381"/>
      <c r="Q859" s="381"/>
      <c r="R859" s="381"/>
      <c r="S859" s="381"/>
      <c r="T859" s="381"/>
      <c r="U859" s="381"/>
      <c r="V859" s="381"/>
      <c r="W859" s="381"/>
      <c r="X859" s="381"/>
      <c r="Y859" s="381"/>
      <c r="Z859" s="381"/>
    </row>
    <row r="860">
      <c r="A860" s="381"/>
      <c r="B860" s="18"/>
      <c r="C860" s="359"/>
      <c r="D860" s="359"/>
      <c r="E860" s="381"/>
      <c r="F860" s="381"/>
      <c r="G860" s="381"/>
      <c r="H860" s="381"/>
      <c r="I860" s="381"/>
      <c r="J860" s="381"/>
      <c r="K860" s="381"/>
      <c r="L860" s="381"/>
      <c r="M860" s="381"/>
      <c r="N860" s="381"/>
      <c r="O860" s="381"/>
      <c r="P860" s="381"/>
      <c r="Q860" s="381"/>
      <c r="R860" s="381"/>
      <c r="S860" s="381"/>
      <c r="T860" s="381"/>
      <c r="U860" s="381"/>
      <c r="V860" s="381"/>
      <c r="W860" s="381"/>
      <c r="X860" s="381"/>
      <c r="Y860" s="381"/>
      <c r="Z860" s="381"/>
    </row>
    <row r="861">
      <c r="A861" s="381"/>
      <c r="B861" s="18"/>
      <c r="C861" s="359"/>
      <c r="D861" s="359"/>
      <c r="E861" s="381"/>
      <c r="F861" s="381"/>
      <c r="G861" s="381"/>
      <c r="H861" s="381"/>
      <c r="I861" s="381"/>
      <c r="J861" s="381"/>
      <c r="K861" s="381"/>
      <c r="L861" s="381"/>
      <c r="M861" s="381"/>
      <c r="N861" s="381"/>
      <c r="O861" s="381"/>
      <c r="P861" s="381"/>
      <c r="Q861" s="381"/>
      <c r="R861" s="381"/>
      <c r="S861" s="381"/>
      <c r="T861" s="381"/>
      <c r="U861" s="381"/>
      <c r="V861" s="381"/>
      <c r="W861" s="381"/>
      <c r="X861" s="381"/>
      <c r="Y861" s="381"/>
      <c r="Z861" s="381"/>
    </row>
    <row r="862">
      <c r="A862" s="381"/>
      <c r="B862" s="18"/>
      <c r="C862" s="359"/>
      <c r="D862" s="359"/>
      <c r="E862" s="381"/>
      <c r="F862" s="381"/>
      <c r="G862" s="381"/>
      <c r="H862" s="381"/>
      <c r="I862" s="381"/>
      <c r="J862" s="381"/>
      <c r="K862" s="381"/>
      <c r="L862" s="381"/>
      <c r="M862" s="381"/>
      <c r="N862" s="381"/>
      <c r="O862" s="381"/>
      <c r="P862" s="381"/>
      <c r="Q862" s="381"/>
      <c r="R862" s="381"/>
      <c r="S862" s="381"/>
      <c r="T862" s="381"/>
      <c r="U862" s="381"/>
      <c r="V862" s="381"/>
      <c r="W862" s="381"/>
      <c r="X862" s="381"/>
      <c r="Y862" s="381"/>
      <c r="Z862" s="381"/>
    </row>
    <row r="863">
      <c r="A863" s="381"/>
      <c r="B863" s="18"/>
      <c r="C863" s="359"/>
      <c r="D863" s="359"/>
      <c r="E863" s="381"/>
      <c r="F863" s="381"/>
      <c r="G863" s="381"/>
      <c r="H863" s="381"/>
      <c r="I863" s="381"/>
      <c r="J863" s="381"/>
      <c r="K863" s="381"/>
      <c r="L863" s="381"/>
      <c r="M863" s="381"/>
      <c r="N863" s="381"/>
      <c r="O863" s="381"/>
      <c r="P863" s="381"/>
      <c r="Q863" s="381"/>
      <c r="R863" s="381"/>
      <c r="S863" s="381"/>
      <c r="T863" s="381"/>
      <c r="U863" s="381"/>
      <c r="V863" s="381"/>
      <c r="W863" s="381"/>
      <c r="X863" s="381"/>
      <c r="Y863" s="381"/>
      <c r="Z863" s="381"/>
    </row>
    <row r="864">
      <c r="A864" s="381"/>
      <c r="B864" s="18"/>
      <c r="C864" s="359"/>
      <c r="D864" s="359"/>
      <c r="E864" s="381"/>
      <c r="F864" s="381"/>
      <c r="G864" s="381"/>
      <c r="H864" s="381"/>
      <c r="I864" s="381"/>
      <c r="J864" s="381"/>
      <c r="K864" s="381"/>
      <c r="L864" s="381"/>
      <c r="M864" s="381"/>
      <c r="N864" s="381"/>
      <c r="O864" s="381"/>
      <c r="P864" s="381"/>
      <c r="Q864" s="381"/>
      <c r="R864" s="381"/>
      <c r="S864" s="381"/>
      <c r="T864" s="381"/>
      <c r="U864" s="381"/>
      <c r="V864" s="381"/>
      <c r="W864" s="381"/>
      <c r="X864" s="381"/>
      <c r="Y864" s="381"/>
      <c r="Z864" s="381"/>
    </row>
    <row r="865">
      <c r="A865" s="381"/>
      <c r="B865" s="18"/>
      <c r="C865" s="359"/>
      <c r="D865" s="359"/>
      <c r="E865" s="381"/>
      <c r="F865" s="381"/>
      <c r="G865" s="381"/>
      <c r="H865" s="381"/>
      <c r="I865" s="381"/>
      <c r="J865" s="381"/>
      <c r="K865" s="381"/>
      <c r="L865" s="381"/>
      <c r="M865" s="381"/>
      <c r="N865" s="381"/>
      <c r="O865" s="381"/>
      <c r="P865" s="381"/>
      <c r="Q865" s="381"/>
      <c r="R865" s="381"/>
      <c r="S865" s="381"/>
      <c r="T865" s="381"/>
      <c r="U865" s="381"/>
      <c r="V865" s="381"/>
      <c r="W865" s="381"/>
      <c r="X865" s="381"/>
      <c r="Y865" s="381"/>
      <c r="Z865" s="381"/>
    </row>
    <row r="866">
      <c r="A866" s="381"/>
      <c r="B866" s="18"/>
      <c r="C866" s="359"/>
      <c r="D866" s="359"/>
      <c r="E866" s="381"/>
      <c r="F866" s="381"/>
      <c r="G866" s="381"/>
      <c r="H866" s="381"/>
      <c r="I866" s="381"/>
      <c r="J866" s="381"/>
      <c r="K866" s="381"/>
      <c r="L866" s="381"/>
      <c r="M866" s="381"/>
      <c r="N866" s="381"/>
      <c r="O866" s="381"/>
      <c r="P866" s="381"/>
      <c r="Q866" s="381"/>
      <c r="R866" s="381"/>
      <c r="S866" s="381"/>
      <c r="T866" s="381"/>
      <c r="U866" s="381"/>
      <c r="V866" s="381"/>
      <c r="W866" s="381"/>
      <c r="X866" s="381"/>
      <c r="Y866" s="381"/>
      <c r="Z866" s="381"/>
    </row>
    <row r="867">
      <c r="A867" s="381"/>
      <c r="B867" s="18"/>
      <c r="C867" s="359"/>
      <c r="D867" s="359"/>
      <c r="E867" s="381"/>
      <c r="F867" s="381"/>
      <c r="G867" s="381"/>
      <c r="H867" s="381"/>
      <c r="I867" s="381"/>
      <c r="J867" s="381"/>
      <c r="K867" s="381"/>
      <c r="L867" s="381"/>
      <c r="M867" s="381"/>
      <c r="N867" s="381"/>
      <c r="O867" s="381"/>
      <c r="P867" s="381"/>
      <c r="Q867" s="381"/>
      <c r="R867" s="381"/>
      <c r="S867" s="381"/>
      <c r="T867" s="381"/>
      <c r="U867" s="381"/>
      <c r="V867" s="381"/>
      <c r="W867" s="381"/>
      <c r="X867" s="381"/>
      <c r="Y867" s="381"/>
      <c r="Z867" s="381"/>
    </row>
    <row r="868">
      <c r="A868" s="381"/>
      <c r="B868" s="18"/>
      <c r="C868" s="359"/>
      <c r="D868" s="359"/>
      <c r="E868" s="381"/>
      <c r="F868" s="381"/>
      <c r="G868" s="381"/>
      <c r="H868" s="381"/>
      <c r="I868" s="381"/>
      <c r="J868" s="381"/>
      <c r="K868" s="381"/>
      <c r="L868" s="381"/>
      <c r="M868" s="381"/>
      <c r="N868" s="381"/>
      <c r="O868" s="381"/>
      <c r="P868" s="381"/>
      <c r="Q868" s="381"/>
      <c r="R868" s="381"/>
      <c r="S868" s="381"/>
      <c r="T868" s="381"/>
      <c r="U868" s="381"/>
      <c r="V868" s="381"/>
      <c r="W868" s="381"/>
      <c r="X868" s="381"/>
      <c r="Y868" s="381"/>
      <c r="Z868" s="381"/>
    </row>
    <row r="869">
      <c r="A869" s="381"/>
      <c r="B869" s="18"/>
      <c r="C869" s="359"/>
      <c r="D869" s="359"/>
      <c r="E869" s="381"/>
      <c r="F869" s="381"/>
      <c r="G869" s="381"/>
      <c r="H869" s="381"/>
      <c r="I869" s="381"/>
      <c r="J869" s="381"/>
      <c r="K869" s="381"/>
      <c r="L869" s="381"/>
      <c r="M869" s="381"/>
      <c r="N869" s="381"/>
      <c r="O869" s="381"/>
      <c r="P869" s="381"/>
      <c r="Q869" s="381"/>
      <c r="R869" s="381"/>
      <c r="S869" s="381"/>
      <c r="T869" s="381"/>
      <c r="U869" s="381"/>
      <c r="V869" s="381"/>
      <c r="W869" s="381"/>
      <c r="X869" s="381"/>
      <c r="Y869" s="381"/>
      <c r="Z869" s="381"/>
    </row>
    <row r="870">
      <c r="A870" s="381"/>
      <c r="B870" s="18"/>
      <c r="C870" s="359"/>
      <c r="D870" s="359"/>
      <c r="E870" s="381"/>
      <c r="F870" s="381"/>
      <c r="G870" s="381"/>
      <c r="H870" s="381"/>
      <c r="I870" s="381"/>
      <c r="J870" s="381"/>
      <c r="K870" s="381"/>
      <c r="L870" s="381"/>
      <c r="M870" s="381"/>
      <c r="N870" s="381"/>
      <c r="O870" s="381"/>
      <c r="P870" s="381"/>
      <c r="Q870" s="381"/>
      <c r="R870" s="381"/>
      <c r="S870" s="381"/>
      <c r="T870" s="381"/>
      <c r="U870" s="381"/>
      <c r="V870" s="381"/>
      <c r="W870" s="381"/>
      <c r="X870" s="381"/>
      <c r="Y870" s="381"/>
      <c r="Z870" s="381"/>
    </row>
    <row r="871">
      <c r="A871" s="381"/>
      <c r="B871" s="18"/>
      <c r="C871" s="359"/>
      <c r="D871" s="359"/>
      <c r="E871" s="381"/>
      <c r="F871" s="381"/>
      <c r="G871" s="381"/>
      <c r="H871" s="381"/>
      <c r="I871" s="381"/>
      <c r="J871" s="381"/>
      <c r="K871" s="381"/>
      <c r="L871" s="381"/>
      <c r="M871" s="381"/>
      <c r="N871" s="381"/>
      <c r="O871" s="381"/>
      <c r="P871" s="381"/>
      <c r="Q871" s="381"/>
      <c r="R871" s="381"/>
      <c r="S871" s="381"/>
      <c r="T871" s="381"/>
      <c r="U871" s="381"/>
      <c r="V871" s="381"/>
      <c r="W871" s="381"/>
      <c r="X871" s="381"/>
      <c r="Y871" s="381"/>
      <c r="Z871" s="381"/>
    </row>
    <row r="872">
      <c r="A872" s="381"/>
      <c r="B872" s="18"/>
      <c r="C872" s="359"/>
      <c r="D872" s="359"/>
      <c r="E872" s="381"/>
      <c r="F872" s="381"/>
      <c r="G872" s="381"/>
      <c r="H872" s="381"/>
      <c r="I872" s="381"/>
      <c r="J872" s="381"/>
      <c r="K872" s="381"/>
      <c r="L872" s="381"/>
      <c r="M872" s="381"/>
      <c r="N872" s="381"/>
      <c r="O872" s="381"/>
      <c r="P872" s="381"/>
      <c r="Q872" s="381"/>
      <c r="R872" s="381"/>
      <c r="S872" s="381"/>
      <c r="T872" s="381"/>
      <c r="U872" s="381"/>
      <c r="V872" s="381"/>
      <c r="W872" s="381"/>
      <c r="X872" s="381"/>
      <c r="Y872" s="381"/>
      <c r="Z872" s="381"/>
    </row>
    <row r="873">
      <c r="A873" s="381"/>
      <c r="B873" s="18"/>
      <c r="C873" s="359"/>
      <c r="D873" s="359"/>
      <c r="E873" s="381"/>
      <c r="F873" s="381"/>
      <c r="G873" s="381"/>
      <c r="H873" s="381"/>
      <c r="I873" s="381"/>
      <c r="J873" s="381"/>
      <c r="K873" s="381"/>
      <c r="L873" s="381"/>
      <c r="M873" s="381"/>
      <c r="N873" s="381"/>
      <c r="O873" s="381"/>
      <c r="P873" s="381"/>
      <c r="Q873" s="381"/>
      <c r="R873" s="381"/>
      <c r="S873" s="381"/>
      <c r="T873" s="381"/>
      <c r="U873" s="381"/>
      <c r="V873" s="381"/>
      <c r="W873" s="381"/>
      <c r="X873" s="381"/>
      <c r="Y873" s="381"/>
      <c r="Z873" s="381"/>
    </row>
    <row r="874">
      <c r="A874" s="381"/>
      <c r="B874" s="18"/>
      <c r="C874" s="359"/>
      <c r="D874" s="359"/>
      <c r="E874" s="381"/>
      <c r="F874" s="381"/>
      <c r="G874" s="381"/>
      <c r="H874" s="381"/>
      <c r="I874" s="381"/>
      <c r="J874" s="381"/>
      <c r="K874" s="381"/>
      <c r="L874" s="381"/>
      <c r="M874" s="381"/>
      <c r="N874" s="381"/>
      <c r="O874" s="381"/>
      <c r="P874" s="381"/>
      <c r="Q874" s="381"/>
      <c r="R874" s="381"/>
      <c r="S874" s="381"/>
      <c r="T874" s="381"/>
      <c r="U874" s="381"/>
      <c r="V874" s="381"/>
      <c r="W874" s="381"/>
      <c r="X874" s="381"/>
      <c r="Y874" s="381"/>
      <c r="Z874" s="381"/>
    </row>
    <row r="875">
      <c r="A875" s="381"/>
      <c r="B875" s="18"/>
      <c r="C875" s="359"/>
      <c r="D875" s="359"/>
      <c r="E875" s="381"/>
      <c r="F875" s="381"/>
      <c r="G875" s="381"/>
      <c r="H875" s="381"/>
      <c r="I875" s="381"/>
      <c r="J875" s="381"/>
      <c r="K875" s="381"/>
      <c r="L875" s="381"/>
      <c r="M875" s="381"/>
      <c r="N875" s="381"/>
      <c r="O875" s="381"/>
      <c r="P875" s="381"/>
      <c r="Q875" s="381"/>
      <c r="R875" s="381"/>
      <c r="S875" s="381"/>
      <c r="T875" s="381"/>
      <c r="U875" s="381"/>
      <c r="V875" s="381"/>
      <c r="W875" s="381"/>
      <c r="X875" s="381"/>
      <c r="Y875" s="381"/>
      <c r="Z875" s="381"/>
    </row>
    <row r="876">
      <c r="A876" s="381"/>
      <c r="B876" s="18"/>
      <c r="C876" s="359"/>
      <c r="D876" s="359"/>
      <c r="E876" s="381"/>
      <c r="F876" s="381"/>
      <c r="G876" s="381"/>
      <c r="H876" s="381"/>
      <c r="I876" s="381"/>
      <c r="J876" s="381"/>
      <c r="K876" s="381"/>
      <c r="L876" s="381"/>
      <c r="M876" s="381"/>
      <c r="N876" s="381"/>
      <c r="O876" s="381"/>
      <c r="P876" s="381"/>
      <c r="Q876" s="381"/>
      <c r="R876" s="381"/>
      <c r="S876" s="381"/>
      <c r="T876" s="381"/>
      <c r="U876" s="381"/>
      <c r="V876" s="381"/>
      <c r="W876" s="381"/>
      <c r="X876" s="381"/>
      <c r="Y876" s="381"/>
      <c r="Z876" s="381"/>
    </row>
    <row r="877">
      <c r="A877" s="381"/>
      <c r="B877" s="18"/>
      <c r="C877" s="359"/>
      <c r="D877" s="359"/>
      <c r="E877" s="381"/>
      <c r="F877" s="381"/>
      <c r="G877" s="381"/>
      <c r="H877" s="381"/>
      <c r="I877" s="381"/>
      <c r="J877" s="381"/>
      <c r="K877" s="381"/>
      <c r="L877" s="381"/>
      <c r="M877" s="381"/>
      <c r="N877" s="381"/>
      <c r="O877" s="381"/>
      <c r="P877" s="381"/>
      <c r="Q877" s="381"/>
      <c r="R877" s="381"/>
      <c r="S877" s="381"/>
      <c r="T877" s="381"/>
      <c r="U877" s="381"/>
      <c r="V877" s="381"/>
      <c r="W877" s="381"/>
      <c r="X877" s="381"/>
      <c r="Y877" s="381"/>
      <c r="Z877" s="381"/>
    </row>
    <row r="878">
      <c r="A878" s="381"/>
      <c r="B878" s="18"/>
      <c r="C878" s="359"/>
      <c r="D878" s="359"/>
      <c r="E878" s="381"/>
      <c r="F878" s="381"/>
      <c r="G878" s="381"/>
      <c r="H878" s="381"/>
      <c r="I878" s="381"/>
      <c r="J878" s="381"/>
      <c r="K878" s="381"/>
      <c r="L878" s="381"/>
      <c r="M878" s="381"/>
      <c r="N878" s="381"/>
      <c r="O878" s="381"/>
      <c r="P878" s="381"/>
      <c r="Q878" s="381"/>
      <c r="R878" s="381"/>
      <c r="S878" s="381"/>
      <c r="T878" s="381"/>
      <c r="U878" s="381"/>
      <c r="V878" s="381"/>
      <c r="W878" s="381"/>
      <c r="X878" s="381"/>
      <c r="Y878" s="381"/>
      <c r="Z878" s="381"/>
    </row>
    <row r="879">
      <c r="A879" s="381"/>
      <c r="B879" s="18"/>
      <c r="C879" s="359"/>
      <c r="D879" s="359"/>
      <c r="E879" s="381"/>
      <c r="F879" s="381"/>
      <c r="G879" s="381"/>
      <c r="H879" s="381"/>
      <c r="I879" s="381"/>
      <c r="J879" s="381"/>
      <c r="K879" s="381"/>
      <c r="L879" s="381"/>
      <c r="M879" s="381"/>
      <c r="N879" s="381"/>
      <c r="O879" s="381"/>
      <c r="P879" s="381"/>
      <c r="Q879" s="381"/>
      <c r="R879" s="381"/>
      <c r="S879" s="381"/>
      <c r="T879" s="381"/>
      <c r="U879" s="381"/>
      <c r="V879" s="381"/>
      <c r="W879" s="381"/>
      <c r="X879" s="381"/>
      <c r="Y879" s="381"/>
      <c r="Z879" s="381"/>
    </row>
    <row r="880">
      <c r="A880" s="381"/>
      <c r="B880" s="18"/>
      <c r="C880" s="359"/>
      <c r="D880" s="359"/>
      <c r="E880" s="381"/>
      <c r="F880" s="381"/>
      <c r="G880" s="381"/>
      <c r="H880" s="381"/>
      <c r="I880" s="381"/>
      <c r="J880" s="381"/>
      <c r="K880" s="381"/>
      <c r="L880" s="381"/>
      <c r="M880" s="381"/>
      <c r="N880" s="381"/>
      <c r="O880" s="381"/>
      <c r="P880" s="381"/>
      <c r="Q880" s="381"/>
      <c r="R880" s="381"/>
      <c r="S880" s="381"/>
      <c r="T880" s="381"/>
      <c r="U880" s="381"/>
      <c r="V880" s="381"/>
      <c r="W880" s="381"/>
      <c r="X880" s="381"/>
      <c r="Y880" s="381"/>
      <c r="Z880" s="381"/>
    </row>
    <row r="881">
      <c r="A881" s="381"/>
      <c r="B881" s="18"/>
      <c r="C881" s="359"/>
      <c r="D881" s="359"/>
      <c r="E881" s="381"/>
      <c r="F881" s="381"/>
      <c r="G881" s="381"/>
      <c r="H881" s="381"/>
      <c r="I881" s="381"/>
      <c r="J881" s="381"/>
      <c r="K881" s="381"/>
      <c r="L881" s="381"/>
      <c r="M881" s="381"/>
      <c r="N881" s="381"/>
      <c r="O881" s="381"/>
      <c r="P881" s="381"/>
      <c r="Q881" s="381"/>
      <c r="R881" s="381"/>
      <c r="S881" s="381"/>
      <c r="T881" s="381"/>
      <c r="U881" s="381"/>
      <c r="V881" s="381"/>
      <c r="W881" s="381"/>
      <c r="X881" s="381"/>
      <c r="Y881" s="381"/>
      <c r="Z881" s="381"/>
    </row>
    <row r="882">
      <c r="A882" s="381"/>
      <c r="B882" s="18"/>
      <c r="C882" s="359"/>
      <c r="D882" s="359"/>
      <c r="E882" s="381"/>
      <c r="F882" s="381"/>
      <c r="G882" s="381"/>
      <c r="H882" s="381"/>
      <c r="I882" s="381"/>
      <c r="J882" s="381"/>
      <c r="K882" s="381"/>
      <c r="L882" s="381"/>
      <c r="M882" s="381"/>
      <c r="N882" s="381"/>
      <c r="O882" s="381"/>
      <c r="P882" s="381"/>
      <c r="Q882" s="381"/>
      <c r="R882" s="381"/>
      <c r="S882" s="381"/>
      <c r="T882" s="381"/>
      <c r="U882" s="381"/>
      <c r="V882" s="381"/>
      <c r="W882" s="381"/>
      <c r="X882" s="381"/>
      <c r="Y882" s="381"/>
      <c r="Z882" s="381"/>
    </row>
    <row r="883">
      <c r="A883" s="381"/>
      <c r="B883" s="18"/>
      <c r="C883" s="359"/>
      <c r="D883" s="359"/>
      <c r="E883" s="381"/>
      <c r="F883" s="381"/>
      <c r="G883" s="381"/>
      <c r="H883" s="381"/>
      <c r="I883" s="381"/>
      <c r="J883" s="381"/>
      <c r="K883" s="381"/>
      <c r="L883" s="381"/>
      <c r="M883" s="381"/>
      <c r="N883" s="381"/>
      <c r="O883" s="381"/>
      <c r="P883" s="381"/>
      <c r="Q883" s="381"/>
      <c r="R883" s="381"/>
      <c r="S883" s="381"/>
      <c r="T883" s="381"/>
      <c r="U883" s="381"/>
      <c r="V883" s="381"/>
      <c r="W883" s="381"/>
      <c r="X883" s="381"/>
      <c r="Y883" s="381"/>
      <c r="Z883" s="381"/>
    </row>
    <row r="884">
      <c r="A884" s="381"/>
      <c r="B884" s="18"/>
      <c r="C884" s="359"/>
      <c r="D884" s="359"/>
      <c r="E884" s="381"/>
      <c r="F884" s="381"/>
      <c r="G884" s="381"/>
      <c r="H884" s="381"/>
      <c r="I884" s="381"/>
      <c r="J884" s="381"/>
      <c r="K884" s="381"/>
      <c r="L884" s="381"/>
      <c r="M884" s="381"/>
      <c r="N884" s="381"/>
      <c r="O884" s="381"/>
      <c r="P884" s="381"/>
      <c r="Q884" s="381"/>
      <c r="R884" s="381"/>
      <c r="S884" s="381"/>
      <c r="T884" s="381"/>
      <c r="U884" s="381"/>
      <c r="V884" s="381"/>
      <c r="W884" s="381"/>
      <c r="X884" s="381"/>
      <c r="Y884" s="381"/>
      <c r="Z884" s="381"/>
    </row>
    <row r="885">
      <c r="A885" s="381"/>
      <c r="B885" s="18"/>
      <c r="C885" s="359"/>
      <c r="D885" s="359"/>
      <c r="E885" s="381"/>
      <c r="F885" s="381"/>
      <c r="G885" s="381"/>
      <c r="H885" s="381"/>
      <c r="I885" s="381"/>
      <c r="J885" s="381"/>
      <c r="K885" s="381"/>
      <c r="L885" s="381"/>
      <c r="M885" s="381"/>
      <c r="N885" s="381"/>
      <c r="O885" s="381"/>
      <c r="P885" s="381"/>
      <c r="Q885" s="381"/>
      <c r="R885" s="381"/>
      <c r="S885" s="381"/>
      <c r="T885" s="381"/>
      <c r="U885" s="381"/>
      <c r="V885" s="381"/>
      <c r="W885" s="381"/>
      <c r="X885" s="381"/>
      <c r="Y885" s="381"/>
      <c r="Z885" s="381"/>
    </row>
    <row r="886">
      <c r="A886" s="381"/>
      <c r="B886" s="18"/>
      <c r="C886" s="359"/>
      <c r="D886" s="359"/>
      <c r="E886" s="381"/>
      <c r="F886" s="381"/>
      <c r="G886" s="381"/>
      <c r="H886" s="381"/>
      <c r="I886" s="381"/>
      <c r="J886" s="381"/>
      <c r="K886" s="381"/>
      <c r="L886" s="381"/>
      <c r="M886" s="381"/>
      <c r="N886" s="381"/>
      <c r="O886" s="381"/>
      <c r="P886" s="381"/>
      <c r="Q886" s="381"/>
      <c r="R886" s="381"/>
      <c r="S886" s="381"/>
      <c r="T886" s="381"/>
      <c r="U886" s="381"/>
      <c r="V886" s="381"/>
      <c r="W886" s="381"/>
      <c r="X886" s="381"/>
      <c r="Y886" s="381"/>
      <c r="Z886" s="381"/>
    </row>
    <row r="887">
      <c r="A887" s="381"/>
      <c r="B887" s="18"/>
      <c r="C887" s="359"/>
      <c r="D887" s="359"/>
      <c r="E887" s="381"/>
      <c r="F887" s="381"/>
      <c r="G887" s="381"/>
      <c r="H887" s="381"/>
      <c r="I887" s="381"/>
      <c r="J887" s="381"/>
      <c r="K887" s="381"/>
      <c r="L887" s="381"/>
      <c r="M887" s="381"/>
      <c r="N887" s="381"/>
      <c r="O887" s="381"/>
      <c r="P887" s="381"/>
      <c r="Q887" s="381"/>
      <c r="R887" s="381"/>
      <c r="S887" s="381"/>
      <c r="T887" s="381"/>
      <c r="U887" s="381"/>
      <c r="V887" s="381"/>
      <c r="W887" s="381"/>
      <c r="X887" s="381"/>
      <c r="Y887" s="381"/>
      <c r="Z887" s="381"/>
    </row>
    <row r="888">
      <c r="A888" s="381"/>
      <c r="B888" s="18"/>
      <c r="C888" s="359"/>
      <c r="D888" s="359"/>
      <c r="E888" s="381"/>
      <c r="F888" s="381"/>
      <c r="G888" s="381"/>
      <c r="H888" s="381"/>
      <c r="I888" s="381"/>
      <c r="J888" s="381"/>
      <c r="K888" s="381"/>
      <c r="L888" s="381"/>
      <c r="M888" s="381"/>
      <c r="N888" s="381"/>
      <c r="O888" s="381"/>
      <c r="P888" s="381"/>
      <c r="Q888" s="381"/>
      <c r="R888" s="381"/>
      <c r="S888" s="381"/>
      <c r="T888" s="381"/>
      <c r="U888" s="381"/>
      <c r="V888" s="381"/>
      <c r="W888" s="381"/>
      <c r="X888" s="381"/>
      <c r="Y888" s="381"/>
      <c r="Z888" s="381"/>
    </row>
    <row r="889">
      <c r="A889" s="381"/>
      <c r="B889" s="18"/>
      <c r="C889" s="359"/>
      <c r="D889" s="359"/>
      <c r="E889" s="381"/>
      <c r="F889" s="381"/>
      <c r="G889" s="381"/>
      <c r="H889" s="381"/>
      <c r="I889" s="381"/>
      <c r="J889" s="381"/>
      <c r="K889" s="381"/>
      <c r="L889" s="381"/>
      <c r="M889" s="381"/>
      <c r="N889" s="381"/>
      <c r="O889" s="381"/>
      <c r="P889" s="381"/>
      <c r="Q889" s="381"/>
      <c r="R889" s="381"/>
      <c r="S889" s="381"/>
      <c r="T889" s="381"/>
      <c r="U889" s="381"/>
      <c r="V889" s="381"/>
      <c r="W889" s="381"/>
      <c r="X889" s="381"/>
      <c r="Y889" s="381"/>
      <c r="Z889" s="381"/>
    </row>
    <row r="890">
      <c r="A890" s="381"/>
      <c r="B890" s="18"/>
      <c r="C890" s="359"/>
      <c r="D890" s="359"/>
      <c r="E890" s="381"/>
      <c r="F890" s="381"/>
      <c r="G890" s="381"/>
      <c r="H890" s="381"/>
      <c r="I890" s="381"/>
      <c r="J890" s="381"/>
      <c r="K890" s="381"/>
      <c r="L890" s="381"/>
      <c r="M890" s="381"/>
      <c r="N890" s="381"/>
      <c r="O890" s="381"/>
      <c r="P890" s="381"/>
      <c r="Q890" s="381"/>
      <c r="R890" s="381"/>
      <c r="S890" s="381"/>
      <c r="T890" s="381"/>
      <c r="U890" s="381"/>
      <c r="V890" s="381"/>
      <c r="W890" s="381"/>
      <c r="X890" s="381"/>
      <c r="Y890" s="381"/>
      <c r="Z890" s="381"/>
    </row>
    <row r="891">
      <c r="A891" s="381"/>
      <c r="B891" s="18"/>
      <c r="C891" s="359"/>
      <c r="D891" s="359"/>
      <c r="E891" s="381"/>
      <c r="F891" s="381"/>
      <c r="G891" s="381"/>
      <c r="H891" s="381"/>
      <c r="I891" s="381"/>
      <c r="J891" s="381"/>
      <c r="K891" s="381"/>
      <c r="L891" s="381"/>
      <c r="M891" s="381"/>
      <c r="N891" s="381"/>
      <c r="O891" s="381"/>
      <c r="P891" s="381"/>
      <c r="Q891" s="381"/>
      <c r="R891" s="381"/>
      <c r="S891" s="381"/>
      <c r="T891" s="381"/>
      <c r="U891" s="381"/>
      <c r="V891" s="381"/>
      <c r="W891" s="381"/>
      <c r="X891" s="381"/>
      <c r="Y891" s="381"/>
      <c r="Z891" s="381"/>
    </row>
    <row r="892">
      <c r="A892" s="381"/>
      <c r="B892" s="18"/>
      <c r="C892" s="359"/>
      <c r="D892" s="359"/>
      <c r="E892" s="381"/>
      <c r="F892" s="381"/>
      <c r="G892" s="381"/>
      <c r="H892" s="381"/>
      <c r="I892" s="381"/>
      <c r="J892" s="381"/>
      <c r="K892" s="381"/>
      <c r="L892" s="381"/>
      <c r="M892" s="381"/>
      <c r="N892" s="381"/>
      <c r="O892" s="381"/>
      <c r="P892" s="381"/>
      <c r="Q892" s="381"/>
      <c r="R892" s="381"/>
      <c r="S892" s="381"/>
      <c r="T892" s="381"/>
      <c r="U892" s="381"/>
      <c r="V892" s="381"/>
      <c r="W892" s="381"/>
      <c r="X892" s="381"/>
      <c r="Y892" s="381"/>
      <c r="Z892" s="381"/>
    </row>
    <row r="893">
      <c r="A893" s="381"/>
      <c r="B893" s="18"/>
      <c r="C893" s="359"/>
      <c r="D893" s="359"/>
      <c r="E893" s="381"/>
      <c r="F893" s="381"/>
      <c r="G893" s="381"/>
      <c r="H893" s="381"/>
      <c r="I893" s="381"/>
      <c r="J893" s="381"/>
      <c r="K893" s="381"/>
      <c r="L893" s="381"/>
      <c r="M893" s="381"/>
      <c r="N893" s="381"/>
      <c r="O893" s="381"/>
      <c r="P893" s="381"/>
      <c r="Q893" s="381"/>
      <c r="R893" s="381"/>
      <c r="S893" s="381"/>
      <c r="T893" s="381"/>
      <c r="U893" s="381"/>
      <c r="V893" s="381"/>
      <c r="W893" s="381"/>
      <c r="X893" s="381"/>
      <c r="Y893" s="381"/>
      <c r="Z893" s="381"/>
    </row>
    <row r="894">
      <c r="A894" s="381"/>
      <c r="B894" s="18"/>
      <c r="C894" s="359"/>
      <c r="D894" s="359"/>
      <c r="E894" s="381"/>
      <c r="F894" s="381"/>
      <c r="G894" s="381"/>
      <c r="H894" s="381"/>
      <c r="I894" s="381"/>
      <c r="J894" s="381"/>
      <c r="K894" s="381"/>
      <c r="L894" s="381"/>
      <c r="M894" s="381"/>
      <c r="N894" s="381"/>
      <c r="O894" s="381"/>
      <c r="P894" s="381"/>
      <c r="Q894" s="381"/>
      <c r="R894" s="381"/>
      <c r="S894" s="381"/>
      <c r="T894" s="381"/>
      <c r="U894" s="381"/>
      <c r="V894" s="381"/>
      <c r="W894" s="381"/>
      <c r="X894" s="381"/>
      <c r="Y894" s="381"/>
      <c r="Z894" s="381"/>
    </row>
    <row r="895">
      <c r="A895" s="381"/>
      <c r="B895" s="18"/>
      <c r="C895" s="359"/>
      <c r="D895" s="359"/>
      <c r="E895" s="381"/>
      <c r="F895" s="381"/>
      <c r="G895" s="381"/>
      <c r="H895" s="381"/>
      <c r="I895" s="381"/>
      <c r="J895" s="381"/>
      <c r="K895" s="381"/>
      <c r="L895" s="381"/>
      <c r="M895" s="381"/>
      <c r="N895" s="381"/>
      <c r="O895" s="381"/>
      <c r="P895" s="381"/>
      <c r="Q895" s="381"/>
      <c r="R895" s="381"/>
      <c r="S895" s="381"/>
      <c r="T895" s="381"/>
      <c r="U895" s="381"/>
      <c r="V895" s="381"/>
      <c r="W895" s="381"/>
      <c r="X895" s="381"/>
      <c r="Y895" s="381"/>
      <c r="Z895" s="381"/>
    </row>
    <row r="896">
      <c r="A896" s="381"/>
      <c r="B896" s="18"/>
      <c r="C896" s="359"/>
      <c r="D896" s="359"/>
      <c r="E896" s="381"/>
      <c r="F896" s="381"/>
      <c r="G896" s="381"/>
      <c r="H896" s="381"/>
      <c r="I896" s="381"/>
      <c r="J896" s="381"/>
      <c r="K896" s="381"/>
      <c r="L896" s="381"/>
      <c r="M896" s="381"/>
      <c r="N896" s="381"/>
      <c r="O896" s="381"/>
      <c r="P896" s="381"/>
      <c r="Q896" s="381"/>
      <c r="R896" s="381"/>
      <c r="S896" s="381"/>
      <c r="T896" s="381"/>
      <c r="U896" s="381"/>
      <c r="V896" s="381"/>
      <c r="W896" s="381"/>
      <c r="X896" s="381"/>
      <c r="Y896" s="381"/>
      <c r="Z896" s="381"/>
    </row>
    <row r="897">
      <c r="A897" s="381"/>
      <c r="B897" s="18"/>
      <c r="C897" s="359"/>
      <c r="D897" s="359"/>
      <c r="E897" s="381"/>
      <c r="F897" s="381"/>
      <c r="G897" s="381"/>
      <c r="H897" s="381"/>
      <c r="I897" s="381"/>
      <c r="J897" s="381"/>
      <c r="K897" s="381"/>
      <c r="L897" s="381"/>
      <c r="M897" s="381"/>
      <c r="N897" s="381"/>
      <c r="O897" s="381"/>
      <c r="P897" s="381"/>
      <c r="Q897" s="381"/>
      <c r="R897" s="381"/>
      <c r="S897" s="381"/>
      <c r="T897" s="381"/>
      <c r="U897" s="381"/>
      <c r="V897" s="381"/>
      <c r="W897" s="381"/>
      <c r="X897" s="381"/>
      <c r="Y897" s="381"/>
      <c r="Z897" s="381"/>
    </row>
    <row r="898">
      <c r="A898" s="381"/>
      <c r="B898" s="18"/>
      <c r="C898" s="359"/>
      <c r="D898" s="359"/>
      <c r="E898" s="381"/>
      <c r="F898" s="381"/>
      <c r="G898" s="381"/>
      <c r="H898" s="381"/>
      <c r="I898" s="381"/>
      <c r="J898" s="381"/>
      <c r="K898" s="381"/>
      <c r="L898" s="381"/>
      <c r="M898" s="381"/>
      <c r="N898" s="381"/>
      <c r="O898" s="381"/>
      <c r="P898" s="381"/>
      <c r="Q898" s="381"/>
      <c r="R898" s="381"/>
      <c r="S898" s="381"/>
      <c r="T898" s="381"/>
      <c r="U898" s="381"/>
      <c r="V898" s="381"/>
      <c r="W898" s="381"/>
      <c r="X898" s="381"/>
      <c r="Y898" s="381"/>
      <c r="Z898" s="381"/>
    </row>
    <row r="899">
      <c r="A899" s="381"/>
      <c r="B899" s="18"/>
      <c r="C899" s="359"/>
      <c r="D899" s="359"/>
      <c r="E899" s="381"/>
      <c r="F899" s="381"/>
      <c r="G899" s="381"/>
      <c r="H899" s="381"/>
      <c r="I899" s="381"/>
      <c r="J899" s="381"/>
      <c r="K899" s="381"/>
      <c r="L899" s="381"/>
      <c r="M899" s="381"/>
      <c r="N899" s="381"/>
      <c r="O899" s="381"/>
      <c r="P899" s="381"/>
      <c r="Q899" s="381"/>
      <c r="R899" s="381"/>
      <c r="S899" s="381"/>
      <c r="T899" s="381"/>
      <c r="U899" s="381"/>
      <c r="V899" s="381"/>
      <c r="W899" s="381"/>
      <c r="X899" s="381"/>
      <c r="Y899" s="381"/>
      <c r="Z899" s="381"/>
    </row>
    <row r="900">
      <c r="A900" s="381"/>
      <c r="B900" s="18"/>
      <c r="C900" s="359"/>
      <c r="D900" s="359"/>
      <c r="E900" s="381"/>
      <c r="F900" s="381"/>
      <c r="G900" s="381"/>
      <c r="H900" s="381"/>
      <c r="I900" s="381"/>
      <c r="J900" s="381"/>
      <c r="K900" s="381"/>
      <c r="L900" s="381"/>
      <c r="M900" s="381"/>
      <c r="N900" s="381"/>
      <c r="O900" s="381"/>
      <c r="P900" s="381"/>
      <c r="Q900" s="381"/>
      <c r="R900" s="381"/>
      <c r="S900" s="381"/>
      <c r="T900" s="381"/>
      <c r="U900" s="381"/>
      <c r="V900" s="381"/>
      <c r="W900" s="381"/>
      <c r="X900" s="381"/>
      <c r="Y900" s="381"/>
      <c r="Z900" s="381"/>
    </row>
    <row r="901">
      <c r="A901" s="381"/>
      <c r="B901" s="18"/>
      <c r="C901" s="359"/>
      <c r="D901" s="359"/>
      <c r="E901" s="381"/>
      <c r="F901" s="381"/>
      <c r="G901" s="381"/>
      <c r="H901" s="381"/>
      <c r="I901" s="381"/>
      <c r="J901" s="381"/>
      <c r="K901" s="381"/>
      <c r="L901" s="381"/>
      <c r="M901" s="381"/>
      <c r="N901" s="381"/>
      <c r="O901" s="381"/>
      <c r="P901" s="381"/>
      <c r="Q901" s="381"/>
      <c r="R901" s="381"/>
      <c r="S901" s="381"/>
      <c r="T901" s="381"/>
      <c r="U901" s="381"/>
      <c r="V901" s="381"/>
      <c r="W901" s="381"/>
      <c r="X901" s="381"/>
      <c r="Y901" s="381"/>
      <c r="Z901" s="381"/>
    </row>
    <row r="902">
      <c r="A902" s="381"/>
      <c r="B902" s="18"/>
      <c r="C902" s="359"/>
      <c r="D902" s="359"/>
      <c r="E902" s="381"/>
      <c r="F902" s="381"/>
      <c r="G902" s="381"/>
      <c r="H902" s="381"/>
      <c r="I902" s="381"/>
      <c r="J902" s="381"/>
      <c r="K902" s="381"/>
      <c r="L902" s="381"/>
      <c r="M902" s="381"/>
      <c r="N902" s="381"/>
      <c r="O902" s="381"/>
      <c r="P902" s="381"/>
      <c r="Q902" s="381"/>
      <c r="R902" s="381"/>
      <c r="S902" s="381"/>
      <c r="T902" s="381"/>
      <c r="U902" s="381"/>
      <c r="V902" s="381"/>
      <c r="W902" s="381"/>
      <c r="X902" s="381"/>
      <c r="Y902" s="381"/>
      <c r="Z902" s="381"/>
    </row>
    <row r="903">
      <c r="A903" s="381"/>
      <c r="B903" s="18"/>
      <c r="C903" s="359"/>
      <c r="D903" s="359"/>
      <c r="E903" s="381"/>
      <c r="F903" s="381"/>
      <c r="G903" s="381"/>
      <c r="H903" s="381"/>
      <c r="I903" s="381"/>
      <c r="J903" s="381"/>
      <c r="K903" s="381"/>
      <c r="L903" s="381"/>
      <c r="M903" s="381"/>
      <c r="N903" s="381"/>
      <c r="O903" s="381"/>
      <c r="P903" s="381"/>
      <c r="Q903" s="381"/>
      <c r="R903" s="381"/>
      <c r="S903" s="381"/>
      <c r="T903" s="381"/>
      <c r="U903" s="381"/>
      <c r="V903" s="381"/>
      <c r="W903" s="381"/>
      <c r="X903" s="381"/>
      <c r="Y903" s="381"/>
      <c r="Z903" s="381"/>
    </row>
    <row r="904">
      <c r="A904" s="381"/>
      <c r="B904" s="18"/>
      <c r="C904" s="359"/>
      <c r="D904" s="359"/>
      <c r="E904" s="381"/>
      <c r="F904" s="381"/>
      <c r="G904" s="381"/>
      <c r="H904" s="381"/>
      <c r="I904" s="381"/>
      <c r="J904" s="381"/>
      <c r="K904" s="381"/>
      <c r="L904" s="381"/>
      <c r="M904" s="381"/>
      <c r="N904" s="381"/>
      <c r="O904" s="381"/>
      <c r="P904" s="381"/>
      <c r="Q904" s="381"/>
      <c r="R904" s="381"/>
      <c r="S904" s="381"/>
      <c r="T904" s="381"/>
      <c r="U904" s="381"/>
      <c r="V904" s="381"/>
      <c r="W904" s="381"/>
      <c r="X904" s="381"/>
      <c r="Y904" s="381"/>
      <c r="Z904" s="381"/>
    </row>
    <row r="905">
      <c r="A905" s="381"/>
      <c r="B905" s="18"/>
      <c r="C905" s="359"/>
      <c r="D905" s="359"/>
      <c r="E905" s="381"/>
      <c r="F905" s="381"/>
      <c r="G905" s="381"/>
      <c r="H905" s="381"/>
      <c r="I905" s="381"/>
      <c r="J905" s="381"/>
      <c r="K905" s="381"/>
      <c r="L905" s="381"/>
      <c r="M905" s="381"/>
      <c r="N905" s="381"/>
      <c r="O905" s="381"/>
      <c r="P905" s="381"/>
      <c r="Q905" s="381"/>
      <c r="R905" s="381"/>
      <c r="S905" s="381"/>
      <c r="T905" s="381"/>
      <c r="U905" s="381"/>
      <c r="V905" s="381"/>
      <c r="W905" s="381"/>
      <c r="X905" s="381"/>
      <c r="Y905" s="381"/>
      <c r="Z905" s="381"/>
    </row>
    <row r="906">
      <c r="A906" s="381"/>
      <c r="B906" s="18"/>
      <c r="C906" s="359"/>
      <c r="D906" s="359"/>
      <c r="E906" s="381"/>
      <c r="F906" s="381"/>
      <c r="G906" s="381"/>
      <c r="H906" s="381"/>
      <c r="I906" s="381"/>
      <c r="J906" s="381"/>
      <c r="K906" s="381"/>
      <c r="L906" s="381"/>
      <c r="M906" s="381"/>
      <c r="N906" s="381"/>
      <c r="O906" s="381"/>
      <c r="P906" s="381"/>
      <c r="Q906" s="381"/>
      <c r="R906" s="381"/>
      <c r="S906" s="381"/>
      <c r="T906" s="381"/>
      <c r="U906" s="381"/>
      <c r="V906" s="381"/>
      <c r="W906" s="381"/>
      <c r="X906" s="381"/>
      <c r="Y906" s="381"/>
      <c r="Z906" s="381"/>
    </row>
    <row r="907">
      <c r="A907" s="381"/>
      <c r="B907" s="18"/>
      <c r="C907" s="359"/>
      <c r="D907" s="359"/>
      <c r="E907" s="381"/>
      <c r="F907" s="381"/>
      <c r="G907" s="381"/>
      <c r="H907" s="381"/>
      <c r="I907" s="381"/>
      <c r="J907" s="381"/>
      <c r="K907" s="381"/>
      <c r="L907" s="381"/>
      <c r="M907" s="381"/>
      <c r="N907" s="381"/>
      <c r="O907" s="381"/>
      <c r="P907" s="381"/>
      <c r="Q907" s="381"/>
      <c r="R907" s="381"/>
      <c r="S907" s="381"/>
      <c r="T907" s="381"/>
      <c r="U907" s="381"/>
      <c r="V907" s="381"/>
      <c r="W907" s="381"/>
      <c r="X907" s="381"/>
      <c r="Y907" s="381"/>
      <c r="Z907" s="381"/>
    </row>
    <row r="908">
      <c r="A908" s="381"/>
      <c r="B908" s="18"/>
      <c r="C908" s="359"/>
      <c r="D908" s="359"/>
      <c r="E908" s="381"/>
      <c r="F908" s="381"/>
      <c r="G908" s="381"/>
      <c r="H908" s="381"/>
      <c r="I908" s="381"/>
      <c r="J908" s="381"/>
      <c r="K908" s="381"/>
      <c r="L908" s="381"/>
      <c r="M908" s="381"/>
      <c r="N908" s="381"/>
      <c r="O908" s="381"/>
      <c r="P908" s="381"/>
      <c r="Q908" s="381"/>
      <c r="R908" s="381"/>
      <c r="S908" s="381"/>
      <c r="T908" s="381"/>
      <c r="U908" s="381"/>
      <c r="V908" s="381"/>
      <c r="W908" s="381"/>
      <c r="X908" s="381"/>
      <c r="Y908" s="381"/>
      <c r="Z908" s="381"/>
    </row>
    <row r="909">
      <c r="A909" s="381"/>
      <c r="B909" s="18"/>
      <c r="C909" s="359"/>
      <c r="D909" s="359"/>
      <c r="E909" s="381"/>
      <c r="F909" s="381"/>
      <c r="G909" s="381"/>
      <c r="H909" s="381"/>
      <c r="I909" s="381"/>
      <c r="J909" s="381"/>
      <c r="K909" s="381"/>
      <c r="L909" s="381"/>
      <c r="M909" s="381"/>
      <c r="N909" s="381"/>
      <c r="O909" s="381"/>
      <c r="P909" s="381"/>
      <c r="Q909" s="381"/>
      <c r="R909" s="381"/>
      <c r="S909" s="381"/>
      <c r="T909" s="381"/>
      <c r="U909" s="381"/>
      <c r="V909" s="381"/>
      <c r="W909" s="381"/>
      <c r="X909" s="381"/>
      <c r="Y909" s="381"/>
      <c r="Z909" s="381"/>
    </row>
    <row r="910">
      <c r="A910" s="381"/>
      <c r="B910" s="18"/>
      <c r="C910" s="359"/>
      <c r="D910" s="359"/>
      <c r="E910" s="381"/>
      <c r="F910" s="381"/>
      <c r="G910" s="381"/>
      <c r="H910" s="381"/>
      <c r="I910" s="381"/>
      <c r="J910" s="381"/>
      <c r="K910" s="381"/>
      <c r="L910" s="381"/>
      <c r="M910" s="381"/>
      <c r="N910" s="381"/>
      <c r="O910" s="381"/>
      <c r="P910" s="381"/>
      <c r="Q910" s="381"/>
      <c r="R910" s="381"/>
      <c r="S910" s="381"/>
      <c r="T910" s="381"/>
      <c r="U910" s="381"/>
      <c r="V910" s="381"/>
      <c r="W910" s="381"/>
      <c r="X910" s="381"/>
      <c r="Y910" s="381"/>
      <c r="Z910" s="381"/>
    </row>
    <row r="911">
      <c r="A911" s="381"/>
      <c r="B911" s="18"/>
      <c r="C911" s="359"/>
      <c r="D911" s="359"/>
      <c r="E911" s="381"/>
      <c r="F911" s="381"/>
      <c r="G911" s="381"/>
      <c r="H911" s="381"/>
      <c r="I911" s="381"/>
      <c r="J911" s="381"/>
      <c r="K911" s="381"/>
      <c r="L911" s="381"/>
      <c r="M911" s="381"/>
      <c r="N911" s="381"/>
      <c r="O911" s="381"/>
      <c r="P911" s="381"/>
      <c r="Q911" s="381"/>
      <c r="R911" s="381"/>
      <c r="S911" s="381"/>
      <c r="T911" s="381"/>
      <c r="U911" s="381"/>
      <c r="V911" s="381"/>
      <c r="W911" s="381"/>
      <c r="X911" s="381"/>
      <c r="Y911" s="381"/>
      <c r="Z911" s="381"/>
    </row>
    <row r="912">
      <c r="A912" s="381"/>
      <c r="B912" s="18"/>
      <c r="C912" s="359"/>
      <c r="D912" s="359"/>
      <c r="E912" s="381"/>
      <c r="F912" s="381"/>
      <c r="G912" s="381"/>
      <c r="H912" s="381"/>
      <c r="I912" s="381"/>
      <c r="J912" s="381"/>
      <c r="K912" s="381"/>
      <c r="L912" s="381"/>
      <c r="M912" s="381"/>
      <c r="N912" s="381"/>
      <c r="O912" s="381"/>
      <c r="P912" s="381"/>
      <c r="Q912" s="381"/>
      <c r="R912" s="381"/>
      <c r="S912" s="381"/>
      <c r="T912" s="381"/>
      <c r="U912" s="381"/>
      <c r="V912" s="381"/>
      <c r="W912" s="381"/>
      <c r="X912" s="381"/>
      <c r="Y912" s="381"/>
      <c r="Z912" s="381"/>
    </row>
    <row r="913">
      <c r="A913" s="381"/>
      <c r="B913" s="18"/>
      <c r="C913" s="359"/>
      <c r="D913" s="359"/>
      <c r="E913" s="381"/>
      <c r="F913" s="381"/>
      <c r="G913" s="381"/>
      <c r="H913" s="381"/>
      <c r="I913" s="381"/>
      <c r="J913" s="381"/>
      <c r="K913" s="381"/>
      <c r="L913" s="381"/>
      <c r="M913" s="381"/>
      <c r="N913" s="381"/>
      <c r="O913" s="381"/>
      <c r="P913" s="381"/>
      <c r="Q913" s="381"/>
      <c r="R913" s="381"/>
      <c r="S913" s="381"/>
      <c r="T913" s="381"/>
      <c r="U913" s="381"/>
      <c r="V913" s="381"/>
      <c r="W913" s="381"/>
      <c r="X913" s="381"/>
      <c r="Y913" s="381"/>
      <c r="Z913" s="381"/>
    </row>
    <row r="914">
      <c r="A914" s="381"/>
      <c r="B914" s="18"/>
      <c r="C914" s="359"/>
      <c r="D914" s="359"/>
      <c r="E914" s="381"/>
      <c r="F914" s="381"/>
      <c r="G914" s="381"/>
      <c r="H914" s="381"/>
      <c r="I914" s="381"/>
      <c r="J914" s="381"/>
      <c r="K914" s="381"/>
      <c r="L914" s="381"/>
      <c r="M914" s="381"/>
      <c r="N914" s="381"/>
      <c r="O914" s="381"/>
      <c r="P914" s="381"/>
      <c r="Q914" s="381"/>
      <c r="R914" s="381"/>
      <c r="S914" s="381"/>
      <c r="T914" s="381"/>
      <c r="U914" s="381"/>
      <c r="V914" s="381"/>
      <c r="W914" s="381"/>
      <c r="X914" s="381"/>
      <c r="Y914" s="381"/>
      <c r="Z914" s="381"/>
    </row>
    <row r="915">
      <c r="A915" s="381"/>
      <c r="B915" s="18"/>
      <c r="C915" s="359"/>
      <c r="D915" s="359"/>
      <c r="E915" s="381"/>
      <c r="F915" s="381"/>
      <c r="G915" s="381"/>
      <c r="H915" s="381"/>
      <c r="I915" s="381"/>
      <c r="J915" s="381"/>
      <c r="K915" s="381"/>
      <c r="L915" s="381"/>
      <c r="M915" s="381"/>
      <c r="N915" s="381"/>
      <c r="O915" s="381"/>
      <c r="P915" s="381"/>
      <c r="Q915" s="381"/>
      <c r="R915" s="381"/>
      <c r="S915" s="381"/>
      <c r="T915" s="381"/>
      <c r="U915" s="381"/>
      <c r="V915" s="381"/>
      <c r="W915" s="381"/>
      <c r="X915" s="381"/>
      <c r="Y915" s="381"/>
      <c r="Z915" s="381"/>
    </row>
    <row r="916">
      <c r="A916" s="381"/>
      <c r="B916" s="18"/>
      <c r="C916" s="359"/>
      <c r="D916" s="359"/>
      <c r="E916" s="381"/>
      <c r="F916" s="381"/>
      <c r="G916" s="381"/>
      <c r="H916" s="381"/>
      <c r="I916" s="381"/>
      <c r="J916" s="381"/>
      <c r="K916" s="381"/>
      <c r="L916" s="381"/>
      <c r="M916" s="381"/>
      <c r="N916" s="381"/>
      <c r="O916" s="381"/>
      <c r="P916" s="381"/>
      <c r="Q916" s="381"/>
      <c r="R916" s="381"/>
      <c r="S916" s="381"/>
      <c r="T916" s="381"/>
      <c r="U916" s="381"/>
      <c r="V916" s="381"/>
      <c r="W916" s="381"/>
      <c r="X916" s="381"/>
      <c r="Y916" s="381"/>
      <c r="Z916" s="381"/>
    </row>
    <row r="917">
      <c r="A917" s="381"/>
      <c r="B917" s="18"/>
      <c r="C917" s="359"/>
      <c r="D917" s="359"/>
      <c r="E917" s="381"/>
      <c r="F917" s="381"/>
      <c r="G917" s="381"/>
      <c r="H917" s="381"/>
      <c r="I917" s="381"/>
      <c r="J917" s="381"/>
      <c r="K917" s="381"/>
      <c r="L917" s="381"/>
      <c r="M917" s="381"/>
      <c r="N917" s="381"/>
      <c r="O917" s="381"/>
      <c r="P917" s="381"/>
      <c r="Q917" s="381"/>
      <c r="R917" s="381"/>
      <c r="S917" s="381"/>
      <c r="T917" s="381"/>
      <c r="U917" s="381"/>
      <c r="V917" s="381"/>
      <c r="W917" s="381"/>
      <c r="X917" s="381"/>
      <c r="Y917" s="381"/>
      <c r="Z917" s="381"/>
    </row>
    <row r="918">
      <c r="A918" s="381"/>
      <c r="B918" s="18"/>
      <c r="C918" s="359"/>
      <c r="D918" s="359"/>
      <c r="E918" s="381"/>
      <c r="F918" s="381"/>
      <c r="G918" s="381"/>
      <c r="H918" s="381"/>
      <c r="I918" s="381"/>
      <c r="J918" s="381"/>
      <c r="K918" s="381"/>
      <c r="L918" s="381"/>
      <c r="M918" s="381"/>
      <c r="N918" s="381"/>
      <c r="O918" s="381"/>
      <c r="P918" s="381"/>
      <c r="Q918" s="381"/>
      <c r="R918" s="381"/>
      <c r="S918" s="381"/>
      <c r="T918" s="381"/>
      <c r="U918" s="381"/>
      <c r="V918" s="381"/>
      <c r="W918" s="381"/>
      <c r="X918" s="381"/>
      <c r="Y918" s="381"/>
      <c r="Z918" s="381"/>
    </row>
    <row r="919">
      <c r="A919" s="381"/>
      <c r="B919" s="18"/>
      <c r="C919" s="359"/>
      <c r="D919" s="359"/>
      <c r="E919" s="381"/>
      <c r="F919" s="381"/>
      <c r="G919" s="381"/>
      <c r="H919" s="381"/>
      <c r="I919" s="381"/>
      <c r="J919" s="381"/>
      <c r="K919" s="381"/>
      <c r="L919" s="381"/>
      <c r="M919" s="381"/>
      <c r="N919" s="381"/>
      <c r="O919" s="381"/>
      <c r="P919" s="381"/>
      <c r="Q919" s="381"/>
      <c r="R919" s="381"/>
      <c r="S919" s="381"/>
      <c r="T919" s="381"/>
      <c r="U919" s="381"/>
      <c r="V919" s="381"/>
      <c r="W919" s="381"/>
      <c r="X919" s="381"/>
      <c r="Y919" s="381"/>
      <c r="Z919" s="381"/>
    </row>
    <row r="920">
      <c r="A920" s="381"/>
      <c r="B920" s="18"/>
      <c r="C920" s="359"/>
      <c r="D920" s="359"/>
      <c r="E920" s="381"/>
      <c r="F920" s="381"/>
      <c r="G920" s="381"/>
      <c r="H920" s="381"/>
      <c r="I920" s="381"/>
      <c r="J920" s="381"/>
      <c r="K920" s="381"/>
      <c r="L920" s="381"/>
      <c r="M920" s="381"/>
      <c r="N920" s="381"/>
      <c r="O920" s="381"/>
      <c r="P920" s="381"/>
      <c r="Q920" s="381"/>
      <c r="R920" s="381"/>
      <c r="S920" s="381"/>
      <c r="T920" s="381"/>
      <c r="U920" s="381"/>
      <c r="V920" s="381"/>
      <c r="W920" s="381"/>
      <c r="X920" s="381"/>
      <c r="Y920" s="381"/>
      <c r="Z920" s="381"/>
    </row>
    <row r="921">
      <c r="A921" s="381"/>
      <c r="B921" s="18"/>
      <c r="C921" s="359"/>
      <c r="D921" s="359"/>
      <c r="E921" s="381"/>
      <c r="F921" s="381"/>
      <c r="G921" s="381"/>
      <c r="H921" s="381"/>
      <c r="I921" s="381"/>
      <c r="J921" s="381"/>
      <c r="K921" s="381"/>
      <c r="L921" s="381"/>
      <c r="M921" s="381"/>
      <c r="N921" s="381"/>
      <c r="O921" s="381"/>
      <c r="P921" s="381"/>
      <c r="Q921" s="381"/>
      <c r="R921" s="381"/>
      <c r="S921" s="381"/>
      <c r="T921" s="381"/>
      <c r="U921" s="381"/>
      <c r="V921" s="381"/>
      <c r="W921" s="381"/>
      <c r="X921" s="381"/>
      <c r="Y921" s="381"/>
      <c r="Z921" s="381"/>
    </row>
    <row r="922">
      <c r="A922" s="381"/>
      <c r="B922" s="18"/>
      <c r="C922" s="359"/>
      <c r="D922" s="359"/>
      <c r="E922" s="381"/>
      <c r="F922" s="381"/>
      <c r="G922" s="381"/>
      <c r="H922" s="381"/>
      <c r="I922" s="381"/>
      <c r="J922" s="381"/>
      <c r="K922" s="381"/>
      <c r="L922" s="381"/>
      <c r="M922" s="381"/>
      <c r="N922" s="381"/>
      <c r="O922" s="381"/>
      <c r="P922" s="381"/>
      <c r="Q922" s="381"/>
      <c r="R922" s="381"/>
      <c r="S922" s="381"/>
      <c r="T922" s="381"/>
      <c r="U922" s="381"/>
      <c r="V922" s="381"/>
      <c r="W922" s="381"/>
      <c r="X922" s="381"/>
      <c r="Y922" s="381"/>
      <c r="Z922" s="381"/>
    </row>
    <row r="923">
      <c r="A923" s="381"/>
      <c r="B923" s="18"/>
      <c r="C923" s="359"/>
      <c r="D923" s="359"/>
      <c r="E923" s="381"/>
      <c r="F923" s="381"/>
      <c r="G923" s="381"/>
      <c r="H923" s="381"/>
      <c r="I923" s="381"/>
      <c r="J923" s="381"/>
      <c r="K923" s="381"/>
      <c r="L923" s="381"/>
      <c r="M923" s="381"/>
      <c r="N923" s="381"/>
      <c r="O923" s="381"/>
      <c r="P923" s="381"/>
      <c r="Q923" s="381"/>
      <c r="R923" s="381"/>
      <c r="S923" s="381"/>
      <c r="T923" s="381"/>
      <c r="U923" s="381"/>
      <c r="V923" s="381"/>
      <c r="W923" s="381"/>
      <c r="X923" s="381"/>
      <c r="Y923" s="381"/>
      <c r="Z923" s="381"/>
    </row>
    <row r="924">
      <c r="A924" s="381"/>
      <c r="B924" s="18"/>
      <c r="C924" s="359"/>
      <c r="D924" s="359"/>
      <c r="E924" s="381"/>
      <c r="F924" s="381"/>
      <c r="G924" s="381"/>
      <c r="H924" s="381"/>
      <c r="I924" s="381"/>
      <c r="J924" s="381"/>
      <c r="K924" s="381"/>
      <c r="L924" s="381"/>
      <c r="M924" s="381"/>
      <c r="N924" s="381"/>
      <c r="O924" s="381"/>
      <c r="P924" s="381"/>
      <c r="Q924" s="381"/>
      <c r="R924" s="381"/>
      <c r="S924" s="381"/>
      <c r="T924" s="381"/>
      <c r="U924" s="381"/>
      <c r="V924" s="381"/>
      <c r="W924" s="381"/>
      <c r="X924" s="381"/>
      <c r="Y924" s="381"/>
      <c r="Z924" s="381"/>
    </row>
    <row r="925">
      <c r="A925" s="381"/>
      <c r="B925" s="18"/>
      <c r="C925" s="359"/>
      <c r="D925" s="359"/>
      <c r="E925" s="381"/>
      <c r="F925" s="381"/>
      <c r="G925" s="381"/>
      <c r="H925" s="381"/>
      <c r="I925" s="381"/>
      <c r="J925" s="381"/>
      <c r="K925" s="381"/>
      <c r="L925" s="381"/>
      <c r="M925" s="381"/>
      <c r="N925" s="381"/>
      <c r="O925" s="381"/>
      <c r="P925" s="381"/>
      <c r="Q925" s="381"/>
      <c r="R925" s="381"/>
      <c r="S925" s="381"/>
      <c r="T925" s="381"/>
      <c r="U925" s="381"/>
      <c r="V925" s="381"/>
      <c r="W925" s="381"/>
      <c r="X925" s="381"/>
      <c r="Y925" s="381"/>
      <c r="Z925" s="381"/>
    </row>
    <row r="926">
      <c r="A926" s="381"/>
      <c r="B926" s="18"/>
      <c r="C926" s="359"/>
      <c r="D926" s="359"/>
      <c r="E926" s="381"/>
      <c r="F926" s="381"/>
      <c r="G926" s="381"/>
      <c r="H926" s="381"/>
      <c r="I926" s="381"/>
      <c r="J926" s="381"/>
      <c r="K926" s="381"/>
      <c r="L926" s="381"/>
      <c r="M926" s="381"/>
      <c r="N926" s="381"/>
      <c r="O926" s="381"/>
      <c r="P926" s="381"/>
      <c r="Q926" s="381"/>
      <c r="R926" s="381"/>
      <c r="S926" s="381"/>
      <c r="T926" s="381"/>
      <c r="U926" s="381"/>
      <c r="V926" s="381"/>
      <c r="W926" s="381"/>
      <c r="X926" s="381"/>
      <c r="Y926" s="381"/>
      <c r="Z926" s="381"/>
    </row>
    <row r="927">
      <c r="A927" s="381"/>
      <c r="B927" s="18"/>
      <c r="C927" s="359"/>
      <c r="D927" s="359"/>
      <c r="E927" s="381"/>
      <c r="F927" s="381"/>
      <c r="G927" s="381"/>
      <c r="H927" s="381"/>
      <c r="I927" s="381"/>
      <c r="J927" s="381"/>
      <c r="K927" s="381"/>
      <c r="L927" s="381"/>
      <c r="M927" s="381"/>
      <c r="N927" s="381"/>
      <c r="O927" s="381"/>
      <c r="P927" s="381"/>
      <c r="Q927" s="381"/>
      <c r="R927" s="381"/>
      <c r="S927" s="381"/>
      <c r="T927" s="381"/>
      <c r="U927" s="381"/>
      <c r="V927" s="381"/>
      <c r="W927" s="381"/>
      <c r="X927" s="381"/>
      <c r="Y927" s="381"/>
      <c r="Z927" s="381"/>
    </row>
    <row r="928">
      <c r="A928" s="381"/>
      <c r="B928" s="18"/>
      <c r="C928" s="359"/>
      <c r="D928" s="359"/>
      <c r="E928" s="381"/>
      <c r="F928" s="381"/>
      <c r="G928" s="381"/>
      <c r="H928" s="381"/>
      <c r="I928" s="381"/>
      <c r="J928" s="381"/>
      <c r="K928" s="381"/>
      <c r="L928" s="381"/>
      <c r="M928" s="381"/>
      <c r="N928" s="381"/>
      <c r="O928" s="381"/>
      <c r="P928" s="381"/>
      <c r="Q928" s="381"/>
      <c r="R928" s="381"/>
      <c r="S928" s="381"/>
      <c r="T928" s="381"/>
      <c r="U928" s="381"/>
      <c r="V928" s="381"/>
      <c r="W928" s="381"/>
      <c r="X928" s="381"/>
      <c r="Y928" s="381"/>
      <c r="Z928" s="381"/>
    </row>
    <row r="929">
      <c r="A929" s="381"/>
      <c r="B929" s="18"/>
      <c r="C929" s="359"/>
      <c r="D929" s="359"/>
      <c r="E929" s="381"/>
      <c r="F929" s="381"/>
      <c r="G929" s="381"/>
      <c r="H929" s="381"/>
      <c r="I929" s="381"/>
      <c r="J929" s="381"/>
      <c r="K929" s="381"/>
      <c r="L929" s="381"/>
      <c r="M929" s="381"/>
      <c r="N929" s="381"/>
      <c r="O929" s="381"/>
      <c r="P929" s="381"/>
      <c r="Q929" s="381"/>
      <c r="R929" s="381"/>
      <c r="S929" s="381"/>
      <c r="T929" s="381"/>
      <c r="U929" s="381"/>
      <c r="V929" s="381"/>
      <c r="W929" s="381"/>
      <c r="X929" s="381"/>
      <c r="Y929" s="381"/>
      <c r="Z929" s="381"/>
    </row>
    <row r="930">
      <c r="A930" s="381"/>
      <c r="B930" s="18"/>
      <c r="C930" s="359"/>
      <c r="D930" s="359"/>
      <c r="E930" s="381"/>
      <c r="F930" s="381"/>
      <c r="G930" s="381"/>
      <c r="H930" s="381"/>
      <c r="I930" s="381"/>
      <c r="J930" s="381"/>
      <c r="K930" s="381"/>
      <c r="L930" s="381"/>
      <c r="M930" s="381"/>
      <c r="N930" s="381"/>
      <c r="O930" s="381"/>
      <c r="P930" s="381"/>
      <c r="Q930" s="381"/>
      <c r="R930" s="381"/>
      <c r="S930" s="381"/>
      <c r="T930" s="381"/>
      <c r="U930" s="381"/>
      <c r="V930" s="381"/>
      <c r="W930" s="381"/>
      <c r="X930" s="381"/>
      <c r="Y930" s="381"/>
      <c r="Z930" s="381"/>
    </row>
    <row r="931">
      <c r="A931" s="381"/>
      <c r="B931" s="18"/>
      <c r="C931" s="359"/>
      <c r="D931" s="359"/>
      <c r="E931" s="381"/>
      <c r="F931" s="381"/>
      <c r="G931" s="381"/>
      <c r="H931" s="381"/>
      <c r="I931" s="381"/>
      <c r="J931" s="381"/>
      <c r="K931" s="381"/>
      <c r="L931" s="381"/>
      <c r="M931" s="381"/>
      <c r="N931" s="381"/>
      <c r="O931" s="381"/>
      <c r="P931" s="381"/>
      <c r="Q931" s="381"/>
      <c r="R931" s="381"/>
      <c r="S931" s="381"/>
      <c r="T931" s="381"/>
      <c r="U931" s="381"/>
      <c r="V931" s="381"/>
      <c r="W931" s="381"/>
      <c r="X931" s="381"/>
      <c r="Y931" s="381"/>
      <c r="Z931" s="381"/>
    </row>
    <row r="932">
      <c r="A932" s="381"/>
      <c r="B932" s="18"/>
      <c r="C932" s="359"/>
      <c r="D932" s="359"/>
      <c r="E932" s="381"/>
      <c r="F932" s="381"/>
      <c r="G932" s="381"/>
      <c r="H932" s="381"/>
      <c r="I932" s="381"/>
      <c r="J932" s="381"/>
      <c r="K932" s="381"/>
      <c r="L932" s="381"/>
      <c r="M932" s="381"/>
      <c r="N932" s="381"/>
      <c r="O932" s="381"/>
      <c r="P932" s="381"/>
      <c r="Q932" s="381"/>
      <c r="R932" s="381"/>
      <c r="S932" s="381"/>
      <c r="T932" s="381"/>
      <c r="U932" s="381"/>
      <c r="V932" s="381"/>
      <c r="W932" s="381"/>
      <c r="X932" s="381"/>
      <c r="Y932" s="381"/>
      <c r="Z932" s="381"/>
    </row>
    <row r="933">
      <c r="A933" s="381"/>
      <c r="B933" s="18"/>
      <c r="C933" s="359"/>
      <c r="D933" s="359"/>
      <c r="E933" s="381"/>
      <c r="F933" s="381"/>
      <c r="G933" s="381"/>
      <c r="H933" s="381"/>
      <c r="I933" s="381"/>
      <c r="J933" s="381"/>
      <c r="K933" s="381"/>
      <c r="L933" s="381"/>
      <c r="M933" s="381"/>
      <c r="N933" s="381"/>
      <c r="O933" s="381"/>
      <c r="P933" s="381"/>
      <c r="Q933" s="381"/>
      <c r="R933" s="381"/>
      <c r="S933" s="381"/>
      <c r="T933" s="381"/>
      <c r="U933" s="381"/>
      <c r="V933" s="381"/>
      <c r="W933" s="381"/>
      <c r="X933" s="381"/>
      <c r="Y933" s="381"/>
      <c r="Z933" s="381"/>
    </row>
    <row r="934">
      <c r="A934" s="381"/>
      <c r="B934" s="18"/>
      <c r="C934" s="359"/>
      <c r="D934" s="359"/>
      <c r="E934" s="381"/>
      <c r="F934" s="381"/>
      <c r="G934" s="381"/>
      <c r="H934" s="381"/>
      <c r="I934" s="381"/>
      <c r="J934" s="381"/>
      <c r="K934" s="381"/>
      <c r="L934" s="381"/>
      <c r="M934" s="381"/>
      <c r="N934" s="381"/>
      <c r="O934" s="381"/>
      <c r="P934" s="381"/>
      <c r="Q934" s="381"/>
      <c r="R934" s="381"/>
      <c r="S934" s="381"/>
      <c r="T934" s="381"/>
      <c r="U934" s="381"/>
      <c r="V934" s="381"/>
      <c r="W934" s="381"/>
      <c r="X934" s="381"/>
      <c r="Y934" s="381"/>
      <c r="Z934" s="381"/>
    </row>
    <row r="935">
      <c r="A935" s="381"/>
      <c r="B935" s="18"/>
      <c r="C935" s="359"/>
      <c r="D935" s="359"/>
      <c r="E935" s="381"/>
      <c r="F935" s="381"/>
      <c r="G935" s="381"/>
      <c r="H935" s="381"/>
      <c r="I935" s="381"/>
      <c r="J935" s="381"/>
      <c r="K935" s="381"/>
      <c r="L935" s="381"/>
      <c r="M935" s="381"/>
      <c r="N935" s="381"/>
      <c r="O935" s="381"/>
      <c r="P935" s="381"/>
      <c r="Q935" s="381"/>
      <c r="R935" s="381"/>
      <c r="S935" s="381"/>
      <c r="T935" s="381"/>
      <c r="U935" s="381"/>
      <c r="V935" s="381"/>
      <c r="W935" s="381"/>
      <c r="X935" s="381"/>
      <c r="Y935" s="381"/>
      <c r="Z935" s="381"/>
    </row>
    <row r="936">
      <c r="A936" s="381"/>
      <c r="B936" s="18"/>
      <c r="C936" s="359"/>
      <c r="D936" s="359"/>
      <c r="E936" s="381"/>
      <c r="F936" s="381"/>
      <c r="G936" s="381"/>
      <c r="H936" s="381"/>
      <c r="I936" s="381"/>
      <c r="J936" s="381"/>
      <c r="K936" s="381"/>
      <c r="L936" s="381"/>
      <c r="M936" s="381"/>
      <c r="N936" s="381"/>
      <c r="O936" s="381"/>
      <c r="P936" s="381"/>
      <c r="Q936" s="381"/>
      <c r="R936" s="381"/>
      <c r="S936" s="381"/>
      <c r="T936" s="381"/>
      <c r="U936" s="381"/>
      <c r="V936" s="381"/>
      <c r="W936" s="381"/>
      <c r="X936" s="381"/>
      <c r="Y936" s="381"/>
      <c r="Z936" s="381"/>
    </row>
    <row r="937">
      <c r="A937" s="381"/>
      <c r="B937" s="18"/>
      <c r="C937" s="359"/>
      <c r="D937" s="359"/>
      <c r="E937" s="381"/>
      <c r="F937" s="381"/>
      <c r="G937" s="381"/>
      <c r="H937" s="381"/>
      <c r="I937" s="381"/>
      <c r="J937" s="381"/>
      <c r="K937" s="381"/>
      <c r="L937" s="381"/>
      <c r="M937" s="381"/>
      <c r="N937" s="381"/>
      <c r="O937" s="381"/>
      <c r="P937" s="381"/>
      <c r="Q937" s="381"/>
      <c r="R937" s="381"/>
      <c r="S937" s="381"/>
      <c r="T937" s="381"/>
      <c r="U937" s="381"/>
      <c r="V937" s="381"/>
      <c r="W937" s="381"/>
      <c r="X937" s="381"/>
      <c r="Y937" s="381"/>
      <c r="Z937" s="381"/>
    </row>
    <row r="938">
      <c r="A938" s="381"/>
      <c r="B938" s="18"/>
      <c r="C938" s="359"/>
      <c r="D938" s="359"/>
      <c r="E938" s="381"/>
      <c r="F938" s="381"/>
      <c r="G938" s="381"/>
      <c r="H938" s="381"/>
      <c r="I938" s="381"/>
      <c r="J938" s="381"/>
      <c r="K938" s="381"/>
      <c r="L938" s="381"/>
      <c r="M938" s="381"/>
      <c r="N938" s="381"/>
      <c r="O938" s="381"/>
      <c r="P938" s="381"/>
      <c r="Q938" s="381"/>
      <c r="R938" s="381"/>
      <c r="S938" s="381"/>
      <c r="T938" s="381"/>
      <c r="U938" s="381"/>
      <c r="V938" s="381"/>
      <c r="W938" s="381"/>
      <c r="X938" s="381"/>
      <c r="Y938" s="381"/>
      <c r="Z938" s="381"/>
    </row>
    <row r="939">
      <c r="A939" s="381"/>
      <c r="B939" s="18"/>
      <c r="C939" s="359"/>
      <c r="D939" s="359"/>
      <c r="E939" s="381"/>
      <c r="F939" s="381"/>
      <c r="G939" s="381"/>
      <c r="H939" s="381"/>
      <c r="I939" s="381"/>
      <c r="J939" s="381"/>
      <c r="K939" s="381"/>
      <c r="L939" s="381"/>
      <c r="M939" s="381"/>
      <c r="N939" s="381"/>
      <c r="O939" s="381"/>
      <c r="P939" s="381"/>
      <c r="Q939" s="381"/>
      <c r="R939" s="381"/>
      <c r="S939" s="381"/>
      <c r="T939" s="381"/>
      <c r="U939" s="381"/>
      <c r="V939" s="381"/>
      <c r="W939" s="381"/>
      <c r="X939" s="381"/>
      <c r="Y939" s="381"/>
      <c r="Z939" s="381"/>
    </row>
    <row r="940">
      <c r="A940" s="381"/>
      <c r="B940" s="18"/>
      <c r="C940" s="359"/>
      <c r="D940" s="359"/>
      <c r="E940" s="381"/>
      <c r="F940" s="381"/>
      <c r="G940" s="381"/>
      <c r="H940" s="381"/>
      <c r="I940" s="381"/>
      <c r="J940" s="381"/>
      <c r="K940" s="381"/>
      <c r="L940" s="381"/>
      <c r="M940" s="381"/>
      <c r="N940" s="381"/>
      <c r="O940" s="381"/>
      <c r="P940" s="381"/>
      <c r="Q940" s="381"/>
      <c r="R940" s="381"/>
      <c r="S940" s="381"/>
      <c r="T940" s="381"/>
      <c r="U940" s="381"/>
      <c r="V940" s="381"/>
      <c r="W940" s="381"/>
      <c r="X940" s="381"/>
      <c r="Y940" s="381"/>
      <c r="Z940" s="381"/>
    </row>
    <row r="941">
      <c r="A941" s="381"/>
      <c r="B941" s="18"/>
      <c r="C941" s="359"/>
      <c r="D941" s="359"/>
      <c r="E941" s="381"/>
      <c r="F941" s="381"/>
      <c r="G941" s="381"/>
      <c r="H941" s="381"/>
      <c r="I941" s="381"/>
      <c r="J941" s="381"/>
      <c r="K941" s="381"/>
      <c r="L941" s="381"/>
      <c r="M941" s="381"/>
      <c r="N941" s="381"/>
      <c r="O941" s="381"/>
      <c r="P941" s="381"/>
      <c r="Q941" s="381"/>
      <c r="R941" s="381"/>
      <c r="S941" s="381"/>
      <c r="T941" s="381"/>
      <c r="U941" s="381"/>
      <c r="V941" s="381"/>
      <c r="W941" s="381"/>
      <c r="X941" s="381"/>
      <c r="Y941" s="381"/>
      <c r="Z941" s="381"/>
    </row>
    <row r="942">
      <c r="A942" s="381"/>
      <c r="B942" s="18"/>
      <c r="C942" s="359"/>
      <c r="D942" s="359"/>
      <c r="E942" s="381"/>
      <c r="F942" s="381"/>
      <c r="G942" s="381"/>
      <c r="H942" s="381"/>
      <c r="I942" s="381"/>
      <c r="J942" s="381"/>
      <c r="K942" s="381"/>
      <c r="L942" s="381"/>
      <c r="M942" s="381"/>
      <c r="N942" s="381"/>
      <c r="O942" s="381"/>
      <c r="P942" s="381"/>
      <c r="Q942" s="381"/>
      <c r="R942" s="381"/>
      <c r="S942" s="381"/>
      <c r="T942" s="381"/>
      <c r="U942" s="381"/>
      <c r="V942" s="381"/>
      <c r="W942" s="381"/>
      <c r="X942" s="381"/>
      <c r="Y942" s="381"/>
      <c r="Z942" s="381"/>
    </row>
    <row r="943">
      <c r="A943" s="381"/>
      <c r="B943" s="18"/>
      <c r="C943" s="359"/>
      <c r="D943" s="359"/>
      <c r="E943" s="381"/>
      <c r="F943" s="381"/>
      <c r="G943" s="381"/>
      <c r="H943" s="381"/>
      <c r="I943" s="381"/>
      <c r="J943" s="381"/>
      <c r="K943" s="381"/>
      <c r="L943" s="381"/>
      <c r="M943" s="381"/>
      <c r="N943" s="381"/>
      <c r="O943" s="381"/>
      <c r="P943" s="381"/>
      <c r="Q943" s="381"/>
      <c r="R943" s="381"/>
      <c r="S943" s="381"/>
      <c r="T943" s="381"/>
      <c r="U943" s="381"/>
      <c r="V943" s="381"/>
      <c r="W943" s="381"/>
      <c r="X943" s="381"/>
      <c r="Y943" s="381"/>
      <c r="Z943" s="381"/>
    </row>
    <row r="944">
      <c r="A944" s="381"/>
      <c r="B944" s="18"/>
      <c r="C944" s="359"/>
      <c r="D944" s="359"/>
      <c r="E944" s="381"/>
      <c r="F944" s="381"/>
      <c r="G944" s="381"/>
      <c r="H944" s="381"/>
      <c r="I944" s="381"/>
      <c r="J944" s="381"/>
      <c r="K944" s="381"/>
      <c r="L944" s="381"/>
      <c r="M944" s="381"/>
      <c r="N944" s="381"/>
      <c r="O944" s="381"/>
      <c r="P944" s="381"/>
      <c r="Q944" s="381"/>
      <c r="R944" s="381"/>
      <c r="S944" s="381"/>
      <c r="T944" s="381"/>
      <c r="U944" s="381"/>
      <c r="V944" s="381"/>
      <c r="W944" s="381"/>
      <c r="X944" s="381"/>
      <c r="Y944" s="381"/>
      <c r="Z944" s="381"/>
    </row>
    <row r="945">
      <c r="A945" s="381"/>
      <c r="B945" s="18"/>
      <c r="C945" s="359"/>
      <c r="D945" s="359"/>
      <c r="E945" s="381"/>
      <c r="F945" s="381"/>
      <c r="G945" s="381"/>
      <c r="H945" s="381"/>
      <c r="I945" s="381"/>
      <c r="J945" s="381"/>
      <c r="K945" s="381"/>
      <c r="L945" s="381"/>
      <c r="M945" s="381"/>
      <c r="N945" s="381"/>
      <c r="O945" s="381"/>
      <c r="P945" s="381"/>
      <c r="Q945" s="381"/>
      <c r="R945" s="381"/>
      <c r="S945" s="381"/>
      <c r="T945" s="381"/>
      <c r="U945" s="381"/>
      <c r="V945" s="381"/>
      <c r="W945" s="381"/>
      <c r="X945" s="381"/>
      <c r="Y945" s="381"/>
      <c r="Z945" s="381"/>
    </row>
    <row r="946">
      <c r="A946" s="381"/>
      <c r="B946" s="18"/>
      <c r="C946" s="359"/>
      <c r="D946" s="359"/>
      <c r="E946" s="381"/>
      <c r="F946" s="381"/>
      <c r="G946" s="381"/>
      <c r="H946" s="381"/>
      <c r="I946" s="381"/>
      <c r="J946" s="381"/>
      <c r="K946" s="381"/>
      <c r="L946" s="381"/>
      <c r="M946" s="381"/>
      <c r="N946" s="381"/>
      <c r="O946" s="381"/>
      <c r="P946" s="381"/>
      <c r="Q946" s="381"/>
      <c r="R946" s="381"/>
      <c r="S946" s="381"/>
      <c r="T946" s="381"/>
      <c r="U946" s="381"/>
      <c r="V946" s="381"/>
      <c r="W946" s="381"/>
      <c r="X946" s="381"/>
      <c r="Y946" s="381"/>
      <c r="Z946" s="381"/>
    </row>
    <row r="947">
      <c r="A947" s="381"/>
      <c r="B947" s="18"/>
      <c r="C947" s="359"/>
      <c r="D947" s="359"/>
      <c r="E947" s="381"/>
      <c r="F947" s="381"/>
      <c r="G947" s="381"/>
      <c r="H947" s="381"/>
      <c r="I947" s="381"/>
      <c r="J947" s="381"/>
      <c r="K947" s="381"/>
      <c r="L947" s="381"/>
      <c r="M947" s="381"/>
      <c r="N947" s="381"/>
      <c r="O947" s="381"/>
      <c r="P947" s="381"/>
      <c r="Q947" s="381"/>
      <c r="R947" s="381"/>
      <c r="S947" s="381"/>
      <c r="T947" s="381"/>
      <c r="U947" s="381"/>
      <c r="V947" s="381"/>
      <c r="W947" s="381"/>
      <c r="X947" s="381"/>
      <c r="Y947" s="381"/>
      <c r="Z947" s="381"/>
    </row>
    <row r="948">
      <c r="A948" s="381"/>
      <c r="B948" s="18"/>
      <c r="C948" s="359"/>
      <c r="D948" s="359"/>
      <c r="E948" s="381"/>
      <c r="F948" s="381"/>
      <c r="G948" s="381"/>
      <c r="H948" s="381"/>
      <c r="I948" s="381"/>
      <c r="J948" s="381"/>
      <c r="K948" s="381"/>
      <c r="L948" s="381"/>
      <c r="M948" s="381"/>
      <c r="N948" s="381"/>
      <c r="O948" s="381"/>
      <c r="P948" s="381"/>
      <c r="Q948" s="381"/>
      <c r="R948" s="381"/>
      <c r="S948" s="381"/>
      <c r="T948" s="381"/>
      <c r="U948" s="381"/>
      <c r="V948" s="381"/>
      <c r="W948" s="381"/>
      <c r="X948" s="381"/>
      <c r="Y948" s="381"/>
      <c r="Z948" s="381"/>
    </row>
    <row r="949">
      <c r="A949" s="381"/>
      <c r="B949" s="18"/>
      <c r="C949" s="359"/>
      <c r="D949" s="359"/>
      <c r="E949" s="381"/>
      <c r="F949" s="381"/>
      <c r="G949" s="381"/>
      <c r="H949" s="381"/>
      <c r="I949" s="381"/>
      <c r="J949" s="381"/>
      <c r="K949" s="381"/>
      <c r="L949" s="381"/>
      <c r="M949" s="381"/>
      <c r="N949" s="381"/>
      <c r="O949" s="381"/>
      <c r="P949" s="381"/>
      <c r="Q949" s="381"/>
      <c r="R949" s="381"/>
      <c r="S949" s="381"/>
      <c r="T949" s="381"/>
      <c r="U949" s="381"/>
      <c r="V949" s="381"/>
      <c r="W949" s="381"/>
      <c r="X949" s="381"/>
      <c r="Y949" s="381"/>
      <c r="Z949" s="381"/>
    </row>
    <row r="950">
      <c r="A950" s="381"/>
      <c r="B950" s="18"/>
      <c r="C950" s="359"/>
      <c r="D950" s="359"/>
      <c r="E950" s="381"/>
      <c r="F950" s="381"/>
      <c r="G950" s="381"/>
      <c r="H950" s="381"/>
      <c r="I950" s="381"/>
      <c r="J950" s="381"/>
      <c r="K950" s="381"/>
      <c r="L950" s="381"/>
      <c r="M950" s="381"/>
      <c r="N950" s="381"/>
      <c r="O950" s="381"/>
      <c r="P950" s="381"/>
      <c r="Q950" s="381"/>
      <c r="R950" s="381"/>
      <c r="S950" s="381"/>
      <c r="T950" s="381"/>
      <c r="U950" s="381"/>
      <c r="V950" s="381"/>
      <c r="W950" s="381"/>
      <c r="X950" s="381"/>
      <c r="Y950" s="381"/>
      <c r="Z950" s="381"/>
    </row>
    <row r="951">
      <c r="A951" s="381"/>
      <c r="B951" s="18"/>
      <c r="C951" s="359"/>
      <c r="D951" s="359"/>
      <c r="E951" s="381"/>
      <c r="F951" s="381"/>
      <c r="G951" s="381"/>
      <c r="H951" s="381"/>
      <c r="I951" s="381"/>
      <c r="J951" s="381"/>
      <c r="K951" s="381"/>
      <c r="L951" s="381"/>
      <c r="M951" s="381"/>
      <c r="N951" s="381"/>
      <c r="O951" s="381"/>
      <c r="P951" s="381"/>
      <c r="Q951" s="381"/>
      <c r="R951" s="381"/>
      <c r="S951" s="381"/>
      <c r="T951" s="381"/>
      <c r="U951" s="381"/>
      <c r="V951" s="381"/>
      <c r="W951" s="381"/>
      <c r="X951" s="381"/>
      <c r="Y951" s="381"/>
      <c r="Z951" s="381"/>
    </row>
    <row r="952">
      <c r="A952" s="381"/>
      <c r="B952" s="18"/>
      <c r="C952" s="359"/>
      <c r="D952" s="359"/>
      <c r="E952" s="381"/>
      <c r="F952" s="381"/>
      <c r="G952" s="381"/>
      <c r="H952" s="381"/>
      <c r="I952" s="381"/>
      <c r="J952" s="381"/>
      <c r="K952" s="381"/>
      <c r="L952" s="381"/>
      <c r="M952" s="381"/>
      <c r="N952" s="381"/>
      <c r="O952" s="381"/>
      <c r="P952" s="381"/>
      <c r="Q952" s="381"/>
      <c r="R952" s="381"/>
      <c r="S952" s="381"/>
      <c r="T952" s="381"/>
      <c r="U952" s="381"/>
      <c r="V952" s="381"/>
      <c r="W952" s="381"/>
      <c r="X952" s="381"/>
      <c r="Y952" s="381"/>
      <c r="Z952" s="381"/>
    </row>
    <row r="953">
      <c r="A953" s="381"/>
      <c r="B953" s="18"/>
      <c r="C953" s="359"/>
      <c r="D953" s="359"/>
      <c r="E953" s="381"/>
      <c r="F953" s="381"/>
      <c r="G953" s="381"/>
      <c r="H953" s="381"/>
      <c r="I953" s="381"/>
      <c r="J953" s="381"/>
      <c r="K953" s="381"/>
      <c r="L953" s="381"/>
      <c r="M953" s="381"/>
      <c r="N953" s="381"/>
      <c r="O953" s="381"/>
      <c r="P953" s="381"/>
      <c r="Q953" s="381"/>
      <c r="R953" s="381"/>
      <c r="S953" s="381"/>
      <c r="T953" s="381"/>
      <c r="U953" s="381"/>
      <c r="V953" s="381"/>
      <c r="W953" s="381"/>
      <c r="X953" s="381"/>
      <c r="Y953" s="381"/>
      <c r="Z953" s="381"/>
    </row>
    <row r="954">
      <c r="A954" s="381"/>
      <c r="B954" s="18"/>
      <c r="C954" s="359"/>
      <c r="D954" s="359"/>
      <c r="E954" s="381"/>
      <c r="F954" s="381"/>
      <c r="G954" s="381"/>
      <c r="H954" s="381"/>
      <c r="I954" s="381"/>
      <c r="J954" s="381"/>
      <c r="K954" s="381"/>
      <c r="L954" s="381"/>
      <c r="M954" s="381"/>
      <c r="N954" s="381"/>
      <c r="O954" s="381"/>
      <c r="P954" s="381"/>
      <c r="Q954" s="381"/>
      <c r="R954" s="381"/>
      <c r="S954" s="381"/>
      <c r="T954" s="381"/>
      <c r="U954" s="381"/>
      <c r="V954" s="381"/>
      <c r="W954" s="381"/>
      <c r="X954" s="381"/>
      <c r="Y954" s="381"/>
      <c r="Z954" s="381"/>
    </row>
    <row r="955">
      <c r="A955" s="381"/>
      <c r="B955" s="18"/>
      <c r="C955" s="359"/>
      <c r="D955" s="359"/>
      <c r="E955" s="381"/>
      <c r="F955" s="381"/>
      <c r="G955" s="381"/>
      <c r="H955" s="381"/>
      <c r="I955" s="381"/>
      <c r="J955" s="381"/>
      <c r="K955" s="381"/>
      <c r="L955" s="381"/>
      <c r="M955" s="381"/>
      <c r="N955" s="381"/>
      <c r="O955" s="381"/>
      <c r="P955" s="381"/>
      <c r="Q955" s="381"/>
      <c r="R955" s="381"/>
      <c r="S955" s="381"/>
      <c r="T955" s="381"/>
      <c r="U955" s="381"/>
      <c r="V955" s="381"/>
      <c r="W955" s="381"/>
      <c r="X955" s="381"/>
      <c r="Y955" s="381"/>
      <c r="Z955" s="381"/>
    </row>
    <row r="956">
      <c r="A956" s="381"/>
      <c r="B956" s="18"/>
      <c r="C956" s="359"/>
      <c r="D956" s="359"/>
      <c r="E956" s="381"/>
      <c r="F956" s="381"/>
      <c r="G956" s="381"/>
      <c r="H956" s="381"/>
      <c r="I956" s="381"/>
      <c r="J956" s="381"/>
      <c r="K956" s="381"/>
      <c r="L956" s="381"/>
      <c r="M956" s="381"/>
      <c r="N956" s="381"/>
      <c r="O956" s="381"/>
      <c r="P956" s="381"/>
      <c r="Q956" s="381"/>
      <c r="R956" s="381"/>
      <c r="S956" s="381"/>
      <c r="T956" s="381"/>
      <c r="U956" s="381"/>
      <c r="V956" s="381"/>
      <c r="W956" s="381"/>
      <c r="X956" s="381"/>
      <c r="Y956" s="381"/>
      <c r="Z956" s="381"/>
    </row>
    <row r="957">
      <c r="A957" s="381"/>
      <c r="B957" s="18"/>
      <c r="C957" s="359"/>
      <c r="D957" s="359"/>
      <c r="E957" s="381"/>
      <c r="F957" s="381"/>
      <c r="G957" s="381"/>
      <c r="H957" s="381"/>
      <c r="I957" s="381"/>
      <c r="J957" s="381"/>
      <c r="K957" s="381"/>
      <c r="L957" s="381"/>
      <c r="M957" s="381"/>
      <c r="N957" s="381"/>
      <c r="O957" s="381"/>
      <c r="P957" s="381"/>
      <c r="Q957" s="381"/>
      <c r="R957" s="381"/>
      <c r="S957" s="381"/>
      <c r="T957" s="381"/>
      <c r="U957" s="381"/>
      <c r="V957" s="381"/>
      <c r="W957" s="381"/>
      <c r="X957" s="381"/>
      <c r="Y957" s="381"/>
      <c r="Z957" s="381"/>
    </row>
    <row r="958">
      <c r="A958" s="381"/>
      <c r="B958" s="18"/>
      <c r="C958" s="359"/>
      <c r="D958" s="359"/>
      <c r="E958" s="381"/>
      <c r="F958" s="381"/>
      <c r="G958" s="381"/>
      <c r="H958" s="381"/>
      <c r="I958" s="381"/>
      <c r="J958" s="381"/>
      <c r="K958" s="381"/>
      <c r="L958" s="381"/>
      <c r="M958" s="381"/>
      <c r="N958" s="381"/>
      <c r="O958" s="381"/>
      <c r="P958" s="381"/>
      <c r="Q958" s="381"/>
      <c r="R958" s="381"/>
      <c r="S958" s="381"/>
      <c r="T958" s="381"/>
      <c r="U958" s="381"/>
      <c r="V958" s="381"/>
      <c r="W958" s="381"/>
      <c r="X958" s="381"/>
      <c r="Y958" s="381"/>
      <c r="Z958" s="381"/>
    </row>
    <row r="959">
      <c r="A959" s="381"/>
      <c r="B959" s="18"/>
      <c r="C959" s="359"/>
      <c r="D959" s="359"/>
      <c r="E959" s="381"/>
      <c r="F959" s="381"/>
      <c r="G959" s="381"/>
      <c r="H959" s="381"/>
      <c r="I959" s="381"/>
      <c r="J959" s="381"/>
      <c r="K959" s="381"/>
      <c r="L959" s="381"/>
      <c r="M959" s="381"/>
      <c r="N959" s="381"/>
      <c r="O959" s="381"/>
      <c r="P959" s="381"/>
      <c r="Q959" s="381"/>
      <c r="R959" s="381"/>
      <c r="S959" s="381"/>
      <c r="T959" s="381"/>
      <c r="U959" s="381"/>
      <c r="V959" s="381"/>
      <c r="W959" s="381"/>
      <c r="X959" s="381"/>
      <c r="Y959" s="381"/>
      <c r="Z959" s="381"/>
    </row>
    <row r="960">
      <c r="A960" s="381"/>
      <c r="B960" s="18"/>
      <c r="C960" s="359"/>
      <c r="D960" s="359"/>
      <c r="E960" s="381"/>
      <c r="F960" s="381"/>
      <c r="G960" s="381"/>
      <c r="H960" s="381"/>
      <c r="I960" s="381"/>
      <c r="J960" s="381"/>
      <c r="K960" s="381"/>
      <c r="L960" s="381"/>
      <c r="M960" s="381"/>
      <c r="N960" s="381"/>
      <c r="O960" s="381"/>
      <c r="P960" s="381"/>
      <c r="Q960" s="381"/>
      <c r="R960" s="381"/>
      <c r="S960" s="381"/>
      <c r="T960" s="381"/>
      <c r="U960" s="381"/>
      <c r="V960" s="381"/>
      <c r="W960" s="381"/>
      <c r="X960" s="381"/>
      <c r="Y960" s="381"/>
      <c r="Z960" s="381"/>
    </row>
    <row r="961">
      <c r="A961" s="381"/>
      <c r="B961" s="18"/>
      <c r="C961" s="359"/>
      <c r="D961" s="359"/>
      <c r="E961" s="381"/>
      <c r="F961" s="381"/>
      <c r="G961" s="381"/>
      <c r="H961" s="381"/>
      <c r="I961" s="381"/>
      <c r="J961" s="381"/>
      <c r="K961" s="381"/>
      <c r="L961" s="381"/>
      <c r="M961" s="381"/>
      <c r="N961" s="381"/>
      <c r="O961" s="381"/>
      <c r="P961" s="381"/>
      <c r="Q961" s="381"/>
      <c r="R961" s="381"/>
      <c r="S961" s="381"/>
      <c r="T961" s="381"/>
      <c r="U961" s="381"/>
      <c r="V961" s="381"/>
      <c r="W961" s="381"/>
      <c r="X961" s="381"/>
      <c r="Y961" s="381"/>
      <c r="Z961" s="381"/>
    </row>
    <row r="962">
      <c r="A962" s="381"/>
      <c r="B962" s="18"/>
      <c r="C962" s="359"/>
      <c r="D962" s="359"/>
      <c r="E962" s="381"/>
      <c r="F962" s="381"/>
      <c r="G962" s="381"/>
      <c r="H962" s="381"/>
      <c r="I962" s="381"/>
      <c r="J962" s="381"/>
      <c r="K962" s="381"/>
      <c r="L962" s="381"/>
      <c r="M962" s="381"/>
      <c r="N962" s="381"/>
      <c r="O962" s="381"/>
      <c r="P962" s="381"/>
      <c r="Q962" s="381"/>
      <c r="R962" s="381"/>
      <c r="S962" s="381"/>
      <c r="T962" s="381"/>
      <c r="U962" s="381"/>
      <c r="V962" s="381"/>
      <c r="W962" s="381"/>
      <c r="X962" s="381"/>
      <c r="Y962" s="381"/>
      <c r="Z962" s="381"/>
    </row>
    <row r="963">
      <c r="A963" s="381"/>
      <c r="B963" s="18"/>
      <c r="C963" s="359"/>
      <c r="D963" s="359"/>
      <c r="E963" s="381"/>
      <c r="F963" s="381"/>
      <c r="G963" s="381"/>
      <c r="H963" s="381"/>
      <c r="I963" s="381"/>
      <c r="J963" s="381"/>
      <c r="K963" s="381"/>
      <c r="L963" s="381"/>
      <c r="M963" s="381"/>
      <c r="N963" s="381"/>
      <c r="O963" s="381"/>
      <c r="P963" s="381"/>
      <c r="Q963" s="381"/>
      <c r="R963" s="381"/>
      <c r="S963" s="381"/>
      <c r="T963" s="381"/>
      <c r="U963" s="381"/>
      <c r="V963" s="381"/>
      <c r="W963" s="381"/>
      <c r="X963" s="381"/>
      <c r="Y963" s="381"/>
      <c r="Z963" s="381"/>
    </row>
    <row r="964">
      <c r="A964" s="381"/>
      <c r="B964" s="18"/>
      <c r="C964" s="359"/>
      <c r="D964" s="359"/>
      <c r="E964" s="381"/>
      <c r="F964" s="381"/>
      <c r="G964" s="381"/>
      <c r="H964" s="381"/>
      <c r="I964" s="381"/>
      <c r="J964" s="381"/>
      <c r="K964" s="381"/>
      <c r="L964" s="381"/>
      <c r="M964" s="381"/>
      <c r="N964" s="381"/>
      <c r="O964" s="381"/>
      <c r="P964" s="381"/>
      <c r="Q964" s="381"/>
      <c r="R964" s="381"/>
      <c r="S964" s="381"/>
      <c r="T964" s="381"/>
      <c r="U964" s="381"/>
      <c r="V964" s="381"/>
      <c r="W964" s="381"/>
      <c r="X964" s="381"/>
      <c r="Y964" s="381"/>
      <c r="Z964" s="381"/>
    </row>
    <row r="965">
      <c r="A965" s="381"/>
      <c r="B965" s="18"/>
      <c r="C965" s="359"/>
      <c r="D965" s="359"/>
      <c r="E965" s="381"/>
      <c r="F965" s="381"/>
      <c r="G965" s="381"/>
      <c r="H965" s="381"/>
      <c r="I965" s="381"/>
      <c r="J965" s="381"/>
      <c r="K965" s="381"/>
      <c r="L965" s="381"/>
      <c r="M965" s="381"/>
      <c r="N965" s="381"/>
      <c r="O965" s="381"/>
      <c r="P965" s="381"/>
      <c r="Q965" s="381"/>
      <c r="R965" s="381"/>
      <c r="S965" s="381"/>
      <c r="T965" s="381"/>
      <c r="U965" s="381"/>
      <c r="V965" s="381"/>
      <c r="W965" s="381"/>
      <c r="X965" s="381"/>
      <c r="Y965" s="381"/>
      <c r="Z965" s="381"/>
    </row>
    <row r="966">
      <c r="A966" s="381"/>
      <c r="B966" s="18"/>
      <c r="C966" s="359"/>
      <c r="D966" s="359"/>
      <c r="E966" s="381"/>
      <c r="F966" s="381"/>
      <c r="G966" s="381"/>
      <c r="H966" s="381"/>
      <c r="I966" s="381"/>
      <c r="J966" s="381"/>
      <c r="K966" s="381"/>
      <c r="L966" s="381"/>
      <c r="M966" s="381"/>
      <c r="N966" s="381"/>
      <c r="O966" s="381"/>
      <c r="P966" s="381"/>
      <c r="Q966" s="381"/>
      <c r="R966" s="381"/>
      <c r="S966" s="381"/>
      <c r="T966" s="381"/>
      <c r="U966" s="381"/>
      <c r="V966" s="381"/>
      <c r="W966" s="381"/>
      <c r="X966" s="381"/>
      <c r="Y966" s="381"/>
      <c r="Z966" s="381"/>
    </row>
    <row r="967">
      <c r="A967" s="381"/>
      <c r="B967" s="18"/>
      <c r="C967" s="359"/>
      <c r="D967" s="359"/>
      <c r="E967" s="381"/>
      <c r="F967" s="381"/>
      <c r="G967" s="381"/>
      <c r="H967" s="381"/>
      <c r="I967" s="381"/>
      <c r="J967" s="381"/>
      <c r="K967" s="381"/>
      <c r="L967" s="381"/>
      <c r="M967" s="381"/>
      <c r="N967" s="381"/>
      <c r="O967" s="381"/>
      <c r="P967" s="381"/>
      <c r="Q967" s="381"/>
      <c r="R967" s="381"/>
      <c r="S967" s="381"/>
      <c r="T967" s="381"/>
      <c r="U967" s="381"/>
      <c r="V967" s="381"/>
      <c r="W967" s="381"/>
      <c r="X967" s="381"/>
      <c r="Y967" s="381"/>
      <c r="Z967" s="381"/>
    </row>
    <row r="968">
      <c r="A968" s="381"/>
      <c r="B968" s="18"/>
      <c r="C968" s="359"/>
      <c r="D968" s="359"/>
      <c r="E968" s="381"/>
      <c r="F968" s="381"/>
      <c r="G968" s="381"/>
      <c r="H968" s="381"/>
      <c r="I968" s="381"/>
      <c r="J968" s="381"/>
      <c r="K968" s="381"/>
      <c r="L968" s="381"/>
      <c r="M968" s="381"/>
      <c r="N968" s="381"/>
      <c r="O968" s="381"/>
      <c r="P968" s="381"/>
      <c r="Q968" s="381"/>
      <c r="R968" s="381"/>
      <c r="S968" s="381"/>
      <c r="T968" s="381"/>
      <c r="U968" s="381"/>
      <c r="V968" s="381"/>
      <c r="W968" s="381"/>
      <c r="X968" s="381"/>
      <c r="Y968" s="381"/>
      <c r="Z968" s="381"/>
    </row>
    <row r="969">
      <c r="A969" s="381"/>
      <c r="B969" s="18"/>
      <c r="C969" s="359"/>
      <c r="D969" s="359"/>
      <c r="E969" s="381"/>
      <c r="F969" s="381"/>
      <c r="G969" s="381"/>
      <c r="H969" s="381"/>
      <c r="I969" s="381"/>
      <c r="J969" s="381"/>
      <c r="K969" s="381"/>
      <c r="L969" s="381"/>
      <c r="M969" s="381"/>
      <c r="N969" s="381"/>
      <c r="O969" s="381"/>
      <c r="P969" s="381"/>
      <c r="Q969" s="381"/>
      <c r="R969" s="381"/>
      <c r="S969" s="381"/>
      <c r="T969" s="381"/>
      <c r="U969" s="381"/>
      <c r="V969" s="381"/>
      <c r="W969" s="381"/>
      <c r="X969" s="381"/>
      <c r="Y969" s="381"/>
      <c r="Z969" s="381"/>
    </row>
    <row r="970">
      <c r="A970" s="381"/>
      <c r="B970" s="18"/>
      <c r="C970" s="359"/>
      <c r="D970" s="359"/>
      <c r="E970" s="381"/>
      <c r="F970" s="381"/>
      <c r="G970" s="381"/>
      <c r="H970" s="381"/>
      <c r="I970" s="381"/>
      <c r="J970" s="381"/>
      <c r="K970" s="381"/>
      <c r="L970" s="381"/>
      <c r="M970" s="381"/>
      <c r="N970" s="381"/>
      <c r="O970" s="381"/>
      <c r="P970" s="381"/>
      <c r="Q970" s="381"/>
      <c r="R970" s="381"/>
      <c r="S970" s="381"/>
      <c r="T970" s="381"/>
      <c r="U970" s="381"/>
      <c r="V970" s="381"/>
      <c r="W970" s="381"/>
      <c r="X970" s="381"/>
      <c r="Y970" s="381"/>
      <c r="Z970" s="381"/>
    </row>
    <row r="971">
      <c r="A971" s="381"/>
      <c r="B971" s="18"/>
      <c r="C971" s="359"/>
      <c r="D971" s="359"/>
      <c r="E971" s="381"/>
      <c r="F971" s="381"/>
      <c r="G971" s="381"/>
      <c r="H971" s="381"/>
      <c r="I971" s="381"/>
      <c r="J971" s="381"/>
      <c r="K971" s="381"/>
      <c r="L971" s="381"/>
      <c r="M971" s="381"/>
      <c r="N971" s="381"/>
      <c r="O971" s="381"/>
      <c r="P971" s="381"/>
      <c r="Q971" s="381"/>
      <c r="R971" s="381"/>
      <c r="S971" s="381"/>
      <c r="T971" s="381"/>
      <c r="U971" s="381"/>
      <c r="V971" s="381"/>
      <c r="W971" s="381"/>
      <c r="X971" s="381"/>
      <c r="Y971" s="381"/>
      <c r="Z971" s="381"/>
    </row>
    <row r="972">
      <c r="A972" s="381"/>
      <c r="B972" s="18"/>
      <c r="C972" s="359"/>
      <c r="D972" s="359"/>
      <c r="E972" s="381"/>
      <c r="F972" s="381"/>
      <c r="G972" s="381"/>
      <c r="H972" s="381"/>
      <c r="I972" s="381"/>
      <c r="J972" s="381"/>
      <c r="K972" s="381"/>
      <c r="L972" s="381"/>
      <c r="M972" s="381"/>
      <c r="N972" s="381"/>
      <c r="O972" s="381"/>
      <c r="P972" s="381"/>
      <c r="Q972" s="381"/>
      <c r="R972" s="381"/>
      <c r="S972" s="381"/>
      <c r="T972" s="381"/>
      <c r="U972" s="381"/>
      <c r="V972" s="381"/>
      <c r="W972" s="381"/>
      <c r="X972" s="381"/>
      <c r="Y972" s="381"/>
      <c r="Z972" s="381"/>
    </row>
    <row r="973">
      <c r="A973" s="381"/>
      <c r="B973" s="18"/>
      <c r="C973" s="359"/>
      <c r="D973" s="359"/>
      <c r="E973" s="381"/>
      <c r="F973" s="381"/>
      <c r="G973" s="381"/>
      <c r="H973" s="381"/>
      <c r="I973" s="381"/>
      <c r="J973" s="381"/>
      <c r="K973" s="381"/>
      <c r="L973" s="381"/>
      <c r="M973" s="381"/>
      <c r="N973" s="381"/>
      <c r="O973" s="381"/>
      <c r="P973" s="381"/>
      <c r="Q973" s="381"/>
      <c r="R973" s="381"/>
      <c r="S973" s="381"/>
      <c r="T973" s="381"/>
      <c r="U973" s="381"/>
      <c r="V973" s="381"/>
      <c r="W973" s="381"/>
      <c r="X973" s="381"/>
      <c r="Y973" s="381"/>
      <c r="Z973" s="381"/>
    </row>
    <row r="974">
      <c r="A974" s="381"/>
      <c r="B974" s="18"/>
      <c r="C974" s="359"/>
      <c r="D974" s="359"/>
      <c r="E974" s="381"/>
      <c r="F974" s="381"/>
      <c r="G974" s="381"/>
      <c r="H974" s="381"/>
      <c r="I974" s="381"/>
      <c r="J974" s="381"/>
      <c r="K974" s="381"/>
      <c r="L974" s="381"/>
      <c r="M974" s="381"/>
      <c r="N974" s="381"/>
      <c r="O974" s="381"/>
      <c r="P974" s="381"/>
      <c r="Q974" s="381"/>
      <c r="R974" s="381"/>
      <c r="S974" s="381"/>
      <c r="T974" s="381"/>
      <c r="U974" s="381"/>
      <c r="V974" s="381"/>
      <c r="W974" s="381"/>
      <c r="X974" s="381"/>
      <c r="Y974" s="381"/>
      <c r="Z974" s="381"/>
    </row>
    <row r="975">
      <c r="A975" s="381"/>
      <c r="B975" s="18"/>
      <c r="C975" s="359"/>
      <c r="D975" s="359"/>
      <c r="E975" s="381"/>
      <c r="F975" s="381"/>
      <c r="G975" s="381"/>
      <c r="H975" s="381"/>
      <c r="I975" s="381"/>
      <c r="J975" s="381"/>
      <c r="K975" s="381"/>
      <c r="L975" s="381"/>
      <c r="M975" s="381"/>
      <c r="N975" s="381"/>
      <c r="O975" s="381"/>
      <c r="P975" s="381"/>
      <c r="Q975" s="381"/>
      <c r="R975" s="381"/>
      <c r="S975" s="381"/>
      <c r="T975" s="381"/>
      <c r="U975" s="381"/>
      <c r="V975" s="381"/>
      <c r="W975" s="381"/>
      <c r="X975" s="381"/>
      <c r="Y975" s="381"/>
      <c r="Z975" s="381"/>
    </row>
    <row r="976">
      <c r="A976" s="381"/>
      <c r="B976" s="18"/>
      <c r="C976" s="359"/>
      <c r="D976" s="359"/>
      <c r="E976" s="381"/>
      <c r="F976" s="381"/>
      <c r="G976" s="381"/>
      <c r="H976" s="381"/>
      <c r="I976" s="381"/>
      <c r="J976" s="381"/>
      <c r="K976" s="381"/>
      <c r="L976" s="381"/>
      <c r="M976" s="381"/>
      <c r="N976" s="381"/>
      <c r="O976" s="381"/>
      <c r="P976" s="381"/>
      <c r="Q976" s="381"/>
      <c r="R976" s="381"/>
      <c r="S976" s="381"/>
      <c r="T976" s="381"/>
      <c r="U976" s="381"/>
      <c r="V976" s="381"/>
      <c r="W976" s="381"/>
      <c r="X976" s="381"/>
      <c r="Y976" s="381"/>
      <c r="Z976" s="381"/>
    </row>
    <row r="977">
      <c r="A977" s="381"/>
      <c r="B977" s="18"/>
      <c r="C977" s="359"/>
      <c r="D977" s="359"/>
      <c r="E977" s="381"/>
      <c r="F977" s="381"/>
      <c r="G977" s="381"/>
      <c r="H977" s="381"/>
      <c r="I977" s="381"/>
      <c r="J977" s="381"/>
      <c r="K977" s="381"/>
      <c r="L977" s="381"/>
      <c r="M977" s="381"/>
      <c r="N977" s="381"/>
      <c r="O977" s="381"/>
      <c r="P977" s="381"/>
      <c r="Q977" s="381"/>
      <c r="R977" s="381"/>
      <c r="S977" s="381"/>
      <c r="T977" s="381"/>
      <c r="U977" s="381"/>
      <c r="V977" s="381"/>
      <c r="W977" s="381"/>
      <c r="X977" s="381"/>
      <c r="Y977" s="381"/>
      <c r="Z977" s="381"/>
    </row>
    <row r="978">
      <c r="A978" s="381"/>
      <c r="B978" s="18"/>
      <c r="C978" s="359"/>
      <c r="D978" s="359"/>
      <c r="E978" s="381"/>
      <c r="F978" s="381"/>
      <c r="G978" s="381"/>
      <c r="H978" s="381"/>
      <c r="I978" s="381"/>
      <c r="J978" s="381"/>
      <c r="K978" s="381"/>
      <c r="L978" s="381"/>
      <c r="M978" s="381"/>
      <c r="N978" s="381"/>
      <c r="O978" s="381"/>
      <c r="P978" s="381"/>
      <c r="Q978" s="381"/>
      <c r="R978" s="381"/>
      <c r="S978" s="381"/>
      <c r="T978" s="381"/>
      <c r="U978" s="381"/>
      <c r="V978" s="381"/>
      <c r="W978" s="381"/>
      <c r="X978" s="381"/>
      <c r="Y978" s="381"/>
      <c r="Z978" s="381"/>
    </row>
    <row r="979">
      <c r="A979" s="381"/>
      <c r="B979" s="18"/>
      <c r="C979" s="359"/>
      <c r="D979" s="359"/>
      <c r="E979" s="381"/>
      <c r="F979" s="381"/>
      <c r="G979" s="381"/>
      <c r="H979" s="381"/>
      <c r="I979" s="381"/>
      <c r="J979" s="381"/>
      <c r="K979" s="381"/>
      <c r="L979" s="381"/>
      <c r="M979" s="381"/>
      <c r="N979" s="381"/>
      <c r="O979" s="381"/>
      <c r="P979" s="381"/>
      <c r="Q979" s="381"/>
      <c r="R979" s="381"/>
      <c r="S979" s="381"/>
      <c r="T979" s="381"/>
      <c r="U979" s="381"/>
      <c r="V979" s="381"/>
      <c r="W979" s="381"/>
      <c r="X979" s="381"/>
      <c r="Y979" s="381"/>
      <c r="Z979" s="381"/>
    </row>
    <row r="980">
      <c r="A980" s="381"/>
      <c r="B980" s="18"/>
      <c r="C980" s="359"/>
      <c r="D980" s="359"/>
      <c r="E980" s="381"/>
      <c r="F980" s="381"/>
      <c r="G980" s="381"/>
      <c r="H980" s="381"/>
      <c r="I980" s="381"/>
      <c r="J980" s="381"/>
      <c r="K980" s="381"/>
      <c r="L980" s="381"/>
      <c r="M980" s="381"/>
      <c r="N980" s="381"/>
      <c r="O980" s="381"/>
      <c r="P980" s="381"/>
      <c r="Q980" s="381"/>
      <c r="R980" s="381"/>
      <c r="S980" s="381"/>
      <c r="T980" s="381"/>
      <c r="U980" s="381"/>
      <c r="V980" s="381"/>
      <c r="W980" s="381"/>
      <c r="X980" s="381"/>
      <c r="Y980" s="381"/>
      <c r="Z980" s="381"/>
    </row>
    <row r="981">
      <c r="A981" s="381"/>
      <c r="B981" s="18"/>
      <c r="C981" s="359"/>
      <c r="D981" s="359"/>
      <c r="E981" s="381"/>
      <c r="F981" s="381"/>
      <c r="G981" s="381"/>
      <c r="H981" s="381"/>
      <c r="I981" s="381"/>
      <c r="J981" s="381"/>
      <c r="K981" s="381"/>
      <c r="L981" s="381"/>
      <c r="M981" s="381"/>
      <c r="N981" s="381"/>
      <c r="O981" s="381"/>
      <c r="P981" s="381"/>
      <c r="Q981" s="381"/>
      <c r="R981" s="381"/>
      <c r="S981" s="381"/>
      <c r="T981" s="381"/>
      <c r="U981" s="381"/>
      <c r="V981" s="381"/>
      <c r="W981" s="381"/>
      <c r="X981" s="381"/>
      <c r="Y981" s="381"/>
      <c r="Z981" s="381"/>
    </row>
    <row r="982">
      <c r="A982" s="381"/>
      <c r="B982" s="18"/>
      <c r="C982" s="359"/>
      <c r="D982" s="359"/>
      <c r="E982" s="381"/>
      <c r="F982" s="381"/>
      <c r="G982" s="381"/>
      <c r="H982" s="381"/>
      <c r="I982" s="381"/>
      <c r="J982" s="381"/>
      <c r="K982" s="381"/>
      <c r="L982" s="381"/>
      <c r="M982" s="381"/>
      <c r="N982" s="381"/>
      <c r="O982" s="381"/>
      <c r="P982" s="381"/>
      <c r="Q982" s="381"/>
      <c r="R982" s="381"/>
      <c r="S982" s="381"/>
      <c r="T982" s="381"/>
      <c r="U982" s="381"/>
      <c r="V982" s="381"/>
      <c r="W982" s="381"/>
      <c r="X982" s="381"/>
      <c r="Y982" s="381"/>
      <c r="Z982" s="381"/>
    </row>
    <row r="983">
      <c r="A983" s="381"/>
      <c r="B983" s="18"/>
      <c r="C983" s="359"/>
      <c r="D983" s="359"/>
      <c r="E983" s="381"/>
      <c r="F983" s="381"/>
      <c r="G983" s="381"/>
      <c r="H983" s="381"/>
      <c r="I983" s="381"/>
      <c r="J983" s="381"/>
      <c r="K983" s="381"/>
      <c r="L983" s="381"/>
      <c r="M983" s="381"/>
      <c r="N983" s="381"/>
      <c r="O983" s="381"/>
      <c r="P983" s="381"/>
      <c r="Q983" s="381"/>
      <c r="R983" s="381"/>
      <c r="S983" s="381"/>
      <c r="T983" s="381"/>
      <c r="U983" s="381"/>
      <c r="V983" s="381"/>
      <c r="W983" s="381"/>
      <c r="X983" s="381"/>
      <c r="Y983" s="381"/>
      <c r="Z983" s="381"/>
    </row>
    <row r="984">
      <c r="A984" s="381"/>
      <c r="B984" s="18"/>
      <c r="C984" s="359"/>
      <c r="D984" s="359"/>
      <c r="E984" s="381"/>
      <c r="F984" s="381"/>
      <c r="G984" s="381"/>
      <c r="H984" s="381"/>
      <c r="I984" s="381"/>
      <c r="J984" s="381"/>
      <c r="K984" s="381"/>
      <c r="L984" s="381"/>
      <c r="M984" s="381"/>
      <c r="N984" s="381"/>
      <c r="O984" s="381"/>
      <c r="P984" s="381"/>
      <c r="Q984" s="381"/>
      <c r="R984" s="381"/>
      <c r="S984" s="381"/>
      <c r="T984" s="381"/>
      <c r="U984" s="381"/>
      <c r="V984" s="381"/>
      <c r="W984" s="381"/>
      <c r="X984" s="381"/>
      <c r="Y984" s="381"/>
      <c r="Z984" s="381"/>
    </row>
    <row r="985">
      <c r="A985" s="381"/>
      <c r="B985" s="18"/>
      <c r="C985" s="359"/>
      <c r="D985" s="359"/>
      <c r="E985" s="381"/>
      <c r="F985" s="381"/>
      <c r="G985" s="381"/>
      <c r="H985" s="381"/>
      <c r="I985" s="381"/>
      <c r="J985" s="381"/>
      <c r="K985" s="381"/>
      <c r="L985" s="381"/>
      <c r="M985" s="381"/>
      <c r="N985" s="381"/>
      <c r="O985" s="381"/>
      <c r="P985" s="381"/>
      <c r="Q985" s="381"/>
      <c r="R985" s="381"/>
      <c r="S985" s="381"/>
      <c r="T985" s="381"/>
      <c r="U985" s="381"/>
      <c r="V985" s="381"/>
      <c r="W985" s="381"/>
      <c r="X985" s="381"/>
      <c r="Y985" s="381"/>
      <c r="Z985" s="381"/>
    </row>
    <row r="986">
      <c r="A986" s="381"/>
      <c r="B986" s="18"/>
      <c r="C986" s="359"/>
      <c r="D986" s="359"/>
      <c r="E986" s="381"/>
      <c r="F986" s="381"/>
      <c r="G986" s="381"/>
      <c r="H986" s="381"/>
      <c r="I986" s="381"/>
      <c r="J986" s="381"/>
      <c r="K986" s="381"/>
      <c r="L986" s="381"/>
      <c r="M986" s="381"/>
      <c r="N986" s="381"/>
      <c r="O986" s="381"/>
      <c r="P986" s="381"/>
      <c r="Q986" s="381"/>
      <c r="R986" s="381"/>
      <c r="S986" s="381"/>
      <c r="T986" s="381"/>
      <c r="U986" s="381"/>
      <c r="V986" s="381"/>
      <c r="W986" s="381"/>
      <c r="X986" s="381"/>
      <c r="Y986" s="381"/>
      <c r="Z986" s="381"/>
    </row>
    <row r="987">
      <c r="A987" s="381"/>
      <c r="B987" s="18"/>
      <c r="C987" s="359"/>
      <c r="D987" s="359"/>
      <c r="E987" s="381"/>
      <c r="F987" s="381"/>
      <c r="G987" s="381"/>
      <c r="H987" s="381"/>
      <c r="I987" s="381"/>
      <c r="J987" s="381"/>
      <c r="K987" s="381"/>
      <c r="L987" s="381"/>
      <c r="M987" s="381"/>
      <c r="N987" s="381"/>
      <c r="O987" s="381"/>
      <c r="P987" s="381"/>
      <c r="Q987" s="381"/>
      <c r="R987" s="381"/>
      <c r="S987" s="381"/>
      <c r="T987" s="381"/>
      <c r="U987" s="381"/>
      <c r="V987" s="381"/>
      <c r="W987" s="381"/>
      <c r="X987" s="381"/>
      <c r="Y987" s="381"/>
      <c r="Z987" s="381"/>
    </row>
    <row r="988">
      <c r="A988" s="381"/>
      <c r="B988" s="18"/>
      <c r="C988" s="359"/>
      <c r="D988" s="359"/>
      <c r="E988" s="381"/>
      <c r="F988" s="381"/>
      <c r="G988" s="381"/>
      <c r="H988" s="381"/>
      <c r="I988" s="381"/>
      <c r="J988" s="381"/>
      <c r="K988" s="381"/>
      <c r="L988" s="381"/>
      <c r="M988" s="381"/>
      <c r="N988" s="381"/>
      <c r="O988" s="381"/>
      <c r="P988" s="381"/>
      <c r="Q988" s="381"/>
      <c r="R988" s="381"/>
      <c r="S988" s="381"/>
      <c r="T988" s="381"/>
      <c r="U988" s="381"/>
      <c r="V988" s="381"/>
      <c r="W988" s="381"/>
      <c r="X988" s="381"/>
      <c r="Y988" s="381"/>
      <c r="Z988" s="381"/>
    </row>
    <row r="989">
      <c r="A989" s="381"/>
      <c r="B989" s="18"/>
      <c r="C989" s="359"/>
      <c r="D989" s="359"/>
      <c r="E989" s="381"/>
      <c r="F989" s="381"/>
      <c r="G989" s="381"/>
      <c r="H989" s="381"/>
      <c r="I989" s="381"/>
      <c r="J989" s="381"/>
      <c r="K989" s="381"/>
      <c r="L989" s="381"/>
      <c r="M989" s="381"/>
      <c r="N989" s="381"/>
      <c r="O989" s="381"/>
      <c r="P989" s="381"/>
      <c r="Q989" s="381"/>
      <c r="R989" s="381"/>
      <c r="S989" s="381"/>
      <c r="T989" s="381"/>
      <c r="U989" s="381"/>
      <c r="V989" s="381"/>
      <c r="W989" s="381"/>
      <c r="X989" s="381"/>
      <c r="Y989" s="381"/>
      <c r="Z989" s="381"/>
    </row>
    <row r="990">
      <c r="A990" s="381"/>
      <c r="B990" s="18"/>
      <c r="C990" s="359"/>
      <c r="D990" s="359"/>
      <c r="E990" s="381"/>
      <c r="F990" s="381"/>
      <c r="G990" s="381"/>
      <c r="H990" s="381"/>
      <c r="I990" s="381"/>
      <c r="J990" s="381"/>
      <c r="K990" s="381"/>
      <c r="L990" s="381"/>
      <c r="M990" s="381"/>
      <c r="N990" s="381"/>
      <c r="O990" s="381"/>
      <c r="P990" s="381"/>
      <c r="Q990" s="381"/>
      <c r="R990" s="381"/>
      <c r="S990" s="381"/>
      <c r="T990" s="381"/>
      <c r="U990" s="381"/>
      <c r="V990" s="381"/>
      <c r="W990" s="381"/>
      <c r="X990" s="381"/>
      <c r="Y990" s="381"/>
      <c r="Z990" s="381"/>
    </row>
    <row r="991">
      <c r="A991" s="381"/>
      <c r="B991" s="18"/>
      <c r="C991" s="359"/>
      <c r="D991" s="359"/>
      <c r="E991" s="381"/>
      <c r="F991" s="381"/>
      <c r="G991" s="381"/>
      <c r="H991" s="381"/>
      <c r="I991" s="381"/>
      <c r="J991" s="381"/>
      <c r="K991" s="381"/>
      <c r="L991" s="381"/>
      <c r="M991" s="381"/>
      <c r="N991" s="381"/>
      <c r="O991" s="381"/>
      <c r="P991" s="381"/>
      <c r="Q991" s="381"/>
      <c r="R991" s="381"/>
      <c r="S991" s="381"/>
      <c r="T991" s="381"/>
      <c r="U991" s="381"/>
      <c r="V991" s="381"/>
      <c r="W991" s="381"/>
      <c r="X991" s="381"/>
      <c r="Y991" s="381"/>
      <c r="Z991" s="381"/>
    </row>
    <row r="992">
      <c r="A992" s="381"/>
      <c r="B992" s="18"/>
      <c r="C992" s="359"/>
      <c r="D992" s="359"/>
      <c r="E992" s="381"/>
      <c r="F992" s="381"/>
      <c r="G992" s="381"/>
      <c r="H992" s="381"/>
      <c r="I992" s="381"/>
      <c r="J992" s="381"/>
      <c r="K992" s="381"/>
      <c r="L992" s="381"/>
      <c r="M992" s="381"/>
      <c r="N992" s="381"/>
      <c r="O992" s="381"/>
      <c r="P992" s="381"/>
      <c r="Q992" s="381"/>
      <c r="R992" s="381"/>
      <c r="S992" s="381"/>
      <c r="T992" s="381"/>
      <c r="U992" s="381"/>
      <c r="V992" s="381"/>
      <c r="W992" s="381"/>
      <c r="X992" s="381"/>
      <c r="Y992" s="381"/>
      <c r="Z992" s="381"/>
    </row>
    <row r="993">
      <c r="A993" s="381"/>
      <c r="B993" s="18"/>
      <c r="C993" s="359"/>
      <c r="D993" s="359"/>
      <c r="E993" s="381"/>
      <c r="F993" s="381"/>
      <c r="G993" s="381"/>
      <c r="H993" s="381"/>
      <c r="I993" s="381"/>
      <c r="J993" s="381"/>
      <c r="K993" s="381"/>
      <c r="L993" s="381"/>
      <c r="M993" s="381"/>
      <c r="N993" s="381"/>
      <c r="O993" s="381"/>
      <c r="P993" s="381"/>
      <c r="Q993" s="381"/>
      <c r="R993" s="381"/>
      <c r="S993" s="381"/>
      <c r="T993" s="381"/>
      <c r="U993" s="381"/>
      <c r="V993" s="381"/>
      <c r="W993" s="381"/>
      <c r="X993" s="381"/>
      <c r="Y993" s="381"/>
      <c r="Z993" s="381"/>
    </row>
    <row r="994">
      <c r="A994" s="381"/>
      <c r="B994" s="18"/>
      <c r="C994" s="359"/>
      <c r="D994" s="359"/>
      <c r="E994" s="381"/>
      <c r="F994" s="381"/>
      <c r="G994" s="381"/>
      <c r="H994" s="381"/>
      <c r="I994" s="381"/>
      <c r="J994" s="381"/>
      <c r="K994" s="381"/>
      <c r="L994" s="381"/>
      <c r="M994" s="381"/>
      <c r="N994" s="381"/>
      <c r="O994" s="381"/>
      <c r="P994" s="381"/>
      <c r="Q994" s="381"/>
      <c r="R994" s="381"/>
      <c r="S994" s="381"/>
      <c r="T994" s="381"/>
      <c r="U994" s="381"/>
      <c r="V994" s="381"/>
      <c r="W994" s="381"/>
      <c r="X994" s="381"/>
      <c r="Y994" s="381"/>
      <c r="Z994" s="381"/>
    </row>
    <row r="995">
      <c r="A995" s="381"/>
      <c r="B995" s="18"/>
      <c r="C995" s="359"/>
      <c r="D995" s="359"/>
      <c r="E995" s="381"/>
      <c r="F995" s="381"/>
      <c r="G995" s="381"/>
      <c r="H995" s="381"/>
      <c r="I995" s="381"/>
      <c r="J995" s="381"/>
      <c r="K995" s="381"/>
      <c r="L995" s="381"/>
      <c r="M995" s="381"/>
      <c r="N995" s="381"/>
      <c r="O995" s="381"/>
      <c r="P995" s="381"/>
      <c r="Q995" s="381"/>
      <c r="R995" s="381"/>
      <c r="S995" s="381"/>
      <c r="T995" s="381"/>
      <c r="U995" s="381"/>
      <c r="V995" s="381"/>
      <c r="W995" s="381"/>
      <c r="X995" s="381"/>
      <c r="Y995" s="381"/>
      <c r="Z995" s="381"/>
    </row>
    <row r="996">
      <c r="A996" s="381"/>
      <c r="B996" s="18"/>
      <c r="C996" s="359"/>
      <c r="D996" s="359"/>
      <c r="E996" s="381"/>
      <c r="F996" s="381"/>
      <c r="G996" s="381"/>
      <c r="H996" s="381"/>
      <c r="I996" s="381"/>
      <c r="J996" s="381"/>
      <c r="K996" s="381"/>
      <c r="L996" s="381"/>
      <c r="M996" s="381"/>
      <c r="N996" s="381"/>
      <c r="O996" s="381"/>
      <c r="P996" s="381"/>
      <c r="Q996" s="381"/>
      <c r="R996" s="381"/>
      <c r="S996" s="381"/>
      <c r="T996" s="381"/>
      <c r="U996" s="381"/>
      <c r="V996" s="381"/>
      <c r="W996" s="381"/>
      <c r="X996" s="381"/>
      <c r="Y996" s="381"/>
      <c r="Z996" s="381"/>
    </row>
    <row r="997">
      <c r="A997" s="381"/>
      <c r="B997" s="18"/>
      <c r="C997" s="359"/>
      <c r="D997" s="359"/>
      <c r="E997" s="381"/>
      <c r="F997" s="381"/>
      <c r="G997" s="381"/>
      <c r="H997" s="381"/>
      <c r="I997" s="381"/>
      <c r="J997" s="381"/>
      <c r="K997" s="381"/>
      <c r="L997" s="381"/>
      <c r="M997" s="381"/>
      <c r="N997" s="381"/>
      <c r="O997" s="381"/>
      <c r="P997" s="381"/>
      <c r="Q997" s="381"/>
      <c r="R997" s="381"/>
      <c r="S997" s="381"/>
      <c r="T997" s="381"/>
      <c r="U997" s="381"/>
      <c r="V997" s="381"/>
      <c r="W997" s="381"/>
      <c r="X997" s="381"/>
      <c r="Y997" s="381"/>
      <c r="Z997" s="381"/>
    </row>
    <row r="998">
      <c r="A998" s="381"/>
      <c r="B998" s="18"/>
      <c r="C998" s="359"/>
      <c r="D998" s="359"/>
      <c r="E998" s="381"/>
      <c r="F998" s="381"/>
      <c r="G998" s="381"/>
      <c r="H998" s="381"/>
      <c r="I998" s="381"/>
      <c r="J998" s="381"/>
      <c r="K998" s="381"/>
      <c r="L998" s="381"/>
      <c r="M998" s="381"/>
      <c r="N998" s="381"/>
      <c r="O998" s="381"/>
      <c r="P998" s="381"/>
      <c r="Q998" s="381"/>
      <c r="R998" s="381"/>
      <c r="S998" s="381"/>
      <c r="T998" s="381"/>
      <c r="U998" s="381"/>
      <c r="V998" s="381"/>
      <c r="W998" s="381"/>
      <c r="X998" s="381"/>
      <c r="Y998" s="381"/>
      <c r="Z998" s="381"/>
    </row>
    <row r="999">
      <c r="A999" s="381"/>
      <c r="B999" s="18"/>
      <c r="C999" s="359"/>
      <c r="D999" s="359"/>
      <c r="E999" s="381"/>
      <c r="F999" s="381"/>
      <c r="G999" s="381"/>
      <c r="H999" s="381"/>
      <c r="I999" s="381"/>
      <c r="J999" s="381"/>
      <c r="K999" s="381"/>
      <c r="L999" s="381"/>
      <c r="M999" s="381"/>
      <c r="N999" s="381"/>
      <c r="O999" s="381"/>
      <c r="P999" s="381"/>
      <c r="Q999" s="381"/>
      <c r="R999" s="381"/>
      <c r="S999" s="381"/>
      <c r="T999" s="381"/>
      <c r="U999" s="381"/>
      <c r="V999" s="381"/>
      <c r="W999" s="381"/>
      <c r="X999" s="381"/>
      <c r="Y999" s="381"/>
      <c r="Z999" s="381"/>
    </row>
  </sheetData>
  <hyperlinks>
    <hyperlink r:id="rId1" ref="A2"/>
    <hyperlink r:id="rId2" ref="C2"/>
    <hyperlink r:id="rId3" ref="C3"/>
    <hyperlink r:id="rId4" ref="C4"/>
    <hyperlink r:id="rId5" ref="C5"/>
    <hyperlink r:id="rId6" ref="C6"/>
    <hyperlink r:id="rId7" ref="C7"/>
    <hyperlink r:id="rId8" ref="C11"/>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2" width="15.13"/>
    <col customWidth="1" min="3" max="3" width="10.88"/>
    <col customWidth="1" min="4" max="4" width="17.88"/>
    <col customWidth="1" min="5" max="5" width="16.75"/>
    <col customWidth="1" min="6" max="6" width="32.25"/>
  </cols>
  <sheetData>
    <row r="1">
      <c r="A1" s="580" t="s">
        <v>2184</v>
      </c>
      <c r="B1" s="581" t="s">
        <v>2185</v>
      </c>
      <c r="C1" s="581" t="s">
        <v>2186</v>
      </c>
      <c r="D1" s="581" t="s">
        <v>2187</v>
      </c>
      <c r="E1" s="581" t="s">
        <v>2188</v>
      </c>
      <c r="F1" s="581" t="s">
        <v>159</v>
      </c>
    </row>
    <row r="2">
      <c r="A2" s="582" t="s">
        <v>166</v>
      </c>
      <c r="B2" s="583" t="s">
        <v>2189</v>
      </c>
      <c r="C2" s="583" t="s">
        <v>2190</v>
      </c>
      <c r="D2" s="584">
        <v>46370.0</v>
      </c>
      <c r="E2" s="527" t="str">
        <f t="shared" ref="E2:E9" si="1">IF(D2="", "", IF(D2 - TODAY() &lt;= 0, "Update Required", D2 - TODAY() &amp; " days remaining"))</f>
        <v>178 days remaining</v>
      </c>
      <c r="F2" s="519" t="s">
        <v>2191</v>
      </c>
      <c r="G2" s="376"/>
      <c r="H2" s="376"/>
      <c r="I2" s="376"/>
      <c r="J2" s="376"/>
      <c r="K2" s="376"/>
      <c r="L2" s="376"/>
      <c r="M2" s="376"/>
      <c r="N2" s="376"/>
      <c r="O2" s="376"/>
      <c r="P2" s="376"/>
      <c r="Q2" s="376"/>
      <c r="R2" s="376"/>
      <c r="S2" s="376"/>
      <c r="T2" s="376"/>
      <c r="U2" s="376"/>
      <c r="V2" s="376"/>
      <c r="W2" s="376"/>
      <c r="X2" s="376"/>
      <c r="Y2" s="376"/>
      <c r="Z2" s="376"/>
      <c r="AA2" s="376"/>
      <c r="AB2" s="376"/>
      <c r="AC2" s="376"/>
    </row>
    <row r="3">
      <c r="A3" s="582" t="s">
        <v>119</v>
      </c>
      <c r="B3" s="519" t="s">
        <v>2192</v>
      </c>
      <c r="C3" s="583" t="s">
        <v>2190</v>
      </c>
      <c r="D3" s="584">
        <v>46370.0</v>
      </c>
      <c r="E3" s="527" t="str">
        <f t="shared" si="1"/>
        <v>178 days remaining</v>
      </c>
      <c r="F3" s="425"/>
    </row>
    <row r="4">
      <c r="A4" s="582" t="s">
        <v>246</v>
      </c>
      <c r="B4" s="583" t="s">
        <v>2193</v>
      </c>
      <c r="C4" s="583" t="s">
        <v>2190</v>
      </c>
      <c r="D4" s="584">
        <v>46370.0</v>
      </c>
      <c r="E4" s="527" t="str">
        <f t="shared" si="1"/>
        <v>178 days remaining</v>
      </c>
      <c r="F4" s="521" t="s">
        <v>2194</v>
      </c>
    </row>
    <row r="5">
      <c r="A5" s="582" t="s">
        <v>128</v>
      </c>
      <c r="B5" s="585" t="s">
        <v>2189</v>
      </c>
      <c r="C5" s="583" t="s">
        <v>2190</v>
      </c>
      <c r="D5" s="584">
        <v>46370.0</v>
      </c>
      <c r="E5" s="527" t="str">
        <f t="shared" si="1"/>
        <v>178 days remaining</v>
      </c>
      <c r="F5" s="425"/>
    </row>
    <row r="6">
      <c r="A6" s="582" t="s">
        <v>201</v>
      </c>
      <c r="B6" s="583" t="s">
        <v>2193</v>
      </c>
      <c r="C6" s="583" t="s">
        <v>2190</v>
      </c>
      <c r="D6" s="584">
        <v>46370.0</v>
      </c>
      <c r="E6" s="527" t="str">
        <f t="shared" si="1"/>
        <v>178 days remaining</v>
      </c>
      <c r="F6" s="425"/>
    </row>
    <row r="7">
      <c r="A7" s="582" t="s">
        <v>1312</v>
      </c>
      <c r="B7" s="586" t="s">
        <v>2195</v>
      </c>
      <c r="C7" s="583" t="s">
        <v>2190</v>
      </c>
      <c r="D7" s="584">
        <v>46370.0</v>
      </c>
      <c r="E7" s="527" t="str">
        <f t="shared" si="1"/>
        <v>178 days remaining</v>
      </c>
      <c r="F7" s="425"/>
    </row>
    <row r="8">
      <c r="A8" s="582" t="s">
        <v>22</v>
      </c>
      <c r="B8" s="583" t="s">
        <v>2196</v>
      </c>
      <c r="C8" s="583" t="s">
        <v>2190</v>
      </c>
      <c r="D8" s="584">
        <v>46370.0</v>
      </c>
      <c r="E8" s="527" t="str">
        <f t="shared" si="1"/>
        <v>178 days remaining</v>
      </c>
      <c r="F8" s="425"/>
    </row>
    <row r="9">
      <c r="A9" s="582" t="s">
        <v>59</v>
      </c>
      <c r="B9" s="583" t="s">
        <v>2196</v>
      </c>
      <c r="C9" s="583" t="s">
        <v>2190</v>
      </c>
      <c r="D9" s="584">
        <v>46370.0</v>
      </c>
      <c r="E9" s="527" t="str">
        <f t="shared" si="1"/>
        <v>178 days remaining</v>
      </c>
      <c r="F9" s="425"/>
    </row>
    <row r="10">
      <c r="A10" s="425"/>
      <c r="B10" s="587"/>
      <c r="C10" s="587"/>
      <c r="D10" s="527"/>
      <c r="E10" s="527"/>
      <c r="F10" s="425"/>
    </row>
    <row r="11">
      <c r="A11" s="588"/>
      <c r="B11" s="589"/>
      <c r="C11" s="589"/>
      <c r="D11" s="527"/>
      <c r="E11" s="527"/>
      <c r="F11" s="425"/>
    </row>
    <row r="12">
      <c r="B12" s="362"/>
      <c r="C12" s="362"/>
      <c r="D12" s="376"/>
      <c r="E12" s="376"/>
    </row>
    <row r="13">
      <c r="D13" s="376"/>
      <c r="E13" s="376"/>
    </row>
    <row r="14">
      <c r="D14" s="376"/>
      <c r="E14" s="376"/>
    </row>
    <row r="15">
      <c r="D15" s="376"/>
      <c r="E15" s="376"/>
    </row>
    <row r="16">
      <c r="D16" s="376"/>
      <c r="E16" s="376"/>
    </row>
    <row r="17">
      <c r="D17" s="376"/>
      <c r="E17" s="376"/>
    </row>
    <row r="18">
      <c r="D18" s="376"/>
      <c r="E18" s="376"/>
    </row>
    <row r="19">
      <c r="D19" s="376"/>
      <c r="E19" s="376"/>
    </row>
    <row r="20">
      <c r="D20" s="376"/>
      <c r="E20" s="376"/>
    </row>
    <row r="21">
      <c r="D21" s="376"/>
      <c r="E21" s="376"/>
    </row>
    <row r="22">
      <c r="D22" s="376"/>
      <c r="E22" s="376"/>
    </row>
    <row r="23">
      <c r="D23" s="376"/>
      <c r="E23" s="376"/>
    </row>
    <row r="24">
      <c r="D24" s="376"/>
      <c r="E24" s="376"/>
    </row>
    <row r="25">
      <c r="D25" s="376"/>
      <c r="E25" s="376"/>
    </row>
    <row r="26">
      <c r="D26" s="376"/>
      <c r="E26" s="376"/>
    </row>
    <row r="27">
      <c r="D27" s="376"/>
      <c r="E27" s="376"/>
    </row>
    <row r="28">
      <c r="D28" s="376"/>
      <c r="E28" s="376"/>
    </row>
    <row r="29">
      <c r="D29" s="376"/>
      <c r="E29" s="376"/>
    </row>
    <row r="30">
      <c r="D30" s="376"/>
      <c r="E30" s="376"/>
    </row>
    <row r="31">
      <c r="D31" s="376"/>
      <c r="E31" s="376"/>
    </row>
    <row r="32">
      <c r="D32" s="376"/>
      <c r="E32" s="376"/>
    </row>
    <row r="33">
      <c r="D33" s="376"/>
      <c r="E33" s="376"/>
    </row>
    <row r="34">
      <c r="D34" s="376"/>
      <c r="E34" s="376"/>
    </row>
    <row r="35">
      <c r="D35" s="376"/>
      <c r="E35" s="376"/>
    </row>
    <row r="36">
      <c r="D36" s="376"/>
      <c r="E36" s="376"/>
    </row>
    <row r="37">
      <c r="D37" s="376"/>
      <c r="E37" s="376"/>
    </row>
    <row r="38">
      <c r="D38" s="376"/>
      <c r="E38" s="376"/>
    </row>
    <row r="39">
      <c r="B39" s="362"/>
      <c r="C39" s="362"/>
      <c r="D39" s="376"/>
      <c r="E39" s="376"/>
    </row>
    <row r="40">
      <c r="B40" s="362"/>
      <c r="C40" s="362"/>
      <c r="D40" s="376"/>
      <c r="E40" s="376"/>
    </row>
    <row r="41">
      <c r="B41" s="362"/>
      <c r="C41" s="362"/>
      <c r="D41" s="376"/>
      <c r="E41" s="376"/>
    </row>
    <row r="42">
      <c r="B42" s="362"/>
      <c r="C42" s="362"/>
      <c r="D42" s="376"/>
      <c r="E42" s="376"/>
    </row>
    <row r="43">
      <c r="B43" s="362"/>
      <c r="C43" s="362"/>
      <c r="D43" s="376"/>
      <c r="E43" s="376"/>
    </row>
    <row r="44">
      <c r="B44" s="362"/>
      <c r="C44" s="362"/>
      <c r="D44" s="376"/>
      <c r="E44" s="376"/>
    </row>
    <row r="45">
      <c r="B45" s="362"/>
      <c r="C45" s="362"/>
      <c r="D45" s="376"/>
      <c r="E45" s="376"/>
    </row>
    <row r="46">
      <c r="B46" s="362"/>
      <c r="C46" s="362"/>
      <c r="D46" s="376"/>
      <c r="E46" s="376"/>
    </row>
    <row r="47">
      <c r="B47" s="362"/>
      <c r="C47" s="362"/>
      <c r="D47" s="376"/>
      <c r="E47" s="376"/>
    </row>
    <row r="48">
      <c r="B48" s="362"/>
      <c r="C48" s="362"/>
      <c r="D48" s="376"/>
      <c r="E48" s="376"/>
    </row>
    <row r="49">
      <c r="B49" s="362"/>
      <c r="C49" s="362"/>
      <c r="D49" s="376"/>
      <c r="E49" s="376"/>
    </row>
    <row r="50">
      <c r="B50" s="362"/>
      <c r="C50" s="362"/>
      <c r="D50" s="376"/>
      <c r="E50" s="376"/>
    </row>
    <row r="51">
      <c r="B51" s="362"/>
      <c r="C51" s="362"/>
      <c r="D51" s="376"/>
      <c r="E51" s="376"/>
    </row>
    <row r="52">
      <c r="B52" s="362"/>
      <c r="C52" s="362"/>
      <c r="D52" s="376"/>
      <c r="E52" s="376"/>
    </row>
    <row r="53">
      <c r="B53" s="362"/>
      <c r="C53" s="362"/>
      <c r="D53" s="376"/>
      <c r="E53" s="376"/>
    </row>
    <row r="54">
      <c r="B54" s="362"/>
      <c r="C54" s="362"/>
      <c r="D54" s="376"/>
      <c r="E54" s="376"/>
    </row>
    <row r="55">
      <c r="B55" s="362"/>
      <c r="C55" s="362"/>
      <c r="D55" s="376"/>
      <c r="E55" s="376"/>
    </row>
    <row r="56">
      <c r="B56" s="362"/>
      <c r="C56" s="362"/>
      <c r="D56" s="376"/>
      <c r="E56" s="376"/>
    </row>
    <row r="57">
      <c r="B57" s="362"/>
      <c r="C57" s="362"/>
      <c r="D57" s="376"/>
      <c r="E57" s="376"/>
    </row>
    <row r="58">
      <c r="B58" s="362"/>
      <c r="C58" s="362"/>
      <c r="D58" s="376"/>
      <c r="E58" s="376"/>
    </row>
    <row r="59">
      <c r="B59" s="362"/>
      <c r="C59" s="362"/>
      <c r="D59" s="376"/>
      <c r="E59" s="376"/>
    </row>
    <row r="60">
      <c r="B60" s="362"/>
      <c r="C60" s="362"/>
      <c r="D60" s="376"/>
      <c r="E60" s="376"/>
    </row>
    <row r="61">
      <c r="B61" s="362"/>
      <c r="C61" s="362"/>
      <c r="D61" s="376"/>
      <c r="E61" s="376"/>
    </row>
    <row r="62">
      <c r="B62" s="362"/>
      <c r="C62" s="362"/>
      <c r="D62" s="376"/>
      <c r="E62" s="376"/>
    </row>
    <row r="63">
      <c r="B63" s="362"/>
      <c r="C63" s="362"/>
      <c r="D63" s="376"/>
      <c r="E63" s="376"/>
    </row>
    <row r="64">
      <c r="B64" s="362"/>
      <c r="C64" s="362"/>
      <c r="D64" s="376"/>
      <c r="E64" s="376"/>
    </row>
    <row r="65">
      <c r="B65" s="362"/>
      <c r="C65" s="362"/>
      <c r="D65" s="376"/>
      <c r="E65" s="376"/>
    </row>
    <row r="66">
      <c r="B66" s="362"/>
      <c r="C66" s="362"/>
      <c r="D66" s="376"/>
      <c r="E66" s="376"/>
    </row>
    <row r="67">
      <c r="B67" s="362"/>
      <c r="C67" s="362"/>
      <c r="D67" s="376"/>
      <c r="E67" s="376"/>
    </row>
    <row r="68">
      <c r="B68" s="362"/>
      <c r="C68" s="362"/>
      <c r="D68" s="376"/>
      <c r="E68" s="376"/>
    </row>
    <row r="69">
      <c r="B69" s="362"/>
      <c r="C69" s="362"/>
      <c r="D69" s="376"/>
      <c r="E69" s="376"/>
    </row>
    <row r="70">
      <c r="B70" s="362"/>
      <c r="C70" s="362"/>
      <c r="D70" s="376"/>
      <c r="E70" s="376"/>
    </row>
    <row r="71">
      <c r="B71" s="362"/>
      <c r="C71" s="362"/>
      <c r="D71" s="376"/>
      <c r="E71" s="376"/>
    </row>
    <row r="72">
      <c r="B72" s="362"/>
      <c r="C72" s="362"/>
      <c r="D72" s="376"/>
      <c r="E72" s="376"/>
    </row>
    <row r="73">
      <c r="B73" s="362"/>
      <c r="C73" s="362"/>
      <c r="D73" s="376"/>
      <c r="E73" s="376"/>
    </row>
    <row r="74">
      <c r="B74" s="362"/>
      <c r="C74" s="362"/>
      <c r="D74" s="376"/>
      <c r="E74" s="376"/>
    </row>
    <row r="75">
      <c r="B75" s="362"/>
      <c r="C75" s="362"/>
      <c r="D75" s="376"/>
      <c r="E75" s="376"/>
    </row>
    <row r="76">
      <c r="B76" s="362"/>
      <c r="C76" s="362"/>
      <c r="D76" s="376"/>
      <c r="E76" s="376"/>
    </row>
    <row r="77">
      <c r="B77" s="362"/>
      <c r="C77" s="362"/>
      <c r="D77" s="376"/>
      <c r="E77" s="376"/>
    </row>
    <row r="78">
      <c r="B78" s="362"/>
      <c r="C78" s="362"/>
      <c r="D78" s="376"/>
      <c r="E78" s="376"/>
    </row>
    <row r="79">
      <c r="B79" s="362"/>
      <c r="C79" s="362"/>
      <c r="D79" s="376"/>
      <c r="E79" s="376"/>
    </row>
    <row r="80">
      <c r="B80" s="362"/>
      <c r="C80" s="362"/>
      <c r="D80" s="376"/>
      <c r="E80" s="376"/>
    </row>
    <row r="81">
      <c r="B81" s="362"/>
      <c r="C81" s="362"/>
      <c r="D81" s="376"/>
      <c r="E81" s="376"/>
    </row>
    <row r="82">
      <c r="B82" s="362"/>
      <c r="C82" s="362"/>
      <c r="D82" s="376"/>
      <c r="E82" s="376"/>
    </row>
    <row r="83">
      <c r="B83" s="362"/>
      <c r="C83" s="362"/>
      <c r="D83" s="376"/>
      <c r="E83" s="376"/>
    </row>
    <row r="84">
      <c r="B84" s="362"/>
      <c r="C84" s="362"/>
      <c r="D84" s="376"/>
      <c r="E84" s="376"/>
    </row>
    <row r="85">
      <c r="B85" s="362"/>
      <c r="C85" s="362"/>
      <c r="D85" s="376"/>
      <c r="E85" s="376"/>
    </row>
    <row r="86">
      <c r="B86" s="362"/>
      <c r="C86" s="362"/>
      <c r="D86" s="376"/>
      <c r="E86" s="376"/>
    </row>
    <row r="87">
      <c r="B87" s="362"/>
      <c r="C87" s="362"/>
      <c r="D87" s="376"/>
      <c r="E87" s="376"/>
    </row>
    <row r="88">
      <c r="B88" s="362"/>
      <c r="C88" s="362"/>
      <c r="D88" s="376"/>
      <c r="E88" s="376"/>
    </row>
    <row r="89">
      <c r="B89" s="362"/>
      <c r="C89" s="362"/>
      <c r="D89" s="376"/>
      <c r="E89" s="376"/>
    </row>
    <row r="90">
      <c r="B90" s="362"/>
      <c r="C90" s="362"/>
      <c r="D90" s="376"/>
      <c r="E90" s="376"/>
    </row>
    <row r="91">
      <c r="B91" s="362"/>
      <c r="C91" s="362"/>
      <c r="D91" s="376"/>
      <c r="E91" s="376"/>
    </row>
    <row r="92">
      <c r="B92" s="362"/>
      <c r="C92" s="362"/>
      <c r="D92" s="376"/>
      <c r="E92" s="376"/>
    </row>
    <row r="93">
      <c r="B93" s="362"/>
      <c r="C93" s="362"/>
      <c r="D93" s="376"/>
      <c r="E93" s="376"/>
    </row>
    <row r="94">
      <c r="B94" s="362"/>
      <c r="C94" s="362"/>
      <c r="D94" s="376"/>
      <c r="E94" s="376"/>
    </row>
    <row r="95">
      <c r="B95" s="362"/>
      <c r="C95" s="362"/>
      <c r="D95" s="376"/>
      <c r="E95" s="376"/>
    </row>
    <row r="96">
      <c r="B96" s="362"/>
      <c r="C96" s="362"/>
      <c r="D96" s="376"/>
      <c r="E96" s="376"/>
    </row>
    <row r="97">
      <c r="B97" s="362"/>
      <c r="C97" s="362"/>
      <c r="D97" s="376"/>
      <c r="E97" s="376"/>
    </row>
    <row r="98">
      <c r="B98" s="362"/>
      <c r="C98" s="362"/>
      <c r="D98" s="376"/>
      <c r="E98" s="376"/>
    </row>
    <row r="99">
      <c r="B99" s="362"/>
      <c r="C99" s="362"/>
      <c r="D99" s="376"/>
      <c r="E99" s="376"/>
    </row>
    <row r="100">
      <c r="B100" s="362"/>
      <c r="C100" s="362"/>
      <c r="D100" s="376"/>
      <c r="E100" s="376"/>
    </row>
    <row r="101">
      <c r="B101" s="362"/>
      <c r="C101" s="362"/>
      <c r="D101" s="376"/>
      <c r="E101" s="376"/>
    </row>
    <row r="102">
      <c r="B102" s="362"/>
      <c r="C102" s="362"/>
      <c r="D102" s="376"/>
      <c r="E102" s="376"/>
    </row>
    <row r="103">
      <c r="B103" s="362"/>
      <c r="C103" s="362"/>
      <c r="D103" s="376"/>
      <c r="E103" s="376"/>
    </row>
    <row r="104">
      <c r="B104" s="362"/>
      <c r="C104" s="362"/>
      <c r="D104" s="376"/>
      <c r="E104" s="376"/>
    </row>
    <row r="105">
      <c r="B105" s="362"/>
      <c r="C105" s="362"/>
      <c r="D105" s="376"/>
      <c r="E105" s="376"/>
    </row>
    <row r="106">
      <c r="B106" s="362"/>
      <c r="C106" s="362"/>
      <c r="D106" s="376"/>
      <c r="E106" s="376"/>
    </row>
    <row r="107">
      <c r="B107" s="362"/>
      <c r="C107" s="362"/>
      <c r="D107" s="376"/>
      <c r="E107" s="376"/>
    </row>
    <row r="108">
      <c r="B108" s="362"/>
      <c r="C108" s="362"/>
      <c r="D108" s="376"/>
      <c r="E108" s="376"/>
    </row>
    <row r="109">
      <c r="B109" s="362"/>
      <c r="C109" s="362"/>
      <c r="D109" s="376"/>
      <c r="E109" s="376"/>
    </row>
    <row r="110">
      <c r="B110" s="362"/>
      <c r="C110" s="362"/>
      <c r="D110" s="376"/>
      <c r="E110" s="376"/>
    </row>
    <row r="111">
      <c r="B111" s="362"/>
      <c r="C111" s="362"/>
      <c r="D111" s="376"/>
      <c r="E111" s="376"/>
    </row>
    <row r="112">
      <c r="B112" s="362"/>
      <c r="C112" s="362"/>
      <c r="D112" s="376"/>
      <c r="E112" s="376"/>
    </row>
    <row r="113">
      <c r="B113" s="362"/>
      <c r="C113" s="362"/>
      <c r="D113" s="376"/>
      <c r="E113" s="376"/>
    </row>
    <row r="114">
      <c r="B114" s="362"/>
      <c r="C114" s="362"/>
      <c r="D114" s="376"/>
      <c r="E114" s="376"/>
    </row>
    <row r="115">
      <c r="B115" s="362"/>
      <c r="C115" s="362"/>
      <c r="D115" s="376"/>
      <c r="E115" s="376"/>
    </row>
    <row r="116">
      <c r="B116" s="362"/>
      <c r="C116" s="362"/>
      <c r="D116" s="376"/>
      <c r="E116" s="376"/>
    </row>
    <row r="117">
      <c r="B117" s="362"/>
      <c r="C117" s="362"/>
      <c r="D117" s="376"/>
      <c r="E117" s="376"/>
    </row>
    <row r="118">
      <c r="B118" s="362"/>
      <c r="C118" s="362"/>
      <c r="D118" s="376"/>
      <c r="E118" s="376"/>
    </row>
    <row r="119">
      <c r="B119" s="362"/>
      <c r="C119" s="362"/>
      <c r="D119" s="376"/>
      <c r="E119" s="376"/>
    </row>
    <row r="120">
      <c r="B120" s="362"/>
      <c r="C120" s="362"/>
      <c r="D120" s="376"/>
      <c r="E120" s="376"/>
    </row>
    <row r="121">
      <c r="B121" s="362"/>
      <c r="C121" s="362"/>
      <c r="D121" s="376"/>
      <c r="E121" s="376"/>
    </row>
    <row r="122">
      <c r="B122" s="362"/>
      <c r="C122" s="362"/>
      <c r="D122" s="376"/>
      <c r="E122" s="376"/>
    </row>
    <row r="123">
      <c r="B123" s="362"/>
      <c r="C123" s="362"/>
      <c r="D123" s="376"/>
      <c r="E123" s="376"/>
    </row>
    <row r="124">
      <c r="B124" s="362"/>
      <c r="C124" s="362"/>
      <c r="D124" s="376"/>
      <c r="E124" s="376"/>
    </row>
    <row r="125">
      <c r="B125" s="362"/>
      <c r="C125" s="362"/>
      <c r="D125" s="376"/>
      <c r="E125" s="376"/>
    </row>
    <row r="126">
      <c r="B126" s="362"/>
      <c r="C126" s="362"/>
      <c r="D126" s="376"/>
      <c r="E126" s="376"/>
    </row>
    <row r="127">
      <c r="B127" s="362"/>
      <c r="C127" s="362"/>
      <c r="D127" s="376"/>
      <c r="E127" s="376"/>
    </row>
    <row r="128">
      <c r="B128" s="362"/>
      <c r="C128" s="362"/>
      <c r="D128" s="376"/>
      <c r="E128" s="376"/>
    </row>
    <row r="129">
      <c r="B129" s="362"/>
      <c r="C129" s="362"/>
      <c r="D129" s="376"/>
      <c r="E129" s="376"/>
    </row>
    <row r="130">
      <c r="B130" s="362"/>
      <c r="C130" s="362"/>
      <c r="D130" s="376"/>
      <c r="E130" s="376"/>
    </row>
    <row r="131">
      <c r="B131" s="362"/>
      <c r="C131" s="362"/>
      <c r="D131" s="376"/>
      <c r="E131" s="376"/>
    </row>
    <row r="132">
      <c r="B132" s="362"/>
      <c r="C132" s="362"/>
      <c r="D132" s="376"/>
      <c r="E132" s="376"/>
    </row>
    <row r="133">
      <c r="B133" s="362"/>
      <c r="C133" s="362"/>
      <c r="D133" s="376"/>
      <c r="E133" s="376"/>
    </row>
    <row r="134">
      <c r="B134" s="362"/>
      <c r="C134" s="362"/>
      <c r="D134" s="376"/>
      <c r="E134" s="376"/>
    </row>
    <row r="135">
      <c r="B135" s="362"/>
      <c r="C135" s="362"/>
      <c r="D135" s="376"/>
      <c r="E135" s="376"/>
    </row>
    <row r="136">
      <c r="B136" s="362"/>
      <c r="C136" s="362"/>
      <c r="D136" s="376"/>
      <c r="E136" s="376"/>
    </row>
    <row r="137">
      <c r="B137" s="362"/>
      <c r="C137" s="362"/>
      <c r="D137" s="376"/>
      <c r="E137" s="376"/>
    </row>
    <row r="138">
      <c r="B138" s="362"/>
      <c r="C138" s="362"/>
      <c r="D138" s="376"/>
      <c r="E138" s="376"/>
    </row>
    <row r="139">
      <c r="B139" s="362"/>
      <c r="C139" s="362"/>
      <c r="D139" s="376"/>
      <c r="E139" s="376"/>
    </row>
    <row r="140">
      <c r="B140" s="362"/>
      <c r="C140" s="362"/>
      <c r="D140" s="376"/>
      <c r="E140" s="376"/>
    </row>
    <row r="141">
      <c r="B141" s="362"/>
      <c r="C141" s="362"/>
      <c r="D141" s="376"/>
      <c r="E141" s="376"/>
    </row>
    <row r="142">
      <c r="B142" s="362"/>
      <c r="C142" s="362"/>
      <c r="D142" s="376"/>
      <c r="E142" s="376"/>
    </row>
    <row r="143">
      <c r="B143" s="362"/>
      <c r="C143" s="362"/>
      <c r="D143" s="376"/>
      <c r="E143" s="376"/>
    </row>
    <row r="144">
      <c r="B144" s="362"/>
      <c r="C144" s="362"/>
      <c r="D144" s="376"/>
      <c r="E144" s="376"/>
    </row>
    <row r="145">
      <c r="B145" s="362"/>
      <c r="C145" s="362"/>
      <c r="D145" s="376"/>
      <c r="E145" s="376"/>
    </row>
    <row r="146">
      <c r="B146" s="362"/>
      <c r="C146" s="362"/>
      <c r="D146" s="376"/>
      <c r="E146" s="376"/>
    </row>
    <row r="147">
      <c r="B147" s="362"/>
      <c r="C147" s="362"/>
      <c r="D147" s="376"/>
      <c r="E147" s="376"/>
    </row>
    <row r="148">
      <c r="B148" s="362"/>
      <c r="C148" s="362"/>
      <c r="D148" s="376"/>
      <c r="E148" s="376"/>
    </row>
    <row r="149">
      <c r="B149" s="362"/>
      <c r="C149" s="362"/>
      <c r="D149" s="376"/>
      <c r="E149" s="376"/>
    </row>
    <row r="150">
      <c r="B150" s="362"/>
      <c r="C150" s="362"/>
      <c r="D150" s="376"/>
      <c r="E150" s="376"/>
    </row>
    <row r="151">
      <c r="B151" s="362"/>
      <c r="C151" s="362"/>
      <c r="D151" s="376"/>
      <c r="E151" s="376"/>
    </row>
    <row r="152">
      <c r="B152" s="362"/>
      <c r="C152" s="362"/>
      <c r="D152" s="376"/>
      <c r="E152" s="376"/>
    </row>
    <row r="153">
      <c r="B153" s="362"/>
      <c r="C153" s="362"/>
      <c r="D153" s="376"/>
      <c r="E153" s="376"/>
    </row>
    <row r="154">
      <c r="B154" s="362"/>
      <c r="C154" s="362"/>
      <c r="D154" s="376"/>
      <c r="E154" s="376"/>
    </row>
    <row r="155">
      <c r="B155" s="362"/>
      <c r="C155" s="362"/>
      <c r="D155" s="376"/>
      <c r="E155" s="376"/>
    </row>
    <row r="156">
      <c r="B156" s="362"/>
      <c r="C156" s="362"/>
      <c r="D156" s="376"/>
      <c r="E156" s="376"/>
    </row>
    <row r="157">
      <c r="B157" s="362"/>
      <c r="C157" s="362"/>
      <c r="D157" s="376"/>
      <c r="E157" s="376"/>
    </row>
    <row r="158">
      <c r="B158" s="362"/>
      <c r="C158" s="362"/>
      <c r="D158" s="376"/>
      <c r="E158" s="376"/>
    </row>
    <row r="159">
      <c r="B159" s="362"/>
      <c r="C159" s="362"/>
      <c r="D159" s="376"/>
      <c r="E159" s="376"/>
    </row>
    <row r="160">
      <c r="B160" s="362"/>
      <c r="C160" s="362"/>
      <c r="D160" s="376"/>
      <c r="E160" s="376"/>
    </row>
    <row r="161">
      <c r="B161" s="362"/>
      <c r="C161" s="362"/>
      <c r="D161" s="376"/>
      <c r="E161" s="376"/>
    </row>
    <row r="162">
      <c r="B162" s="362"/>
      <c r="C162" s="362"/>
      <c r="D162" s="376"/>
      <c r="E162" s="376"/>
    </row>
    <row r="163">
      <c r="B163" s="362"/>
      <c r="C163" s="362"/>
      <c r="D163" s="376"/>
      <c r="E163" s="376"/>
    </row>
    <row r="164">
      <c r="B164" s="362"/>
      <c r="C164" s="362"/>
      <c r="D164" s="376"/>
      <c r="E164" s="376"/>
    </row>
    <row r="165">
      <c r="B165" s="362"/>
      <c r="C165" s="362"/>
      <c r="D165" s="376"/>
      <c r="E165" s="376"/>
    </row>
    <row r="166">
      <c r="B166" s="362"/>
      <c r="C166" s="362"/>
      <c r="D166" s="376"/>
      <c r="E166" s="376"/>
    </row>
    <row r="167">
      <c r="B167" s="362"/>
      <c r="C167" s="362"/>
      <c r="D167" s="376"/>
      <c r="E167" s="376"/>
    </row>
    <row r="168">
      <c r="B168" s="362"/>
      <c r="C168" s="362"/>
      <c r="D168" s="376"/>
      <c r="E168" s="376"/>
    </row>
    <row r="169">
      <c r="B169" s="362"/>
      <c r="C169" s="362"/>
      <c r="D169" s="376"/>
      <c r="E169" s="376"/>
    </row>
    <row r="170">
      <c r="B170" s="362"/>
      <c r="C170" s="362"/>
      <c r="D170" s="376"/>
      <c r="E170" s="376"/>
    </row>
    <row r="171">
      <c r="B171" s="362"/>
      <c r="C171" s="362"/>
      <c r="D171" s="376"/>
      <c r="E171" s="376"/>
    </row>
    <row r="172">
      <c r="B172" s="362"/>
      <c r="C172" s="362"/>
      <c r="D172" s="376"/>
      <c r="E172" s="376"/>
    </row>
    <row r="173">
      <c r="B173" s="362"/>
      <c r="C173" s="362"/>
      <c r="D173" s="376"/>
      <c r="E173" s="376"/>
    </row>
    <row r="174">
      <c r="B174" s="362"/>
      <c r="C174" s="362"/>
      <c r="D174" s="376"/>
      <c r="E174" s="376"/>
    </row>
    <row r="175">
      <c r="B175" s="362"/>
      <c r="C175" s="362"/>
      <c r="D175" s="376"/>
      <c r="E175" s="376"/>
    </row>
    <row r="176">
      <c r="B176" s="362"/>
      <c r="C176" s="362"/>
      <c r="D176" s="376"/>
      <c r="E176" s="376"/>
    </row>
    <row r="177">
      <c r="B177" s="362"/>
      <c r="C177" s="362"/>
      <c r="D177" s="376"/>
      <c r="E177" s="376"/>
    </row>
    <row r="178">
      <c r="B178" s="362"/>
      <c r="C178" s="362"/>
      <c r="D178" s="376"/>
      <c r="E178" s="376"/>
    </row>
    <row r="179">
      <c r="B179" s="362"/>
      <c r="C179" s="362"/>
      <c r="D179" s="376"/>
      <c r="E179" s="376"/>
    </row>
    <row r="180">
      <c r="B180" s="362"/>
      <c r="C180" s="362"/>
      <c r="D180" s="376"/>
      <c r="E180" s="376"/>
    </row>
    <row r="181">
      <c r="B181" s="362"/>
      <c r="C181" s="362"/>
      <c r="D181" s="376"/>
      <c r="E181" s="376"/>
    </row>
    <row r="182">
      <c r="B182" s="362"/>
      <c r="C182" s="362"/>
      <c r="D182" s="376"/>
      <c r="E182" s="376"/>
    </row>
    <row r="183">
      <c r="B183" s="362"/>
      <c r="C183" s="362"/>
      <c r="D183" s="376"/>
      <c r="E183" s="376"/>
    </row>
    <row r="184">
      <c r="B184" s="362"/>
      <c r="C184" s="362"/>
      <c r="D184" s="376"/>
      <c r="E184" s="376"/>
    </row>
    <row r="185">
      <c r="B185" s="362"/>
      <c r="C185" s="362"/>
      <c r="D185" s="376"/>
      <c r="E185" s="376"/>
    </row>
    <row r="186">
      <c r="B186" s="362"/>
      <c r="C186" s="362"/>
      <c r="D186" s="376"/>
      <c r="E186" s="376"/>
    </row>
    <row r="187">
      <c r="B187" s="362"/>
      <c r="C187" s="362"/>
      <c r="D187" s="376"/>
      <c r="E187" s="376"/>
    </row>
    <row r="188">
      <c r="B188" s="362"/>
      <c r="C188" s="362"/>
      <c r="D188" s="376"/>
      <c r="E188" s="376"/>
    </row>
    <row r="189">
      <c r="B189" s="362"/>
      <c r="C189" s="362"/>
      <c r="D189" s="376"/>
      <c r="E189" s="376"/>
    </row>
    <row r="190">
      <c r="B190" s="362"/>
      <c r="C190" s="362"/>
      <c r="D190" s="376"/>
      <c r="E190" s="376"/>
    </row>
    <row r="191">
      <c r="B191" s="362"/>
      <c r="C191" s="362"/>
      <c r="D191" s="376"/>
      <c r="E191" s="376"/>
    </row>
    <row r="192">
      <c r="B192" s="362"/>
      <c r="C192" s="362"/>
      <c r="D192" s="376"/>
      <c r="E192" s="376"/>
    </row>
    <row r="193">
      <c r="B193" s="362"/>
      <c r="C193" s="362"/>
      <c r="D193" s="376"/>
      <c r="E193" s="376"/>
    </row>
    <row r="194">
      <c r="B194" s="362"/>
      <c r="C194" s="362"/>
      <c r="D194" s="376"/>
      <c r="E194" s="376"/>
    </row>
    <row r="195">
      <c r="B195" s="362"/>
      <c r="C195" s="362"/>
      <c r="D195" s="376"/>
      <c r="E195" s="376"/>
    </row>
    <row r="196">
      <c r="B196" s="362"/>
      <c r="C196" s="362"/>
      <c r="D196" s="376"/>
      <c r="E196" s="376"/>
    </row>
    <row r="197">
      <c r="B197" s="362"/>
      <c r="C197" s="362"/>
      <c r="D197" s="376"/>
      <c r="E197" s="376"/>
    </row>
    <row r="198">
      <c r="B198" s="362"/>
      <c r="C198" s="362"/>
      <c r="D198" s="376"/>
      <c r="E198" s="376"/>
    </row>
    <row r="199">
      <c r="B199" s="362"/>
      <c r="C199" s="362"/>
      <c r="D199" s="376"/>
      <c r="E199" s="376"/>
    </row>
    <row r="200">
      <c r="B200" s="362"/>
      <c r="C200" s="362"/>
      <c r="D200" s="376"/>
      <c r="E200" s="376"/>
    </row>
    <row r="201">
      <c r="B201" s="362"/>
      <c r="C201" s="362"/>
      <c r="D201" s="376"/>
      <c r="E201" s="376"/>
    </row>
    <row r="202">
      <c r="B202" s="362"/>
      <c r="C202" s="362"/>
      <c r="D202" s="376"/>
      <c r="E202" s="376"/>
    </row>
    <row r="203">
      <c r="B203" s="362"/>
      <c r="C203" s="362"/>
      <c r="D203" s="376"/>
      <c r="E203" s="376"/>
    </row>
    <row r="204">
      <c r="B204" s="362"/>
      <c r="C204" s="362"/>
      <c r="D204" s="376"/>
      <c r="E204" s="376"/>
    </row>
    <row r="205">
      <c r="B205" s="362"/>
      <c r="C205" s="362"/>
      <c r="D205" s="376"/>
      <c r="E205" s="376"/>
    </row>
    <row r="206">
      <c r="B206" s="362"/>
      <c r="C206" s="362"/>
      <c r="D206" s="376"/>
      <c r="E206" s="376"/>
    </row>
    <row r="207">
      <c r="B207" s="362"/>
      <c r="C207" s="362"/>
      <c r="D207" s="376"/>
      <c r="E207" s="376"/>
    </row>
    <row r="208">
      <c r="B208" s="362"/>
      <c r="C208" s="362"/>
      <c r="D208" s="376"/>
      <c r="E208" s="376"/>
    </row>
    <row r="209">
      <c r="B209" s="362"/>
      <c r="C209" s="362"/>
      <c r="D209" s="376"/>
      <c r="E209" s="376"/>
    </row>
    <row r="210">
      <c r="B210" s="362"/>
      <c r="C210" s="362"/>
      <c r="D210" s="376"/>
      <c r="E210" s="376"/>
    </row>
    <row r="211">
      <c r="B211" s="362"/>
      <c r="C211" s="362"/>
      <c r="D211" s="376"/>
      <c r="E211" s="376"/>
    </row>
    <row r="212">
      <c r="B212" s="362"/>
      <c r="C212" s="362"/>
      <c r="D212" s="376"/>
      <c r="E212" s="376"/>
    </row>
    <row r="213">
      <c r="B213" s="362"/>
      <c r="C213" s="362"/>
      <c r="D213" s="376"/>
      <c r="E213" s="376"/>
    </row>
    <row r="214">
      <c r="B214" s="362"/>
      <c r="C214" s="362"/>
      <c r="D214" s="376"/>
      <c r="E214" s="376"/>
    </row>
    <row r="215">
      <c r="B215" s="362"/>
      <c r="C215" s="362"/>
      <c r="D215" s="376"/>
      <c r="E215" s="376"/>
    </row>
    <row r="216">
      <c r="B216" s="362"/>
      <c r="C216" s="362"/>
      <c r="D216" s="376"/>
      <c r="E216" s="376"/>
    </row>
    <row r="217">
      <c r="B217" s="362"/>
      <c r="C217" s="362"/>
      <c r="D217" s="376"/>
      <c r="E217" s="376"/>
    </row>
    <row r="218">
      <c r="B218" s="362"/>
      <c r="C218" s="362"/>
      <c r="D218" s="376"/>
      <c r="E218" s="376"/>
    </row>
    <row r="219">
      <c r="B219" s="362"/>
      <c r="C219" s="362"/>
      <c r="D219" s="376"/>
      <c r="E219" s="376"/>
    </row>
    <row r="220">
      <c r="B220" s="362"/>
      <c r="C220" s="362"/>
      <c r="D220" s="376"/>
      <c r="E220" s="376"/>
    </row>
    <row r="221">
      <c r="B221" s="362"/>
      <c r="C221" s="362"/>
      <c r="D221" s="376"/>
      <c r="E221" s="376"/>
    </row>
    <row r="222">
      <c r="B222" s="362"/>
      <c r="C222" s="362"/>
      <c r="D222" s="376"/>
      <c r="E222" s="376"/>
    </row>
    <row r="223">
      <c r="B223" s="362"/>
      <c r="C223" s="362"/>
      <c r="D223" s="376"/>
      <c r="E223" s="376"/>
    </row>
    <row r="224">
      <c r="B224" s="362"/>
      <c r="C224" s="362"/>
      <c r="D224" s="376"/>
      <c r="E224" s="376"/>
    </row>
    <row r="225">
      <c r="B225" s="362"/>
      <c r="C225" s="362"/>
      <c r="D225" s="376"/>
      <c r="E225" s="376"/>
    </row>
    <row r="226">
      <c r="B226" s="362"/>
      <c r="C226" s="362"/>
      <c r="D226" s="376"/>
      <c r="E226" s="376"/>
    </row>
    <row r="227">
      <c r="B227" s="362"/>
      <c r="C227" s="362"/>
      <c r="D227" s="376"/>
      <c r="E227" s="376"/>
    </row>
    <row r="228">
      <c r="B228" s="362"/>
      <c r="C228" s="362"/>
      <c r="D228" s="376"/>
      <c r="E228" s="376"/>
    </row>
    <row r="229">
      <c r="B229" s="362"/>
      <c r="C229" s="362"/>
      <c r="D229" s="376"/>
      <c r="E229" s="376"/>
    </row>
    <row r="230">
      <c r="B230" s="362"/>
      <c r="C230" s="362"/>
      <c r="D230" s="376"/>
      <c r="E230" s="376"/>
    </row>
    <row r="231">
      <c r="B231" s="362"/>
      <c r="C231" s="362"/>
      <c r="D231" s="376"/>
      <c r="E231" s="376"/>
    </row>
    <row r="232">
      <c r="B232" s="362"/>
      <c r="C232" s="362"/>
      <c r="D232" s="376"/>
      <c r="E232" s="376"/>
    </row>
    <row r="233">
      <c r="B233" s="362"/>
      <c r="C233" s="362"/>
      <c r="D233" s="376"/>
      <c r="E233" s="376"/>
    </row>
    <row r="234">
      <c r="B234" s="362"/>
      <c r="C234" s="362"/>
      <c r="D234" s="376"/>
      <c r="E234" s="376"/>
    </row>
    <row r="235">
      <c r="B235" s="362"/>
      <c r="C235" s="362"/>
      <c r="D235" s="376"/>
      <c r="E235" s="376"/>
    </row>
    <row r="236">
      <c r="B236" s="362"/>
      <c r="C236" s="362"/>
      <c r="D236" s="376"/>
      <c r="E236" s="376"/>
    </row>
    <row r="237">
      <c r="B237" s="362"/>
      <c r="C237" s="362"/>
      <c r="D237" s="376"/>
      <c r="E237" s="376"/>
    </row>
    <row r="238">
      <c r="B238" s="362"/>
      <c r="C238" s="362"/>
      <c r="D238" s="376"/>
      <c r="E238" s="376"/>
    </row>
    <row r="239">
      <c r="B239" s="362"/>
      <c r="C239" s="362"/>
      <c r="D239" s="376"/>
      <c r="E239" s="376"/>
    </row>
    <row r="240">
      <c r="B240" s="362"/>
      <c r="C240" s="362"/>
      <c r="D240" s="376"/>
      <c r="E240" s="376"/>
    </row>
    <row r="241">
      <c r="B241" s="362"/>
      <c r="C241" s="362"/>
      <c r="D241" s="376"/>
      <c r="E241" s="376"/>
    </row>
    <row r="242">
      <c r="B242" s="362"/>
      <c r="C242" s="362"/>
      <c r="D242" s="376"/>
      <c r="E242" s="376"/>
    </row>
    <row r="243">
      <c r="B243" s="362"/>
      <c r="C243" s="362"/>
      <c r="D243" s="376"/>
      <c r="E243" s="376"/>
    </row>
    <row r="244">
      <c r="B244" s="362"/>
      <c r="C244" s="362"/>
      <c r="D244" s="376"/>
      <c r="E244" s="376"/>
    </row>
    <row r="245">
      <c r="B245" s="362"/>
      <c r="C245" s="362"/>
      <c r="D245" s="376"/>
      <c r="E245" s="376"/>
    </row>
    <row r="246">
      <c r="B246" s="362"/>
      <c r="C246" s="362"/>
      <c r="D246" s="376"/>
      <c r="E246" s="376"/>
    </row>
    <row r="247">
      <c r="B247" s="362"/>
      <c r="C247" s="362"/>
      <c r="D247" s="376"/>
      <c r="E247" s="376"/>
    </row>
    <row r="248">
      <c r="B248" s="362"/>
      <c r="C248" s="362"/>
      <c r="D248" s="376"/>
      <c r="E248" s="376"/>
    </row>
    <row r="249">
      <c r="B249" s="362"/>
      <c r="C249" s="362"/>
      <c r="D249" s="376"/>
      <c r="E249" s="376"/>
    </row>
    <row r="250">
      <c r="B250" s="362"/>
      <c r="C250" s="362"/>
      <c r="D250" s="376"/>
      <c r="E250" s="376"/>
    </row>
    <row r="251">
      <c r="B251" s="362"/>
      <c r="C251" s="362"/>
      <c r="D251" s="376"/>
      <c r="E251" s="376"/>
    </row>
    <row r="252">
      <c r="B252" s="362"/>
      <c r="C252" s="362"/>
      <c r="D252" s="376"/>
      <c r="E252" s="376"/>
    </row>
    <row r="253">
      <c r="B253" s="362"/>
      <c r="C253" s="362"/>
      <c r="D253" s="376"/>
      <c r="E253" s="376"/>
    </row>
    <row r="254">
      <c r="B254" s="362"/>
      <c r="C254" s="362"/>
      <c r="D254" s="376"/>
      <c r="E254" s="376"/>
    </row>
    <row r="255">
      <c r="B255" s="362"/>
      <c r="C255" s="362"/>
      <c r="D255" s="376"/>
      <c r="E255" s="376"/>
    </row>
    <row r="256">
      <c r="B256" s="362"/>
      <c r="C256" s="362"/>
      <c r="D256" s="376"/>
      <c r="E256" s="376"/>
    </row>
    <row r="257">
      <c r="B257" s="362"/>
      <c r="C257" s="362"/>
      <c r="D257" s="376"/>
      <c r="E257" s="376"/>
    </row>
    <row r="258">
      <c r="B258" s="362"/>
      <c r="C258" s="362"/>
      <c r="D258" s="376"/>
      <c r="E258" s="376"/>
    </row>
    <row r="259">
      <c r="B259" s="362"/>
      <c r="C259" s="362"/>
      <c r="D259" s="376"/>
      <c r="E259" s="376"/>
    </row>
    <row r="260">
      <c r="B260" s="362"/>
      <c r="C260" s="362"/>
      <c r="D260" s="376"/>
      <c r="E260" s="376"/>
    </row>
    <row r="261">
      <c r="B261" s="362"/>
      <c r="C261" s="362"/>
      <c r="D261" s="376"/>
      <c r="E261" s="376"/>
    </row>
    <row r="262">
      <c r="B262" s="362"/>
      <c r="C262" s="362"/>
      <c r="D262" s="376"/>
      <c r="E262" s="376"/>
    </row>
    <row r="263">
      <c r="B263" s="362"/>
      <c r="C263" s="362"/>
      <c r="D263" s="376"/>
      <c r="E263" s="376"/>
    </row>
    <row r="264">
      <c r="B264" s="362"/>
      <c r="C264" s="362"/>
      <c r="D264" s="376"/>
      <c r="E264" s="376"/>
    </row>
    <row r="265">
      <c r="B265" s="362"/>
      <c r="C265" s="362"/>
      <c r="D265" s="376"/>
      <c r="E265" s="376"/>
    </row>
    <row r="266">
      <c r="B266" s="362"/>
      <c r="C266" s="362"/>
      <c r="D266" s="376"/>
      <c r="E266" s="376"/>
    </row>
    <row r="267">
      <c r="B267" s="362"/>
      <c r="C267" s="362"/>
      <c r="D267" s="376"/>
      <c r="E267" s="376"/>
    </row>
    <row r="268">
      <c r="B268" s="362"/>
      <c r="C268" s="362"/>
      <c r="D268" s="376"/>
      <c r="E268" s="376"/>
    </row>
    <row r="269">
      <c r="B269" s="362"/>
      <c r="C269" s="362"/>
      <c r="D269" s="376"/>
      <c r="E269" s="376"/>
    </row>
    <row r="270">
      <c r="B270" s="362"/>
      <c r="C270" s="362"/>
      <c r="D270" s="376"/>
      <c r="E270" s="376"/>
    </row>
    <row r="271">
      <c r="B271" s="362"/>
      <c r="C271" s="362"/>
      <c r="D271" s="376"/>
      <c r="E271" s="376"/>
    </row>
    <row r="272">
      <c r="B272" s="362"/>
      <c r="C272" s="362"/>
      <c r="D272" s="376"/>
      <c r="E272" s="376"/>
    </row>
    <row r="273">
      <c r="B273" s="362"/>
      <c r="C273" s="362"/>
      <c r="D273" s="376"/>
      <c r="E273" s="376"/>
    </row>
    <row r="274">
      <c r="B274" s="362"/>
      <c r="C274" s="362"/>
      <c r="D274" s="376"/>
      <c r="E274" s="376"/>
    </row>
    <row r="275">
      <c r="B275" s="362"/>
      <c r="C275" s="362"/>
      <c r="D275" s="376"/>
      <c r="E275" s="376"/>
    </row>
    <row r="276">
      <c r="B276" s="362"/>
      <c r="C276" s="362"/>
      <c r="D276" s="376"/>
      <c r="E276" s="376"/>
    </row>
    <row r="277">
      <c r="B277" s="362"/>
      <c r="C277" s="362"/>
      <c r="D277" s="376"/>
      <c r="E277" s="376"/>
    </row>
    <row r="278">
      <c r="B278" s="362"/>
      <c r="C278" s="362"/>
      <c r="D278" s="376"/>
      <c r="E278" s="376"/>
    </row>
    <row r="279">
      <c r="B279" s="362"/>
      <c r="C279" s="362"/>
      <c r="D279" s="376"/>
      <c r="E279" s="376"/>
    </row>
    <row r="280">
      <c r="B280" s="362"/>
      <c r="C280" s="362"/>
      <c r="D280" s="376"/>
      <c r="E280" s="376"/>
    </row>
    <row r="281">
      <c r="B281" s="362"/>
      <c r="C281" s="362"/>
      <c r="D281" s="376"/>
      <c r="E281" s="376"/>
    </row>
    <row r="282">
      <c r="B282" s="362"/>
      <c r="C282" s="362"/>
      <c r="D282" s="376"/>
      <c r="E282" s="376"/>
    </row>
    <row r="283">
      <c r="B283" s="362"/>
      <c r="C283" s="362"/>
      <c r="D283" s="376"/>
      <c r="E283" s="376"/>
    </row>
    <row r="284">
      <c r="B284" s="362"/>
      <c r="C284" s="362"/>
      <c r="D284" s="376"/>
      <c r="E284" s="376"/>
    </row>
    <row r="285">
      <c r="B285" s="362"/>
      <c r="C285" s="362"/>
      <c r="D285" s="376"/>
      <c r="E285" s="376"/>
    </row>
    <row r="286">
      <c r="B286" s="362"/>
      <c r="C286" s="362"/>
      <c r="D286" s="376"/>
      <c r="E286" s="376"/>
    </row>
    <row r="287">
      <c r="B287" s="362"/>
      <c r="C287" s="362"/>
      <c r="D287" s="376"/>
      <c r="E287" s="376"/>
    </row>
    <row r="288">
      <c r="B288" s="362"/>
      <c r="C288" s="362"/>
      <c r="D288" s="376"/>
      <c r="E288" s="376"/>
    </row>
    <row r="289">
      <c r="B289" s="362"/>
      <c r="C289" s="362"/>
      <c r="D289" s="376"/>
      <c r="E289" s="376"/>
    </row>
    <row r="290">
      <c r="B290" s="362"/>
      <c r="C290" s="362"/>
      <c r="D290" s="376"/>
      <c r="E290" s="376"/>
    </row>
    <row r="291">
      <c r="B291" s="362"/>
      <c r="C291" s="362"/>
      <c r="D291" s="376"/>
      <c r="E291" s="376"/>
    </row>
    <row r="292">
      <c r="B292" s="362"/>
      <c r="C292" s="362"/>
      <c r="D292" s="376"/>
      <c r="E292" s="376"/>
    </row>
    <row r="293">
      <c r="B293" s="362"/>
      <c r="C293" s="362"/>
      <c r="D293" s="376"/>
      <c r="E293" s="376"/>
    </row>
    <row r="294">
      <c r="B294" s="362"/>
      <c r="C294" s="362"/>
      <c r="D294" s="376"/>
      <c r="E294" s="376"/>
    </row>
    <row r="295">
      <c r="B295" s="362"/>
      <c r="C295" s="362"/>
      <c r="D295" s="376"/>
      <c r="E295" s="376"/>
    </row>
    <row r="296">
      <c r="B296" s="362"/>
      <c r="C296" s="362"/>
      <c r="D296" s="376"/>
      <c r="E296" s="376"/>
    </row>
    <row r="297">
      <c r="B297" s="362"/>
      <c r="C297" s="362"/>
      <c r="D297" s="376"/>
      <c r="E297" s="376"/>
    </row>
    <row r="298">
      <c r="B298" s="362"/>
      <c r="C298" s="362"/>
      <c r="D298" s="376"/>
      <c r="E298" s="376"/>
    </row>
    <row r="299">
      <c r="B299" s="362"/>
      <c r="C299" s="362"/>
      <c r="D299" s="376"/>
      <c r="E299" s="376"/>
    </row>
    <row r="300">
      <c r="B300" s="362"/>
      <c r="C300" s="362"/>
      <c r="D300" s="376"/>
      <c r="E300" s="376"/>
    </row>
    <row r="301">
      <c r="B301" s="362"/>
      <c r="C301" s="362"/>
      <c r="D301" s="376"/>
      <c r="E301" s="376"/>
    </row>
    <row r="302">
      <c r="B302" s="362"/>
      <c r="C302" s="362"/>
      <c r="D302" s="376"/>
      <c r="E302" s="376"/>
    </row>
    <row r="303">
      <c r="B303" s="362"/>
      <c r="C303" s="362"/>
      <c r="D303" s="376"/>
      <c r="E303" s="376"/>
    </row>
    <row r="304">
      <c r="B304" s="362"/>
      <c r="C304" s="362"/>
      <c r="D304" s="376"/>
      <c r="E304" s="376"/>
    </row>
    <row r="305">
      <c r="B305" s="362"/>
      <c r="C305" s="362"/>
      <c r="D305" s="376"/>
      <c r="E305" s="376"/>
    </row>
    <row r="306">
      <c r="B306" s="362"/>
      <c r="C306" s="362"/>
      <c r="D306" s="376"/>
      <c r="E306" s="376"/>
    </row>
    <row r="307">
      <c r="B307" s="362"/>
      <c r="C307" s="362"/>
      <c r="D307" s="376"/>
      <c r="E307" s="376"/>
    </row>
    <row r="308">
      <c r="B308" s="362"/>
      <c r="C308" s="362"/>
      <c r="D308" s="376"/>
      <c r="E308" s="376"/>
    </row>
    <row r="309">
      <c r="B309" s="362"/>
      <c r="C309" s="362"/>
      <c r="D309" s="376"/>
      <c r="E309" s="376"/>
    </row>
    <row r="310">
      <c r="B310" s="362"/>
      <c r="C310" s="362"/>
      <c r="D310" s="376"/>
      <c r="E310" s="376"/>
    </row>
    <row r="311">
      <c r="B311" s="362"/>
      <c r="C311" s="362"/>
      <c r="D311" s="376"/>
      <c r="E311" s="376"/>
    </row>
    <row r="312">
      <c r="B312" s="362"/>
      <c r="C312" s="362"/>
      <c r="D312" s="376"/>
      <c r="E312" s="376"/>
    </row>
    <row r="313">
      <c r="B313" s="362"/>
      <c r="C313" s="362"/>
      <c r="D313" s="376"/>
      <c r="E313" s="376"/>
    </row>
    <row r="314">
      <c r="B314" s="362"/>
      <c r="C314" s="362"/>
      <c r="D314" s="376"/>
      <c r="E314" s="376"/>
    </row>
    <row r="315">
      <c r="B315" s="362"/>
      <c r="C315" s="362"/>
      <c r="D315" s="376"/>
      <c r="E315" s="376"/>
    </row>
    <row r="316">
      <c r="B316" s="362"/>
      <c r="C316" s="362"/>
      <c r="D316" s="376"/>
      <c r="E316" s="376"/>
    </row>
    <row r="317">
      <c r="B317" s="362"/>
      <c r="C317" s="362"/>
      <c r="D317" s="376"/>
      <c r="E317" s="376"/>
    </row>
    <row r="318">
      <c r="B318" s="362"/>
      <c r="C318" s="362"/>
      <c r="D318" s="376"/>
      <c r="E318" s="376"/>
    </row>
    <row r="319">
      <c r="B319" s="362"/>
      <c r="C319" s="362"/>
      <c r="D319" s="376"/>
      <c r="E319" s="376"/>
    </row>
    <row r="320">
      <c r="B320" s="362"/>
      <c r="C320" s="362"/>
      <c r="D320" s="376"/>
      <c r="E320" s="376"/>
    </row>
    <row r="321">
      <c r="B321" s="362"/>
      <c r="C321" s="362"/>
      <c r="D321" s="376"/>
      <c r="E321" s="376"/>
    </row>
    <row r="322">
      <c r="B322" s="362"/>
      <c r="C322" s="362"/>
      <c r="D322" s="376"/>
      <c r="E322" s="376"/>
    </row>
    <row r="323">
      <c r="B323" s="362"/>
      <c r="C323" s="362"/>
      <c r="D323" s="376"/>
      <c r="E323" s="376"/>
    </row>
    <row r="324">
      <c r="B324" s="362"/>
      <c r="C324" s="362"/>
      <c r="D324" s="376"/>
      <c r="E324" s="376"/>
    </row>
    <row r="325">
      <c r="B325" s="362"/>
      <c r="C325" s="362"/>
      <c r="D325" s="376"/>
      <c r="E325" s="376"/>
    </row>
    <row r="326">
      <c r="B326" s="362"/>
      <c r="C326" s="362"/>
      <c r="D326" s="376"/>
      <c r="E326" s="376"/>
    </row>
    <row r="327">
      <c r="B327" s="362"/>
      <c r="C327" s="362"/>
      <c r="D327" s="376"/>
      <c r="E327" s="376"/>
    </row>
    <row r="328">
      <c r="B328" s="362"/>
      <c r="C328" s="362"/>
      <c r="D328" s="376"/>
      <c r="E328" s="376"/>
    </row>
    <row r="329">
      <c r="B329" s="362"/>
      <c r="C329" s="362"/>
      <c r="D329" s="376"/>
      <c r="E329" s="376"/>
    </row>
    <row r="330">
      <c r="B330" s="362"/>
      <c r="C330" s="362"/>
      <c r="D330" s="376"/>
      <c r="E330" s="376"/>
    </row>
    <row r="331">
      <c r="B331" s="362"/>
      <c r="C331" s="362"/>
      <c r="D331" s="376"/>
      <c r="E331" s="376"/>
    </row>
    <row r="332">
      <c r="B332" s="362"/>
      <c r="C332" s="362"/>
      <c r="D332" s="376"/>
      <c r="E332" s="376"/>
    </row>
    <row r="333">
      <c r="B333" s="362"/>
      <c r="C333" s="362"/>
      <c r="D333" s="376"/>
      <c r="E333" s="376"/>
    </row>
    <row r="334">
      <c r="B334" s="362"/>
      <c r="C334" s="362"/>
      <c r="D334" s="376"/>
      <c r="E334" s="376"/>
    </row>
    <row r="335">
      <c r="B335" s="362"/>
      <c r="C335" s="362"/>
      <c r="D335" s="376"/>
      <c r="E335" s="376"/>
    </row>
    <row r="336">
      <c r="B336" s="362"/>
      <c r="C336" s="362"/>
      <c r="D336" s="376"/>
      <c r="E336" s="376"/>
    </row>
    <row r="337">
      <c r="B337" s="362"/>
      <c r="C337" s="362"/>
      <c r="D337" s="376"/>
      <c r="E337" s="376"/>
    </row>
    <row r="338">
      <c r="B338" s="362"/>
      <c r="C338" s="362"/>
      <c r="D338" s="376"/>
      <c r="E338" s="376"/>
    </row>
    <row r="339">
      <c r="B339" s="362"/>
      <c r="C339" s="362"/>
      <c r="D339" s="376"/>
      <c r="E339" s="376"/>
    </row>
    <row r="340">
      <c r="B340" s="362"/>
      <c r="C340" s="362"/>
      <c r="D340" s="376"/>
      <c r="E340" s="376"/>
    </row>
    <row r="341">
      <c r="B341" s="362"/>
      <c r="C341" s="362"/>
      <c r="D341" s="376"/>
      <c r="E341" s="376"/>
    </row>
    <row r="342">
      <c r="B342" s="362"/>
      <c r="C342" s="362"/>
      <c r="D342" s="376"/>
      <c r="E342" s="376"/>
    </row>
    <row r="343">
      <c r="B343" s="362"/>
      <c r="C343" s="362"/>
      <c r="D343" s="376"/>
      <c r="E343" s="376"/>
    </row>
    <row r="344">
      <c r="B344" s="362"/>
      <c r="C344" s="362"/>
      <c r="D344" s="376"/>
      <c r="E344" s="376"/>
    </row>
    <row r="345">
      <c r="B345" s="362"/>
      <c r="C345" s="362"/>
      <c r="D345" s="376"/>
      <c r="E345" s="376"/>
    </row>
    <row r="346">
      <c r="B346" s="362"/>
      <c r="C346" s="362"/>
      <c r="D346" s="376"/>
      <c r="E346" s="376"/>
    </row>
    <row r="347">
      <c r="B347" s="362"/>
      <c r="C347" s="362"/>
      <c r="D347" s="376"/>
      <c r="E347" s="376"/>
    </row>
    <row r="348">
      <c r="B348" s="362"/>
      <c r="C348" s="362"/>
      <c r="D348" s="376"/>
      <c r="E348" s="376"/>
    </row>
    <row r="349">
      <c r="B349" s="362"/>
      <c r="C349" s="362"/>
      <c r="D349" s="376"/>
      <c r="E349" s="376"/>
    </row>
    <row r="350">
      <c r="B350" s="362"/>
      <c r="C350" s="362"/>
      <c r="D350" s="376"/>
      <c r="E350" s="376"/>
    </row>
    <row r="351">
      <c r="B351" s="362"/>
      <c r="C351" s="362"/>
      <c r="D351" s="376"/>
      <c r="E351" s="376"/>
    </row>
    <row r="352">
      <c r="B352" s="362"/>
      <c r="C352" s="362"/>
      <c r="D352" s="376"/>
      <c r="E352" s="376"/>
    </row>
    <row r="353">
      <c r="B353" s="362"/>
      <c r="C353" s="362"/>
      <c r="D353" s="376"/>
      <c r="E353" s="376"/>
    </row>
    <row r="354">
      <c r="B354" s="362"/>
      <c r="C354" s="362"/>
      <c r="D354" s="376"/>
      <c r="E354" s="376"/>
    </row>
    <row r="355">
      <c r="B355" s="362"/>
      <c r="C355" s="362"/>
      <c r="D355" s="376"/>
      <c r="E355" s="376"/>
    </row>
    <row r="356">
      <c r="B356" s="362"/>
      <c r="C356" s="362"/>
      <c r="D356" s="376"/>
      <c r="E356" s="376"/>
    </row>
    <row r="357">
      <c r="B357" s="362"/>
      <c r="C357" s="362"/>
      <c r="D357" s="376"/>
      <c r="E357" s="376"/>
    </row>
    <row r="358">
      <c r="B358" s="362"/>
      <c r="C358" s="362"/>
      <c r="D358" s="376"/>
      <c r="E358" s="376"/>
    </row>
    <row r="359">
      <c r="B359" s="362"/>
      <c r="C359" s="362"/>
      <c r="D359" s="376"/>
      <c r="E359" s="376"/>
    </row>
    <row r="360">
      <c r="B360" s="362"/>
      <c r="C360" s="362"/>
      <c r="D360" s="376"/>
      <c r="E360" s="376"/>
    </row>
    <row r="361">
      <c r="B361" s="362"/>
      <c r="C361" s="362"/>
      <c r="D361" s="376"/>
      <c r="E361" s="376"/>
    </row>
    <row r="362">
      <c r="B362" s="362"/>
      <c r="C362" s="362"/>
      <c r="D362" s="376"/>
      <c r="E362" s="376"/>
    </row>
    <row r="363">
      <c r="B363" s="362"/>
      <c r="C363" s="362"/>
      <c r="D363" s="376"/>
      <c r="E363" s="376"/>
    </row>
    <row r="364">
      <c r="B364" s="362"/>
      <c r="C364" s="362"/>
      <c r="D364" s="376"/>
      <c r="E364" s="376"/>
    </row>
    <row r="365">
      <c r="B365" s="362"/>
      <c r="C365" s="362"/>
      <c r="D365" s="376"/>
      <c r="E365" s="376"/>
    </row>
    <row r="366">
      <c r="B366" s="362"/>
      <c r="C366" s="362"/>
      <c r="D366" s="376"/>
      <c r="E366" s="376"/>
    </row>
    <row r="367">
      <c r="B367" s="362"/>
      <c r="C367" s="362"/>
      <c r="D367" s="376"/>
      <c r="E367" s="376"/>
    </row>
    <row r="368">
      <c r="B368" s="362"/>
      <c r="C368" s="362"/>
      <c r="D368" s="376"/>
      <c r="E368" s="376"/>
    </row>
    <row r="369">
      <c r="B369" s="362"/>
      <c r="C369" s="362"/>
      <c r="D369" s="376"/>
      <c r="E369" s="376"/>
    </row>
    <row r="370">
      <c r="B370" s="362"/>
      <c r="C370" s="362"/>
      <c r="D370" s="376"/>
      <c r="E370" s="376"/>
    </row>
    <row r="371">
      <c r="B371" s="362"/>
      <c r="C371" s="362"/>
      <c r="D371" s="376"/>
      <c r="E371" s="376"/>
    </row>
    <row r="372">
      <c r="B372" s="362"/>
      <c r="C372" s="362"/>
      <c r="D372" s="376"/>
      <c r="E372" s="376"/>
    </row>
    <row r="373">
      <c r="B373" s="362"/>
      <c r="C373" s="362"/>
      <c r="D373" s="376"/>
      <c r="E373" s="376"/>
    </row>
    <row r="374">
      <c r="B374" s="362"/>
      <c r="C374" s="362"/>
      <c r="D374" s="376"/>
      <c r="E374" s="376"/>
    </row>
    <row r="375">
      <c r="B375" s="362"/>
      <c r="C375" s="362"/>
      <c r="D375" s="376"/>
      <c r="E375" s="376"/>
    </row>
    <row r="376">
      <c r="B376" s="362"/>
      <c r="C376" s="362"/>
      <c r="D376" s="376"/>
      <c r="E376" s="376"/>
    </row>
    <row r="377">
      <c r="B377" s="362"/>
      <c r="C377" s="362"/>
      <c r="D377" s="376"/>
      <c r="E377" s="376"/>
    </row>
    <row r="378">
      <c r="B378" s="362"/>
      <c r="C378" s="362"/>
      <c r="D378" s="376"/>
      <c r="E378" s="376"/>
    </row>
    <row r="379">
      <c r="B379" s="362"/>
      <c r="C379" s="362"/>
      <c r="D379" s="376"/>
      <c r="E379" s="376"/>
    </row>
    <row r="380">
      <c r="B380" s="362"/>
      <c r="C380" s="362"/>
      <c r="D380" s="376"/>
      <c r="E380" s="376"/>
    </row>
    <row r="381">
      <c r="B381" s="362"/>
      <c r="C381" s="362"/>
      <c r="D381" s="376"/>
      <c r="E381" s="376"/>
    </row>
    <row r="382">
      <c r="B382" s="362"/>
      <c r="C382" s="362"/>
      <c r="D382" s="376"/>
      <c r="E382" s="376"/>
    </row>
    <row r="383">
      <c r="B383" s="362"/>
      <c r="C383" s="362"/>
      <c r="D383" s="376"/>
      <c r="E383" s="376"/>
    </row>
    <row r="384">
      <c r="B384" s="362"/>
      <c r="C384" s="362"/>
      <c r="D384" s="376"/>
      <c r="E384" s="376"/>
    </row>
    <row r="385">
      <c r="B385" s="362"/>
      <c r="C385" s="362"/>
      <c r="D385" s="376"/>
      <c r="E385" s="376"/>
    </row>
    <row r="386">
      <c r="B386" s="362"/>
      <c r="C386" s="362"/>
      <c r="D386" s="376"/>
      <c r="E386" s="376"/>
    </row>
    <row r="387">
      <c r="B387" s="362"/>
      <c r="C387" s="362"/>
      <c r="D387" s="376"/>
      <c r="E387" s="376"/>
    </row>
    <row r="388">
      <c r="B388" s="362"/>
      <c r="C388" s="362"/>
      <c r="D388" s="376"/>
      <c r="E388" s="376"/>
    </row>
    <row r="389">
      <c r="B389" s="362"/>
      <c r="C389" s="362"/>
      <c r="D389" s="376"/>
      <c r="E389" s="376"/>
    </row>
    <row r="390">
      <c r="B390" s="362"/>
      <c r="C390" s="362"/>
      <c r="D390" s="376"/>
      <c r="E390" s="376"/>
    </row>
    <row r="391">
      <c r="B391" s="362"/>
      <c r="C391" s="362"/>
      <c r="D391" s="376"/>
      <c r="E391" s="376"/>
    </row>
    <row r="392">
      <c r="B392" s="362"/>
      <c r="C392" s="362"/>
      <c r="D392" s="376"/>
      <c r="E392" s="376"/>
    </row>
    <row r="393">
      <c r="B393" s="362"/>
      <c r="C393" s="362"/>
      <c r="D393" s="376"/>
      <c r="E393" s="376"/>
    </row>
    <row r="394">
      <c r="B394" s="362"/>
      <c r="C394" s="362"/>
      <c r="D394" s="376"/>
      <c r="E394" s="376"/>
    </row>
    <row r="395">
      <c r="B395" s="362"/>
      <c r="C395" s="362"/>
      <c r="D395" s="376"/>
      <c r="E395" s="376"/>
    </row>
    <row r="396">
      <c r="B396" s="362"/>
      <c r="C396" s="362"/>
      <c r="D396" s="376"/>
      <c r="E396" s="376"/>
    </row>
    <row r="397">
      <c r="B397" s="362"/>
      <c r="C397" s="362"/>
      <c r="D397" s="376"/>
      <c r="E397" s="376"/>
    </row>
    <row r="398">
      <c r="B398" s="362"/>
      <c r="C398" s="362"/>
      <c r="D398" s="376"/>
      <c r="E398" s="376"/>
    </row>
    <row r="399">
      <c r="B399" s="362"/>
      <c r="C399" s="362"/>
      <c r="D399" s="376"/>
      <c r="E399" s="376"/>
    </row>
    <row r="400">
      <c r="B400" s="362"/>
      <c r="C400" s="362"/>
      <c r="D400" s="376"/>
      <c r="E400" s="376"/>
    </row>
    <row r="401">
      <c r="B401" s="362"/>
      <c r="C401" s="362"/>
      <c r="D401" s="376"/>
      <c r="E401" s="376"/>
    </row>
    <row r="402">
      <c r="B402" s="362"/>
      <c r="C402" s="362"/>
      <c r="D402" s="376"/>
      <c r="E402" s="376"/>
    </row>
    <row r="403">
      <c r="B403" s="362"/>
      <c r="C403" s="362"/>
      <c r="D403" s="376"/>
      <c r="E403" s="376"/>
    </row>
    <row r="404">
      <c r="B404" s="362"/>
      <c r="C404" s="362"/>
      <c r="D404" s="376"/>
      <c r="E404" s="376"/>
    </row>
    <row r="405">
      <c r="B405" s="362"/>
      <c r="C405" s="362"/>
      <c r="D405" s="376"/>
      <c r="E405" s="376"/>
    </row>
    <row r="406">
      <c r="B406" s="362"/>
      <c r="C406" s="362"/>
      <c r="D406" s="376"/>
      <c r="E406" s="376"/>
    </row>
    <row r="407">
      <c r="B407" s="362"/>
      <c r="C407" s="362"/>
      <c r="D407" s="376"/>
      <c r="E407" s="376"/>
    </row>
    <row r="408">
      <c r="B408" s="362"/>
      <c r="C408" s="362"/>
      <c r="D408" s="376"/>
      <c r="E408" s="376"/>
    </row>
    <row r="409">
      <c r="B409" s="362"/>
      <c r="C409" s="362"/>
      <c r="D409" s="376"/>
      <c r="E409" s="376"/>
    </row>
    <row r="410">
      <c r="B410" s="362"/>
      <c r="C410" s="362"/>
      <c r="D410" s="376"/>
      <c r="E410" s="376"/>
    </row>
    <row r="411">
      <c r="B411" s="362"/>
      <c r="C411" s="362"/>
      <c r="D411" s="376"/>
      <c r="E411" s="376"/>
    </row>
    <row r="412">
      <c r="B412" s="362"/>
      <c r="C412" s="362"/>
      <c r="D412" s="376"/>
      <c r="E412" s="376"/>
    </row>
    <row r="413">
      <c r="B413" s="362"/>
      <c r="C413" s="362"/>
      <c r="D413" s="376"/>
      <c r="E413" s="376"/>
    </row>
    <row r="414">
      <c r="B414" s="362"/>
      <c r="C414" s="362"/>
      <c r="D414" s="376"/>
      <c r="E414" s="376"/>
    </row>
    <row r="415">
      <c r="B415" s="362"/>
      <c r="C415" s="362"/>
      <c r="D415" s="376"/>
      <c r="E415" s="376"/>
    </row>
    <row r="416">
      <c r="B416" s="362"/>
      <c r="C416" s="362"/>
      <c r="D416" s="376"/>
      <c r="E416" s="376"/>
    </row>
    <row r="417">
      <c r="B417" s="362"/>
      <c r="C417" s="362"/>
      <c r="D417" s="376"/>
      <c r="E417" s="376"/>
    </row>
    <row r="418">
      <c r="B418" s="362"/>
      <c r="C418" s="362"/>
      <c r="D418" s="376"/>
      <c r="E418" s="376"/>
    </row>
    <row r="419">
      <c r="B419" s="362"/>
      <c r="C419" s="362"/>
      <c r="D419" s="376"/>
      <c r="E419" s="376"/>
    </row>
    <row r="420">
      <c r="B420" s="362"/>
      <c r="C420" s="362"/>
      <c r="D420" s="376"/>
      <c r="E420" s="376"/>
    </row>
    <row r="421">
      <c r="B421" s="362"/>
      <c r="C421" s="362"/>
      <c r="D421" s="376"/>
      <c r="E421" s="376"/>
    </row>
    <row r="422">
      <c r="B422" s="362"/>
      <c r="C422" s="362"/>
      <c r="D422" s="376"/>
      <c r="E422" s="376"/>
    </row>
    <row r="423">
      <c r="B423" s="362"/>
      <c r="C423" s="362"/>
      <c r="D423" s="376"/>
      <c r="E423" s="376"/>
    </row>
    <row r="424">
      <c r="B424" s="362"/>
      <c r="C424" s="362"/>
      <c r="D424" s="376"/>
      <c r="E424" s="376"/>
    </row>
    <row r="425">
      <c r="B425" s="362"/>
      <c r="C425" s="362"/>
      <c r="D425" s="376"/>
      <c r="E425" s="376"/>
    </row>
    <row r="426">
      <c r="B426" s="362"/>
      <c r="C426" s="362"/>
      <c r="D426" s="376"/>
      <c r="E426" s="376"/>
    </row>
    <row r="427">
      <c r="B427" s="362"/>
      <c r="C427" s="362"/>
      <c r="D427" s="376"/>
      <c r="E427" s="376"/>
    </row>
    <row r="428">
      <c r="B428" s="362"/>
      <c r="C428" s="362"/>
      <c r="D428" s="376"/>
      <c r="E428" s="376"/>
    </row>
    <row r="429">
      <c r="B429" s="362"/>
      <c r="C429" s="362"/>
      <c r="D429" s="376"/>
      <c r="E429" s="376"/>
    </row>
    <row r="430">
      <c r="B430" s="362"/>
      <c r="C430" s="362"/>
      <c r="D430" s="376"/>
      <c r="E430" s="376"/>
    </row>
    <row r="431">
      <c r="B431" s="362"/>
      <c r="C431" s="362"/>
      <c r="D431" s="376"/>
      <c r="E431" s="376"/>
    </row>
    <row r="432">
      <c r="B432" s="362"/>
      <c r="C432" s="362"/>
      <c r="D432" s="376"/>
      <c r="E432" s="376"/>
    </row>
    <row r="433">
      <c r="B433" s="362"/>
      <c r="C433" s="362"/>
      <c r="D433" s="376"/>
      <c r="E433" s="376"/>
    </row>
    <row r="434">
      <c r="B434" s="362"/>
      <c r="C434" s="362"/>
      <c r="D434" s="376"/>
      <c r="E434" s="376"/>
    </row>
    <row r="435">
      <c r="B435" s="362"/>
      <c r="C435" s="362"/>
      <c r="D435" s="376"/>
      <c r="E435" s="376"/>
    </row>
    <row r="436">
      <c r="B436" s="362"/>
      <c r="C436" s="362"/>
      <c r="D436" s="376"/>
      <c r="E436" s="376"/>
    </row>
    <row r="437">
      <c r="B437" s="362"/>
      <c r="C437" s="362"/>
      <c r="D437" s="376"/>
      <c r="E437" s="376"/>
    </row>
    <row r="438">
      <c r="B438" s="362"/>
      <c r="C438" s="362"/>
      <c r="D438" s="376"/>
      <c r="E438" s="376"/>
    </row>
    <row r="439">
      <c r="B439" s="362"/>
      <c r="C439" s="362"/>
      <c r="D439" s="376"/>
      <c r="E439" s="376"/>
    </row>
    <row r="440">
      <c r="B440" s="362"/>
      <c r="C440" s="362"/>
      <c r="D440" s="376"/>
      <c r="E440" s="376"/>
    </row>
    <row r="441">
      <c r="B441" s="362"/>
      <c r="C441" s="362"/>
      <c r="D441" s="376"/>
      <c r="E441" s="376"/>
    </row>
    <row r="442">
      <c r="B442" s="362"/>
      <c r="C442" s="362"/>
      <c r="D442" s="376"/>
      <c r="E442" s="376"/>
    </row>
    <row r="443">
      <c r="B443" s="362"/>
      <c r="C443" s="362"/>
      <c r="D443" s="376"/>
      <c r="E443" s="376"/>
    </row>
    <row r="444">
      <c r="B444" s="362"/>
      <c r="C444" s="362"/>
      <c r="D444" s="376"/>
      <c r="E444" s="376"/>
    </row>
    <row r="445">
      <c r="B445" s="362"/>
      <c r="C445" s="362"/>
      <c r="D445" s="376"/>
      <c r="E445" s="376"/>
    </row>
    <row r="446">
      <c r="B446" s="362"/>
      <c r="C446" s="362"/>
      <c r="D446" s="376"/>
      <c r="E446" s="376"/>
    </row>
    <row r="447">
      <c r="B447" s="362"/>
      <c r="C447" s="362"/>
      <c r="D447" s="376"/>
      <c r="E447" s="376"/>
    </row>
    <row r="448">
      <c r="B448" s="362"/>
      <c r="C448" s="362"/>
      <c r="D448" s="376"/>
      <c r="E448" s="376"/>
    </row>
    <row r="449">
      <c r="B449" s="362"/>
      <c r="C449" s="362"/>
      <c r="D449" s="376"/>
      <c r="E449" s="376"/>
    </row>
    <row r="450">
      <c r="B450" s="362"/>
      <c r="C450" s="362"/>
      <c r="D450" s="376"/>
      <c r="E450" s="376"/>
    </row>
    <row r="451">
      <c r="B451" s="362"/>
      <c r="C451" s="362"/>
      <c r="D451" s="376"/>
      <c r="E451" s="376"/>
    </row>
    <row r="452">
      <c r="B452" s="362"/>
      <c r="C452" s="362"/>
      <c r="D452" s="376"/>
      <c r="E452" s="376"/>
    </row>
    <row r="453">
      <c r="B453" s="362"/>
      <c r="C453" s="362"/>
      <c r="D453" s="376"/>
      <c r="E453" s="376"/>
    </row>
    <row r="454">
      <c r="B454" s="362"/>
      <c r="C454" s="362"/>
      <c r="D454" s="376"/>
      <c r="E454" s="376"/>
    </row>
    <row r="455">
      <c r="B455" s="362"/>
      <c r="C455" s="362"/>
      <c r="D455" s="376"/>
      <c r="E455" s="376"/>
    </row>
    <row r="456">
      <c r="B456" s="362"/>
      <c r="C456" s="362"/>
      <c r="D456" s="376"/>
      <c r="E456" s="376"/>
    </row>
    <row r="457">
      <c r="B457" s="362"/>
      <c r="C457" s="362"/>
      <c r="D457" s="376"/>
      <c r="E457" s="376"/>
    </row>
    <row r="458">
      <c r="B458" s="362"/>
      <c r="C458" s="362"/>
      <c r="D458" s="376"/>
      <c r="E458" s="376"/>
    </row>
    <row r="459">
      <c r="B459" s="362"/>
      <c r="C459" s="362"/>
      <c r="D459" s="376"/>
      <c r="E459" s="376"/>
    </row>
    <row r="460">
      <c r="B460" s="362"/>
      <c r="C460" s="362"/>
      <c r="D460" s="376"/>
      <c r="E460" s="376"/>
    </row>
    <row r="461">
      <c r="B461" s="362"/>
      <c r="C461" s="362"/>
      <c r="D461" s="376"/>
      <c r="E461" s="376"/>
    </row>
    <row r="462">
      <c r="B462" s="362"/>
      <c r="C462" s="362"/>
      <c r="D462" s="376"/>
      <c r="E462" s="376"/>
    </row>
    <row r="463">
      <c r="B463" s="362"/>
      <c r="C463" s="362"/>
      <c r="D463" s="376"/>
      <c r="E463" s="376"/>
    </row>
    <row r="464">
      <c r="B464" s="362"/>
      <c r="C464" s="362"/>
      <c r="D464" s="376"/>
      <c r="E464" s="376"/>
    </row>
    <row r="465">
      <c r="B465" s="362"/>
      <c r="C465" s="362"/>
      <c r="D465" s="376"/>
      <c r="E465" s="376"/>
    </row>
    <row r="466">
      <c r="B466" s="362"/>
      <c r="C466" s="362"/>
      <c r="D466" s="376"/>
      <c r="E466" s="376"/>
    </row>
    <row r="467">
      <c r="B467" s="362"/>
      <c r="C467" s="362"/>
      <c r="D467" s="376"/>
      <c r="E467" s="376"/>
    </row>
    <row r="468">
      <c r="B468" s="362"/>
      <c r="C468" s="362"/>
      <c r="D468" s="376"/>
      <c r="E468" s="376"/>
    </row>
    <row r="469">
      <c r="B469" s="362"/>
      <c r="C469" s="362"/>
      <c r="D469" s="376"/>
      <c r="E469" s="376"/>
    </row>
    <row r="470">
      <c r="B470" s="362"/>
      <c r="C470" s="362"/>
      <c r="D470" s="376"/>
      <c r="E470" s="376"/>
    </row>
    <row r="471">
      <c r="B471" s="362"/>
      <c r="C471" s="362"/>
      <c r="D471" s="376"/>
      <c r="E471" s="376"/>
    </row>
    <row r="472">
      <c r="B472" s="362"/>
      <c r="C472" s="362"/>
      <c r="D472" s="376"/>
      <c r="E472" s="376"/>
    </row>
    <row r="473">
      <c r="B473" s="362"/>
      <c r="C473" s="362"/>
      <c r="D473" s="376"/>
      <c r="E473" s="376"/>
    </row>
    <row r="474">
      <c r="B474" s="362"/>
      <c r="C474" s="362"/>
      <c r="D474" s="376"/>
      <c r="E474" s="376"/>
    </row>
    <row r="475">
      <c r="B475" s="362"/>
      <c r="C475" s="362"/>
      <c r="D475" s="376"/>
      <c r="E475" s="376"/>
    </row>
    <row r="476">
      <c r="B476" s="362"/>
      <c r="C476" s="362"/>
      <c r="D476" s="376"/>
      <c r="E476" s="376"/>
    </row>
    <row r="477">
      <c r="B477" s="362"/>
      <c r="C477" s="362"/>
      <c r="D477" s="376"/>
      <c r="E477" s="376"/>
    </row>
    <row r="478">
      <c r="B478" s="362"/>
      <c r="C478" s="362"/>
      <c r="D478" s="376"/>
      <c r="E478" s="376"/>
    </row>
    <row r="479">
      <c r="B479" s="362"/>
      <c r="C479" s="362"/>
      <c r="D479" s="376"/>
      <c r="E479" s="376"/>
    </row>
    <row r="480">
      <c r="B480" s="362"/>
      <c r="C480" s="362"/>
      <c r="D480" s="376"/>
      <c r="E480" s="376"/>
    </row>
    <row r="481">
      <c r="B481" s="362"/>
      <c r="C481" s="362"/>
      <c r="D481" s="376"/>
      <c r="E481" s="376"/>
    </row>
    <row r="482">
      <c r="B482" s="362"/>
      <c r="C482" s="362"/>
      <c r="D482" s="376"/>
      <c r="E482" s="376"/>
    </row>
    <row r="483">
      <c r="B483" s="362"/>
      <c r="C483" s="362"/>
      <c r="D483" s="376"/>
      <c r="E483" s="376"/>
    </row>
    <row r="484">
      <c r="B484" s="362"/>
      <c r="C484" s="362"/>
      <c r="D484" s="376"/>
      <c r="E484" s="376"/>
    </row>
    <row r="485">
      <c r="B485" s="362"/>
      <c r="C485" s="362"/>
      <c r="D485" s="376"/>
      <c r="E485" s="376"/>
    </row>
    <row r="486">
      <c r="B486" s="362"/>
      <c r="C486" s="362"/>
      <c r="D486" s="376"/>
      <c r="E486" s="376"/>
    </row>
    <row r="487">
      <c r="B487" s="362"/>
      <c r="C487" s="362"/>
      <c r="D487" s="376"/>
      <c r="E487" s="376"/>
    </row>
    <row r="488">
      <c r="B488" s="362"/>
      <c r="C488" s="362"/>
      <c r="D488" s="376"/>
      <c r="E488" s="376"/>
    </row>
    <row r="489">
      <c r="B489" s="362"/>
      <c r="C489" s="362"/>
      <c r="D489" s="376"/>
      <c r="E489" s="376"/>
    </row>
    <row r="490">
      <c r="B490" s="362"/>
      <c r="C490" s="362"/>
      <c r="D490" s="376"/>
      <c r="E490" s="376"/>
    </row>
    <row r="491">
      <c r="B491" s="362"/>
      <c r="C491" s="362"/>
      <c r="D491" s="376"/>
      <c r="E491" s="376"/>
    </row>
    <row r="492">
      <c r="B492" s="362"/>
      <c r="C492" s="362"/>
      <c r="D492" s="376"/>
      <c r="E492" s="376"/>
    </row>
    <row r="493">
      <c r="B493" s="362"/>
      <c r="C493" s="362"/>
      <c r="D493" s="376"/>
      <c r="E493" s="376"/>
    </row>
    <row r="494">
      <c r="B494" s="362"/>
      <c r="C494" s="362"/>
      <c r="D494" s="376"/>
      <c r="E494" s="376"/>
    </row>
    <row r="495">
      <c r="B495" s="362"/>
      <c r="C495" s="362"/>
      <c r="D495" s="376"/>
      <c r="E495" s="376"/>
    </row>
    <row r="496">
      <c r="B496" s="362"/>
      <c r="C496" s="362"/>
      <c r="D496" s="376"/>
      <c r="E496" s="376"/>
    </row>
    <row r="497">
      <c r="B497" s="362"/>
      <c r="C497" s="362"/>
      <c r="D497" s="376"/>
      <c r="E497" s="376"/>
    </row>
    <row r="498">
      <c r="B498" s="362"/>
      <c r="C498" s="362"/>
      <c r="D498" s="376"/>
      <c r="E498" s="376"/>
    </row>
    <row r="499">
      <c r="B499" s="362"/>
      <c r="C499" s="362"/>
      <c r="D499" s="376"/>
      <c r="E499" s="376"/>
    </row>
    <row r="500">
      <c r="B500" s="362"/>
      <c r="C500" s="362"/>
      <c r="D500" s="376"/>
      <c r="E500" s="376"/>
    </row>
    <row r="501">
      <c r="B501" s="362"/>
      <c r="C501" s="362"/>
      <c r="D501" s="376"/>
      <c r="E501" s="376"/>
    </row>
    <row r="502">
      <c r="B502" s="362"/>
      <c r="C502" s="362"/>
      <c r="D502" s="376"/>
      <c r="E502" s="376"/>
    </row>
    <row r="503">
      <c r="B503" s="362"/>
      <c r="C503" s="362"/>
      <c r="D503" s="376"/>
      <c r="E503" s="376"/>
    </row>
    <row r="504">
      <c r="B504" s="362"/>
      <c r="C504" s="362"/>
      <c r="D504" s="376"/>
      <c r="E504" s="376"/>
    </row>
    <row r="505">
      <c r="B505" s="362"/>
      <c r="C505" s="362"/>
      <c r="D505" s="376"/>
      <c r="E505" s="376"/>
    </row>
    <row r="506">
      <c r="B506" s="362"/>
      <c r="C506" s="362"/>
      <c r="D506" s="376"/>
      <c r="E506" s="376"/>
    </row>
    <row r="507">
      <c r="B507" s="362"/>
      <c r="C507" s="362"/>
      <c r="D507" s="376"/>
      <c r="E507" s="376"/>
    </row>
    <row r="508">
      <c r="B508" s="362"/>
      <c r="C508" s="362"/>
      <c r="D508" s="376"/>
      <c r="E508" s="376"/>
    </row>
    <row r="509">
      <c r="B509" s="362"/>
      <c r="C509" s="362"/>
      <c r="D509" s="376"/>
      <c r="E509" s="376"/>
    </row>
    <row r="510">
      <c r="B510" s="362"/>
      <c r="C510" s="362"/>
      <c r="D510" s="376"/>
      <c r="E510" s="376"/>
    </row>
    <row r="511">
      <c r="B511" s="362"/>
      <c r="C511" s="362"/>
      <c r="D511" s="376"/>
      <c r="E511" s="376"/>
    </row>
    <row r="512">
      <c r="B512" s="362"/>
      <c r="C512" s="362"/>
      <c r="D512" s="376"/>
      <c r="E512" s="376"/>
    </row>
    <row r="513">
      <c r="B513" s="362"/>
      <c r="C513" s="362"/>
      <c r="D513" s="376"/>
      <c r="E513" s="376"/>
    </row>
    <row r="514">
      <c r="B514" s="362"/>
      <c r="C514" s="362"/>
      <c r="D514" s="376"/>
      <c r="E514" s="376"/>
    </row>
    <row r="515">
      <c r="B515" s="362"/>
      <c r="C515" s="362"/>
      <c r="D515" s="376"/>
      <c r="E515" s="376"/>
    </row>
    <row r="516">
      <c r="B516" s="362"/>
      <c r="C516" s="362"/>
      <c r="D516" s="376"/>
      <c r="E516" s="376"/>
    </row>
    <row r="517">
      <c r="B517" s="362"/>
      <c r="C517" s="362"/>
      <c r="D517" s="376"/>
      <c r="E517" s="376"/>
    </row>
    <row r="518">
      <c r="B518" s="362"/>
      <c r="C518" s="362"/>
      <c r="D518" s="376"/>
      <c r="E518" s="376"/>
    </row>
    <row r="519">
      <c r="B519" s="362"/>
      <c r="C519" s="362"/>
      <c r="D519" s="376"/>
      <c r="E519" s="376"/>
    </row>
    <row r="520">
      <c r="B520" s="362"/>
      <c r="C520" s="362"/>
      <c r="D520" s="376"/>
      <c r="E520" s="376"/>
    </row>
    <row r="521">
      <c r="B521" s="362"/>
      <c r="C521" s="362"/>
      <c r="D521" s="376"/>
      <c r="E521" s="376"/>
    </row>
    <row r="522">
      <c r="B522" s="362"/>
      <c r="C522" s="362"/>
      <c r="D522" s="376"/>
      <c r="E522" s="376"/>
    </row>
    <row r="523">
      <c r="B523" s="362"/>
      <c r="C523" s="362"/>
      <c r="D523" s="376"/>
      <c r="E523" s="376"/>
    </row>
    <row r="524">
      <c r="B524" s="362"/>
      <c r="C524" s="362"/>
      <c r="D524" s="376"/>
      <c r="E524" s="376"/>
    </row>
    <row r="525">
      <c r="B525" s="362"/>
      <c r="C525" s="362"/>
      <c r="D525" s="376"/>
      <c r="E525" s="376"/>
    </row>
    <row r="526">
      <c r="B526" s="362"/>
      <c r="C526" s="362"/>
      <c r="D526" s="376"/>
      <c r="E526" s="376"/>
    </row>
    <row r="527">
      <c r="B527" s="362"/>
      <c r="C527" s="362"/>
      <c r="D527" s="376"/>
      <c r="E527" s="376"/>
    </row>
    <row r="528">
      <c r="B528" s="362"/>
      <c r="C528" s="362"/>
      <c r="D528" s="376"/>
      <c r="E528" s="376"/>
    </row>
    <row r="529">
      <c r="B529" s="362"/>
      <c r="C529" s="362"/>
      <c r="D529" s="376"/>
      <c r="E529" s="376"/>
    </row>
    <row r="530">
      <c r="B530" s="362"/>
      <c r="C530" s="362"/>
      <c r="D530" s="376"/>
      <c r="E530" s="376"/>
    </row>
    <row r="531">
      <c r="B531" s="362"/>
      <c r="C531" s="362"/>
      <c r="D531" s="376"/>
      <c r="E531" s="376"/>
    </row>
    <row r="532">
      <c r="B532" s="362"/>
      <c r="C532" s="362"/>
      <c r="D532" s="376"/>
      <c r="E532" s="376"/>
    </row>
    <row r="533">
      <c r="B533" s="362"/>
      <c r="C533" s="362"/>
      <c r="D533" s="376"/>
      <c r="E533" s="376"/>
    </row>
    <row r="534">
      <c r="B534" s="362"/>
      <c r="C534" s="362"/>
      <c r="D534" s="376"/>
      <c r="E534" s="376"/>
    </row>
    <row r="535">
      <c r="B535" s="362"/>
      <c r="C535" s="362"/>
      <c r="D535" s="376"/>
      <c r="E535" s="376"/>
    </row>
    <row r="536">
      <c r="B536" s="362"/>
      <c r="C536" s="362"/>
      <c r="D536" s="376"/>
      <c r="E536" s="376"/>
    </row>
    <row r="537">
      <c r="B537" s="362"/>
      <c r="C537" s="362"/>
      <c r="D537" s="376"/>
      <c r="E537" s="376"/>
    </row>
    <row r="538">
      <c r="B538" s="362"/>
      <c r="C538" s="362"/>
      <c r="D538" s="376"/>
      <c r="E538" s="376"/>
    </row>
    <row r="539">
      <c r="B539" s="362"/>
      <c r="C539" s="362"/>
      <c r="D539" s="376"/>
      <c r="E539" s="376"/>
    </row>
    <row r="540">
      <c r="B540" s="362"/>
      <c r="C540" s="362"/>
      <c r="D540" s="376"/>
      <c r="E540" s="376"/>
    </row>
    <row r="541">
      <c r="B541" s="362"/>
      <c r="C541" s="362"/>
      <c r="D541" s="376"/>
      <c r="E541" s="376"/>
    </row>
    <row r="542">
      <c r="B542" s="362"/>
      <c r="C542" s="362"/>
      <c r="D542" s="376"/>
      <c r="E542" s="376"/>
    </row>
    <row r="543">
      <c r="B543" s="362"/>
      <c r="C543" s="362"/>
      <c r="D543" s="376"/>
      <c r="E543" s="376"/>
    </row>
    <row r="544">
      <c r="B544" s="362"/>
      <c r="C544" s="362"/>
      <c r="D544" s="376"/>
      <c r="E544" s="376"/>
    </row>
    <row r="545">
      <c r="B545" s="362"/>
      <c r="C545" s="362"/>
      <c r="D545" s="376"/>
      <c r="E545" s="376"/>
    </row>
    <row r="546">
      <c r="B546" s="362"/>
      <c r="C546" s="362"/>
      <c r="D546" s="376"/>
      <c r="E546" s="376"/>
    </row>
    <row r="547">
      <c r="B547" s="362"/>
      <c r="C547" s="362"/>
      <c r="D547" s="376"/>
      <c r="E547" s="376"/>
    </row>
    <row r="548">
      <c r="B548" s="362"/>
      <c r="C548" s="362"/>
      <c r="D548" s="376"/>
      <c r="E548" s="376"/>
    </row>
    <row r="549">
      <c r="B549" s="362"/>
      <c r="C549" s="362"/>
      <c r="D549" s="376"/>
      <c r="E549" s="376"/>
    </row>
    <row r="550">
      <c r="B550" s="362"/>
      <c r="C550" s="362"/>
      <c r="D550" s="376"/>
      <c r="E550" s="376"/>
    </row>
    <row r="551">
      <c r="B551" s="362"/>
      <c r="C551" s="362"/>
      <c r="D551" s="376"/>
      <c r="E551" s="376"/>
    </row>
    <row r="552">
      <c r="B552" s="362"/>
      <c r="C552" s="362"/>
      <c r="D552" s="376"/>
      <c r="E552" s="376"/>
    </row>
    <row r="553">
      <c r="B553" s="362"/>
      <c r="C553" s="362"/>
      <c r="D553" s="376"/>
      <c r="E553" s="376"/>
    </row>
    <row r="554">
      <c r="B554" s="362"/>
      <c r="C554" s="362"/>
      <c r="D554" s="376"/>
      <c r="E554" s="376"/>
    </row>
    <row r="555">
      <c r="B555" s="362"/>
      <c r="C555" s="362"/>
      <c r="D555" s="376"/>
      <c r="E555" s="376"/>
    </row>
    <row r="556">
      <c r="B556" s="362"/>
      <c r="C556" s="362"/>
      <c r="D556" s="376"/>
      <c r="E556" s="376"/>
    </row>
    <row r="557">
      <c r="B557" s="362"/>
      <c r="C557" s="362"/>
      <c r="D557" s="376"/>
      <c r="E557" s="376"/>
    </row>
    <row r="558">
      <c r="B558" s="362"/>
      <c r="C558" s="362"/>
      <c r="D558" s="376"/>
      <c r="E558" s="376"/>
    </row>
    <row r="559">
      <c r="B559" s="362"/>
      <c r="C559" s="362"/>
      <c r="D559" s="376"/>
      <c r="E559" s="376"/>
    </row>
    <row r="560">
      <c r="B560" s="362"/>
      <c r="C560" s="362"/>
      <c r="D560" s="376"/>
      <c r="E560" s="376"/>
    </row>
    <row r="561">
      <c r="B561" s="362"/>
      <c r="C561" s="362"/>
      <c r="D561" s="376"/>
      <c r="E561" s="376"/>
    </row>
    <row r="562">
      <c r="B562" s="362"/>
      <c r="C562" s="362"/>
      <c r="D562" s="376"/>
      <c r="E562" s="376"/>
    </row>
    <row r="563">
      <c r="B563" s="362"/>
      <c r="C563" s="362"/>
      <c r="D563" s="376"/>
      <c r="E563" s="376"/>
    </row>
    <row r="564">
      <c r="B564" s="362"/>
      <c r="C564" s="362"/>
      <c r="D564" s="376"/>
      <c r="E564" s="376"/>
    </row>
    <row r="565">
      <c r="B565" s="362"/>
      <c r="C565" s="362"/>
      <c r="D565" s="376"/>
      <c r="E565" s="376"/>
    </row>
    <row r="566">
      <c r="B566" s="362"/>
      <c r="C566" s="362"/>
      <c r="D566" s="376"/>
      <c r="E566" s="376"/>
    </row>
    <row r="567">
      <c r="B567" s="362"/>
      <c r="C567" s="362"/>
      <c r="D567" s="376"/>
      <c r="E567" s="376"/>
    </row>
    <row r="568">
      <c r="B568" s="362"/>
      <c r="C568" s="362"/>
      <c r="D568" s="376"/>
      <c r="E568" s="376"/>
    </row>
    <row r="569">
      <c r="B569" s="362"/>
      <c r="C569" s="362"/>
      <c r="D569" s="376"/>
      <c r="E569" s="376"/>
    </row>
    <row r="570">
      <c r="B570" s="362"/>
      <c r="C570" s="362"/>
      <c r="D570" s="376"/>
      <c r="E570" s="376"/>
    </row>
    <row r="571">
      <c r="B571" s="362"/>
      <c r="C571" s="362"/>
      <c r="D571" s="376"/>
      <c r="E571" s="376"/>
    </row>
    <row r="572">
      <c r="B572" s="362"/>
      <c r="C572" s="362"/>
      <c r="D572" s="376"/>
      <c r="E572" s="376"/>
    </row>
    <row r="573">
      <c r="B573" s="362"/>
      <c r="C573" s="362"/>
      <c r="D573" s="376"/>
      <c r="E573" s="376"/>
    </row>
    <row r="574">
      <c r="B574" s="362"/>
      <c r="C574" s="362"/>
      <c r="D574" s="376"/>
      <c r="E574" s="376"/>
    </row>
    <row r="575">
      <c r="B575" s="362"/>
      <c r="C575" s="362"/>
      <c r="D575" s="376"/>
      <c r="E575" s="376"/>
    </row>
    <row r="576">
      <c r="B576" s="362"/>
      <c r="C576" s="362"/>
      <c r="D576" s="376"/>
      <c r="E576" s="376"/>
    </row>
    <row r="577">
      <c r="B577" s="362"/>
      <c r="C577" s="362"/>
      <c r="D577" s="376"/>
      <c r="E577" s="376"/>
    </row>
    <row r="578">
      <c r="B578" s="362"/>
      <c r="C578" s="362"/>
      <c r="D578" s="376"/>
      <c r="E578" s="376"/>
    </row>
    <row r="579">
      <c r="B579" s="362"/>
      <c r="C579" s="362"/>
      <c r="D579" s="376"/>
      <c r="E579" s="376"/>
    </row>
    <row r="580">
      <c r="B580" s="362"/>
      <c r="C580" s="362"/>
      <c r="D580" s="376"/>
      <c r="E580" s="376"/>
    </row>
    <row r="581">
      <c r="B581" s="362"/>
      <c r="C581" s="362"/>
      <c r="D581" s="376"/>
      <c r="E581" s="376"/>
    </row>
    <row r="582">
      <c r="B582" s="362"/>
      <c r="C582" s="362"/>
      <c r="D582" s="376"/>
      <c r="E582" s="376"/>
    </row>
    <row r="583">
      <c r="B583" s="362"/>
      <c r="C583" s="362"/>
      <c r="D583" s="376"/>
      <c r="E583" s="376"/>
    </row>
    <row r="584">
      <c r="B584" s="362"/>
      <c r="C584" s="362"/>
      <c r="D584" s="376"/>
      <c r="E584" s="376"/>
    </row>
    <row r="585">
      <c r="B585" s="362"/>
      <c r="C585" s="362"/>
      <c r="D585" s="376"/>
      <c r="E585" s="376"/>
    </row>
    <row r="586">
      <c r="B586" s="362"/>
      <c r="C586" s="362"/>
      <c r="D586" s="376"/>
      <c r="E586" s="376"/>
    </row>
    <row r="587">
      <c r="B587" s="362"/>
      <c r="C587" s="362"/>
      <c r="D587" s="376"/>
      <c r="E587" s="376"/>
    </row>
    <row r="588">
      <c r="B588" s="362"/>
      <c r="C588" s="362"/>
      <c r="D588" s="376"/>
      <c r="E588" s="376"/>
    </row>
    <row r="589">
      <c r="B589" s="362"/>
      <c r="C589" s="362"/>
      <c r="D589" s="376"/>
      <c r="E589" s="376"/>
    </row>
    <row r="590">
      <c r="B590" s="362"/>
      <c r="C590" s="362"/>
      <c r="D590" s="376"/>
      <c r="E590" s="376"/>
    </row>
    <row r="591">
      <c r="B591" s="362"/>
      <c r="C591" s="362"/>
      <c r="D591" s="376"/>
      <c r="E591" s="376"/>
    </row>
    <row r="592">
      <c r="B592" s="362"/>
      <c r="C592" s="362"/>
      <c r="D592" s="376"/>
      <c r="E592" s="376"/>
    </row>
    <row r="593">
      <c r="B593" s="362"/>
      <c r="C593" s="362"/>
      <c r="D593" s="376"/>
      <c r="E593" s="376"/>
    </row>
    <row r="594">
      <c r="B594" s="362"/>
      <c r="C594" s="362"/>
      <c r="D594" s="376"/>
      <c r="E594" s="376"/>
    </row>
    <row r="595">
      <c r="B595" s="362"/>
      <c r="C595" s="362"/>
      <c r="D595" s="376"/>
      <c r="E595" s="376"/>
    </row>
    <row r="596">
      <c r="B596" s="362"/>
      <c r="C596" s="362"/>
      <c r="D596" s="376"/>
      <c r="E596" s="376"/>
    </row>
    <row r="597">
      <c r="B597" s="362"/>
      <c r="C597" s="362"/>
      <c r="D597" s="376"/>
      <c r="E597" s="376"/>
    </row>
    <row r="598">
      <c r="B598" s="362"/>
      <c r="C598" s="362"/>
      <c r="D598" s="376"/>
      <c r="E598" s="376"/>
    </row>
    <row r="599">
      <c r="B599" s="362"/>
      <c r="C599" s="362"/>
      <c r="D599" s="376"/>
      <c r="E599" s="376"/>
    </row>
    <row r="600">
      <c r="B600" s="362"/>
      <c r="C600" s="362"/>
      <c r="D600" s="376"/>
      <c r="E600" s="376"/>
    </row>
    <row r="601">
      <c r="B601" s="362"/>
      <c r="C601" s="362"/>
      <c r="D601" s="376"/>
      <c r="E601" s="376"/>
    </row>
    <row r="602">
      <c r="B602" s="362"/>
      <c r="C602" s="362"/>
      <c r="D602" s="376"/>
      <c r="E602" s="376"/>
    </row>
    <row r="603">
      <c r="B603" s="362"/>
      <c r="C603" s="362"/>
      <c r="D603" s="376"/>
      <c r="E603" s="376"/>
    </row>
    <row r="604">
      <c r="B604" s="362"/>
      <c r="C604" s="362"/>
      <c r="D604" s="376"/>
      <c r="E604" s="376"/>
    </row>
    <row r="605">
      <c r="B605" s="362"/>
      <c r="C605" s="362"/>
      <c r="D605" s="376"/>
      <c r="E605" s="376"/>
    </row>
    <row r="606">
      <c r="B606" s="362"/>
      <c r="C606" s="362"/>
      <c r="D606" s="376"/>
      <c r="E606" s="376"/>
    </row>
    <row r="607">
      <c r="B607" s="362"/>
      <c r="C607" s="362"/>
      <c r="D607" s="376"/>
      <c r="E607" s="376"/>
    </row>
    <row r="608">
      <c r="B608" s="362"/>
      <c r="C608" s="362"/>
      <c r="D608" s="376"/>
      <c r="E608" s="376"/>
    </row>
    <row r="609">
      <c r="B609" s="362"/>
      <c r="C609" s="362"/>
      <c r="D609" s="376"/>
      <c r="E609" s="376"/>
    </row>
    <row r="610">
      <c r="B610" s="362"/>
      <c r="C610" s="362"/>
      <c r="D610" s="376"/>
      <c r="E610" s="376"/>
    </row>
    <row r="611">
      <c r="B611" s="362"/>
      <c r="C611" s="362"/>
      <c r="D611" s="376"/>
      <c r="E611" s="376"/>
    </row>
    <row r="612">
      <c r="B612" s="362"/>
      <c r="C612" s="362"/>
      <c r="D612" s="376"/>
      <c r="E612" s="376"/>
    </row>
    <row r="613">
      <c r="B613" s="362"/>
      <c r="C613" s="362"/>
      <c r="D613" s="376"/>
      <c r="E613" s="376"/>
    </row>
    <row r="614">
      <c r="B614" s="362"/>
      <c r="C614" s="362"/>
      <c r="D614" s="376"/>
      <c r="E614" s="376"/>
    </row>
    <row r="615">
      <c r="B615" s="362"/>
      <c r="C615" s="362"/>
      <c r="D615" s="376"/>
      <c r="E615" s="376"/>
    </row>
    <row r="616">
      <c r="B616" s="362"/>
      <c r="C616" s="362"/>
      <c r="D616" s="376"/>
      <c r="E616" s="376"/>
    </row>
    <row r="617">
      <c r="B617" s="362"/>
      <c r="C617" s="362"/>
      <c r="D617" s="376"/>
      <c r="E617" s="376"/>
    </row>
    <row r="618">
      <c r="B618" s="362"/>
      <c r="C618" s="362"/>
      <c r="D618" s="376"/>
      <c r="E618" s="376"/>
    </row>
    <row r="619">
      <c r="B619" s="362"/>
      <c r="C619" s="362"/>
      <c r="D619" s="376"/>
      <c r="E619" s="376"/>
    </row>
    <row r="620">
      <c r="B620" s="362"/>
      <c r="C620" s="362"/>
      <c r="D620" s="376"/>
      <c r="E620" s="376"/>
    </row>
    <row r="621">
      <c r="B621" s="362"/>
      <c r="C621" s="362"/>
      <c r="D621" s="376"/>
      <c r="E621" s="376"/>
    </row>
    <row r="622">
      <c r="B622" s="362"/>
      <c r="C622" s="362"/>
      <c r="D622" s="376"/>
      <c r="E622" s="376"/>
    </row>
    <row r="623">
      <c r="B623" s="362"/>
      <c r="C623" s="362"/>
      <c r="D623" s="376"/>
      <c r="E623" s="376"/>
    </row>
    <row r="624">
      <c r="B624" s="362"/>
      <c r="C624" s="362"/>
      <c r="D624" s="376"/>
      <c r="E624" s="376"/>
    </row>
    <row r="625">
      <c r="B625" s="362"/>
      <c r="C625" s="362"/>
      <c r="D625" s="376"/>
      <c r="E625" s="376"/>
    </row>
    <row r="626">
      <c r="B626" s="362"/>
      <c r="C626" s="362"/>
      <c r="D626" s="376"/>
      <c r="E626" s="376"/>
    </row>
    <row r="627">
      <c r="B627" s="362"/>
      <c r="C627" s="362"/>
      <c r="D627" s="376"/>
      <c r="E627" s="376"/>
    </row>
    <row r="628">
      <c r="B628" s="362"/>
      <c r="C628" s="362"/>
      <c r="D628" s="376"/>
      <c r="E628" s="376"/>
    </row>
    <row r="629">
      <c r="B629" s="362"/>
      <c r="C629" s="362"/>
      <c r="D629" s="376"/>
      <c r="E629" s="376"/>
    </row>
    <row r="630">
      <c r="B630" s="362"/>
      <c r="C630" s="362"/>
      <c r="D630" s="376"/>
      <c r="E630" s="376"/>
    </row>
    <row r="631">
      <c r="B631" s="362"/>
      <c r="C631" s="362"/>
      <c r="D631" s="376"/>
      <c r="E631" s="376"/>
    </row>
    <row r="632">
      <c r="B632" s="362"/>
      <c r="C632" s="362"/>
      <c r="D632" s="376"/>
      <c r="E632" s="376"/>
    </row>
    <row r="633">
      <c r="B633" s="362"/>
      <c r="C633" s="362"/>
      <c r="D633" s="376"/>
      <c r="E633" s="376"/>
    </row>
    <row r="634">
      <c r="B634" s="362"/>
      <c r="C634" s="362"/>
      <c r="D634" s="376"/>
      <c r="E634" s="376"/>
    </row>
    <row r="635">
      <c r="B635" s="362"/>
      <c r="C635" s="362"/>
      <c r="D635" s="376"/>
      <c r="E635" s="376"/>
    </row>
    <row r="636">
      <c r="B636" s="362"/>
      <c r="C636" s="362"/>
      <c r="D636" s="376"/>
      <c r="E636" s="376"/>
    </row>
    <row r="637">
      <c r="B637" s="362"/>
      <c r="C637" s="362"/>
      <c r="D637" s="376"/>
      <c r="E637" s="376"/>
    </row>
    <row r="638">
      <c r="B638" s="362"/>
      <c r="C638" s="362"/>
      <c r="D638" s="376"/>
      <c r="E638" s="376"/>
    </row>
    <row r="639">
      <c r="B639" s="362"/>
      <c r="C639" s="362"/>
      <c r="D639" s="376"/>
      <c r="E639" s="376"/>
    </row>
    <row r="640">
      <c r="B640" s="362"/>
      <c r="C640" s="362"/>
      <c r="D640" s="376"/>
      <c r="E640" s="376"/>
    </row>
    <row r="641">
      <c r="B641" s="362"/>
      <c r="C641" s="362"/>
      <c r="D641" s="376"/>
      <c r="E641" s="376"/>
    </row>
    <row r="642">
      <c r="B642" s="362"/>
      <c r="C642" s="362"/>
      <c r="D642" s="376"/>
      <c r="E642" s="376"/>
    </row>
    <row r="643">
      <c r="B643" s="362"/>
      <c r="C643" s="362"/>
      <c r="D643" s="376"/>
      <c r="E643" s="376"/>
    </row>
    <row r="644">
      <c r="B644" s="362"/>
      <c r="C644" s="362"/>
      <c r="D644" s="376"/>
      <c r="E644" s="376"/>
    </row>
    <row r="645">
      <c r="B645" s="362"/>
      <c r="C645" s="362"/>
      <c r="D645" s="376"/>
      <c r="E645" s="376"/>
    </row>
    <row r="646">
      <c r="B646" s="362"/>
      <c r="C646" s="362"/>
      <c r="D646" s="376"/>
      <c r="E646" s="376"/>
    </row>
    <row r="647">
      <c r="B647" s="362"/>
      <c r="C647" s="362"/>
      <c r="D647" s="376"/>
      <c r="E647" s="376"/>
    </row>
    <row r="648">
      <c r="B648" s="362"/>
      <c r="C648" s="362"/>
      <c r="D648" s="376"/>
      <c r="E648" s="376"/>
    </row>
    <row r="649">
      <c r="B649" s="362"/>
      <c r="C649" s="362"/>
      <c r="D649" s="376"/>
      <c r="E649" s="376"/>
    </row>
    <row r="650">
      <c r="B650" s="362"/>
      <c r="C650" s="362"/>
      <c r="D650" s="376"/>
      <c r="E650" s="376"/>
    </row>
    <row r="651">
      <c r="B651" s="362"/>
      <c r="C651" s="362"/>
      <c r="D651" s="376"/>
      <c r="E651" s="376"/>
    </row>
    <row r="652">
      <c r="B652" s="362"/>
      <c r="C652" s="362"/>
      <c r="D652" s="376"/>
      <c r="E652" s="376"/>
    </row>
    <row r="653">
      <c r="B653" s="362"/>
      <c r="C653" s="362"/>
      <c r="D653" s="376"/>
      <c r="E653" s="376"/>
    </row>
    <row r="654">
      <c r="B654" s="362"/>
      <c r="C654" s="362"/>
      <c r="D654" s="376"/>
      <c r="E654" s="376"/>
    </row>
    <row r="655">
      <c r="B655" s="362"/>
      <c r="C655" s="362"/>
      <c r="D655" s="376"/>
      <c r="E655" s="376"/>
    </row>
    <row r="656">
      <c r="B656" s="362"/>
      <c r="C656" s="362"/>
      <c r="D656" s="376"/>
      <c r="E656" s="376"/>
    </row>
    <row r="657">
      <c r="B657" s="362"/>
      <c r="C657" s="362"/>
      <c r="D657" s="376"/>
      <c r="E657" s="376"/>
    </row>
    <row r="658">
      <c r="B658" s="362"/>
      <c r="C658" s="362"/>
      <c r="D658" s="376"/>
      <c r="E658" s="376"/>
    </row>
    <row r="659">
      <c r="B659" s="362"/>
      <c r="C659" s="362"/>
      <c r="D659" s="376"/>
      <c r="E659" s="376"/>
    </row>
    <row r="660">
      <c r="B660" s="362"/>
      <c r="C660" s="362"/>
      <c r="D660" s="376"/>
      <c r="E660" s="376"/>
    </row>
    <row r="661">
      <c r="B661" s="362"/>
      <c r="C661" s="362"/>
      <c r="D661" s="376"/>
      <c r="E661" s="376"/>
    </row>
    <row r="662">
      <c r="B662" s="362"/>
      <c r="C662" s="362"/>
      <c r="D662" s="376"/>
      <c r="E662" s="376"/>
    </row>
    <row r="663">
      <c r="B663" s="362"/>
      <c r="C663" s="362"/>
      <c r="D663" s="376"/>
      <c r="E663" s="376"/>
    </row>
    <row r="664">
      <c r="B664" s="362"/>
      <c r="C664" s="362"/>
      <c r="D664" s="376"/>
      <c r="E664" s="376"/>
    </row>
    <row r="665">
      <c r="B665" s="362"/>
      <c r="C665" s="362"/>
      <c r="D665" s="376"/>
      <c r="E665" s="376"/>
    </row>
    <row r="666">
      <c r="B666" s="362"/>
      <c r="C666" s="362"/>
      <c r="D666" s="376"/>
      <c r="E666" s="376"/>
    </row>
    <row r="667">
      <c r="B667" s="362"/>
      <c r="C667" s="362"/>
      <c r="D667" s="376"/>
      <c r="E667" s="376"/>
    </row>
    <row r="668">
      <c r="B668" s="362"/>
      <c r="C668" s="362"/>
      <c r="D668" s="376"/>
      <c r="E668" s="376"/>
    </row>
    <row r="669">
      <c r="B669" s="362"/>
      <c r="C669" s="362"/>
      <c r="D669" s="376"/>
      <c r="E669" s="376"/>
    </row>
    <row r="670">
      <c r="B670" s="362"/>
      <c r="C670" s="362"/>
      <c r="D670" s="376"/>
      <c r="E670" s="376"/>
    </row>
    <row r="671">
      <c r="B671" s="362"/>
      <c r="C671" s="362"/>
      <c r="D671" s="376"/>
      <c r="E671" s="376"/>
    </row>
    <row r="672">
      <c r="B672" s="362"/>
      <c r="C672" s="362"/>
      <c r="D672" s="376"/>
      <c r="E672" s="376"/>
    </row>
    <row r="673">
      <c r="B673" s="362"/>
      <c r="C673" s="362"/>
      <c r="D673" s="376"/>
      <c r="E673" s="376"/>
    </row>
    <row r="674">
      <c r="B674" s="362"/>
      <c r="C674" s="362"/>
      <c r="D674" s="376"/>
      <c r="E674" s="376"/>
    </row>
    <row r="675">
      <c r="B675" s="362"/>
      <c r="C675" s="362"/>
      <c r="D675" s="376"/>
      <c r="E675" s="376"/>
    </row>
    <row r="676">
      <c r="B676" s="362"/>
      <c r="C676" s="362"/>
      <c r="D676" s="376"/>
      <c r="E676" s="376"/>
    </row>
    <row r="677">
      <c r="B677" s="362"/>
      <c r="C677" s="362"/>
      <c r="D677" s="376"/>
      <c r="E677" s="376"/>
    </row>
    <row r="678">
      <c r="B678" s="362"/>
      <c r="C678" s="362"/>
      <c r="D678" s="376"/>
      <c r="E678" s="376"/>
    </row>
    <row r="679">
      <c r="B679" s="362"/>
      <c r="C679" s="362"/>
      <c r="D679" s="376"/>
      <c r="E679" s="376"/>
    </row>
    <row r="680">
      <c r="B680" s="362"/>
      <c r="C680" s="362"/>
      <c r="D680" s="376"/>
      <c r="E680" s="376"/>
    </row>
    <row r="681">
      <c r="B681" s="362"/>
      <c r="C681" s="362"/>
      <c r="D681" s="376"/>
      <c r="E681" s="376"/>
    </row>
    <row r="682">
      <c r="B682" s="362"/>
      <c r="C682" s="362"/>
      <c r="D682" s="376"/>
      <c r="E682" s="376"/>
    </row>
    <row r="683">
      <c r="B683" s="362"/>
      <c r="C683" s="362"/>
      <c r="D683" s="376"/>
      <c r="E683" s="376"/>
    </row>
    <row r="684">
      <c r="B684" s="362"/>
      <c r="C684" s="362"/>
      <c r="D684" s="376"/>
      <c r="E684" s="376"/>
    </row>
    <row r="685">
      <c r="B685" s="362"/>
      <c r="C685" s="362"/>
      <c r="D685" s="376"/>
      <c r="E685" s="376"/>
    </row>
    <row r="686">
      <c r="B686" s="362"/>
      <c r="C686" s="362"/>
      <c r="D686" s="376"/>
      <c r="E686" s="376"/>
    </row>
    <row r="687">
      <c r="B687" s="362"/>
      <c r="C687" s="362"/>
      <c r="D687" s="376"/>
      <c r="E687" s="376"/>
    </row>
    <row r="688">
      <c r="B688" s="362"/>
      <c r="C688" s="362"/>
      <c r="D688" s="376"/>
      <c r="E688" s="376"/>
    </row>
    <row r="689">
      <c r="B689" s="362"/>
      <c r="C689" s="362"/>
      <c r="D689" s="376"/>
      <c r="E689" s="376"/>
    </row>
    <row r="690">
      <c r="B690" s="362"/>
      <c r="C690" s="362"/>
      <c r="D690" s="376"/>
      <c r="E690" s="376"/>
    </row>
    <row r="691">
      <c r="B691" s="362"/>
      <c r="C691" s="362"/>
      <c r="D691" s="376"/>
      <c r="E691" s="376"/>
    </row>
    <row r="692">
      <c r="B692" s="362"/>
      <c r="C692" s="362"/>
      <c r="D692" s="376"/>
      <c r="E692" s="376"/>
    </row>
    <row r="693">
      <c r="B693" s="362"/>
      <c r="C693" s="362"/>
      <c r="D693" s="376"/>
      <c r="E693" s="376"/>
    </row>
    <row r="694">
      <c r="B694" s="362"/>
      <c r="C694" s="362"/>
      <c r="D694" s="376"/>
      <c r="E694" s="376"/>
    </row>
    <row r="695">
      <c r="B695" s="362"/>
      <c r="C695" s="362"/>
      <c r="D695" s="376"/>
      <c r="E695" s="376"/>
    </row>
    <row r="696">
      <c r="B696" s="362"/>
      <c r="C696" s="362"/>
      <c r="D696" s="376"/>
      <c r="E696" s="376"/>
    </row>
    <row r="697">
      <c r="B697" s="362"/>
      <c r="C697" s="362"/>
      <c r="D697" s="376"/>
      <c r="E697" s="376"/>
    </row>
    <row r="698">
      <c r="B698" s="362"/>
      <c r="C698" s="362"/>
      <c r="D698" s="376"/>
      <c r="E698" s="376"/>
    </row>
    <row r="699">
      <c r="B699" s="362"/>
      <c r="C699" s="362"/>
      <c r="D699" s="376"/>
      <c r="E699" s="376"/>
    </row>
    <row r="700">
      <c r="B700" s="362"/>
      <c r="C700" s="362"/>
      <c r="D700" s="376"/>
      <c r="E700" s="376"/>
    </row>
    <row r="701">
      <c r="B701" s="362"/>
      <c r="C701" s="362"/>
      <c r="D701" s="376"/>
      <c r="E701" s="376"/>
    </row>
    <row r="702">
      <c r="B702" s="362"/>
      <c r="C702" s="362"/>
      <c r="D702" s="376"/>
      <c r="E702" s="376"/>
    </row>
    <row r="703">
      <c r="B703" s="362"/>
      <c r="C703" s="362"/>
      <c r="D703" s="376"/>
      <c r="E703" s="376"/>
    </row>
    <row r="704">
      <c r="B704" s="362"/>
      <c r="C704" s="362"/>
      <c r="D704" s="376"/>
      <c r="E704" s="376"/>
    </row>
    <row r="705">
      <c r="B705" s="362"/>
      <c r="C705" s="362"/>
      <c r="D705" s="376"/>
      <c r="E705" s="376"/>
    </row>
    <row r="706">
      <c r="B706" s="362"/>
      <c r="C706" s="362"/>
      <c r="D706" s="376"/>
      <c r="E706" s="376"/>
    </row>
    <row r="707">
      <c r="B707" s="362"/>
      <c r="C707" s="362"/>
      <c r="D707" s="376"/>
      <c r="E707" s="376"/>
    </row>
    <row r="708">
      <c r="B708" s="362"/>
      <c r="C708" s="362"/>
      <c r="D708" s="376"/>
      <c r="E708" s="376"/>
    </row>
    <row r="709">
      <c r="B709" s="362"/>
      <c r="C709" s="362"/>
      <c r="D709" s="376"/>
      <c r="E709" s="376"/>
    </row>
    <row r="710">
      <c r="B710" s="362"/>
      <c r="C710" s="362"/>
      <c r="D710" s="376"/>
      <c r="E710" s="376"/>
    </row>
    <row r="711">
      <c r="B711" s="362"/>
      <c r="C711" s="362"/>
      <c r="D711" s="376"/>
      <c r="E711" s="376"/>
    </row>
    <row r="712">
      <c r="B712" s="362"/>
      <c r="C712" s="362"/>
      <c r="D712" s="376"/>
      <c r="E712" s="376"/>
    </row>
    <row r="713">
      <c r="B713" s="362"/>
      <c r="C713" s="362"/>
      <c r="D713" s="376"/>
      <c r="E713" s="376"/>
    </row>
    <row r="714">
      <c r="B714" s="362"/>
      <c r="C714" s="362"/>
      <c r="D714" s="376"/>
      <c r="E714" s="376"/>
    </row>
    <row r="715">
      <c r="B715" s="362"/>
      <c r="C715" s="362"/>
      <c r="D715" s="376"/>
      <c r="E715" s="376"/>
    </row>
    <row r="716">
      <c r="B716" s="362"/>
      <c r="C716" s="362"/>
      <c r="D716" s="376"/>
      <c r="E716" s="376"/>
    </row>
    <row r="717">
      <c r="B717" s="362"/>
      <c r="C717" s="362"/>
      <c r="D717" s="376"/>
      <c r="E717" s="376"/>
    </row>
    <row r="718">
      <c r="B718" s="362"/>
      <c r="C718" s="362"/>
      <c r="D718" s="376"/>
      <c r="E718" s="376"/>
    </row>
    <row r="719">
      <c r="B719" s="362"/>
      <c r="C719" s="362"/>
      <c r="D719" s="376"/>
      <c r="E719" s="376"/>
    </row>
    <row r="720">
      <c r="B720" s="362"/>
      <c r="C720" s="362"/>
      <c r="D720" s="376"/>
      <c r="E720" s="376"/>
    </row>
    <row r="721">
      <c r="B721" s="362"/>
      <c r="C721" s="362"/>
      <c r="D721" s="376"/>
      <c r="E721" s="376"/>
    </row>
    <row r="722">
      <c r="B722" s="362"/>
      <c r="C722" s="362"/>
      <c r="D722" s="376"/>
      <c r="E722" s="376"/>
    </row>
    <row r="723">
      <c r="B723" s="362"/>
      <c r="C723" s="362"/>
      <c r="D723" s="376"/>
      <c r="E723" s="376"/>
    </row>
    <row r="724">
      <c r="B724" s="362"/>
      <c r="C724" s="362"/>
      <c r="D724" s="376"/>
      <c r="E724" s="376"/>
    </row>
    <row r="725">
      <c r="B725" s="362"/>
      <c r="C725" s="362"/>
      <c r="D725" s="376"/>
      <c r="E725" s="376"/>
    </row>
    <row r="726">
      <c r="B726" s="362"/>
      <c r="C726" s="362"/>
      <c r="D726" s="376"/>
      <c r="E726" s="376"/>
    </row>
    <row r="727">
      <c r="B727" s="362"/>
      <c r="C727" s="362"/>
      <c r="D727" s="376"/>
      <c r="E727" s="376"/>
    </row>
    <row r="728">
      <c r="B728" s="362"/>
      <c r="C728" s="362"/>
      <c r="D728" s="376"/>
      <c r="E728" s="376"/>
    </row>
    <row r="729">
      <c r="B729" s="362"/>
      <c r="C729" s="362"/>
      <c r="D729" s="376"/>
      <c r="E729" s="376"/>
    </row>
    <row r="730">
      <c r="B730" s="362"/>
      <c r="C730" s="362"/>
      <c r="D730" s="376"/>
      <c r="E730" s="376"/>
    </row>
    <row r="731">
      <c r="B731" s="362"/>
      <c r="C731" s="362"/>
      <c r="D731" s="376"/>
      <c r="E731" s="376"/>
    </row>
    <row r="732">
      <c r="B732" s="362"/>
      <c r="C732" s="362"/>
      <c r="D732" s="376"/>
      <c r="E732" s="376"/>
    </row>
    <row r="733">
      <c r="B733" s="362"/>
      <c r="C733" s="362"/>
      <c r="D733" s="376"/>
      <c r="E733" s="376"/>
    </row>
    <row r="734">
      <c r="B734" s="362"/>
      <c r="C734" s="362"/>
      <c r="D734" s="376"/>
      <c r="E734" s="376"/>
    </row>
    <row r="735">
      <c r="B735" s="362"/>
      <c r="C735" s="362"/>
      <c r="D735" s="376"/>
      <c r="E735" s="376"/>
    </row>
    <row r="736">
      <c r="B736" s="362"/>
      <c r="C736" s="362"/>
      <c r="D736" s="376"/>
      <c r="E736" s="376"/>
    </row>
    <row r="737">
      <c r="B737" s="362"/>
      <c r="C737" s="362"/>
      <c r="D737" s="376"/>
      <c r="E737" s="376"/>
    </row>
    <row r="738">
      <c r="B738" s="362"/>
      <c r="C738" s="362"/>
      <c r="D738" s="376"/>
      <c r="E738" s="376"/>
    </row>
    <row r="739">
      <c r="B739" s="362"/>
      <c r="C739" s="362"/>
      <c r="D739" s="376"/>
      <c r="E739" s="376"/>
    </row>
    <row r="740">
      <c r="B740" s="362"/>
      <c r="C740" s="362"/>
      <c r="D740" s="376"/>
      <c r="E740" s="376"/>
    </row>
    <row r="741">
      <c r="B741" s="362"/>
      <c r="C741" s="362"/>
      <c r="D741" s="376"/>
      <c r="E741" s="376"/>
    </row>
    <row r="742">
      <c r="B742" s="362"/>
      <c r="C742" s="362"/>
      <c r="D742" s="376"/>
      <c r="E742" s="376"/>
    </row>
    <row r="743">
      <c r="B743" s="362"/>
      <c r="C743" s="362"/>
      <c r="D743" s="376"/>
      <c r="E743" s="376"/>
    </row>
    <row r="744">
      <c r="B744" s="362"/>
      <c r="C744" s="362"/>
      <c r="D744" s="376"/>
      <c r="E744" s="376"/>
    </row>
    <row r="745">
      <c r="B745" s="362"/>
      <c r="C745" s="362"/>
      <c r="D745" s="376"/>
      <c r="E745" s="376"/>
    </row>
    <row r="746">
      <c r="B746" s="362"/>
      <c r="C746" s="362"/>
      <c r="D746" s="376"/>
      <c r="E746" s="376"/>
    </row>
    <row r="747">
      <c r="B747" s="362"/>
      <c r="C747" s="362"/>
      <c r="D747" s="376"/>
      <c r="E747" s="376"/>
    </row>
    <row r="748">
      <c r="B748" s="362"/>
      <c r="C748" s="362"/>
      <c r="D748" s="376"/>
      <c r="E748" s="376"/>
    </row>
    <row r="749">
      <c r="B749" s="362"/>
      <c r="C749" s="362"/>
      <c r="D749" s="376"/>
      <c r="E749" s="376"/>
    </row>
    <row r="750">
      <c r="B750" s="362"/>
      <c r="C750" s="362"/>
      <c r="D750" s="376"/>
      <c r="E750" s="376"/>
    </row>
    <row r="751">
      <c r="B751" s="362"/>
      <c r="C751" s="362"/>
      <c r="D751" s="376"/>
      <c r="E751" s="376"/>
    </row>
    <row r="752">
      <c r="B752" s="362"/>
      <c r="C752" s="362"/>
      <c r="D752" s="376"/>
      <c r="E752" s="376"/>
    </row>
    <row r="753">
      <c r="B753" s="362"/>
      <c r="C753" s="362"/>
      <c r="D753" s="376"/>
      <c r="E753" s="376"/>
    </row>
    <row r="754">
      <c r="B754" s="362"/>
      <c r="C754" s="362"/>
      <c r="D754" s="376"/>
      <c r="E754" s="376"/>
    </row>
    <row r="755">
      <c r="B755" s="362"/>
      <c r="C755" s="362"/>
      <c r="D755" s="376"/>
      <c r="E755" s="376"/>
    </row>
    <row r="756">
      <c r="B756" s="362"/>
      <c r="C756" s="362"/>
      <c r="D756" s="376"/>
      <c r="E756" s="376"/>
    </row>
    <row r="757">
      <c r="B757" s="362"/>
      <c r="C757" s="362"/>
      <c r="D757" s="376"/>
      <c r="E757" s="376"/>
    </row>
    <row r="758">
      <c r="B758" s="362"/>
      <c r="C758" s="362"/>
      <c r="D758" s="376"/>
      <c r="E758" s="376"/>
    </row>
    <row r="759">
      <c r="B759" s="362"/>
      <c r="C759" s="362"/>
      <c r="D759" s="376"/>
      <c r="E759" s="376"/>
    </row>
    <row r="760">
      <c r="B760" s="362"/>
      <c r="C760" s="362"/>
      <c r="D760" s="376"/>
      <c r="E760" s="376"/>
    </row>
    <row r="761">
      <c r="B761" s="362"/>
      <c r="C761" s="362"/>
      <c r="D761" s="376"/>
      <c r="E761" s="376"/>
    </row>
    <row r="762">
      <c r="B762" s="362"/>
      <c r="C762" s="362"/>
      <c r="D762" s="376"/>
      <c r="E762" s="376"/>
    </row>
    <row r="763">
      <c r="B763" s="362"/>
      <c r="C763" s="362"/>
      <c r="D763" s="376"/>
      <c r="E763" s="376"/>
    </row>
    <row r="764">
      <c r="B764" s="362"/>
      <c r="C764" s="362"/>
      <c r="D764" s="376"/>
      <c r="E764" s="376"/>
    </row>
    <row r="765">
      <c r="B765" s="362"/>
      <c r="C765" s="362"/>
      <c r="D765" s="376"/>
      <c r="E765" s="376"/>
    </row>
    <row r="766">
      <c r="B766" s="362"/>
      <c r="C766" s="362"/>
      <c r="D766" s="376"/>
      <c r="E766" s="376"/>
    </row>
    <row r="767">
      <c r="B767" s="362"/>
      <c r="C767" s="362"/>
      <c r="D767" s="376"/>
      <c r="E767" s="376"/>
    </row>
    <row r="768">
      <c r="B768" s="362"/>
      <c r="C768" s="362"/>
      <c r="D768" s="376"/>
      <c r="E768" s="376"/>
    </row>
    <row r="769">
      <c r="B769" s="362"/>
      <c r="C769" s="362"/>
      <c r="D769" s="376"/>
      <c r="E769" s="376"/>
    </row>
    <row r="770">
      <c r="B770" s="362"/>
      <c r="C770" s="362"/>
      <c r="D770" s="376"/>
      <c r="E770" s="376"/>
    </row>
    <row r="771">
      <c r="B771" s="362"/>
      <c r="C771" s="362"/>
      <c r="D771" s="376"/>
      <c r="E771" s="376"/>
    </row>
    <row r="772">
      <c r="B772" s="362"/>
      <c r="C772" s="362"/>
      <c r="D772" s="376"/>
      <c r="E772" s="376"/>
    </row>
    <row r="773">
      <c r="B773" s="362"/>
      <c r="C773" s="362"/>
      <c r="D773" s="376"/>
      <c r="E773" s="376"/>
    </row>
    <row r="774">
      <c r="B774" s="362"/>
      <c r="C774" s="362"/>
      <c r="D774" s="376"/>
      <c r="E774" s="376"/>
    </row>
    <row r="775">
      <c r="B775" s="362"/>
      <c r="C775" s="362"/>
      <c r="D775" s="376"/>
      <c r="E775" s="376"/>
    </row>
    <row r="776">
      <c r="B776" s="362"/>
      <c r="C776" s="362"/>
      <c r="D776" s="376"/>
      <c r="E776" s="376"/>
    </row>
    <row r="777">
      <c r="B777" s="362"/>
      <c r="C777" s="362"/>
      <c r="D777" s="376"/>
      <c r="E777" s="376"/>
    </row>
    <row r="778">
      <c r="B778" s="362"/>
      <c r="C778" s="362"/>
      <c r="D778" s="376"/>
      <c r="E778" s="376"/>
    </row>
    <row r="779">
      <c r="B779" s="362"/>
      <c r="C779" s="362"/>
      <c r="D779" s="376"/>
      <c r="E779" s="376"/>
    </row>
    <row r="780">
      <c r="B780" s="362"/>
      <c r="C780" s="362"/>
      <c r="D780" s="376"/>
      <c r="E780" s="376"/>
    </row>
    <row r="781">
      <c r="B781" s="362"/>
      <c r="C781" s="362"/>
      <c r="D781" s="376"/>
      <c r="E781" s="376"/>
    </row>
    <row r="782">
      <c r="B782" s="362"/>
      <c r="C782" s="362"/>
      <c r="D782" s="376"/>
      <c r="E782" s="376"/>
    </row>
    <row r="783">
      <c r="B783" s="362"/>
      <c r="C783" s="362"/>
      <c r="D783" s="376"/>
      <c r="E783" s="376"/>
    </row>
    <row r="784">
      <c r="B784" s="362"/>
      <c r="C784" s="362"/>
      <c r="D784" s="376"/>
      <c r="E784" s="376"/>
    </row>
    <row r="785">
      <c r="B785" s="362"/>
      <c r="C785" s="362"/>
      <c r="D785" s="376"/>
      <c r="E785" s="376"/>
    </row>
    <row r="786">
      <c r="B786" s="362"/>
      <c r="C786" s="362"/>
      <c r="D786" s="376"/>
      <c r="E786" s="376"/>
    </row>
    <row r="787">
      <c r="B787" s="362"/>
      <c r="C787" s="362"/>
      <c r="D787" s="376"/>
      <c r="E787" s="376"/>
    </row>
    <row r="788">
      <c r="B788" s="362"/>
      <c r="C788" s="362"/>
      <c r="D788" s="376"/>
      <c r="E788" s="376"/>
    </row>
    <row r="789">
      <c r="B789" s="362"/>
      <c r="C789" s="362"/>
      <c r="D789" s="376"/>
      <c r="E789" s="376"/>
    </row>
    <row r="790">
      <c r="B790" s="362"/>
      <c r="C790" s="362"/>
      <c r="D790" s="376"/>
      <c r="E790" s="376"/>
    </row>
    <row r="791">
      <c r="B791" s="362"/>
      <c r="C791" s="362"/>
      <c r="D791" s="376"/>
      <c r="E791" s="376"/>
    </row>
    <row r="792">
      <c r="B792" s="362"/>
      <c r="C792" s="362"/>
      <c r="D792" s="376"/>
      <c r="E792" s="376"/>
    </row>
    <row r="793">
      <c r="B793" s="362"/>
      <c r="C793" s="362"/>
      <c r="D793" s="376"/>
      <c r="E793" s="376"/>
    </row>
    <row r="794">
      <c r="B794" s="362"/>
      <c r="C794" s="362"/>
      <c r="D794" s="376"/>
      <c r="E794" s="376"/>
    </row>
    <row r="795">
      <c r="B795" s="362"/>
      <c r="C795" s="362"/>
      <c r="D795" s="376"/>
      <c r="E795" s="376"/>
    </row>
    <row r="796">
      <c r="B796" s="362"/>
      <c r="C796" s="362"/>
      <c r="D796" s="376"/>
      <c r="E796" s="376"/>
    </row>
    <row r="797">
      <c r="B797" s="362"/>
      <c r="C797" s="362"/>
      <c r="D797" s="376"/>
      <c r="E797" s="376"/>
    </row>
    <row r="798">
      <c r="B798" s="362"/>
      <c r="C798" s="362"/>
      <c r="D798" s="376"/>
      <c r="E798" s="376"/>
    </row>
    <row r="799">
      <c r="B799" s="362"/>
      <c r="C799" s="362"/>
      <c r="D799" s="376"/>
      <c r="E799" s="376"/>
    </row>
    <row r="800">
      <c r="B800" s="362"/>
      <c r="C800" s="362"/>
      <c r="D800" s="376"/>
      <c r="E800" s="376"/>
    </row>
    <row r="801">
      <c r="B801" s="362"/>
      <c r="C801" s="362"/>
      <c r="D801" s="376"/>
      <c r="E801" s="376"/>
    </row>
    <row r="802">
      <c r="B802" s="362"/>
      <c r="C802" s="362"/>
      <c r="D802" s="376"/>
      <c r="E802" s="376"/>
    </row>
    <row r="803">
      <c r="B803" s="362"/>
      <c r="C803" s="362"/>
      <c r="D803" s="376"/>
      <c r="E803" s="376"/>
    </row>
    <row r="804">
      <c r="B804" s="362"/>
      <c r="C804" s="362"/>
      <c r="D804" s="376"/>
      <c r="E804" s="376"/>
    </row>
    <row r="805">
      <c r="B805" s="362"/>
      <c r="C805" s="362"/>
      <c r="D805" s="376"/>
      <c r="E805" s="376"/>
    </row>
    <row r="806">
      <c r="B806" s="362"/>
      <c r="C806" s="362"/>
      <c r="D806" s="376"/>
      <c r="E806" s="376"/>
    </row>
    <row r="807">
      <c r="B807" s="362"/>
      <c r="C807" s="362"/>
      <c r="D807" s="376"/>
      <c r="E807" s="376"/>
    </row>
    <row r="808">
      <c r="B808" s="362"/>
      <c r="C808" s="362"/>
      <c r="D808" s="376"/>
      <c r="E808" s="376"/>
    </row>
    <row r="809">
      <c r="B809" s="362"/>
      <c r="C809" s="362"/>
      <c r="D809" s="376"/>
      <c r="E809" s="376"/>
    </row>
    <row r="810">
      <c r="B810" s="362"/>
      <c r="C810" s="362"/>
      <c r="D810" s="376"/>
      <c r="E810" s="376"/>
    </row>
    <row r="811">
      <c r="B811" s="362"/>
      <c r="C811" s="362"/>
      <c r="D811" s="376"/>
      <c r="E811" s="376"/>
    </row>
    <row r="812">
      <c r="B812" s="362"/>
      <c r="C812" s="362"/>
      <c r="D812" s="376"/>
      <c r="E812" s="376"/>
    </row>
    <row r="813">
      <c r="B813" s="362"/>
      <c r="C813" s="362"/>
      <c r="D813" s="376"/>
      <c r="E813" s="376"/>
    </row>
    <row r="814">
      <c r="B814" s="362"/>
      <c r="C814" s="362"/>
      <c r="D814" s="376"/>
      <c r="E814" s="376"/>
    </row>
    <row r="815">
      <c r="B815" s="362"/>
      <c r="C815" s="362"/>
      <c r="D815" s="376"/>
      <c r="E815" s="376"/>
    </row>
    <row r="816">
      <c r="B816" s="362"/>
      <c r="C816" s="362"/>
      <c r="D816" s="376"/>
      <c r="E816" s="376"/>
    </row>
    <row r="817">
      <c r="B817" s="362"/>
      <c r="C817" s="362"/>
      <c r="D817" s="376"/>
      <c r="E817" s="376"/>
    </row>
    <row r="818">
      <c r="B818" s="362"/>
      <c r="C818" s="362"/>
      <c r="D818" s="376"/>
      <c r="E818" s="376"/>
    </row>
    <row r="819">
      <c r="B819" s="362"/>
      <c r="C819" s="362"/>
      <c r="D819" s="376"/>
      <c r="E819" s="376"/>
    </row>
    <row r="820">
      <c r="B820" s="362"/>
      <c r="C820" s="362"/>
      <c r="D820" s="376"/>
      <c r="E820" s="376"/>
    </row>
    <row r="821">
      <c r="B821" s="362"/>
      <c r="C821" s="362"/>
      <c r="D821" s="376"/>
      <c r="E821" s="376"/>
    </row>
    <row r="822">
      <c r="B822" s="362"/>
      <c r="C822" s="362"/>
      <c r="D822" s="376"/>
      <c r="E822" s="376"/>
    </row>
    <row r="823">
      <c r="B823" s="362"/>
      <c r="C823" s="362"/>
      <c r="D823" s="376"/>
      <c r="E823" s="376"/>
    </row>
    <row r="824">
      <c r="B824" s="362"/>
      <c r="C824" s="362"/>
      <c r="D824" s="376"/>
      <c r="E824" s="376"/>
    </row>
    <row r="825">
      <c r="B825" s="362"/>
      <c r="C825" s="362"/>
      <c r="D825" s="376"/>
      <c r="E825" s="376"/>
    </row>
    <row r="826">
      <c r="B826" s="362"/>
      <c r="C826" s="362"/>
      <c r="D826" s="376"/>
      <c r="E826" s="376"/>
    </row>
    <row r="827">
      <c r="B827" s="362"/>
      <c r="C827" s="362"/>
      <c r="D827" s="376"/>
      <c r="E827" s="376"/>
    </row>
    <row r="828">
      <c r="B828" s="362"/>
      <c r="C828" s="362"/>
      <c r="D828" s="376"/>
      <c r="E828" s="376"/>
    </row>
    <row r="829">
      <c r="B829" s="362"/>
      <c r="C829" s="362"/>
      <c r="D829" s="376"/>
      <c r="E829" s="376"/>
    </row>
    <row r="830">
      <c r="B830" s="362"/>
      <c r="C830" s="362"/>
      <c r="D830" s="376"/>
      <c r="E830" s="376"/>
    </row>
    <row r="831">
      <c r="B831" s="362"/>
      <c r="C831" s="362"/>
      <c r="D831" s="376"/>
      <c r="E831" s="376"/>
    </row>
    <row r="832">
      <c r="B832" s="362"/>
      <c r="C832" s="362"/>
      <c r="D832" s="376"/>
      <c r="E832" s="376"/>
    </row>
    <row r="833">
      <c r="B833" s="362"/>
      <c r="C833" s="362"/>
      <c r="D833" s="376"/>
      <c r="E833" s="376"/>
    </row>
    <row r="834">
      <c r="B834" s="362"/>
      <c r="C834" s="362"/>
      <c r="D834" s="376"/>
      <c r="E834" s="376"/>
    </row>
    <row r="835">
      <c r="B835" s="362"/>
      <c r="C835" s="362"/>
      <c r="D835" s="376"/>
      <c r="E835" s="376"/>
    </row>
    <row r="836">
      <c r="B836" s="362"/>
      <c r="C836" s="362"/>
      <c r="D836" s="376"/>
      <c r="E836" s="376"/>
    </row>
    <row r="837">
      <c r="B837" s="362"/>
      <c r="C837" s="362"/>
      <c r="D837" s="376"/>
      <c r="E837" s="376"/>
    </row>
    <row r="838">
      <c r="B838" s="362"/>
      <c r="C838" s="362"/>
      <c r="D838" s="376"/>
      <c r="E838" s="376"/>
    </row>
    <row r="839">
      <c r="B839" s="362"/>
      <c r="C839" s="362"/>
      <c r="D839" s="376"/>
      <c r="E839" s="376"/>
    </row>
    <row r="840">
      <c r="B840" s="362"/>
      <c r="C840" s="362"/>
      <c r="D840" s="376"/>
      <c r="E840" s="376"/>
    </row>
    <row r="841">
      <c r="B841" s="362"/>
      <c r="C841" s="362"/>
      <c r="D841" s="376"/>
      <c r="E841" s="376"/>
    </row>
    <row r="842">
      <c r="B842" s="362"/>
      <c r="C842" s="362"/>
      <c r="D842" s="376"/>
      <c r="E842" s="376"/>
    </row>
    <row r="843">
      <c r="B843" s="362"/>
      <c r="C843" s="362"/>
      <c r="D843" s="376"/>
      <c r="E843" s="376"/>
    </row>
    <row r="844">
      <c r="B844" s="362"/>
      <c r="C844" s="362"/>
      <c r="D844" s="376"/>
      <c r="E844" s="376"/>
    </row>
    <row r="845">
      <c r="B845" s="362"/>
      <c r="C845" s="362"/>
      <c r="D845" s="376"/>
      <c r="E845" s="376"/>
    </row>
    <row r="846">
      <c r="B846" s="362"/>
      <c r="C846" s="362"/>
      <c r="D846" s="376"/>
      <c r="E846" s="376"/>
    </row>
    <row r="847">
      <c r="B847" s="362"/>
      <c r="C847" s="362"/>
      <c r="D847" s="376"/>
      <c r="E847" s="376"/>
    </row>
    <row r="848">
      <c r="B848" s="362"/>
      <c r="C848" s="362"/>
      <c r="D848" s="376"/>
      <c r="E848" s="376"/>
    </row>
    <row r="849">
      <c r="B849" s="362"/>
      <c r="C849" s="362"/>
      <c r="D849" s="376"/>
      <c r="E849" s="376"/>
    </row>
    <row r="850">
      <c r="B850" s="362"/>
      <c r="C850" s="362"/>
      <c r="D850" s="376"/>
      <c r="E850" s="376"/>
    </row>
    <row r="851">
      <c r="B851" s="362"/>
      <c r="C851" s="362"/>
      <c r="D851" s="376"/>
      <c r="E851" s="376"/>
    </row>
    <row r="852">
      <c r="B852" s="362"/>
      <c r="C852" s="362"/>
      <c r="D852" s="376"/>
      <c r="E852" s="376"/>
    </row>
    <row r="853">
      <c r="B853" s="362"/>
      <c r="C853" s="362"/>
      <c r="D853" s="376"/>
      <c r="E853" s="376"/>
    </row>
    <row r="854">
      <c r="B854" s="362"/>
      <c r="C854" s="362"/>
      <c r="D854" s="376"/>
      <c r="E854" s="376"/>
    </row>
    <row r="855">
      <c r="B855" s="362"/>
      <c r="C855" s="362"/>
      <c r="D855" s="376"/>
      <c r="E855" s="376"/>
    </row>
    <row r="856">
      <c r="B856" s="362"/>
      <c r="C856" s="362"/>
      <c r="D856" s="376"/>
      <c r="E856" s="376"/>
    </row>
    <row r="857">
      <c r="B857" s="362"/>
      <c r="C857" s="362"/>
      <c r="D857" s="376"/>
      <c r="E857" s="376"/>
    </row>
    <row r="858">
      <c r="B858" s="362"/>
      <c r="C858" s="362"/>
      <c r="D858" s="376"/>
      <c r="E858" s="376"/>
    </row>
    <row r="859">
      <c r="B859" s="362"/>
      <c r="C859" s="362"/>
      <c r="D859" s="376"/>
      <c r="E859" s="376"/>
    </row>
    <row r="860">
      <c r="B860" s="362"/>
      <c r="C860" s="362"/>
      <c r="D860" s="376"/>
      <c r="E860" s="376"/>
    </row>
    <row r="861">
      <c r="B861" s="362"/>
      <c r="C861" s="362"/>
      <c r="D861" s="376"/>
      <c r="E861" s="376"/>
    </row>
    <row r="862">
      <c r="B862" s="362"/>
      <c r="C862" s="362"/>
      <c r="D862" s="376"/>
      <c r="E862" s="376"/>
    </row>
    <row r="863">
      <c r="B863" s="362"/>
      <c r="C863" s="362"/>
      <c r="D863" s="376"/>
      <c r="E863" s="376"/>
    </row>
    <row r="864">
      <c r="B864" s="362"/>
      <c r="C864" s="362"/>
      <c r="D864" s="376"/>
      <c r="E864" s="376"/>
    </row>
    <row r="865">
      <c r="B865" s="362"/>
      <c r="C865" s="362"/>
      <c r="D865" s="376"/>
      <c r="E865" s="376"/>
    </row>
    <row r="866">
      <c r="B866" s="362"/>
      <c r="C866" s="362"/>
      <c r="D866" s="376"/>
      <c r="E866" s="376"/>
    </row>
    <row r="867">
      <c r="B867" s="362"/>
      <c r="C867" s="362"/>
      <c r="D867" s="376"/>
      <c r="E867" s="376"/>
    </row>
    <row r="868">
      <c r="B868" s="362"/>
      <c r="C868" s="362"/>
      <c r="D868" s="376"/>
      <c r="E868" s="376"/>
    </row>
    <row r="869">
      <c r="B869" s="362"/>
      <c r="C869" s="362"/>
      <c r="D869" s="376"/>
      <c r="E869" s="376"/>
    </row>
    <row r="870">
      <c r="B870" s="362"/>
      <c r="C870" s="362"/>
      <c r="D870" s="376"/>
      <c r="E870" s="376"/>
    </row>
    <row r="871">
      <c r="B871" s="362"/>
      <c r="C871" s="362"/>
      <c r="D871" s="376"/>
      <c r="E871" s="376"/>
    </row>
    <row r="872">
      <c r="B872" s="362"/>
      <c r="C872" s="362"/>
      <c r="D872" s="376"/>
      <c r="E872" s="376"/>
    </row>
    <row r="873">
      <c r="B873" s="362"/>
      <c r="C873" s="362"/>
      <c r="D873" s="376"/>
      <c r="E873" s="376"/>
    </row>
    <row r="874">
      <c r="B874" s="362"/>
      <c r="C874" s="362"/>
      <c r="D874" s="376"/>
      <c r="E874" s="376"/>
    </row>
    <row r="875">
      <c r="B875" s="362"/>
      <c r="C875" s="362"/>
      <c r="D875" s="376"/>
      <c r="E875" s="376"/>
    </row>
    <row r="876">
      <c r="B876" s="362"/>
      <c r="C876" s="362"/>
      <c r="D876" s="376"/>
      <c r="E876" s="376"/>
    </row>
    <row r="877">
      <c r="B877" s="362"/>
      <c r="C877" s="362"/>
      <c r="D877" s="376"/>
      <c r="E877" s="376"/>
    </row>
    <row r="878">
      <c r="B878" s="362"/>
      <c r="C878" s="362"/>
      <c r="D878" s="376"/>
      <c r="E878" s="376"/>
    </row>
    <row r="879">
      <c r="B879" s="362"/>
      <c r="C879" s="362"/>
      <c r="D879" s="376"/>
      <c r="E879" s="376"/>
    </row>
    <row r="880">
      <c r="B880" s="362"/>
      <c r="C880" s="362"/>
      <c r="D880" s="376"/>
      <c r="E880" s="376"/>
    </row>
    <row r="881">
      <c r="B881" s="362"/>
      <c r="C881" s="362"/>
      <c r="D881" s="376"/>
      <c r="E881" s="376"/>
    </row>
    <row r="882">
      <c r="B882" s="362"/>
      <c r="C882" s="362"/>
      <c r="D882" s="376"/>
      <c r="E882" s="376"/>
    </row>
    <row r="883">
      <c r="B883" s="362"/>
      <c r="C883" s="362"/>
      <c r="D883" s="376"/>
      <c r="E883" s="376"/>
    </row>
    <row r="884">
      <c r="B884" s="362"/>
      <c r="C884" s="362"/>
      <c r="D884" s="376"/>
      <c r="E884" s="376"/>
    </row>
    <row r="885">
      <c r="B885" s="362"/>
      <c r="C885" s="362"/>
      <c r="D885" s="376"/>
      <c r="E885" s="376"/>
    </row>
    <row r="886">
      <c r="B886" s="362"/>
      <c r="C886" s="362"/>
      <c r="D886" s="376"/>
      <c r="E886" s="376"/>
    </row>
    <row r="887">
      <c r="B887" s="362"/>
      <c r="C887" s="362"/>
      <c r="D887" s="376"/>
      <c r="E887" s="376"/>
    </row>
    <row r="888">
      <c r="B888" s="362"/>
      <c r="C888" s="362"/>
      <c r="D888" s="376"/>
      <c r="E888" s="376"/>
    </row>
    <row r="889">
      <c r="B889" s="362"/>
      <c r="C889" s="362"/>
      <c r="D889" s="376"/>
      <c r="E889" s="376"/>
    </row>
    <row r="890">
      <c r="B890" s="362"/>
      <c r="C890" s="362"/>
      <c r="D890" s="376"/>
      <c r="E890" s="376"/>
    </row>
    <row r="891">
      <c r="B891" s="362"/>
      <c r="C891" s="362"/>
      <c r="D891" s="376"/>
      <c r="E891" s="376"/>
    </row>
    <row r="892">
      <c r="B892" s="362"/>
      <c r="C892" s="362"/>
      <c r="D892" s="376"/>
      <c r="E892" s="376"/>
    </row>
    <row r="893">
      <c r="B893" s="362"/>
      <c r="C893" s="362"/>
      <c r="D893" s="376"/>
      <c r="E893" s="376"/>
    </row>
    <row r="894">
      <c r="B894" s="362"/>
      <c r="C894" s="362"/>
      <c r="D894" s="376"/>
      <c r="E894" s="376"/>
    </row>
    <row r="895">
      <c r="B895" s="362"/>
      <c r="C895" s="362"/>
      <c r="D895" s="376"/>
      <c r="E895" s="376"/>
    </row>
    <row r="896">
      <c r="B896" s="362"/>
      <c r="C896" s="362"/>
      <c r="D896" s="376"/>
      <c r="E896" s="376"/>
    </row>
    <row r="897">
      <c r="B897" s="362"/>
      <c r="C897" s="362"/>
      <c r="D897" s="376"/>
      <c r="E897" s="376"/>
    </row>
    <row r="898">
      <c r="B898" s="362"/>
      <c r="C898" s="362"/>
      <c r="D898" s="376"/>
      <c r="E898" s="376"/>
    </row>
    <row r="899">
      <c r="B899" s="362"/>
      <c r="C899" s="362"/>
      <c r="D899" s="376"/>
      <c r="E899" s="376"/>
    </row>
    <row r="900">
      <c r="B900" s="362"/>
      <c r="C900" s="362"/>
      <c r="D900" s="376"/>
      <c r="E900" s="376"/>
    </row>
    <row r="901">
      <c r="B901" s="362"/>
      <c r="C901" s="362"/>
      <c r="D901" s="376"/>
      <c r="E901" s="376"/>
    </row>
    <row r="902">
      <c r="B902" s="362"/>
      <c r="C902" s="362"/>
      <c r="D902" s="376"/>
      <c r="E902" s="376"/>
    </row>
    <row r="903">
      <c r="B903" s="362"/>
      <c r="C903" s="362"/>
      <c r="D903" s="376"/>
      <c r="E903" s="376"/>
    </row>
    <row r="904">
      <c r="B904" s="362"/>
      <c r="C904" s="362"/>
      <c r="D904" s="376"/>
      <c r="E904" s="376"/>
    </row>
    <row r="905">
      <c r="B905" s="362"/>
      <c r="C905" s="362"/>
      <c r="D905" s="376"/>
      <c r="E905" s="376"/>
    </row>
    <row r="906">
      <c r="B906" s="362"/>
      <c r="C906" s="362"/>
      <c r="D906" s="376"/>
      <c r="E906" s="376"/>
    </row>
    <row r="907">
      <c r="B907" s="362"/>
      <c r="C907" s="362"/>
      <c r="D907" s="376"/>
      <c r="E907" s="376"/>
    </row>
    <row r="908">
      <c r="B908" s="362"/>
      <c r="C908" s="362"/>
      <c r="D908" s="376"/>
      <c r="E908" s="376"/>
    </row>
    <row r="909">
      <c r="B909" s="362"/>
      <c r="C909" s="362"/>
      <c r="D909" s="376"/>
      <c r="E909" s="376"/>
    </row>
    <row r="910">
      <c r="B910" s="362"/>
      <c r="C910" s="362"/>
      <c r="D910" s="376"/>
      <c r="E910" s="376"/>
    </row>
    <row r="911">
      <c r="B911" s="362"/>
      <c r="C911" s="362"/>
      <c r="D911" s="376"/>
      <c r="E911" s="376"/>
    </row>
    <row r="912">
      <c r="B912" s="362"/>
      <c r="C912" s="362"/>
      <c r="D912" s="376"/>
      <c r="E912" s="376"/>
    </row>
    <row r="913">
      <c r="B913" s="362"/>
      <c r="C913" s="362"/>
      <c r="D913" s="376"/>
      <c r="E913" s="376"/>
    </row>
    <row r="914">
      <c r="B914" s="362"/>
      <c r="C914" s="362"/>
      <c r="D914" s="376"/>
      <c r="E914" s="376"/>
    </row>
    <row r="915">
      <c r="B915" s="362"/>
      <c r="C915" s="362"/>
      <c r="D915" s="376"/>
      <c r="E915" s="376"/>
    </row>
    <row r="916">
      <c r="B916" s="362"/>
      <c r="C916" s="362"/>
      <c r="D916" s="376"/>
      <c r="E916" s="376"/>
    </row>
    <row r="917">
      <c r="B917" s="362"/>
      <c r="C917" s="362"/>
      <c r="D917" s="376"/>
      <c r="E917" s="376"/>
    </row>
    <row r="918">
      <c r="B918" s="362"/>
      <c r="C918" s="362"/>
      <c r="D918" s="376"/>
      <c r="E918" s="376"/>
    </row>
    <row r="919">
      <c r="B919" s="362"/>
      <c r="C919" s="362"/>
      <c r="D919" s="376"/>
      <c r="E919" s="376"/>
    </row>
    <row r="920">
      <c r="B920" s="362"/>
      <c r="C920" s="362"/>
      <c r="D920" s="376"/>
      <c r="E920" s="376"/>
    </row>
    <row r="921">
      <c r="B921" s="362"/>
      <c r="C921" s="362"/>
      <c r="D921" s="376"/>
      <c r="E921" s="376"/>
    </row>
    <row r="922">
      <c r="B922" s="362"/>
      <c r="C922" s="362"/>
      <c r="D922" s="376"/>
      <c r="E922" s="376"/>
    </row>
    <row r="923">
      <c r="B923" s="362"/>
      <c r="C923" s="362"/>
      <c r="D923" s="376"/>
      <c r="E923" s="376"/>
    </row>
    <row r="924">
      <c r="B924" s="362"/>
      <c r="C924" s="362"/>
      <c r="D924" s="376"/>
      <c r="E924" s="376"/>
    </row>
    <row r="925">
      <c r="B925" s="362"/>
      <c r="C925" s="362"/>
      <c r="D925" s="376"/>
      <c r="E925" s="376"/>
    </row>
    <row r="926">
      <c r="B926" s="362"/>
      <c r="C926" s="362"/>
      <c r="D926" s="376"/>
      <c r="E926" s="376"/>
    </row>
    <row r="927">
      <c r="B927" s="362"/>
      <c r="C927" s="362"/>
      <c r="D927" s="376"/>
      <c r="E927" s="376"/>
    </row>
    <row r="928">
      <c r="B928" s="362"/>
      <c r="C928" s="362"/>
      <c r="D928" s="376"/>
      <c r="E928" s="376"/>
    </row>
    <row r="929">
      <c r="B929" s="362"/>
      <c r="C929" s="362"/>
      <c r="D929" s="376"/>
      <c r="E929" s="376"/>
    </row>
    <row r="930">
      <c r="B930" s="362"/>
      <c r="C930" s="362"/>
      <c r="D930" s="376"/>
      <c r="E930" s="376"/>
    </row>
    <row r="931">
      <c r="B931" s="362"/>
      <c r="C931" s="362"/>
      <c r="D931" s="376"/>
      <c r="E931" s="376"/>
    </row>
    <row r="932">
      <c r="B932" s="362"/>
      <c r="C932" s="362"/>
      <c r="D932" s="376"/>
      <c r="E932" s="376"/>
    </row>
    <row r="933">
      <c r="B933" s="362"/>
      <c r="C933" s="362"/>
      <c r="D933" s="376"/>
      <c r="E933" s="376"/>
    </row>
    <row r="934">
      <c r="B934" s="362"/>
      <c r="C934" s="362"/>
      <c r="D934" s="376"/>
      <c r="E934" s="376"/>
    </row>
    <row r="935">
      <c r="B935" s="362"/>
      <c r="C935" s="362"/>
      <c r="D935" s="376"/>
      <c r="E935" s="376"/>
    </row>
    <row r="936">
      <c r="B936" s="362"/>
      <c r="C936" s="362"/>
      <c r="D936" s="376"/>
      <c r="E936" s="376"/>
    </row>
    <row r="937">
      <c r="B937" s="362"/>
      <c r="C937" s="362"/>
      <c r="D937" s="376"/>
      <c r="E937" s="376"/>
    </row>
    <row r="938">
      <c r="B938" s="362"/>
      <c r="C938" s="362"/>
      <c r="D938" s="376"/>
      <c r="E938" s="376"/>
    </row>
    <row r="939">
      <c r="B939" s="362"/>
      <c r="C939" s="362"/>
      <c r="D939" s="376"/>
      <c r="E939" s="376"/>
    </row>
    <row r="940">
      <c r="B940" s="362"/>
      <c r="C940" s="362"/>
      <c r="D940" s="376"/>
      <c r="E940" s="376"/>
    </row>
    <row r="941">
      <c r="B941" s="362"/>
      <c r="C941" s="362"/>
      <c r="D941" s="376"/>
      <c r="E941" s="376"/>
    </row>
    <row r="942">
      <c r="B942" s="362"/>
      <c r="C942" s="362"/>
      <c r="D942" s="376"/>
      <c r="E942" s="376"/>
    </row>
    <row r="943">
      <c r="B943" s="362"/>
      <c r="C943" s="362"/>
      <c r="D943" s="376"/>
      <c r="E943" s="376"/>
    </row>
    <row r="944">
      <c r="B944" s="362"/>
      <c r="C944" s="362"/>
      <c r="D944" s="376"/>
      <c r="E944" s="376"/>
    </row>
    <row r="945">
      <c r="B945" s="362"/>
      <c r="C945" s="362"/>
      <c r="D945" s="376"/>
      <c r="E945" s="376"/>
    </row>
    <row r="946">
      <c r="B946" s="362"/>
      <c r="C946" s="362"/>
      <c r="D946" s="376"/>
      <c r="E946" s="376"/>
    </row>
    <row r="947">
      <c r="B947" s="362"/>
      <c r="C947" s="362"/>
      <c r="D947" s="376"/>
      <c r="E947" s="376"/>
    </row>
    <row r="948">
      <c r="B948" s="362"/>
      <c r="C948" s="362"/>
      <c r="D948" s="376"/>
      <c r="E948" s="376"/>
    </row>
    <row r="949">
      <c r="B949" s="362"/>
      <c r="C949" s="362"/>
      <c r="D949" s="376"/>
      <c r="E949" s="376"/>
    </row>
    <row r="950">
      <c r="B950" s="362"/>
      <c r="C950" s="362"/>
      <c r="D950" s="376"/>
      <c r="E950" s="376"/>
    </row>
    <row r="951">
      <c r="B951" s="362"/>
      <c r="C951" s="362"/>
      <c r="D951" s="376"/>
      <c r="E951" s="376"/>
    </row>
    <row r="952">
      <c r="B952" s="362"/>
      <c r="C952" s="362"/>
      <c r="D952" s="376"/>
      <c r="E952" s="376"/>
    </row>
    <row r="953">
      <c r="B953" s="362"/>
      <c r="C953" s="362"/>
      <c r="D953" s="376"/>
      <c r="E953" s="376"/>
    </row>
    <row r="954">
      <c r="B954" s="362"/>
      <c r="C954" s="362"/>
      <c r="D954" s="376"/>
      <c r="E954" s="376"/>
    </row>
    <row r="955">
      <c r="B955" s="362"/>
      <c r="C955" s="362"/>
      <c r="D955" s="376"/>
      <c r="E955" s="376"/>
    </row>
    <row r="956">
      <c r="B956" s="362"/>
      <c r="C956" s="362"/>
      <c r="D956" s="376"/>
      <c r="E956" s="376"/>
    </row>
    <row r="957">
      <c r="B957" s="362"/>
      <c r="C957" s="362"/>
      <c r="D957" s="376"/>
      <c r="E957" s="376"/>
    </row>
    <row r="958">
      <c r="B958" s="362"/>
      <c r="C958" s="362"/>
      <c r="D958" s="376"/>
      <c r="E958" s="376"/>
    </row>
    <row r="959">
      <c r="B959" s="362"/>
      <c r="C959" s="362"/>
      <c r="D959" s="376"/>
      <c r="E959" s="376"/>
    </row>
    <row r="960">
      <c r="B960" s="362"/>
      <c r="C960" s="362"/>
      <c r="D960" s="376"/>
      <c r="E960" s="376"/>
    </row>
    <row r="961">
      <c r="B961" s="362"/>
      <c r="C961" s="362"/>
      <c r="D961" s="376"/>
      <c r="E961" s="376"/>
    </row>
    <row r="962">
      <c r="B962" s="362"/>
      <c r="C962" s="362"/>
      <c r="D962" s="376"/>
      <c r="E962" s="376"/>
    </row>
    <row r="963">
      <c r="B963" s="362"/>
      <c r="C963" s="362"/>
      <c r="D963" s="376"/>
      <c r="E963" s="376"/>
    </row>
    <row r="964">
      <c r="B964" s="362"/>
      <c r="C964" s="362"/>
      <c r="D964" s="376"/>
      <c r="E964" s="376"/>
    </row>
    <row r="965">
      <c r="B965" s="362"/>
      <c r="C965" s="362"/>
      <c r="D965" s="376"/>
      <c r="E965" s="376"/>
    </row>
    <row r="966">
      <c r="B966" s="362"/>
      <c r="C966" s="362"/>
      <c r="D966" s="376"/>
      <c r="E966" s="376"/>
    </row>
    <row r="967">
      <c r="B967" s="362"/>
      <c r="C967" s="362"/>
      <c r="D967" s="376"/>
      <c r="E967" s="376"/>
    </row>
    <row r="968">
      <c r="B968" s="362"/>
      <c r="C968" s="362"/>
      <c r="D968" s="376"/>
      <c r="E968" s="376"/>
    </row>
    <row r="969">
      <c r="B969" s="362"/>
      <c r="C969" s="362"/>
      <c r="D969" s="376"/>
      <c r="E969" s="376"/>
    </row>
    <row r="970">
      <c r="B970" s="362"/>
      <c r="C970" s="362"/>
      <c r="D970" s="376"/>
      <c r="E970" s="376"/>
    </row>
    <row r="971">
      <c r="B971" s="362"/>
      <c r="C971" s="362"/>
      <c r="D971" s="376"/>
      <c r="E971" s="376"/>
    </row>
    <row r="972">
      <c r="B972" s="362"/>
      <c r="C972" s="362"/>
      <c r="D972" s="376"/>
      <c r="E972" s="376"/>
    </row>
    <row r="973">
      <c r="B973" s="362"/>
      <c r="C973" s="362"/>
      <c r="D973" s="376"/>
      <c r="E973" s="376"/>
    </row>
    <row r="974">
      <c r="B974" s="362"/>
      <c r="C974" s="362"/>
      <c r="D974" s="376"/>
      <c r="E974" s="376"/>
    </row>
    <row r="975">
      <c r="B975" s="362"/>
      <c r="C975" s="362"/>
      <c r="D975" s="376"/>
      <c r="E975" s="376"/>
    </row>
    <row r="976">
      <c r="B976" s="362"/>
      <c r="C976" s="362"/>
      <c r="D976" s="376"/>
      <c r="E976" s="376"/>
    </row>
    <row r="977">
      <c r="B977" s="362"/>
      <c r="C977" s="362"/>
      <c r="D977" s="376"/>
      <c r="E977" s="376"/>
    </row>
    <row r="978">
      <c r="B978" s="362"/>
      <c r="C978" s="362"/>
      <c r="D978" s="376"/>
      <c r="E978" s="376"/>
    </row>
    <row r="979">
      <c r="B979" s="362"/>
      <c r="C979" s="362"/>
      <c r="D979" s="376"/>
      <c r="E979" s="376"/>
    </row>
    <row r="980">
      <c r="B980" s="362"/>
      <c r="C980" s="362"/>
      <c r="D980" s="376"/>
      <c r="E980" s="376"/>
    </row>
    <row r="981">
      <c r="B981" s="362"/>
      <c r="C981" s="362"/>
      <c r="D981" s="376"/>
      <c r="E981" s="376"/>
    </row>
    <row r="982">
      <c r="B982" s="362"/>
      <c r="C982" s="362"/>
      <c r="D982" s="376"/>
      <c r="E982" s="376"/>
    </row>
  </sheetData>
  <dataValidations>
    <dataValidation type="list" allowBlank="1" sqref="A2:A9 A11">
      <formula1>"farnborough.com,farnboroughairshow.com,farnboroughinternational.org,aerospaceglobalforum.com,events.farnboroughinternational.org,farnboroughinternationalstudios.com,worlddefenseshow.com,intranet.adfactorspr.com,work.adfactorspr.com"</formula1>
    </dataValidation>
  </dataValidations>
  <hyperlinks>
    <hyperlink r:id="rId1" ref="A2"/>
    <hyperlink r:id="rId2" ref="A3"/>
    <hyperlink r:id="rId3" ref="A4"/>
    <hyperlink r:id="rId4" ref="A5"/>
    <hyperlink r:id="rId5" ref="A6"/>
    <hyperlink r:id="rId6" ref="A7"/>
    <hyperlink r:id="rId7" ref="A8"/>
    <hyperlink r:id="rId8" ref="A9"/>
  </hyperlinks>
  <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
    <col customWidth="1" min="2" max="2" width="38.13"/>
    <col customWidth="1" min="3" max="3" width="43.25"/>
    <col customWidth="1" min="4" max="4" width="8.63"/>
    <col customWidth="1" min="5" max="5" width="27.88"/>
    <col customWidth="1" min="6" max="6" width="11.88"/>
    <col customWidth="1" min="7" max="7" width="29.75"/>
  </cols>
  <sheetData>
    <row r="1">
      <c r="A1" s="590"/>
      <c r="B1" s="591" t="s">
        <v>2197</v>
      </c>
      <c r="C1" s="591" t="s">
        <v>2198</v>
      </c>
      <c r="D1" s="590" t="s">
        <v>2199</v>
      </c>
      <c r="E1" s="592" t="s">
        <v>2200</v>
      </c>
      <c r="F1" s="590" t="s">
        <v>2201</v>
      </c>
      <c r="G1" s="590" t="s">
        <v>2202</v>
      </c>
      <c r="H1" s="381"/>
      <c r="I1" s="381"/>
      <c r="J1" s="381"/>
      <c r="K1" s="381"/>
      <c r="L1" s="381"/>
      <c r="M1" s="381"/>
      <c r="N1" s="381"/>
      <c r="O1" s="381"/>
      <c r="P1" s="381"/>
      <c r="Q1" s="381"/>
      <c r="R1" s="381"/>
      <c r="S1" s="381"/>
      <c r="T1" s="381"/>
      <c r="U1" s="381"/>
      <c r="V1" s="381"/>
      <c r="W1" s="381"/>
      <c r="X1" s="381"/>
      <c r="Y1" s="381"/>
    </row>
    <row r="2">
      <c r="A2" s="281">
        <v>1.0</v>
      </c>
      <c r="B2" s="294" t="s">
        <v>119</v>
      </c>
      <c r="C2" s="229" t="s">
        <v>2203</v>
      </c>
      <c r="D2" s="281" t="s">
        <v>2204</v>
      </c>
      <c r="E2" s="228" t="s">
        <v>2205</v>
      </c>
      <c r="F2" s="281" t="s">
        <v>34</v>
      </c>
      <c r="G2" s="593"/>
      <c r="H2" s="381"/>
      <c r="I2" s="381"/>
      <c r="J2" s="381"/>
      <c r="K2" s="381"/>
      <c r="L2" s="381"/>
      <c r="M2" s="381"/>
      <c r="N2" s="381"/>
      <c r="O2" s="381"/>
      <c r="P2" s="381"/>
      <c r="Q2" s="381"/>
      <c r="R2" s="381"/>
      <c r="S2" s="381"/>
      <c r="T2" s="381"/>
      <c r="U2" s="381"/>
      <c r="V2" s="381"/>
      <c r="W2" s="381"/>
      <c r="X2" s="381"/>
      <c r="Y2" s="381"/>
    </row>
    <row r="3">
      <c r="A3" s="281">
        <v>2.0</v>
      </c>
      <c r="B3" s="294" t="s">
        <v>166</v>
      </c>
      <c r="C3" s="229" t="s">
        <v>2206</v>
      </c>
      <c r="D3" s="281" t="s">
        <v>2207</v>
      </c>
      <c r="E3" s="228" t="s">
        <v>2208</v>
      </c>
      <c r="F3" s="281" t="s">
        <v>34</v>
      </c>
      <c r="G3" s="593"/>
      <c r="H3" s="381"/>
      <c r="I3" s="381"/>
      <c r="J3" s="381"/>
      <c r="K3" s="381"/>
      <c r="L3" s="381"/>
      <c r="M3" s="381"/>
      <c r="N3" s="381"/>
      <c r="O3" s="381"/>
      <c r="P3" s="381"/>
      <c r="Q3" s="381"/>
      <c r="R3" s="381"/>
      <c r="S3" s="381"/>
      <c r="T3" s="381"/>
      <c r="U3" s="381"/>
      <c r="V3" s="381"/>
      <c r="W3" s="381"/>
      <c r="X3" s="381"/>
      <c r="Y3" s="381"/>
    </row>
    <row r="4">
      <c r="A4" s="281">
        <v>3.0</v>
      </c>
      <c r="B4" s="294" t="s">
        <v>128</v>
      </c>
      <c r="C4" s="229" t="s">
        <v>2209</v>
      </c>
      <c r="D4" s="281" t="s">
        <v>2210</v>
      </c>
      <c r="E4" s="228" t="s">
        <v>2211</v>
      </c>
      <c r="F4" s="281" t="s">
        <v>34</v>
      </c>
      <c r="G4" s="593"/>
      <c r="H4" s="381"/>
      <c r="I4" s="381"/>
      <c r="J4" s="381"/>
      <c r="K4" s="381"/>
      <c r="L4" s="381"/>
      <c r="M4" s="381"/>
      <c r="N4" s="381"/>
      <c r="O4" s="381"/>
      <c r="P4" s="381"/>
      <c r="Q4" s="381"/>
      <c r="R4" s="381"/>
      <c r="S4" s="381"/>
      <c r="T4" s="381"/>
      <c r="U4" s="381"/>
      <c r="V4" s="381"/>
      <c r="W4" s="381"/>
      <c r="X4" s="381"/>
      <c r="Y4" s="381"/>
    </row>
    <row r="5">
      <c r="A5" s="281">
        <v>4.0</v>
      </c>
      <c r="B5" s="294" t="s">
        <v>2212</v>
      </c>
      <c r="C5" s="229" t="s">
        <v>2213</v>
      </c>
      <c r="D5" s="281" t="s">
        <v>2214</v>
      </c>
      <c r="E5" s="292" t="s">
        <v>2211</v>
      </c>
      <c r="F5" s="281" t="s">
        <v>34</v>
      </c>
      <c r="G5" s="593"/>
      <c r="H5" s="381"/>
      <c r="I5" s="381"/>
      <c r="J5" s="381"/>
      <c r="K5" s="381"/>
      <c r="L5" s="381"/>
      <c r="M5" s="381"/>
      <c r="N5" s="381"/>
      <c r="O5" s="381"/>
      <c r="P5" s="381"/>
      <c r="Q5" s="381"/>
      <c r="R5" s="381"/>
      <c r="S5" s="381"/>
      <c r="T5" s="381"/>
      <c r="U5" s="381"/>
      <c r="V5" s="381"/>
      <c r="W5" s="381"/>
      <c r="X5" s="381"/>
      <c r="Y5" s="381"/>
    </row>
    <row r="6">
      <c r="A6" s="281">
        <v>5.0</v>
      </c>
      <c r="B6" s="294" t="s">
        <v>2215</v>
      </c>
      <c r="C6" s="309" t="s">
        <v>2216</v>
      </c>
      <c r="D6" s="281" t="s">
        <v>2217</v>
      </c>
      <c r="E6" s="228" t="s">
        <v>2218</v>
      </c>
      <c r="F6" s="281" t="s">
        <v>34</v>
      </c>
      <c r="G6" s="593"/>
      <c r="H6" s="381"/>
      <c r="I6" s="381"/>
      <c r="J6" s="381"/>
      <c r="K6" s="381"/>
      <c r="L6" s="381"/>
      <c r="M6" s="381"/>
      <c r="N6" s="381"/>
      <c r="O6" s="381"/>
      <c r="P6" s="381"/>
      <c r="Q6" s="381"/>
      <c r="R6" s="381"/>
      <c r="S6" s="381"/>
      <c r="T6" s="381"/>
      <c r="U6" s="381"/>
      <c r="V6" s="381"/>
      <c r="W6" s="381"/>
      <c r="X6" s="381"/>
      <c r="Y6" s="381"/>
    </row>
    <row r="7">
      <c r="A7" s="281">
        <v>6.0</v>
      </c>
      <c r="B7" s="294" t="s">
        <v>2219</v>
      </c>
      <c r="C7" s="229" t="s">
        <v>2220</v>
      </c>
      <c r="D7" s="281" t="s">
        <v>2221</v>
      </c>
      <c r="E7" s="228" t="s">
        <v>2222</v>
      </c>
      <c r="F7" s="281" t="s">
        <v>34</v>
      </c>
      <c r="G7" s="593"/>
      <c r="H7" s="381"/>
      <c r="I7" s="381"/>
      <c r="J7" s="381"/>
      <c r="K7" s="381"/>
      <c r="L7" s="381"/>
      <c r="M7" s="381"/>
      <c r="N7" s="381"/>
      <c r="O7" s="381"/>
      <c r="P7" s="381"/>
      <c r="Q7" s="381"/>
      <c r="R7" s="381"/>
      <c r="S7" s="381"/>
      <c r="T7" s="381"/>
      <c r="U7" s="381"/>
      <c r="V7" s="381"/>
      <c r="W7" s="381"/>
      <c r="X7" s="381"/>
      <c r="Y7" s="381"/>
    </row>
    <row r="8">
      <c r="A8" s="594"/>
      <c r="B8" s="595"/>
      <c r="C8" s="595"/>
      <c r="D8" s="595"/>
      <c r="E8" s="595"/>
      <c r="F8" s="596"/>
      <c r="G8" s="593"/>
      <c r="H8" s="381"/>
      <c r="I8" s="381"/>
      <c r="J8" s="381"/>
      <c r="K8" s="381"/>
      <c r="L8" s="381"/>
      <c r="M8" s="381"/>
      <c r="N8" s="381"/>
      <c r="O8" s="381"/>
      <c r="P8" s="381"/>
      <c r="Q8" s="381"/>
      <c r="R8" s="381"/>
      <c r="S8" s="381"/>
      <c r="T8" s="381"/>
      <c r="U8" s="381"/>
      <c r="V8" s="381"/>
      <c r="W8" s="381"/>
      <c r="X8" s="381"/>
      <c r="Y8" s="381"/>
    </row>
    <row r="9">
      <c r="A9" s="281">
        <v>7.0</v>
      </c>
      <c r="B9" s="309" t="s">
        <v>2223</v>
      </c>
      <c r="C9" s="334" t="s">
        <v>2224</v>
      </c>
      <c r="D9" s="231"/>
      <c r="E9" s="228" t="s">
        <v>2225</v>
      </c>
      <c r="F9" s="281" t="s">
        <v>34</v>
      </c>
      <c r="G9" s="597" t="s">
        <v>2226</v>
      </c>
      <c r="H9" s="381"/>
      <c r="I9" s="381"/>
      <c r="J9" s="381"/>
      <c r="K9" s="381"/>
      <c r="L9" s="381"/>
      <c r="M9" s="381"/>
      <c r="N9" s="381"/>
      <c r="O9" s="381"/>
      <c r="P9" s="381"/>
      <c r="Q9" s="381"/>
      <c r="R9" s="381"/>
      <c r="S9" s="381"/>
      <c r="T9" s="381"/>
      <c r="U9" s="381"/>
      <c r="V9" s="381"/>
      <c r="W9" s="381"/>
      <c r="X9" s="381"/>
      <c r="Y9" s="381"/>
    </row>
    <row r="10">
      <c r="A10" s="598">
        <v>8.0</v>
      </c>
      <c r="B10" s="599" t="s">
        <v>2227</v>
      </c>
      <c r="C10" s="229" t="s">
        <v>2228</v>
      </c>
      <c r="D10" s="600"/>
      <c r="E10" s="601" t="s">
        <v>2229</v>
      </c>
      <c r="F10" s="281" t="s">
        <v>34</v>
      </c>
      <c r="G10" s="597" t="s">
        <v>2230</v>
      </c>
      <c r="H10" s="381"/>
      <c r="I10" s="381"/>
      <c r="J10" s="381"/>
      <c r="K10" s="381"/>
      <c r="L10" s="381"/>
      <c r="M10" s="381"/>
      <c r="N10" s="381"/>
      <c r="O10" s="381"/>
      <c r="P10" s="381"/>
      <c r="Q10" s="381"/>
      <c r="R10" s="381"/>
      <c r="S10" s="381"/>
      <c r="T10" s="381"/>
      <c r="U10" s="381"/>
      <c r="V10" s="381"/>
      <c r="W10" s="381"/>
      <c r="X10" s="381"/>
      <c r="Y10" s="381"/>
    </row>
    <row r="11">
      <c r="A11" s="594"/>
      <c r="B11" s="595"/>
      <c r="C11" s="595"/>
      <c r="D11" s="595"/>
      <c r="E11" s="595"/>
      <c r="F11" s="596"/>
      <c r="G11" s="593"/>
      <c r="H11" s="381"/>
      <c r="I11" s="381"/>
      <c r="J11" s="381"/>
      <c r="K11" s="381"/>
      <c r="L11" s="381"/>
      <c r="M11" s="381"/>
      <c r="N11" s="381"/>
      <c r="O11" s="381"/>
      <c r="P11" s="381"/>
      <c r="Q11" s="381"/>
      <c r="R11" s="381"/>
      <c r="S11" s="381"/>
      <c r="T11" s="381"/>
      <c r="U11" s="381"/>
      <c r="V11" s="381"/>
      <c r="W11" s="381"/>
      <c r="X11" s="381"/>
      <c r="Y11" s="381"/>
    </row>
    <row r="12">
      <c r="A12" s="281">
        <v>9.0</v>
      </c>
      <c r="B12" s="294" t="s">
        <v>2231</v>
      </c>
      <c r="C12" s="229" t="s">
        <v>2232</v>
      </c>
      <c r="D12" s="281" t="s">
        <v>2233</v>
      </c>
      <c r="E12" s="292" t="s">
        <v>2234</v>
      </c>
      <c r="F12" s="281" t="s">
        <v>27</v>
      </c>
      <c r="G12" s="593"/>
      <c r="H12" s="381"/>
      <c r="I12" s="381"/>
      <c r="J12" s="381"/>
      <c r="K12" s="381"/>
      <c r="L12" s="381"/>
      <c r="M12" s="381"/>
      <c r="N12" s="381"/>
      <c r="O12" s="381"/>
      <c r="P12" s="381"/>
      <c r="Q12" s="381"/>
      <c r="R12" s="381"/>
      <c r="S12" s="381"/>
      <c r="T12" s="381"/>
      <c r="U12" s="381"/>
      <c r="V12" s="381"/>
      <c r="W12" s="381"/>
      <c r="X12" s="381"/>
      <c r="Y12" s="381"/>
    </row>
    <row r="13">
      <c r="A13" s="281">
        <v>10.0</v>
      </c>
      <c r="B13" s="294" t="s">
        <v>2235</v>
      </c>
      <c r="C13" s="229" t="s">
        <v>2236</v>
      </c>
      <c r="D13" s="281" t="s">
        <v>2237</v>
      </c>
      <c r="E13" s="292" t="s">
        <v>2238</v>
      </c>
      <c r="F13" s="281" t="s">
        <v>27</v>
      </c>
      <c r="G13" s="593"/>
      <c r="H13" s="381"/>
      <c r="I13" s="381"/>
      <c r="J13" s="381"/>
      <c r="K13" s="381"/>
      <c r="L13" s="381"/>
      <c r="M13" s="381"/>
      <c r="N13" s="381"/>
      <c r="O13" s="381"/>
      <c r="P13" s="381"/>
      <c r="Q13" s="381"/>
      <c r="R13" s="381"/>
      <c r="S13" s="381"/>
      <c r="T13" s="381"/>
      <c r="U13" s="381"/>
      <c r="V13" s="381"/>
      <c r="W13" s="381"/>
      <c r="X13" s="381"/>
      <c r="Y13" s="381"/>
    </row>
    <row r="14">
      <c r="A14" s="281">
        <v>11.0</v>
      </c>
      <c r="B14" s="294" t="s">
        <v>2239</v>
      </c>
      <c r="C14" s="229" t="s">
        <v>2240</v>
      </c>
      <c r="D14" s="281" t="s">
        <v>2241</v>
      </c>
      <c r="E14" s="292" t="s">
        <v>2242</v>
      </c>
      <c r="F14" s="281" t="s">
        <v>27</v>
      </c>
      <c r="G14" s="593"/>
      <c r="H14" s="381"/>
      <c r="I14" s="381"/>
      <c r="J14" s="381"/>
      <c r="K14" s="381"/>
      <c r="L14" s="381"/>
      <c r="M14" s="381"/>
      <c r="N14" s="381"/>
      <c r="O14" s="381"/>
      <c r="P14" s="381"/>
      <c r="Q14" s="381"/>
      <c r="R14" s="381"/>
      <c r="S14" s="381"/>
      <c r="T14" s="381"/>
      <c r="U14" s="381"/>
      <c r="V14" s="381"/>
      <c r="W14" s="381"/>
      <c r="X14" s="381"/>
      <c r="Y14" s="381"/>
    </row>
    <row r="15">
      <c r="A15" s="281">
        <v>12.0</v>
      </c>
      <c r="B15" s="294" t="s">
        <v>2243</v>
      </c>
      <c r="C15" s="229" t="s">
        <v>2244</v>
      </c>
      <c r="D15" s="281" t="s">
        <v>2245</v>
      </c>
      <c r="E15" s="228" t="s">
        <v>2234</v>
      </c>
      <c r="F15" s="281" t="s">
        <v>27</v>
      </c>
      <c r="G15" s="593"/>
      <c r="H15" s="381"/>
      <c r="I15" s="381"/>
      <c r="J15" s="381"/>
      <c r="K15" s="381"/>
      <c r="L15" s="381"/>
      <c r="M15" s="381"/>
      <c r="N15" s="381"/>
      <c r="O15" s="381"/>
      <c r="P15" s="381"/>
      <c r="Q15" s="381"/>
      <c r="R15" s="381"/>
      <c r="S15" s="381"/>
      <c r="T15" s="381"/>
      <c r="U15" s="381"/>
      <c r="V15" s="381"/>
      <c r="W15" s="381"/>
      <c r="X15" s="381"/>
      <c r="Y15" s="381"/>
    </row>
    <row r="16">
      <c r="A16" s="281">
        <v>13.0</v>
      </c>
      <c r="B16" s="294" t="s">
        <v>2246</v>
      </c>
      <c r="C16" s="309" t="s">
        <v>2247</v>
      </c>
      <c r="D16" s="281" t="s">
        <v>2248</v>
      </c>
      <c r="E16" s="228" t="s">
        <v>2249</v>
      </c>
      <c r="F16" s="281" t="s">
        <v>27</v>
      </c>
      <c r="G16" s="593"/>
      <c r="H16" s="381"/>
      <c r="I16" s="381"/>
      <c r="J16" s="381"/>
      <c r="K16" s="381"/>
      <c r="L16" s="381"/>
      <c r="M16" s="381"/>
      <c r="N16" s="381"/>
      <c r="O16" s="381"/>
      <c r="P16" s="381"/>
      <c r="Q16" s="381"/>
      <c r="R16" s="381"/>
      <c r="S16" s="381"/>
      <c r="T16" s="381"/>
      <c r="U16" s="381"/>
      <c r="V16" s="381"/>
      <c r="W16" s="381"/>
      <c r="X16" s="381"/>
      <c r="Y16" s="381"/>
    </row>
    <row r="17">
      <c r="A17" s="281">
        <v>14.0</v>
      </c>
      <c r="B17" s="294" t="s">
        <v>2250</v>
      </c>
      <c r="C17" s="229" t="s">
        <v>2251</v>
      </c>
      <c r="D17" s="281" t="s">
        <v>2252</v>
      </c>
      <c r="E17" s="292" t="s">
        <v>2253</v>
      </c>
      <c r="F17" s="281" t="s">
        <v>27</v>
      </c>
      <c r="G17" s="593"/>
      <c r="H17" s="381"/>
      <c r="I17" s="381"/>
      <c r="J17" s="381"/>
      <c r="K17" s="381"/>
      <c r="L17" s="381"/>
      <c r="M17" s="381"/>
      <c r="N17" s="381"/>
      <c r="O17" s="381"/>
      <c r="P17" s="381"/>
      <c r="Q17" s="381"/>
      <c r="R17" s="381"/>
      <c r="S17" s="381"/>
      <c r="T17" s="381"/>
      <c r="U17" s="381"/>
      <c r="V17" s="381"/>
      <c r="W17" s="381"/>
      <c r="X17" s="381"/>
      <c r="Y17" s="381"/>
    </row>
    <row r="18">
      <c r="A18" s="602"/>
      <c r="B18" s="603"/>
      <c r="C18" s="603"/>
      <c r="D18" s="603"/>
      <c r="E18" s="603"/>
      <c r="F18" s="604"/>
      <c r="G18" s="593"/>
      <c r="H18" s="381"/>
      <c r="I18" s="381"/>
      <c r="J18" s="381"/>
      <c r="K18" s="381"/>
      <c r="L18" s="381"/>
      <c r="M18" s="381"/>
      <c r="N18" s="381"/>
      <c r="O18" s="381"/>
      <c r="P18" s="381"/>
      <c r="Q18" s="381"/>
      <c r="R18" s="381"/>
      <c r="S18" s="381"/>
      <c r="T18" s="381"/>
      <c r="U18" s="381"/>
      <c r="V18" s="381"/>
      <c r="W18" s="381"/>
      <c r="X18" s="381"/>
      <c r="Y18" s="381"/>
    </row>
    <row r="19">
      <c r="A19" s="281">
        <v>15.0</v>
      </c>
      <c r="B19" s="309" t="s">
        <v>2254</v>
      </c>
      <c r="C19" s="605" t="s">
        <v>2255</v>
      </c>
      <c r="D19" s="231"/>
      <c r="E19" s="228" t="s">
        <v>2256</v>
      </c>
      <c r="F19" s="281" t="s">
        <v>27</v>
      </c>
      <c r="G19" s="521" t="s">
        <v>2257</v>
      </c>
      <c r="H19" s="381"/>
      <c r="I19" s="381"/>
      <c r="J19" s="381"/>
      <c r="K19" s="381"/>
      <c r="L19" s="381"/>
      <c r="M19" s="381"/>
      <c r="N19" s="381"/>
      <c r="O19" s="381"/>
      <c r="P19" s="381"/>
      <c r="Q19" s="381"/>
      <c r="R19" s="381"/>
      <c r="S19" s="381"/>
      <c r="T19" s="381"/>
      <c r="U19" s="381"/>
      <c r="V19" s="381"/>
      <c r="W19" s="381"/>
      <c r="X19" s="381"/>
      <c r="Y19" s="381"/>
    </row>
    <row r="20">
      <c r="A20" s="598">
        <v>16.0</v>
      </c>
      <c r="B20" s="599" t="s">
        <v>2258</v>
      </c>
      <c r="C20" s="229" t="s">
        <v>2259</v>
      </c>
      <c r="D20" s="606"/>
      <c r="E20" s="601" t="s">
        <v>2260</v>
      </c>
      <c r="F20" s="281" t="s">
        <v>27</v>
      </c>
      <c r="G20" s="597" t="s">
        <v>2261</v>
      </c>
      <c r="H20" s="381"/>
      <c r="I20" s="381"/>
      <c r="J20" s="381"/>
      <c r="K20" s="381"/>
      <c r="L20" s="381"/>
      <c r="M20" s="381"/>
      <c r="N20" s="381"/>
      <c r="O20" s="381"/>
      <c r="P20" s="381"/>
      <c r="Q20" s="381"/>
      <c r="R20" s="381"/>
      <c r="S20" s="381"/>
      <c r="T20" s="381"/>
      <c r="U20" s="381"/>
      <c r="V20" s="381"/>
      <c r="W20" s="381"/>
      <c r="X20" s="381"/>
      <c r="Y20" s="381"/>
    </row>
    <row r="21">
      <c r="A21" s="359"/>
      <c r="B21" s="381"/>
      <c r="C21" s="18"/>
      <c r="D21" s="359"/>
      <c r="E21" s="607"/>
      <c r="F21" s="359"/>
      <c r="G21" s="381"/>
      <c r="H21" s="381"/>
      <c r="I21" s="381"/>
      <c r="J21" s="381"/>
      <c r="K21" s="381"/>
      <c r="L21" s="381"/>
      <c r="M21" s="381"/>
      <c r="N21" s="381"/>
      <c r="O21" s="381"/>
      <c r="P21" s="381"/>
      <c r="Q21" s="381"/>
      <c r="R21" s="381"/>
      <c r="S21" s="381"/>
      <c r="T21" s="381"/>
      <c r="U21" s="381"/>
      <c r="V21" s="381"/>
      <c r="W21" s="381"/>
      <c r="X21" s="381"/>
      <c r="Y21" s="381"/>
    </row>
    <row r="22">
      <c r="A22" s="359"/>
      <c r="B22" s="484"/>
      <c r="C22" s="608"/>
      <c r="D22" s="359"/>
      <c r="E22" s="607"/>
      <c r="F22" s="359"/>
      <c r="G22" s="381"/>
      <c r="H22" s="381"/>
      <c r="I22" s="381"/>
      <c r="J22" s="381"/>
      <c r="K22" s="381"/>
      <c r="L22" s="381"/>
      <c r="M22" s="381"/>
      <c r="N22" s="381"/>
      <c r="O22" s="381"/>
      <c r="P22" s="381"/>
      <c r="Q22" s="381"/>
      <c r="R22" s="381"/>
      <c r="S22" s="381"/>
      <c r="T22" s="381"/>
      <c r="U22" s="381"/>
      <c r="V22" s="381"/>
      <c r="W22" s="381"/>
      <c r="X22" s="381"/>
      <c r="Y22" s="381"/>
    </row>
    <row r="23">
      <c r="A23" s="359"/>
      <c r="B23" s="484"/>
      <c r="C23" s="608"/>
      <c r="D23" s="359"/>
      <c r="E23" s="607"/>
      <c r="F23" s="359"/>
      <c r="G23" s="381"/>
      <c r="H23" s="381"/>
      <c r="I23" s="381"/>
      <c r="J23" s="381"/>
      <c r="K23" s="381"/>
      <c r="L23" s="381"/>
      <c r="M23" s="381"/>
      <c r="N23" s="381"/>
      <c r="O23" s="381"/>
      <c r="P23" s="381"/>
      <c r="Q23" s="381"/>
      <c r="R23" s="381"/>
      <c r="S23" s="381"/>
      <c r="T23" s="381"/>
      <c r="U23" s="381"/>
      <c r="V23" s="381"/>
      <c r="W23" s="381"/>
      <c r="X23" s="381"/>
      <c r="Y23" s="381"/>
    </row>
    <row r="24">
      <c r="A24" s="359"/>
      <c r="B24" s="484"/>
      <c r="C24" s="20"/>
      <c r="D24" s="359"/>
      <c r="E24" s="607"/>
      <c r="F24" s="359"/>
      <c r="G24" s="381"/>
      <c r="H24" s="381"/>
      <c r="I24" s="381"/>
      <c r="J24" s="381"/>
      <c r="K24" s="381"/>
      <c r="L24" s="381"/>
      <c r="M24" s="381"/>
      <c r="N24" s="381"/>
      <c r="O24" s="381"/>
      <c r="P24" s="381"/>
      <c r="Q24" s="381"/>
      <c r="R24" s="381"/>
      <c r="S24" s="381"/>
      <c r="T24" s="381"/>
      <c r="U24" s="381"/>
      <c r="V24" s="381"/>
      <c r="W24" s="381"/>
      <c r="X24" s="381"/>
      <c r="Y24" s="381"/>
    </row>
    <row r="25">
      <c r="A25" s="359"/>
      <c r="B25" s="381"/>
      <c r="C25" s="18"/>
      <c r="D25" s="359"/>
      <c r="E25" s="607"/>
      <c r="F25" s="359"/>
      <c r="G25" s="381"/>
      <c r="H25" s="381"/>
      <c r="I25" s="381"/>
      <c r="J25" s="381"/>
      <c r="K25" s="381"/>
      <c r="L25" s="381"/>
      <c r="M25" s="381"/>
      <c r="N25" s="381"/>
      <c r="O25" s="381"/>
      <c r="P25" s="381"/>
      <c r="Q25" s="381"/>
      <c r="R25" s="381"/>
      <c r="S25" s="381"/>
      <c r="T25" s="381"/>
      <c r="U25" s="381"/>
      <c r="V25" s="381"/>
      <c r="W25" s="381"/>
      <c r="X25" s="381"/>
      <c r="Y25" s="381"/>
    </row>
    <row r="26">
      <c r="A26" s="359"/>
      <c r="B26" s="381"/>
      <c r="C26" s="18"/>
      <c r="D26" s="359"/>
      <c r="E26" s="607"/>
      <c r="F26" s="359"/>
      <c r="G26" s="381"/>
      <c r="H26" s="381"/>
      <c r="I26" s="381"/>
      <c r="J26" s="381"/>
      <c r="K26" s="381"/>
      <c r="L26" s="381"/>
      <c r="M26" s="381"/>
      <c r="N26" s="381"/>
      <c r="O26" s="381"/>
      <c r="P26" s="381"/>
      <c r="Q26" s="381"/>
      <c r="R26" s="381"/>
      <c r="S26" s="381"/>
      <c r="T26" s="381"/>
      <c r="U26" s="381"/>
      <c r="V26" s="381"/>
      <c r="W26" s="381"/>
      <c r="X26" s="381"/>
      <c r="Y26" s="381"/>
    </row>
    <row r="27">
      <c r="A27" s="359"/>
      <c r="B27" s="381"/>
      <c r="C27" s="18"/>
      <c r="D27" s="359"/>
      <c r="E27" s="607"/>
      <c r="F27" s="359"/>
      <c r="G27" s="381"/>
      <c r="H27" s="381"/>
      <c r="I27" s="381"/>
      <c r="J27" s="381"/>
      <c r="K27" s="381"/>
      <c r="L27" s="381"/>
      <c r="M27" s="381"/>
      <c r="N27" s="381"/>
      <c r="O27" s="381"/>
      <c r="P27" s="381"/>
      <c r="Q27" s="381"/>
      <c r="R27" s="381"/>
      <c r="S27" s="381"/>
      <c r="T27" s="381"/>
      <c r="U27" s="381"/>
      <c r="V27" s="381"/>
      <c r="W27" s="381"/>
      <c r="X27" s="381"/>
      <c r="Y27" s="381"/>
    </row>
    <row r="28">
      <c r="A28" s="359"/>
      <c r="B28" s="381"/>
      <c r="C28" s="18"/>
      <c r="D28" s="359"/>
      <c r="E28" s="607"/>
      <c r="F28" s="359"/>
      <c r="G28" s="381"/>
      <c r="H28" s="381"/>
      <c r="I28" s="381"/>
      <c r="J28" s="381"/>
      <c r="K28" s="381"/>
      <c r="L28" s="381"/>
      <c r="M28" s="381"/>
      <c r="N28" s="381"/>
      <c r="O28" s="381"/>
      <c r="P28" s="381"/>
      <c r="Q28" s="381"/>
      <c r="R28" s="381"/>
      <c r="S28" s="381"/>
      <c r="T28" s="381"/>
      <c r="U28" s="381"/>
      <c r="V28" s="381"/>
      <c r="W28" s="381"/>
      <c r="X28" s="381"/>
      <c r="Y28" s="381"/>
    </row>
    <row r="29">
      <c r="A29" s="359"/>
      <c r="B29" s="381"/>
      <c r="C29" s="18"/>
      <c r="D29" s="359"/>
      <c r="E29" s="607"/>
      <c r="F29" s="359"/>
      <c r="G29" s="381"/>
      <c r="H29" s="381"/>
      <c r="I29" s="381"/>
      <c r="J29" s="381"/>
      <c r="K29" s="381"/>
      <c r="L29" s="381"/>
      <c r="M29" s="381"/>
      <c r="N29" s="381"/>
      <c r="O29" s="381"/>
      <c r="P29" s="381"/>
      <c r="Q29" s="381"/>
      <c r="R29" s="381"/>
      <c r="S29" s="381"/>
      <c r="T29" s="381"/>
      <c r="U29" s="381"/>
      <c r="V29" s="381"/>
      <c r="W29" s="381"/>
      <c r="X29" s="381"/>
      <c r="Y29" s="381"/>
    </row>
    <row r="30">
      <c r="A30" s="359"/>
      <c r="B30" s="381"/>
      <c r="C30" s="18"/>
      <c r="D30" s="359"/>
      <c r="E30" s="607"/>
      <c r="F30" s="359"/>
      <c r="G30" s="381"/>
      <c r="H30" s="381"/>
      <c r="I30" s="381"/>
      <c r="J30" s="381"/>
      <c r="K30" s="381"/>
      <c r="L30" s="381"/>
      <c r="M30" s="381"/>
      <c r="N30" s="381"/>
      <c r="O30" s="381"/>
      <c r="P30" s="381"/>
      <c r="Q30" s="381"/>
      <c r="R30" s="381"/>
      <c r="S30" s="381"/>
      <c r="T30" s="381"/>
      <c r="U30" s="381"/>
      <c r="V30" s="381"/>
      <c r="W30" s="381"/>
      <c r="X30" s="381"/>
      <c r="Y30" s="381"/>
    </row>
    <row r="31">
      <c r="A31" s="359"/>
      <c r="B31" s="381"/>
      <c r="C31" s="18"/>
      <c r="D31" s="359"/>
      <c r="E31" s="607"/>
      <c r="F31" s="359"/>
      <c r="G31" s="381"/>
      <c r="H31" s="381"/>
      <c r="I31" s="381"/>
      <c r="J31" s="381"/>
      <c r="K31" s="381"/>
      <c r="L31" s="381"/>
      <c r="M31" s="381"/>
      <c r="N31" s="381"/>
      <c r="O31" s="381"/>
      <c r="P31" s="381"/>
      <c r="Q31" s="381"/>
      <c r="R31" s="381"/>
      <c r="S31" s="381"/>
      <c r="T31" s="381"/>
      <c r="U31" s="381"/>
      <c r="V31" s="381"/>
      <c r="W31" s="381"/>
      <c r="X31" s="381"/>
      <c r="Y31" s="381"/>
    </row>
    <row r="32">
      <c r="A32" s="359"/>
      <c r="B32" s="381"/>
      <c r="C32" s="18"/>
      <c r="D32" s="359"/>
      <c r="E32" s="607"/>
      <c r="F32" s="359"/>
      <c r="G32" s="381"/>
      <c r="H32" s="381"/>
      <c r="I32" s="381"/>
      <c r="J32" s="381"/>
      <c r="K32" s="381"/>
      <c r="L32" s="381"/>
      <c r="M32" s="381"/>
      <c r="N32" s="381"/>
      <c r="O32" s="381"/>
      <c r="P32" s="381"/>
      <c r="Q32" s="381"/>
      <c r="R32" s="381"/>
      <c r="S32" s="381"/>
      <c r="T32" s="381"/>
      <c r="U32" s="381"/>
      <c r="V32" s="381"/>
      <c r="W32" s="381"/>
      <c r="X32" s="381"/>
      <c r="Y32" s="381"/>
    </row>
    <row r="33">
      <c r="A33" s="359"/>
      <c r="B33" s="381"/>
      <c r="C33" s="18"/>
      <c r="D33" s="359"/>
      <c r="E33" s="607"/>
      <c r="F33" s="359"/>
      <c r="G33" s="381"/>
      <c r="H33" s="381"/>
      <c r="I33" s="381"/>
      <c r="J33" s="381"/>
      <c r="K33" s="381"/>
      <c r="L33" s="381"/>
      <c r="M33" s="381"/>
      <c r="N33" s="381"/>
      <c r="O33" s="381"/>
      <c r="P33" s="381"/>
      <c r="Q33" s="381"/>
      <c r="R33" s="381"/>
      <c r="S33" s="381"/>
      <c r="T33" s="381"/>
      <c r="U33" s="381"/>
      <c r="V33" s="381"/>
      <c r="W33" s="381"/>
      <c r="X33" s="381"/>
      <c r="Y33" s="381"/>
    </row>
    <row r="34">
      <c r="A34" s="359"/>
      <c r="B34" s="381"/>
      <c r="C34" s="18"/>
      <c r="D34" s="359"/>
      <c r="E34" s="607"/>
      <c r="F34" s="359"/>
      <c r="G34" s="381"/>
      <c r="H34" s="381"/>
      <c r="I34" s="381"/>
      <c r="J34" s="381"/>
      <c r="K34" s="381"/>
      <c r="L34" s="381"/>
      <c r="M34" s="381"/>
      <c r="N34" s="381"/>
      <c r="O34" s="381"/>
      <c r="P34" s="381"/>
      <c r="Q34" s="381"/>
      <c r="R34" s="381"/>
      <c r="S34" s="381"/>
      <c r="T34" s="381"/>
      <c r="U34" s="381"/>
      <c r="V34" s="381"/>
      <c r="W34" s="381"/>
      <c r="X34" s="381"/>
      <c r="Y34" s="381"/>
    </row>
    <row r="35">
      <c r="A35" s="359"/>
      <c r="B35" s="381"/>
      <c r="C35" s="18"/>
      <c r="D35" s="359"/>
      <c r="E35" s="607"/>
      <c r="F35" s="359"/>
      <c r="G35" s="381"/>
      <c r="H35" s="381"/>
      <c r="I35" s="381"/>
      <c r="J35" s="381"/>
      <c r="K35" s="381"/>
      <c r="L35" s="381"/>
      <c r="M35" s="381"/>
      <c r="N35" s="381"/>
      <c r="O35" s="381"/>
      <c r="P35" s="381"/>
      <c r="Q35" s="381"/>
      <c r="R35" s="381"/>
      <c r="S35" s="381"/>
      <c r="T35" s="381"/>
      <c r="U35" s="381"/>
      <c r="V35" s="381"/>
      <c r="W35" s="381"/>
      <c r="X35" s="381"/>
      <c r="Y35" s="381"/>
    </row>
    <row r="36">
      <c r="A36" s="359"/>
      <c r="B36" s="381"/>
      <c r="C36" s="18"/>
      <c r="D36" s="359"/>
      <c r="E36" s="607"/>
      <c r="F36" s="359"/>
      <c r="G36" s="381"/>
      <c r="H36" s="381"/>
      <c r="I36" s="381"/>
      <c r="J36" s="381"/>
      <c r="K36" s="381"/>
      <c r="L36" s="381"/>
      <c r="M36" s="381"/>
      <c r="N36" s="381"/>
      <c r="O36" s="381"/>
      <c r="P36" s="381"/>
      <c r="Q36" s="381"/>
      <c r="R36" s="381"/>
      <c r="S36" s="381"/>
      <c r="T36" s="381"/>
      <c r="U36" s="381"/>
      <c r="V36" s="381"/>
      <c r="W36" s="381"/>
      <c r="X36" s="381"/>
      <c r="Y36" s="381"/>
    </row>
    <row r="37">
      <c r="A37" s="359"/>
      <c r="B37" s="381"/>
      <c r="C37" s="18"/>
      <c r="D37" s="359"/>
      <c r="E37" s="607"/>
      <c r="F37" s="359"/>
      <c r="G37" s="381"/>
      <c r="H37" s="381"/>
      <c r="I37" s="381"/>
      <c r="J37" s="381"/>
      <c r="K37" s="381"/>
      <c r="L37" s="381"/>
      <c r="M37" s="381"/>
      <c r="N37" s="381"/>
      <c r="O37" s="381"/>
      <c r="P37" s="381"/>
      <c r="Q37" s="381"/>
      <c r="R37" s="381"/>
      <c r="S37" s="381"/>
      <c r="T37" s="381"/>
      <c r="U37" s="381"/>
      <c r="V37" s="381"/>
      <c r="W37" s="381"/>
      <c r="X37" s="381"/>
      <c r="Y37" s="381"/>
    </row>
    <row r="38">
      <c r="A38" s="359"/>
      <c r="B38" s="381"/>
      <c r="C38" s="18"/>
      <c r="D38" s="359"/>
      <c r="E38" s="607"/>
      <c r="F38" s="359"/>
      <c r="G38" s="381"/>
      <c r="H38" s="381"/>
      <c r="I38" s="381"/>
      <c r="J38" s="381"/>
      <c r="K38" s="381"/>
      <c r="L38" s="381"/>
      <c r="M38" s="381"/>
      <c r="N38" s="381"/>
      <c r="O38" s="381"/>
      <c r="P38" s="381"/>
      <c r="Q38" s="381"/>
      <c r="R38" s="381"/>
      <c r="S38" s="381"/>
      <c r="T38" s="381"/>
      <c r="U38" s="381"/>
      <c r="V38" s="381"/>
      <c r="W38" s="381"/>
      <c r="X38" s="381"/>
      <c r="Y38" s="381"/>
    </row>
    <row r="39">
      <c r="A39" s="359"/>
      <c r="B39" s="381"/>
      <c r="C39" s="18"/>
      <c r="D39" s="359"/>
      <c r="E39" s="607"/>
      <c r="F39" s="359"/>
      <c r="G39" s="381"/>
      <c r="H39" s="381"/>
      <c r="I39" s="381"/>
      <c r="J39" s="381"/>
      <c r="K39" s="381"/>
      <c r="L39" s="381"/>
      <c r="M39" s="381"/>
      <c r="N39" s="381"/>
      <c r="O39" s="381"/>
      <c r="P39" s="381"/>
      <c r="Q39" s="381"/>
      <c r="R39" s="381"/>
      <c r="S39" s="381"/>
      <c r="T39" s="381"/>
      <c r="U39" s="381"/>
      <c r="V39" s="381"/>
      <c r="W39" s="381"/>
      <c r="X39" s="381"/>
      <c r="Y39" s="381"/>
    </row>
    <row r="40">
      <c r="A40" s="359"/>
      <c r="B40" s="381"/>
      <c r="C40" s="18"/>
      <c r="D40" s="359"/>
      <c r="E40" s="607"/>
      <c r="F40" s="359"/>
      <c r="G40" s="381"/>
      <c r="H40" s="381"/>
      <c r="I40" s="381"/>
      <c r="J40" s="381"/>
      <c r="K40" s="381"/>
      <c r="L40" s="381"/>
      <c r="M40" s="381"/>
      <c r="N40" s="381"/>
      <c r="O40" s="381"/>
      <c r="P40" s="381"/>
      <c r="Q40" s="381"/>
      <c r="R40" s="381"/>
      <c r="S40" s="381"/>
      <c r="T40" s="381"/>
      <c r="U40" s="381"/>
      <c r="V40" s="381"/>
      <c r="W40" s="381"/>
      <c r="X40" s="381"/>
      <c r="Y40" s="381"/>
    </row>
    <row r="41">
      <c r="A41" s="359"/>
      <c r="B41" s="381"/>
      <c r="C41" s="18"/>
      <c r="D41" s="359"/>
      <c r="E41" s="607"/>
      <c r="F41" s="359"/>
      <c r="G41" s="381"/>
      <c r="H41" s="381"/>
      <c r="I41" s="381"/>
      <c r="J41" s="381"/>
      <c r="K41" s="381"/>
      <c r="L41" s="381"/>
      <c r="M41" s="381"/>
      <c r="N41" s="381"/>
      <c r="O41" s="381"/>
      <c r="P41" s="381"/>
      <c r="Q41" s="381"/>
      <c r="R41" s="381"/>
      <c r="S41" s="381"/>
      <c r="T41" s="381"/>
      <c r="U41" s="381"/>
      <c r="V41" s="381"/>
      <c r="W41" s="381"/>
      <c r="X41" s="381"/>
      <c r="Y41" s="381"/>
    </row>
    <row r="42">
      <c r="A42" s="359"/>
      <c r="B42" s="381"/>
      <c r="C42" s="18"/>
      <c r="D42" s="359"/>
      <c r="E42" s="607"/>
      <c r="F42" s="359"/>
      <c r="G42" s="381"/>
      <c r="H42" s="381"/>
      <c r="I42" s="381"/>
      <c r="J42" s="381"/>
      <c r="K42" s="381"/>
      <c r="L42" s="381"/>
      <c r="M42" s="381"/>
      <c r="N42" s="381"/>
      <c r="O42" s="381"/>
      <c r="P42" s="381"/>
      <c r="Q42" s="381"/>
      <c r="R42" s="381"/>
      <c r="S42" s="381"/>
      <c r="T42" s="381"/>
      <c r="U42" s="381"/>
      <c r="V42" s="381"/>
      <c r="W42" s="381"/>
      <c r="X42" s="381"/>
      <c r="Y42" s="381"/>
    </row>
    <row r="43">
      <c r="A43" s="359"/>
      <c r="B43" s="381"/>
      <c r="C43" s="18"/>
      <c r="D43" s="359"/>
      <c r="E43" s="607"/>
      <c r="F43" s="359"/>
      <c r="G43" s="381"/>
      <c r="H43" s="381"/>
      <c r="I43" s="381"/>
      <c r="J43" s="381"/>
      <c r="K43" s="381"/>
      <c r="L43" s="381"/>
      <c r="M43" s="381"/>
      <c r="N43" s="381"/>
      <c r="O43" s="381"/>
      <c r="P43" s="381"/>
      <c r="Q43" s="381"/>
      <c r="R43" s="381"/>
      <c r="S43" s="381"/>
      <c r="T43" s="381"/>
      <c r="U43" s="381"/>
      <c r="V43" s="381"/>
      <c r="W43" s="381"/>
      <c r="X43" s="381"/>
      <c r="Y43" s="381"/>
    </row>
    <row r="44">
      <c r="A44" s="359"/>
      <c r="B44" s="381"/>
      <c r="C44" s="18"/>
      <c r="D44" s="359"/>
      <c r="E44" s="607"/>
      <c r="F44" s="359"/>
      <c r="G44" s="381"/>
      <c r="H44" s="381"/>
      <c r="I44" s="381"/>
      <c r="J44" s="381"/>
      <c r="K44" s="381"/>
      <c r="L44" s="381"/>
      <c r="M44" s="381"/>
      <c r="N44" s="381"/>
      <c r="O44" s="381"/>
      <c r="P44" s="381"/>
      <c r="Q44" s="381"/>
      <c r="R44" s="381"/>
      <c r="S44" s="381"/>
      <c r="T44" s="381"/>
      <c r="U44" s="381"/>
      <c r="V44" s="381"/>
      <c r="W44" s="381"/>
      <c r="X44" s="381"/>
      <c r="Y44" s="381"/>
    </row>
    <row r="45">
      <c r="A45" s="359"/>
      <c r="B45" s="381"/>
      <c r="C45" s="18"/>
      <c r="D45" s="359"/>
      <c r="E45" s="607"/>
      <c r="F45" s="359"/>
      <c r="G45" s="381"/>
      <c r="H45" s="381"/>
      <c r="I45" s="381"/>
      <c r="J45" s="381"/>
      <c r="K45" s="381"/>
      <c r="L45" s="381"/>
      <c r="M45" s="381"/>
      <c r="N45" s="381"/>
      <c r="O45" s="381"/>
      <c r="P45" s="381"/>
      <c r="Q45" s="381"/>
      <c r="R45" s="381"/>
      <c r="S45" s="381"/>
      <c r="T45" s="381"/>
      <c r="U45" s="381"/>
      <c r="V45" s="381"/>
      <c r="W45" s="381"/>
      <c r="X45" s="381"/>
      <c r="Y45" s="381"/>
    </row>
    <row r="46">
      <c r="A46" s="359"/>
      <c r="B46" s="381"/>
      <c r="C46" s="18"/>
      <c r="D46" s="359"/>
      <c r="E46" s="607"/>
      <c r="F46" s="359"/>
      <c r="G46" s="381"/>
      <c r="H46" s="381"/>
      <c r="I46" s="381"/>
      <c r="J46" s="381"/>
      <c r="K46" s="381"/>
      <c r="L46" s="381"/>
      <c r="M46" s="381"/>
      <c r="N46" s="381"/>
      <c r="O46" s="381"/>
      <c r="P46" s="381"/>
      <c r="Q46" s="381"/>
      <c r="R46" s="381"/>
      <c r="S46" s="381"/>
      <c r="T46" s="381"/>
      <c r="U46" s="381"/>
      <c r="V46" s="381"/>
      <c r="W46" s="381"/>
      <c r="X46" s="381"/>
      <c r="Y46" s="381"/>
    </row>
    <row r="47">
      <c r="A47" s="359"/>
      <c r="B47" s="381"/>
      <c r="C47" s="18"/>
      <c r="D47" s="359"/>
      <c r="E47" s="607"/>
      <c r="F47" s="359"/>
      <c r="G47" s="381"/>
      <c r="H47" s="381"/>
      <c r="I47" s="381"/>
      <c r="J47" s="381"/>
      <c r="K47" s="381"/>
      <c r="L47" s="381"/>
      <c r="M47" s="381"/>
      <c r="N47" s="381"/>
      <c r="O47" s="381"/>
      <c r="P47" s="381"/>
      <c r="Q47" s="381"/>
      <c r="R47" s="381"/>
      <c r="S47" s="381"/>
      <c r="T47" s="381"/>
      <c r="U47" s="381"/>
      <c r="V47" s="381"/>
      <c r="W47" s="381"/>
      <c r="X47" s="381"/>
      <c r="Y47" s="381"/>
    </row>
    <row r="48">
      <c r="A48" s="359"/>
      <c r="B48" s="381"/>
      <c r="C48" s="18"/>
      <c r="D48" s="359"/>
      <c r="E48" s="607"/>
      <c r="F48" s="359"/>
      <c r="G48" s="381"/>
      <c r="H48" s="381"/>
      <c r="I48" s="381"/>
      <c r="J48" s="381"/>
      <c r="K48" s="381"/>
      <c r="L48" s="381"/>
      <c r="M48" s="381"/>
      <c r="N48" s="381"/>
      <c r="O48" s="381"/>
      <c r="P48" s="381"/>
      <c r="Q48" s="381"/>
      <c r="R48" s="381"/>
      <c r="S48" s="381"/>
      <c r="T48" s="381"/>
      <c r="U48" s="381"/>
      <c r="V48" s="381"/>
      <c r="W48" s="381"/>
      <c r="X48" s="381"/>
      <c r="Y48" s="381"/>
    </row>
    <row r="49">
      <c r="A49" s="359"/>
      <c r="B49" s="381"/>
      <c r="C49" s="18"/>
      <c r="D49" s="359"/>
      <c r="E49" s="607"/>
      <c r="F49" s="359"/>
      <c r="G49" s="381"/>
      <c r="H49" s="381"/>
      <c r="I49" s="381"/>
      <c r="J49" s="381"/>
      <c r="K49" s="381"/>
      <c r="L49" s="381"/>
      <c r="M49" s="381"/>
      <c r="N49" s="381"/>
      <c r="O49" s="381"/>
      <c r="P49" s="381"/>
      <c r="Q49" s="381"/>
      <c r="R49" s="381"/>
      <c r="S49" s="381"/>
      <c r="T49" s="381"/>
      <c r="U49" s="381"/>
      <c r="V49" s="381"/>
      <c r="W49" s="381"/>
      <c r="X49" s="381"/>
      <c r="Y49" s="381"/>
    </row>
    <row r="50">
      <c r="A50" s="359"/>
      <c r="B50" s="381"/>
      <c r="C50" s="18"/>
      <c r="D50" s="359"/>
      <c r="E50" s="607"/>
      <c r="F50" s="359"/>
      <c r="G50" s="381"/>
      <c r="H50" s="381"/>
      <c r="I50" s="381"/>
      <c r="J50" s="381"/>
      <c r="K50" s="381"/>
      <c r="L50" s="381"/>
      <c r="M50" s="381"/>
      <c r="N50" s="381"/>
      <c r="O50" s="381"/>
      <c r="P50" s="381"/>
      <c r="Q50" s="381"/>
      <c r="R50" s="381"/>
      <c r="S50" s="381"/>
      <c r="T50" s="381"/>
      <c r="U50" s="381"/>
      <c r="V50" s="381"/>
      <c r="W50" s="381"/>
      <c r="X50" s="381"/>
      <c r="Y50" s="381"/>
    </row>
    <row r="51">
      <c r="A51" s="359"/>
      <c r="B51" s="381"/>
      <c r="C51" s="18"/>
      <c r="D51" s="359"/>
      <c r="E51" s="607"/>
      <c r="F51" s="359"/>
      <c r="G51" s="381"/>
      <c r="H51" s="381"/>
      <c r="I51" s="381"/>
      <c r="J51" s="381"/>
      <c r="K51" s="381"/>
      <c r="L51" s="381"/>
      <c r="M51" s="381"/>
      <c r="N51" s="381"/>
      <c r="O51" s="381"/>
      <c r="P51" s="381"/>
      <c r="Q51" s="381"/>
      <c r="R51" s="381"/>
      <c r="S51" s="381"/>
      <c r="T51" s="381"/>
      <c r="U51" s="381"/>
      <c r="V51" s="381"/>
      <c r="W51" s="381"/>
      <c r="X51" s="381"/>
      <c r="Y51" s="381"/>
    </row>
    <row r="52">
      <c r="A52" s="359"/>
      <c r="B52" s="381"/>
      <c r="C52" s="18"/>
      <c r="D52" s="359"/>
      <c r="E52" s="607"/>
      <c r="F52" s="359"/>
      <c r="G52" s="381"/>
      <c r="H52" s="381"/>
      <c r="I52" s="381"/>
      <c r="J52" s="381"/>
      <c r="K52" s="381"/>
      <c r="L52" s="381"/>
      <c r="M52" s="381"/>
      <c r="N52" s="381"/>
      <c r="O52" s="381"/>
      <c r="P52" s="381"/>
      <c r="Q52" s="381"/>
      <c r="R52" s="381"/>
      <c r="S52" s="381"/>
      <c r="T52" s="381"/>
      <c r="U52" s="381"/>
      <c r="V52" s="381"/>
      <c r="W52" s="381"/>
      <c r="X52" s="381"/>
      <c r="Y52" s="381"/>
    </row>
    <row r="53">
      <c r="A53" s="359"/>
      <c r="B53" s="381"/>
      <c r="C53" s="18"/>
      <c r="D53" s="359"/>
      <c r="E53" s="607"/>
      <c r="F53" s="359"/>
      <c r="G53" s="381"/>
      <c r="H53" s="381"/>
      <c r="I53" s="381"/>
      <c r="J53" s="381"/>
      <c r="K53" s="381"/>
      <c r="L53" s="381"/>
      <c r="M53" s="381"/>
      <c r="N53" s="381"/>
      <c r="O53" s="381"/>
      <c r="P53" s="381"/>
      <c r="Q53" s="381"/>
      <c r="R53" s="381"/>
      <c r="S53" s="381"/>
      <c r="T53" s="381"/>
      <c r="U53" s="381"/>
      <c r="V53" s="381"/>
      <c r="W53" s="381"/>
      <c r="X53" s="381"/>
      <c r="Y53" s="381"/>
    </row>
    <row r="54">
      <c r="A54" s="359"/>
      <c r="B54" s="381"/>
      <c r="C54" s="18"/>
      <c r="D54" s="359"/>
      <c r="E54" s="607"/>
      <c r="F54" s="359"/>
      <c r="G54" s="381"/>
      <c r="H54" s="381"/>
      <c r="I54" s="381"/>
      <c r="J54" s="381"/>
      <c r="K54" s="381"/>
      <c r="L54" s="381"/>
      <c r="M54" s="381"/>
      <c r="N54" s="381"/>
      <c r="O54" s="381"/>
      <c r="P54" s="381"/>
      <c r="Q54" s="381"/>
      <c r="R54" s="381"/>
      <c r="S54" s="381"/>
      <c r="T54" s="381"/>
      <c r="U54" s="381"/>
      <c r="V54" s="381"/>
      <c r="W54" s="381"/>
      <c r="X54" s="381"/>
      <c r="Y54" s="381"/>
    </row>
    <row r="55">
      <c r="A55" s="359"/>
      <c r="B55" s="381"/>
      <c r="C55" s="18"/>
      <c r="D55" s="359"/>
      <c r="E55" s="607"/>
      <c r="F55" s="359"/>
      <c r="G55" s="381"/>
      <c r="H55" s="381"/>
      <c r="I55" s="381"/>
      <c r="J55" s="381"/>
      <c r="K55" s="381"/>
      <c r="L55" s="381"/>
      <c r="M55" s="381"/>
      <c r="N55" s="381"/>
      <c r="O55" s="381"/>
      <c r="P55" s="381"/>
      <c r="Q55" s="381"/>
      <c r="R55" s="381"/>
      <c r="S55" s="381"/>
      <c r="T55" s="381"/>
      <c r="U55" s="381"/>
      <c r="V55" s="381"/>
      <c r="W55" s="381"/>
      <c r="X55" s="381"/>
      <c r="Y55" s="381"/>
    </row>
    <row r="56">
      <c r="A56" s="359"/>
      <c r="B56" s="381"/>
      <c r="C56" s="18"/>
      <c r="D56" s="359"/>
      <c r="E56" s="607"/>
      <c r="F56" s="359"/>
      <c r="G56" s="381"/>
      <c r="H56" s="381"/>
      <c r="I56" s="381"/>
      <c r="J56" s="381"/>
      <c r="K56" s="381"/>
      <c r="L56" s="381"/>
      <c r="M56" s="381"/>
      <c r="N56" s="381"/>
      <c r="O56" s="381"/>
      <c r="P56" s="381"/>
      <c r="Q56" s="381"/>
      <c r="R56" s="381"/>
      <c r="S56" s="381"/>
      <c r="T56" s="381"/>
      <c r="U56" s="381"/>
      <c r="V56" s="381"/>
      <c r="W56" s="381"/>
      <c r="X56" s="381"/>
      <c r="Y56" s="381"/>
    </row>
    <row r="57">
      <c r="A57" s="359"/>
      <c r="B57" s="381"/>
      <c r="C57" s="18"/>
      <c r="D57" s="359"/>
      <c r="E57" s="607"/>
      <c r="F57" s="359"/>
      <c r="G57" s="381"/>
      <c r="H57" s="381"/>
      <c r="I57" s="381"/>
      <c r="J57" s="381"/>
      <c r="K57" s="381"/>
      <c r="L57" s="381"/>
      <c r="M57" s="381"/>
      <c r="N57" s="381"/>
      <c r="O57" s="381"/>
      <c r="P57" s="381"/>
      <c r="Q57" s="381"/>
      <c r="R57" s="381"/>
      <c r="S57" s="381"/>
      <c r="T57" s="381"/>
      <c r="U57" s="381"/>
      <c r="V57" s="381"/>
      <c r="W57" s="381"/>
      <c r="X57" s="381"/>
      <c r="Y57" s="381"/>
    </row>
    <row r="58">
      <c r="A58" s="359"/>
      <c r="B58" s="381"/>
      <c r="C58" s="18"/>
      <c r="D58" s="359"/>
      <c r="E58" s="607"/>
      <c r="F58" s="359"/>
      <c r="G58" s="381"/>
      <c r="H58" s="381"/>
      <c r="I58" s="381"/>
      <c r="J58" s="381"/>
      <c r="K58" s="381"/>
      <c r="L58" s="381"/>
      <c r="M58" s="381"/>
      <c r="N58" s="381"/>
      <c r="O58" s="381"/>
      <c r="P58" s="381"/>
      <c r="Q58" s="381"/>
      <c r="R58" s="381"/>
      <c r="S58" s="381"/>
      <c r="T58" s="381"/>
      <c r="U58" s="381"/>
      <c r="V58" s="381"/>
      <c r="W58" s="381"/>
      <c r="X58" s="381"/>
      <c r="Y58" s="381"/>
    </row>
    <row r="59">
      <c r="A59" s="359"/>
      <c r="B59" s="381"/>
      <c r="C59" s="18"/>
      <c r="D59" s="359"/>
      <c r="E59" s="607"/>
      <c r="F59" s="359"/>
      <c r="G59" s="381"/>
      <c r="H59" s="381"/>
      <c r="I59" s="381"/>
      <c r="J59" s="381"/>
      <c r="K59" s="381"/>
      <c r="L59" s="381"/>
      <c r="M59" s="381"/>
      <c r="N59" s="381"/>
      <c r="O59" s="381"/>
      <c r="P59" s="381"/>
      <c r="Q59" s="381"/>
      <c r="R59" s="381"/>
      <c r="S59" s="381"/>
      <c r="T59" s="381"/>
      <c r="U59" s="381"/>
      <c r="V59" s="381"/>
      <c r="W59" s="381"/>
      <c r="X59" s="381"/>
      <c r="Y59" s="381"/>
    </row>
    <row r="60">
      <c r="A60" s="359"/>
      <c r="B60" s="381"/>
      <c r="C60" s="18"/>
      <c r="D60" s="359"/>
      <c r="E60" s="607"/>
      <c r="F60" s="359"/>
      <c r="G60" s="381"/>
      <c r="H60" s="381"/>
      <c r="I60" s="381"/>
      <c r="J60" s="381"/>
      <c r="K60" s="381"/>
      <c r="L60" s="381"/>
      <c r="M60" s="381"/>
      <c r="N60" s="381"/>
      <c r="O60" s="381"/>
      <c r="P60" s="381"/>
      <c r="Q60" s="381"/>
      <c r="R60" s="381"/>
      <c r="S60" s="381"/>
      <c r="T60" s="381"/>
      <c r="U60" s="381"/>
      <c r="V60" s="381"/>
      <c r="W60" s="381"/>
      <c r="X60" s="381"/>
      <c r="Y60" s="381"/>
    </row>
    <row r="61">
      <c r="A61" s="359"/>
      <c r="B61" s="381"/>
      <c r="C61" s="18"/>
      <c r="D61" s="359"/>
      <c r="E61" s="607"/>
      <c r="F61" s="359"/>
      <c r="G61" s="381"/>
      <c r="H61" s="381"/>
      <c r="I61" s="381"/>
      <c r="J61" s="381"/>
      <c r="K61" s="381"/>
      <c r="L61" s="381"/>
      <c r="M61" s="381"/>
      <c r="N61" s="381"/>
      <c r="O61" s="381"/>
      <c r="P61" s="381"/>
      <c r="Q61" s="381"/>
      <c r="R61" s="381"/>
      <c r="S61" s="381"/>
      <c r="T61" s="381"/>
      <c r="U61" s="381"/>
      <c r="V61" s="381"/>
      <c r="W61" s="381"/>
      <c r="X61" s="381"/>
      <c r="Y61" s="381"/>
    </row>
    <row r="62">
      <c r="A62" s="359"/>
      <c r="B62" s="381"/>
      <c r="C62" s="18"/>
      <c r="D62" s="359"/>
      <c r="E62" s="607"/>
      <c r="F62" s="359"/>
      <c r="G62" s="381"/>
      <c r="H62" s="381"/>
      <c r="I62" s="381"/>
      <c r="J62" s="381"/>
      <c r="K62" s="381"/>
      <c r="L62" s="381"/>
      <c r="M62" s="381"/>
      <c r="N62" s="381"/>
      <c r="O62" s="381"/>
      <c r="P62" s="381"/>
      <c r="Q62" s="381"/>
      <c r="R62" s="381"/>
      <c r="S62" s="381"/>
      <c r="T62" s="381"/>
      <c r="U62" s="381"/>
      <c r="V62" s="381"/>
      <c r="W62" s="381"/>
      <c r="X62" s="381"/>
      <c r="Y62" s="381"/>
    </row>
    <row r="63">
      <c r="A63" s="359"/>
      <c r="B63" s="381"/>
      <c r="C63" s="18"/>
      <c r="D63" s="359"/>
      <c r="E63" s="607"/>
      <c r="F63" s="359"/>
      <c r="G63" s="381"/>
      <c r="H63" s="381"/>
      <c r="I63" s="381"/>
      <c r="J63" s="381"/>
      <c r="K63" s="381"/>
      <c r="L63" s="381"/>
      <c r="M63" s="381"/>
      <c r="N63" s="381"/>
      <c r="O63" s="381"/>
      <c r="P63" s="381"/>
      <c r="Q63" s="381"/>
      <c r="R63" s="381"/>
      <c r="S63" s="381"/>
      <c r="T63" s="381"/>
      <c r="U63" s="381"/>
      <c r="V63" s="381"/>
      <c r="W63" s="381"/>
      <c r="X63" s="381"/>
      <c r="Y63" s="381"/>
    </row>
    <row r="64">
      <c r="A64" s="359"/>
      <c r="B64" s="381"/>
      <c r="C64" s="18"/>
      <c r="D64" s="359"/>
      <c r="E64" s="607"/>
      <c r="F64" s="359"/>
      <c r="G64" s="381"/>
      <c r="H64" s="381"/>
      <c r="I64" s="381"/>
      <c r="J64" s="381"/>
      <c r="K64" s="381"/>
      <c r="L64" s="381"/>
      <c r="M64" s="381"/>
      <c r="N64" s="381"/>
      <c r="O64" s="381"/>
      <c r="P64" s="381"/>
      <c r="Q64" s="381"/>
      <c r="R64" s="381"/>
      <c r="S64" s="381"/>
      <c r="T64" s="381"/>
      <c r="U64" s="381"/>
      <c r="V64" s="381"/>
      <c r="W64" s="381"/>
      <c r="X64" s="381"/>
      <c r="Y64" s="381"/>
    </row>
    <row r="65">
      <c r="A65" s="359"/>
      <c r="B65" s="381"/>
      <c r="C65" s="18"/>
      <c r="D65" s="359"/>
      <c r="E65" s="607"/>
      <c r="F65" s="359"/>
      <c r="G65" s="381"/>
      <c r="H65" s="381"/>
      <c r="I65" s="381"/>
      <c r="J65" s="381"/>
      <c r="K65" s="381"/>
      <c r="L65" s="381"/>
      <c r="M65" s="381"/>
      <c r="N65" s="381"/>
      <c r="O65" s="381"/>
      <c r="P65" s="381"/>
      <c r="Q65" s="381"/>
      <c r="R65" s="381"/>
      <c r="S65" s="381"/>
      <c r="T65" s="381"/>
      <c r="U65" s="381"/>
      <c r="V65" s="381"/>
      <c r="W65" s="381"/>
      <c r="X65" s="381"/>
      <c r="Y65" s="381"/>
    </row>
    <row r="66">
      <c r="A66" s="359"/>
      <c r="B66" s="381"/>
      <c r="C66" s="18"/>
      <c r="D66" s="359"/>
      <c r="E66" s="607"/>
      <c r="F66" s="359"/>
      <c r="G66" s="381"/>
      <c r="H66" s="381"/>
      <c r="I66" s="381"/>
      <c r="J66" s="381"/>
      <c r="K66" s="381"/>
      <c r="L66" s="381"/>
      <c r="M66" s="381"/>
      <c r="N66" s="381"/>
      <c r="O66" s="381"/>
      <c r="P66" s="381"/>
      <c r="Q66" s="381"/>
      <c r="R66" s="381"/>
      <c r="S66" s="381"/>
      <c r="T66" s="381"/>
      <c r="U66" s="381"/>
      <c r="V66" s="381"/>
      <c r="W66" s="381"/>
      <c r="X66" s="381"/>
      <c r="Y66" s="381"/>
    </row>
    <row r="67">
      <c r="A67" s="359"/>
      <c r="B67" s="381"/>
      <c r="C67" s="18"/>
      <c r="D67" s="359"/>
      <c r="E67" s="607"/>
      <c r="F67" s="359"/>
      <c r="G67" s="381"/>
      <c r="H67" s="381"/>
      <c r="I67" s="381"/>
      <c r="J67" s="381"/>
      <c r="K67" s="381"/>
      <c r="L67" s="381"/>
      <c r="M67" s="381"/>
      <c r="N67" s="381"/>
      <c r="O67" s="381"/>
      <c r="P67" s="381"/>
      <c r="Q67" s="381"/>
      <c r="R67" s="381"/>
      <c r="S67" s="381"/>
      <c r="T67" s="381"/>
      <c r="U67" s="381"/>
      <c r="V67" s="381"/>
      <c r="W67" s="381"/>
      <c r="X67" s="381"/>
      <c r="Y67" s="381"/>
    </row>
    <row r="68">
      <c r="A68" s="359"/>
      <c r="B68" s="381"/>
      <c r="C68" s="18"/>
      <c r="D68" s="359"/>
      <c r="E68" s="607"/>
      <c r="F68" s="359"/>
      <c r="G68" s="381"/>
      <c r="H68" s="381"/>
      <c r="I68" s="381"/>
      <c r="J68" s="381"/>
      <c r="K68" s="381"/>
      <c r="L68" s="381"/>
      <c r="M68" s="381"/>
      <c r="N68" s="381"/>
      <c r="O68" s="381"/>
      <c r="P68" s="381"/>
      <c r="Q68" s="381"/>
      <c r="R68" s="381"/>
      <c r="S68" s="381"/>
      <c r="T68" s="381"/>
      <c r="U68" s="381"/>
      <c r="V68" s="381"/>
      <c r="W68" s="381"/>
      <c r="X68" s="381"/>
      <c r="Y68" s="381"/>
    </row>
    <row r="69">
      <c r="A69" s="359"/>
      <c r="B69" s="381"/>
      <c r="C69" s="18"/>
      <c r="D69" s="359"/>
      <c r="E69" s="607"/>
      <c r="F69" s="359"/>
      <c r="G69" s="381"/>
      <c r="H69" s="381"/>
      <c r="I69" s="381"/>
      <c r="J69" s="381"/>
      <c r="K69" s="381"/>
      <c r="L69" s="381"/>
      <c r="M69" s="381"/>
      <c r="N69" s="381"/>
      <c r="O69" s="381"/>
      <c r="P69" s="381"/>
      <c r="Q69" s="381"/>
      <c r="R69" s="381"/>
      <c r="S69" s="381"/>
      <c r="T69" s="381"/>
      <c r="U69" s="381"/>
      <c r="V69" s="381"/>
      <c r="W69" s="381"/>
      <c r="X69" s="381"/>
      <c r="Y69" s="381"/>
    </row>
    <row r="70">
      <c r="A70" s="359"/>
      <c r="B70" s="381"/>
      <c r="C70" s="18"/>
      <c r="D70" s="359"/>
      <c r="E70" s="607"/>
      <c r="F70" s="359"/>
      <c r="G70" s="381"/>
      <c r="H70" s="381"/>
      <c r="I70" s="381"/>
      <c r="J70" s="381"/>
      <c r="K70" s="381"/>
      <c r="L70" s="381"/>
      <c r="M70" s="381"/>
      <c r="N70" s="381"/>
      <c r="O70" s="381"/>
      <c r="P70" s="381"/>
      <c r="Q70" s="381"/>
      <c r="R70" s="381"/>
      <c r="S70" s="381"/>
      <c r="T70" s="381"/>
      <c r="U70" s="381"/>
      <c r="V70" s="381"/>
      <c r="W70" s="381"/>
      <c r="X70" s="381"/>
      <c r="Y70" s="381"/>
    </row>
    <row r="71">
      <c r="A71" s="359"/>
      <c r="B71" s="381"/>
      <c r="C71" s="18"/>
      <c r="D71" s="359"/>
      <c r="E71" s="607"/>
      <c r="F71" s="359"/>
      <c r="G71" s="381"/>
      <c r="H71" s="381"/>
      <c r="I71" s="381"/>
      <c r="J71" s="381"/>
      <c r="K71" s="381"/>
      <c r="L71" s="381"/>
      <c r="M71" s="381"/>
      <c r="N71" s="381"/>
      <c r="O71" s="381"/>
      <c r="P71" s="381"/>
      <c r="Q71" s="381"/>
      <c r="R71" s="381"/>
      <c r="S71" s="381"/>
      <c r="T71" s="381"/>
      <c r="U71" s="381"/>
      <c r="V71" s="381"/>
      <c r="W71" s="381"/>
      <c r="X71" s="381"/>
      <c r="Y71" s="381"/>
    </row>
    <row r="72">
      <c r="A72" s="359"/>
      <c r="B72" s="381"/>
      <c r="C72" s="18"/>
      <c r="D72" s="359"/>
      <c r="E72" s="607"/>
      <c r="F72" s="359"/>
      <c r="G72" s="381"/>
      <c r="H72" s="381"/>
      <c r="I72" s="381"/>
      <c r="J72" s="381"/>
      <c r="K72" s="381"/>
      <c r="L72" s="381"/>
      <c r="M72" s="381"/>
      <c r="N72" s="381"/>
      <c r="O72" s="381"/>
      <c r="P72" s="381"/>
      <c r="Q72" s="381"/>
      <c r="R72" s="381"/>
      <c r="S72" s="381"/>
      <c r="T72" s="381"/>
      <c r="U72" s="381"/>
      <c r="V72" s="381"/>
      <c r="W72" s="381"/>
      <c r="X72" s="381"/>
      <c r="Y72" s="381"/>
    </row>
    <row r="73">
      <c r="A73" s="359"/>
      <c r="B73" s="381"/>
      <c r="C73" s="18"/>
      <c r="D73" s="359"/>
      <c r="E73" s="607"/>
      <c r="F73" s="359"/>
      <c r="G73" s="381"/>
      <c r="H73" s="381"/>
      <c r="I73" s="381"/>
      <c r="J73" s="381"/>
      <c r="K73" s="381"/>
      <c r="L73" s="381"/>
      <c r="M73" s="381"/>
      <c r="N73" s="381"/>
      <c r="O73" s="381"/>
      <c r="P73" s="381"/>
      <c r="Q73" s="381"/>
      <c r="R73" s="381"/>
      <c r="S73" s="381"/>
      <c r="T73" s="381"/>
      <c r="U73" s="381"/>
      <c r="V73" s="381"/>
      <c r="W73" s="381"/>
      <c r="X73" s="381"/>
      <c r="Y73" s="381"/>
    </row>
    <row r="74">
      <c r="A74" s="359"/>
      <c r="B74" s="381"/>
      <c r="C74" s="18"/>
      <c r="D74" s="359"/>
      <c r="E74" s="607"/>
      <c r="F74" s="359"/>
      <c r="G74" s="381"/>
      <c r="H74" s="381"/>
      <c r="I74" s="381"/>
      <c r="J74" s="381"/>
      <c r="K74" s="381"/>
      <c r="L74" s="381"/>
      <c r="M74" s="381"/>
      <c r="N74" s="381"/>
      <c r="O74" s="381"/>
      <c r="P74" s="381"/>
      <c r="Q74" s="381"/>
      <c r="R74" s="381"/>
      <c r="S74" s="381"/>
      <c r="T74" s="381"/>
      <c r="U74" s="381"/>
      <c r="V74" s="381"/>
      <c r="W74" s="381"/>
      <c r="X74" s="381"/>
      <c r="Y74" s="381"/>
    </row>
    <row r="75">
      <c r="A75" s="359"/>
      <c r="B75" s="381"/>
      <c r="C75" s="18"/>
      <c r="D75" s="359"/>
      <c r="E75" s="607"/>
      <c r="F75" s="359"/>
      <c r="G75" s="381"/>
      <c r="H75" s="381"/>
      <c r="I75" s="381"/>
      <c r="J75" s="381"/>
      <c r="K75" s="381"/>
      <c r="L75" s="381"/>
      <c r="M75" s="381"/>
      <c r="N75" s="381"/>
      <c r="O75" s="381"/>
      <c r="P75" s="381"/>
      <c r="Q75" s="381"/>
      <c r="R75" s="381"/>
      <c r="S75" s="381"/>
      <c r="T75" s="381"/>
      <c r="U75" s="381"/>
      <c r="V75" s="381"/>
      <c r="W75" s="381"/>
      <c r="X75" s="381"/>
      <c r="Y75" s="381"/>
    </row>
    <row r="76">
      <c r="A76" s="359"/>
      <c r="B76" s="381"/>
      <c r="C76" s="18"/>
      <c r="D76" s="359"/>
      <c r="E76" s="607"/>
      <c r="F76" s="359"/>
      <c r="G76" s="381"/>
      <c r="H76" s="381"/>
      <c r="I76" s="381"/>
      <c r="J76" s="381"/>
      <c r="K76" s="381"/>
      <c r="L76" s="381"/>
      <c r="M76" s="381"/>
      <c r="N76" s="381"/>
      <c r="O76" s="381"/>
      <c r="P76" s="381"/>
      <c r="Q76" s="381"/>
      <c r="R76" s="381"/>
      <c r="S76" s="381"/>
      <c r="T76" s="381"/>
      <c r="U76" s="381"/>
      <c r="V76" s="381"/>
      <c r="W76" s="381"/>
      <c r="X76" s="381"/>
      <c r="Y76" s="381"/>
    </row>
    <row r="77">
      <c r="A77" s="359"/>
      <c r="B77" s="381"/>
      <c r="C77" s="18"/>
      <c r="D77" s="359"/>
      <c r="E77" s="607"/>
      <c r="F77" s="359"/>
      <c r="G77" s="381"/>
      <c r="H77" s="381"/>
      <c r="I77" s="381"/>
      <c r="J77" s="381"/>
      <c r="K77" s="381"/>
      <c r="L77" s="381"/>
      <c r="M77" s="381"/>
      <c r="N77" s="381"/>
      <c r="O77" s="381"/>
      <c r="P77" s="381"/>
      <c r="Q77" s="381"/>
      <c r="R77" s="381"/>
      <c r="S77" s="381"/>
      <c r="T77" s="381"/>
      <c r="U77" s="381"/>
      <c r="V77" s="381"/>
      <c r="W77" s="381"/>
      <c r="X77" s="381"/>
      <c r="Y77" s="381"/>
    </row>
    <row r="78">
      <c r="A78" s="359"/>
      <c r="B78" s="381"/>
      <c r="C78" s="18"/>
      <c r="D78" s="359"/>
      <c r="E78" s="607"/>
      <c r="F78" s="359"/>
      <c r="G78" s="381"/>
      <c r="H78" s="381"/>
      <c r="I78" s="381"/>
      <c r="J78" s="381"/>
      <c r="K78" s="381"/>
      <c r="L78" s="381"/>
      <c r="M78" s="381"/>
      <c r="N78" s="381"/>
      <c r="O78" s="381"/>
      <c r="P78" s="381"/>
      <c r="Q78" s="381"/>
      <c r="R78" s="381"/>
      <c r="S78" s="381"/>
      <c r="T78" s="381"/>
      <c r="U78" s="381"/>
      <c r="V78" s="381"/>
      <c r="W78" s="381"/>
      <c r="X78" s="381"/>
      <c r="Y78" s="381"/>
    </row>
    <row r="79">
      <c r="A79" s="359"/>
      <c r="B79" s="381"/>
      <c r="C79" s="18"/>
      <c r="D79" s="359"/>
      <c r="E79" s="607"/>
      <c r="F79" s="359"/>
      <c r="G79" s="381"/>
      <c r="H79" s="381"/>
      <c r="I79" s="381"/>
      <c r="J79" s="381"/>
      <c r="K79" s="381"/>
      <c r="L79" s="381"/>
      <c r="M79" s="381"/>
      <c r="N79" s="381"/>
      <c r="O79" s="381"/>
      <c r="P79" s="381"/>
      <c r="Q79" s="381"/>
      <c r="R79" s="381"/>
      <c r="S79" s="381"/>
      <c r="T79" s="381"/>
      <c r="U79" s="381"/>
      <c r="V79" s="381"/>
      <c r="W79" s="381"/>
      <c r="X79" s="381"/>
      <c r="Y79" s="381"/>
    </row>
    <row r="80">
      <c r="A80" s="359"/>
      <c r="B80" s="381"/>
      <c r="C80" s="18"/>
      <c r="D80" s="359"/>
      <c r="E80" s="607"/>
      <c r="F80" s="359"/>
      <c r="G80" s="381"/>
      <c r="H80" s="381"/>
      <c r="I80" s="381"/>
      <c r="J80" s="381"/>
      <c r="K80" s="381"/>
      <c r="L80" s="381"/>
      <c r="M80" s="381"/>
      <c r="N80" s="381"/>
      <c r="O80" s="381"/>
      <c r="P80" s="381"/>
      <c r="Q80" s="381"/>
      <c r="R80" s="381"/>
      <c r="S80" s="381"/>
      <c r="T80" s="381"/>
      <c r="U80" s="381"/>
      <c r="V80" s="381"/>
      <c r="W80" s="381"/>
      <c r="X80" s="381"/>
      <c r="Y80" s="381"/>
    </row>
    <row r="81">
      <c r="A81" s="359"/>
      <c r="B81" s="381"/>
      <c r="C81" s="18"/>
      <c r="D81" s="359"/>
      <c r="E81" s="607"/>
      <c r="F81" s="359"/>
      <c r="G81" s="381"/>
      <c r="H81" s="381"/>
      <c r="I81" s="381"/>
      <c r="J81" s="381"/>
      <c r="K81" s="381"/>
      <c r="L81" s="381"/>
      <c r="M81" s="381"/>
      <c r="N81" s="381"/>
      <c r="O81" s="381"/>
      <c r="P81" s="381"/>
      <c r="Q81" s="381"/>
      <c r="R81" s="381"/>
      <c r="S81" s="381"/>
      <c r="T81" s="381"/>
      <c r="U81" s="381"/>
      <c r="V81" s="381"/>
      <c r="W81" s="381"/>
      <c r="X81" s="381"/>
      <c r="Y81" s="381"/>
    </row>
    <row r="82">
      <c r="A82" s="359"/>
      <c r="B82" s="381"/>
      <c r="C82" s="18"/>
      <c r="D82" s="359"/>
      <c r="E82" s="607"/>
      <c r="F82" s="359"/>
      <c r="G82" s="381"/>
      <c r="H82" s="381"/>
      <c r="I82" s="381"/>
      <c r="J82" s="381"/>
      <c r="K82" s="381"/>
      <c r="L82" s="381"/>
      <c r="M82" s="381"/>
      <c r="N82" s="381"/>
      <c r="O82" s="381"/>
      <c r="P82" s="381"/>
      <c r="Q82" s="381"/>
      <c r="R82" s="381"/>
      <c r="S82" s="381"/>
      <c r="T82" s="381"/>
      <c r="U82" s="381"/>
      <c r="V82" s="381"/>
      <c r="W82" s="381"/>
      <c r="X82" s="381"/>
      <c r="Y82" s="381"/>
    </row>
    <row r="83">
      <c r="A83" s="359"/>
      <c r="B83" s="381"/>
      <c r="C83" s="18"/>
      <c r="D83" s="359"/>
      <c r="E83" s="607"/>
      <c r="F83" s="359"/>
      <c r="G83" s="381"/>
      <c r="H83" s="381"/>
      <c r="I83" s="381"/>
      <c r="J83" s="381"/>
      <c r="K83" s="381"/>
      <c r="L83" s="381"/>
      <c r="M83" s="381"/>
      <c r="N83" s="381"/>
      <c r="O83" s="381"/>
      <c r="P83" s="381"/>
      <c r="Q83" s="381"/>
      <c r="R83" s="381"/>
      <c r="S83" s="381"/>
      <c r="T83" s="381"/>
      <c r="U83" s="381"/>
      <c r="V83" s="381"/>
      <c r="W83" s="381"/>
      <c r="X83" s="381"/>
      <c r="Y83" s="381"/>
    </row>
    <row r="84">
      <c r="A84" s="359"/>
      <c r="B84" s="381"/>
      <c r="C84" s="18"/>
      <c r="D84" s="359"/>
      <c r="E84" s="607"/>
      <c r="F84" s="359"/>
      <c r="G84" s="381"/>
      <c r="H84" s="381"/>
      <c r="I84" s="381"/>
      <c r="J84" s="381"/>
      <c r="K84" s="381"/>
      <c r="L84" s="381"/>
      <c r="M84" s="381"/>
      <c r="N84" s="381"/>
      <c r="O84" s="381"/>
      <c r="P84" s="381"/>
      <c r="Q84" s="381"/>
      <c r="R84" s="381"/>
      <c r="S84" s="381"/>
      <c r="T84" s="381"/>
      <c r="U84" s="381"/>
      <c r="V84" s="381"/>
      <c r="W84" s="381"/>
      <c r="X84" s="381"/>
      <c r="Y84" s="381"/>
    </row>
    <row r="85">
      <c r="A85" s="359"/>
      <c r="B85" s="381"/>
      <c r="C85" s="18"/>
      <c r="D85" s="359"/>
      <c r="E85" s="607"/>
      <c r="F85" s="359"/>
      <c r="G85" s="381"/>
      <c r="H85" s="381"/>
      <c r="I85" s="381"/>
      <c r="J85" s="381"/>
      <c r="K85" s="381"/>
      <c r="L85" s="381"/>
      <c r="M85" s="381"/>
      <c r="N85" s="381"/>
      <c r="O85" s="381"/>
      <c r="P85" s="381"/>
      <c r="Q85" s="381"/>
      <c r="R85" s="381"/>
      <c r="S85" s="381"/>
      <c r="T85" s="381"/>
      <c r="U85" s="381"/>
      <c r="V85" s="381"/>
      <c r="W85" s="381"/>
      <c r="X85" s="381"/>
      <c r="Y85" s="381"/>
    </row>
    <row r="86">
      <c r="A86" s="359"/>
      <c r="B86" s="381"/>
      <c r="C86" s="18"/>
      <c r="D86" s="359"/>
      <c r="E86" s="607"/>
      <c r="F86" s="359"/>
      <c r="G86" s="381"/>
      <c r="H86" s="381"/>
      <c r="I86" s="381"/>
      <c r="J86" s="381"/>
      <c r="K86" s="381"/>
      <c r="L86" s="381"/>
      <c r="M86" s="381"/>
      <c r="N86" s="381"/>
      <c r="O86" s="381"/>
      <c r="P86" s="381"/>
      <c r="Q86" s="381"/>
      <c r="R86" s="381"/>
      <c r="S86" s="381"/>
      <c r="T86" s="381"/>
      <c r="U86" s="381"/>
      <c r="V86" s="381"/>
      <c r="W86" s="381"/>
      <c r="X86" s="381"/>
      <c r="Y86" s="381"/>
    </row>
    <row r="87">
      <c r="A87" s="359"/>
      <c r="B87" s="381"/>
      <c r="C87" s="18"/>
      <c r="D87" s="359"/>
      <c r="E87" s="607"/>
      <c r="F87" s="359"/>
      <c r="G87" s="381"/>
      <c r="H87" s="381"/>
      <c r="I87" s="381"/>
      <c r="J87" s="381"/>
      <c r="K87" s="381"/>
      <c r="L87" s="381"/>
      <c r="M87" s="381"/>
      <c r="N87" s="381"/>
      <c r="O87" s="381"/>
      <c r="P87" s="381"/>
      <c r="Q87" s="381"/>
      <c r="R87" s="381"/>
      <c r="S87" s="381"/>
      <c r="T87" s="381"/>
      <c r="U87" s="381"/>
      <c r="V87" s="381"/>
      <c r="W87" s="381"/>
      <c r="X87" s="381"/>
      <c r="Y87" s="381"/>
    </row>
    <row r="88">
      <c r="A88" s="359"/>
      <c r="B88" s="381"/>
      <c r="C88" s="18"/>
      <c r="D88" s="359"/>
      <c r="E88" s="607"/>
      <c r="F88" s="359"/>
      <c r="G88" s="381"/>
      <c r="H88" s="381"/>
      <c r="I88" s="381"/>
      <c r="J88" s="381"/>
      <c r="K88" s="381"/>
      <c r="L88" s="381"/>
      <c r="M88" s="381"/>
      <c r="N88" s="381"/>
      <c r="O88" s="381"/>
      <c r="P88" s="381"/>
      <c r="Q88" s="381"/>
      <c r="R88" s="381"/>
      <c r="S88" s="381"/>
      <c r="T88" s="381"/>
      <c r="U88" s="381"/>
      <c r="V88" s="381"/>
      <c r="W88" s="381"/>
      <c r="X88" s="381"/>
      <c r="Y88" s="381"/>
    </row>
    <row r="89">
      <c r="A89" s="359"/>
      <c r="B89" s="381"/>
      <c r="C89" s="18"/>
      <c r="D89" s="359"/>
      <c r="E89" s="607"/>
      <c r="F89" s="359"/>
      <c r="G89" s="381"/>
      <c r="H89" s="381"/>
      <c r="I89" s="381"/>
      <c r="J89" s="381"/>
      <c r="K89" s="381"/>
      <c r="L89" s="381"/>
      <c r="M89" s="381"/>
      <c r="N89" s="381"/>
      <c r="O89" s="381"/>
      <c r="P89" s="381"/>
      <c r="Q89" s="381"/>
      <c r="R89" s="381"/>
      <c r="S89" s="381"/>
      <c r="T89" s="381"/>
      <c r="U89" s="381"/>
      <c r="V89" s="381"/>
      <c r="W89" s="381"/>
      <c r="X89" s="381"/>
      <c r="Y89" s="381"/>
    </row>
    <row r="90">
      <c r="A90" s="359"/>
      <c r="B90" s="381"/>
      <c r="C90" s="18"/>
      <c r="D90" s="359"/>
      <c r="E90" s="607"/>
      <c r="F90" s="359"/>
      <c r="G90" s="381"/>
      <c r="H90" s="381"/>
      <c r="I90" s="381"/>
      <c r="J90" s="381"/>
      <c r="K90" s="381"/>
      <c r="L90" s="381"/>
      <c r="M90" s="381"/>
      <c r="N90" s="381"/>
      <c r="O90" s="381"/>
      <c r="P90" s="381"/>
      <c r="Q90" s="381"/>
      <c r="R90" s="381"/>
      <c r="S90" s="381"/>
      <c r="T90" s="381"/>
      <c r="U90" s="381"/>
      <c r="V90" s="381"/>
      <c r="W90" s="381"/>
      <c r="X90" s="381"/>
      <c r="Y90" s="381"/>
    </row>
    <row r="91">
      <c r="A91" s="359"/>
      <c r="B91" s="381"/>
      <c r="C91" s="18"/>
      <c r="D91" s="359"/>
      <c r="E91" s="607"/>
      <c r="F91" s="359"/>
      <c r="G91" s="381"/>
      <c r="H91" s="381"/>
      <c r="I91" s="381"/>
      <c r="J91" s="381"/>
      <c r="K91" s="381"/>
      <c r="L91" s="381"/>
      <c r="M91" s="381"/>
      <c r="N91" s="381"/>
      <c r="O91" s="381"/>
      <c r="P91" s="381"/>
      <c r="Q91" s="381"/>
      <c r="R91" s="381"/>
      <c r="S91" s="381"/>
      <c r="T91" s="381"/>
      <c r="U91" s="381"/>
      <c r="V91" s="381"/>
      <c r="W91" s="381"/>
      <c r="X91" s="381"/>
      <c r="Y91" s="381"/>
    </row>
    <row r="92">
      <c r="A92" s="359"/>
      <c r="B92" s="381"/>
      <c r="C92" s="18"/>
      <c r="D92" s="359"/>
      <c r="E92" s="607"/>
      <c r="F92" s="359"/>
      <c r="G92" s="381"/>
      <c r="H92" s="381"/>
      <c r="I92" s="381"/>
      <c r="J92" s="381"/>
      <c r="K92" s="381"/>
      <c r="L92" s="381"/>
      <c r="M92" s="381"/>
      <c r="N92" s="381"/>
      <c r="O92" s="381"/>
      <c r="P92" s="381"/>
      <c r="Q92" s="381"/>
      <c r="R92" s="381"/>
      <c r="S92" s="381"/>
      <c r="T92" s="381"/>
      <c r="U92" s="381"/>
      <c r="V92" s="381"/>
      <c r="W92" s="381"/>
      <c r="X92" s="381"/>
      <c r="Y92" s="381"/>
    </row>
    <row r="93">
      <c r="A93" s="359"/>
      <c r="B93" s="381"/>
      <c r="C93" s="18"/>
      <c r="D93" s="359"/>
      <c r="E93" s="607"/>
      <c r="F93" s="359"/>
      <c r="G93" s="381"/>
      <c r="H93" s="381"/>
      <c r="I93" s="381"/>
      <c r="J93" s="381"/>
      <c r="K93" s="381"/>
      <c r="L93" s="381"/>
      <c r="M93" s="381"/>
      <c r="N93" s="381"/>
      <c r="O93" s="381"/>
      <c r="P93" s="381"/>
      <c r="Q93" s="381"/>
      <c r="R93" s="381"/>
      <c r="S93" s="381"/>
      <c r="T93" s="381"/>
      <c r="U93" s="381"/>
      <c r="V93" s="381"/>
      <c r="W93" s="381"/>
      <c r="X93" s="381"/>
      <c r="Y93" s="381"/>
    </row>
    <row r="94">
      <c r="A94" s="359"/>
      <c r="B94" s="381"/>
      <c r="C94" s="18"/>
      <c r="D94" s="359"/>
      <c r="E94" s="607"/>
      <c r="F94" s="359"/>
      <c r="G94" s="381"/>
      <c r="H94" s="381"/>
      <c r="I94" s="381"/>
      <c r="J94" s="381"/>
      <c r="K94" s="381"/>
      <c r="L94" s="381"/>
      <c r="M94" s="381"/>
      <c r="N94" s="381"/>
      <c r="O94" s="381"/>
      <c r="P94" s="381"/>
      <c r="Q94" s="381"/>
      <c r="R94" s="381"/>
      <c r="S94" s="381"/>
      <c r="T94" s="381"/>
      <c r="U94" s="381"/>
      <c r="V94" s="381"/>
      <c r="W94" s="381"/>
      <c r="X94" s="381"/>
      <c r="Y94" s="381"/>
    </row>
    <row r="95">
      <c r="A95" s="359"/>
      <c r="B95" s="381"/>
      <c r="C95" s="18"/>
      <c r="D95" s="359"/>
      <c r="E95" s="607"/>
      <c r="F95" s="359"/>
      <c r="G95" s="381"/>
      <c r="H95" s="381"/>
      <c r="I95" s="381"/>
      <c r="J95" s="381"/>
      <c r="K95" s="381"/>
      <c r="L95" s="381"/>
      <c r="M95" s="381"/>
      <c r="N95" s="381"/>
      <c r="O95" s="381"/>
      <c r="P95" s="381"/>
      <c r="Q95" s="381"/>
      <c r="R95" s="381"/>
      <c r="S95" s="381"/>
      <c r="T95" s="381"/>
      <c r="U95" s="381"/>
      <c r="V95" s="381"/>
      <c r="W95" s="381"/>
      <c r="X95" s="381"/>
      <c r="Y95" s="381"/>
    </row>
    <row r="96">
      <c r="A96" s="359"/>
      <c r="B96" s="381"/>
      <c r="C96" s="18"/>
      <c r="D96" s="359"/>
      <c r="E96" s="607"/>
      <c r="F96" s="359"/>
      <c r="G96" s="381"/>
      <c r="H96" s="381"/>
      <c r="I96" s="381"/>
      <c r="J96" s="381"/>
      <c r="K96" s="381"/>
      <c r="L96" s="381"/>
      <c r="M96" s="381"/>
      <c r="N96" s="381"/>
      <c r="O96" s="381"/>
      <c r="P96" s="381"/>
      <c r="Q96" s="381"/>
      <c r="R96" s="381"/>
      <c r="S96" s="381"/>
      <c r="T96" s="381"/>
      <c r="U96" s="381"/>
      <c r="V96" s="381"/>
      <c r="W96" s="381"/>
      <c r="X96" s="381"/>
      <c r="Y96" s="381"/>
    </row>
    <row r="97">
      <c r="A97" s="359"/>
      <c r="B97" s="381"/>
      <c r="C97" s="18"/>
      <c r="D97" s="359"/>
      <c r="E97" s="607"/>
      <c r="F97" s="359"/>
      <c r="G97" s="381"/>
      <c r="H97" s="381"/>
      <c r="I97" s="381"/>
      <c r="J97" s="381"/>
      <c r="K97" s="381"/>
      <c r="L97" s="381"/>
      <c r="M97" s="381"/>
      <c r="N97" s="381"/>
      <c r="O97" s="381"/>
      <c r="P97" s="381"/>
      <c r="Q97" s="381"/>
      <c r="R97" s="381"/>
      <c r="S97" s="381"/>
      <c r="T97" s="381"/>
      <c r="U97" s="381"/>
      <c r="V97" s="381"/>
      <c r="W97" s="381"/>
      <c r="X97" s="381"/>
      <c r="Y97" s="381"/>
    </row>
    <row r="98">
      <c r="A98" s="359"/>
      <c r="B98" s="381"/>
      <c r="C98" s="18"/>
      <c r="D98" s="359"/>
      <c r="E98" s="607"/>
      <c r="F98" s="359"/>
      <c r="G98" s="381"/>
      <c r="H98" s="381"/>
      <c r="I98" s="381"/>
      <c r="J98" s="381"/>
      <c r="K98" s="381"/>
      <c r="L98" s="381"/>
      <c r="M98" s="381"/>
      <c r="N98" s="381"/>
      <c r="O98" s="381"/>
      <c r="P98" s="381"/>
      <c r="Q98" s="381"/>
      <c r="R98" s="381"/>
      <c r="S98" s="381"/>
      <c r="T98" s="381"/>
      <c r="U98" s="381"/>
      <c r="V98" s="381"/>
      <c r="W98" s="381"/>
      <c r="X98" s="381"/>
      <c r="Y98" s="381"/>
    </row>
    <row r="99">
      <c r="A99" s="359"/>
      <c r="B99" s="381"/>
      <c r="C99" s="18"/>
      <c r="D99" s="359"/>
      <c r="E99" s="607"/>
      <c r="F99" s="359"/>
      <c r="G99" s="381"/>
      <c r="H99" s="381"/>
      <c r="I99" s="381"/>
      <c r="J99" s="381"/>
      <c r="K99" s="381"/>
      <c r="L99" s="381"/>
      <c r="M99" s="381"/>
      <c r="N99" s="381"/>
      <c r="O99" s="381"/>
      <c r="P99" s="381"/>
      <c r="Q99" s="381"/>
      <c r="R99" s="381"/>
      <c r="S99" s="381"/>
      <c r="T99" s="381"/>
      <c r="U99" s="381"/>
      <c r="V99" s="381"/>
      <c r="W99" s="381"/>
      <c r="X99" s="381"/>
      <c r="Y99" s="381"/>
    </row>
    <row r="100">
      <c r="A100" s="359"/>
      <c r="B100" s="381"/>
      <c r="C100" s="18"/>
      <c r="D100" s="359"/>
      <c r="E100" s="607"/>
      <c r="F100" s="359"/>
      <c r="G100" s="381"/>
      <c r="H100" s="381"/>
      <c r="I100" s="381"/>
      <c r="J100" s="381"/>
      <c r="K100" s="381"/>
      <c r="L100" s="381"/>
      <c r="M100" s="381"/>
      <c r="N100" s="381"/>
      <c r="O100" s="381"/>
      <c r="P100" s="381"/>
      <c r="Q100" s="381"/>
      <c r="R100" s="381"/>
      <c r="S100" s="381"/>
      <c r="T100" s="381"/>
      <c r="U100" s="381"/>
      <c r="V100" s="381"/>
      <c r="W100" s="381"/>
      <c r="X100" s="381"/>
      <c r="Y100" s="381"/>
    </row>
    <row r="101">
      <c r="A101" s="359"/>
      <c r="B101" s="381"/>
      <c r="C101" s="18"/>
      <c r="D101" s="359"/>
      <c r="E101" s="607"/>
      <c r="F101" s="359"/>
      <c r="G101" s="381"/>
      <c r="H101" s="381"/>
      <c r="I101" s="381"/>
      <c r="J101" s="381"/>
      <c r="K101" s="381"/>
      <c r="L101" s="381"/>
      <c r="M101" s="381"/>
      <c r="N101" s="381"/>
      <c r="O101" s="381"/>
      <c r="P101" s="381"/>
      <c r="Q101" s="381"/>
      <c r="R101" s="381"/>
      <c r="S101" s="381"/>
      <c r="T101" s="381"/>
      <c r="U101" s="381"/>
      <c r="V101" s="381"/>
      <c r="W101" s="381"/>
      <c r="X101" s="381"/>
      <c r="Y101" s="381"/>
    </row>
    <row r="102">
      <c r="A102" s="359"/>
      <c r="B102" s="381"/>
      <c r="C102" s="18"/>
      <c r="D102" s="359"/>
      <c r="E102" s="607"/>
      <c r="F102" s="359"/>
      <c r="G102" s="381"/>
      <c r="H102" s="381"/>
      <c r="I102" s="381"/>
      <c r="J102" s="381"/>
      <c r="K102" s="381"/>
      <c r="L102" s="381"/>
      <c r="M102" s="381"/>
      <c r="N102" s="381"/>
      <c r="O102" s="381"/>
      <c r="P102" s="381"/>
      <c r="Q102" s="381"/>
      <c r="R102" s="381"/>
      <c r="S102" s="381"/>
      <c r="T102" s="381"/>
      <c r="U102" s="381"/>
      <c r="V102" s="381"/>
      <c r="W102" s="381"/>
      <c r="X102" s="381"/>
      <c r="Y102" s="381"/>
    </row>
    <row r="103">
      <c r="A103" s="359"/>
      <c r="B103" s="381"/>
      <c r="C103" s="18"/>
      <c r="D103" s="359"/>
      <c r="E103" s="607"/>
      <c r="F103" s="359"/>
      <c r="G103" s="381"/>
      <c r="H103" s="381"/>
      <c r="I103" s="381"/>
      <c r="J103" s="381"/>
      <c r="K103" s="381"/>
      <c r="L103" s="381"/>
      <c r="M103" s="381"/>
      <c r="N103" s="381"/>
      <c r="O103" s="381"/>
      <c r="P103" s="381"/>
      <c r="Q103" s="381"/>
      <c r="R103" s="381"/>
      <c r="S103" s="381"/>
      <c r="T103" s="381"/>
      <c r="U103" s="381"/>
      <c r="V103" s="381"/>
      <c r="W103" s="381"/>
      <c r="X103" s="381"/>
      <c r="Y103" s="381"/>
    </row>
    <row r="104">
      <c r="A104" s="359"/>
      <c r="B104" s="381"/>
      <c r="C104" s="18"/>
      <c r="D104" s="359"/>
      <c r="E104" s="607"/>
      <c r="F104" s="359"/>
      <c r="G104" s="381"/>
      <c r="H104" s="381"/>
      <c r="I104" s="381"/>
      <c r="J104" s="381"/>
      <c r="K104" s="381"/>
      <c r="L104" s="381"/>
      <c r="M104" s="381"/>
      <c r="N104" s="381"/>
      <c r="O104" s="381"/>
      <c r="P104" s="381"/>
      <c r="Q104" s="381"/>
      <c r="R104" s="381"/>
      <c r="S104" s="381"/>
      <c r="T104" s="381"/>
      <c r="U104" s="381"/>
      <c r="V104" s="381"/>
      <c r="W104" s="381"/>
      <c r="X104" s="381"/>
      <c r="Y104" s="381"/>
    </row>
    <row r="105">
      <c r="A105" s="359"/>
      <c r="B105" s="381"/>
      <c r="C105" s="18"/>
      <c r="D105" s="359"/>
      <c r="E105" s="607"/>
      <c r="F105" s="359"/>
      <c r="G105" s="381"/>
      <c r="H105" s="381"/>
      <c r="I105" s="381"/>
      <c r="J105" s="381"/>
      <c r="K105" s="381"/>
      <c r="L105" s="381"/>
      <c r="M105" s="381"/>
      <c r="N105" s="381"/>
      <c r="O105" s="381"/>
      <c r="P105" s="381"/>
      <c r="Q105" s="381"/>
      <c r="R105" s="381"/>
      <c r="S105" s="381"/>
      <c r="T105" s="381"/>
      <c r="U105" s="381"/>
      <c r="V105" s="381"/>
      <c r="W105" s="381"/>
      <c r="X105" s="381"/>
      <c r="Y105" s="381"/>
    </row>
    <row r="106">
      <c r="A106" s="359"/>
      <c r="B106" s="381"/>
      <c r="C106" s="18"/>
      <c r="D106" s="359"/>
      <c r="E106" s="607"/>
      <c r="F106" s="359"/>
      <c r="G106" s="381"/>
      <c r="H106" s="381"/>
      <c r="I106" s="381"/>
      <c r="J106" s="381"/>
      <c r="K106" s="381"/>
      <c r="L106" s="381"/>
      <c r="M106" s="381"/>
      <c r="N106" s="381"/>
      <c r="O106" s="381"/>
      <c r="P106" s="381"/>
      <c r="Q106" s="381"/>
      <c r="R106" s="381"/>
      <c r="S106" s="381"/>
      <c r="T106" s="381"/>
      <c r="U106" s="381"/>
      <c r="V106" s="381"/>
      <c r="W106" s="381"/>
      <c r="X106" s="381"/>
      <c r="Y106" s="381"/>
    </row>
    <row r="107">
      <c r="A107" s="359"/>
      <c r="B107" s="381"/>
      <c r="C107" s="18"/>
      <c r="D107" s="359"/>
      <c r="E107" s="607"/>
      <c r="F107" s="359"/>
      <c r="G107" s="381"/>
      <c r="H107" s="381"/>
      <c r="I107" s="381"/>
      <c r="J107" s="381"/>
      <c r="K107" s="381"/>
      <c r="L107" s="381"/>
      <c r="M107" s="381"/>
      <c r="N107" s="381"/>
      <c r="O107" s="381"/>
      <c r="P107" s="381"/>
      <c r="Q107" s="381"/>
      <c r="R107" s="381"/>
      <c r="S107" s="381"/>
      <c r="T107" s="381"/>
      <c r="U107" s="381"/>
      <c r="V107" s="381"/>
      <c r="W107" s="381"/>
      <c r="X107" s="381"/>
      <c r="Y107" s="381"/>
    </row>
    <row r="108">
      <c r="A108" s="359"/>
      <c r="B108" s="381"/>
      <c r="C108" s="18"/>
      <c r="D108" s="359"/>
      <c r="E108" s="607"/>
      <c r="F108" s="359"/>
      <c r="G108" s="381"/>
      <c r="H108" s="381"/>
      <c r="I108" s="381"/>
      <c r="J108" s="381"/>
      <c r="K108" s="381"/>
      <c r="L108" s="381"/>
      <c r="M108" s="381"/>
      <c r="N108" s="381"/>
      <c r="O108" s="381"/>
      <c r="P108" s="381"/>
      <c r="Q108" s="381"/>
      <c r="R108" s="381"/>
      <c r="S108" s="381"/>
      <c r="T108" s="381"/>
      <c r="U108" s="381"/>
      <c r="V108" s="381"/>
      <c r="W108" s="381"/>
      <c r="X108" s="381"/>
      <c r="Y108" s="381"/>
    </row>
    <row r="109">
      <c r="A109" s="359"/>
      <c r="B109" s="381"/>
      <c r="C109" s="18"/>
      <c r="D109" s="359"/>
      <c r="E109" s="607"/>
      <c r="F109" s="359"/>
      <c r="G109" s="381"/>
      <c r="H109" s="381"/>
      <c r="I109" s="381"/>
      <c r="J109" s="381"/>
      <c r="K109" s="381"/>
      <c r="L109" s="381"/>
      <c r="M109" s="381"/>
      <c r="N109" s="381"/>
      <c r="O109" s="381"/>
      <c r="P109" s="381"/>
      <c r="Q109" s="381"/>
      <c r="R109" s="381"/>
      <c r="S109" s="381"/>
      <c r="T109" s="381"/>
      <c r="U109" s="381"/>
      <c r="V109" s="381"/>
      <c r="W109" s="381"/>
      <c r="X109" s="381"/>
      <c r="Y109" s="381"/>
    </row>
    <row r="110">
      <c r="A110" s="359"/>
      <c r="B110" s="381"/>
      <c r="C110" s="18"/>
      <c r="D110" s="359"/>
      <c r="E110" s="607"/>
      <c r="F110" s="359"/>
      <c r="G110" s="381"/>
      <c r="H110" s="381"/>
      <c r="I110" s="381"/>
      <c r="J110" s="381"/>
      <c r="K110" s="381"/>
      <c r="L110" s="381"/>
      <c r="M110" s="381"/>
      <c r="N110" s="381"/>
      <c r="O110" s="381"/>
      <c r="P110" s="381"/>
      <c r="Q110" s="381"/>
      <c r="R110" s="381"/>
      <c r="S110" s="381"/>
      <c r="T110" s="381"/>
      <c r="U110" s="381"/>
      <c r="V110" s="381"/>
      <c r="W110" s="381"/>
      <c r="X110" s="381"/>
      <c r="Y110" s="381"/>
    </row>
    <row r="111">
      <c r="A111" s="359"/>
      <c r="B111" s="381"/>
      <c r="C111" s="18"/>
      <c r="D111" s="359"/>
      <c r="E111" s="607"/>
      <c r="F111" s="359"/>
      <c r="G111" s="381"/>
      <c r="H111" s="381"/>
      <c r="I111" s="381"/>
      <c r="J111" s="381"/>
      <c r="K111" s="381"/>
      <c r="L111" s="381"/>
      <c r="M111" s="381"/>
      <c r="N111" s="381"/>
      <c r="O111" s="381"/>
      <c r="P111" s="381"/>
      <c r="Q111" s="381"/>
      <c r="R111" s="381"/>
      <c r="S111" s="381"/>
      <c r="T111" s="381"/>
      <c r="U111" s="381"/>
      <c r="V111" s="381"/>
      <c r="W111" s="381"/>
      <c r="X111" s="381"/>
      <c r="Y111" s="381"/>
    </row>
    <row r="112">
      <c r="A112" s="359"/>
      <c r="B112" s="381"/>
      <c r="C112" s="18"/>
      <c r="D112" s="359"/>
      <c r="E112" s="607"/>
      <c r="F112" s="359"/>
      <c r="G112" s="381"/>
      <c r="H112" s="381"/>
      <c r="I112" s="381"/>
      <c r="J112" s="381"/>
      <c r="K112" s="381"/>
      <c r="L112" s="381"/>
      <c r="M112" s="381"/>
      <c r="N112" s="381"/>
      <c r="O112" s="381"/>
      <c r="P112" s="381"/>
      <c r="Q112" s="381"/>
      <c r="R112" s="381"/>
      <c r="S112" s="381"/>
      <c r="T112" s="381"/>
      <c r="U112" s="381"/>
      <c r="V112" s="381"/>
      <c r="W112" s="381"/>
      <c r="X112" s="381"/>
      <c r="Y112" s="381"/>
    </row>
    <row r="113">
      <c r="A113" s="359"/>
      <c r="B113" s="381"/>
      <c r="C113" s="18"/>
      <c r="D113" s="359"/>
      <c r="E113" s="607"/>
      <c r="F113" s="359"/>
      <c r="G113" s="381"/>
      <c r="H113" s="381"/>
      <c r="I113" s="381"/>
      <c r="J113" s="381"/>
      <c r="K113" s="381"/>
      <c r="L113" s="381"/>
      <c r="M113" s="381"/>
      <c r="N113" s="381"/>
      <c r="O113" s="381"/>
      <c r="P113" s="381"/>
      <c r="Q113" s="381"/>
      <c r="R113" s="381"/>
      <c r="S113" s="381"/>
      <c r="T113" s="381"/>
      <c r="U113" s="381"/>
      <c r="V113" s="381"/>
      <c r="W113" s="381"/>
      <c r="X113" s="381"/>
      <c r="Y113" s="381"/>
    </row>
    <row r="114">
      <c r="A114" s="359"/>
      <c r="B114" s="381"/>
      <c r="C114" s="18"/>
      <c r="D114" s="359"/>
      <c r="E114" s="607"/>
      <c r="F114" s="359"/>
      <c r="G114" s="381"/>
      <c r="H114" s="381"/>
      <c r="I114" s="381"/>
      <c r="J114" s="381"/>
      <c r="K114" s="381"/>
      <c r="L114" s="381"/>
      <c r="M114" s="381"/>
      <c r="N114" s="381"/>
      <c r="O114" s="381"/>
      <c r="P114" s="381"/>
      <c r="Q114" s="381"/>
      <c r="R114" s="381"/>
      <c r="S114" s="381"/>
      <c r="T114" s="381"/>
      <c r="U114" s="381"/>
      <c r="V114" s="381"/>
      <c r="W114" s="381"/>
      <c r="X114" s="381"/>
      <c r="Y114" s="381"/>
    </row>
    <row r="115">
      <c r="A115" s="359"/>
      <c r="B115" s="381"/>
      <c r="C115" s="18"/>
      <c r="D115" s="359"/>
      <c r="E115" s="607"/>
      <c r="F115" s="359"/>
      <c r="G115" s="381"/>
      <c r="H115" s="381"/>
      <c r="I115" s="381"/>
      <c r="J115" s="381"/>
      <c r="K115" s="381"/>
      <c r="L115" s="381"/>
      <c r="M115" s="381"/>
      <c r="N115" s="381"/>
      <c r="O115" s="381"/>
      <c r="P115" s="381"/>
      <c r="Q115" s="381"/>
      <c r="R115" s="381"/>
      <c r="S115" s="381"/>
      <c r="T115" s="381"/>
      <c r="U115" s="381"/>
      <c r="V115" s="381"/>
      <c r="W115" s="381"/>
      <c r="X115" s="381"/>
      <c r="Y115" s="381"/>
    </row>
    <row r="116">
      <c r="A116" s="359"/>
      <c r="B116" s="381"/>
      <c r="C116" s="18"/>
      <c r="D116" s="359"/>
      <c r="E116" s="607"/>
      <c r="F116" s="359"/>
      <c r="G116" s="381"/>
      <c r="H116" s="381"/>
      <c r="I116" s="381"/>
      <c r="J116" s="381"/>
      <c r="K116" s="381"/>
      <c r="L116" s="381"/>
      <c r="M116" s="381"/>
      <c r="N116" s="381"/>
      <c r="O116" s="381"/>
      <c r="P116" s="381"/>
      <c r="Q116" s="381"/>
      <c r="R116" s="381"/>
      <c r="S116" s="381"/>
      <c r="T116" s="381"/>
      <c r="U116" s="381"/>
      <c r="V116" s="381"/>
      <c r="W116" s="381"/>
      <c r="X116" s="381"/>
      <c r="Y116" s="381"/>
    </row>
    <row r="117">
      <c r="A117" s="359"/>
      <c r="B117" s="381"/>
      <c r="C117" s="18"/>
      <c r="D117" s="359"/>
      <c r="E117" s="607"/>
      <c r="F117" s="359"/>
      <c r="G117" s="381"/>
      <c r="H117" s="381"/>
      <c r="I117" s="381"/>
      <c r="J117" s="381"/>
      <c r="K117" s="381"/>
      <c r="L117" s="381"/>
      <c r="M117" s="381"/>
      <c r="N117" s="381"/>
      <c r="O117" s="381"/>
      <c r="P117" s="381"/>
      <c r="Q117" s="381"/>
      <c r="R117" s="381"/>
      <c r="S117" s="381"/>
      <c r="T117" s="381"/>
      <c r="U117" s="381"/>
      <c r="V117" s="381"/>
      <c r="W117" s="381"/>
      <c r="X117" s="381"/>
      <c r="Y117" s="381"/>
    </row>
    <row r="118">
      <c r="A118" s="359"/>
      <c r="B118" s="381"/>
      <c r="C118" s="18"/>
      <c r="D118" s="359"/>
      <c r="E118" s="607"/>
      <c r="F118" s="359"/>
      <c r="G118" s="381"/>
      <c r="H118" s="381"/>
      <c r="I118" s="381"/>
      <c r="J118" s="381"/>
      <c r="K118" s="381"/>
      <c r="L118" s="381"/>
      <c r="M118" s="381"/>
      <c r="N118" s="381"/>
      <c r="O118" s="381"/>
      <c r="P118" s="381"/>
      <c r="Q118" s="381"/>
      <c r="R118" s="381"/>
      <c r="S118" s="381"/>
      <c r="T118" s="381"/>
      <c r="U118" s="381"/>
      <c r="V118" s="381"/>
      <c r="W118" s="381"/>
      <c r="X118" s="381"/>
      <c r="Y118" s="381"/>
    </row>
    <row r="119">
      <c r="A119" s="359"/>
      <c r="B119" s="381"/>
      <c r="C119" s="18"/>
      <c r="D119" s="359"/>
      <c r="E119" s="607"/>
      <c r="F119" s="359"/>
      <c r="G119" s="381"/>
      <c r="H119" s="381"/>
      <c r="I119" s="381"/>
      <c r="J119" s="381"/>
      <c r="K119" s="381"/>
      <c r="L119" s="381"/>
      <c r="M119" s="381"/>
      <c r="N119" s="381"/>
      <c r="O119" s="381"/>
      <c r="P119" s="381"/>
      <c r="Q119" s="381"/>
      <c r="R119" s="381"/>
      <c r="S119" s="381"/>
      <c r="T119" s="381"/>
      <c r="U119" s="381"/>
      <c r="V119" s="381"/>
      <c r="W119" s="381"/>
      <c r="X119" s="381"/>
      <c r="Y119" s="381"/>
    </row>
    <row r="120">
      <c r="A120" s="359"/>
      <c r="B120" s="381"/>
      <c r="C120" s="18"/>
      <c r="D120" s="359"/>
      <c r="E120" s="607"/>
      <c r="F120" s="359"/>
      <c r="G120" s="381"/>
      <c r="H120" s="381"/>
      <c r="I120" s="381"/>
      <c r="J120" s="381"/>
      <c r="K120" s="381"/>
      <c r="L120" s="381"/>
      <c r="M120" s="381"/>
      <c r="N120" s="381"/>
      <c r="O120" s="381"/>
      <c r="P120" s="381"/>
      <c r="Q120" s="381"/>
      <c r="R120" s="381"/>
      <c r="S120" s="381"/>
      <c r="T120" s="381"/>
      <c r="U120" s="381"/>
      <c r="V120" s="381"/>
      <c r="W120" s="381"/>
      <c r="X120" s="381"/>
      <c r="Y120" s="381"/>
    </row>
    <row r="121">
      <c r="A121" s="359"/>
      <c r="B121" s="381"/>
      <c r="C121" s="18"/>
      <c r="D121" s="359"/>
      <c r="E121" s="607"/>
      <c r="F121" s="359"/>
      <c r="G121" s="381"/>
      <c r="H121" s="381"/>
      <c r="I121" s="381"/>
      <c r="J121" s="381"/>
      <c r="K121" s="381"/>
      <c r="L121" s="381"/>
      <c r="M121" s="381"/>
      <c r="N121" s="381"/>
      <c r="O121" s="381"/>
      <c r="P121" s="381"/>
      <c r="Q121" s="381"/>
      <c r="R121" s="381"/>
      <c r="S121" s="381"/>
      <c r="T121" s="381"/>
      <c r="U121" s="381"/>
      <c r="V121" s="381"/>
      <c r="W121" s="381"/>
      <c r="X121" s="381"/>
      <c r="Y121" s="381"/>
    </row>
    <row r="122">
      <c r="A122" s="359"/>
      <c r="B122" s="381"/>
      <c r="C122" s="18"/>
      <c r="D122" s="359"/>
      <c r="E122" s="607"/>
      <c r="F122" s="359"/>
      <c r="G122" s="381"/>
      <c r="H122" s="381"/>
      <c r="I122" s="381"/>
      <c r="J122" s="381"/>
      <c r="K122" s="381"/>
      <c r="L122" s="381"/>
      <c r="M122" s="381"/>
      <c r="N122" s="381"/>
      <c r="O122" s="381"/>
      <c r="P122" s="381"/>
      <c r="Q122" s="381"/>
      <c r="R122" s="381"/>
      <c r="S122" s="381"/>
      <c r="T122" s="381"/>
      <c r="U122" s="381"/>
      <c r="V122" s="381"/>
      <c r="W122" s="381"/>
      <c r="X122" s="381"/>
      <c r="Y122" s="381"/>
    </row>
    <row r="123">
      <c r="A123" s="359"/>
      <c r="B123" s="381"/>
      <c r="C123" s="18"/>
      <c r="D123" s="359"/>
      <c r="E123" s="607"/>
      <c r="F123" s="359"/>
      <c r="G123" s="381"/>
      <c r="H123" s="381"/>
      <c r="I123" s="381"/>
      <c r="J123" s="381"/>
      <c r="K123" s="381"/>
      <c r="L123" s="381"/>
      <c r="M123" s="381"/>
      <c r="N123" s="381"/>
      <c r="O123" s="381"/>
      <c r="P123" s="381"/>
      <c r="Q123" s="381"/>
      <c r="R123" s="381"/>
      <c r="S123" s="381"/>
      <c r="T123" s="381"/>
      <c r="U123" s="381"/>
      <c r="V123" s="381"/>
      <c r="W123" s="381"/>
      <c r="X123" s="381"/>
      <c r="Y123" s="381"/>
    </row>
    <row r="124">
      <c r="A124" s="359"/>
      <c r="B124" s="381"/>
      <c r="C124" s="18"/>
      <c r="D124" s="359"/>
      <c r="E124" s="607"/>
      <c r="F124" s="359"/>
      <c r="G124" s="381"/>
      <c r="H124" s="381"/>
      <c r="I124" s="381"/>
      <c r="J124" s="381"/>
      <c r="K124" s="381"/>
      <c r="L124" s="381"/>
      <c r="M124" s="381"/>
      <c r="N124" s="381"/>
      <c r="O124" s="381"/>
      <c r="P124" s="381"/>
      <c r="Q124" s="381"/>
      <c r="R124" s="381"/>
      <c r="S124" s="381"/>
      <c r="T124" s="381"/>
      <c r="U124" s="381"/>
      <c r="V124" s="381"/>
      <c r="W124" s="381"/>
      <c r="X124" s="381"/>
      <c r="Y124" s="381"/>
    </row>
    <row r="125">
      <c r="A125" s="359"/>
      <c r="B125" s="381"/>
      <c r="C125" s="18"/>
      <c r="D125" s="359"/>
      <c r="E125" s="607"/>
      <c r="F125" s="359"/>
      <c r="G125" s="381"/>
      <c r="H125" s="381"/>
      <c r="I125" s="381"/>
      <c r="J125" s="381"/>
      <c r="K125" s="381"/>
      <c r="L125" s="381"/>
      <c r="M125" s="381"/>
      <c r="N125" s="381"/>
      <c r="O125" s="381"/>
      <c r="P125" s="381"/>
      <c r="Q125" s="381"/>
      <c r="R125" s="381"/>
      <c r="S125" s="381"/>
      <c r="T125" s="381"/>
      <c r="U125" s="381"/>
      <c r="V125" s="381"/>
      <c r="W125" s="381"/>
      <c r="X125" s="381"/>
      <c r="Y125" s="381"/>
    </row>
    <row r="126">
      <c r="A126" s="359"/>
      <c r="B126" s="381"/>
      <c r="C126" s="18"/>
      <c r="D126" s="359"/>
      <c r="E126" s="607"/>
      <c r="F126" s="359"/>
      <c r="G126" s="381"/>
      <c r="H126" s="381"/>
      <c r="I126" s="381"/>
      <c r="J126" s="381"/>
      <c r="K126" s="381"/>
      <c r="L126" s="381"/>
      <c r="M126" s="381"/>
      <c r="N126" s="381"/>
      <c r="O126" s="381"/>
      <c r="P126" s="381"/>
      <c r="Q126" s="381"/>
      <c r="R126" s="381"/>
      <c r="S126" s="381"/>
      <c r="T126" s="381"/>
      <c r="U126" s="381"/>
      <c r="V126" s="381"/>
      <c r="W126" s="381"/>
      <c r="X126" s="381"/>
      <c r="Y126" s="381"/>
    </row>
    <row r="127">
      <c r="A127" s="359"/>
      <c r="B127" s="381"/>
      <c r="C127" s="18"/>
      <c r="D127" s="359"/>
      <c r="E127" s="607"/>
      <c r="F127" s="359"/>
      <c r="G127" s="381"/>
      <c r="H127" s="381"/>
      <c r="I127" s="381"/>
      <c r="J127" s="381"/>
      <c r="K127" s="381"/>
      <c r="L127" s="381"/>
      <c r="M127" s="381"/>
      <c r="N127" s="381"/>
      <c r="O127" s="381"/>
      <c r="P127" s="381"/>
      <c r="Q127" s="381"/>
      <c r="R127" s="381"/>
      <c r="S127" s="381"/>
      <c r="T127" s="381"/>
      <c r="U127" s="381"/>
      <c r="V127" s="381"/>
      <c r="W127" s="381"/>
      <c r="X127" s="381"/>
      <c r="Y127" s="381"/>
    </row>
    <row r="128">
      <c r="A128" s="359"/>
      <c r="B128" s="381"/>
      <c r="C128" s="18"/>
      <c r="D128" s="359"/>
      <c r="E128" s="607"/>
      <c r="F128" s="359"/>
      <c r="G128" s="381"/>
      <c r="H128" s="381"/>
      <c r="I128" s="381"/>
      <c r="J128" s="381"/>
      <c r="K128" s="381"/>
      <c r="L128" s="381"/>
      <c r="M128" s="381"/>
      <c r="N128" s="381"/>
      <c r="O128" s="381"/>
      <c r="P128" s="381"/>
      <c r="Q128" s="381"/>
      <c r="R128" s="381"/>
      <c r="S128" s="381"/>
      <c r="T128" s="381"/>
      <c r="U128" s="381"/>
      <c r="V128" s="381"/>
      <c r="W128" s="381"/>
      <c r="X128" s="381"/>
      <c r="Y128" s="381"/>
    </row>
    <row r="129">
      <c r="A129" s="359"/>
      <c r="B129" s="381"/>
      <c r="C129" s="18"/>
      <c r="D129" s="359"/>
      <c r="E129" s="607"/>
      <c r="F129" s="359"/>
      <c r="G129" s="381"/>
      <c r="H129" s="381"/>
      <c r="I129" s="381"/>
      <c r="J129" s="381"/>
      <c r="K129" s="381"/>
      <c r="L129" s="381"/>
      <c r="M129" s="381"/>
      <c r="N129" s="381"/>
      <c r="O129" s="381"/>
      <c r="P129" s="381"/>
      <c r="Q129" s="381"/>
      <c r="R129" s="381"/>
      <c r="S129" s="381"/>
      <c r="T129" s="381"/>
      <c r="U129" s="381"/>
      <c r="V129" s="381"/>
      <c r="W129" s="381"/>
      <c r="X129" s="381"/>
      <c r="Y129" s="381"/>
    </row>
    <row r="130">
      <c r="A130" s="359"/>
      <c r="B130" s="381"/>
      <c r="C130" s="18"/>
      <c r="D130" s="359"/>
      <c r="E130" s="607"/>
      <c r="F130" s="359"/>
      <c r="G130" s="381"/>
      <c r="H130" s="381"/>
      <c r="I130" s="381"/>
      <c r="J130" s="381"/>
      <c r="K130" s="381"/>
      <c r="L130" s="381"/>
      <c r="M130" s="381"/>
      <c r="N130" s="381"/>
      <c r="O130" s="381"/>
      <c r="P130" s="381"/>
      <c r="Q130" s="381"/>
      <c r="R130" s="381"/>
      <c r="S130" s="381"/>
      <c r="T130" s="381"/>
      <c r="U130" s="381"/>
      <c r="V130" s="381"/>
      <c r="W130" s="381"/>
      <c r="X130" s="381"/>
      <c r="Y130" s="381"/>
    </row>
    <row r="131">
      <c r="A131" s="359"/>
      <c r="B131" s="381"/>
      <c r="C131" s="18"/>
      <c r="D131" s="359"/>
      <c r="E131" s="607"/>
      <c r="F131" s="359"/>
      <c r="G131" s="381"/>
      <c r="H131" s="381"/>
      <c r="I131" s="381"/>
      <c r="J131" s="381"/>
      <c r="K131" s="381"/>
      <c r="L131" s="381"/>
      <c r="M131" s="381"/>
      <c r="N131" s="381"/>
      <c r="O131" s="381"/>
      <c r="P131" s="381"/>
      <c r="Q131" s="381"/>
      <c r="R131" s="381"/>
      <c r="S131" s="381"/>
      <c r="T131" s="381"/>
      <c r="U131" s="381"/>
      <c r="V131" s="381"/>
      <c r="W131" s="381"/>
      <c r="X131" s="381"/>
      <c r="Y131" s="381"/>
    </row>
    <row r="132">
      <c r="A132" s="359"/>
      <c r="B132" s="381"/>
      <c r="C132" s="18"/>
      <c r="D132" s="359"/>
      <c r="E132" s="607"/>
      <c r="F132" s="359"/>
      <c r="G132" s="381"/>
      <c r="H132" s="381"/>
      <c r="I132" s="381"/>
      <c r="J132" s="381"/>
      <c r="K132" s="381"/>
      <c r="L132" s="381"/>
      <c r="M132" s="381"/>
      <c r="N132" s="381"/>
      <c r="O132" s="381"/>
      <c r="P132" s="381"/>
      <c r="Q132" s="381"/>
      <c r="R132" s="381"/>
      <c r="S132" s="381"/>
      <c r="T132" s="381"/>
      <c r="U132" s="381"/>
      <c r="V132" s="381"/>
      <c r="W132" s="381"/>
      <c r="X132" s="381"/>
      <c r="Y132" s="381"/>
    </row>
    <row r="133">
      <c r="A133" s="359"/>
      <c r="B133" s="381"/>
      <c r="C133" s="18"/>
      <c r="D133" s="359"/>
      <c r="E133" s="607"/>
      <c r="F133" s="359"/>
      <c r="G133" s="381"/>
      <c r="H133" s="381"/>
      <c r="I133" s="381"/>
      <c r="J133" s="381"/>
      <c r="K133" s="381"/>
      <c r="L133" s="381"/>
      <c r="M133" s="381"/>
      <c r="N133" s="381"/>
      <c r="O133" s="381"/>
      <c r="P133" s="381"/>
      <c r="Q133" s="381"/>
      <c r="R133" s="381"/>
      <c r="S133" s="381"/>
      <c r="T133" s="381"/>
      <c r="U133" s="381"/>
      <c r="V133" s="381"/>
      <c r="W133" s="381"/>
      <c r="X133" s="381"/>
      <c r="Y133" s="381"/>
    </row>
    <row r="134">
      <c r="A134" s="359"/>
      <c r="B134" s="381"/>
      <c r="C134" s="18"/>
      <c r="D134" s="359"/>
      <c r="E134" s="607"/>
      <c r="F134" s="359"/>
      <c r="G134" s="381"/>
      <c r="H134" s="381"/>
      <c r="I134" s="381"/>
      <c r="J134" s="381"/>
      <c r="K134" s="381"/>
      <c r="L134" s="381"/>
      <c r="M134" s="381"/>
      <c r="N134" s="381"/>
      <c r="O134" s="381"/>
      <c r="P134" s="381"/>
      <c r="Q134" s="381"/>
      <c r="R134" s="381"/>
      <c r="S134" s="381"/>
      <c r="T134" s="381"/>
      <c r="U134" s="381"/>
      <c r="V134" s="381"/>
      <c r="W134" s="381"/>
      <c r="X134" s="381"/>
      <c r="Y134" s="381"/>
    </row>
    <row r="135">
      <c r="A135" s="359"/>
      <c r="B135" s="381"/>
      <c r="C135" s="18"/>
      <c r="D135" s="359"/>
      <c r="E135" s="607"/>
      <c r="F135" s="359"/>
      <c r="G135" s="381"/>
      <c r="H135" s="381"/>
      <c r="I135" s="381"/>
      <c r="J135" s="381"/>
      <c r="K135" s="381"/>
      <c r="L135" s="381"/>
      <c r="M135" s="381"/>
      <c r="N135" s="381"/>
      <c r="O135" s="381"/>
      <c r="P135" s="381"/>
      <c r="Q135" s="381"/>
      <c r="R135" s="381"/>
      <c r="S135" s="381"/>
      <c r="T135" s="381"/>
      <c r="U135" s="381"/>
      <c r="V135" s="381"/>
      <c r="W135" s="381"/>
      <c r="X135" s="381"/>
      <c r="Y135" s="381"/>
    </row>
    <row r="136">
      <c r="A136" s="359"/>
      <c r="B136" s="381"/>
      <c r="C136" s="18"/>
      <c r="D136" s="359"/>
      <c r="E136" s="607"/>
      <c r="F136" s="359"/>
      <c r="G136" s="381"/>
      <c r="H136" s="381"/>
      <c r="I136" s="381"/>
      <c r="J136" s="381"/>
      <c r="K136" s="381"/>
      <c r="L136" s="381"/>
      <c r="M136" s="381"/>
      <c r="N136" s="381"/>
      <c r="O136" s="381"/>
      <c r="P136" s="381"/>
      <c r="Q136" s="381"/>
      <c r="R136" s="381"/>
      <c r="S136" s="381"/>
      <c r="T136" s="381"/>
      <c r="U136" s="381"/>
      <c r="V136" s="381"/>
      <c r="W136" s="381"/>
      <c r="X136" s="381"/>
      <c r="Y136" s="381"/>
    </row>
    <row r="137">
      <c r="A137" s="359"/>
      <c r="B137" s="381"/>
      <c r="C137" s="18"/>
      <c r="D137" s="359"/>
      <c r="E137" s="607"/>
      <c r="F137" s="359"/>
      <c r="G137" s="381"/>
      <c r="H137" s="381"/>
      <c r="I137" s="381"/>
      <c r="J137" s="381"/>
      <c r="K137" s="381"/>
      <c r="L137" s="381"/>
      <c r="M137" s="381"/>
      <c r="N137" s="381"/>
      <c r="O137" s="381"/>
      <c r="P137" s="381"/>
      <c r="Q137" s="381"/>
      <c r="R137" s="381"/>
      <c r="S137" s="381"/>
      <c r="T137" s="381"/>
      <c r="U137" s="381"/>
      <c r="V137" s="381"/>
      <c r="W137" s="381"/>
      <c r="X137" s="381"/>
      <c r="Y137" s="381"/>
    </row>
    <row r="138">
      <c r="A138" s="359"/>
      <c r="B138" s="381"/>
      <c r="C138" s="18"/>
      <c r="D138" s="359"/>
      <c r="E138" s="607"/>
      <c r="F138" s="359"/>
      <c r="G138" s="381"/>
      <c r="H138" s="381"/>
      <c r="I138" s="381"/>
      <c r="J138" s="381"/>
      <c r="K138" s="381"/>
      <c r="L138" s="381"/>
      <c r="M138" s="381"/>
      <c r="N138" s="381"/>
      <c r="O138" s="381"/>
      <c r="P138" s="381"/>
      <c r="Q138" s="381"/>
      <c r="R138" s="381"/>
      <c r="S138" s="381"/>
      <c r="T138" s="381"/>
      <c r="U138" s="381"/>
      <c r="V138" s="381"/>
      <c r="W138" s="381"/>
      <c r="X138" s="381"/>
      <c r="Y138" s="381"/>
    </row>
    <row r="139">
      <c r="A139" s="359"/>
      <c r="B139" s="381"/>
      <c r="C139" s="18"/>
      <c r="D139" s="359"/>
      <c r="E139" s="607"/>
      <c r="F139" s="359"/>
      <c r="G139" s="381"/>
      <c r="H139" s="381"/>
      <c r="I139" s="381"/>
      <c r="J139" s="381"/>
      <c r="K139" s="381"/>
      <c r="L139" s="381"/>
      <c r="M139" s="381"/>
      <c r="N139" s="381"/>
      <c r="O139" s="381"/>
      <c r="P139" s="381"/>
      <c r="Q139" s="381"/>
      <c r="R139" s="381"/>
      <c r="S139" s="381"/>
      <c r="T139" s="381"/>
      <c r="U139" s="381"/>
      <c r="V139" s="381"/>
      <c r="W139" s="381"/>
      <c r="X139" s="381"/>
      <c r="Y139" s="381"/>
    </row>
    <row r="140">
      <c r="A140" s="359"/>
      <c r="B140" s="381"/>
      <c r="C140" s="18"/>
      <c r="D140" s="359"/>
      <c r="E140" s="607"/>
      <c r="F140" s="359"/>
      <c r="G140" s="381"/>
      <c r="H140" s="381"/>
      <c r="I140" s="381"/>
      <c r="J140" s="381"/>
      <c r="K140" s="381"/>
      <c r="L140" s="381"/>
      <c r="M140" s="381"/>
      <c r="N140" s="381"/>
      <c r="O140" s="381"/>
      <c r="P140" s="381"/>
      <c r="Q140" s="381"/>
      <c r="R140" s="381"/>
      <c r="S140" s="381"/>
      <c r="T140" s="381"/>
      <c r="U140" s="381"/>
      <c r="V140" s="381"/>
      <c r="W140" s="381"/>
      <c r="X140" s="381"/>
      <c r="Y140" s="381"/>
    </row>
    <row r="141">
      <c r="A141" s="359"/>
      <c r="B141" s="381"/>
      <c r="C141" s="18"/>
      <c r="D141" s="359"/>
      <c r="E141" s="607"/>
      <c r="F141" s="359"/>
      <c r="G141" s="381"/>
      <c r="H141" s="381"/>
      <c r="I141" s="381"/>
      <c r="J141" s="381"/>
      <c r="K141" s="381"/>
      <c r="L141" s="381"/>
      <c r="M141" s="381"/>
      <c r="N141" s="381"/>
      <c r="O141" s="381"/>
      <c r="P141" s="381"/>
      <c r="Q141" s="381"/>
      <c r="R141" s="381"/>
      <c r="S141" s="381"/>
      <c r="T141" s="381"/>
      <c r="U141" s="381"/>
      <c r="V141" s="381"/>
      <c r="W141" s="381"/>
      <c r="X141" s="381"/>
      <c r="Y141" s="381"/>
    </row>
    <row r="142">
      <c r="A142" s="359"/>
      <c r="B142" s="381"/>
      <c r="C142" s="18"/>
      <c r="D142" s="359"/>
      <c r="E142" s="607"/>
      <c r="F142" s="359"/>
      <c r="G142" s="381"/>
      <c r="H142" s="381"/>
      <c r="I142" s="381"/>
      <c r="J142" s="381"/>
      <c r="K142" s="381"/>
      <c r="L142" s="381"/>
      <c r="M142" s="381"/>
      <c r="N142" s="381"/>
      <c r="O142" s="381"/>
      <c r="P142" s="381"/>
      <c r="Q142" s="381"/>
      <c r="R142" s="381"/>
      <c r="S142" s="381"/>
      <c r="T142" s="381"/>
      <c r="U142" s="381"/>
      <c r="V142" s="381"/>
      <c r="W142" s="381"/>
      <c r="X142" s="381"/>
      <c r="Y142" s="381"/>
    </row>
    <row r="143">
      <c r="A143" s="359"/>
      <c r="B143" s="381"/>
      <c r="C143" s="18"/>
      <c r="D143" s="359"/>
      <c r="E143" s="607"/>
      <c r="F143" s="359"/>
      <c r="G143" s="381"/>
      <c r="H143" s="381"/>
      <c r="I143" s="381"/>
      <c r="J143" s="381"/>
      <c r="K143" s="381"/>
      <c r="L143" s="381"/>
      <c r="M143" s="381"/>
      <c r="N143" s="381"/>
      <c r="O143" s="381"/>
      <c r="P143" s="381"/>
      <c r="Q143" s="381"/>
      <c r="R143" s="381"/>
      <c r="S143" s="381"/>
      <c r="T143" s="381"/>
      <c r="U143" s="381"/>
      <c r="V143" s="381"/>
      <c r="W143" s="381"/>
      <c r="X143" s="381"/>
      <c r="Y143" s="381"/>
    </row>
    <row r="144">
      <c r="A144" s="359"/>
      <c r="B144" s="381"/>
      <c r="C144" s="18"/>
      <c r="D144" s="359"/>
      <c r="E144" s="607"/>
      <c r="F144" s="359"/>
      <c r="G144" s="381"/>
      <c r="H144" s="381"/>
      <c r="I144" s="381"/>
      <c r="J144" s="381"/>
      <c r="K144" s="381"/>
      <c r="L144" s="381"/>
      <c r="M144" s="381"/>
      <c r="N144" s="381"/>
      <c r="O144" s="381"/>
      <c r="P144" s="381"/>
      <c r="Q144" s="381"/>
      <c r="R144" s="381"/>
      <c r="S144" s="381"/>
      <c r="T144" s="381"/>
      <c r="U144" s="381"/>
      <c r="V144" s="381"/>
      <c r="W144" s="381"/>
      <c r="X144" s="381"/>
      <c r="Y144" s="381"/>
    </row>
    <row r="145">
      <c r="A145" s="359"/>
      <c r="B145" s="381"/>
      <c r="C145" s="18"/>
      <c r="D145" s="359"/>
      <c r="E145" s="607"/>
      <c r="F145" s="359"/>
      <c r="G145" s="381"/>
      <c r="H145" s="381"/>
      <c r="I145" s="381"/>
      <c r="J145" s="381"/>
      <c r="K145" s="381"/>
      <c r="L145" s="381"/>
      <c r="M145" s="381"/>
      <c r="N145" s="381"/>
      <c r="O145" s="381"/>
      <c r="P145" s="381"/>
      <c r="Q145" s="381"/>
      <c r="R145" s="381"/>
      <c r="S145" s="381"/>
      <c r="T145" s="381"/>
      <c r="U145" s="381"/>
      <c r="V145" s="381"/>
      <c r="W145" s="381"/>
      <c r="X145" s="381"/>
      <c r="Y145" s="381"/>
    </row>
    <row r="146">
      <c r="A146" s="359"/>
      <c r="B146" s="381"/>
      <c r="C146" s="18"/>
      <c r="D146" s="359"/>
      <c r="E146" s="607"/>
      <c r="F146" s="359"/>
      <c r="G146" s="381"/>
      <c r="H146" s="381"/>
      <c r="I146" s="381"/>
      <c r="J146" s="381"/>
      <c r="K146" s="381"/>
      <c r="L146" s="381"/>
      <c r="M146" s="381"/>
      <c r="N146" s="381"/>
      <c r="O146" s="381"/>
      <c r="P146" s="381"/>
      <c r="Q146" s="381"/>
      <c r="R146" s="381"/>
      <c r="S146" s="381"/>
      <c r="T146" s="381"/>
      <c r="U146" s="381"/>
      <c r="V146" s="381"/>
      <c r="W146" s="381"/>
      <c r="X146" s="381"/>
      <c r="Y146" s="381"/>
    </row>
    <row r="147">
      <c r="A147" s="359"/>
      <c r="B147" s="381"/>
      <c r="C147" s="18"/>
      <c r="D147" s="359"/>
      <c r="E147" s="607"/>
      <c r="F147" s="359"/>
      <c r="G147" s="381"/>
      <c r="H147" s="381"/>
      <c r="I147" s="381"/>
      <c r="J147" s="381"/>
      <c r="K147" s="381"/>
      <c r="L147" s="381"/>
      <c r="M147" s="381"/>
      <c r="N147" s="381"/>
      <c r="O147" s="381"/>
      <c r="P147" s="381"/>
      <c r="Q147" s="381"/>
      <c r="R147" s="381"/>
      <c r="S147" s="381"/>
      <c r="T147" s="381"/>
      <c r="U147" s="381"/>
      <c r="V147" s="381"/>
      <c r="W147" s="381"/>
      <c r="X147" s="381"/>
      <c r="Y147" s="381"/>
    </row>
    <row r="148">
      <c r="A148" s="359"/>
      <c r="B148" s="381"/>
      <c r="C148" s="18"/>
      <c r="D148" s="359"/>
      <c r="E148" s="607"/>
      <c r="F148" s="359"/>
      <c r="G148" s="381"/>
      <c r="H148" s="381"/>
      <c r="I148" s="381"/>
      <c r="J148" s="381"/>
      <c r="K148" s="381"/>
      <c r="L148" s="381"/>
      <c r="M148" s="381"/>
      <c r="N148" s="381"/>
      <c r="O148" s="381"/>
      <c r="P148" s="381"/>
      <c r="Q148" s="381"/>
      <c r="R148" s="381"/>
      <c r="S148" s="381"/>
      <c r="T148" s="381"/>
      <c r="U148" s="381"/>
      <c r="V148" s="381"/>
      <c r="W148" s="381"/>
      <c r="X148" s="381"/>
      <c r="Y148" s="381"/>
    </row>
    <row r="149">
      <c r="A149" s="359"/>
      <c r="B149" s="381"/>
      <c r="C149" s="18"/>
      <c r="D149" s="359"/>
      <c r="E149" s="607"/>
      <c r="F149" s="359"/>
      <c r="G149" s="381"/>
      <c r="H149" s="381"/>
      <c r="I149" s="381"/>
      <c r="J149" s="381"/>
      <c r="K149" s="381"/>
      <c r="L149" s="381"/>
      <c r="M149" s="381"/>
      <c r="N149" s="381"/>
      <c r="O149" s="381"/>
      <c r="P149" s="381"/>
      <c r="Q149" s="381"/>
      <c r="R149" s="381"/>
      <c r="S149" s="381"/>
      <c r="T149" s="381"/>
      <c r="U149" s="381"/>
      <c r="V149" s="381"/>
      <c r="W149" s="381"/>
      <c r="X149" s="381"/>
      <c r="Y149" s="381"/>
    </row>
    <row r="150">
      <c r="A150" s="359"/>
      <c r="B150" s="381"/>
      <c r="C150" s="18"/>
      <c r="D150" s="359"/>
      <c r="E150" s="607"/>
      <c r="F150" s="359"/>
      <c r="G150" s="381"/>
      <c r="H150" s="381"/>
      <c r="I150" s="381"/>
      <c r="J150" s="381"/>
      <c r="K150" s="381"/>
      <c r="L150" s="381"/>
      <c r="M150" s="381"/>
      <c r="N150" s="381"/>
      <c r="O150" s="381"/>
      <c r="P150" s="381"/>
      <c r="Q150" s="381"/>
      <c r="R150" s="381"/>
      <c r="S150" s="381"/>
      <c r="T150" s="381"/>
      <c r="U150" s="381"/>
      <c r="V150" s="381"/>
      <c r="W150" s="381"/>
      <c r="X150" s="381"/>
      <c r="Y150" s="381"/>
    </row>
    <row r="151">
      <c r="A151" s="359"/>
      <c r="B151" s="381"/>
      <c r="C151" s="18"/>
      <c r="D151" s="359"/>
      <c r="E151" s="607"/>
      <c r="F151" s="359"/>
      <c r="G151" s="381"/>
      <c r="H151" s="381"/>
      <c r="I151" s="381"/>
      <c r="J151" s="381"/>
      <c r="K151" s="381"/>
      <c r="L151" s="381"/>
      <c r="M151" s="381"/>
      <c r="N151" s="381"/>
      <c r="O151" s="381"/>
      <c r="P151" s="381"/>
      <c r="Q151" s="381"/>
      <c r="R151" s="381"/>
      <c r="S151" s="381"/>
      <c r="T151" s="381"/>
      <c r="U151" s="381"/>
      <c r="V151" s="381"/>
      <c r="W151" s="381"/>
      <c r="X151" s="381"/>
      <c r="Y151" s="381"/>
    </row>
    <row r="152">
      <c r="A152" s="359"/>
      <c r="B152" s="381"/>
      <c r="C152" s="18"/>
      <c r="D152" s="359"/>
      <c r="E152" s="607"/>
      <c r="F152" s="359"/>
      <c r="G152" s="381"/>
      <c r="H152" s="381"/>
      <c r="I152" s="381"/>
      <c r="J152" s="381"/>
      <c r="K152" s="381"/>
      <c r="L152" s="381"/>
      <c r="M152" s="381"/>
      <c r="N152" s="381"/>
      <c r="O152" s="381"/>
      <c r="P152" s="381"/>
      <c r="Q152" s="381"/>
      <c r="R152" s="381"/>
      <c r="S152" s="381"/>
      <c r="T152" s="381"/>
      <c r="U152" s="381"/>
      <c r="V152" s="381"/>
      <c r="W152" s="381"/>
      <c r="X152" s="381"/>
      <c r="Y152" s="381"/>
    </row>
    <row r="153">
      <c r="A153" s="359"/>
      <c r="B153" s="381"/>
      <c r="C153" s="18"/>
      <c r="D153" s="359"/>
      <c r="E153" s="607"/>
      <c r="F153" s="359"/>
      <c r="G153" s="381"/>
      <c r="H153" s="381"/>
      <c r="I153" s="381"/>
      <c r="J153" s="381"/>
      <c r="K153" s="381"/>
      <c r="L153" s="381"/>
      <c r="M153" s="381"/>
      <c r="N153" s="381"/>
      <c r="O153" s="381"/>
      <c r="P153" s="381"/>
      <c r="Q153" s="381"/>
      <c r="R153" s="381"/>
      <c r="S153" s="381"/>
      <c r="T153" s="381"/>
      <c r="U153" s="381"/>
      <c r="V153" s="381"/>
      <c r="W153" s="381"/>
      <c r="X153" s="381"/>
      <c r="Y153" s="381"/>
    </row>
    <row r="154">
      <c r="A154" s="359"/>
      <c r="B154" s="381"/>
      <c r="C154" s="18"/>
      <c r="D154" s="359"/>
      <c r="E154" s="607"/>
      <c r="F154" s="359"/>
      <c r="G154" s="381"/>
      <c r="H154" s="381"/>
      <c r="I154" s="381"/>
      <c r="J154" s="381"/>
      <c r="K154" s="381"/>
      <c r="L154" s="381"/>
      <c r="M154" s="381"/>
      <c r="N154" s="381"/>
      <c r="O154" s="381"/>
      <c r="P154" s="381"/>
      <c r="Q154" s="381"/>
      <c r="R154" s="381"/>
      <c r="S154" s="381"/>
      <c r="T154" s="381"/>
      <c r="U154" s="381"/>
      <c r="V154" s="381"/>
      <c r="W154" s="381"/>
      <c r="X154" s="381"/>
      <c r="Y154" s="381"/>
    </row>
    <row r="155">
      <c r="A155" s="359"/>
      <c r="B155" s="381"/>
      <c r="C155" s="18"/>
      <c r="D155" s="359"/>
      <c r="E155" s="607"/>
      <c r="F155" s="359"/>
      <c r="G155" s="381"/>
      <c r="H155" s="381"/>
      <c r="I155" s="381"/>
      <c r="J155" s="381"/>
      <c r="K155" s="381"/>
      <c r="L155" s="381"/>
      <c r="M155" s="381"/>
      <c r="N155" s="381"/>
      <c r="O155" s="381"/>
      <c r="P155" s="381"/>
      <c r="Q155" s="381"/>
      <c r="R155" s="381"/>
      <c r="S155" s="381"/>
      <c r="T155" s="381"/>
      <c r="U155" s="381"/>
      <c r="V155" s="381"/>
      <c r="W155" s="381"/>
      <c r="X155" s="381"/>
      <c r="Y155" s="381"/>
    </row>
    <row r="156">
      <c r="A156" s="359"/>
      <c r="B156" s="381"/>
      <c r="C156" s="18"/>
      <c r="D156" s="359"/>
      <c r="E156" s="607"/>
      <c r="F156" s="359"/>
      <c r="G156" s="381"/>
      <c r="H156" s="381"/>
      <c r="I156" s="381"/>
      <c r="J156" s="381"/>
      <c r="K156" s="381"/>
      <c r="L156" s="381"/>
      <c r="M156" s="381"/>
      <c r="N156" s="381"/>
      <c r="O156" s="381"/>
      <c r="P156" s="381"/>
      <c r="Q156" s="381"/>
      <c r="R156" s="381"/>
      <c r="S156" s="381"/>
      <c r="T156" s="381"/>
      <c r="U156" s="381"/>
      <c r="V156" s="381"/>
      <c r="W156" s="381"/>
      <c r="X156" s="381"/>
      <c r="Y156" s="381"/>
    </row>
    <row r="157">
      <c r="A157" s="359"/>
      <c r="B157" s="381"/>
      <c r="C157" s="18"/>
      <c r="D157" s="359"/>
      <c r="E157" s="607"/>
      <c r="F157" s="359"/>
      <c r="G157" s="381"/>
      <c r="H157" s="381"/>
      <c r="I157" s="381"/>
      <c r="J157" s="381"/>
      <c r="K157" s="381"/>
      <c r="L157" s="381"/>
      <c r="M157" s="381"/>
      <c r="N157" s="381"/>
      <c r="O157" s="381"/>
      <c r="P157" s="381"/>
      <c r="Q157" s="381"/>
      <c r="R157" s="381"/>
      <c r="S157" s="381"/>
      <c r="T157" s="381"/>
      <c r="U157" s="381"/>
      <c r="V157" s="381"/>
      <c r="W157" s="381"/>
      <c r="X157" s="381"/>
      <c r="Y157" s="381"/>
    </row>
    <row r="158">
      <c r="A158" s="359"/>
      <c r="B158" s="381"/>
      <c r="C158" s="18"/>
      <c r="D158" s="359"/>
      <c r="E158" s="607"/>
      <c r="F158" s="359"/>
      <c r="G158" s="381"/>
      <c r="H158" s="381"/>
      <c r="I158" s="381"/>
      <c r="J158" s="381"/>
      <c r="K158" s="381"/>
      <c r="L158" s="381"/>
      <c r="M158" s="381"/>
      <c r="N158" s="381"/>
      <c r="O158" s="381"/>
      <c r="P158" s="381"/>
      <c r="Q158" s="381"/>
      <c r="R158" s="381"/>
      <c r="S158" s="381"/>
      <c r="T158" s="381"/>
      <c r="U158" s="381"/>
      <c r="V158" s="381"/>
      <c r="W158" s="381"/>
      <c r="X158" s="381"/>
      <c r="Y158" s="381"/>
    </row>
    <row r="159">
      <c r="A159" s="359"/>
      <c r="B159" s="381"/>
      <c r="C159" s="18"/>
      <c r="D159" s="359"/>
      <c r="E159" s="607"/>
      <c r="F159" s="359"/>
      <c r="G159" s="381"/>
      <c r="H159" s="381"/>
      <c r="I159" s="381"/>
      <c r="J159" s="381"/>
      <c r="K159" s="381"/>
      <c r="L159" s="381"/>
      <c r="M159" s="381"/>
      <c r="N159" s="381"/>
      <c r="O159" s="381"/>
      <c r="P159" s="381"/>
      <c r="Q159" s="381"/>
      <c r="R159" s="381"/>
      <c r="S159" s="381"/>
      <c r="T159" s="381"/>
      <c r="U159" s="381"/>
      <c r="V159" s="381"/>
      <c r="W159" s="381"/>
      <c r="X159" s="381"/>
      <c r="Y159" s="381"/>
    </row>
    <row r="160">
      <c r="A160" s="359"/>
      <c r="B160" s="381"/>
      <c r="C160" s="18"/>
      <c r="D160" s="359"/>
      <c r="E160" s="607"/>
      <c r="F160" s="359"/>
      <c r="G160" s="381"/>
      <c r="H160" s="381"/>
      <c r="I160" s="381"/>
      <c r="J160" s="381"/>
      <c r="K160" s="381"/>
      <c r="L160" s="381"/>
      <c r="M160" s="381"/>
      <c r="N160" s="381"/>
      <c r="O160" s="381"/>
      <c r="P160" s="381"/>
      <c r="Q160" s="381"/>
      <c r="R160" s="381"/>
      <c r="S160" s="381"/>
      <c r="T160" s="381"/>
      <c r="U160" s="381"/>
      <c r="V160" s="381"/>
      <c r="W160" s="381"/>
      <c r="X160" s="381"/>
      <c r="Y160" s="381"/>
    </row>
    <row r="161">
      <c r="A161" s="359"/>
      <c r="B161" s="381"/>
      <c r="C161" s="18"/>
      <c r="D161" s="359"/>
      <c r="E161" s="607"/>
      <c r="F161" s="359"/>
      <c r="G161" s="381"/>
      <c r="H161" s="381"/>
      <c r="I161" s="381"/>
      <c r="J161" s="381"/>
      <c r="K161" s="381"/>
      <c r="L161" s="381"/>
      <c r="M161" s="381"/>
      <c r="N161" s="381"/>
      <c r="O161" s="381"/>
      <c r="P161" s="381"/>
      <c r="Q161" s="381"/>
      <c r="R161" s="381"/>
      <c r="S161" s="381"/>
      <c r="T161" s="381"/>
      <c r="U161" s="381"/>
      <c r="V161" s="381"/>
      <c r="W161" s="381"/>
      <c r="X161" s="381"/>
      <c r="Y161" s="381"/>
    </row>
    <row r="162">
      <c r="A162" s="359"/>
      <c r="B162" s="381"/>
      <c r="C162" s="18"/>
      <c r="D162" s="359"/>
      <c r="E162" s="607"/>
      <c r="F162" s="359"/>
      <c r="G162" s="381"/>
      <c r="H162" s="381"/>
      <c r="I162" s="381"/>
      <c r="J162" s="381"/>
      <c r="K162" s="381"/>
      <c r="L162" s="381"/>
      <c r="M162" s="381"/>
      <c r="N162" s="381"/>
      <c r="O162" s="381"/>
      <c r="P162" s="381"/>
      <c r="Q162" s="381"/>
      <c r="R162" s="381"/>
      <c r="S162" s="381"/>
      <c r="T162" s="381"/>
      <c r="U162" s="381"/>
      <c r="V162" s="381"/>
      <c r="W162" s="381"/>
      <c r="X162" s="381"/>
      <c r="Y162" s="381"/>
    </row>
    <row r="163">
      <c r="A163" s="359"/>
      <c r="B163" s="381"/>
      <c r="C163" s="18"/>
      <c r="D163" s="359"/>
      <c r="E163" s="607"/>
      <c r="F163" s="359"/>
      <c r="G163" s="381"/>
      <c r="H163" s="381"/>
      <c r="I163" s="381"/>
      <c r="J163" s="381"/>
      <c r="K163" s="381"/>
      <c r="L163" s="381"/>
      <c r="M163" s="381"/>
      <c r="N163" s="381"/>
      <c r="O163" s="381"/>
      <c r="P163" s="381"/>
      <c r="Q163" s="381"/>
      <c r="R163" s="381"/>
      <c r="S163" s="381"/>
      <c r="T163" s="381"/>
      <c r="U163" s="381"/>
      <c r="V163" s="381"/>
      <c r="W163" s="381"/>
      <c r="X163" s="381"/>
      <c r="Y163" s="381"/>
    </row>
    <row r="164">
      <c r="A164" s="359"/>
      <c r="B164" s="381"/>
      <c r="C164" s="18"/>
      <c r="D164" s="359"/>
      <c r="E164" s="607"/>
      <c r="F164" s="359"/>
      <c r="G164" s="381"/>
      <c r="H164" s="381"/>
      <c r="I164" s="381"/>
      <c r="J164" s="381"/>
      <c r="K164" s="381"/>
      <c r="L164" s="381"/>
      <c r="M164" s="381"/>
      <c r="N164" s="381"/>
      <c r="O164" s="381"/>
      <c r="P164" s="381"/>
      <c r="Q164" s="381"/>
      <c r="R164" s="381"/>
      <c r="S164" s="381"/>
      <c r="T164" s="381"/>
      <c r="U164" s="381"/>
      <c r="V164" s="381"/>
      <c r="W164" s="381"/>
      <c r="X164" s="381"/>
      <c r="Y164" s="381"/>
    </row>
    <row r="165">
      <c r="A165" s="359"/>
      <c r="B165" s="381"/>
      <c r="C165" s="18"/>
      <c r="D165" s="359"/>
      <c r="E165" s="607"/>
      <c r="F165" s="359"/>
      <c r="G165" s="381"/>
      <c r="H165" s="381"/>
      <c r="I165" s="381"/>
      <c r="J165" s="381"/>
      <c r="K165" s="381"/>
      <c r="L165" s="381"/>
      <c r="M165" s="381"/>
      <c r="N165" s="381"/>
      <c r="O165" s="381"/>
      <c r="P165" s="381"/>
      <c r="Q165" s="381"/>
      <c r="R165" s="381"/>
      <c r="S165" s="381"/>
      <c r="T165" s="381"/>
      <c r="U165" s="381"/>
      <c r="V165" s="381"/>
      <c r="W165" s="381"/>
      <c r="X165" s="381"/>
      <c r="Y165" s="381"/>
    </row>
    <row r="166">
      <c r="A166" s="359"/>
      <c r="B166" s="381"/>
      <c r="C166" s="18"/>
      <c r="D166" s="359"/>
      <c r="E166" s="607"/>
      <c r="F166" s="359"/>
      <c r="G166" s="381"/>
      <c r="H166" s="381"/>
      <c r="I166" s="381"/>
      <c r="J166" s="381"/>
      <c r="K166" s="381"/>
      <c r="L166" s="381"/>
      <c r="M166" s="381"/>
      <c r="N166" s="381"/>
      <c r="O166" s="381"/>
      <c r="P166" s="381"/>
      <c r="Q166" s="381"/>
      <c r="R166" s="381"/>
      <c r="S166" s="381"/>
      <c r="T166" s="381"/>
      <c r="U166" s="381"/>
      <c r="V166" s="381"/>
      <c r="W166" s="381"/>
      <c r="X166" s="381"/>
      <c r="Y166" s="381"/>
    </row>
    <row r="167">
      <c r="A167" s="359"/>
      <c r="B167" s="381"/>
      <c r="C167" s="18"/>
      <c r="D167" s="359"/>
      <c r="E167" s="607"/>
      <c r="F167" s="359"/>
      <c r="G167" s="381"/>
      <c r="H167" s="381"/>
      <c r="I167" s="381"/>
      <c r="J167" s="381"/>
      <c r="K167" s="381"/>
      <c r="L167" s="381"/>
      <c r="M167" s="381"/>
      <c r="N167" s="381"/>
      <c r="O167" s="381"/>
      <c r="P167" s="381"/>
      <c r="Q167" s="381"/>
      <c r="R167" s="381"/>
      <c r="S167" s="381"/>
      <c r="T167" s="381"/>
      <c r="U167" s="381"/>
      <c r="V167" s="381"/>
      <c r="W167" s="381"/>
      <c r="X167" s="381"/>
      <c r="Y167" s="381"/>
    </row>
    <row r="168">
      <c r="A168" s="359"/>
      <c r="B168" s="381"/>
      <c r="C168" s="18"/>
      <c r="D168" s="359"/>
      <c r="E168" s="607"/>
      <c r="F168" s="359"/>
      <c r="G168" s="381"/>
      <c r="H168" s="381"/>
      <c r="I168" s="381"/>
      <c r="J168" s="381"/>
      <c r="K168" s="381"/>
      <c r="L168" s="381"/>
      <c r="M168" s="381"/>
      <c r="N168" s="381"/>
      <c r="O168" s="381"/>
      <c r="P168" s="381"/>
      <c r="Q168" s="381"/>
      <c r="R168" s="381"/>
      <c r="S168" s="381"/>
      <c r="T168" s="381"/>
      <c r="U168" s="381"/>
      <c r="V168" s="381"/>
      <c r="W168" s="381"/>
      <c r="X168" s="381"/>
      <c r="Y168" s="381"/>
    </row>
    <row r="169">
      <c r="A169" s="359"/>
      <c r="B169" s="381"/>
      <c r="C169" s="18"/>
      <c r="D169" s="359"/>
      <c r="E169" s="607"/>
      <c r="F169" s="359"/>
      <c r="G169" s="381"/>
      <c r="H169" s="381"/>
      <c r="I169" s="381"/>
      <c r="J169" s="381"/>
      <c r="K169" s="381"/>
      <c r="L169" s="381"/>
      <c r="M169" s="381"/>
      <c r="N169" s="381"/>
      <c r="O169" s="381"/>
      <c r="P169" s="381"/>
      <c r="Q169" s="381"/>
      <c r="R169" s="381"/>
      <c r="S169" s="381"/>
      <c r="T169" s="381"/>
      <c r="U169" s="381"/>
      <c r="V169" s="381"/>
      <c r="W169" s="381"/>
      <c r="X169" s="381"/>
      <c r="Y169" s="381"/>
    </row>
    <row r="170">
      <c r="A170" s="359"/>
      <c r="B170" s="381"/>
      <c r="C170" s="18"/>
      <c r="D170" s="359"/>
      <c r="E170" s="607"/>
      <c r="F170" s="359"/>
      <c r="G170" s="381"/>
      <c r="H170" s="381"/>
      <c r="I170" s="381"/>
      <c r="J170" s="381"/>
      <c r="K170" s="381"/>
      <c r="L170" s="381"/>
      <c r="M170" s="381"/>
      <c r="N170" s="381"/>
      <c r="O170" s="381"/>
      <c r="P170" s="381"/>
      <c r="Q170" s="381"/>
      <c r="R170" s="381"/>
      <c r="S170" s="381"/>
      <c r="T170" s="381"/>
      <c r="U170" s="381"/>
      <c r="V170" s="381"/>
      <c r="W170" s="381"/>
      <c r="X170" s="381"/>
      <c r="Y170" s="381"/>
    </row>
    <row r="171">
      <c r="A171" s="359"/>
      <c r="B171" s="381"/>
      <c r="C171" s="18"/>
      <c r="D171" s="359"/>
      <c r="E171" s="607"/>
      <c r="F171" s="359"/>
      <c r="G171" s="381"/>
      <c r="H171" s="381"/>
      <c r="I171" s="381"/>
      <c r="J171" s="381"/>
      <c r="K171" s="381"/>
      <c r="L171" s="381"/>
      <c r="M171" s="381"/>
      <c r="N171" s="381"/>
      <c r="O171" s="381"/>
      <c r="P171" s="381"/>
      <c r="Q171" s="381"/>
      <c r="R171" s="381"/>
      <c r="S171" s="381"/>
      <c r="T171" s="381"/>
      <c r="U171" s="381"/>
      <c r="V171" s="381"/>
      <c r="W171" s="381"/>
      <c r="X171" s="381"/>
      <c r="Y171" s="381"/>
    </row>
    <row r="172">
      <c r="A172" s="359"/>
      <c r="B172" s="381"/>
      <c r="C172" s="18"/>
      <c r="D172" s="359"/>
      <c r="E172" s="607"/>
      <c r="F172" s="359"/>
      <c r="G172" s="381"/>
      <c r="H172" s="381"/>
      <c r="I172" s="381"/>
      <c r="J172" s="381"/>
      <c r="K172" s="381"/>
      <c r="L172" s="381"/>
      <c r="M172" s="381"/>
      <c r="N172" s="381"/>
      <c r="O172" s="381"/>
      <c r="P172" s="381"/>
      <c r="Q172" s="381"/>
      <c r="R172" s="381"/>
      <c r="S172" s="381"/>
      <c r="T172" s="381"/>
      <c r="U172" s="381"/>
      <c r="V172" s="381"/>
      <c r="W172" s="381"/>
      <c r="X172" s="381"/>
      <c r="Y172" s="381"/>
    </row>
    <row r="173">
      <c r="A173" s="359"/>
      <c r="B173" s="381"/>
      <c r="C173" s="18"/>
      <c r="D173" s="359"/>
      <c r="E173" s="607"/>
      <c r="F173" s="359"/>
      <c r="G173" s="381"/>
      <c r="H173" s="381"/>
      <c r="I173" s="381"/>
      <c r="J173" s="381"/>
      <c r="K173" s="381"/>
      <c r="L173" s="381"/>
      <c r="M173" s="381"/>
      <c r="N173" s="381"/>
      <c r="O173" s="381"/>
      <c r="P173" s="381"/>
      <c r="Q173" s="381"/>
      <c r="R173" s="381"/>
      <c r="S173" s="381"/>
      <c r="T173" s="381"/>
      <c r="U173" s="381"/>
      <c r="V173" s="381"/>
      <c r="W173" s="381"/>
      <c r="X173" s="381"/>
      <c r="Y173" s="381"/>
    </row>
    <row r="174">
      <c r="A174" s="359"/>
      <c r="B174" s="381"/>
      <c r="C174" s="18"/>
      <c r="D174" s="359"/>
      <c r="E174" s="607"/>
      <c r="F174" s="359"/>
      <c r="G174" s="381"/>
      <c r="H174" s="381"/>
      <c r="I174" s="381"/>
      <c r="J174" s="381"/>
      <c r="K174" s="381"/>
      <c r="L174" s="381"/>
      <c r="M174" s="381"/>
      <c r="N174" s="381"/>
      <c r="O174" s="381"/>
      <c r="P174" s="381"/>
      <c r="Q174" s="381"/>
      <c r="R174" s="381"/>
      <c r="S174" s="381"/>
      <c r="T174" s="381"/>
      <c r="U174" s="381"/>
      <c r="V174" s="381"/>
      <c r="W174" s="381"/>
      <c r="X174" s="381"/>
      <c r="Y174" s="381"/>
    </row>
    <row r="175">
      <c r="A175" s="359"/>
      <c r="B175" s="381"/>
      <c r="C175" s="18"/>
      <c r="D175" s="359"/>
      <c r="E175" s="607"/>
      <c r="F175" s="359"/>
      <c r="G175" s="381"/>
      <c r="H175" s="381"/>
      <c r="I175" s="381"/>
      <c r="J175" s="381"/>
      <c r="K175" s="381"/>
      <c r="L175" s="381"/>
      <c r="M175" s="381"/>
      <c r="N175" s="381"/>
      <c r="O175" s="381"/>
      <c r="P175" s="381"/>
      <c r="Q175" s="381"/>
      <c r="R175" s="381"/>
      <c r="S175" s="381"/>
      <c r="T175" s="381"/>
      <c r="U175" s="381"/>
      <c r="V175" s="381"/>
      <c r="W175" s="381"/>
      <c r="X175" s="381"/>
      <c r="Y175" s="381"/>
    </row>
    <row r="176">
      <c r="A176" s="359"/>
      <c r="B176" s="381"/>
      <c r="C176" s="18"/>
      <c r="D176" s="359"/>
      <c r="E176" s="607"/>
      <c r="F176" s="359"/>
      <c r="G176" s="381"/>
      <c r="H176" s="381"/>
      <c r="I176" s="381"/>
      <c r="J176" s="381"/>
      <c r="K176" s="381"/>
      <c r="L176" s="381"/>
      <c r="M176" s="381"/>
      <c r="N176" s="381"/>
      <c r="O176" s="381"/>
      <c r="P176" s="381"/>
      <c r="Q176" s="381"/>
      <c r="R176" s="381"/>
      <c r="S176" s="381"/>
      <c r="T176" s="381"/>
      <c r="U176" s="381"/>
      <c r="V176" s="381"/>
      <c r="W176" s="381"/>
      <c r="X176" s="381"/>
      <c r="Y176" s="381"/>
    </row>
    <row r="177">
      <c r="A177" s="359"/>
      <c r="B177" s="381"/>
      <c r="C177" s="18"/>
      <c r="D177" s="359"/>
      <c r="E177" s="607"/>
      <c r="F177" s="359"/>
      <c r="G177" s="381"/>
      <c r="H177" s="381"/>
      <c r="I177" s="381"/>
      <c r="J177" s="381"/>
      <c r="K177" s="381"/>
      <c r="L177" s="381"/>
      <c r="M177" s="381"/>
      <c r="N177" s="381"/>
      <c r="O177" s="381"/>
      <c r="P177" s="381"/>
      <c r="Q177" s="381"/>
      <c r="R177" s="381"/>
      <c r="S177" s="381"/>
      <c r="T177" s="381"/>
      <c r="U177" s="381"/>
      <c r="V177" s="381"/>
      <c r="W177" s="381"/>
      <c r="X177" s="381"/>
      <c r="Y177" s="381"/>
    </row>
    <row r="178">
      <c r="A178" s="359"/>
      <c r="B178" s="381"/>
      <c r="C178" s="18"/>
      <c r="D178" s="359"/>
      <c r="E178" s="607"/>
      <c r="F178" s="359"/>
      <c r="G178" s="381"/>
      <c r="H178" s="381"/>
      <c r="I178" s="381"/>
      <c r="J178" s="381"/>
      <c r="K178" s="381"/>
      <c r="L178" s="381"/>
      <c r="M178" s="381"/>
      <c r="N178" s="381"/>
      <c r="O178" s="381"/>
      <c r="P178" s="381"/>
      <c r="Q178" s="381"/>
      <c r="R178" s="381"/>
      <c r="S178" s="381"/>
      <c r="T178" s="381"/>
      <c r="U178" s="381"/>
      <c r="V178" s="381"/>
      <c r="W178" s="381"/>
      <c r="X178" s="381"/>
      <c r="Y178" s="381"/>
    </row>
    <row r="179">
      <c r="A179" s="359"/>
      <c r="B179" s="381"/>
      <c r="C179" s="18"/>
      <c r="D179" s="359"/>
      <c r="E179" s="607"/>
      <c r="F179" s="359"/>
      <c r="G179" s="381"/>
      <c r="H179" s="381"/>
      <c r="I179" s="381"/>
      <c r="J179" s="381"/>
      <c r="K179" s="381"/>
      <c r="L179" s="381"/>
      <c r="M179" s="381"/>
      <c r="N179" s="381"/>
      <c r="O179" s="381"/>
      <c r="P179" s="381"/>
      <c r="Q179" s="381"/>
      <c r="R179" s="381"/>
      <c r="S179" s="381"/>
      <c r="T179" s="381"/>
      <c r="U179" s="381"/>
      <c r="V179" s="381"/>
      <c r="W179" s="381"/>
      <c r="X179" s="381"/>
      <c r="Y179" s="381"/>
    </row>
    <row r="180">
      <c r="A180" s="359"/>
      <c r="B180" s="381"/>
      <c r="C180" s="18"/>
      <c r="D180" s="359"/>
      <c r="E180" s="607"/>
      <c r="F180" s="359"/>
      <c r="G180" s="381"/>
      <c r="H180" s="381"/>
      <c r="I180" s="381"/>
      <c r="J180" s="381"/>
      <c r="K180" s="381"/>
      <c r="L180" s="381"/>
      <c r="M180" s="381"/>
      <c r="N180" s="381"/>
      <c r="O180" s="381"/>
      <c r="P180" s="381"/>
      <c r="Q180" s="381"/>
      <c r="R180" s="381"/>
      <c r="S180" s="381"/>
      <c r="T180" s="381"/>
      <c r="U180" s="381"/>
      <c r="V180" s="381"/>
      <c r="W180" s="381"/>
      <c r="X180" s="381"/>
      <c r="Y180" s="381"/>
    </row>
    <row r="181">
      <c r="A181" s="359"/>
      <c r="B181" s="381"/>
      <c r="C181" s="18"/>
      <c r="D181" s="359"/>
      <c r="E181" s="607"/>
      <c r="F181" s="359"/>
      <c r="G181" s="381"/>
      <c r="H181" s="381"/>
      <c r="I181" s="381"/>
      <c r="J181" s="381"/>
      <c r="K181" s="381"/>
      <c r="L181" s="381"/>
      <c r="M181" s="381"/>
      <c r="N181" s="381"/>
      <c r="O181" s="381"/>
      <c r="P181" s="381"/>
      <c r="Q181" s="381"/>
      <c r="R181" s="381"/>
      <c r="S181" s="381"/>
      <c r="T181" s="381"/>
      <c r="U181" s="381"/>
      <c r="V181" s="381"/>
      <c r="W181" s="381"/>
      <c r="X181" s="381"/>
      <c r="Y181" s="381"/>
    </row>
    <row r="182">
      <c r="A182" s="359"/>
      <c r="B182" s="381"/>
      <c r="C182" s="18"/>
      <c r="D182" s="359"/>
      <c r="E182" s="607"/>
      <c r="F182" s="359"/>
      <c r="G182" s="381"/>
      <c r="H182" s="381"/>
      <c r="I182" s="381"/>
      <c r="J182" s="381"/>
      <c r="K182" s="381"/>
      <c r="L182" s="381"/>
      <c r="M182" s="381"/>
      <c r="N182" s="381"/>
      <c r="O182" s="381"/>
      <c r="P182" s="381"/>
      <c r="Q182" s="381"/>
      <c r="R182" s="381"/>
      <c r="S182" s="381"/>
      <c r="T182" s="381"/>
      <c r="U182" s="381"/>
      <c r="V182" s="381"/>
      <c r="W182" s="381"/>
      <c r="X182" s="381"/>
      <c r="Y182" s="381"/>
    </row>
    <row r="183">
      <c r="A183" s="359"/>
      <c r="B183" s="381"/>
      <c r="C183" s="18"/>
      <c r="D183" s="359"/>
      <c r="E183" s="607"/>
      <c r="F183" s="359"/>
      <c r="G183" s="381"/>
      <c r="H183" s="381"/>
      <c r="I183" s="381"/>
      <c r="J183" s="381"/>
      <c r="K183" s="381"/>
      <c r="L183" s="381"/>
      <c r="M183" s="381"/>
      <c r="N183" s="381"/>
      <c r="O183" s="381"/>
      <c r="P183" s="381"/>
      <c r="Q183" s="381"/>
      <c r="R183" s="381"/>
      <c r="S183" s="381"/>
      <c r="T183" s="381"/>
      <c r="U183" s="381"/>
      <c r="V183" s="381"/>
      <c r="W183" s="381"/>
      <c r="X183" s="381"/>
      <c r="Y183" s="381"/>
    </row>
    <row r="184">
      <c r="A184" s="359"/>
      <c r="B184" s="381"/>
      <c r="C184" s="18"/>
      <c r="D184" s="359"/>
      <c r="E184" s="607"/>
      <c r="F184" s="359"/>
      <c r="G184" s="381"/>
      <c r="H184" s="381"/>
      <c r="I184" s="381"/>
      <c r="J184" s="381"/>
      <c r="K184" s="381"/>
      <c r="L184" s="381"/>
      <c r="M184" s="381"/>
      <c r="N184" s="381"/>
      <c r="O184" s="381"/>
      <c r="P184" s="381"/>
      <c r="Q184" s="381"/>
      <c r="R184" s="381"/>
      <c r="S184" s="381"/>
      <c r="T184" s="381"/>
      <c r="U184" s="381"/>
      <c r="V184" s="381"/>
      <c r="W184" s="381"/>
      <c r="X184" s="381"/>
      <c r="Y184" s="381"/>
    </row>
    <row r="185">
      <c r="A185" s="359"/>
      <c r="B185" s="381"/>
      <c r="C185" s="18"/>
      <c r="D185" s="359"/>
      <c r="E185" s="607"/>
      <c r="F185" s="359"/>
      <c r="G185" s="381"/>
      <c r="H185" s="381"/>
      <c r="I185" s="381"/>
      <c r="J185" s="381"/>
      <c r="K185" s="381"/>
      <c r="L185" s="381"/>
      <c r="M185" s="381"/>
      <c r="N185" s="381"/>
      <c r="O185" s="381"/>
      <c r="P185" s="381"/>
      <c r="Q185" s="381"/>
      <c r="R185" s="381"/>
      <c r="S185" s="381"/>
      <c r="T185" s="381"/>
      <c r="U185" s="381"/>
      <c r="V185" s="381"/>
      <c r="W185" s="381"/>
      <c r="X185" s="381"/>
      <c r="Y185" s="381"/>
    </row>
    <row r="186">
      <c r="A186" s="359"/>
      <c r="B186" s="381"/>
      <c r="C186" s="18"/>
      <c r="D186" s="359"/>
      <c r="E186" s="607"/>
      <c r="F186" s="359"/>
      <c r="G186" s="381"/>
      <c r="H186" s="381"/>
      <c r="I186" s="381"/>
      <c r="J186" s="381"/>
      <c r="K186" s="381"/>
      <c r="L186" s="381"/>
      <c r="M186" s="381"/>
      <c r="N186" s="381"/>
      <c r="O186" s="381"/>
      <c r="P186" s="381"/>
      <c r="Q186" s="381"/>
      <c r="R186" s="381"/>
      <c r="S186" s="381"/>
      <c r="T186" s="381"/>
      <c r="U186" s="381"/>
      <c r="V186" s="381"/>
      <c r="W186" s="381"/>
      <c r="X186" s="381"/>
      <c r="Y186" s="381"/>
    </row>
    <row r="187">
      <c r="A187" s="359"/>
      <c r="B187" s="381"/>
      <c r="C187" s="18"/>
      <c r="D187" s="359"/>
      <c r="E187" s="607"/>
      <c r="F187" s="359"/>
      <c r="G187" s="381"/>
      <c r="H187" s="381"/>
      <c r="I187" s="381"/>
      <c r="J187" s="381"/>
      <c r="K187" s="381"/>
      <c r="L187" s="381"/>
      <c r="M187" s="381"/>
      <c r="N187" s="381"/>
      <c r="O187" s="381"/>
      <c r="P187" s="381"/>
      <c r="Q187" s="381"/>
      <c r="R187" s="381"/>
      <c r="S187" s="381"/>
      <c r="T187" s="381"/>
      <c r="U187" s="381"/>
      <c r="V187" s="381"/>
      <c r="W187" s="381"/>
      <c r="X187" s="381"/>
      <c r="Y187" s="381"/>
    </row>
    <row r="188">
      <c r="A188" s="359"/>
      <c r="B188" s="381"/>
      <c r="C188" s="18"/>
      <c r="D188" s="359"/>
      <c r="E188" s="607"/>
      <c r="F188" s="359"/>
      <c r="G188" s="381"/>
      <c r="H188" s="381"/>
      <c r="I188" s="381"/>
      <c r="J188" s="381"/>
      <c r="K188" s="381"/>
      <c r="L188" s="381"/>
      <c r="M188" s="381"/>
      <c r="N188" s="381"/>
      <c r="O188" s="381"/>
      <c r="P188" s="381"/>
      <c r="Q188" s="381"/>
      <c r="R188" s="381"/>
      <c r="S188" s="381"/>
      <c r="T188" s="381"/>
      <c r="U188" s="381"/>
      <c r="V188" s="381"/>
      <c r="W188" s="381"/>
      <c r="X188" s="381"/>
      <c r="Y188" s="381"/>
    </row>
    <row r="189">
      <c r="A189" s="359"/>
      <c r="B189" s="381"/>
      <c r="C189" s="18"/>
      <c r="D189" s="359"/>
      <c r="E189" s="607"/>
      <c r="F189" s="359"/>
      <c r="G189" s="381"/>
      <c r="H189" s="381"/>
      <c r="I189" s="381"/>
      <c r="J189" s="381"/>
      <c r="K189" s="381"/>
      <c r="L189" s="381"/>
      <c r="M189" s="381"/>
      <c r="N189" s="381"/>
      <c r="O189" s="381"/>
      <c r="P189" s="381"/>
      <c r="Q189" s="381"/>
      <c r="R189" s="381"/>
      <c r="S189" s="381"/>
      <c r="T189" s="381"/>
      <c r="U189" s="381"/>
      <c r="V189" s="381"/>
      <c r="W189" s="381"/>
      <c r="X189" s="381"/>
      <c r="Y189" s="381"/>
    </row>
    <row r="190">
      <c r="A190" s="359"/>
      <c r="B190" s="381"/>
      <c r="C190" s="18"/>
      <c r="D190" s="359"/>
      <c r="E190" s="607"/>
      <c r="F190" s="359"/>
      <c r="G190" s="381"/>
      <c r="H190" s="381"/>
      <c r="I190" s="381"/>
      <c r="J190" s="381"/>
      <c r="K190" s="381"/>
      <c r="L190" s="381"/>
      <c r="M190" s="381"/>
      <c r="N190" s="381"/>
      <c r="O190" s="381"/>
      <c r="P190" s="381"/>
      <c r="Q190" s="381"/>
      <c r="R190" s="381"/>
      <c r="S190" s="381"/>
      <c r="T190" s="381"/>
      <c r="U190" s="381"/>
      <c r="V190" s="381"/>
      <c r="W190" s="381"/>
      <c r="X190" s="381"/>
      <c r="Y190" s="381"/>
    </row>
    <row r="191">
      <c r="A191" s="359"/>
      <c r="B191" s="381"/>
      <c r="C191" s="18"/>
      <c r="D191" s="359"/>
      <c r="E191" s="607"/>
      <c r="F191" s="359"/>
      <c r="G191" s="381"/>
      <c r="H191" s="381"/>
      <c r="I191" s="381"/>
      <c r="J191" s="381"/>
      <c r="K191" s="381"/>
      <c r="L191" s="381"/>
      <c r="M191" s="381"/>
      <c r="N191" s="381"/>
      <c r="O191" s="381"/>
      <c r="P191" s="381"/>
      <c r="Q191" s="381"/>
      <c r="R191" s="381"/>
      <c r="S191" s="381"/>
      <c r="T191" s="381"/>
      <c r="U191" s="381"/>
      <c r="V191" s="381"/>
      <c r="W191" s="381"/>
      <c r="X191" s="381"/>
      <c r="Y191" s="381"/>
    </row>
    <row r="192">
      <c r="A192" s="359"/>
      <c r="B192" s="381"/>
      <c r="C192" s="18"/>
      <c r="D192" s="359"/>
      <c r="E192" s="607"/>
      <c r="F192" s="359"/>
      <c r="G192" s="381"/>
      <c r="H192" s="381"/>
      <c r="I192" s="381"/>
      <c r="J192" s="381"/>
      <c r="K192" s="381"/>
      <c r="L192" s="381"/>
      <c r="M192" s="381"/>
      <c r="N192" s="381"/>
      <c r="O192" s="381"/>
      <c r="P192" s="381"/>
      <c r="Q192" s="381"/>
      <c r="R192" s="381"/>
      <c r="S192" s="381"/>
      <c r="T192" s="381"/>
      <c r="U192" s="381"/>
      <c r="V192" s="381"/>
      <c r="W192" s="381"/>
      <c r="X192" s="381"/>
      <c r="Y192" s="381"/>
    </row>
    <row r="193">
      <c r="A193" s="359"/>
      <c r="B193" s="381"/>
      <c r="C193" s="18"/>
      <c r="D193" s="359"/>
      <c r="E193" s="607"/>
      <c r="F193" s="359"/>
      <c r="G193" s="381"/>
      <c r="H193" s="381"/>
      <c r="I193" s="381"/>
      <c r="J193" s="381"/>
      <c r="K193" s="381"/>
      <c r="L193" s="381"/>
      <c r="M193" s="381"/>
      <c r="N193" s="381"/>
      <c r="O193" s="381"/>
      <c r="P193" s="381"/>
      <c r="Q193" s="381"/>
      <c r="R193" s="381"/>
      <c r="S193" s="381"/>
      <c r="T193" s="381"/>
      <c r="U193" s="381"/>
      <c r="V193" s="381"/>
      <c r="W193" s="381"/>
      <c r="X193" s="381"/>
      <c r="Y193" s="381"/>
    </row>
    <row r="194">
      <c r="A194" s="359"/>
      <c r="B194" s="381"/>
      <c r="C194" s="18"/>
      <c r="D194" s="359"/>
      <c r="E194" s="607"/>
      <c r="F194" s="359"/>
      <c r="G194" s="381"/>
      <c r="H194" s="381"/>
      <c r="I194" s="381"/>
      <c r="J194" s="381"/>
      <c r="K194" s="381"/>
      <c r="L194" s="381"/>
      <c r="M194" s="381"/>
      <c r="N194" s="381"/>
      <c r="O194" s="381"/>
      <c r="P194" s="381"/>
      <c r="Q194" s="381"/>
      <c r="R194" s="381"/>
      <c r="S194" s="381"/>
      <c r="T194" s="381"/>
      <c r="U194" s="381"/>
      <c r="V194" s="381"/>
      <c r="W194" s="381"/>
      <c r="X194" s="381"/>
      <c r="Y194" s="381"/>
    </row>
    <row r="195">
      <c r="A195" s="359"/>
      <c r="B195" s="381"/>
      <c r="C195" s="18"/>
      <c r="D195" s="359"/>
      <c r="E195" s="607"/>
      <c r="F195" s="359"/>
      <c r="G195" s="381"/>
      <c r="H195" s="381"/>
      <c r="I195" s="381"/>
      <c r="J195" s="381"/>
      <c r="K195" s="381"/>
      <c r="L195" s="381"/>
      <c r="M195" s="381"/>
      <c r="N195" s="381"/>
      <c r="O195" s="381"/>
      <c r="P195" s="381"/>
      <c r="Q195" s="381"/>
      <c r="R195" s="381"/>
      <c r="S195" s="381"/>
      <c r="T195" s="381"/>
      <c r="U195" s="381"/>
      <c r="V195" s="381"/>
      <c r="W195" s="381"/>
      <c r="X195" s="381"/>
      <c r="Y195" s="381"/>
    </row>
    <row r="196">
      <c r="A196" s="359"/>
      <c r="B196" s="381"/>
      <c r="C196" s="18"/>
      <c r="D196" s="359"/>
      <c r="E196" s="607"/>
      <c r="F196" s="359"/>
      <c r="G196" s="381"/>
      <c r="H196" s="381"/>
      <c r="I196" s="381"/>
      <c r="J196" s="381"/>
      <c r="K196" s="381"/>
      <c r="L196" s="381"/>
      <c r="M196" s="381"/>
      <c r="N196" s="381"/>
      <c r="O196" s="381"/>
      <c r="P196" s="381"/>
      <c r="Q196" s="381"/>
      <c r="R196" s="381"/>
      <c r="S196" s="381"/>
      <c r="T196" s="381"/>
      <c r="U196" s="381"/>
      <c r="V196" s="381"/>
      <c r="W196" s="381"/>
      <c r="X196" s="381"/>
      <c r="Y196" s="381"/>
    </row>
    <row r="197">
      <c r="A197" s="359"/>
      <c r="B197" s="381"/>
      <c r="C197" s="18"/>
      <c r="D197" s="359"/>
      <c r="E197" s="607"/>
      <c r="F197" s="359"/>
      <c r="G197" s="381"/>
      <c r="H197" s="381"/>
      <c r="I197" s="381"/>
      <c r="J197" s="381"/>
      <c r="K197" s="381"/>
      <c r="L197" s="381"/>
      <c r="M197" s="381"/>
      <c r="N197" s="381"/>
      <c r="O197" s="381"/>
      <c r="P197" s="381"/>
      <c r="Q197" s="381"/>
      <c r="R197" s="381"/>
      <c r="S197" s="381"/>
      <c r="T197" s="381"/>
      <c r="U197" s="381"/>
      <c r="V197" s="381"/>
      <c r="W197" s="381"/>
      <c r="X197" s="381"/>
      <c r="Y197" s="381"/>
    </row>
    <row r="198">
      <c r="A198" s="359"/>
      <c r="B198" s="381"/>
      <c r="C198" s="18"/>
      <c r="D198" s="359"/>
      <c r="E198" s="607"/>
      <c r="F198" s="359"/>
      <c r="G198" s="381"/>
      <c r="H198" s="381"/>
      <c r="I198" s="381"/>
      <c r="J198" s="381"/>
      <c r="K198" s="381"/>
      <c r="L198" s="381"/>
      <c r="M198" s="381"/>
      <c r="N198" s="381"/>
      <c r="O198" s="381"/>
      <c r="P198" s="381"/>
      <c r="Q198" s="381"/>
      <c r="R198" s="381"/>
      <c r="S198" s="381"/>
      <c r="T198" s="381"/>
      <c r="U198" s="381"/>
      <c r="V198" s="381"/>
      <c r="W198" s="381"/>
      <c r="X198" s="381"/>
      <c r="Y198" s="381"/>
    </row>
    <row r="199">
      <c r="A199" s="359"/>
      <c r="B199" s="381"/>
      <c r="C199" s="18"/>
      <c r="D199" s="359"/>
      <c r="E199" s="607"/>
      <c r="F199" s="359"/>
      <c r="G199" s="381"/>
      <c r="H199" s="381"/>
      <c r="I199" s="381"/>
      <c r="J199" s="381"/>
      <c r="K199" s="381"/>
      <c r="L199" s="381"/>
      <c r="M199" s="381"/>
      <c r="N199" s="381"/>
      <c r="O199" s="381"/>
      <c r="P199" s="381"/>
      <c r="Q199" s="381"/>
      <c r="R199" s="381"/>
      <c r="S199" s="381"/>
      <c r="T199" s="381"/>
      <c r="U199" s="381"/>
      <c r="V199" s="381"/>
      <c r="W199" s="381"/>
      <c r="X199" s="381"/>
      <c r="Y199" s="381"/>
    </row>
    <row r="200">
      <c r="A200" s="359"/>
      <c r="B200" s="381"/>
      <c r="C200" s="18"/>
      <c r="D200" s="359"/>
      <c r="E200" s="607"/>
      <c r="F200" s="359"/>
      <c r="G200" s="381"/>
      <c r="H200" s="381"/>
      <c r="I200" s="381"/>
      <c r="J200" s="381"/>
      <c r="K200" s="381"/>
      <c r="L200" s="381"/>
      <c r="M200" s="381"/>
      <c r="N200" s="381"/>
      <c r="O200" s="381"/>
      <c r="P200" s="381"/>
      <c r="Q200" s="381"/>
      <c r="R200" s="381"/>
      <c r="S200" s="381"/>
      <c r="T200" s="381"/>
      <c r="U200" s="381"/>
      <c r="V200" s="381"/>
      <c r="W200" s="381"/>
      <c r="X200" s="381"/>
      <c r="Y200" s="381"/>
    </row>
    <row r="201">
      <c r="A201" s="359"/>
      <c r="B201" s="381"/>
      <c r="C201" s="18"/>
      <c r="D201" s="359"/>
      <c r="E201" s="607"/>
      <c r="F201" s="359"/>
      <c r="G201" s="381"/>
      <c r="H201" s="381"/>
      <c r="I201" s="381"/>
      <c r="J201" s="381"/>
      <c r="K201" s="381"/>
      <c r="L201" s="381"/>
      <c r="M201" s="381"/>
      <c r="N201" s="381"/>
      <c r="O201" s="381"/>
      <c r="P201" s="381"/>
      <c r="Q201" s="381"/>
      <c r="R201" s="381"/>
      <c r="S201" s="381"/>
      <c r="T201" s="381"/>
      <c r="U201" s="381"/>
      <c r="V201" s="381"/>
      <c r="W201" s="381"/>
      <c r="X201" s="381"/>
      <c r="Y201" s="381"/>
    </row>
    <row r="202">
      <c r="A202" s="359"/>
      <c r="B202" s="381"/>
      <c r="C202" s="18"/>
      <c r="D202" s="359"/>
      <c r="E202" s="607"/>
      <c r="F202" s="359"/>
      <c r="G202" s="381"/>
      <c r="H202" s="381"/>
      <c r="I202" s="381"/>
      <c r="J202" s="381"/>
      <c r="K202" s="381"/>
      <c r="L202" s="381"/>
      <c r="M202" s="381"/>
      <c r="N202" s="381"/>
      <c r="O202" s="381"/>
      <c r="P202" s="381"/>
      <c r="Q202" s="381"/>
      <c r="R202" s="381"/>
      <c r="S202" s="381"/>
      <c r="T202" s="381"/>
      <c r="U202" s="381"/>
      <c r="V202" s="381"/>
      <c r="W202" s="381"/>
      <c r="X202" s="381"/>
      <c r="Y202" s="381"/>
    </row>
    <row r="203">
      <c r="A203" s="359"/>
      <c r="B203" s="381"/>
      <c r="C203" s="18"/>
      <c r="D203" s="359"/>
      <c r="E203" s="607"/>
      <c r="F203" s="359"/>
      <c r="G203" s="381"/>
      <c r="H203" s="381"/>
      <c r="I203" s="381"/>
      <c r="J203" s="381"/>
      <c r="K203" s="381"/>
      <c r="L203" s="381"/>
      <c r="M203" s="381"/>
      <c r="N203" s="381"/>
      <c r="O203" s="381"/>
      <c r="P203" s="381"/>
      <c r="Q203" s="381"/>
      <c r="R203" s="381"/>
      <c r="S203" s="381"/>
      <c r="T203" s="381"/>
      <c r="U203" s="381"/>
      <c r="V203" s="381"/>
      <c r="W203" s="381"/>
      <c r="X203" s="381"/>
      <c r="Y203" s="381"/>
    </row>
    <row r="204">
      <c r="A204" s="359"/>
      <c r="B204" s="381"/>
      <c r="C204" s="18"/>
      <c r="D204" s="359"/>
      <c r="E204" s="607"/>
      <c r="F204" s="359"/>
      <c r="G204" s="381"/>
      <c r="H204" s="381"/>
      <c r="I204" s="381"/>
      <c r="J204" s="381"/>
      <c r="K204" s="381"/>
      <c r="L204" s="381"/>
      <c r="M204" s="381"/>
      <c r="N204" s="381"/>
      <c r="O204" s="381"/>
      <c r="P204" s="381"/>
      <c r="Q204" s="381"/>
      <c r="R204" s="381"/>
      <c r="S204" s="381"/>
      <c r="T204" s="381"/>
      <c r="U204" s="381"/>
      <c r="V204" s="381"/>
      <c r="W204" s="381"/>
      <c r="X204" s="381"/>
      <c r="Y204" s="381"/>
    </row>
    <row r="205">
      <c r="A205" s="359"/>
      <c r="B205" s="381"/>
      <c r="C205" s="18"/>
      <c r="D205" s="359"/>
      <c r="E205" s="607"/>
      <c r="F205" s="359"/>
      <c r="G205" s="381"/>
      <c r="H205" s="381"/>
      <c r="I205" s="381"/>
      <c r="J205" s="381"/>
      <c r="K205" s="381"/>
      <c r="L205" s="381"/>
      <c r="M205" s="381"/>
      <c r="N205" s="381"/>
      <c r="O205" s="381"/>
      <c r="P205" s="381"/>
      <c r="Q205" s="381"/>
      <c r="R205" s="381"/>
      <c r="S205" s="381"/>
      <c r="T205" s="381"/>
      <c r="U205" s="381"/>
      <c r="V205" s="381"/>
      <c r="W205" s="381"/>
      <c r="X205" s="381"/>
      <c r="Y205" s="381"/>
    </row>
    <row r="206">
      <c r="A206" s="359"/>
      <c r="B206" s="381"/>
      <c r="C206" s="18"/>
      <c r="D206" s="359"/>
      <c r="E206" s="607"/>
      <c r="F206" s="359"/>
      <c r="G206" s="381"/>
      <c r="H206" s="381"/>
      <c r="I206" s="381"/>
      <c r="J206" s="381"/>
      <c r="K206" s="381"/>
      <c r="L206" s="381"/>
      <c r="M206" s="381"/>
      <c r="N206" s="381"/>
      <c r="O206" s="381"/>
      <c r="P206" s="381"/>
      <c r="Q206" s="381"/>
      <c r="R206" s="381"/>
      <c r="S206" s="381"/>
      <c r="T206" s="381"/>
      <c r="U206" s="381"/>
      <c r="V206" s="381"/>
      <c r="W206" s="381"/>
      <c r="X206" s="381"/>
      <c r="Y206" s="381"/>
    </row>
    <row r="207">
      <c r="A207" s="359"/>
      <c r="B207" s="381"/>
      <c r="C207" s="18"/>
      <c r="D207" s="359"/>
      <c r="E207" s="607"/>
      <c r="F207" s="359"/>
      <c r="G207" s="381"/>
      <c r="H207" s="381"/>
      <c r="I207" s="381"/>
      <c r="J207" s="381"/>
      <c r="K207" s="381"/>
      <c r="L207" s="381"/>
      <c r="M207" s="381"/>
      <c r="N207" s="381"/>
      <c r="O207" s="381"/>
      <c r="P207" s="381"/>
      <c r="Q207" s="381"/>
      <c r="R207" s="381"/>
      <c r="S207" s="381"/>
      <c r="T207" s="381"/>
      <c r="U207" s="381"/>
      <c r="V207" s="381"/>
      <c r="W207" s="381"/>
      <c r="X207" s="381"/>
      <c r="Y207" s="381"/>
    </row>
    <row r="208">
      <c r="A208" s="359"/>
      <c r="B208" s="381"/>
      <c r="C208" s="18"/>
      <c r="D208" s="359"/>
      <c r="E208" s="607"/>
      <c r="F208" s="359"/>
      <c r="G208" s="381"/>
      <c r="H208" s="381"/>
      <c r="I208" s="381"/>
      <c r="J208" s="381"/>
      <c r="K208" s="381"/>
      <c r="L208" s="381"/>
      <c r="M208" s="381"/>
      <c r="N208" s="381"/>
      <c r="O208" s="381"/>
      <c r="P208" s="381"/>
      <c r="Q208" s="381"/>
      <c r="R208" s="381"/>
      <c r="S208" s="381"/>
      <c r="T208" s="381"/>
      <c r="U208" s="381"/>
      <c r="V208" s="381"/>
      <c r="W208" s="381"/>
      <c r="X208" s="381"/>
      <c r="Y208" s="381"/>
    </row>
    <row r="209">
      <c r="A209" s="359"/>
      <c r="B209" s="381"/>
      <c r="C209" s="18"/>
      <c r="D209" s="359"/>
      <c r="E209" s="607"/>
      <c r="F209" s="359"/>
      <c r="G209" s="381"/>
      <c r="H209" s="381"/>
      <c r="I209" s="381"/>
      <c r="J209" s="381"/>
      <c r="K209" s="381"/>
      <c r="L209" s="381"/>
      <c r="M209" s="381"/>
      <c r="N209" s="381"/>
      <c r="O209" s="381"/>
      <c r="P209" s="381"/>
      <c r="Q209" s="381"/>
      <c r="R209" s="381"/>
      <c r="S209" s="381"/>
      <c r="T209" s="381"/>
      <c r="U209" s="381"/>
      <c r="V209" s="381"/>
      <c r="W209" s="381"/>
      <c r="X209" s="381"/>
      <c r="Y209" s="381"/>
    </row>
    <row r="210">
      <c r="A210" s="359"/>
      <c r="B210" s="381"/>
      <c r="C210" s="18"/>
      <c r="D210" s="359"/>
      <c r="E210" s="607"/>
      <c r="F210" s="359"/>
      <c r="G210" s="381"/>
      <c r="H210" s="381"/>
      <c r="I210" s="381"/>
      <c r="J210" s="381"/>
      <c r="K210" s="381"/>
      <c r="L210" s="381"/>
      <c r="M210" s="381"/>
      <c r="N210" s="381"/>
      <c r="O210" s="381"/>
      <c r="P210" s="381"/>
      <c r="Q210" s="381"/>
      <c r="R210" s="381"/>
      <c r="S210" s="381"/>
      <c r="T210" s="381"/>
      <c r="U210" s="381"/>
      <c r="V210" s="381"/>
      <c r="W210" s="381"/>
      <c r="X210" s="381"/>
      <c r="Y210" s="381"/>
    </row>
    <row r="211">
      <c r="A211" s="359"/>
      <c r="B211" s="381"/>
      <c r="C211" s="18"/>
      <c r="D211" s="359"/>
      <c r="E211" s="607"/>
      <c r="F211" s="359"/>
      <c r="G211" s="381"/>
      <c r="H211" s="381"/>
      <c r="I211" s="381"/>
      <c r="J211" s="381"/>
      <c r="K211" s="381"/>
      <c r="L211" s="381"/>
      <c r="M211" s="381"/>
      <c r="N211" s="381"/>
      <c r="O211" s="381"/>
      <c r="P211" s="381"/>
      <c r="Q211" s="381"/>
      <c r="R211" s="381"/>
      <c r="S211" s="381"/>
      <c r="T211" s="381"/>
      <c r="U211" s="381"/>
      <c r="V211" s="381"/>
      <c r="W211" s="381"/>
      <c r="X211" s="381"/>
      <c r="Y211" s="381"/>
    </row>
    <row r="212">
      <c r="A212" s="359"/>
      <c r="B212" s="381"/>
      <c r="C212" s="18"/>
      <c r="D212" s="359"/>
      <c r="E212" s="607"/>
      <c r="F212" s="359"/>
      <c r="G212" s="381"/>
      <c r="H212" s="381"/>
      <c r="I212" s="381"/>
      <c r="J212" s="381"/>
      <c r="K212" s="381"/>
      <c r="L212" s="381"/>
      <c r="M212" s="381"/>
      <c r="N212" s="381"/>
      <c r="O212" s="381"/>
      <c r="P212" s="381"/>
      <c r="Q212" s="381"/>
      <c r="R212" s="381"/>
      <c r="S212" s="381"/>
      <c r="T212" s="381"/>
      <c r="U212" s="381"/>
      <c r="V212" s="381"/>
      <c r="W212" s="381"/>
      <c r="X212" s="381"/>
      <c r="Y212" s="381"/>
    </row>
    <row r="213">
      <c r="A213" s="359"/>
      <c r="B213" s="381"/>
      <c r="C213" s="18"/>
      <c r="D213" s="359"/>
      <c r="E213" s="607"/>
      <c r="F213" s="359"/>
      <c r="G213" s="381"/>
      <c r="H213" s="381"/>
      <c r="I213" s="381"/>
      <c r="J213" s="381"/>
      <c r="K213" s="381"/>
      <c r="L213" s="381"/>
      <c r="M213" s="381"/>
      <c r="N213" s="381"/>
      <c r="O213" s="381"/>
      <c r="P213" s="381"/>
      <c r="Q213" s="381"/>
      <c r="R213" s="381"/>
      <c r="S213" s="381"/>
      <c r="T213" s="381"/>
      <c r="U213" s="381"/>
      <c r="V213" s="381"/>
      <c r="W213" s="381"/>
      <c r="X213" s="381"/>
      <c r="Y213" s="381"/>
    </row>
    <row r="214">
      <c r="A214" s="359"/>
      <c r="B214" s="381"/>
      <c r="C214" s="18"/>
      <c r="D214" s="359"/>
      <c r="E214" s="607"/>
      <c r="F214" s="359"/>
      <c r="G214" s="381"/>
      <c r="H214" s="381"/>
      <c r="I214" s="381"/>
      <c r="J214" s="381"/>
      <c r="K214" s="381"/>
      <c r="L214" s="381"/>
      <c r="M214" s="381"/>
      <c r="N214" s="381"/>
      <c r="O214" s="381"/>
      <c r="P214" s="381"/>
      <c r="Q214" s="381"/>
      <c r="R214" s="381"/>
      <c r="S214" s="381"/>
      <c r="T214" s="381"/>
      <c r="U214" s="381"/>
      <c r="V214" s="381"/>
      <c r="W214" s="381"/>
      <c r="X214" s="381"/>
      <c r="Y214" s="381"/>
    </row>
    <row r="215">
      <c r="A215" s="359"/>
      <c r="B215" s="381"/>
      <c r="C215" s="18"/>
      <c r="D215" s="359"/>
      <c r="E215" s="607"/>
      <c r="F215" s="359"/>
      <c r="G215" s="381"/>
      <c r="H215" s="381"/>
      <c r="I215" s="381"/>
      <c r="J215" s="381"/>
      <c r="K215" s="381"/>
      <c r="L215" s="381"/>
      <c r="M215" s="381"/>
      <c r="N215" s="381"/>
      <c r="O215" s="381"/>
      <c r="P215" s="381"/>
      <c r="Q215" s="381"/>
      <c r="R215" s="381"/>
      <c r="S215" s="381"/>
      <c r="T215" s="381"/>
      <c r="U215" s="381"/>
      <c r="V215" s="381"/>
      <c r="W215" s="381"/>
      <c r="X215" s="381"/>
      <c r="Y215" s="381"/>
    </row>
    <row r="216">
      <c r="A216" s="359"/>
      <c r="B216" s="381"/>
      <c r="C216" s="18"/>
      <c r="D216" s="359"/>
      <c r="E216" s="607"/>
      <c r="F216" s="359"/>
      <c r="G216" s="381"/>
      <c r="H216" s="381"/>
      <c r="I216" s="381"/>
      <c r="J216" s="381"/>
      <c r="K216" s="381"/>
      <c r="L216" s="381"/>
      <c r="M216" s="381"/>
      <c r="N216" s="381"/>
      <c r="O216" s="381"/>
      <c r="P216" s="381"/>
      <c r="Q216" s="381"/>
      <c r="R216" s="381"/>
      <c r="S216" s="381"/>
      <c r="T216" s="381"/>
      <c r="U216" s="381"/>
      <c r="V216" s="381"/>
      <c r="W216" s="381"/>
      <c r="X216" s="381"/>
      <c r="Y216" s="381"/>
    </row>
    <row r="217">
      <c r="A217" s="359"/>
      <c r="B217" s="381"/>
      <c r="C217" s="18"/>
      <c r="D217" s="359"/>
      <c r="E217" s="607"/>
      <c r="F217" s="359"/>
      <c r="G217" s="381"/>
      <c r="H217" s="381"/>
      <c r="I217" s="381"/>
      <c r="J217" s="381"/>
      <c r="K217" s="381"/>
      <c r="L217" s="381"/>
      <c r="M217" s="381"/>
      <c r="N217" s="381"/>
      <c r="O217" s="381"/>
      <c r="P217" s="381"/>
      <c r="Q217" s="381"/>
      <c r="R217" s="381"/>
      <c r="S217" s="381"/>
      <c r="T217" s="381"/>
      <c r="U217" s="381"/>
      <c r="V217" s="381"/>
      <c r="W217" s="381"/>
      <c r="X217" s="381"/>
      <c r="Y217" s="381"/>
    </row>
    <row r="218">
      <c r="A218" s="359"/>
      <c r="B218" s="381"/>
      <c r="C218" s="18"/>
      <c r="D218" s="359"/>
      <c r="E218" s="607"/>
      <c r="F218" s="359"/>
      <c r="G218" s="381"/>
      <c r="H218" s="381"/>
      <c r="I218" s="381"/>
      <c r="J218" s="381"/>
      <c r="K218" s="381"/>
      <c r="L218" s="381"/>
      <c r="M218" s="381"/>
      <c r="N218" s="381"/>
      <c r="O218" s="381"/>
      <c r="P218" s="381"/>
      <c r="Q218" s="381"/>
      <c r="R218" s="381"/>
      <c r="S218" s="381"/>
      <c r="T218" s="381"/>
      <c r="U218" s="381"/>
      <c r="V218" s="381"/>
      <c r="W218" s="381"/>
      <c r="X218" s="381"/>
      <c r="Y218" s="381"/>
    </row>
    <row r="219">
      <c r="A219" s="359"/>
      <c r="B219" s="381"/>
      <c r="C219" s="18"/>
      <c r="D219" s="359"/>
      <c r="E219" s="607"/>
      <c r="F219" s="359"/>
      <c r="G219" s="381"/>
      <c r="H219" s="381"/>
      <c r="I219" s="381"/>
      <c r="J219" s="381"/>
      <c r="K219" s="381"/>
      <c r="L219" s="381"/>
      <c r="M219" s="381"/>
      <c r="N219" s="381"/>
      <c r="O219" s="381"/>
      <c r="P219" s="381"/>
      <c r="Q219" s="381"/>
      <c r="R219" s="381"/>
      <c r="S219" s="381"/>
      <c r="T219" s="381"/>
      <c r="U219" s="381"/>
      <c r="V219" s="381"/>
      <c r="W219" s="381"/>
      <c r="X219" s="381"/>
      <c r="Y219" s="381"/>
    </row>
    <row r="220">
      <c r="A220" s="359"/>
      <c r="B220" s="381"/>
      <c r="C220" s="18"/>
      <c r="D220" s="359"/>
      <c r="E220" s="607"/>
      <c r="F220" s="359"/>
      <c r="G220" s="381"/>
      <c r="H220" s="381"/>
      <c r="I220" s="381"/>
      <c r="J220" s="381"/>
      <c r="K220" s="381"/>
      <c r="L220" s="381"/>
      <c r="M220" s="381"/>
      <c r="N220" s="381"/>
      <c r="O220" s="381"/>
      <c r="P220" s="381"/>
      <c r="Q220" s="381"/>
      <c r="R220" s="381"/>
      <c r="S220" s="381"/>
      <c r="T220" s="381"/>
      <c r="U220" s="381"/>
      <c r="V220" s="381"/>
      <c r="W220" s="381"/>
      <c r="X220" s="381"/>
      <c r="Y220" s="381"/>
    </row>
    <row r="221">
      <c r="A221" s="359"/>
      <c r="B221" s="381"/>
      <c r="C221" s="18"/>
      <c r="D221" s="359"/>
      <c r="E221" s="607"/>
      <c r="F221" s="359"/>
      <c r="G221" s="381"/>
      <c r="H221" s="381"/>
      <c r="I221" s="381"/>
      <c r="J221" s="381"/>
      <c r="K221" s="381"/>
      <c r="L221" s="381"/>
      <c r="M221" s="381"/>
      <c r="N221" s="381"/>
      <c r="O221" s="381"/>
      <c r="P221" s="381"/>
      <c r="Q221" s="381"/>
      <c r="R221" s="381"/>
      <c r="S221" s="381"/>
      <c r="T221" s="381"/>
      <c r="U221" s="381"/>
      <c r="V221" s="381"/>
      <c r="W221" s="381"/>
      <c r="X221" s="381"/>
      <c r="Y221" s="381"/>
    </row>
    <row r="222">
      <c r="A222" s="359"/>
      <c r="B222" s="381"/>
      <c r="C222" s="18"/>
      <c r="D222" s="359"/>
      <c r="E222" s="607"/>
      <c r="F222" s="359"/>
      <c r="G222" s="381"/>
      <c r="H222" s="381"/>
      <c r="I222" s="381"/>
      <c r="J222" s="381"/>
      <c r="K222" s="381"/>
      <c r="L222" s="381"/>
      <c r="M222" s="381"/>
      <c r="N222" s="381"/>
      <c r="O222" s="381"/>
      <c r="P222" s="381"/>
      <c r="Q222" s="381"/>
      <c r="R222" s="381"/>
      <c r="S222" s="381"/>
      <c r="T222" s="381"/>
      <c r="U222" s="381"/>
      <c r="V222" s="381"/>
      <c r="W222" s="381"/>
      <c r="X222" s="381"/>
      <c r="Y222" s="381"/>
    </row>
    <row r="223">
      <c r="A223" s="359"/>
      <c r="B223" s="381"/>
      <c r="C223" s="18"/>
      <c r="D223" s="359"/>
      <c r="E223" s="607"/>
      <c r="F223" s="359"/>
      <c r="G223" s="381"/>
      <c r="H223" s="381"/>
      <c r="I223" s="381"/>
      <c r="J223" s="381"/>
      <c r="K223" s="381"/>
      <c r="L223" s="381"/>
      <c r="M223" s="381"/>
      <c r="N223" s="381"/>
      <c r="O223" s="381"/>
      <c r="P223" s="381"/>
      <c r="Q223" s="381"/>
      <c r="R223" s="381"/>
      <c r="S223" s="381"/>
      <c r="T223" s="381"/>
      <c r="U223" s="381"/>
      <c r="V223" s="381"/>
      <c r="W223" s="381"/>
      <c r="X223" s="381"/>
      <c r="Y223" s="381"/>
    </row>
    <row r="224">
      <c r="A224" s="359"/>
      <c r="B224" s="381"/>
      <c r="C224" s="18"/>
      <c r="D224" s="359"/>
      <c r="E224" s="607"/>
      <c r="F224" s="359"/>
      <c r="G224" s="381"/>
      <c r="H224" s="381"/>
      <c r="I224" s="381"/>
      <c r="J224" s="381"/>
      <c r="K224" s="381"/>
      <c r="L224" s="381"/>
      <c r="M224" s="381"/>
      <c r="N224" s="381"/>
      <c r="O224" s="381"/>
      <c r="P224" s="381"/>
      <c r="Q224" s="381"/>
      <c r="R224" s="381"/>
      <c r="S224" s="381"/>
      <c r="T224" s="381"/>
      <c r="U224" s="381"/>
      <c r="V224" s="381"/>
      <c r="W224" s="381"/>
      <c r="X224" s="381"/>
      <c r="Y224" s="381"/>
    </row>
    <row r="225">
      <c r="A225" s="359"/>
      <c r="B225" s="381"/>
      <c r="C225" s="18"/>
      <c r="D225" s="359"/>
      <c r="E225" s="607"/>
      <c r="F225" s="359"/>
      <c r="G225" s="381"/>
      <c r="H225" s="381"/>
      <c r="I225" s="381"/>
      <c r="J225" s="381"/>
      <c r="K225" s="381"/>
      <c r="L225" s="381"/>
      <c r="M225" s="381"/>
      <c r="N225" s="381"/>
      <c r="O225" s="381"/>
      <c r="P225" s="381"/>
      <c r="Q225" s="381"/>
      <c r="R225" s="381"/>
      <c r="S225" s="381"/>
      <c r="T225" s="381"/>
      <c r="U225" s="381"/>
      <c r="V225" s="381"/>
      <c r="W225" s="381"/>
      <c r="X225" s="381"/>
      <c r="Y225" s="381"/>
    </row>
    <row r="226">
      <c r="A226" s="359"/>
      <c r="B226" s="381"/>
      <c r="C226" s="18"/>
      <c r="D226" s="359"/>
      <c r="E226" s="607"/>
      <c r="F226" s="359"/>
      <c r="G226" s="381"/>
      <c r="H226" s="381"/>
      <c r="I226" s="381"/>
      <c r="J226" s="381"/>
      <c r="K226" s="381"/>
      <c r="L226" s="381"/>
      <c r="M226" s="381"/>
      <c r="N226" s="381"/>
      <c r="O226" s="381"/>
      <c r="P226" s="381"/>
      <c r="Q226" s="381"/>
      <c r="R226" s="381"/>
      <c r="S226" s="381"/>
      <c r="T226" s="381"/>
      <c r="U226" s="381"/>
      <c r="V226" s="381"/>
      <c r="W226" s="381"/>
      <c r="X226" s="381"/>
      <c r="Y226" s="381"/>
    </row>
    <row r="227">
      <c r="A227" s="359"/>
      <c r="B227" s="381"/>
      <c r="C227" s="18"/>
      <c r="D227" s="359"/>
      <c r="E227" s="607"/>
      <c r="F227" s="359"/>
      <c r="G227" s="381"/>
      <c r="H227" s="381"/>
      <c r="I227" s="381"/>
      <c r="J227" s="381"/>
      <c r="K227" s="381"/>
      <c r="L227" s="381"/>
      <c r="M227" s="381"/>
      <c r="N227" s="381"/>
      <c r="O227" s="381"/>
      <c r="P227" s="381"/>
      <c r="Q227" s="381"/>
      <c r="R227" s="381"/>
      <c r="S227" s="381"/>
      <c r="T227" s="381"/>
      <c r="U227" s="381"/>
      <c r="V227" s="381"/>
      <c r="W227" s="381"/>
      <c r="X227" s="381"/>
      <c r="Y227" s="381"/>
    </row>
    <row r="228">
      <c r="A228" s="359"/>
      <c r="B228" s="381"/>
      <c r="C228" s="18"/>
      <c r="D228" s="359"/>
      <c r="E228" s="607"/>
      <c r="F228" s="359"/>
      <c r="G228" s="381"/>
      <c r="H228" s="381"/>
      <c r="I228" s="381"/>
      <c r="J228" s="381"/>
      <c r="K228" s="381"/>
      <c r="L228" s="381"/>
      <c r="M228" s="381"/>
      <c r="N228" s="381"/>
      <c r="O228" s="381"/>
      <c r="P228" s="381"/>
      <c r="Q228" s="381"/>
      <c r="R228" s="381"/>
      <c r="S228" s="381"/>
      <c r="T228" s="381"/>
      <c r="U228" s="381"/>
      <c r="V228" s="381"/>
      <c r="W228" s="381"/>
      <c r="X228" s="381"/>
      <c r="Y228" s="381"/>
    </row>
    <row r="229">
      <c r="A229" s="359"/>
      <c r="B229" s="381"/>
      <c r="C229" s="18"/>
      <c r="D229" s="359"/>
      <c r="E229" s="607"/>
      <c r="F229" s="359"/>
      <c r="G229" s="381"/>
      <c r="H229" s="381"/>
      <c r="I229" s="381"/>
      <c r="J229" s="381"/>
      <c r="K229" s="381"/>
      <c r="L229" s="381"/>
      <c r="M229" s="381"/>
      <c r="N229" s="381"/>
      <c r="O229" s="381"/>
      <c r="P229" s="381"/>
      <c r="Q229" s="381"/>
      <c r="R229" s="381"/>
      <c r="S229" s="381"/>
      <c r="T229" s="381"/>
      <c r="U229" s="381"/>
      <c r="V229" s="381"/>
      <c r="W229" s="381"/>
      <c r="X229" s="381"/>
      <c r="Y229" s="381"/>
    </row>
    <row r="230">
      <c r="A230" s="359"/>
      <c r="B230" s="381"/>
      <c r="C230" s="18"/>
      <c r="D230" s="359"/>
      <c r="E230" s="607"/>
      <c r="F230" s="359"/>
      <c r="G230" s="381"/>
      <c r="H230" s="381"/>
      <c r="I230" s="381"/>
      <c r="J230" s="381"/>
      <c r="K230" s="381"/>
      <c r="L230" s="381"/>
      <c r="M230" s="381"/>
      <c r="N230" s="381"/>
      <c r="O230" s="381"/>
      <c r="P230" s="381"/>
      <c r="Q230" s="381"/>
      <c r="R230" s="381"/>
      <c r="S230" s="381"/>
      <c r="T230" s="381"/>
      <c r="U230" s="381"/>
      <c r="V230" s="381"/>
      <c r="W230" s="381"/>
      <c r="X230" s="381"/>
      <c r="Y230" s="381"/>
    </row>
    <row r="231">
      <c r="A231" s="359"/>
      <c r="B231" s="381"/>
      <c r="C231" s="18"/>
      <c r="D231" s="359"/>
      <c r="E231" s="607"/>
      <c r="F231" s="359"/>
      <c r="G231" s="381"/>
      <c r="H231" s="381"/>
      <c r="I231" s="381"/>
      <c r="J231" s="381"/>
      <c r="K231" s="381"/>
      <c r="L231" s="381"/>
      <c r="M231" s="381"/>
      <c r="N231" s="381"/>
      <c r="O231" s="381"/>
      <c r="P231" s="381"/>
      <c r="Q231" s="381"/>
      <c r="R231" s="381"/>
      <c r="S231" s="381"/>
      <c r="T231" s="381"/>
      <c r="U231" s="381"/>
      <c r="V231" s="381"/>
      <c r="W231" s="381"/>
      <c r="X231" s="381"/>
      <c r="Y231" s="381"/>
    </row>
    <row r="232">
      <c r="A232" s="359"/>
      <c r="B232" s="381"/>
      <c r="C232" s="18"/>
      <c r="D232" s="359"/>
      <c r="E232" s="607"/>
      <c r="F232" s="359"/>
      <c r="G232" s="381"/>
      <c r="H232" s="381"/>
      <c r="I232" s="381"/>
      <c r="J232" s="381"/>
      <c r="K232" s="381"/>
      <c r="L232" s="381"/>
      <c r="M232" s="381"/>
      <c r="N232" s="381"/>
      <c r="O232" s="381"/>
      <c r="P232" s="381"/>
      <c r="Q232" s="381"/>
      <c r="R232" s="381"/>
      <c r="S232" s="381"/>
      <c r="T232" s="381"/>
      <c r="U232" s="381"/>
      <c r="V232" s="381"/>
      <c r="W232" s="381"/>
      <c r="X232" s="381"/>
      <c r="Y232" s="381"/>
    </row>
    <row r="233">
      <c r="A233" s="359"/>
      <c r="B233" s="381"/>
      <c r="C233" s="18"/>
      <c r="D233" s="359"/>
      <c r="E233" s="607"/>
      <c r="F233" s="359"/>
      <c r="G233" s="381"/>
      <c r="H233" s="381"/>
      <c r="I233" s="381"/>
      <c r="J233" s="381"/>
      <c r="K233" s="381"/>
      <c r="L233" s="381"/>
      <c r="M233" s="381"/>
      <c r="N233" s="381"/>
      <c r="O233" s="381"/>
      <c r="P233" s="381"/>
      <c r="Q233" s="381"/>
      <c r="R233" s="381"/>
      <c r="S233" s="381"/>
      <c r="T233" s="381"/>
      <c r="U233" s="381"/>
      <c r="V233" s="381"/>
      <c r="W233" s="381"/>
      <c r="X233" s="381"/>
      <c r="Y233" s="381"/>
    </row>
    <row r="234">
      <c r="A234" s="359"/>
      <c r="B234" s="381"/>
      <c r="C234" s="18"/>
      <c r="D234" s="359"/>
      <c r="E234" s="607"/>
      <c r="F234" s="359"/>
      <c r="G234" s="381"/>
      <c r="H234" s="381"/>
      <c r="I234" s="381"/>
      <c r="J234" s="381"/>
      <c r="K234" s="381"/>
      <c r="L234" s="381"/>
      <c r="M234" s="381"/>
      <c r="N234" s="381"/>
      <c r="O234" s="381"/>
      <c r="P234" s="381"/>
      <c r="Q234" s="381"/>
      <c r="R234" s="381"/>
      <c r="S234" s="381"/>
      <c r="T234" s="381"/>
      <c r="U234" s="381"/>
      <c r="V234" s="381"/>
      <c r="W234" s="381"/>
      <c r="X234" s="381"/>
      <c r="Y234" s="381"/>
    </row>
    <row r="235">
      <c r="A235" s="359"/>
      <c r="B235" s="381"/>
      <c r="C235" s="18"/>
      <c r="D235" s="359"/>
      <c r="E235" s="607"/>
      <c r="F235" s="359"/>
      <c r="G235" s="381"/>
      <c r="H235" s="381"/>
      <c r="I235" s="381"/>
      <c r="J235" s="381"/>
      <c r="K235" s="381"/>
      <c r="L235" s="381"/>
      <c r="M235" s="381"/>
      <c r="N235" s="381"/>
      <c r="O235" s="381"/>
      <c r="P235" s="381"/>
      <c r="Q235" s="381"/>
      <c r="R235" s="381"/>
      <c r="S235" s="381"/>
      <c r="T235" s="381"/>
      <c r="U235" s="381"/>
      <c r="V235" s="381"/>
      <c r="W235" s="381"/>
      <c r="X235" s="381"/>
      <c r="Y235" s="381"/>
    </row>
    <row r="236">
      <c r="A236" s="359"/>
      <c r="B236" s="381"/>
      <c r="C236" s="18"/>
      <c r="D236" s="359"/>
      <c r="E236" s="607"/>
      <c r="F236" s="359"/>
      <c r="G236" s="381"/>
      <c r="H236" s="381"/>
      <c r="I236" s="381"/>
      <c r="J236" s="381"/>
      <c r="K236" s="381"/>
      <c r="L236" s="381"/>
      <c r="M236" s="381"/>
      <c r="N236" s="381"/>
      <c r="O236" s="381"/>
      <c r="P236" s="381"/>
      <c r="Q236" s="381"/>
      <c r="R236" s="381"/>
      <c r="S236" s="381"/>
      <c r="T236" s="381"/>
      <c r="U236" s="381"/>
      <c r="V236" s="381"/>
      <c r="W236" s="381"/>
      <c r="X236" s="381"/>
      <c r="Y236" s="381"/>
    </row>
    <row r="237">
      <c r="A237" s="359"/>
      <c r="B237" s="381"/>
      <c r="C237" s="18"/>
      <c r="D237" s="359"/>
      <c r="E237" s="607"/>
      <c r="F237" s="359"/>
      <c r="G237" s="381"/>
      <c r="H237" s="381"/>
      <c r="I237" s="381"/>
      <c r="J237" s="381"/>
      <c r="K237" s="381"/>
      <c r="L237" s="381"/>
      <c r="M237" s="381"/>
      <c r="N237" s="381"/>
      <c r="O237" s="381"/>
      <c r="P237" s="381"/>
      <c r="Q237" s="381"/>
      <c r="R237" s="381"/>
      <c r="S237" s="381"/>
      <c r="T237" s="381"/>
      <c r="U237" s="381"/>
      <c r="V237" s="381"/>
      <c r="W237" s="381"/>
      <c r="X237" s="381"/>
      <c r="Y237" s="381"/>
    </row>
    <row r="238">
      <c r="A238" s="359"/>
      <c r="B238" s="381"/>
      <c r="C238" s="18"/>
      <c r="D238" s="359"/>
      <c r="E238" s="607"/>
      <c r="F238" s="359"/>
      <c r="G238" s="381"/>
      <c r="H238" s="381"/>
      <c r="I238" s="381"/>
      <c r="J238" s="381"/>
      <c r="K238" s="381"/>
      <c r="L238" s="381"/>
      <c r="M238" s="381"/>
      <c r="N238" s="381"/>
      <c r="O238" s="381"/>
      <c r="P238" s="381"/>
      <c r="Q238" s="381"/>
      <c r="R238" s="381"/>
      <c r="S238" s="381"/>
      <c r="T238" s="381"/>
      <c r="U238" s="381"/>
      <c r="V238" s="381"/>
      <c r="W238" s="381"/>
      <c r="X238" s="381"/>
      <c r="Y238" s="381"/>
    </row>
    <row r="239">
      <c r="A239" s="359"/>
      <c r="B239" s="381"/>
      <c r="C239" s="18"/>
      <c r="D239" s="359"/>
      <c r="E239" s="607"/>
      <c r="F239" s="359"/>
      <c r="G239" s="381"/>
      <c r="H239" s="381"/>
      <c r="I239" s="381"/>
      <c r="J239" s="381"/>
      <c r="K239" s="381"/>
      <c r="L239" s="381"/>
      <c r="M239" s="381"/>
      <c r="N239" s="381"/>
      <c r="O239" s="381"/>
      <c r="P239" s="381"/>
      <c r="Q239" s="381"/>
      <c r="R239" s="381"/>
      <c r="S239" s="381"/>
      <c r="T239" s="381"/>
      <c r="U239" s="381"/>
      <c r="V239" s="381"/>
      <c r="W239" s="381"/>
      <c r="X239" s="381"/>
      <c r="Y239" s="381"/>
    </row>
    <row r="240">
      <c r="A240" s="359"/>
      <c r="B240" s="381"/>
      <c r="C240" s="18"/>
      <c r="D240" s="359"/>
      <c r="E240" s="607"/>
      <c r="F240" s="359"/>
      <c r="G240" s="381"/>
      <c r="H240" s="381"/>
      <c r="I240" s="381"/>
      <c r="J240" s="381"/>
      <c r="K240" s="381"/>
      <c r="L240" s="381"/>
      <c r="M240" s="381"/>
      <c r="N240" s="381"/>
      <c r="O240" s="381"/>
      <c r="P240" s="381"/>
      <c r="Q240" s="381"/>
      <c r="R240" s="381"/>
      <c r="S240" s="381"/>
      <c r="T240" s="381"/>
      <c r="U240" s="381"/>
      <c r="V240" s="381"/>
      <c r="W240" s="381"/>
      <c r="X240" s="381"/>
      <c r="Y240" s="381"/>
    </row>
    <row r="241">
      <c r="A241" s="359"/>
      <c r="B241" s="381"/>
      <c r="C241" s="18"/>
      <c r="D241" s="359"/>
      <c r="E241" s="607"/>
      <c r="F241" s="359"/>
      <c r="G241" s="381"/>
      <c r="H241" s="381"/>
      <c r="I241" s="381"/>
      <c r="J241" s="381"/>
      <c r="K241" s="381"/>
      <c r="L241" s="381"/>
      <c r="M241" s="381"/>
      <c r="N241" s="381"/>
      <c r="O241" s="381"/>
      <c r="P241" s="381"/>
      <c r="Q241" s="381"/>
      <c r="R241" s="381"/>
      <c r="S241" s="381"/>
      <c r="T241" s="381"/>
      <c r="U241" s="381"/>
      <c r="V241" s="381"/>
      <c r="W241" s="381"/>
      <c r="X241" s="381"/>
      <c r="Y241" s="381"/>
    </row>
    <row r="242">
      <c r="A242" s="359"/>
      <c r="B242" s="381"/>
      <c r="C242" s="18"/>
      <c r="D242" s="359"/>
      <c r="E242" s="607"/>
      <c r="F242" s="359"/>
      <c r="G242" s="381"/>
      <c r="H242" s="381"/>
      <c r="I242" s="381"/>
      <c r="J242" s="381"/>
      <c r="K242" s="381"/>
      <c r="L242" s="381"/>
      <c r="M242" s="381"/>
      <c r="N242" s="381"/>
      <c r="O242" s="381"/>
      <c r="P242" s="381"/>
      <c r="Q242" s="381"/>
      <c r="R242" s="381"/>
      <c r="S242" s="381"/>
      <c r="T242" s="381"/>
      <c r="U242" s="381"/>
      <c r="V242" s="381"/>
      <c r="W242" s="381"/>
      <c r="X242" s="381"/>
      <c r="Y242" s="381"/>
    </row>
    <row r="243">
      <c r="A243" s="359"/>
      <c r="B243" s="381"/>
      <c r="C243" s="18"/>
      <c r="D243" s="359"/>
      <c r="E243" s="607"/>
      <c r="F243" s="359"/>
      <c r="G243" s="381"/>
      <c r="H243" s="381"/>
      <c r="I243" s="381"/>
      <c r="J243" s="381"/>
      <c r="K243" s="381"/>
      <c r="L243" s="381"/>
      <c r="M243" s="381"/>
      <c r="N243" s="381"/>
      <c r="O243" s="381"/>
      <c r="P243" s="381"/>
      <c r="Q243" s="381"/>
      <c r="R243" s="381"/>
      <c r="S243" s="381"/>
      <c r="T243" s="381"/>
      <c r="U243" s="381"/>
      <c r="V243" s="381"/>
      <c r="W243" s="381"/>
      <c r="X243" s="381"/>
      <c r="Y243" s="381"/>
    </row>
    <row r="244">
      <c r="A244" s="359"/>
      <c r="B244" s="381"/>
      <c r="C244" s="18"/>
      <c r="D244" s="359"/>
      <c r="E244" s="607"/>
      <c r="F244" s="359"/>
      <c r="G244" s="381"/>
      <c r="H244" s="381"/>
      <c r="I244" s="381"/>
      <c r="J244" s="381"/>
      <c r="K244" s="381"/>
      <c r="L244" s="381"/>
      <c r="M244" s="381"/>
      <c r="N244" s="381"/>
      <c r="O244" s="381"/>
      <c r="P244" s="381"/>
      <c r="Q244" s="381"/>
      <c r="R244" s="381"/>
      <c r="S244" s="381"/>
      <c r="T244" s="381"/>
      <c r="U244" s="381"/>
      <c r="V244" s="381"/>
      <c r="W244" s="381"/>
      <c r="X244" s="381"/>
      <c r="Y244" s="381"/>
    </row>
    <row r="245">
      <c r="A245" s="359"/>
      <c r="B245" s="381"/>
      <c r="C245" s="18"/>
      <c r="D245" s="359"/>
      <c r="E245" s="607"/>
      <c r="F245" s="359"/>
      <c r="G245" s="381"/>
      <c r="H245" s="381"/>
      <c r="I245" s="381"/>
      <c r="J245" s="381"/>
      <c r="K245" s="381"/>
      <c r="L245" s="381"/>
      <c r="M245" s="381"/>
      <c r="N245" s="381"/>
      <c r="O245" s="381"/>
      <c r="P245" s="381"/>
      <c r="Q245" s="381"/>
      <c r="R245" s="381"/>
      <c r="S245" s="381"/>
      <c r="T245" s="381"/>
      <c r="U245" s="381"/>
      <c r="V245" s="381"/>
      <c r="W245" s="381"/>
      <c r="X245" s="381"/>
      <c r="Y245" s="381"/>
    </row>
    <row r="246">
      <c r="A246" s="359"/>
      <c r="B246" s="381"/>
      <c r="C246" s="18"/>
      <c r="D246" s="359"/>
      <c r="E246" s="607"/>
      <c r="F246" s="359"/>
      <c r="G246" s="381"/>
      <c r="H246" s="381"/>
      <c r="I246" s="381"/>
      <c r="J246" s="381"/>
      <c r="K246" s="381"/>
      <c r="L246" s="381"/>
      <c r="M246" s="381"/>
      <c r="N246" s="381"/>
      <c r="O246" s="381"/>
      <c r="P246" s="381"/>
      <c r="Q246" s="381"/>
      <c r="R246" s="381"/>
      <c r="S246" s="381"/>
      <c r="T246" s="381"/>
      <c r="U246" s="381"/>
      <c r="V246" s="381"/>
      <c r="W246" s="381"/>
      <c r="X246" s="381"/>
      <c r="Y246" s="381"/>
    </row>
    <row r="247">
      <c r="A247" s="359"/>
      <c r="B247" s="381"/>
      <c r="C247" s="18"/>
      <c r="D247" s="359"/>
      <c r="E247" s="607"/>
      <c r="F247" s="359"/>
      <c r="G247" s="381"/>
      <c r="H247" s="381"/>
      <c r="I247" s="381"/>
      <c r="J247" s="381"/>
      <c r="K247" s="381"/>
      <c r="L247" s="381"/>
      <c r="M247" s="381"/>
      <c r="N247" s="381"/>
      <c r="O247" s="381"/>
      <c r="P247" s="381"/>
      <c r="Q247" s="381"/>
      <c r="R247" s="381"/>
      <c r="S247" s="381"/>
      <c r="T247" s="381"/>
      <c r="U247" s="381"/>
      <c r="V247" s="381"/>
      <c r="W247" s="381"/>
      <c r="X247" s="381"/>
      <c r="Y247" s="381"/>
    </row>
    <row r="248">
      <c r="A248" s="359"/>
      <c r="B248" s="381"/>
      <c r="C248" s="18"/>
      <c r="D248" s="359"/>
      <c r="E248" s="607"/>
      <c r="F248" s="359"/>
      <c r="G248" s="381"/>
      <c r="H248" s="381"/>
      <c r="I248" s="381"/>
      <c r="J248" s="381"/>
      <c r="K248" s="381"/>
      <c r="L248" s="381"/>
      <c r="M248" s="381"/>
      <c r="N248" s="381"/>
      <c r="O248" s="381"/>
      <c r="P248" s="381"/>
      <c r="Q248" s="381"/>
      <c r="R248" s="381"/>
      <c r="S248" s="381"/>
      <c r="T248" s="381"/>
      <c r="U248" s="381"/>
      <c r="V248" s="381"/>
      <c r="W248" s="381"/>
      <c r="X248" s="381"/>
      <c r="Y248" s="381"/>
    </row>
    <row r="249">
      <c r="A249" s="359"/>
      <c r="B249" s="381"/>
      <c r="C249" s="18"/>
      <c r="D249" s="359"/>
      <c r="E249" s="607"/>
      <c r="F249" s="359"/>
      <c r="G249" s="381"/>
      <c r="H249" s="381"/>
      <c r="I249" s="381"/>
      <c r="J249" s="381"/>
      <c r="K249" s="381"/>
      <c r="L249" s="381"/>
      <c r="M249" s="381"/>
      <c r="N249" s="381"/>
      <c r="O249" s="381"/>
      <c r="P249" s="381"/>
      <c r="Q249" s="381"/>
      <c r="R249" s="381"/>
      <c r="S249" s="381"/>
      <c r="T249" s="381"/>
      <c r="U249" s="381"/>
      <c r="V249" s="381"/>
      <c r="W249" s="381"/>
      <c r="X249" s="381"/>
      <c r="Y249" s="381"/>
    </row>
    <row r="250">
      <c r="A250" s="359"/>
      <c r="B250" s="381"/>
      <c r="C250" s="18"/>
      <c r="D250" s="359"/>
      <c r="E250" s="607"/>
      <c r="F250" s="359"/>
      <c r="G250" s="381"/>
      <c r="H250" s="381"/>
      <c r="I250" s="381"/>
      <c r="J250" s="381"/>
      <c r="K250" s="381"/>
      <c r="L250" s="381"/>
      <c r="M250" s="381"/>
      <c r="N250" s="381"/>
      <c r="O250" s="381"/>
      <c r="P250" s="381"/>
      <c r="Q250" s="381"/>
      <c r="R250" s="381"/>
      <c r="S250" s="381"/>
      <c r="T250" s="381"/>
      <c r="U250" s="381"/>
      <c r="V250" s="381"/>
      <c r="W250" s="381"/>
      <c r="X250" s="381"/>
      <c r="Y250" s="381"/>
    </row>
    <row r="251">
      <c r="A251" s="359"/>
      <c r="B251" s="381"/>
      <c r="C251" s="18"/>
      <c r="D251" s="359"/>
      <c r="E251" s="607"/>
      <c r="F251" s="359"/>
      <c r="G251" s="381"/>
      <c r="H251" s="381"/>
      <c r="I251" s="381"/>
      <c r="J251" s="381"/>
      <c r="K251" s="381"/>
      <c r="L251" s="381"/>
      <c r="M251" s="381"/>
      <c r="N251" s="381"/>
      <c r="O251" s="381"/>
      <c r="P251" s="381"/>
      <c r="Q251" s="381"/>
      <c r="R251" s="381"/>
      <c r="S251" s="381"/>
      <c r="T251" s="381"/>
      <c r="U251" s="381"/>
      <c r="V251" s="381"/>
      <c r="W251" s="381"/>
      <c r="X251" s="381"/>
      <c r="Y251" s="381"/>
    </row>
    <row r="252">
      <c r="A252" s="359"/>
      <c r="B252" s="381"/>
      <c r="C252" s="18"/>
      <c r="D252" s="359"/>
      <c r="E252" s="607"/>
      <c r="F252" s="359"/>
      <c r="G252" s="381"/>
      <c r="H252" s="381"/>
      <c r="I252" s="381"/>
      <c r="J252" s="381"/>
      <c r="K252" s="381"/>
      <c r="L252" s="381"/>
      <c r="M252" s="381"/>
      <c r="N252" s="381"/>
      <c r="O252" s="381"/>
      <c r="P252" s="381"/>
      <c r="Q252" s="381"/>
      <c r="R252" s="381"/>
      <c r="S252" s="381"/>
      <c r="T252" s="381"/>
      <c r="U252" s="381"/>
      <c r="V252" s="381"/>
      <c r="W252" s="381"/>
      <c r="X252" s="381"/>
      <c r="Y252" s="381"/>
    </row>
    <row r="253">
      <c r="A253" s="359"/>
      <c r="B253" s="381"/>
      <c r="C253" s="18"/>
      <c r="D253" s="359"/>
      <c r="E253" s="607"/>
      <c r="F253" s="359"/>
      <c r="G253" s="381"/>
      <c r="H253" s="381"/>
      <c r="I253" s="381"/>
      <c r="J253" s="381"/>
      <c r="K253" s="381"/>
      <c r="L253" s="381"/>
      <c r="M253" s="381"/>
      <c r="N253" s="381"/>
      <c r="O253" s="381"/>
      <c r="P253" s="381"/>
      <c r="Q253" s="381"/>
      <c r="R253" s="381"/>
      <c r="S253" s="381"/>
      <c r="T253" s="381"/>
      <c r="U253" s="381"/>
      <c r="V253" s="381"/>
      <c r="W253" s="381"/>
      <c r="X253" s="381"/>
      <c r="Y253" s="381"/>
    </row>
    <row r="254">
      <c r="A254" s="359"/>
      <c r="B254" s="381"/>
      <c r="C254" s="18"/>
      <c r="D254" s="359"/>
      <c r="E254" s="607"/>
      <c r="F254" s="359"/>
      <c r="G254" s="381"/>
      <c r="H254" s="381"/>
      <c r="I254" s="381"/>
      <c r="J254" s="381"/>
      <c r="K254" s="381"/>
      <c r="L254" s="381"/>
      <c r="M254" s="381"/>
      <c r="N254" s="381"/>
      <c r="O254" s="381"/>
      <c r="P254" s="381"/>
      <c r="Q254" s="381"/>
      <c r="R254" s="381"/>
      <c r="S254" s="381"/>
      <c r="T254" s="381"/>
      <c r="U254" s="381"/>
      <c r="V254" s="381"/>
      <c r="W254" s="381"/>
      <c r="X254" s="381"/>
      <c r="Y254" s="381"/>
    </row>
    <row r="255">
      <c r="A255" s="359"/>
      <c r="B255" s="381"/>
      <c r="C255" s="18"/>
      <c r="D255" s="359"/>
      <c r="E255" s="607"/>
      <c r="F255" s="359"/>
      <c r="G255" s="381"/>
      <c r="H255" s="381"/>
      <c r="I255" s="381"/>
      <c r="J255" s="381"/>
      <c r="K255" s="381"/>
      <c r="L255" s="381"/>
      <c r="M255" s="381"/>
      <c r="N255" s="381"/>
      <c r="O255" s="381"/>
      <c r="P255" s="381"/>
      <c r="Q255" s="381"/>
      <c r="R255" s="381"/>
      <c r="S255" s="381"/>
      <c r="T255" s="381"/>
      <c r="U255" s="381"/>
      <c r="V255" s="381"/>
      <c r="W255" s="381"/>
      <c r="X255" s="381"/>
      <c r="Y255" s="381"/>
    </row>
    <row r="256">
      <c r="A256" s="359"/>
      <c r="B256" s="381"/>
      <c r="C256" s="18"/>
      <c r="D256" s="359"/>
      <c r="E256" s="607"/>
      <c r="F256" s="359"/>
      <c r="G256" s="381"/>
      <c r="H256" s="381"/>
      <c r="I256" s="381"/>
      <c r="J256" s="381"/>
      <c r="K256" s="381"/>
      <c r="L256" s="381"/>
      <c r="M256" s="381"/>
      <c r="N256" s="381"/>
      <c r="O256" s="381"/>
      <c r="P256" s="381"/>
      <c r="Q256" s="381"/>
      <c r="R256" s="381"/>
      <c r="S256" s="381"/>
      <c r="T256" s="381"/>
      <c r="U256" s="381"/>
      <c r="V256" s="381"/>
      <c r="W256" s="381"/>
      <c r="X256" s="381"/>
      <c r="Y256" s="381"/>
    </row>
    <row r="257">
      <c r="A257" s="359"/>
      <c r="B257" s="381"/>
      <c r="C257" s="18"/>
      <c r="D257" s="359"/>
      <c r="E257" s="607"/>
      <c r="F257" s="359"/>
      <c r="G257" s="381"/>
      <c r="H257" s="381"/>
      <c r="I257" s="381"/>
      <c r="J257" s="381"/>
      <c r="K257" s="381"/>
      <c r="L257" s="381"/>
      <c r="M257" s="381"/>
      <c r="N257" s="381"/>
      <c r="O257" s="381"/>
      <c r="P257" s="381"/>
      <c r="Q257" s="381"/>
      <c r="R257" s="381"/>
      <c r="S257" s="381"/>
      <c r="T257" s="381"/>
      <c r="U257" s="381"/>
      <c r="V257" s="381"/>
      <c r="W257" s="381"/>
      <c r="X257" s="381"/>
      <c r="Y257" s="381"/>
    </row>
    <row r="258">
      <c r="A258" s="359"/>
      <c r="B258" s="381"/>
      <c r="C258" s="18"/>
      <c r="D258" s="359"/>
      <c r="E258" s="607"/>
      <c r="F258" s="359"/>
      <c r="G258" s="381"/>
      <c r="H258" s="381"/>
      <c r="I258" s="381"/>
      <c r="J258" s="381"/>
      <c r="K258" s="381"/>
      <c r="L258" s="381"/>
      <c r="M258" s="381"/>
      <c r="N258" s="381"/>
      <c r="O258" s="381"/>
      <c r="P258" s="381"/>
      <c r="Q258" s="381"/>
      <c r="R258" s="381"/>
      <c r="S258" s="381"/>
      <c r="T258" s="381"/>
      <c r="U258" s="381"/>
      <c r="V258" s="381"/>
      <c r="W258" s="381"/>
      <c r="X258" s="381"/>
      <c r="Y258" s="381"/>
    </row>
    <row r="259">
      <c r="A259" s="359"/>
      <c r="B259" s="381"/>
      <c r="C259" s="18"/>
      <c r="D259" s="359"/>
      <c r="E259" s="607"/>
      <c r="F259" s="359"/>
      <c r="G259" s="381"/>
      <c r="H259" s="381"/>
      <c r="I259" s="381"/>
      <c r="J259" s="381"/>
      <c r="K259" s="381"/>
      <c r="L259" s="381"/>
      <c r="M259" s="381"/>
      <c r="N259" s="381"/>
      <c r="O259" s="381"/>
      <c r="P259" s="381"/>
      <c r="Q259" s="381"/>
      <c r="R259" s="381"/>
      <c r="S259" s="381"/>
      <c r="T259" s="381"/>
      <c r="U259" s="381"/>
      <c r="V259" s="381"/>
      <c r="W259" s="381"/>
      <c r="X259" s="381"/>
      <c r="Y259" s="381"/>
    </row>
    <row r="260">
      <c r="A260" s="359"/>
      <c r="B260" s="381"/>
      <c r="C260" s="18"/>
      <c r="D260" s="359"/>
      <c r="E260" s="607"/>
      <c r="F260" s="359"/>
      <c r="G260" s="381"/>
      <c r="H260" s="381"/>
      <c r="I260" s="381"/>
      <c r="J260" s="381"/>
      <c r="K260" s="381"/>
      <c r="L260" s="381"/>
      <c r="M260" s="381"/>
      <c r="N260" s="381"/>
      <c r="O260" s="381"/>
      <c r="P260" s="381"/>
      <c r="Q260" s="381"/>
      <c r="R260" s="381"/>
      <c r="S260" s="381"/>
      <c r="T260" s="381"/>
      <c r="U260" s="381"/>
      <c r="V260" s="381"/>
      <c r="W260" s="381"/>
      <c r="X260" s="381"/>
      <c r="Y260" s="381"/>
    </row>
    <row r="261">
      <c r="A261" s="359"/>
      <c r="B261" s="381"/>
      <c r="C261" s="18"/>
      <c r="D261" s="359"/>
      <c r="E261" s="607"/>
      <c r="F261" s="359"/>
      <c r="G261" s="381"/>
      <c r="H261" s="381"/>
      <c r="I261" s="381"/>
      <c r="J261" s="381"/>
      <c r="K261" s="381"/>
      <c r="L261" s="381"/>
      <c r="M261" s="381"/>
      <c r="N261" s="381"/>
      <c r="O261" s="381"/>
      <c r="P261" s="381"/>
      <c r="Q261" s="381"/>
      <c r="R261" s="381"/>
      <c r="S261" s="381"/>
      <c r="T261" s="381"/>
      <c r="U261" s="381"/>
      <c r="V261" s="381"/>
      <c r="W261" s="381"/>
      <c r="X261" s="381"/>
      <c r="Y261" s="381"/>
    </row>
    <row r="262">
      <c r="A262" s="359"/>
      <c r="B262" s="381"/>
      <c r="C262" s="18"/>
      <c r="D262" s="359"/>
      <c r="E262" s="607"/>
      <c r="F262" s="359"/>
      <c r="G262" s="381"/>
      <c r="H262" s="381"/>
      <c r="I262" s="381"/>
      <c r="J262" s="381"/>
      <c r="K262" s="381"/>
      <c r="L262" s="381"/>
      <c r="M262" s="381"/>
      <c r="N262" s="381"/>
      <c r="O262" s="381"/>
      <c r="P262" s="381"/>
      <c r="Q262" s="381"/>
      <c r="R262" s="381"/>
      <c r="S262" s="381"/>
      <c r="T262" s="381"/>
      <c r="U262" s="381"/>
      <c r="V262" s="381"/>
      <c r="W262" s="381"/>
      <c r="X262" s="381"/>
      <c r="Y262" s="381"/>
    </row>
    <row r="263">
      <c r="A263" s="359"/>
      <c r="B263" s="381"/>
      <c r="C263" s="18"/>
      <c r="D263" s="359"/>
      <c r="E263" s="607"/>
      <c r="F263" s="359"/>
      <c r="G263" s="381"/>
      <c r="H263" s="381"/>
      <c r="I263" s="381"/>
      <c r="J263" s="381"/>
      <c r="K263" s="381"/>
      <c r="L263" s="381"/>
      <c r="M263" s="381"/>
      <c r="N263" s="381"/>
      <c r="O263" s="381"/>
      <c r="P263" s="381"/>
      <c r="Q263" s="381"/>
      <c r="R263" s="381"/>
      <c r="S263" s="381"/>
      <c r="T263" s="381"/>
      <c r="U263" s="381"/>
      <c r="V263" s="381"/>
      <c r="W263" s="381"/>
      <c r="X263" s="381"/>
      <c r="Y263" s="381"/>
    </row>
    <row r="264">
      <c r="A264" s="359"/>
      <c r="B264" s="381"/>
      <c r="C264" s="18"/>
      <c r="D264" s="359"/>
      <c r="E264" s="607"/>
      <c r="F264" s="359"/>
      <c r="G264" s="381"/>
      <c r="H264" s="381"/>
      <c r="I264" s="381"/>
      <c r="J264" s="381"/>
      <c r="K264" s="381"/>
      <c r="L264" s="381"/>
      <c r="M264" s="381"/>
      <c r="N264" s="381"/>
      <c r="O264" s="381"/>
      <c r="P264" s="381"/>
      <c r="Q264" s="381"/>
      <c r="R264" s="381"/>
      <c r="S264" s="381"/>
      <c r="T264" s="381"/>
      <c r="U264" s="381"/>
      <c r="V264" s="381"/>
      <c r="W264" s="381"/>
      <c r="X264" s="381"/>
      <c r="Y264" s="381"/>
    </row>
    <row r="265">
      <c r="A265" s="359"/>
      <c r="B265" s="381"/>
      <c r="C265" s="18"/>
      <c r="D265" s="359"/>
      <c r="E265" s="607"/>
      <c r="F265" s="359"/>
      <c r="G265" s="381"/>
      <c r="H265" s="381"/>
      <c r="I265" s="381"/>
      <c r="J265" s="381"/>
      <c r="K265" s="381"/>
      <c r="L265" s="381"/>
      <c r="M265" s="381"/>
      <c r="N265" s="381"/>
      <c r="O265" s="381"/>
      <c r="P265" s="381"/>
      <c r="Q265" s="381"/>
      <c r="R265" s="381"/>
      <c r="S265" s="381"/>
      <c r="T265" s="381"/>
      <c r="U265" s="381"/>
      <c r="V265" s="381"/>
      <c r="W265" s="381"/>
      <c r="X265" s="381"/>
      <c r="Y265" s="381"/>
    </row>
    <row r="266">
      <c r="A266" s="359"/>
      <c r="B266" s="381"/>
      <c r="C266" s="18"/>
      <c r="D266" s="359"/>
      <c r="E266" s="607"/>
      <c r="F266" s="359"/>
      <c r="G266" s="381"/>
      <c r="H266" s="381"/>
      <c r="I266" s="381"/>
      <c r="J266" s="381"/>
      <c r="K266" s="381"/>
      <c r="L266" s="381"/>
      <c r="M266" s="381"/>
      <c r="N266" s="381"/>
      <c r="O266" s="381"/>
      <c r="P266" s="381"/>
      <c r="Q266" s="381"/>
      <c r="R266" s="381"/>
      <c r="S266" s="381"/>
      <c r="T266" s="381"/>
      <c r="U266" s="381"/>
      <c r="V266" s="381"/>
      <c r="W266" s="381"/>
      <c r="X266" s="381"/>
      <c r="Y266" s="381"/>
    </row>
    <row r="267">
      <c r="A267" s="359"/>
      <c r="B267" s="381"/>
      <c r="C267" s="18"/>
      <c r="D267" s="359"/>
      <c r="E267" s="607"/>
      <c r="F267" s="359"/>
      <c r="G267" s="381"/>
      <c r="H267" s="381"/>
      <c r="I267" s="381"/>
      <c r="J267" s="381"/>
      <c r="K267" s="381"/>
      <c r="L267" s="381"/>
      <c r="M267" s="381"/>
      <c r="N267" s="381"/>
      <c r="O267" s="381"/>
      <c r="P267" s="381"/>
      <c r="Q267" s="381"/>
      <c r="R267" s="381"/>
      <c r="S267" s="381"/>
      <c r="T267" s="381"/>
      <c r="U267" s="381"/>
      <c r="V267" s="381"/>
      <c r="W267" s="381"/>
      <c r="X267" s="381"/>
      <c r="Y267" s="381"/>
    </row>
    <row r="268">
      <c r="A268" s="359"/>
      <c r="B268" s="381"/>
      <c r="C268" s="18"/>
      <c r="D268" s="359"/>
      <c r="E268" s="607"/>
      <c r="F268" s="359"/>
      <c r="G268" s="381"/>
      <c r="H268" s="381"/>
      <c r="I268" s="381"/>
      <c r="J268" s="381"/>
      <c r="K268" s="381"/>
      <c r="L268" s="381"/>
      <c r="M268" s="381"/>
      <c r="N268" s="381"/>
      <c r="O268" s="381"/>
      <c r="P268" s="381"/>
      <c r="Q268" s="381"/>
      <c r="R268" s="381"/>
      <c r="S268" s="381"/>
      <c r="T268" s="381"/>
      <c r="U268" s="381"/>
      <c r="V268" s="381"/>
      <c r="W268" s="381"/>
      <c r="X268" s="381"/>
      <c r="Y268" s="381"/>
    </row>
    <row r="269">
      <c r="A269" s="359"/>
      <c r="B269" s="381"/>
      <c r="C269" s="18"/>
      <c r="D269" s="359"/>
      <c r="E269" s="607"/>
      <c r="F269" s="359"/>
      <c r="G269" s="381"/>
      <c r="H269" s="381"/>
      <c r="I269" s="381"/>
      <c r="J269" s="381"/>
      <c r="K269" s="381"/>
      <c r="L269" s="381"/>
      <c r="M269" s="381"/>
      <c r="N269" s="381"/>
      <c r="O269" s="381"/>
      <c r="P269" s="381"/>
      <c r="Q269" s="381"/>
      <c r="R269" s="381"/>
      <c r="S269" s="381"/>
      <c r="T269" s="381"/>
      <c r="U269" s="381"/>
      <c r="V269" s="381"/>
      <c r="W269" s="381"/>
      <c r="X269" s="381"/>
      <c r="Y269" s="381"/>
    </row>
    <row r="270">
      <c r="A270" s="359"/>
      <c r="B270" s="381"/>
      <c r="C270" s="18"/>
      <c r="D270" s="359"/>
      <c r="E270" s="607"/>
      <c r="F270" s="359"/>
      <c r="G270" s="381"/>
      <c r="H270" s="381"/>
      <c r="I270" s="381"/>
      <c r="J270" s="381"/>
      <c r="K270" s="381"/>
      <c r="L270" s="381"/>
      <c r="M270" s="381"/>
      <c r="N270" s="381"/>
      <c r="O270" s="381"/>
      <c r="P270" s="381"/>
      <c r="Q270" s="381"/>
      <c r="R270" s="381"/>
      <c r="S270" s="381"/>
      <c r="T270" s="381"/>
      <c r="U270" s="381"/>
      <c r="V270" s="381"/>
      <c r="W270" s="381"/>
      <c r="X270" s="381"/>
      <c r="Y270" s="381"/>
    </row>
    <row r="271">
      <c r="A271" s="359"/>
      <c r="B271" s="381"/>
      <c r="C271" s="18"/>
      <c r="D271" s="359"/>
      <c r="E271" s="607"/>
      <c r="F271" s="359"/>
      <c r="G271" s="381"/>
      <c r="H271" s="381"/>
      <c r="I271" s="381"/>
      <c r="J271" s="381"/>
      <c r="K271" s="381"/>
      <c r="L271" s="381"/>
      <c r="M271" s="381"/>
      <c r="N271" s="381"/>
      <c r="O271" s="381"/>
      <c r="P271" s="381"/>
      <c r="Q271" s="381"/>
      <c r="R271" s="381"/>
      <c r="S271" s="381"/>
      <c r="T271" s="381"/>
      <c r="U271" s="381"/>
      <c r="V271" s="381"/>
      <c r="W271" s="381"/>
      <c r="X271" s="381"/>
      <c r="Y271" s="381"/>
    </row>
    <row r="272">
      <c r="A272" s="359"/>
      <c r="B272" s="381"/>
      <c r="C272" s="18"/>
      <c r="D272" s="359"/>
      <c r="E272" s="607"/>
      <c r="F272" s="359"/>
      <c r="G272" s="381"/>
      <c r="H272" s="381"/>
      <c r="I272" s="381"/>
      <c r="J272" s="381"/>
      <c r="K272" s="381"/>
      <c r="L272" s="381"/>
      <c r="M272" s="381"/>
      <c r="N272" s="381"/>
      <c r="O272" s="381"/>
      <c r="P272" s="381"/>
      <c r="Q272" s="381"/>
      <c r="R272" s="381"/>
      <c r="S272" s="381"/>
      <c r="T272" s="381"/>
      <c r="U272" s="381"/>
      <c r="V272" s="381"/>
      <c r="W272" s="381"/>
      <c r="X272" s="381"/>
      <c r="Y272" s="381"/>
    </row>
    <row r="273">
      <c r="A273" s="359"/>
      <c r="B273" s="381"/>
      <c r="C273" s="18"/>
      <c r="D273" s="359"/>
      <c r="E273" s="607"/>
      <c r="F273" s="359"/>
      <c r="G273" s="381"/>
      <c r="H273" s="381"/>
      <c r="I273" s="381"/>
      <c r="J273" s="381"/>
      <c r="K273" s="381"/>
      <c r="L273" s="381"/>
      <c r="M273" s="381"/>
      <c r="N273" s="381"/>
      <c r="O273" s="381"/>
      <c r="P273" s="381"/>
      <c r="Q273" s="381"/>
      <c r="R273" s="381"/>
      <c r="S273" s="381"/>
      <c r="T273" s="381"/>
      <c r="U273" s="381"/>
      <c r="V273" s="381"/>
      <c r="W273" s="381"/>
      <c r="X273" s="381"/>
      <c r="Y273" s="381"/>
    </row>
    <row r="274">
      <c r="A274" s="359"/>
      <c r="B274" s="381"/>
      <c r="C274" s="18"/>
      <c r="D274" s="359"/>
      <c r="E274" s="607"/>
      <c r="F274" s="359"/>
      <c r="G274" s="381"/>
      <c r="H274" s="381"/>
      <c r="I274" s="381"/>
      <c r="J274" s="381"/>
      <c r="K274" s="381"/>
      <c r="L274" s="381"/>
      <c r="M274" s="381"/>
      <c r="N274" s="381"/>
      <c r="O274" s="381"/>
      <c r="P274" s="381"/>
      <c r="Q274" s="381"/>
      <c r="R274" s="381"/>
      <c r="S274" s="381"/>
      <c r="T274" s="381"/>
      <c r="U274" s="381"/>
      <c r="V274" s="381"/>
      <c r="W274" s="381"/>
      <c r="X274" s="381"/>
      <c r="Y274" s="381"/>
    </row>
    <row r="275">
      <c r="A275" s="359"/>
      <c r="B275" s="381"/>
      <c r="C275" s="18"/>
      <c r="D275" s="359"/>
      <c r="E275" s="607"/>
      <c r="F275" s="359"/>
      <c r="G275" s="381"/>
      <c r="H275" s="381"/>
      <c r="I275" s="381"/>
      <c r="J275" s="381"/>
      <c r="K275" s="381"/>
      <c r="L275" s="381"/>
      <c r="M275" s="381"/>
      <c r="N275" s="381"/>
      <c r="O275" s="381"/>
      <c r="P275" s="381"/>
      <c r="Q275" s="381"/>
      <c r="R275" s="381"/>
      <c r="S275" s="381"/>
      <c r="T275" s="381"/>
      <c r="U275" s="381"/>
      <c r="V275" s="381"/>
      <c r="W275" s="381"/>
      <c r="X275" s="381"/>
      <c r="Y275" s="381"/>
    </row>
    <row r="276">
      <c r="A276" s="359"/>
      <c r="B276" s="381"/>
      <c r="C276" s="18"/>
      <c r="D276" s="359"/>
      <c r="E276" s="607"/>
      <c r="F276" s="359"/>
      <c r="G276" s="381"/>
      <c r="H276" s="381"/>
      <c r="I276" s="381"/>
      <c r="J276" s="381"/>
      <c r="K276" s="381"/>
      <c r="L276" s="381"/>
      <c r="M276" s="381"/>
      <c r="N276" s="381"/>
      <c r="O276" s="381"/>
      <c r="P276" s="381"/>
      <c r="Q276" s="381"/>
      <c r="R276" s="381"/>
      <c r="S276" s="381"/>
      <c r="T276" s="381"/>
      <c r="U276" s="381"/>
      <c r="V276" s="381"/>
      <c r="W276" s="381"/>
      <c r="X276" s="381"/>
      <c r="Y276" s="381"/>
    </row>
    <row r="277">
      <c r="A277" s="359"/>
      <c r="B277" s="381"/>
      <c r="C277" s="18"/>
      <c r="D277" s="359"/>
      <c r="E277" s="607"/>
      <c r="F277" s="359"/>
      <c r="G277" s="381"/>
      <c r="H277" s="381"/>
      <c r="I277" s="381"/>
      <c r="J277" s="381"/>
      <c r="K277" s="381"/>
      <c r="L277" s="381"/>
      <c r="M277" s="381"/>
      <c r="N277" s="381"/>
      <c r="O277" s="381"/>
      <c r="P277" s="381"/>
      <c r="Q277" s="381"/>
      <c r="R277" s="381"/>
      <c r="S277" s="381"/>
      <c r="T277" s="381"/>
      <c r="U277" s="381"/>
      <c r="V277" s="381"/>
      <c r="W277" s="381"/>
      <c r="X277" s="381"/>
      <c r="Y277" s="381"/>
    </row>
    <row r="278">
      <c r="A278" s="359"/>
      <c r="B278" s="381"/>
      <c r="C278" s="18"/>
      <c r="D278" s="359"/>
      <c r="E278" s="607"/>
      <c r="F278" s="359"/>
      <c r="G278" s="381"/>
      <c r="H278" s="381"/>
      <c r="I278" s="381"/>
      <c r="J278" s="381"/>
      <c r="K278" s="381"/>
      <c r="L278" s="381"/>
      <c r="M278" s="381"/>
      <c r="N278" s="381"/>
      <c r="O278" s="381"/>
      <c r="P278" s="381"/>
      <c r="Q278" s="381"/>
      <c r="R278" s="381"/>
      <c r="S278" s="381"/>
      <c r="T278" s="381"/>
      <c r="U278" s="381"/>
      <c r="V278" s="381"/>
      <c r="W278" s="381"/>
      <c r="X278" s="381"/>
      <c r="Y278" s="381"/>
    </row>
    <row r="279">
      <c r="A279" s="359"/>
      <c r="B279" s="381"/>
      <c r="C279" s="18"/>
      <c r="D279" s="359"/>
      <c r="E279" s="607"/>
      <c r="F279" s="359"/>
      <c r="G279" s="381"/>
      <c r="H279" s="381"/>
      <c r="I279" s="381"/>
      <c r="J279" s="381"/>
      <c r="K279" s="381"/>
      <c r="L279" s="381"/>
      <c r="M279" s="381"/>
      <c r="N279" s="381"/>
      <c r="O279" s="381"/>
      <c r="P279" s="381"/>
      <c r="Q279" s="381"/>
      <c r="R279" s="381"/>
      <c r="S279" s="381"/>
      <c r="T279" s="381"/>
      <c r="U279" s="381"/>
      <c r="V279" s="381"/>
      <c r="W279" s="381"/>
      <c r="X279" s="381"/>
      <c r="Y279" s="381"/>
    </row>
    <row r="280">
      <c r="A280" s="359"/>
      <c r="B280" s="381"/>
      <c r="C280" s="18"/>
      <c r="D280" s="359"/>
      <c r="E280" s="607"/>
      <c r="F280" s="359"/>
      <c r="G280" s="381"/>
      <c r="H280" s="381"/>
      <c r="I280" s="381"/>
      <c r="J280" s="381"/>
      <c r="K280" s="381"/>
      <c r="L280" s="381"/>
      <c r="M280" s="381"/>
      <c r="N280" s="381"/>
      <c r="O280" s="381"/>
      <c r="P280" s="381"/>
      <c r="Q280" s="381"/>
      <c r="R280" s="381"/>
      <c r="S280" s="381"/>
      <c r="T280" s="381"/>
      <c r="U280" s="381"/>
      <c r="V280" s="381"/>
      <c r="W280" s="381"/>
      <c r="X280" s="381"/>
      <c r="Y280" s="381"/>
    </row>
    <row r="281">
      <c r="A281" s="359"/>
      <c r="B281" s="381"/>
      <c r="C281" s="18"/>
      <c r="D281" s="359"/>
      <c r="E281" s="607"/>
      <c r="F281" s="359"/>
      <c r="G281" s="381"/>
      <c r="H281" s="381"/>
      <c r="I281" s="381"/>
      <c r="J281" s="381"/>
      <c r="K281" s="381"/>
      <c r="L281" s="381"/>
      <c r="M281" s="381"/>
      <c r="N281" s="381"/>
      <c r="O281" s="381"/>
      <c r="P281" s="381"/>
      <c r="Q281" s="381"/>
      <c r="R281" s="381"/>
      <c r="S281" s="381"/>
      <c r="T281" s="381"/>
      <c r="U281" s="381"/>
      <c r="V281" s="381"/>
      <c r="W281" s="381"/>
      <c r="X281" s="381"/>
      <c r="Y281" s="381"/>
    </row>
    <row r="282">
      <c r="A282" s="359"/>
      <c r="B282" s="381"/>
      <c r="C282" s="18"/>
      <c r="D282" s="359"/>
      <c r="E282" s="607"/>
      <c r="F282" s="359"/>
      <c r="G282" s="381"/>
      <c r="H282" s="381"/>
      <c r="I282" s="381"/>
      <c r="J282" s="381"/>
      <c r="K282" s="381"/>
      <c r="L282" s="381"/>
      <c r="M282" s="381"/>
      <c r="N282" s="381"/>
      <c r="O282" s="381"/>
      <c r="P282" s="381"/>
      <c r="Q282" s="381"/>
      <c r="R282" s="381"/>
      <c r="S282" s="381"/>
      <c r="T282" s="381"/>
      <c r="U282" s="381"/>
      <c r="V282" s="381"/>
      <c r="W282" s="381"/>
      <c r="X282" s="381"/>
      <c r="Y282" s="381"/>
    </row>
    <row r="283">
      <c r="A283" s="359"/>
      <c r="B283" s="381"/>
      <c r="C283" s="18"/>
      <c r="D283" s="359"/>
      <c r="E283" s="607"/>
      <c r="F283" s="359"/>
      <c r="G283" s="381"/>
      <c r="H283" s="381"/>
      <c r="I283" s="381"/>
      <c r="J283" s="381"/>
      <c r="K283" s="381"/>
      <c r="L283" s="381"/>
      <c r="M283" s="381"/>
      <c r="N283" s="381"/>
      <c r="O283" s="381"/>
      <c r="P283" s="381"/>
      <c r="Q283" s="381"/>
      <c r="R283" s="381"/>
      <c r="S283" s="381"/>
      <c r="T283" s="381"/>
      <c r="U283" s="381"/>
      <c r="V283" s="381"/>
      <c r="W283" s="381"/>
      <c r="X283" s="381"/>
      <c r="Y283" s="381"/>
    </row>
    <row r="284">
      <c r="A284" s="359"/>
      <c r="B284" s="381"/>
      <c r="C284" s="18"/>
      <c r="D284" s="359"/>
      <c r="E284" s="607"/>
      <c r="F284" s="359"/>
      <c r="G284" s="381"/>
      <c r="H284" s="381"/>
      <c r="I284" s="381"/>
      <c r="J284" s="381"/>
      <c r="K284" s="381"/>
      <c r="L284" s="381"/>
      <c r="M284" s="381"/>
      <c r="N284" s="381"/>
      <c r="O284" s="381"/>
      <c r="P284" s="381"/>
      <c r="Q284" s="381"/>
      <c r="R284" s="381"/>
      <c r="S284" s="381"/>
      <c r="T284" s="381"/>
      <c r="U284" s="381"/>
      <c r="V284" s="381"/>
      <c r="W284" s="381"/>
      <c r="X284" s="381"/>
      <c r="Y284" s="381"/>
    </row>
    <row r="285">
      <c r="A285" s="359"/>
      <c r="B285" s="381"/>
      <c r="C285" s="18"/>
      <c r="D285" s="359"/>
      <c r="E285" s="607"/>
      <c r="F285" s="359"/>
      <c r="G285" s="381"/>
      <c r="H285" s="381"/>
      <c r="I285" s="381"/>
      <c r="J285" s="381"/>
      <c r="K285" s="381"/>
      <c r="L285" s="381"/>
      <c r="M285" s="381"/>
      <c r="N285" s="381"/>
      <c r="O285" s="381"/>
      <c r="P285" s="381"/>
      <c r="Q285" s="381"/>
      <c r="R285" s="381"/>
      <c r="S285" s="381"/>
      <c r="T285" s="381"/>
      <c r="U285" s="381"/>
      <c r="V285" s="381"/>
      <c r="W285" s="381"/>
      <c r="X285" s="381"/>
      <c r="Y285" s="381"/>
    </row>
    <row r="286">
      <c r="A286" s="359"/>
      <c r="B286" s="381"/>
      <c r="C286" s="18"/>
      <c r="D286" s="359"/>
      <c r="E286" s="607"/>
      <c r="F286" s="359"/>
      <c r="G286" s="381"/>
      <c r="H286" s="381"/>
      <c r="I286" s="381"/>
      <c r="J286" s="381"/>
      <c r="K286" s="381"/>
      <c r="L286" s="381"/>
      <c r="M286" s="381"/>
      <c r="N286" s="381"/>
      <c r="O286" s="381"/>
      <c r="P286" s="381"/>
      <c r="Q286" s="381"/>
      <c r="R286" s="381"/>
      <c r="S286" s="381"/>
      <c r="T286" s="381"/>
      <c r="U286" s="381"/>
      <c r="V286" s="381"/>
      <c r="W286" s="381"/>
      <c r="X286" s="381"/>
      <c r="Y286" s="381"/>
    </row>
    <row r="287">
      <c r="A287" s="359"/>
      <c r="B287" s="381"/>
      <c r="C287" s="18"/>
      <c r="D287" s="359"/>
      <c r="E287" s="607"/>
      <c r="F287" s="359"/>
      <c r="G287" s="381"/>
      <c r="H287" s="381"/>
      <c r="I287" s="381"/>
      <c r="J287" s="381"/>
      <c r="K287" s="381"/>
      <c r="L287" s="381"/>
      <c r="M287" s="381"/>
      <c r="N287" s="381"/>
      <c r="O287" s="381"/>
      <c r="P287" s="381"/>
      <c r="Q287" s="381"/>
      <c r="R287" s="381"/>
      <c r="S287" s="381"/>
      <c r="T287" s="381"/>
      <c r="U287" s="381"/>
      <c r="V287" s="381"/>
      <c r="W287" s="381"/>
      <c r="X287" s="381"/>
      <c r="Y287" s="381"/>
    </row>
    <row r="288">
      <c r="A288" s="359"/>
      <c r="B288" s="381"/>
      <c r="C288" s="18"/>
      <c r="D288" s="359"/>
      <c r="E288" s="607"/>
      <c r="F288" s="359"/>
      <c r="G288" s="381"/>
      <c r="H288" s="381"/>
      <c r="I288" s="381"/>
      <c r="J288" s="381"/>
      <c r="K288" s="381"/>
      <c r="L288" s="381"/>
      <c r="M288" s="381"/>
      <c r="N288" s="381"/>
      <c r="O288" s="381"/>
      <c r="P288" s="381"/>
      <c r="Q288" s="381"/>
      <c r="R288" s="381"/>
      <c r="S288" s="381"/>
      <c r="T288" s="381"/>
      <c r="U288" s="381"/>
      <c r="V288" s="381"/>
      <c r="W288" s="381"/>
      <c r="X288" s="381"/>
      <c r="Y288" s="381"/>
    </row>
    <row r="289">
      <c r="A289" s="359"/>
      <c r="B289" s="381"/>
      <c r="C289" s="18"/>
      <c r="D289" s="359"/>
      <c r="E289" s="607"/>
      <c r="F289" s="359"/>
      <c r="G289" s="381"/>
      <c r="H289" s="381"/>
      <c r="I289" s="381"/>
      <c r="J289" s="381"/>
      <c r="K289" s="381"/>
      <c r="L289" s="381"/>
      <c r="M289" s="381"/>
      <c r="N289" s="381"/>
      <c r="O289" s="381"/>
      <c r="P289" s="381"/>
      <c r="Q289" s="381"/>
      <c r="R289" s="381"/>
      <c r="S289" s="381"/>
      <c r="T289" s="381"/>
      <c r="U289" s="381"/>
      <c r="V289" s="381"/>
      <c r="W289" s="381"/>
      <c r="X289" s="381"/>
      <c r="Y289" s="381"/>
    </row>
    <row r="290">
      <c r="A290" s="359"/>
      <c r="B290" s="381"/>
      <c r="C290" s="18"/>
      <c r="D290" s="359"/>
      <c r="E290" s="607"/>
      <c r="F290" s="359"/>
      <c r="G290" s="381"/>
      <c r="H290" s="381"/>
      <c r="I290" s="381"/>
      <c r="J290" s="381"/>
      <c r="K290" s="381"/>
      <c r="L290" s="381"/>
      <c r="M290" s="381"/>
      <c r="N290" s="381"/>
      <c r="O290" s="381"/>
      <c r="P290" s="381"/>
      <c r="Q290" s="381"/>
      <c r="R290" s="381"/>
      <c r="S290" s="381"/>
      <c r="T290" s="381"/>
      <c r="U290" s="381"/>
      <c r="V290" s="381"/>
      <c r="W290" s="381"/>
      <c r="X290" s="381"/>
      <c r="Y290" s="381"/>
    </row>
    <row r="291">
      <c r="A291" s="359"/>
      <c r="B291" s="381"/>
      <c r="C291" s="18"/>
      <c r="D291" s="359"/>
      <c r="E291" s="607"/>
      <c r="F291" s="359"/>
      <c r="G291" s="381"/>
      <c r="H291" s="381"/>
      <c r="I291" s="381"/>
      <c r="J291" s="381"/>
      <c r="K291" s="381"/>
      <c r="L291" s="381"/>
      <c r="M291" s="381"/>
      <c r="N291" s="381"/>
      <c r="O291" s="381"/>
      <c r="P291" s="381"/>
      <c r="Q291" s="381"/>
      <c r="R291" s="381"/>
      <c r="S291" s="381"/>
      <c r="T291" s="381"/>
      <c r="U291" s="381"/>
      <c r="V291" s="381"/>
      <c r="W291" s="381"/>
      <c r="X291" s="381"/>
      <c r="Y291" s="381"/>
    </row>
    <row r="292">
      <c r="A292" s="359"/>
      <c r="B292" s="381"/>
      <c r="C292" s="18"/>
      <c r="D292" s="359"/>
      <c r="E292" s="607"/>
      <c r="F292" s="359"/>
      <c r="G292" s="381"/>
      <c r="H292" s="381"/>
      <c r="I292" s="381"/>
      <c r="J292" s="381"/>
      <c r="K292" s="381"/>
      <c r="L292" s="381"/>
      <c r="M292" s="381"/>
      <c r="N292" s="381"/>
      <c r="O292" s="381"/>
      <c r="P292" s="381"/>
      <c r="Q292" s="381"/>
      <c r="R292" s="381"/>
      <c r="S292" s="381"/>
      <c r="T292" s="381"/>
      <c r="U292" s="381"/>
      <c r="V292" s="381"/>
      <c r="W292" s="381"/>
      <c r="X292" s="381"/>
      <c r="Y292" s="381"/>
    </row>
    <row r="293">
      <c r="A293" s="359"/>
      <c r="B293" s="381"/>
      <c r="C293" s="18"/>
      <c r="D293" s="359"/>
      <c r="E293" s="607"/>
      <c r="F293" s="359"/>
      <c r="G293" s="381"/>
      <c r="H293" s="381"/>
      <c r="I293" s="381"/>
      <c r="J293" s="381"/>
      <c r="K293" s="381"/>
      <c r="L293" s="381"/>
      <c r="M293" s="381"/>
      <c r="N293" s="381"/>
      <c r="O293" s="381"/>
      <c r="P293" s="381"/>
      <c r="Q293" s="381"/>
      <c r="R293" s="381"/>
      <c r="S293" s="381"/>
      <c r="T293" s="381"/>
      <c r="U293" s="381"/>
      <c r="V293" s="381"/>
      <c r="W293" s="381"/>
      <c r="X293" s="381"/>
      <c r="Y293" s="381"/>
    </row>
    <row r="294">
      <c r="A294" s="359"/>
      <c r="B294" s="381"/>
      <c r="C294" s="18"/>
      <c r="D294" s="359"/>
      <c r="E294" s="607"/>
      <c r="F294" s="359"/>
      <c r="G294" s="381"/>
      <c r="H294" s="381"/>
      <c r="I294" s="381"/>
      <c r="J294" s="381"/>
      <c r="K294" s="381"/>
      <c r="L294" s="381"/>
      <c r="M294" s="381"/>
      <c r="N294" s="381"/>
      <c r="O294" s="381"/>
      <c r="P294" s="381"/>
      <c r="Q294" s="381"/>
      <c r="R294" s="381"/>
      <c r="S294" s="381"/>
      <c r="T294" s="381"/>
      <c r="U294" s="381"/>
      <c r="V294" s="381"/>
      <c r="W294" s="381"/>
      <c r="X294" s="381"/>
      <c r="Y294" s="381"/>
    </row>
    <row r="295">
      <c r="A295" s="359"/>
      <c r="B295" s="381"/>
      <c r="C295" s="18"/>
      <c r="D295" s="359"/>
      <c r="E295" s="607"/>
      <c r="F295" s="359"/>
      <c r="G295" s="381"/>
      <c r="H295" s="381"/>
      <c r="I295" s="381"/>
      <c r="J295" s="381"/>
      <c r="K295" s="381"/>
      <c r="L295" s="381"/>
      <c r="M295" s="381"/>
      <c r="N295" s="381"/>
      <c r="O295" s="381"/>
      <c r="P295" s="381"/>
      <c r="Q295" s="381"/>
      <c r="R295" s="381"/>
      <c r="S295" s="381"/>
      <c r="T295" s="381"/>
      <c r="U295" s="381"/>
      <c r="V295" s="381"/>
      <c r="W295" s="381"/>
      <c r="X295" s="381"/>
      <c r="Y295" s="381"/>
    </row>
    <row r="296">
      <c r="A296" s="359"/>
      <c r="B296" s="381"/>
      <c r="C296" s="18"/>
      <c r="D296" s="359"/>
      <c r="E296" s="607"/>
      <c r="F296" s="359"/>
      <c r="G296" s="381"/>
      <c r="H296" s="381"/>
      <c r="I296" s="381"/>
      <c r="J296" s="381"/>
      <c r="K296" s="381"/>
      <c r="L296" s="381"/>
      <c r="M296" s="381"/>
      <c r="N296" s="381"/>
      <c r="O296" s="381"/>
      <c r="P296" s="381"/>
      <c r="Q296" s="381"/>
      <c r="R296" s="381"/>
      <c r="S296" s="381"/>
      <c r="T296" s="381"/>
      <c r="U296" s="381"/>
      <c r="V296" s="381"/>
      <c r="W296" s="381"/>
      <c r="X296" s="381"/>
      <c r="Y296" s="381"/>
    </row>
    <row r="297">
      <c r="A297" s="359"/>
      <c r="B297" s="381"/>
      <c r="C297" s="18"/>
      <c r="D297" s="359"/>
      <c r="E297" s="607"/>
      <c r="F297" s="359"/>
      <c r="G297" s="381"/>
      <c r="H297" s="381"/>
      <c r="I297" s="381"/>
      <c r="J297" s="381"/>
      <c r="K297" s="381"/>
      <c r="L297" s="381"/>
      <c r="M297" s="381"/>
      <c r="N297" s="381"/>
      <c r="O297" s="381"/>
      <c r="P297" s="381"/>
      <c r="Q297" s="381"/>
      <c r="R297" s="381"/>
      <c r="S297" s="381"/>
      <c r="T297" s="381"/>
      <c r="U297" s="381"/>
      <c r="V297" s="381"/>
      <c r="W297" s="381"/>
      <c r="X297" s="381"/>
      <c r="Y297" s="381"/>
    </row>
    <row r="298">
      <c r="A298" s="359"/>
      <c r="B298" s="381"/>
      <c r="C298" s="18"/>
      <c r="D298" s="359"/>
      <c r="E298" s="607"/>
      <c r="F298" s="359"/>
      <c r="G298" s="381"/>
      <c r="H298" s="381"/>
      <c r="I298" s="381"/>
      <c r="J298" s="381"/>
      <c r="K298" s="381"/>
      <c r="L298" s="381"/>
      <c r="M298" s="381"/>
      <c r="N298" s="381"/>
      <c r="O298" s="381"/>
      <c r="P298" s="381"/>
      <c r="Q298" s="381"/>
      <c r="R298" s="381"/>
      <c r="S298" s="381"/>
      <c r="T298" s="381"/>
      <c r="U298" s="381"/>
      <c r="V298" s="381"/>
      <c r="W298" s="381"/>
      <c r="X298" s="381"/>
      <c r="Y298" s="381"/>
    </row>
    <row r="299">
      <c r="A299" s="359"/>
      <c r="B299" s="381"/>
      <c r="C299" s="18"/>
      <c r="D299" s="359"/>
      <c r="E299" s="607"/>
      <c r="F299" s="359"/>
      <c r="G299" s="381"/>
      <c r="H299" s="381"/>
      <c r="I299" s="381"/>
      <c r="J299" s="381"/>
      <c r="K299" s="381"/>
      <c r="L299" s="381"/>
      <c r="M299" s="381"/>
      <c r="N299" s="381"/>
      <c r="O299" s="381"/>
      <c r="P299" s="381"/>
      <c r="Q299" s="381"/>
      <c r="R299" s="381"/>
      <c r="S299" s="381"/>
      <c r="T299" s="381"/>
      <c r="U299" s="381"/>
      <c r="V299" s="381"/>
      <c r="W299" s="381"/>
      <c r="X299" s="381"/>
      <c r="Y299" s="381"/>
    </row>
    <row r="300">
      <c r="A300" s="359"/>
      <c r="B300" s="381"/>
      <c r="C300" s="18"/>
      <c r="D300" s="359"/>
      <c r="E300" s="607"/>
      <c r="F300" s="359"/>
      <c r="G300" s="381"/>
      <c r="H300" s="381"/>
      <c r="I300" s="381"/>
      <c r="J300" s="381"/>
      <c r="K300" s="381"/>
      <c r="L300" s="381"/>
      <c r="M300" s="381"/>
      <c r="N300" s="381"/>
      <c r="O300" s="381"/>
      <c r="P300" s="381"/>
      <c r="Q300" s="381"/>
      <c r="R300" s="381"/>
      <c r="S300" s="381"/>
      <c r="T300" s="381"/>
      <c r="U300" s="381"/>
      <c r="V300" s="381"/>
      <c r="W300" s="381"/>
      <c r="X300" s="381"/>
      <c r="Y300" s="381"/>
    </row>
    <row r="301">
      <c r="A301" s="359"/>
      <c r="B301" s="381"/>
      <c r="C301" s="18"/>
      <c r="D301" s="359"/>
      <c r="E301" s="607"/>
      <c r="F301" s="359"/>
      <c r="G301" s="381"/>
      <c r="H301" s="381"/>
      <c r="I301" s="381"/>
      <c r="J301" s="381"/>
      <c r="K301" s="381"/>
      <c r="L301" s="381"/>
      <c r="M301" s="381"/>
      <c r="N301" s="381"/>
      <c r="O301" s="381"/>
      <c r="P301" s="381"/>
      <c r="Q301" s="381"/>
      <c r="R301" s="381"/>
      <c r="S301" s="381"/>
      <c r="T301" s="381"/>
      <c r="U301" s="381"/>
      <c r="V301" s="381"/>
      <c r="W301" s="381"/>
      <c r="X301" s="381"/>
      <c r="Y301" s="381"/>
    </row>
    <row r="302">
      <c r="A302" s="359"/>
      <c r="B302" s="381"/>
      <c r="C302" s="18"/>
      <c r="D302" s="359"/>
      <c r="E302" s="607"/>
      <c r="F302" s="359"/>
      <c r="G302" s="381"/>
      <c r="H302" s="381"/>
      <c r="I302" s="381"/>
      <c r="J302" s="381"/>
      <c r="K302" s="381"/>
      <c r="L302" s="381"/>
      <c r="M302" s="381"/>
      <c r="N302" s="381"/>
      <c r="O302" s="381"/>
      <c r="P302" s="381"/>
      <c r="Q302" s="381"/>
      <c r="R302" s="381"/>
      <c r="S302" s="381"/>
      <c r="T302" s="381"/>
      <c r="U302" s="381"/>
      <c r="V302" s="381"/>
      <c r="W302" s="381"/>
      <c r="X302" s="381"/>
      <c r="Y302" s="381"/>
    </row>
    <row r="303">
      <c r="A303" s="359"/>
      <c r="B303" s="381"/>
      <c r="C303" s="18"/>
      <c r="D303" s="359"/>
      <c r="E303" s="607"/>
      <c r="F303" s="359"/>
      <c r="G303" s="381"/>
      <c r="H303" s="381"/>
      <c r="I303" s="381"/>
      <c r="J303" s="381"/>
      <c r="K303" s="381"/>
      <c r="L303" s="381"/>
      <c r="M303" s="381"/>
      <c r="N303" s="381"/>
      <c r="O303" s="381"/>
      <c r="P303" s="381"/>
      <c r="Q303" s="381"/>
      <c r="R303" s="381"/>
      <c r="S303" s="381"/>
      <c r="T303" s="381"/>
      <c r="U303" s="381"/>
      <c r="V303" s="381"/>
      <c r="W303" s="381"/>
      <c r="X303" s="381"/>
      <c r="Y303" s="381"/>
    </row>
    <row r="304">
      <c r="A304" s="359"/>
      <c r="B304" s="381"/>
      <c r="C304" s="18"/>
      <c r="D304" s="359"/>
      <c r="E304" s="607"/>
      <c r="F304" s="359"/>
      <c r="G304" s="381"/>
      <c r="H304" s="381"/>
      <c r="I304" s="381"/>
      <c r="J304" s="381"/>
      <c r="K304" s="381"/>
      <c r="L304" s="381"/>
      <c r="M304" s="381"/>
      <c r="N304" s="381"/>
      <c r="O304" s="381"/>
      <c r="P304" s="381"/>
      <c r="Q304" s="381"/>
      <c r="R304" s="381"/>
      <c r="S304" s="381"/>
      <c r="T304" s="381"/>
      <c r="U304" s="381"/>
      <c r="V304" s="381"/>
      <c r="W304" s="381"/>
      <c r="X304" s="381"/>
      <c r="Y304" s="381"/>
    </row>
    <row r="305">
      <c r="A305" s="359"/>
      <c r="B305" s="381"/>
      <c r="C305" s="18"/>
      <c r="D305" s="359"/>
      <c r="E305" s="607"/>
      <c r="F305" s="359"/>
      <c r="G305" s="381"/>
      <c r="H305" s="381"/>
      <c r="I305" s="381"/>
      <c r="J305" s="381"/>
      <c r="K305" s="381"/>
      <c r="L305" s="381"/>
      <c r="M305" s="381"/>
      <c r="N305" s="381"/>
      <c r="O305" s="381"/>
      <c r="P305" s="381"/>
      <c r="Q305" s="381"/>
      <c r="R305" s="381"/>
      <c r="S305" s="381"/>
      <c r="T305" s="381"/>
      <c r="U305" s="381"/>
      <c r="V305" s="381"/>
      <c r="W305" s="381"/>
      <c r="X305" s="381"/>
      <c r="Y305" s="381"/>
    </row>
    <row r="306">
      <c r="A306" s="359"/>
      <c r="B306" s="381"/>
      <c r="C306" s="18"/>
      <c r="D306" s="359"/>
      <c r="E306" s="607"/>
      <c r="F306" s="359"/>
      <c r="G306" s="381"/>
      <c r="H306" s="381"/>
      <c r="I306" s="381"/>
      <c r="J306" s="381"/>
      <c r="K306" s="381"/>
      <c r="L306" s="381"/>
      <c r="M306" s="381"/>
      <c r="N306" s="381"/>
      <c r="O306" s="381"/>
      <c r="P306" s="381"/>
      <c r="Q306" s="381"/>
      <c r="R306" s="381"/>
      <c r="S306" s="381"/>
      <c r="T306" s="381"/>
      <c r="U306" s="381"/>
      <c r="V306" s="381"/>
      <c r="W306" s="381"/>
      <c r="X306" s="381"/>
      <c r="Y306" s="381"/>
    </row>
    <row r="307">
      <c r="A307" s="359"/>
      <c r="B307" s="381"/>
      <c r="C307" s="18"/>
      <c r="D307" s="359"/>
      <c r="E307" s="607"/>
      <c r="F307" s="359"/>
      <c r="G307" s="381"/>
      <c r="H307" s="381"/>
      <c r="I307" s="381"/>
      <c r="J307" s="381"/>
      <c r="K307" s="381"/>
      <c r="L307" s="381"/>
      <c r="M307" s="381"/>
      <c r="N307" s="381"/>
      <c r="O307" s="381"/>
      <c r="P307" s="381"/>
      <c r="Q307" s="381"/>
      <c r="R307" s="381"/>
      <c r="S307" s="381"/>
      <c r="T307" s="381"/>
      <c r="U307" s="381"/>
      <c r="V307" s="381"/>
      <c r="W307" s="381"/>
      <c r="X307" s="381"/>
      <c r="Y307" s="381"/>
    </row>
    <row r="308">
      <c r="A308" s="359"/>
      <c r="B308" s="381"/>
      <c r="C308" s="18"/>
      <c r="D308" s="359"/>
      <c r="E308" s="607"/>
      <c r="F308" s="359"/>
      <c r="G308" s="381"/>
      <c r="H308" s="381"/>
      <c r="I308" s="381"/>
      <c r="J308" s="381"/>
      <c r="K308" s="381"/>
      <c r="L308" s="381"/>
      <c r="M308" s="381"/>
      <c r="N308" s="381"/>
      <c r="O308" s="381"/>
      <c r="P308" s="381"/>
      <c r="Q308" s="381"/>
      <c r="R308" s="381"/>
      <c r="S308" s="381"/>
      <c r="T308" s="381"/>
      <c r="U308" s="381"/>
      <c r="V308" s="381"/>
      <c r="W308" s="381"/>
      <c r="X308" s="381"/>
      <c r="Y308" s="381"/>
    </row>
    <row r="309">
      <c r="A309" s="359"/>
      <c r="B309" s="381"/>
      <c r="C309" s="18"/>
      <c r="D309" s="359"/>
      <c r="E309" s="607"/>
      <c r="F309" s="359"/>
      <c r="G309" s="381"/>
      <c r="H309" s="381"/>
      <c r="I309" s="381"/>
      <c r="J309" s="381"/>
      <c r="K309" s="381"/>
      <c r="L309" s="381"/>
      <c r="M309" s="381"/>
      <c r="N309" s="381"/>
      <c r="O309" s="381"/>
      <c r="P309" s="381"/>
      <c r="Q309" s="381"/>
      <c r="R309" s="381"/>
      <c r="S309" s="381"/>
      <c r="T309" s="381"/>
      <c r="U309" s="381"/>
      <c r="V309" s="381"/>
      <c r="W309" s="381"/>
      <c r="X309" s="381"/>
      <c r="Y309" s="381"/>
    </row>
    <row r="310">
      <c r="A310" s="359"/>
      <c r="B310" s="381"/>
      <c r="C310" s="18"/>
      <c r="D310" s="359"/>
      <c r="E310" s="607"/>
      <c r="F310" s="359"/>
      <c r="G310" s="381"/>
      <c r="H310" s="381"/>
      <c r="I310" s="381"/>
      <c r="J310" s="381"/>
      <c r="K310" s="381"/>
      <c r="L310" s="381"/>
      <c r="M310" s="381"/>
      <c r="N310" s="381"/>
      <c r="O310" s="381"/>
      <c r="P310" s="381"/>
      <c r="Q310" s="381"/>
      <c r="R310" s="381"/>
      <c r="S310" s="381"/>
      <c r="T310" s="381"/>
      <c r="U310" s="381"/>
      <c r="V310" s="381"/>
      <c r="W310" s="381"/>
      <c r="X310" s="381"/>
      <c r="Y310" s="381"/>
    </row>
    <row r="311">
      <c r="A311" s="359"/>
      <c r="B311" s="381"/>
      <c r="C311" s="18"/>
      <c r="D311" s="359"/>
      <c r="E311" s="607"/>
      <c r="F311" s="359"/>
      <c r="G311" s="381"/>
      <c r="H311" s="381"/>
      <c r="I311" s="381"/>
      <c r="J311" s="381"/>
      <c r="K311" s="381"/>
      <c r="L311" s="381"/>
      <c r="M311" s="381"/>
      <c r="N311" s="381"/>
      <c r="O311" s="381"/>
      <c r="P311" s="381"/>
      <c r="Q311" s="381"/>
      <c r="R311" s="381"/>
      <c r="S311" s="381"/>
      <c r="T311" s="381"/>
      <c r="U311" s="381"/>
      <c r="V311" s="381"/>
      <c r="W311" s="381"/>
      <c r="X311" s="381"/>
      <c r="Y311" s="381"/>
    </row>
    <row r="312">
      <c r="A312" s="359"/>
      <c r="B312" s="381"/>
      <c r="C312" s="18"/>
      <c r="D312" s="359"/>
      <c r="E312" s="607"/>
      <c r="F312" s="359"/>
      <c r="G312" s="381"/>
      <c r="H312" s="381"/>
      <c r="I312" s="381"/>
      <c r="J312" s="381"/>
      <c r="K312" s="381"/>
      <c r="L312" s="381"/>
      <c r="M312" s="381"/>
      <c r="N312" s="381"/>
      <c r="O312" s="381"/>
      <c r="P312" s="381"/>
      <c r="Q312" s="381"/>
      <c r="R312" s="381"/>
      <c r="S312" s="381"/>
      <c r="T312" s="381"/>
      <c r="U312" s="381"/>
      <c r="V312" s="381"/>
      <c r="W312" s="381"/>
      <c r="X312" s="381"/>
      <c r="Y312" s="381"/>
    </row>
    <row r="313">
      <c r="A313" s="359"/>
      <c r="B313" s="381"/>
      <c r="C313" s="18"/>
      <c r="D313" s="359"/>
      <c r="E313" s="607"/>
      <c r="F313" s="359"/>
      <c r="G313" s="381"/>
      <c r="H313" s="381"/>
      <c r="I313" s="381"/>
      <c r="J313" s="381"/>
      <c r="K313" s="381"/>
      <c r="L313" s="381"/>
      <c r="M313" s="381"/>
      <c r="N313" s="381"/>
      <c r="O313" s="381"/>
      <c r="P313" s="381"/>
      <c r="Q313" s="381"/>
      <c r="R313" s="381"/>
      <c r="S313" s="381"/>
      <c r="T313" s="381"/>
      <c r="U313" s="381"/>
      <c r="V313" s="381"/>
      <c r="W313" s="381"/>
      <c r="X313" s="381"/>
      <c r="Y313" s="381"/>
    </row>
    <row r="314">
      <c r="A314" s="359"/>
      <c r="B314" s="381"/>
      <c r="C314" s="18"/>
      <c r="D314" s="359"/>
      <c r="E314" s="607"/>
      <c r="F314" s="359"/>
      <c r="G314" s="381"/>
      <c r="H314" s="381"/>
      <c r="I314" s="381"/>
      <c r="J314" s="381"/>
      <c r="K314" s="381"/>
      <c r="L314" s="381"/>
      <c r="M314" s="381"/>
      <c r="N314" s="381"/>
      <c r="O314" s="381"/>
      <c r="P314" s="381"/>
      <c r="Q314" s="381"/>
      <c r="R314" s="381"/>
      <c r="S314" s="381"/>
      <c r="T314" s="381"/>
      <c r="U314" s="381"/>
      <c r="V314" s="381"/>
      <c r="W314" s="381"/>
      <c r="X314" s="381"/>
      <c r="Y314" s="381"/>
    </row>
    <row r="315">
      <c r="A315" s="359"/>
      <c r="B315" s="381"/>
      <c r="C315" s="18"/>
      <c r="D315" s="359"/>
      <c r="E315" s="607"/>
      <c r="F315" s="359"/>
      <c r="G315" s="381"/>
      <c r="H315" s="381"/>
      <c r="I315" s="381"/>
      <c r="J315" s="381"/>
      <c r="K315" s="381"/>
      <c r="L315" s="381"/>
      <c r="M315" s="381"/>
      <c r="N315" s="381"/>
      <c r="O315" s="381"/>
      <c r="P315" s="381"/>
      <c r="Q315" s="381"/>
      <c r="R315" s="381"/>
      <c r="S315" s="381"/>
      <c r="T315" s="381"/>
      <c r="U315" s="381"/>
      <c r="V315" s="381"/>
      <c r="W315" s="381"/>
      <c r="X315" s="381"/>
      <c r="Y315" s="381"/>
    </row>
    <row r="316">
      <c r="A316" s="359"/>
      <c r="B316" s="381"/>
      <c r="C316" s="18"/>
      <c r="D316" s="359"/>
      <c r="E316" s="607"/>
      <c r="F316" s="359"/>
      <c r="G316" s="381"/>
      <c r="H316" s="381"/>
      <c r="I316" s="381"/>
      <c r="J316" s="381"/>
      <c r="K316" s="381"/>
      <c r="L316" s="381"/>
      <c r="M316" s="381"/>
      <c r="N316" s="381"/>
      <c r="O316" s="381"/>
      <c r="P316" s="381"/>
      <c r="Q316" s="381"/>
      <c r="R316" s="381"/>
      <c r="S316" s="381"/>
      <c r="T316" s="381"/>
      <c r="U316" s="381"/>
      <c r="V316" s="381"/>
      <c r="W316" s="381"/>
      <c r="X316" s="381"/>
      <c r="Y316" s="381"/>
    </row>
    <row r="317">
      <c r="A317" s="359"/>
      <c r="B317" s="381"/>
      <c r="C317" s="18"/>
      <c r="D317" s="359"/>
      <c r="E317" s="607"/>
      <c r="F317" s="359"/>
      <c r="G317" s="381"/>
      <c r="H317" s="381"/>
      <c r="I317" s="381"/>
      <c r="J317" s="381"/>
      <c r="K317" s="381"/>
      <c r="L317" s="381"/>
      <c r="M317" s="381"/>
      <c r="N317" s="381"/>
      <c r="O317" s="381"/>
      <c r="P317" s="381"/>
      <c r="Q317" s="381"/>
      <c r="R317" s="381"/>
      <c r="S317" s="381"/>
      <c r="T317" s="381"/>
      <c r="U317" s="381"/>
      <c r="V317" s="381"/>
      <c r="W317" s="381"/>
      <c r="X317" s="381"/>
      <c r="Y317" s="381"/>
    </row>
    <row r="318">
      <c r="A318" s="359"/>
      <c r="B318" s="381"/>
      <c r="C318" s="18"/>
      <c r="D318" s="359"/>
      <c r="E318" s="607"/>
      <c r="F318" s="359"/>
      <c r="G318" s="381"/>
      <c r="H318" s="381"/>
      <c r="I318" s="381"/>
      <c r="J318" s="381"/>
      <c r="K318" s="381"/>
      <c r="L318" s="381"/>
      <c r="M318" s="381"/>
      <c r="N318" s="381"/>
      <c r="O318" s="381"/>
      <c r="P318" s="381"/>
      <c r="Q318" s="381"/>
      <c r="R318" s="381"/>
      <c r="S318" s="381"/>
      <c r="T318" s="381"/>
      <c r="U318" s="381"/>
      <c r="V318" s="381"/>
      <c r="W318" s="381"/>
      <c r="X318" s="381"/>
      <c r="Y318" s="381"/>
    </row>
    <row r="319">
      <c r="A319" s="359"/>
      <c r="B319" s="381"/>
      <c r="C319" s="18"/>
      <c r="D319" s="359"/>
      <c r="E319" s="607"/>
      <c r="F319" s="359"/>
      <c r="G319" s="381"/>
      <c r="H319" s="381"/>
      <c r="I319" s="381"/>
      <c r="J319" s="381"/>
      <c r="K319" s="381"/>
      <c r="L319" s="381"/>
      <c r="M319" s="381"/>
      <c r="N319" s="381"/>
      <c r="O319" s="381"/>
      <c r="P319" s="381"/>
      <c r="Q319" s="381"/>
      <c r="R319" s="381"/>
      <c r="S319" s="381"/>
      <c r="T319" s="381"/>
      <c r="U319" s="381"/>
      <c r="V319" s="381"/>
      <c r="W319" s="381"/>
      <c r="X319" s="381"/>
      <c r="Y319" s="381"/>
    </row>
    <row r="320">
      <c r="A320" s="359"/>
      <c r="B320" s="381"/>
      <c r="C320" s="18"/>
      <c r="D320" s="359"/>
      <c r="E320" s="607"/>
      <c r="F320" s="359"/>
      <c r="G320" s="381"/>
      <c r="H320" s="381"/>
      <c r="I320" s="381"/>
      <c r="J320" s="381"/>
      <c r="K320" s="381"/>
      <c r="L320" s="381"/>
      <c r="M320" s="381"/>
      <c r="N320" s="381"/>
      <c r="O320" s="381"/>
      <c r="P320" s="381"/>
      <c r="Q320" s="381"/>
      <c r="R320" s="381"/>
      <c r="S320" s="381"/>
      <c r="T320" s="381"/>
      <c r="U320" s="381"/>
      <c r="V320" s="381"/>
      <c r="W320" s="381"/>
      <c r="X320" s="381"/>
      <c r="Y320" s="381"/>
    </row>
    <row r="321">
      <c r="A321" s="359"/>
      <c r="B321" s="381"/>
      <c r="C321" s="18"/>
      <c r="D321" s="359"/>
      <c r="E321" s="607"/>
      <c r="F321" s="359"/>
      <c r="G321" s="381"/>
      <c r="H321" s="381"/>
      <c r="I321" s="381"/>
      <c r="J321" s="381"/>
      <c r="K321" s="381"/>
      <c r="L321" s="381"/>
      <c r="M321" s="381"/>
      <c r="N321" s="381"/>
      <c r="O321" s="381"/>
      <c r="P321" s="381"/>
      <c r="Q321" s="381"/>
      <c r="R321" s="381"/>
      <c r="S321" s="381"/>
      <c r="T321" s="381"/>
      <c r="U321" s="381"/>
      <c r="V321" s="381"/>
      <c r="W321" s="381"/>
      <c r="X321" s="381"/>
      <c r="Y321" s="381"/>
    </row>
    <row r="322">
      <c r="A322" s="359"/>
      <c r="B322" s="381"/>
      <c r="C322" s="18"/>
      <c r="D322" s="359"/>
      <c r="E322" s="607"/>
      <c r="F322" s="359"/>
      <c r="G322" s="381"/>
      <c r="H322" s="381"/>
      <c r="I322" s="381"/>
      <c r="J322" s="381"/>
      <c r="K322" s="381"/>
      <c r="L322" s="381"/>
      <c r="M322" s="381"/>
      <c r="N322" s="381"/>
      <c r="O322" s="381"/>
      <c r="P322" s="381"/>
      <c r="Q322" s="381"/>
      <c r="R322" s="381"/>
      <c r="S322" s="381"/>
      <c r="T322" s="381"/>
      <c r="U322" s="381"/>
      <c r="V322" s="381"/>
      <c r="W322" s="381"/>
      <c r="X322" s="381"/>
      <c r="Y322" s="381"/>
    </row>
    <row r="323">
      <c r="A323" s="359"/>
      <c r="B323" s="381"/>
      <c r="C323" s="18"/>
      <c r="D323" s="359"/>
      <c r="E323" s="607"/>
      <c r="F323" s="359"/>
      <c r="G323" s="381"/>
      <c r="H323" s="381"/>
      <c r="I323" s="381"/>
      <c r="J323" s="381"/>
      <c r="K323" s="381"/>
      <c r="L323" s="381"/>
      <c r="M323" s="381"/>
      <c r="N323" s="381"/>
      <c r="O323" s="381"/>
      <c r="P323" s="381"/>
      <c r="Q323" s="381"/>
      <c r="R323" s="381"/>
      <c r="S323" s="381"/>
      <c r="T323" s="381"/>
      <c r="U323" s="381"/>
      <c r="V323" s="381"/>
      <c r="W323" s="381"/>
      <c r="X323" s="381"/>
      <c r="Y323" s="381"/>
    </row>
    <row r="324">
      <c r="A324" s="359"/>
      <c r="B324" s="381"/>
      <c r="C324" s="18"/>
      <c r="D324" s="359"/>
      <c r="E324" s="607"/>
      <c r="F324" s="359"/>
      <c r="G324" s="381"/>
      <c r="H324" s="381"/>
      <c r="I324" s="381"/>
      <c r="J324" s="381"/>
      <c r="K324" s="381"/>
      <c r="L324" s="381"/>
      <c r="M324" s="381"/>
      <c r="N324" s="381"/>
      <c r="O324" s="381"/>
      <c r="P324" s="381"/>
      <c r="Q324" s="381"/>
      <c r="R324" s="381"/>
      <c r="S324" s="381"/>
      <c r="T324" s="381"/>
      <c r="U324" s="381"/>
      <c r="V324" s="381"/>
      <c r="W324" s="381"/>
      <c r="X324" s="381"/>
      <c r="Y324" s="381"/>
    </row>
    <row r="325">
      <c r="A325" s="359"/>
      <c r="B325" s="381"/>
      <c r="C325" s="18"/>
      <c r="D325" s="359"/>
      <c r="E325" s="607"/>
      <c r="F325" s="359"/>
      <c r="G325" s="381"/>
      <c r="H325" s="381"/>
      <c r="I325" s="381"/>
      <c r="J325" s="381"/>
      <c r="K325" s="381"/>
      <c r="L325" s="381"/>
      <c r="M325" s="381"/>
      <c r="N325" s="381"/>
      <c r="O325" s="381"/>
      <c r="P325" s="381"/>
      <c r="Q325" s="381"/>
      <c r="R325" s="381"/>
      <c r="S325" s="381"/>
      <c r="T325" s="381"/>
      <c r="U325" s="381"/>
      <c r="V325" s="381"/>
      <c r="W325" s="381"/>
      <c r="X325" s="381"/>
      <c r="Y325" s="381"/>
    </row>
    <row r="326">
      <c r="A326" s="359"/>
      <c r="B326" s="381"/>
      <c r="C326" s="18"/>
      <c r="D326" s="359"/>
      <c r="E326" s="607"/>
      <c r="F326" s="359"/>
      <c r="G326" s="381"/>
      <c r="H326" s="381"/>
      <c r="I326" s="381"/>
      <c r="J326" s="381"/>
      <c r="K326" s="381"/>
      <c r="L326" s="381"/>
      <c r="M326" s="381"/>
      <c r="N326" s="381"/>
      <c r="O326" s="381"/>
      <c r="P326" s="381"/>
      <c r="Q326" s="381"/>
      <c r="R326" s="381"/>
      <c r="S326" s="381"/>
      <c r="T326" s="381"/>
      <c r="U326" s="381"/>
      <c r="V326" s="381"/>
      <c r="W326" s="381"/>
      <c r="X326" s="381"/>
      <c r="Y326" s="381"/>
    </row>
    <row r="327">
      <c r="A327" s="359"/>
      <c r="B327" s="381"/>
      <c r="C327" s="18"/>
      <c r="D327" s="359"/>
      <c r="E327" s="607"/>
      <c r="F327" s="359"/>
      <c r="G327" s="381"/>
      <c r="H327" s="381"/>
      <c r="I327" s="381"/>
      <c r="J327" s="381"/>
      <c r="K327" s="381"/>
      <c r="L327" s="381"/>
      <c r="M327" s="381"/>
      <c r="N327" s="381"/>
      <c r="O327" s="381"/>
      <c r="P327" s="381"/>
      <c r="Q327" s="381"/>
      <c r="R327" s="381"/>
      <c r="S327" s="381"/>
      <c r="T327" s="381"/>
      <c r="U327" s="381"/>
      <c r="V327" s="381"/>
      <c r="W327" s="381"/>
      <c r="X327" s="381"/>
      <c r="Y327" s="381"/>
    </row>
    <row r="328">
      <c r="A328" s="359"/>
      <c r="B328" s="381"/>
      <c r="C328" s="18"/>
      <c r="D328" s="359"/>
      <c r="E328" s="607"/>
      <c r="F328" s="359"/>
      <c r="G328" s="381"/>
      <c r="H328" s="381"/>
      <c r="I328" s="381"/>
      <c r="J328" s="381"/>
      <c r="K328" s="381"/>
      <c r="L328" s="381"/>
      <c r="M328" s="381"/>
      <c r="N328" s="381"/>
      <c r="O328" s="381"/>
      <c r="P328" s="381"/>
      <c r="Q328" s="381"/>
      <c r="R328" s="381"/>
      <c r="S328" s="381"/>
      <c r="T328" s="381"/>
      <c r="U328" s="381"/>
      <c r="V328" s="381"/>
      <c r="W328" s="381"/>
      <c r="X328" s="381"/>
      <c r="Y328" s="381"/>
    </row>
    <row r="329">
      <c r="A329" s="359"/>
      <c r="B329" s="381"/>
      <c r="C329" s="18"/>
      <c r="D329" s="359"/>
      <c r="E329" s="607"/>
      <c r="F329" s="359"/>
      <c r="G329" s="381"/>
      <c r="H329" s="381"/>
      <c r="I329" s="381"/>
      <c r="J329" s="381"/>
      <c r="K329" s="381"/>
      <c r="L329" s="381"/>
      <c r="M329" s="381"/>
      <c r="N329" s="381"/>
      <c r="O329" s="381"/>
      <c r="P329" s="381"/>
      <c r="Q329" s="381"/>
      <c r="R329" s="381"/>
      <c r="S329" s="381"/>
      <c r="T329" s="381"/>
      <c r="U329" s="381"/>
      <c r="V329" s="381"/>
      <c r="W329" s="381"/>
      <c r="X329" s="381"/>
      <c r="Y329" s="381"/>
    </row>
    <row r="330">
      <c r="A330" s="359"/>
      <c r="B330" s="381"/>
      <c r="C330" s="18"/>
      <c r="D330" s="359"/>
      <c r="E330" s="607"/>
      <c r="F330" s="359"/>
      <c r="G330" s="381"/>
      <c r="H330" s="381"/>
      <c r="I330" s="381"/>
      <c r="J330" s="381"/>
      <c r="K330" s="381"/>
      <c r="L330" s="381"/>
      <c r="M330" s="381"/>
      <c r="N330" s="381"/>
      <c r="O330" s="381"/>
      <c r="P330" s="381"/>
      <c r="Q330" s="381"/>
      <c r="R330" s="381"/>
      <c r="S330" s="381"/>
      <c r="T330" s="381"/>
      <c r="U330" s="381"/>
      <c r="V330" s="381"/>
      <c r="W330" s="381"/>
      <c r="X330" s="381"/>
      <c r="Y330" s="381"/>
    </row>
    <row r="331">
      <c r="A331" s="359"/>
      <c r="B331" s="381"/>
      <c r="C331" s="18"/>
      <c r="D331" s="359"/>
      <c r="E331" s="607"/>
      <c r="F331" s="359"/>
      <c r="G331" s="381"/>
      <c r="H331" s="381"/>
      <c r="I331" s="381"/>
      <c r="J331" s="381"/>
      <c r="K331" s="381"/>
      <c r="L331" s="381"/>
      <c r="M331" s="381"/>
      <c r="N331" s="381"/>
      <c r="O331" s="381"/>
      <c r="P331" s="381"/>
      <c r="Q331" s="381"/>
      <c r="R331" s="381"/>
      <c r="S331" s="381"/>
      <c r="T331" s="381"/>
      <c r="U331" s="381"/>
      <c r="V331" s="381"/>
      <c r="W331" s="381"/>
      <c r="X331" s="381"/>
      <c r="Y331" s="381"/>
    </row>
    <row r="332">
      <c r="A332" s="359"/>
      <c r="B332" s="381"/>
      <c r="C332" s="18"/>
      <c r="D332" s="359"/>
      <c r="E332" s="607"/>
      <c r="F332" s="359"/>
      <c r="G332" s="381"/>
      <c r="H332" s="381"/>
      <c r="I332" s="381"/>
      <c r="J332" s="381"/>
      <c r="K332" s="381"/>
      <c r="L332" s="381"/>
      <c r="M332" s="381"/>
      <c r="N332" s="381"/>
      <c r="O332" s="381"/>
      <c r="P332" s="381"/>
      <c r="Q332" s="381"/>
      <c r="R332" s="381"/>
      <c r="S332" s="381"/>
      <c r="T332" s="381"/>
      <c r="U332" s="381"/>
      <c r="V332" s="381"/>
      <c r="W332" s="381"/>
      <c r="X332" s="381"/>
      <c r="Y332" s="381"/>
    </row>
    <row r="333">
      <c r="A333" s="359"/>
      <c r="B333" s="381"/>
      <c r="C333" s="18"/>
      <c r="D333" s="359"/>
      <c r="E333" s="607"/>
      <c r="F333" s="359"/>
      <c r="G333" s="381"/>
      <c r="H333" s="381"/>
      <c r="I333" s="381"/>
      <c r="J333" s="381"/>
      <c r="K333" s="381"/>
      <c r="L333" s="381"/>
      <c r="M333" s="381"/>
      <c r="N333" s="381"/>
      <c r="O333" s="381"/>
      <c r="P333" s="381"/>
      <c r="Q333" s="381"/>
      <c r="R333" s="381"/>
      <c r="S333" s="381"/>
      <c r="T333" s="381"/>
      <c r="U333" s="381"/>
      <c r="V333" s="381"/>
      <c r="W333" s="381"/>
      <c r="X333" s="381"/>
      <c r="Y333" s="381"/>
    </row>
    <row r="334">
      <c r="A334" s="359"/>
      <c r="B334" s="381"/>
      <c r="C334" s="18"/>
      <c r="D334" s="359"/>
      <c r="E334" s="607"/>
      <c r="F334" s="359"/>
      <c r="G334" s="381"/>
      <c r="H334" s="381"/>
      <c r="I334" s="381"/>
      <c r="J334" s="381"/>
      <c r="K334" s="381"/>
      <c r="L334" s="381"/>
      <c r="M334" s="381"/>
      <c r="N334" s="381"/>
      <c r="O334" s="381"/>
      <c r="P334" s="381"/>
      <c r="Q334" s="381"/>
      <c r="R334" s="381"/>
      <c r="S334" s="381"/>
      <c r="T334" s="381"/>
      <c r="U334" s="381"/>
      <c r="V334" s="381"/>
      <c r="W334" s="381"/>
      <c r="X334" s="381"/>
      <c r="Y334" s="381"/>
    </row>
    <row r="335">
      <c r="A335" s="359"/>
      <c r="B335" s="381"/>
      <c r="C335" s="18"/>
      <c r="D335" s="359"/>
      <c r="E335" s="607"/>
      <c r="F335" s="359"/>
      <c r="G335" s="381"/>
      <c r="H335" s="381"/>
      <c r="I335" s="381"/>
      <c r="J335" s="381"/>
      <c r="K335" s="381"/>
      <c r="L335" s="381"/>
      <c r="M335" s="381"/>
      <c r="N335" s="381"/>
      <c r="O335" s="381"/>
      <c r="P335" s="381"/>
      <c r="Q335" s="381"/>
      <c r="R335" s="381"/>
      <c r="S335" s="381"/>
      <c r="T335" s="381"/>
      <c r="U335" s="381"/>
      <c r="V335" s="381"/>
      <c r="W335" s="381"/>
      <c r="X335" s="381"/>
      <c r="Y335" s="381"/>
    </row>
    <row r="336">
      <c r="A336" s="359"/>
      <c r="B336" s="381"/>
      <c r="C336" s="18"/>
      <c r="D336" s="359"/>
      <c r="E336" s="607"/>
      <c r="F336" s="359"/>
      <c r="G336" s="381"/>
      <c r="H336" s="381"/>
      <c r="I336" s="381"/>
      <c r="J336" s="381"/>
      <c r="K336" s="381"/>
      <c r="L336" s="381"/>
      <c r="M336" s="381"/>
      <c r="N336" s="381"/>
      <c r="O336" s="381"/>
      <c r="P336" s="381"/>
      <c r="Q336" s="381"/>
      <c r="R336" s="381"/>
      <c r="S336" s="381"/>
      <c r="T336" s="381"/>
      <c r="U336" s="381"/>
      <c r="V336" s="381"/>
      <c r="W336" s="381"/>
      <c r="X336" s="381"/>
      <c r="Y336" s="381"/>
    </row>
    <row r="337">
      <c r="A337" s="359"/>
      <c r="B337" s="381"/>
      <c r="C337" s="18"/>
      <c r="D337" s="359"/>
      <c r="E337" s="607"/>
      <c r="F337" s="359"/>
      <c r="G337" s="381"/>
      <c r="H337" s="381"/>
      <c r="I337" s="381"/>
      <c r="J337" s="381"/>
      <c r="K337" s="381"/>
      <c r="L337" s="381"/>
      <c r="M337" s="381"/>
      <c r="N337" s="381"/>
      <c r="O337" s="381"/>
      <c r="P337" s="381"/>
      <c r="Q337" s="381"/>
      <c r="R337" s="381"/>
      <c r="S337" s="381"/>
      <c r="T337" s="381"/>
      <c r="U337" s="381"/>
      <c r="V337" s="381"/>
      <c r="W337" s="381"/>
      <c r="X337" s="381"/>
      <c r="Y337" s="381"/>
    </row>
    <row r="338">
      <c r="A338" s="359"/>
      <c r="B338" s="381"/>
      <c r="C338" s="18"/>
      <c r="D338" s="359"/>
      <c r="E338" s="607"/>
      <c r="F338" s="359"/>
      <c r="G338" s="381"/>
      <c r="H338" s="381"/>
      <c r="I338" s="381"/>
      <c r="J338" s="381"/>
      <c r="K338" s="381"/>
      <c r="L338" s="381"/>
      <c r="M338" s="381"/>
      <c r="N338" s="381"/>
      <c r="O338" s="381"/>
      <c r="P338" s="381"/>
      <c r="Q338" s="381"/>
      <c r="R338" s="381"/>
      <c r="S338" s="381"/>
      <c r="T338" s="381"/>
      <c r="U338" s="381"/>
      <c r="V338" s="381"/>
      <c r="W338" s="381"/>
      <c r="X338" s="381"/>
      <c r="Y338" s="381"/>
    </row>
    <row r="339">
      <c r="A339" s="359"/>
      <c r="B339" s="381"/>
      <c r="C339" s="18"/>
      <c r="D339" s="359"/>
      <c r="E339" s="607"/>
      <c r="F339" s="359"/>
      <c r="G339" s="381"/>
      <c r="H339" s="381"/>
      <c r="I339" s="381"/>
      <c r="J339" s="381"/>
      <c r="K339" s="381"/>
      <c r="L339" s="381"/>
      <c r="M339" s="381"/>
      <c r="N339" s="381"/>
      <c r="O339" s="381"/>
      <c r="P339" s="381"/>
      <c r="Q339" s="381"/>
      <c r="R339" s="381"/>
      <c r="S339" s="381"/>
      <c r="T339" s="381"/>
      <c r="U339" s="381"/>
      <c r="V339" s="381"/>
      <c r="W339" s="381"/>
      <c r="X339" s="381"/>
      <c r="Y339" s="381"/>
    </row>
    <row r="340">
      <c r="A340" s="359"/>
      <c r="B340" s="381"/>
      <c r="C340" s="18"/>
      <c r="D340" s="359"/>
      <c r="E340" s="607"/>
      <c r="F340" s="359"/>
      <c r="G340" s="381"/>
      <c r="H340" s="381"/>
      <c r="I340" s="381"/>
      <c r="J340" s="381"/>
      <c r="K340" s="381"/>
      <c r="L340" s="381"/>
      <c r="M340" s="381"/>
      <c r="N340" s="381"/>
      <c r="O340" s="381"/>
      <c r="P340" s="381"/>
      <c r="Q340" s="381"/>
      <c r="R340" s="381"/>
      <c r="S340" s="381"/>
      <c r="T340" s="381"/>
      <c r="U340" s="381"/>
      <c r="V340" s="381"/>
      <c r="W340" s="381"/>
      <c r="X340" s="381"/>
      <c r="Y340" s="381"/>
    </row>
    <row r="341">
      <c r="A341" s="359"/>
      <c r="B341" s="381"/>
      <c r="C341" s="18"/>
      <c r="D341" s="359"/>
      <c r="E341" s="607"/>
      <c r="F341" s="359"/>
      <c r="G341" s="381"/>
      <c r="H341" s="381"/>
      <c r="I341" s="381"/>
      <c r="J341" s="381"/>
      <c r="K341" s="381"/>
      <c r="L341" s="381"/>
      <c r="M341" s="381"/>
      <c r="N341" s="381"/>
      <c r="O341" s="381"/>
      <c r="P341" s="381"/>
      <c r="Q341" s="381"/>
      <c r="R341" s="381"/>
      <c r="S341" s="381"/>
      <c r="T341" s="381"/>
      <c r="U341" s="381"/>
      <c r="V341" s="381"/>
      <c r="W341" s="381"/>
      <c r="X341" s="381"/>
      <c r="Y341" s="381"/>
    </row>
    <row r="342">
      <c r="A342" s="359"/>
      <c r="B342" s="381"/>
      <c r="C342" s="18"/>
      <c r="D342" s="359"/>
      <c r="E342" s="607"/>
      <c r="F342" s="359"/>
      <c r="G342" s="381"/>
      <c r="H342" s="381"/>
      <c r="I342" s="381"/>
      <c r="J342" s="381"/>
      <c r="K342" s="381"/>
      <c r="L342" s="381"/>
      <c r="M342" s="381"/>
      <c r="N342" s="381"/>
      <c r="O342" s="381"/>
      <c r="P342" s="381"/>
      <c r="Q342" s="381"/>
      <c r="R342" s="381"/>
      <c r="S342" s="381"/>
      <c r="T342" s="381"/>
      <c r="U342" s="381"/>
      <c r="V342" s="381"/>
      <c r="W342" s="381"/>
      <c r="X342" s="381"/>
      <c r="Y342" s="381"/>
    </row>
    <row r="343">
      <c r="A343" s="359"/>
      <c r="B343" s="381"/>
      <c r="C343" s="18"/>
      <c r="D343" s="359"/>
      <c r="E343" s="607"/>
      <c r="F343" s="359"/>
      <c r="G343" s="381"/>
      <c r="H343" s="381"/>
      <c r="I343" s="381"/>
      <c r="J343" s="381"/>
      <c r="K343" s="381"/>
      <c r="L343" s="381"/>
      <c r="M343" s="381"/>
      <c r="N343" s="381"/>
      <c r="O343" s="381"/>
      <c r="P343" s="381"/>
      <c r="Q343" s="381"/>
      <c r="R343" s="381"/>
      <c r="S343" s="381"/>
      <c r="T343" s="381"/>
      <c r="U343" s="381"/>
      <c r="V343" s="381"/>
      <c r="W343" s="381"/>
      <c r="X343" s="381"/>
      <c r="Y343" s="381"/>
    </row>
    <row r="344">
      <c r="A344" s="359"/>
      <c r="B344" s="381"/>
      <c r="C344" s="18"/>
      <c r="D344" s="359"/>
      <c r="E344" s="607"/>
      <c r="F344" s="359"/>
      <c r="G344" s="381"/>
      <c r="H344" s="381"/>
      <c r="I344" s="381"/>
      <c r="J344" s="381"/>
      <c r="K344" s="381"/>
      <c r="L344" s="381"/>
      <c r="M344" s="381"/>
      <c r="N344" s="381"/>
      <c r="O344" s="381"/>
      <c r="P344" s="381"/>
      <c r="Q344" s="381"/>
      <c r="R344" s="381"/>
      <c r="S344" s="381"/>
      <c r="T344" s="381"/>
      <c r="U344" s="381"/>
      <c r="V344" s="381"/>
      <c r="W344" s="381"/>
      <c r="X344" s="381"/>
      <c r="Y344" s="381"/>
    </row>
    <row r="345">
      <c r="A345" s="359"/>
      <c r="B345" s="381"/>
      <c r="C345" s="18"/>
      <c r="D345" s="359"/>
      <c r="E345" s="607"/>
      <c r="F345" s="359"/>
      <c r="G345" s="381"/>
      <c r="H345" s="381"/>
      <c r="I345" s="381"/>
      <c r="J345" s="381"/>
      <c r="K345" s="381"/>
      <c r="L345" s="381"/>
      <c r="M345" s="381"/>
      <c r="N345" s="381"/>
      <c r="O345" s="381"/>
      <c r="P345" s="381"/>
      <c r="Q345" s="381"/>
      <c r="R345" s="381"/>
      <c r="S345" s="381"/>
      <c r="T345" s="381"/>
      <c r="U345" s="381"/>
      <c r="V345" s="381"/>
      <c r="W345" s="381"/>
      <c r="X345" s="381"/>
      <c r="Y345" s="381"/>
    </row>
    <row r="346">
      <c r="A346" s="359"/>
      <c r="B346" s="381"/>
      <c r="C346" s="18"/>
      <c r="D346" s="359"/>
      <c r="E346" s="607"/>
      <c r="F346" s="359"/>
      <c r="G346" s="381"/>
      <c r="H346" s="381"/>
      <c r="I346" s="381"/>
      <c r="J346" s="381"/>
      <c r="K346" s="381"/>
      <c r="L346" s="381"/>
      <c r="M346" s="381"/>
      <c r="N346" s="381"/>
      <c r="O346" s="381"/>
      <c r="P346" s="381"/>
      <c r="Q346" s="381"/>
      <c r="R346" s="381"/>
      <c r="S346" s="381"/>
      <c r="T346" s="381"/>
      <c r="U346" s="381"/>
      <c r="V346" s="381"/>
      <c r="W346" s="381"/>
      <c r="X346" s="381"/>
      <c r="Y346" s="381"/>
    </row>
    <row r="347">
      <c r="A347" s="359"/>
      <c r="B347" s="381"/>
      <c r="C347" s="18"/>
      <c r="D347" s="359"/>
      <c r="E347" s="607"/>
      <c r="F347" s="359"/>
      <c r="G347" s="381"/>
      <c r="H347" s="381"/>
      <c r="I347" s="381"/>
      <c r="J347" s="381"/>
      <c r="K347" s="381"/>
      <c r="L347" s="381"/>
      <c r="M347" s="381"/>
      <c r="N347" s="381"/>
      <c r="O347" s="381"/>
      <c r="P347" s="381"/>
      <c r="Q347" s="381"/>
      <c r="R347" s="381"/>
      <c r="S347" s="381"/>
      <c r="T347" s="381"/>
      <c r="U347" s="381"/>
      <c r="V347" s="381"/>
      <c r="W347" s="381"/>
      <c r="X347" s="381"/>
      <c r="Y347" s="381"/>
    </row>
    <row r="348">
      <c r="A348" s="359"/>
      <c r="B348" s="381"/>
      <c r="C348" s="18"/>
      <c r="D348" s="359"/>
      <c r="E348" s="607"/>
      <c r="F348" s="359"/>
      <c r="G348" s="381"/>
      <c r="H348" s="381"/>
      <c r="I348" s="381"/>
      <c r="J348" s="381"/>
      <c r="K348" s="381"/>
      <c r="L348" s="381"/>
      <c r="M348" s="381"/>
      <c r="N348" s="381"/>
      <c r="O348" s="381"/>
      <c r="P348" s="381"/>
      <c r="Q348" s="381"/>
      <c r="R348" s="381"/>
      <c r="S348" s="381"/>
      <c r="T348" s="381"/>
      <c r="U348" s="381"/>
      <c r="V348" s="381"/>
      <c r="W348" s="381"/>
      <c r="X348" s="381"/>
      <c r="Y348" s="381"/>
    </row>
    <row r="349">
      <c r="A349" s="359"/>
      <c r="B349" s="381"/>
      <c r="C349" s="18"/>
      <c r="D349" s="359"/>
      <c r="E349" s="607"/>
      <c r="F349" s="359"/>
      <c r="G349" s="381"/>
      <c r="H349" s="381"/>
      <c r="I349" s="381"/>
      <c r="J349" s="381"/>
      <c r="K349" s="381"/>
      <c r="L349" s="381"/>
      <c r="M349" s="381"/>
      <c r="N349" s="381"/>
      <c r="O349" s="381"/>
      <c r="P349" s="381"/>
      <c r="Q349" s="381"/>
      <c r="R349" s="381"/>
      <c r="S349" s="381"/>
      <c r="T349" s="381"/>
      <c r="U349" s="381"/>
      <c r="V349" s="381"/>
      <c r="W349" s="381"/>
      <c r="X349" s="381"/>
      <c r="Y349" s="381"/>
    </row>
    <row r="350">
      <c r="A350" s="359"/>
      <c r="B350" s="381"/>
      <c r="C350" s="18"/>
      <c r="D350" s="359"/>
      <c r="E350" s="607"/>
      <c r="F350" s="359"/>
      <c r="G350" s="381"/>
      <c r="H350" s="381"/>
      <c r="I350" s="381"/>
      <c r="J350" s="381"/>
      <c r="K350" s="381"/>
      <c r="L350" s="381"/>
      <c r="M350" s="381"/>
      <c r="N350" s="381"/>
      <c r="O350" s="381"/>
      <c r="P350" s="381"/>
      <c r="Q350" s="381"/>
      <c r="R350" s="381"/>
      <c r="S350" s="381"/>
      <c r="T350" s="381"/>
      <c r="U350" s="381"/>
      <c r="V350" s="381"/>
      <c r="W350" s="381"/>
      <c r="X350" s="381"/>
      <c r="Y350" s="381"/>
    </row>
    <row r="351">
      <c r="A351" s="359"/>
      <c r="B351" s="381"/>
      <c r="C351" s="18"/>
      <c r="D351" s="359"/>
      <c r="E351" s="607"/>
      <c r="F351" s="359"/>
      <c r="G351" s="381"/>
      <c r="H351" s="381"/>
      <c r="I351" s="381"/>
      <c r="J351" s="381"/>
      <c r="K351" s="381"/>
      <c r="L351" s="381"/>
      <c r="M351" s="381"/>
      <c r="N351" s="381"/>
      <c r="O351" s="381"/>
      <c r="P351" s="381"/>
      <c r="Q351" s="381"/>
      <c r="R351" s="381"/>
      <c r="S351" s="381"/>
      <c r="T351" s="381"/>
      <c r="U351" s="381"/>
      <c r="V351" s="381"/>
      <c r="W351" s="381"/>
      <c r="X351" s="381"/>
      <c r="Y351" s="381"/>
    </row>
    <row r="352">
      <c r="A352" s="359"/>
      <c r="B352" s="381"/>
      <c r="C352" s="18"/>
      <c r="D352" s="359"/>
      <c r="E352" s="607"/>
      <c r="F352" s="359"/>
      <c r="G352" s="381"/>
      <c r="H352" s="381"/>
      <c r="I352" s="381"/>
      <c r="J352" s="381"/>
      <c r="K352" s="381"/>
      <c r="L352" s="381"/>
      <c r="M352" s="381"/>
      <c r="N352" s="381"/>
      <c r="O352" s="381"/>
      <c r="P352" s="381"/>
      <c r="Q352" s="381"/>
      <c r="R352" s="381"/>
      <c r="S352" s="381"/>
      <c r="T352" s="381"/>
      <c r="U352" s="381"/>
      <c r="V352" s="381"/>
      <c r="W352" s="381"/>
      <c r="X352" s="381"/>
      <c r="Y352" s="381"/>
    </row>
    <row r="353">
      <c r="A353" s="359"/>
      <c r="B353" s="381"/>
      <c r="C353" s="18"/>
      <c r="D353" s="359"/>
      <c r="E353" s="607"/>
      <c r="F353" s="359"/>
      <c r="G353" s="381"/>
      <c r="H353" s="381"/>
      <c r="I353" s="381"/>
      <c r="J353" s="381"/>
      <c r="K353" s="381"/>
      <c r="L353" s="381"/>
      <c r="M353" s="381"/>
      <c r="N353" s="381"/>
      <c r="O353" s="381"/>
      <c r="P353" s="381"/>
      <c r="Q353" s="381"/>
      <c r="R353" s="381"/>
      <c r="S353" s="381"/>
      <c r="T353" s="381"/>
      <c r="U353" s="381"/>
      <c r="V353" s="381"/>
      <c r="W353" s="381"/>
      <c r="X353" s="381"/>
      <c r="Y353" s="381"/>
    </row>
    <row r="354">
      <c r="A354" s="359"/>
      <c r="B354" s="381"/>
      <c r="C354" s="18"/>
      <c r="D354" s="359"/>
      <c r="E354" s="607"/>
      <c r="F354" s="359"/>
      <c r="G354" s="381"/>
      <c r="H354" s="381"/>
      <c r="I354" s="381"/>
      <c r="J354" s="381"/>
      <c r="K354" s="381"/>
      <c r="L354" s="381"/>
      <c r="M354" s="381"/>
      <c r="N354" s="381"/>
      <c r="O354" s="381"/>
      <c r="P354" s="381"/>
      <c r="Q354" s="381"/>
      <c r="R354" s="381"/>
      <c r="S354" s="381"/>
      <c r="T354" s="381"/>
      <c r="U354" s="381"/>
      <c r="V354" s="381"/>
      <c r="W354" s="381"/>
      <c r="X354" s="381"/>
      <c r="Y354" s="381"/>
    </row>
    <row r="355">
      <c r="A355" s="359"/>
      <c r="B355" s="381"/>
      <c r="C355" s="18"/>
      <c r="D355" s="359"/>
      <c r="E355" s="607"/>
      <c r="F355" s="359"/>
      <c r="G355" s="381"/>
      <c r="H355" s="381"/>
      <c r="I355" s="381"/>
      <c r="J355" s="381"/>
      <c r="K355" s="381"/>
      <c r="L355" s="381"/>
      <c r="M355" s="381"/>
      <c r="N355" s="381"/>
      <c r="O355" s="381"/>
      <c r="P355" s="381"/>
      <c r="Q355" s="381"/>
      <c r="R355" s="381"/>
      <c r="S355" s="381"/>
      <c r="T355" s="381"/>
      <c r="U355" s="381"/>
      <c r="V355" s="381"/>
      <c r="W355" s="381"/>
      <c r="X355" s="381"/>
      <c r="Y355" s="381"/>
    </row>
    <row r="356">
      <c r="A356" s="359"/>
      <c r="B356" s="381"/>
      <c r="C356" s="18"/>
      <c r="D356" s="359"/>
      <c r="E356" s="607"/>
      <c r="F356" s="359"/>
      <c r="G356" s="381"/>
      <c r="H356" s="381"/>
      <c r="I356" s="381"/>
      <c r="J356" s="381"/>
      <c r="K356" s="381"/>
      <c r="L356" s="381"/>
      <c r="M356" s="381"/>
      <c r="N356" s="381"/>
      <c r="O356" s="381"/>
      <c r="P356" s="381"/>
      <c r="Q356" s="381"/>
      <c r="R356" s="381"/>
      <c r="S356" s="381"/>
      <c r="T356" s="381"/>
      <c r="U356" s="381"/>
      <c r="V356" s="381"/>
      <c r="W356" s="381"/>
      <c r="X356" s="381"/>
      <c r="Y356" s="381"/>
    </row>
    <row r="357">
      <c r="A357" s="359"/>
      <c r="B357" s="381"/>
      <c r="C357" s="18"/>
      <c r="D357" s="359"/>
      <c r="E357" s="607"/>
      <c r="F357" s="359"/>
      <c r="G357" s="381"/>
      <c r="H357" s="381"/>
      <c r="I357" s="381"/>
      <c r="J357" s="381"/>
      <c r="K357" s="381"/>
      <c r="L357" s="381"/>
      <c r="M357" s="381"/>
      <c r="N357" s="381"/>
      <c r="O357" s="381"/>
      <c r="P357" s="381"/>
      <c r="Q357" s="381"/>
      <c r="R357" s="381"/>
      <c r="S357" s="381"/>
      <c r="T357" s="381"/>
      <c r="U357" s="381"/>
      <c r="V357" s="381"/>
      <c r="W357" s="381"/>
      <c r="X357" s="381"/>
      <c r="Y357" s="381"/>
    </row>
    <row r="358">
      <c r="A358" s="359"/>
      <c r="B358" s="381"/>
      <c r="C358" s="18"/>
      <c r="D358" s="359"/>
      <c r="E358" s="607"/>
      <c r="F358" s="359"/>
      <c r="G358" s="381"/>
      <c r="H358" s="381"/>
      <c r="I358" s="381"/>
      <c r="J358" s="381"/>
      <c r="K358" s="381"/>
      <c r="L358" s="381"/>
      <c r="M358" s="381"/>
      <c r="N358" s="381"/>
      <c r="O358" s="381"/>
      <c r="P358" s="381"/>
      <c r="Q358" s="381"/>
      <c r="R358" s="381"/>
      <c r="S358" s="381"/>
      <c r="T358" s="381"/>
      <c r="U358" s="381"/>
      <c r="V358" s="381"/>
      <c r="W358" s="381"/>
      <c r="X358" s="381"/>
      <c r="Y358" s="381"/>
    </row>
    <row r="359">
      <c r="A359" s="359"/>
      <c r="B359" s="381"/>
      <c r="C359" s="18"/>
      <c r="D359" s="359"/>
      <c r="E359" s="607"/>
      <c r="F359" s="359"/>
      <c r="G359" s="381"/>
      <c r="H359" s="381"/>
      <c r="I359" s="381"/>
      <c r="J359" s="381"/>
      <c r="K359" s="381"/>
      <c r="L359" s="381"/>
      <c r="M359" s="381"/>
      <c r="N359" s="381"/>
      <c r="O359" s="381"/>
      <c r="P359" s="381"/>
      <c r="Q359" s="381"/>
      <c r="R359" s="381"/>
      <c r="S359" s="381"/>
      <c r="T359" s="381"/>
      <c r="U359" s="381"/>
      <c r="V359" s="381"/>
      <c r="W359" s="381"/>
      <c r="X359" s="381"/>
      <c r="Y359" s="381"/>
    </row>
    <row r="360">
      <c r="A360" s="359"/>
      <c r="B360" s="381"/>
      <c r="C360" s="18"/>
      <c r="D360" s="359"/>
      <c r="E360" s="607"/>
      <c r="F360" s="359"/>
      <c r="G360" s="381"/>
      <c r="H360" s="381"/>
      <c r="I360" s="381"/>
      <c r="J360" s="381"/>
      <c r="K360" s="381"/>
      <c r="L360" s="381"/>
      <c r="M360" s="381"/>
      <c r="N360" s="381"/>
      <c r="O360" s="381"/>
      <c r="P360" s="381"/>
      <c r="Q360" s="381"/>
      <c r="R360" s="381"/>
      <c r="S360" s="381"/>
      <c r="T360" s="381"/>
      <c r="U360" s="381"/>
      <c r="V360" s="381"/>
      <c r="W360" s="381"/>
      <c r="X360" s="381"/>
      <c r="Y360" s="381"/>
    </row>
    <row r="361">
      <c r="A361" s="359"/>
      <c r="B361" s="381"/>
      <c r="C361" s="18"/>
      <c r="D361" s="359"/>
      <c r="E361" s="607"/>
      <c r="F361" s="359"/>
      <c r="G361" s="381"/>
      <c r="H361" s="381"/>
      <c r="I361" s="381"/>
      <c r="J361" s="381"/>
      <c r="K361" s="381"/>
      <c r="L361" s="381"/>
      <c r="M361" s="381"/>
      <c r="N361" s="381"/>
      <c r="O361" s="381"/>
      <c r="P361" s="381"/>
      <c r="Q361" s="381"/>
      <c r="R361" s="381"/>
      <c r="S361" s="381"/>
      <c r="T361" s="381"/>
      <c r="U361" s="381"/>
      <c r="V361" s="381"/>
      <c r="W361" s="381"/>
      <c r="X361" s="381"/>
      <c r="Y361" s="381"/>
    </row>
    <row r="362">
      <c r="A362" s="359"/>
      <c r="B362" s="381"/>
      <c r="C362" s="18"/>
      <c r="D362" s="359"/>
      <c r="E362" s="607"/>
      <c r="F362" s="359"/>
      <c r="G362" s="381"/>
      <c r="H362" s="381"/>
      <c r="I362" s="381"/>
      <c r="J362" s="381"/>
      <c r="K362" s="381"/>
      <c r="L362" s="381"/>
      <c r="M362" s="381"/>
      <c r="N362" s="381"/>
      <c r="O362" s="381"/>
      <c r="P362" s="381"/>
      <c r="Q362" s="381"/>
      <c r="R362" s="381"/>
      <c r="S362" s="381"/>
      <c r="T362" s="381"/>
      <c r="U362" s="381"/>
      <c r="V362" s="381"/>
      <c r="W362" s="381"/>
      <c r="X362" s="381"/>
      <c r="Y362" s="381"/>
    </row>
    <row r="363">
      <c r="A363" s="359"/>
      <c r="B363" s="381"/>
      <c r="C363" s="18"/>
      <c r="D363" s="359"/>
      <c r="E363" s="607"/>
      <c r="F363" s="359"/>
      <c r="G363" s="381"/>
      <c r="H363" s="381"/>
      <c r="I363" s="381"/>
      <c r="J363" s="381"/>
      <c r="K363" s="381"/>
      <c r="L363" s="381"/>
      <c r="M363" s="381"/>
      <c r="N363" s="381"/>
      <c r="O363" s="381"/>
      <c r="P363" s="381"/>
      <c r="Q363" s="381"/>
      <c r="R363" s="381"/>
      <c r="S363" s="381"/>
      <c r="T363" s="381"/>
      <c r="U363" s="381"/>
      <c r="V363" s="381"/>
      <c r="W363" s="381"/>
      <c r="X363" s="381"/>
      <c r="Y363" s="381"/>
    </row>
    <row r="364">
      <c r="A364" s="359"/>
      <c r="B364" s="381"/>
      <c r="C364" s="18"/>
      <c r="D364" s="359"/>
      <c r="E364" s="607"/>
      <c r="F364" s="359"/>
      <c r="G364" s="381"/>
      <c r="H364" s="381"/>
      <c r="I364" s="381"/>
      <c r="J364" s="381"/>
      <c r="K364" s="381"/>
      <c r="L364" s="381"/>
      <c r="M364" s="381"/>
      <c r="N364" s="381"/>
      <c r="O364" s="381"/>
      <c r="P364" s="381"/>
      <c r="Q364" s="381"/>
      <c r="R364" s="381"/>
      <c r="S364" s="381"/>
      <c r="T364" s="381"/>
      <c r="U364" s="381"/>
      <c r="V364" s="381"/>
      <c r="W364" s="381"/>
      <c r="X364" s="381"/>
      <c r="Y364" s="381"/>
    </row>
    <row r="365">
      <c r="A365" s="359"/>
      <c r="B365" s="381"/>
      <c r="C365" s="18"/>
      <c r="D365" s="359"/>
      <c r="E365" s="607"/>
      <c r="F365" s="359"/>
      <c r="G365" s="381"/>
      <c r="H365" s="381"/>
      <c r="I365" s="381"/>
      <c r="J365" s="381"/>
      <c r="K365" s="381"/>
      <c r="L365" s="381"/>
      <c r="M365" s="381"/>
      <c r="N365" s="381"/>
      <c r="O365" s="381"/>
      <c r="P365" s="381"/>
      <c r="Q365" s="381"/>
      <c r="R365" s="381"/>
      <c r="S365" s="381"/>
      <c r="T365" s="381"/>
      <c r="U365" s="381"/>
      <c r="V365" s="381"/>
      <c r="W365" s="381"/>
      <c r="X365" s="381"/>
      <c r="Y365" s="381"/>
    </row>
    <row r="366">
      <c r="A366" s="359"/>
      <c r="B366" s="381"/>
      <c r="C366" s="18"/>
      <c r="D366" s="359"/>
      <c r="E366" s="607"/>
      <c r="F366" s="359"/>
      <c r="G366" s="381"/>
      <c r="H366" s="381"/>
      <c r="I366" s="381"/>
      <c r="J366" s="381"/>
      <c r="K366" s="381"/>
      <c r="L366" s="381"/>
      <c r="M366" s="381"/>
      <c r="N366" s="381"/>
      <c r="O366" s="381"/>
      <c r="P366" s="381"/>
      <c r="Q366" s="381"/>
      <c r="R366" s="381"/>
      <c r="S366" s="381"/>
      <c r="T366" s="381"/>
      <c r="U366" s="381"/>
      <c r="V366" s="381"/>
      <c r="W366" s="381"/>
      <c r="X366" s="381"/>
      <c r="Y366" s="381"/>
    </row>
    <row r="367">
      <c r="A367" s="359"/>
      <c r="B367" s="381"/>
      <c r="C367" s="18"/>
      <c r="D367" s="359"/>
      <c r="E367" s="607"/>
      <c r="F367" s="359"/>
      <c r="G367" s="381"/>
      <c r="H367" s="381"/>
      <c r="I367" s="381"/>
      <c r="J367" s="381"/>
      <c r="K367" s="381"/>
      <c r="L367" s="381"/>
      <c r="M367" s="381"/>
      <c r="N367" s="381"/>
      <c r="O367" s="381"/>
      <c r="P367" s="381"/>
      <c r="Q367" s="381"/>
      <c r="R367" s="381"/>
      <c r="S367" s="381"/>
      <c r="T367" s="381"/>
      <c r="U367" s="381"/>
      <c r="V367" s="381"/>
      <c r="W367" s="381"/>
      <c r="X367" s="381"/>
      <c r="Y367" s="381"/>
    </row>
    <row r="368">
      <c r="A368" s="359"/>
      <c r="B368" s="381"/>
      <c r="C368" s="18"/>
      <c r="D368" s="359"/>
      <c r="E368" s="607"/>
      <c r="F368" s="359"/>
      <c r="G368" s="381"/>
      <c r="H368" s="381"/>
      <c r="I368" s="381"/>
      <c r="J368" s="381"/>
      <c r="K368" s="381"/>
      <c r="L368" s="381"/>
      <c r="M368" s="381"/>
      <c r="N368" s="381"/>
      <c r="O368" s="381"/>
      <c r="P368" s="381"/>
      <c r="Q368" s="381"/>
      <c r="R368" s="381"/>
      <c r="S368" s="381"/>
      <c r="T368" s="381"/>
      <c r="U368" s="381"/>
      <c r="V368" s="381"/>
      <c r="W368" s="381"/>
      <c r="X368" s="381"/>
      <c r="Y368" s="381"/>
    </row>
    <row r="369">
      <c r="A369" s="359"/>
      <c r="B369" s="381"/>
      <c r="C369" s="18"/>
      <c r="D369" s="359"/>
      <c r="E369" s="607"/>
      <c r="F369" s="359"/>
      <c r="G369" s="381"/>
      <c r="H369" s="381"/>
      <c r="I369" s="381"/>
      <c r="J369" s="381"/>
      <c r="K369" s="381"/>
      <c r="L369" s="381"/>
      <c r="M369" s="381"/>
      <c r="N369" s="381"/>
      <c r="O369" s="381"/>
      <c r="P369" s="381"/>
      <c r="Q369" s="381"/>
      <c r="R369" s="381"/>
      <c r="S369" s="381"/>
      <c r="T369" s="381"/>
      <c r="U369" s="381"/>
      <c r="V369" s="381"/>
      <c r="W369" s="381"/>
      <c r="X369" s="381"/>
      <c r="Y369" s="381"/>
    </row>
    <row r="370">
      <c r="A370" s="359"/>
      <c r="B370" s="381"/>
      <c r="C370" s="18"/>
      <c r="D370" s="359"/>
      <c r="E370" s="607"/>
      <c r="F370" s="359"/>
      <c r="G370" s="381"/>
      <c r="H370" s="381"/>
      <c r="I370" s="381"/>
      <c r="J370" s="381"/>
      <c r="K370" s="381"/>
      <c r="L370" s="381"/>
      <c r="M370" s="381"/>
      <c r="N370" s="381"/>
      <c r="O370" s="381"/>
      <c r="P370" s="381"/>
      <c r="Q370" s="381"/>
      <c r="R370" s="381"/>
      <c r="S370" s="381"/>
      <c r="T370" s="381"/>
      <c r="U370" s="381"/>
      <c r="V370" s="381"/>
      <c r="W370" s="381"/>
      <c r="X370" s="381"/>
      <c r="Y370" s="381"/>
    </row>
    <row r="371">
      <c r="A371" s="359"/>
      <c r="B371" s="381"/>
      <c r="C371" s="18"/>
      <c r="D371" s="359"/>
      <c r="E371" s="607"/>
      <c r="F371" s="359"/>
      <c r="G371" s="381"/>
      <c r="H371" s="381"/>
      <c r="I371" s="381"/>
      <c r="J371" s="381"/>
      <c r="K371" s="381"/>
      <c r="L371" s="381"/>
      <c r="M371" s="381"/>
      <c r="N371" s="381"/>
      <c r="O371" s="381"/>
      <c r="P371" s="381"/>
      <c r="Q371" s="381"/>
      <c r="R371" s="381"/>
      <c r="S371" s="381"/>
      <c r="T371" s="381"/>
      <c r="U371" s="381"/>
      <c r="V371" s="381"/>
      <c r="W371" s="381"/>
      <c r="X371" s="381"/>
      <c r="Y371" s="381"/>
    </row>
    <row r="372">
      <c r="A372" s="359"/>
      <c r="B372" s="381"/>
      <c r="C372" s="18"/>
      <c r="D372" s="359"/>
      <c r="E372" s="607"/>
      <c r="F372" s="359"/>
      <c r="G372" s="381"/>
      <c r="H372" s="381"/>
      <c r="I372" s="381"/>
      <c r="J372" s="381"/>
      <c r="K372" s="381"/>
      <c r="L372" s="381"/>
      <c r="M372" s="381"/>
      <c r="N372" s="381"/>
      <c r="O372" s="381"/>
      <c r="P372" s="381"/>
      <c r="Q372" s="381"/>
      <c r="R372" s="381"/>
      <c r="S372" s="381"/>
      <c r="T372" s="381"/>
      <c r="U372" s="381"/>
      <c r="V372" s="381"/>
      <c r="W372" s="381"/>
      <c r="X372" s="381"/>
      <c r="Y372" s="381"/>
    </row>
    <row r="373">
      <c r="A373" s="359"/>
      <c r="B373" s="381"/>
      <c r="C373" s="18"/>
      <c r="D373" s="359"/>
      <c r="E373" s="607"/>
      <c r="F373" s="359"/>
      <c r="G373" s="381"/>
      <c r="H373" s="381"/>
      <c r="I373" s="381"/>
      <c r="J373" s="381"/>
      <c r="K373" s="381"/>
      <c r="L373" s="381"/>
      <c r="M373" s="381"/>
      <c r="N373" s="381"/>
      <c r="O373" s="381"/>
      <c r="P373" s="381"/>
      <c r="Q373" s="381"/>
      <c r="R373" s="381"/>
      <c r="S373" s="381"/>
      <c r="T373" s="381"/>
      <c r="U373" s="381"/>
      <c r="V373" s="381"/>
      <c r="W373" s="381"/>
      <c r="X373" s="381"/>
      <c r="Y373" s="381"/>
    </row>
    <row r="374">
      <c r="A374" s="359"/>
      <c r="B374" s="381"/>
      <c r="C374" s="18"/>
      <c r="D374" s="359"/>
      <c r="E374" s="607"/>
      <c r="F374" s="359"/>
      <c r="G374" s="381"/>
      <c r="H374" s="381"/>
      <c r="I374" s="381"/>
      <c r="J374" s="381"/>
      <c r="K374" s="381"/>
      <c r="L374" s="381"/>
      <c r="M374" s="381"/>
      <c r="N374" s="381"/>
      <c r="O374" s="381"/>
      <c r="P374" s="381"/>
      <c r="Q374" s="381"/>
      <c r="R374" s="381"/>
      <c r="S374" s="381"/>
      <c r="T374" s="381"/>
      <c r="U374" s="381"/>
      <c r="V374" s="381"/>
      <c r="W374" s="381"/>
      <c r="X374" s="381"/>
      <c r="Y374" s="381"/>
    </row>
    <row r="375">
      <c r="A375" s="359"/>
      <c r="B375" s="381"/>
      <c r="C375" s="18"/>
      <c r="D375" s="359"/>
      <c r="E375" s="607"/>
      <c r="F375" s="359"/>
      <c r="G375" s="381"/>
      <c r="H375" s="381"/>
      <c r="I375" s="381"/>
      <c r="J375" s="381"/>
      <c r="K375" s="381"/>
      <c r="L375" s="381"/>
      <c r="M375" s="381"/>
      <c r="N375" s="381"/>
      <c r="O375" s="381"/>
      <c r="P375" s="381"/>
      <c r="Q375" s="381"/>
      <c r="R375" s="381"/>
      <c r="S375" s="381"/>
      <c r="T375" s="381"/>
      <c r="U375" s="381"/>
      <c r="V375" s="381"/>
      <c r="W375" s="381"/>
      <c r="X375" s="381"/>
      <c r="Y375" s="381"/>
    </row>
    <row r="376">
      <c r="A376" s="359"/>
      <c r="B376" s="381"/>
      <c r="C376" s="18"/>
      <c r="D376" s="359"/>
      <c r="E376" s="607"/>
      <c r="F376" s="359"/>
      <c r="G376" s="381"/>
      <c r="H376" s="381"/>
      <c r="I376" s="381"/>
      <c r="J376" s="381"/>
      <c r="K376" s="381"/>
      <c r="L376" s="381"/>
      <c r="M376" s="381"/>
      <c r="N376" s="381"/>
      <c r="O376" s="381"/>
      <c r="P376" s="381"/>
      <c r="Q376" s="381"/>
      <c r="R376" s="381"/>
      <c r="S376" s="381"/>
      <c r="T376" s="381"/>
      <c r="U376" s="381"/>
      <c r="V376" s="381"/>
      <c r="W376" s="381"/>
      <c r="X376" s="381"/>
      <c r="Y376" s="381"/>
    </row>
    <row r="377">
      <c r="A377" s="359"/>
      <c r="B377" s="381"/>
      <c r="C377" s="18"/>
      <c r="D377" s="359"/>
      <c r="E377" s="607"/>
      <c r="F377" s="359"/>
      <c r="G377" s="381"/>
      <c r="H377" s="381"/>
      <c r="I377" s="381"/>
      <c r="J377" s="381"/>
      <c r="K377" s="381"/>
      <c r="L377" s="381"/>
      <c r="M377" s="381"/>
      <c r="N377" s="381"/>
      <c r="O377" s="381"/>
      <c r="P377" s="381"/>
      <c r="Q377" s="381"/>
      <c r="R377" s="381"/>
      <c r="S377" s="381"/>
      <c r="T377" s="381"/>
      <c r="U377" s="381"/>
      <c r="V377" s="381"/>
      <c r="W377" s="381"/>
      <c r="X377" s="381"/>
      <c r="Y377" s="381"/>
    </row>
    <row r="378">
      <c r="A378" s="359"/>
      <c r="B378" s="381"/>
      <c r="C378" s="18"/>
      <c r="D378" s="359"/>
      <c r="E378" s="607"/>
      <c r="F378" s="359"/>
      <c r="G378" s="381"/>
      <c r="H378" s="381"/>
      <c r="I378" s="381"/>
      <c r="J378" s="381"/>
      <c r="K378" s="381"/>
      <c r="L378" s="381"/>
      <c r="M378" s="381"/>
      <c r="N378" s="381"/>
      <c r="O378" s="381"/>
      <c r="P378" s="381"/>
      <c r="Q378" s="381"/>
      <c r="R378" s="381"/>
      <c r="S378" s="381"/>
      <c r="T378" s="381"/>
      <c r="U378" s="381"/>
      <c r="V378" s="381"/>
      <c r="W378" s="381"/>
      <c r="X378" s="381"/>
      <c r="Y378" s="381"/>
    </row>
    <row r="379">
      <c r="A379" s="359"/>
      <c r="B379" s="381"/>
      <c r="C379" s="18"/>
      <c r="D379" s="359"/>
      <c r="E379" s="607"/>
      <c r="F379" s="359"/>
      <c r="G379" s="381"/>
      <c r="H379" s="381"/>
      <c r="I379" s="381"/>
      <c r="J379" s="381"/>
      <c r="K379" s="381"/>
      <c r="L379" s="381"/>
      <c r="M379" s="381"/>
      <c r="N379" s="381"/>
      <c r="O379" s="381"/>
      <c r="P379" s="381"/>
      <c r="Q379" s="381"/>
      <c r="R379" s="381"/>
      <c r="S379" s="381"/>
      <c r="T379" s="381"/>
      <c r="U379" s="381"/>
      <c r="V379" s="381"/>
      <c r="W379" s="381"/>
      <c r="X379" s="381"/>
      <c r="Y379" s="381"/>
    </row>
    <row r="380">
      <c r="A380" s="359"/>
      <c r="B380" s="381"/>
      <c r="C380" s="18"/>
      <c r="D380" s="359"/>
      <c r="E380" s="607"/>
      <c r="F380" s="359"/>
      <c r="G380" s="381"/>
      <c r="H380" s="381"/>
      <c r="I380" s="381"/>
      <c r="J380" s="381"/>
      <c r="K380" s="381"/>
      <c r="L380" s="381"/>
      <c r="M380" s="381"/>
      <c r="N380" s="381"/>
      <c r="O380" s="381"/>
      <c r="P380" s="381"/>
      <c r="Q380" s="381"/>
      <c r="R380" s="381"/>
      <c r="S380" s="381"/>
      <c r="T380" s="381"/>
      <c r="U380" s="381"/>
      <c r="V380" s="381"/>
      <c r="W380" s="381"/>
      <c r="X380" s="381"/>
      <c r="Y380" s="381"/>
    </row>
    <row r="381">
      <c r="A381" s="359"/>
      <c r="B381" s="381"/>
      <c r="C381" s="18"/>
      <c r="D381" s="359"/>
      <c r="E381" s="607"/>
      <c r="F381" s="359"/>
      <c r="G381" s="381"/>
      <c r="H381" s="381"/>
      <c r="I381" s="381"/>
      <c r="J381" s="381"/>
      <c r="K381" s="381"/>
      <c r="L381" s="381"/>
      <c r="M381" s="381"/>
      <c r="N381" s="381"/>
      <c r="O381" s="381"/>
      <c r="P381" s="381"/>
      <c r="Q381" s="381"/>
      <c r="R381" s="381"/>
      <c r="S381" s="381"/>
      <c r="T381" s="381"/>
      <c r="U381" s="381"/>
      <c r="V381" s="381"/>
      <c r="W381" s="381"/>
      <c r="X381" s="381"/>
      <c r="Y381" s="381"/>
    </row>
    <row r="382">
      <c r="A382" s="359"/>
      <c r="B382" s="381"/>
      <c r="C382" s="18"/>
      <c r="D382" s="359"/>
      <c r="E382" s="607"/>
      <c r="F382" s="359"/>
      <c r="G382" s="381"/>
      <c r="H382" s="381"/>
      <c r="I382" s="381"/>
      <c r="J382" s="381"/>
      <c r="K382" s="381"/>
      <c r="L382" s="381"/>
      <c r="M382" s="381"/>
      <c r="N382" s="381"/>
      <c r="O382" s="381"/>
      <c r="P382" s="381"/>
      <c r="Q382" s="381"/>
      <c r="R382" s="381"/>
      <c r="S382" s="381"/>
      <c r="T382" s="381"/>
      <c r="U382" s="381"/>
      <c r="V382" s="381"/>
      <c r="W382" s="381"/>
      <c r="X382" s="381"/>
      <c r="Y382" s="381"/>
    </row>
    <row r="383">
      <c r="A383" s="359"/>
      <c r="B383" s="381"/>
      <c r="C383" s="18"/>
      <c r="D383" s="359"/>
      <c r="E383" s="607"/>
      <c r="F383" s="359"/>
      <c r="G383" s="381"/>
      <c r="H383" s="381"/>
      <c r="I383" s="381"/>
      <c r="J383" s="381"/>
      <c r="K383" s="381"/>
      <c r="L383" s="381"/>
      <c r="M383" s="381"/>
      <c r="N383" s="381"/>
      <c r="O383" s="381"/>
      <c r="P383" s="381"/>
      <c r="Q383" s="381"/>
      <c r="R383" s="381"/>
      <c r="S383" s="381"/>
      <c r="T383" s="381"/>
      <c r="U383" s="381"/>
      <c r="V383" s="381"/>
      <c r="W383" s="381"/>
      <c r="X383" s="381"/>
      <c r="Y383" s="381"/>
    </row>
    <row r="384">
      <c r="A384" s="359"/>
      <c r="B384" s="381"/>
      <c r="C384" s="18"/>
      <c r="D384" s="359"/>
      <c r="E384" s="607"/>
      <c r="F384" s="359"/>
      <c r="G384" s="381"/>
      <c r="H384" s="381"/>
      <c r="I384" s="381"/>
      <c r="J384" s="381"/>
      <c r="K384" s="381"/>
      <c r="L384" s="381"/>
      <c r="M384" s="381"/>
      <c r="N384" s="381"/>
      <c r="O384" s="381"/>
      <c r="P384" s="381"/>
      <c r="Q384" s="381"/>
      <c r="R384" s="381"/>
      <c r="S384" s="381"/>
      <c r="T384" s="381"/>
      <c r="U384" s="381"/>
      <c r="V384" s="381"/>
      <c r="W384" s="381"/>
      <c r="X384" s="381"/>
      <c r="Y384" s="381"/>
    </row>
    <row r="385">
      <c r="A385" s="359"/>
      <c r="B385" s="381"/>
      <c r="C385" s="18"/>
      <c r="D385" s="359"/>
      <c r="E385" s="607"/>
      <c r="F385" s="359"/>
      <c r="G385" s="381"/>
      <c r="H385" s="381"/>
      <c r="I385" s="381"/>
      <c r="J385" s="381"/>
      <c r="K385" s="381"/>
      <c r="L385" s="381"/>
      <c r="M385" s="381"/>
      <c r="N385" s="381"/>
      <c r="O385" s="381"/>
      <c r="P385" s="381"/>
      <c r="Q385" s="381"/>
      <c r="R385" s="381"/>
      <c r="S385" s="381"/>
      <c r="T385" s="381"/>
      <c r="U385" s="381"/>
      <c r="V385" s="381"/>
      <c r="W385" s="381"/>
      <c r="X385" s="381"/>
      <c r="Y385" s="381"/>
    </row>
    <row r="386">
      <c r="A386" s="359"/>
      <c r="B386" s="381"/>
      <c r="C386" s="18"/>
      <c r="D386" s="359"/>
      <c r="E386" s="607"/>
      <c r="F386" s="359"/>
      <c r="G386" s="381"/>
      <c r="H386" s="381"/>
      <c r="I386" s="381"/>
      <c r="J386" s="381"/>
      <c r="K386" s="381"/>
      <c r="L386" s="381"/>
      <c r="M386" s="381"/>
      <c r="N386" s="381"/>
      <c r="O386" s="381"/>
      <c r="P386" s="381"/>
      <c r="Q386" s="381"/>
      <c r="R386" s="381"/>
      <c r="S386" s="381"/>
      <c r="T386" s="381"/>
      <c r="U386" s="381"/>
      <c r="V386" s="381"/>
      <c r="W386" s="381"/>
      <c r="X386" s="381"/>
      <c r="Y386" s="381"/>
    </row>
    <row r="387">
      <c r="A387" s="359"/>
      <c r="B387" s="381"/>
      <c r="C387" s="18"/>
      <c r="D387" s="359"/>
      <c r="E387" s="607"/>
      <c r="F387" s="359"/>
      <c r="G387" s="381"/>
      <c r="H387" s="381"/>
      <c r="I387" s="381"/>
      <c r="J387" s="381"/>
      <c r="K387" s="381"/>
      <c r="L387" s="381"/>
      <c r="M387" s="381"/>
      <c r="N387" s="381"/>
      <c r="O387" s="381"/>
      <c r="P387" s="381"/>
      <c r="Q387" s="381"/>
      <c r="R387" s="381"/>
      <c r="S387" s="381"/>
      <c r="T387" s="381"/>
      <c r="U387" s="381"/>
      <c r="V387" s="381"/>
      <c r="W387" s="381"/>
      <c r="X387" s="381"/>
      <c r="Y387" s="381"/>
    </row>
    <row r="388">
      <c r="A388" s="359"/>
      <c r="B388" s="381"/>
      <c r="C388" s="18"/>
      <c r="D388" s="359"/>
      <c r="E388" s="607"/>
      <c r="F388" s="359"/>
      <c r="G388" s="381"/>
      <c r="H388" s="381"/>
      <c r="I388" s="381"/>
      <c r="J388" s="381"/>
      <c r="K388" s="381"/>
      <c r="L388" s="381"/>
      <c r="M388" s="381"/>
      <c r="N388" s="381"/>
      <c r="O388" s="381"/>
      <c r="P388" s="381"/>
      <c r="Q388" s="381"/>
      <c r="R388" s="381"/>
      <c r="S388" s="381"/>
      <c r="T388" s="381"/>
      <c r="U388" s="381"/>
      <c r="V388" s="381"/>
      <c r="W388" s="381"/>
      <c r="X388" s="381"/>
      <c r="Y388" s="381"/>
    </row>
    <row r="389">
      <c r="A389" s="359"/>
      <c r="B389" s="381"/>
      <c r="C389" s="18"/>
      <c r="D389" s="359"/>
      <c r="E389" s="607"/>
      <c r="F389" s="359"/>
      <c r="G389" s="381"/>
      <c r="H389" s="381"/>
      <c r="I389" s="381"/>
      <c r="J389" s="381"/>
      <c r="K389" s="381"/>
      <c r="L389" s="381"/>
      <c r="M389" s="381"/>
      <c r="N389" s="381"/>
      <c r="O389" s="381"/>
      <c r="P389" s="381"/>
      <c r="Q389" s="381"/>
      <c r="R389" s="381"/>
      <c r="S389" s="381"/>
      <c r="T389" s="381"/>
      <c r="U389" s="381"/>
      <c r="V389" s="381"/>
      <c r="W389" s="381"/>
      <c r="X389" s="381"/>
      <c r="Y389" s="381"/>
    </row>
    <row r="390">
      <c r="A390" s="359"/>
      <c r="B390" s="381"/>
      <c r="C390" s="18"/>
      <c r="D390" s="359"/>
      <c r="E390" s="607"/>
      <c r="F390" s="359"/>
      <c r="G390" s="381"/>
      <c r="H390" s="381"/>
      <c r="I390" s="381"/>
      <c r="J390" s="381"/>
      <c r="K390" s="381"/>
      <c r="L390" s="381"/>
      <c r="M390" s="381"/>
      <c r="N390" s="381"/>
      <c r="O390" s="381"/>
      <c r="P390" s="381"/>
      <c r="Q390" s="381"/>
      <c r="R390" s="381"/>
      <c r="S390" s="381"/>
      <c r="T390" s="381"/>
      <c r="U390" s="381"/>
      <c r="V390" s="381"/>
      <c r="W390" s="381"/>
      <c r="X390" s="381"/>
      <c r="Y390" s="381"/>
    </row>
    <row r="391">
      <c r="A391" s="359"/>
      <c r="B391" s="381"/>
      <c r="C391" s="18"/>
      <c r="D391" s="359"/>
      <c r="E391" s="607"/>
      <c r="F391" s="359"/>
      <c r="G391" s="381"/>
      <c r="H391" s="381"/>
      <c r="I391" s="381"/>
      <c r="J391" s="381"/>
      <c r="K391" s="381"/>
      <c r="L391" s="381"/>
      <c r="M391" s="381"/>
      <c r="N391" s="381"/>
      <c r="O391" s="381"/>
      <c r="P391" s="381"/>
      <c r="Q391" s="381"/>
      <c r="R391" s="381"/>
      <c r="S391" s="381"/>
      <c r="T391" s="381"/>
      <c r="U391" s="381"/>
      <c r="V391" s="381"/>
      <c r="W391" s="381"/>
      <c r="X391" s="381"/>
      <c r="Y391" s="381"/>
    </row>
    <row r="392">
      <c r="A392" s="359"/>
      <c r="B392" s="381"/>
      <c r="C392" s="18"/>
      <c r="D392" s="359"/>
      <c r="E392" s="607"/>
      <c r="F392" s="359"/>
      <c r="G392" s="381"/>
      <c r="H392" s="381"/>
      <c r="I392" s="381"/>
      <c r="J392" s="381"/>
      <c r="K392" s="381"/>
      <c r="L392" s="381"/>
      <c r="M392" s="381"/>
      <c r="N392" s="381"/>
      <c r="O392" s="381"/>
      <c r="P392" s="381"/>
      <c r="Q392" s="381"/>
      <c r="R392" s="381"/>
      <c r="S392" s="381"/>
      <c r="T392" s="381"/>
      <c r="U392" s="381"/>
      <c r="V392" s="381"/>
      <c r="W392" s="381"/>
      <c r="X392" s="381"/>
      <c r="Y392" s="381"/>
    </row>
    <row r="393">
      <c r="A393" s="359"/>
      <c r="B393" s="381"/>
      <c r="C393" s="18"/>
      <c r="D393" s="359"/>
      <c r="E393" s="607"/>
      <c r="F393" s="359"/>
      <c r="G393" s="381"/>
      <c r="H393" s="381"/>
      <c r="I393" s="381"/>
      <c r="J393" s="381"/>
      <c r="K393" s="381"/>
      <c r="L393" s="381"/>
      <c r="M393" s="381"/>
      <c r="N393" s="381"/>
      <c r="O393" s="381"/>
      <c r="P393" s="381"/>
      <c r="Q393" s="381"/>
      <c r="R393" s="381"/>
      <c r="S393" s="381"/>
      <c r="T393" s="381"/>
      <c r="U393" s="381"/>
      <c r="V393" s="381"/>
      <c r="W393" s="381"/>
      <c r="X393" s="381"/>
      <c r="Y393" s="381"/>
    </row>
    <row r="394">
      <c r="A394" s="359"/>
      <c r="B394" s="381"/>
      <c r="C394" s="18"/>
      <c r="D394" s="359"/>
      <c r="E394" s="607"/>
      <c r="F394" s="359"/>
      <c r="G394" s="381"/>
      <c r="H394" s="381"/>
      <c r="I394" s="381"/>
      <c r="J394" s="381"/>
      <c r="K394" s="381"/>
      <c r="L394" s="381"/>
      <c r="M394" s="381"/>
      <c r="N394" s="381"/>
      <c r="O394" s="381"/>
      <c r="P394" s="381"/>
      <c r="Q394" s="381"/>
      <c r="R394" s="381"/>
      <c r="S394" s="381"/>
      <c r="T394" s="381"/>
      <c r="U394" s="381"/>
      <c r="V394" s="381"/>
      <c r="W394" s="381"/>
      <c r="X394" s="381"/>
      <c r="Y394" s="381"/>
    </row>
    <row r="395">
      <c r="A395" s="359"/>
      <c r="B395" s="381"/>
      <c r="C395" s="18"/>
      <c r="D395" s="359"/>
      <c r="E395" s="607"/>
      <c r="F395" s="359"/>
      <c r="G395" s="381"/>
      <c r="H395" s="381"/>
      <c r="I395" s="381"/>
      <c r="J395" s="381"/>
      <c r="K395" s="381"/>
      <c r="L395" s="381"/>
      <c r="M395" s="381"/>
      <c r="N395" s="381"/>
      <c r="O395" s="381"/>
      <c r="P395" s="381"/>
      <c r="Q395" s="381"/>
      <c r="R395" s="381"/>
      <c r="S395" s="381"/>
      <c r="T395" s="381"/>
      <c r="U395" s="381"/>
      <c r="V395" s="381"/>
      <c r="W395" s="381"/>
      <c r="X395" s="381"/>
      <c r="Y395" s="381"/>
    </row>
    <row r="396">
      <c r="A396" s="359"/>
      <c r="B396" s="381"/>
      <c r="C396" s="18"/>
      <c r="D396" s="359"/>
      <c r="E396" s="607"/>
      <c r="F396" s="359"/>
      <c r="G396" s="381"/>
      <c r="H396" s="381"/>
      <c r="I396" s="381"/>
      <c r="J396" s="381"/>
      <c r="K396" s="381"/>
      <c r="L396" s="381"/>
      <c r="M396" s="381"/>
      <c r="N396" s="381"/>
      <c r="O396" s="381"/>
      <c r="P396" s="381"/>
      <c r="Q396" s="381"/>
      <c r="R396" s="381"/>
      <c r="S396" s="381"/>
      <c r="T396" s="381"/>
      <c r="U396" s="381"/>
      <c r="V396" s="381"/>
      <c r="W396" s="381"/>
      <c r="X396" s="381"/>
      <c r="Y396" s="381"/>
    </row>
    <row r="397">
      <c r="A397" s="359"/>
      <c r="B397" s="381"/>
      <c r="C397" s="18"/>
      <c r="D397" s="359"/>
      <c r="E397" s="607"/>
      <c r="F397" s="359"/>
      <c r="G397" s="381"/>
      <c r="H397" s="381"/>
      <c r="I397" s="381"/>
      <c r="J397" s="381"/>
      <c r="K397" s="381"/>
      <c r="L397" s="381"/>
      <c r="M397" s="381"/>
      <c r="N397" s="381"/>
      <c r="O397" s="381"/>
      <c r="P397" s="381"/>
      <c r="Q397" s="381"/>
      <c r="R397" s="381"/>
      <c r="S397" s="381"/>
      <c r="T397" s="381"/>
      <c r="U397" s="381"/>
      <c r="V397" s="381"/>
      <c r="W397" s="381"/>
      <c r="X397" s="381"/>
      <c r="Y397" s="381"/>
    </row>
    <row r="398">
      <c r="A398" s="359"/>
      <c r="B398" s="381"/>
      <c r="C398" s="18"/>
      <c r="D398" s="359"/>
      <c r="E398" s="607"/>
      <c r="F398" s="359"/>
      <c r="G398" s="381"/>
      <c r="H398" s="381"/>
      <c r="I398" s="381"/>
      <c r="J398" s="381"/>
      <c r="K398" s="381"/>
      <c r="L398" s="381"/>
      <c r="M398" s="381"/>
      <c r="N398" s="381"/>
      <c r="O398" s="381"/>
      <c r="P398" s="381"/>
      <c r="Q398" s="381"/>
      <c r="R398" s="381"/>
      <c r="S398" s="381"/>
      <c r="T398" s="381"/>
      <c r="U398" s="381"/>
      <c r="V398" s="381"/>
      <c r="W398" s="381"/>
      <c r="X398" s="381"/>
      <c r="Y398" s="381"/>
    </row>
    <row r="399">
      <c r="A399" s="359"/>
      <c r="B399" s="381"/>
      <c r="C399" s="18"/>
      <c r="D399" s="359"/>
      <c r="E399" s="607"/>
      <c r="F399" s="359"/>
      <c r="G399" s="381"/>
      <c r="H399" s="381"/>
      <c r="I399" s="381"/>
      <c r="J399" s="381"/>
      <c r="K399" s="381"/>
      <c r="L399" s="381"/>
      <c r="M399" s="381"/>
      <c r="N399" s="381"/>
      <c r="O399" s="381"/>
      <c r="P399" s="381"/>
      <c r="Q399" s="381"/>
      <c r="R399" s="381"/>
      <c r="S399" s="381"/>
      <c r="T399" s="381"/>
      <c r="U399" s="381"/>
      <c r="V399" s="381"/>
      <c r="W399" s="381"/>
      <c r="X399" s="381"/>
      <c r="Y399" s="381"/>
    </row>
    <row r="400">
      <c r="A400" s="359"/>
      <c r="B400" s="381"/>
      <c r="C400" s="18"/>
      <c r="D400" s="359"/>
      <c r="E400" s="607"/>
      <c r="F400" s="359"/>
      <c r="G400" s="381"/>
      <c r="H400" s="381"/>
      <c r="I400" s="381"/>
      <c r="J400" s="381"/>
      <c r="K400" s="381"/>
      <c r="L400" s="381"/>
      <c r="M400" s="381"/>
      <c r="N400" s="381"/>
      <c r="O400" s="381"/>
      <c r="P400" s="381"/>
      <c r="Q400" s="381"/>
      <c r="R400" s="381"/>
      <c r="S400" s="381"/>
      <c r="T400" s="381"/>
      <c r="U400" s="381"/>
      <c r="V400" s="381"/>
      <c r="W400" s="381"/>
      <c r="X400" s="381"/>
      <c r="Y400" s="381"/>
    </row>
    <row r="401">
      <c r="A401" s="359"/>
      <c r="B401" s="381"/>
      <c r="C401" s="18"/>
      <c r="D401" s="359"/>
      <c r="E401" s="607"/>
      <c r="F401" s="359"/>
      <c r="G401" s="381"/>
      <c r="H401" s="381"/>
      <c r="I401" s="381"/>
      <c r="J401" s="381"/>
      <c r="K401" s="381"/>
      <c r="L401" s="381"/>
      <c r="M401" s="381"/>
      <c r="N401" s="381"/>
      <c r="O401" s="381"/>
      <c r="P401" s="381"/>
      <c r="Q401" s="381"/>
      <c r="R401" s="381"/>
      <c r="S401" s="381"/>
      <c r="T401" s="381"/>
      <c r="U401" s="381"/>
      <c r="V401" s="381"/>
      <c r="W401" s="381"/>
      <c r="X401" s="381"/>
      <c r="Y401" s="381"/>
    </row>
    <row r="402">
      <c r="A402" s="359"/>
      <c r="B402" s="381"/>
      <c r="C402" s="18"/>
      <c r="D402" s="359"/>
      <c r="E402" s="607"/>
      <c r="F402" s="359"/>
      <c r="G402" s="381"/>
      <c r="H402" s="381"/>
      <c r="I402" s="381"/>
      <c r="J402" s="381"/>
      <c r="K402" s="381"/>
      <c r="L402" s="381"/>
      <c r="M402" s="381"/>
      <c r="N402" s="381"/>
      <c r="O402" s="381"/>
      <c r="P402" s="381"/>
      <c r="Q402" s="381"/>
      <c r="R402" s="381"/>
      <c r="S402" s="381"/>
      <c r="T402" s="381"/>
      <c r="U402" s="381"/>
      <c r="V402" s="381"/>
      <c r="W402" s="381"/>
      <c r="X402" s="381"/>
      <c r="Y402" s="381"/>
    </row>
    <row r="403">
      <c r="A403" s="359"/>
      <c r="B403" s="381"/>
      <c r="C403" s="18"/>
      <c r="D403" s="359"/>
      <c r="E403" s="607"/>
      <c r="F403" s="359"/>
      <c r="G403" s="381"/>
      <c r="H403" s="381"/>
      <c r="I403" s="381"/>
      <c r="J403" s="381"/>
      <c r="K403" s="381"/>
      <c r="L403" s="381"/>
      <c r="M403" s="381"/>
      <c r="N403" s="381"/>
      <c r="O403" s="381"/>
      <c r="P403" s="381"/>
      <c r="Q403" s="381"/>
      <c r="R403" s="381"/>
      <c r="S403" s="381"/>
      <c r="T403" s="381"/>
      <c r="U403" s="381"/>
      <c r="V403" s="381"/>
      <c r="W403" s="381"/>
      <c r="X403" s="381"/>
      <c r="Y403" s="381"/>
    </row>
    <row r="404">
      <c r="A404" s="359"/>
      <c r="B404" s="381"/>
      <c r="C404" s="18"/>
      <c r="D404" s="359"/>
      <c r="E404" s="607"/>
      <c r="F404" s="359"/>
      <c r="G404" s="381"/>
      <c r="H404" s="381"/>
      <c r="I404" s="381"/>
      <c r="J404" s="381"/>
      <c r="K404" s="381"/>
      <c r="L404" s="381"/>
      <c r="M404" s="381"/>
      <c r="N404" s="381"/>
      <c r="O404" s="381"/>
      <c r="P404" s="381"/>
      <c r="Q404" s="381"/>
      <c r="R404" s="381"/>
      <c r="S404" s="381"/>
      <c r="T404" s="381"/>
      <c r="U404" s="381"/>
      <c r="V404" s="381"/>
      <c r="W404" s="381"/>
      <c r="X404" s="381"/>
      <c r="Y404" s="381"/>
    </row>
    <row r="405">
      <c r="A405" s="359"/>
      <c r="B405" s="381"/>
      <c r="C405" s="18"/>
      <c r="D405" s="359"/>
      <c r="E405" s="607"/>
      <c r="F405" s="359"/>
      <c r="G405" s="381"/>
      <c r="H405" s="381"/>
      <c r="I405" s="381"/>
      <c r="J405" s="381"/>
      <c r="K405" s="381"/>
      <c r="L405" s="381"/>
      <c r="M405" s="381"/>
      <c r="N405" s="381"/>
      <c r="O405" s="381"/>
      <c r="P405" s="381"/>
      <c r="Q405" s="381"/>
      <c r="R405" s="381"/>
      <c r="S405" s="381"/>
      <c r="T405" s="381"/>
      <c r="U405" s="381"/>
      <c r="V405" s="381"/>
      <c r="W405" s="381"/>
      <c r="X405" s="381"/>
      <c r="Y405" s="381"/>
    </row>
    <row r="406">
      <c r="A406" s="359"/>
      <c r="B406" s="381"/>
      <c r="C406" s="18"/>
      <c r="D406" s="359"/>
      <c r="E406" s="607"/>
      <c r="F406" s="359"/>
      <c r="G406" s="381"/>
      <c r="H406" s="381"/>
      <c r="I406" s="381"/>
      <c r="J406" s="381"/>
      <c r="K406" s="381"/>
      <c r="L406" s="381"/>
      <c r="M406" s="381"/>
      <c r="N406" s="381"/>
      <c r="O406" s="381"/>
      <c r="P406" s="381"/>
      <c r="Q406" s="381"/>
      <c r="R406" s="381"/>
      <c r="S406" s="381"/>
      <c r="T406" s="381"/>
      <c r="U406" s="381"/>
      <c r="V406" s="381"/>
      <c r="W406" s="381"/>
      <c r="X406" s="381"/>
      <c r="Y406" s="381"/>
    </row>
    <row r="407">
      <c r="A407" s="359"/>
      <c r="B407" s="381"/>
      <c r="C407" s="18"/>
      <c r="D407" s="359"/>
      <c r="E407" s="607"/>
      <c r="F407" s="359"/>
      <c r="G407" s="381"/>
      <c r="H407" s="381"/>
      <c r="I407" s="381"/>
      <c r="J407" s="381"/>
      <c r="K407" s="381"/>
      <c r="L407" s="381"/>
      <c r="M407" s="381"/>
      <c r="N407" s="381"/>
      <c r="O407" s="381"/>
      <c r="P407" s="381"/>
      <c r="Q407" s="381"/>
      <c r="R407" s="381"/>
      <c r="S407" s="381"/>
      <c r="T407" s="381"/>
      <c r="U407" s="381"/>
      <c r="V407" s="381"/>
      <c r="W407" s="381"/>
      <c r="X407" s="381"/>
      <c r="Y407" s="381"/>
    </row>
    <row r="408">
      <c r="A408" s="359"/>
      <c r="B408" s="381"/>
      <c r="C408" s="18"/>
      <c r="D408" s="359"/>
      <c r="E408" s="607"/>
      <c r="F408" s="359"/>
      <c r="G408" s="381"/>
      <c r="H408" s="381"/>
      <c r="I408" s="381"/>
      <c r="J408" s="381"/>
      <c r="K408" s="381"/>
      <c r="L408" s="381"/>
      <c r="M408" s="381"/>
      <c r="N408" s="381"/>
      <c r="O408" s="381"/>
      <c r="P408" s="381"/>
      <c r="Q408" s="381"/>
      <c r="R408" s="381"/>
      <c r="S408" s="381"/>
      <c r="T408" s="381"/>
      <c r="U408" s="381"/>
      <c r="V408" s="381"/>
      <c r="W408" s="381"/>
      <c r="X408" s="381"/>
      <c r="Y408" s="381"/>
    </row>
    <row r="409">
      <c r="A409" s="359"/>
      <c r="B409" s="381"/>
      <c r="C409" s="18"/>
      <c r="D409" s="359"/>
      <c r="E409" s="607"/>
      <c r="F409" s="359"/>
      <c r="G409" s="381"/>
      <c r="H409" s="381"/>
      <c r="I409" s="381"/>
      <c r="J409" s="381"/>
      <c r="K409" s="381"/>
      <c r="L409" s="381"/>
      <c r="M409" s="381"/>
      <c r="N409" s="381"/>
      <c r="O409" s="381"/>
      <c r="P409" s="381"/>
      <c r="Q409" s="381"/>
      <c r="R409" s="381"/>
      <c r="S409" s="381"/>
      <c r="T409" s="381"/>
      <c r="U409" s="381"/>
      <c r="V409" s="381"/>
      <c r="W409" s="381"/>
      <c r="X409" s="381"/>
      <c r="Y409" s="381"/>
    </row>
    <row r="410">
      <c r="A410" s="359"/>
      <c r="B410" s="381"/>
      <c r="C410" s="18"/>
      <c r="D410" s="359"/>
      <c r="E410" s="607"/>
      <c r="F410" s="359"/>
      <c r="G410" s="381"/>
      <c r="H410" s="381"/>
      <c r="I410" s="381"/>
      <c r="J410" s="381"/>
      <c r="K410" s="381"/>
      <c r="L410" s="381"/>
      <c r="M410" s="381"/>
      <c r="N410" s="381"/>
      <c r="O410" s="381"/>
      <c r="P410" s="381"/>
      <c r="Q410" s="381"/>
      <c r="R410" s="381"/>
      <c r="S410" s="381"/>
      <c r="T410" s="381"/>
      <c r="U410" s="381"/>
      <c r="V410" s="381"/>
      <c r="W410" s="381"/>
      <c r="X410" s="381"/>
      <c r="Y410" s="381"/>
    </row>
    <row r="411">
      <c r="A411" s="359"/>
      <c r="B411" s="381"/>
      <c r="C411" s="18"/>
      <c r="D411" s="359"/>
      <c r="E411" s="607"/>
      <c r="F411" s="359"/>
      <c r="G411" s="381"/>
      <c r="H411" s="381"/>
      <c r="I411" s="381"/>
      <c r="J411" s="381"/>
      <c r="K411" s="381"/>
      <c r="L411" s="381"/>
      <c r="M411" s="381"/>
      <c r="N411" s="381"/>
      <c r="O411" s="381"/>
      <c r="P411" s="381"/>
      <c r="Q411" s="381"/>
      <c r="R411" s="381"/>
      <c r="S411" s="381"/>
      <c r="T411" s="381"/>
      <c r="U411" s="381"/>
      <c r="V411" s="381"/>
      <c r="W411" s="381"/>
      <c r="X411" s="381"/>
      <c r="Y411" s="381"/>
    </row>
    <row r="412">
      <c r="A412" s="359"/>
      <c r="B412" s="381"/>
      <c r="C412" s="18"/>
      <c r="D412" s="359"/>
      <c r="E412" s="607"/>
      <c r="F412" s="359"/>
      <c r="G412" s="381"/>
      <c r="H412" s="381"/>
      <c r="I412" s="381"/>
      <c r="J412" s="381"/>
      <c r="K412" s="381"/>
      <c r="L412" s="381"/>
      <c r="M412" s="381"/>
      <c r="N412" s="381"/>
      <c r="O412" s="381"/>
      <c r="P412" s="381"/>
      <c r="Q412" s="381"/>
      <c r="R412" s="381"/>
      <c r="S412" s="381"/>
      <c r="T412" s="381"/>
      <c r="U412" s="381"/>
      <c r="V412" s="381"/>
      <c r="W412" s="381"/>
      <c r="X412" s="381"/>
      <c r="Y412" s="381"/>
    </row>
    <row r="413">
      <c r="A413" s="359"/>
      <c r="B413" s="381"/>
      <c r="C413" s="18"/>
      <c r="D413" s="359"/>
      <c r="E413" s="607"/>
      <c r="F413" s="359"/>
      <c r="G413" s="381"/>
      <c r="H413" s="381"/>
      <c r="I413" s="381"/>
      <c r="J413" s="381"/>
      <c r="K413" s="381"/>
      <c r="L413" s="381"/>
      <c r="M413" s="381"/>
      <c r="N413" s="381"/>
      <c r="O413" s="381"/>
      <c r="P413" s="381"/>
      <c r="Q413" s="381"/>
      <c r="R413" s="381"/>
      <c r="S413" s="381"/>
      <c r="T413" s="381"/>
      <c r="U413" s="381"/>
      <c r="V413" s="381"/>
      <c r="W413" s="381"/>
      <c r="X413" s="381"/>
      <c r="Y413" s="381"/>
    </row>
    <row r="414">
      <c r="A414" s="359"/>
      <c r="B414" s="381"/>
      <c r="C414" s="18"/>
      <c r="D414" s="359"/>
      <c r="E414" s="607"/>
      <c r="F414" s="359"/>
      <c r="G414" s="381"/>
      <c r="H414" s="381"/>
      <c r="I414" s="381"/>
      <c r="J414" s="381"/>
      <c r="K414" s="381"/>
      <c r="L414" s="381"/>
      <c r="M414" s="381"/>
      <c r="N414" s="381"/>
      <c r="O414" s="381"/>
      <c r="P414" s="381"/>
      <c r="Q414" s="381"/>
      <c r="R414" s="381"/>
      <c r="S414" s="381"/>
      <c r="T414" s="381"/>
      <c r="U414" s="381"/>
      <c r="V414" s="381"/>
      <c r="W414" s="381"/>
      <c r="X414" s="381"/>
      <c r="Y414" s="381"/>
    </row>
    <row r="415">
      <c r="A415" s="359"/>
      <c r="B415" s="381"/>
      <c r="C415" s="18"/>
      <c r="D415" s="359"/>
      <c r="E415" s="607"/>
      <c r="F415" s="359"/>
      <c r="G415" s="381"/>
      <c r="H415" s="381"/>
      <c r="I415" s="381"/>
      <c r="J415" s="381"/>
      <c r="K415" s="381"/>
      <c r="L415" s="381"/>
      <c r="M415" s="381"/>
      <c r="N415" s="381"/>
      <c r="O415" s="381"/>
      <c r="P415" s="381"/>
      <c r="Q415" s="381"/>
      <c r="R415" s="381"/>
      <c r="S415" s="381"/>
      <c r="T415" s="381"/>
      <c r="U415" s="381"/>
      <c r="V415" s="381"/>
      <c r="W415" s="381"/>
      <c r="X415" s="381"/>
      <c r="Y415" s="381"/>
    </row>
    <row r="416">
      <c r="A416" s="359"/>
      <c r="B416" s="381"/>
      <c r="C416" s="18"/>
      <c r="D416" s="359"/>
      <c r="E416" s="607"/>
      <c r="F416" s="359"/>
      <c r="G416" s="381"/>
      <c r="H416" s="381"/>
      <c r="I416" s="381"/>
      <c r="J416" s="381"/>
      <c r="K416" s="381"/>
      <c r="L416" s="381"/>
      <c r="M416" s="381"/>
      <c r="N416" s="381"/>
      <c r="O416" s="381"/>
      <c r="P416" s="381"/>
      <c r="Q416" s="381"/>
      <c r="R416" s="381"/>
      <c r="S416" s="381"/>
      <c r="T416" s="381"/>
      <c r="U416" s="381"/>
      <c r="V416" s="381"/>
      <c r="W416" s="381"/>
      <c r="X416" s="381"/>
      <c r="Y416" s="381"/>
    </row>
    <row r="417">
      <c r="A417" s="359"/>
      <c r="B417" s="381"/>
      <c r="C417" s="18"/>
      <c r="D417" s="359"/>
      <c r="E417" s="607"/>
      <c r="F417" s="359"/>
      <c r="G417" s="381"/>
      <c r="H417" s="381"/>
      <c r="I417" s="381"/>
      <c r="J417" s="381"/>
      <c r="K417" s="381"/>
      <c r="L417" s="381"/>
      <c r="M417" s="381"/>
      <c r="N417" s="381"/>
      <c r="O417" s="381"/>
      <c r="P417" s="381"/>
      <c r="Q417" s="381"/>
      <c r="R417" s="381"/>
      <c r="S417" s="381"/>
      <c r="T417" s="381"/>
      <c r="U417" s="381"/>
      <c r="V417" s="381"/>
      <c r="W417" s="381"/>
      <c r="X417" s="381"/>
      <c r="Y417" s="381"/>
    </row>
    <row r="418">
      <c r="A418" s="359"/>
      <c r="B418" s="381"/>
      <c r="C418" s="18"/>
      <c r="D418" s="359"/>
      <c r="E418" s="607"/>
      <c r="F418" s="359"/>
      <c r="G418" s="381"/>
      <c r="H418" s="381"/>
      <c r="I418" s="381"/>
      <c r="J418" s="381"/>
      <c r="K418" s="381"/>
      <c r="L418" s="381"/>
      <c r="M418" s="381"/>
      <c r="N418" s="381"/>
      <c r="O418" s="381"/>
      <c r="P418" s="381"/>
      <c r="Q418" s="381"/>
      <c r="R418" s="381"/>
      <c r="S418" s="381"/>
      <c r="T418" s="381"/>
      <c r="U418" s="381"/>
      <c r="V418" s="381"/>
      <c r="W418" s="381"/>
      <c r="X418" s="381"/>
      <c r="Y418" s="381"/>
    </row>
    <row r="419">
      <c r="A419" s="359"/>
      <c r="B419" s="381"/>
      <c r="C419" s="18"/>
      <c r="D419" s="359"/>
      <c r="E419" s="607"/>
      <c r="F419" s="359"/>
      <c r="G419" s="381"/>
      <c r="H419" s="381"/>
      <c r="I419" s="381"/>
      <c r="J419" s="381"/>
      <c r="K419" s="381"/>
      <c r="L419" s="381"/>
      <c r="M419" s="381"/>
      <c r="N419" s="381"/>
      <c r="O419" s="381"/>
      <c r="P419" s="381"/>
      <c r="Q419" s="381"/>
      <c r="R419" s="381"/>
      <c r="S419" s="381"/>
      <c r="T419" s="381"/>
      <c r="U419" s="381"/>
      <c r="V419" s="381"/>
      <c r="W419" s="381"/>
      <c r="X419" s="381"/>
      <c r="Y419" s="381"/>
    </row>
    <row r="420">
      <c r="A420" s="359"/>
      <c r="B420" s="381"/>
      <c r="C420" s="18"/>
      <c r="D420" s="359"/>
      <c r="E420" s="607"/>
      <c r="F420" s="359"/>
      <c r="G420" s="381"/>
      <c r="H420" s="381"/>
      <c r="I420" s="381"/>
      <c r="J420" s="381"/>
      <c r="K420" s="381"/>
      <c r="L420" s="381"/>
      <c r="M420" s="381"/>
      <c r="N420" s="381"/>
      <c r="O420" s="381"/>
      <c r="P420" s="381"/>
      <c r="Q420" s="381"/>
      <c r="R420" s="381"/>
      <c r="S420" s="381"/>
      <c r="T420" s="381"/>
      <c r="U420" s="381"/>
      <c r="V420" s="381"/>
      <c r="W420" s="381"/>
      <c r="X420" s="381"/>
      <c r="Y420" s="381"/>
    </row>
    <row r="421">
      <c r="A421" s="359"/>
      <c r="B421" s="381"/>
      <c r="C421" s="18"/>
      <c r="D421" s="359"/>
      <c r="E421" s="607"/>
      <c r="F421" s="359"/>
      <c r="G421" s="381"/>
      <c r="H421" s="381"/>
      <c r="I421" s="381"/>
      <c r="J421" s="381"/>
      <c r="K421" s="381"/>
      <c r="L421" s="381"/>
      <c r="M421" s="381"/>
      <c r="N421" s="381"/>
      <c r="O421" s="381"/>
      <c r="P421" s="381"/>
      <c r="Q421" s="381"/>
      <c r="R421" s="381"/>
      <c r="S421" s="381"/>
      <c r="T421" s="381"/>
      <c r="U421" s="381"/>
      <c r="V421" s="381"/>
      <c r="W421" s="381"/>
      <c r="X421" s="381"/>
      <c r="Y421" s="381"/>
    </row>
    <row r="422">
      <c r="A422" s="359"/>
      <c r="B422" s="381"/>
      <c r="C422" s="18"/>
      <c r="D422" s="359"/>
      <c r="E422" s="607"/>
      <c r="F422" s="359"/>
      <c r="G422" s="381"/>
      <c r="H422" s="381"/>
      <c r="I422" s="381"/>
      <c r="J422" s="381"/>
      <c r="K422" s="381"/>
      <c r="L422" s="381"/>
      <c r="M422" s="381"/>
      <c r="N422" s="381"/>
      <c r="O422" s="381"/>
      <c r="P422" s="381"/>
      <c r="Q422" s="381"/>
      <c r="R422" s="381"/>
      <c r="S422" s="381"/>
      <c r="T422" s="381"/>
      <c r="U422" s="381"/>
      <c r="V422" s="381"/>
      <c r="W422" s="381"/>
      <c r="X422" s="381"/>
      <c r="Y422" s="381"/>
    </row>
    <row r="423">
      <c r="A423" s="359"/>
      <c r="B423" s="381"/>
      <c r="C423" s="18"/>
      <c r="D423" s="359"/>
      <c r="E423" s="607"/>
      <c r="F423" s="359"/>
      <c r="G423" s="381"/>
      <c r="H423" s="381"/>
      <c r="I423" s="381"/>
      <c r="J423" s="381"/>
      <c r="K423" s="381"/>
      <c r="L423" s="381"/>
      <c r="M423" s="381"/>
      <c r="N423" s="381"/>
      <c r="O423" s="381"/>
      <c r="P423" s="381"/>
      <c r="Q423" s="381"/>
      <c r="R423" s="381"/>
      <c r="S423" s="381"/>
      <c r="T423" s="381"/>
      <c r="U423" s="381"/>
      <c r="V423" s="381"/>
      <c r="W423" s="381"/>
      <c r="X423" s="381"/>
      <c r="Y423" s="381"/>
    </row>
    <row r="424">
      <c r="A424" s="359"/>
      <c r="B424" s="381"/>
      <c r="C424" s="18"/>
      <c r="D424" s="359"/>
      <c r="E424" s="607"/>
      <c r="F424" s="359"/>
      <c r="G424" s="381"/>
      <c r="H424" s="381"/>
      <c r="I424" s="381"/>
      <c r="J424" s="381"/>
      <c r="K424" s="381"/>
      <c r="L424" s="381"/>
      <c r="M424" s="381"/>
      <c r="N424" s="381"/>
      <c r="O424" s="381"/>
      <c r="P424" s="381"/>
      <c r="Q424" s="381"/>
      <c r="R424" s="381"/>
      <c r="S424" s="381"/>
      <c r="T424" s="381"/>
      <c r="U424" s="381"/>
      <c r="V424" s="381"/>
      <c r="W424" s="381"/>
      <c r="X424" s="381"/>
      <c r="Y424" s="381"/>
    </row>
    <row r="425">
      <c r="A425" s="359"/>
      <c r="B425" s="381"/>
      <c r="C425" s="18"/>
      <c r="D425" s="359"/>
      <c r="E425" s="607"/>
      <c r="F425" s="359"/>
      <c r="G425" s="381"/>
      <c r="H425" s="381"/>
      <c r="I425" s="381"/>
      <c r="J425" s="381"/>
      <c r="K425" s="381"/>
      <c r="L425" s="381"/>
      <c r="M425" s="381"/>
      <c r="N425" s="381"/>
      <c r="O425" s="381"/>
      <c r="P425" s="381"/>
      <c r="Q425" s="381"/>
      <c r="R425" s="381"/>
      <c r="S425" s="381"/>
      <c r="T425" s="381"/>
      <c r="U425" s="381"/>
      <c r="V425" s="381"/>
      <c r="W425" s="381"/>
      <c r="X425" s="381"/>
      <c r="Y425" s="381"/>
    </row>
    <row r="426">
      <c r="A426" s="359"/>
      <c r="B426" s="381"/>
      <c r="C426" s="18"/>
      <c r="D426" s="359"/>
      <c r="E426" s="607"/>
      <c r="F426" s="359"/>
      <c r="G426" s="381"/>
      <c r="H426" s="381"/>
      <c r="I426" s="381"/>
      <c r="J426" s="381"/>
      <c r="K426" s="381"/>
      <c r="L426" s="381"/>
      <c r="M426" s="381"/>
      <c r="N426" s="381"/>
      <c r="O426" s="381"/>
      <c r="P426" s="381"/>
      <c r="Q426" s="381"/>
      <c r="R426" s="381"/>
      <c r="S426" s="381"/>
      <c r="T426" s="381"/>
      <c r="U426" s="381"/>
      <c r="V426" s="381"/>
      <c r="W426" s="381"/>
      <c r="X426" s="381"/>
      <c r="Y426" s="381"/>
    </row>
    <row r="427">
      <c r="A427" s="359"/>
      <c r="B427" s="381"/>
      <c r="C427" s="18"/>
      <c r="D427" s="359"/>
      <c r="E427" s="607"/>
      <c r="F427" s="359"/>
      <c r="G427" s="381"/>
      <c r="H427" s="381"/>
      <c r="I427" s="381"/>
      <c r="J427" s="381"/>
      <c r="K427" s="381"/>
      <c r="L427" s="381"/>
      <c r="M427" s="381"/>
      <c r="N427" s="381"/>
      <c r="O427" s="381"/>
      <c r="P427" s="381"/>
      <c r="Q427" s="381"/>
      <c r="R427" s="381"/>
      <c r="S427" s="381"/>
      <c r="T427" s="381"/>
      <c r="U427" s="381"/>
      <c r="V427" s="381"/>
      <c r="W427" s="381"/>
      <c r="X427" s="381"/>
      <c r="Y427" s="381"/>
    </row>
    <row r="428">
      <c r="A428" s="359"/>
      <c r="B428" s="381"/>
      <c r="C428" s="18"/>
      <c r="D428" s="359"/>
      <c r="E428" s="607"/>
      <c r="F428" s="359"/>
      <c r="G428" s="381"/>
      <c r="H428" s="381"/>
      <c r="I428" s="381"/>
      <c r="J428" s="381"/>
      <c r="K428" s="381"/>
      <c r="L428" s="381"/>
      <c r="M428" s="381"/>
      <c r="N428" s="381"/>
      <c r="O428" s="381"/>
      <c r="P428" s="381"/>
      <c r="Q428" s="381"/>
      <c r="R428" s="381"/>
      <c r="S428" s="381"/>
      <c r="T428" s="381"/>
      <c r="U428" s="381"/>
      <c r="V428" s="381"/>
      <c r="W428" s="381"/>
      <c r="X428" s="381"/>
      <c r="Y428" s="381"/>
    </row>
    <row r="429">
      <c r="A429" s="359"/>
      <c r="B429" s="381"/>
      <c r="C429" s="18"/>
      <c r="D429" s="359"/>
      <c r="E429" s="607"/>
      <c r="F429" s="359"/>
      <c r="G429" s="381"/>
      <c r="H429" s="381"/>
      <c r="I429" s="381"/>
      <c r="J429" s="381"/>
      <c r="K429" s="381"/>
      <c r="L429" s="381"/>
      <c r="M429" s="381"/>
      <c r="N429" s="381"/>
      <c r="O429" s="381"/>
      <c r="P429" s="381"/>
      <c r="Q429" s="381"/>
      <c r="R429" s="381"/>
      <c r="S429" s="381"/>
      <c r="T429" s="381"/>
      <c r="U429" s="381"/>
      <c r="V429" s="381"/>
      <c r="W429" s="381"/>
      <c r="X429" s="381"/>
      <c r="Y429" s="381"/>
    </row>
    <row r="430">
      <c r="A430" s="359"/>
      <c r="B430" s="381"/>
      <c r="C430" s="18"/>
      <c r="D430" s="359"/>
      <c r="E430" s="607"/>
      <c r="F430" s="359"/>
      <c r="G430" s="381"/>
      <c r="H430" s="381"/>
      <c r="I430" s="381"/>
      <c r="J430" s="381"/>
      <c r="K430" s="381"/>
      <c r="L430" s="381"/>
      <c r="M430" s="381"/>
      <c r="N430" s="381"/>
      <c r="O430" s="381"/>
      <c r="P430" s="381"/>
      <c r="Q430" s="381"/>
      <c r="R430" s="381"/>
      <c r="S430" s="381"/>
      <c r="T430" s="381"/>
      <c r="U430" s="381"/>
      <c r="V430" s="381"/>
      <c r="W430" s="381"/>
      <c r="X430" s="381"/>
      <c r="Y430" s="381"/>
    </row>
    <row r="431">
      <c r="A431" s="359"/>
      <c r="B431" s="381"/>
      <c r="C431" s="18"/>
      <c r="D431" s="359"/>
      <c r="E431" s="607"/>
      <c r="F431" s="359"/>
      <c r="G431" s="381"/>
      <c r="H431" s="381"/>
      <c r="I431" s="381"/>
      <c r="J431" s="381"/>
      <c r="K431" s="381"/>
      <c r="L431" s="381"/>
      <c r="M431" s="381"/>
      <c r="N431" s="381"/>
      <c r="O431" s="381"/>
      <c r="P431" s="381"/>
      <c r="Q431" s="381"/>
      <c r="R431" s="381"/>
      <c r="S431" s="381"/>
      <c r="T431" s="381"/>
      <c r="U431" s="381"/>
      <c r="V431" s="381"/>
      <c r="W431" s="381"/>
      <c r="X431" s="381"/>
      <c r="Y431" s="381"/>
    </row>
    <row r="432">
      <c r="A432" s="359"/>
      <c r="B432" s="381"/>
      <c r="C432" s="18"/>
      <c r="D432" s="359"/>
      <c r="E432" s="607"/>
      <c r="F432" s="359"/>
      <c r="G432" s="381"/>
      <c r="H432" s="381"/>
      <c r="I432" s="381"/>
      <c r="J432" s="381"/>
      <c r="K432" s="381"/>
      <c r="L432" s="381"/>
      <c r="M432" s="381"/>
      <c r="N432" s="381"/>
      <c r="O432" s="381"/>
      <c r="P432" s="381"/>
      <c r="Q432" s="381"/>
      <c r="R432" s="381"/>
      <c r="S432" s="381"/>
      <c r="T432" s="381"/>
      <c r="U432" s="381"/>
      <c r="V432" s="381"/>
      <c r="W432" s="381"/>
      <c r="X432" s="381"/>
      <c r="Y432" s="381"/>
    </row>
    <row r="433">
      <c r="A433" s="359"/>
      <c r="B433" s="381"/>
      <c r="C433" s="18"/>
      <c r="D433" s="359"/>
      <c r="E433" s="607"/>
      <c r="F433" s="359"/>
      <c r="G433" s="381"/>
      <c r="H433" s="381"/>
      <c r="I433" s="381"/>
      <c r="J433" s="381"/>
      <c r="K433" s="381"/>
      <c r="L433" s="381"/>
      <c r="M433" s="381"/>
      <c r="N433" s="381"/>
      <c r="O433" s="381"/>
      <c r="P433" s="381"/>
      <c r="Q433" s="381"/>
      <c r="R433" s="381"/>
      <c r="S433" s="381"/>
      <c r="T433" s="381"/>
      <c r="U433" s="381"/>
      <c r="V433" s="381"/>
      <c r="W433" s="381"/>
      <c r="X433" s="381"/>
      <c r="Y433" s="381"/>
    </row>
    <row r="434">
      <c r="A434" s="359"/>
      <c r="B434" s="381"/>
      <c r="C434" s="18"/>
      <c r="D434" s="359"/>
      <c r="E434" s="607"/>
      <c r="F434" s="359"/>
      <c r="G434" s="381"/>
      <c r="H434" s="381"/>
      <c r="I434" s="381"/>
      <c r="J434" s="381"/>
      <c r="K434" s="381"/>
      <c r="L434" s="381"/>
      <c r="M434" s="381"/>
      <c r="N434" s="381"/>
      <c r="O434" s="381"/>
      <c r="P434" s="381"/>
      <c r="Q434" s="381"/>
      <c r="R434" s="381"/>
      <c r="S434" s="381"/>
      <c r="T434" s="381"/>
      <c r="U434" s="381"/>
      <c r="V434" s="381"/>
      <c r="W434" s="381"/>
      <c r="X434" s="381"/>
      <c r="Y434" s="381"/>
    </row>
    <row r="435">
      <c r="A435" s="359"/>
      <c r="B435" s="381"/>
      <c r="C435" s="18"/>
      <c r="D435" s="359"/>
      <c r="E435" s="607"/>
      <c r="F435" s="359"/>
      <c r="G435" s="381"/>
      <c r="H435" s="381"/>
      <c r="I435" s="381"/>
      <c r="J435" s="381"/>
      <c r="K435" s="381"/>
      <c r="L435" s="381"/>
      <c r="M435" s="381"/>
      <c r="N435" s="381"/>
      <c r="O435" s="381"/>
      <c r="P435" s="381"/>
      <c r="Q435" s="381"/>
      <c r="R435" s="381"/>
      <c r="S435" s="381"/>
      <c r="T435" s="381"/>
      <c r="U435" s="381"/>
      <c r="V435" s="381"/>
      <c r="W435" s="381"/>
      <c r="X435" s="381"/>
      <c r="Y435" s="381"/>
    </row>
    <row r="436">
      <c r="A436" s="359"/>
      <c r="B436" s="381"/>
      <c r="C436" s="18"/>
      <c r="D436" s="359"/>
      <c r="E436" s="607"/>
      <c r="F436" s="359"/>
      <c r="G436" s="381"/>
      <c r="H436" s="381"/>
      <c r="I436" s="381"/>
      <c r="J436" s="381"/>
      <c r="K436" s="381"/>
      <c r="L436" s="381"/>
      <c r="M436" s="381"/>
      <c r="N436" s="381"/>
      <c r="O436" s="381"/>
      <c r="P436" s="381"/>
      <c r="Q436" s="381"/>
      <c r="R436" s="381"/>
      <c r="S436" s="381"/>
      <c r="T436" s="381"/>
      <c r="U436" s="381"/>
      <c r="V436" s="381"/>
      <c r="W436" s="381"/>
      <c r="X436" s="381"/>
      <c r="Y436" s="381"/>
    </row>
    <row r="437">
      <c r="A437" s="359"/>
      <c r="B437" s="381"/>
      <c r="C437" s="18"/>
      <c r="D437" s="359"/>
      <c r="E437" s="607"/>
      <c r="F437" s="359"/>
      <c r="G437" s="381"/>
      <c r="H437" s="381"/>
      <c r="I437" s="381"/>
      <c r="J437" s="381"/>
      <c r="K437" s="381"/>
      <c r="L437" s="381"/>
      <c r="M437" s="381"/>
      <c r="N437" s="381"/>
      <c r="O437" s="381"/>
      <c r="P437" s="381"/>
      <c r="Q437" s="381"/>
      <c r="R437" s="381"/>
      <c r="S437" s="381"/>
      <c r="T437" s="381"/>
      <c r="U437" s="381"/>
      <c r="V437" s="381"/>
      <c r="W437" s="381"/>
      <c r="X437" s="381"/>
      <c r="Y437" s="381"/>
    </row>
    <row r="438">
      <c r="A438" s="359"/>
      <c r="B438" s="381"/>
      <c r="C438" s="18"/>
      <c r="D438" s="359"/>
      <c r="E438" s="607"/>
      <c r="F438" s="359"/>
      <c r="G438" s="381"/>
      <c r="H438" s="381"/>
      <c r="I438" s="381"/>
      <c r="J438" s="381"/>
      <c r="K438" s="381"/>
      <c r="L438" s="381"/>
      <c r="M438" s="381"/>
      <c r="N438" s="381"/>
      <c r="O438" s="381"/>
      <c r="P438" s="381"/>
      <c r="Q438" s="381"/>
      <c r="R438" s="381"/>
      <c r="S438" s="381"/>
      <c r="T438" s="381"/>
      <c r="U438" s="381"/>
      <c r="V438" s="381"/>
      <c r="W438" s="381"/>
      <c r="X438" s="381"/>
      <c r="Y438" s="381"/>
    </row>
    <row r="439">
      <c r="A439" s="359"/>
      <c r="B439" s="381"/>
      <c r="C439" s="18"/>
      <c r="D439" s="359"/>
      <c r="E439" s="607"/>
      <c r="F439" s="359"/>
      <c r="G439" s="381"/>
      <c r="H439" s="381"/>
      <c r="I439" s="381"/>
      <c r="J439" s="381"/>
      <c r="K439" s="381"/>
      <c r="L439" s="381"/>
      <c r="M439" s="381"/>
      <c r="N439" s="381"/>
      <c r="O439" s="381"/>
      <c r="P439" s="381"/>
      <c r="Q439" s="381"/>
      <c r="R439" s="381"/>
      <c r="S439" s="381"/>
      <c r="T439" s="381"/>
      <c r="U439" s="381"/>
      <c r="V439" s="381"/>
      <c r="W439" s="381"/>
      <c r="X439" s="381"/>
      <c r="Y439" s="381"/>
    </row>
    <row r="440">
      <c r="A440" s="359"/>
      <c r="B440" s="381"/>
      <c r="C440" s="18"/>
      <c r="D440" s="359"/>
      <c r="E440" s="607"/>
      <c r="F440" s="359"/>
      <c r="G440" s="381"/>
      <c r="H440" s="381"/>
      <c r="I440" s="381"/>
      <c r="J440" s="381"/>
      <c r="K440" s="381"/>
      <c r="L440" s="381"/>
      <c r="M440" s="381"/>
      <c r="N440" s="381"/>
      <c r="O440" s="381"/>
      <c r="P440" s="381"/>
      <c r="Q440" s="381"/>
      <c r="R440" s="381"/>
      <c r="S440" s="381"/>
      <c r="T440" s="381"/>
      <c r="U440" s="381"/>
      <c r="V440" s="381"/>
      <c r="W440" s="381"/>
      <c r="X440" s="381"/>
      <c r="Y440" s="381"/>
    </row>
    <row r="441">
      <c r="A441" s="359"/>
      <c r="B441" s="381"/>
      <c r="C441" s="18"/>
      <c r="D441" s="359"/>
      <c r="E441" s="607"/>
      <c r="F441" s="359"/>
      <c r="G441" s="381"/>
      <c r="H441" s="381"/>
      <c r="I441" s="381"/>
      <c r="J441" s="381"/>
      <c r="K441" s="381"/>
      <c r="L441" s="381"/>
      <c r="M441" s="381"/>
      <c r="N441" s="381"/>
      <c r="O441" s="381"/>
      <c r="P441" s="381"/>
      <c r="Q441" s="381"/>
      <c r="R441" s="381"/>
      <c r="S441" s="381"/>
      <c r="T441" s="381"/>
      <c r="U441" s="381"/>
      <c r="V441" s="381"/>
      <c r="W441" s="381"/>
      <c r="X441" s="381"/>
      <c r="Y441" s="381"/>
    </row>
    <row r="442">
      <c r="A442" s="359"/>
      <c r="B442" s="381"/>
      <c r="C442" s="18"/>
      <c r="D442" s="359"/>
      <c r="E442" s="607"/>
      <c r="F442" s="359"/>
      <c r="G442" s="381"/>
      <c r="H442" s="381"/>
      <c r="I442" s="381"/>
      <c r="J442" s="381"/>
      <c r="K442" s="381"/>
      <c r="L442" s="381"/>
      <c r="M442" s="381"/>
      <c r="N442" s="381"/>
      <c r="O442" s="381"/>
      <c r="P442" s="381"/>
      <c r="Q442" s="381"/>
      <c r="R442" s="381"/>
      <c r="S442" s="381"/>
      <c r="T442" s="381"/>
      <c r="U442" s="381"/>
      <c r="V442" s="381"/>
      <c r="W442" s="381"/>
      <c r="X442" s="381"/>
      <c r="Y442" s="381"/>
    </row>
    <row r="443">
      <c r="A443" s="359"/>
      <c r="B443" s="381"/>
      <c r="C443" s="18"/>
      <c r="D443" s="359"/>
      <c r="E443" s="607"/>
      <c r="F443" s="359"/>
      <c r="G443" s="381"/>
      <c r="H443" s="381"/>
      <c r="I443" s="381"/>
      <c r="J443" s="381"/>
      <c r="K443" s="381"/>
      <c r="L443" s="381"/>
      <c r="M443" s="381"/>
      <c r="N443" s="381"/>
      <c r="O443" s="381"/>
      <c r="P443" s="381"/>
      <c r="Q443" s="381"/>
      <c r="R443" s="381"/>
      <c r="S443" s="381"/>
      <c r="T443" s="381"/>
      <c r="U443" s="381"/>
      <c r="V443" s="381"/>
      <c r="W443" s="381"/>
      <c r="X443" s="381"/>
      <c r="Y443" s="381"/>
    </row>
    <row r="444">
      <c r="A444" s="359"/>
      <c r="B444" s="381"/>
      <c r="C444" s="18"/>
      <c r="D444" s="359"/>
      <c r="E444" s="607"/>
      <c r="F444" s="359"/>
      <c r="G444" s="381"/>
      <c r="H444" s="381"/>
      <c r="I444" s="381"/>
      <c r="J444" s="381"/>
      <c r="K444" s="381"/>
      <c r="L444" s="381"/>
      <c r="M444" s="381"/>
      <c r="N444" s="381"/>
      <c r="O444" s="381"/>
      <c r="P444" s="381"/>
      <c r="Q444" s="381"/>
      <c r="R444" s="381"/>
      <c r="S444" s="381"/>
      <c r="T444" s="381"/>
      <c r="U444" s="381"/>
      <c r="V444" s="381"/>
      <c r="W444" s="381"/>
      <c r="X444" s="381"/>
      <c r="Y444" s="381"/>
    </row>
    <row r="445">
      <c r="A445" s="359"/>
      <c r="B445" s="381"/>
      <c r="C445" s="18"/>
      <c r="D445" s="359"/>
      <c r="E445" s="607"/>
      <c r="F445" s="359"/>
      <c r="G445" s="381"/>
      <c r="H445" s="381"/>
      <c r="I445" s="381"/>
      <c r="J445" s="381"/>
      <c r="K445" s="381"/>
      <c r="L445" s="381"/>
      <c r="M445" s="381"/>
      <c r="N445" s="381"/>
      <c r="O445" s="381"/>
      <c r="P445" s="381"/>
      <c r="Q445" s="381"/>
      <c r="R445" s="381"/>
      <c r="S445" s="381"/>
      <c r="T445" s="381"/>
      <c r="U445" s="381"/>
      <c r="V445" s="381"/>
      <c r="W445" s="381"/>
      <c r="X445" s="381"/>
      <c r="Y445" s="381"/>
    </row>
    <row r="446">
      <c r="A446" s="359"/>
      <c r="B446" s="381"/>
      <c r="C446" s="18"/>
      <c r="D446" s="359"/>
      <c r="E446" s="607"/>
      <c r="F446" s="359"/>
      <c r="G446" s="381"/>
      <c r="H446" s="381"/>
      <c r="I446" s="381"/>
      <c r="J446" s="381"/>
      <c r="K446" s="381"/>
      <c r="L446" s="381"/>
      <c r="M446" s="381"/>
      <c r="N446" s="381"/>
      <c r="O446" s="381"/>
      <c r="P446" s="381"/>
      <c r="Q446" s="381"/>
      <c r="R446" s="381"/>
      <c r="S446" s="381"/>
      <c r="T446" s="381"/>
      <c r="U446" s="381"/>
      <c r="V446" s="381"/>
      <c r="W446" s="381"/>
      <c r="X446" s="381"/>
      <c r="Y446" s="381"/>
    </row>
    <row r="447">
      <c r="A447" s="359"/>
      <c r="B447" s="381"/>
      <c r="C447" s="18"/>
      <c r="D447" s="359"/>
      <c r="E447" s="607"/>
      <c r="F447" s="359"/>
      <c r="G447" s="381"/>
      <c r="H447" s="381"/>
      <c r="I447" s="381"/>
      <c r="J447" s="381"/>
      <c r="K447" s="381"/>
      <c r="L447" s="381"/>
      <c r="M447" s="381"/>
      <c r="N447" s="381"/>
      <c r="O447" s="381"/>
      <c r="P447" s="381"/>
      <c r="Q447" s="381"/>
      <c r="R447" s="381"/>
      <c r="S447" s="381"/>
      <c r="T447" s="381"/>
      <c r="U447" s="381"/>
      <c r="V447" s="381"/>
      <c r="W447" s="381"/>
      <c r="X447" s="381"/>
      <c r="Y447" s="381"/>
    </row>
    <row r="448">
      <c r="A448" s="359"/>
      <c r="B448" s="381"/>
      <c r="C448" s="18"/>
      <c r="D448" s="359"/>
      <c r="E448" s="607"/>
      <c r="F448" s="359"/>
      <c r="G448" s="381"/>
      <c r="H448" s="381"/>
      <c r="I448" s="381"/>
      <c r="J448" s="381"/>
      <c r="K448" s="381"/>
      <c r="L448" s="381"/>
      <c r="M448" s="381"/>
      <c r="N448" s="381"/>
      <c r="O448" s="381"/>
      <c r="P448" s="381"/>
      <c r="Q448" s="381"/>
      <c r="R448" s="381"/>
      <c r="S448" s="381"/>
      <c r="T448" s="381"/>
      <c r="U448" s="381"/>
      <c r="V448" s="381"/>
      <c r="W448" s="381"/>
      <c r="X448" s="381"/>
      <c r="Y448" s="381"/>
    </row>
    <row r="449">
      <c r="A449" s="359"/>
      <c r="B449" s="381"/>
      <c r="C449" s="18"/>
      <c r="D449" s="359"/>
      <c r="E449" s="607"/>
      <c r="F449" s="359"/>
      <c r="G449" s="381"/>
      <c r="H449" s="381"/>
      <c r="I449" s="381"/>
      <c r="J449" s="381"/>
      <c r="K449" s="381"/>
      <c r="L449" s="381"/>
      <c r="M449" s="381"/>
      <c r="N449" s="381"/>
      <c r="O449" s="381"/>
      <c r="P449" s="381"/>
      <c r="Q449" s="381"/>
      <c r="R449" s="381"/>
      <c r="S449" s="381"/>
      <c r="T449" s="381"/>
      <c r="U449" s="381"/>
      <c r="V449" s="381"/>
      <c r="W449" s="381"/>
      <c r="X449" s="381"/>
      <c r="Y449" s="381"/>
    </row>
    <row r="450">
      <c r="A450" s="359"/>
      <c r="B450" s="381"/>
      <c r="C450" s="18"/>
      <c r="D450" s="359"/>
      <c r="E450" s="607"/>
      <c r="F450" s="359"/>
      <c r="G450" s="381"/>
      <c r="H450" s="381"/>
      <c r="I450" s="381"/>
      <c r="J450" s="381"/>
      <c r="K450" s="381"/>
      <c r="L450" s="381"/>
      <c r="M450" s="381"/>
      <c r="N450" s="381"/>
      <c r="O450" s="381"/>
      <c r="P450" s="381"/>
      <c r="Q450" s="381"/>
      <c r="R450" s="381"/>
      <c r="S450" s="381"/>
      <c r="T450" s="381"/>
      <c r="U450" s="381"/>
      <c r="V450" s="381"/>
      <c r="W450" s="381"/>
      <c r="X450" s="381"/>
      <c r="Y450" s="381"/>
    </row>
    <row r="451">
      <c r="A451" s="359"/>
      <c r="B451" s="381"/>
      <c r="C451" s="18"/>
      <c r="D451" s="359"/>
      <c r="E451" s="607"/>
      <c r="F451" s="359"/>
      <c r="G451" s="381"/>
      <c r="H451" s="381"/>
      <c r="I451" s="381"/>
      <c r="J451" s="381"/>
      <c r="K451" s="381"/>
      <c r="L451" s="381"/>
      <c r="M451" s="381"/>
      <c r="N451" s="381"/>
      <c r="O451" s="381"/>
      <c r="P451" s="381"/>
      <c r="Q451" s="381"/>
      <c r="R451" s="381"/>
      <c r="S451" s="381"/>
      <c r="T451" s="381"/>
      <c r="U451" s="381"/>
      <c r="V451" s="381"/>
      <c r="W451" s="381"/>
      <c r="X451" s="381"/>
      <c r="Y451" s="381"/>
    </row>
    <row r="452">
      <c r="A452" s="359"/>
      <c r="B452" s="381"/>
      <c r="C452" s="18"/>
      <c r="D452" s="359"/>
      <c r="E452" s="607"/>
      <c r="F452" s="359"/>
      <c r="G452" s="381"/>
      <c r="H452" s="381"/>
      <c r="I452" s="381"/>
      <c r="J452" s="381"/>
      <c r="K452" s="381"/>
      <c r="L452" s="381"/>
      <c r="M452" s="381"/>
      <c r="N452" s="381"/>
      <c r="O452" s="381"/>
      <c r="P452" s="381"/>
      <c r="Q452" s="381"/>
      <c r="R452" s="381"/>
      <c r="S452" s="381"/>
      <c r="T452" s="381"/>
      <c r="U452" s="381"/>
      <c r="V452" s="381"/>
      <c r="W452" s="381"/>
      <c r="X452" s="381"/>
      <c r="Y452" s="381"/>
    </row>
    <row r="453">
      <c r="A453" s="359"/>
      <c r="B453" s="381"/>
      <c r="C453" s="18"/>
      <c r="D453" s="359"/>
      <c r="E453" s="607"/>
      <c r="F453" s="359"/>
      <c r="G453" s="381"/>
      <c r="H453" s="381"/>
      <c r="I453" s="381"/>
      <c r="J453" s="381"/>
      <c r="K453" s="381"/>
      <c r="L453" s="381"/>
      <c r="M453" s="381"/>
      <c r="N453" s="381"/>
      <c r="O453" s="381"/>
      <c r="P453" s="381"/>
      <c r="Q453" s="381"/>
      <c r="R453" s="381"/>
      <c r="S453" s="381"/>
      <c r="T453" s="381"/>
      <c r="U453" s="381"/>
      <c r="V453" s="381"/>
      <c r="W453" s="381"/>
      <c r="X453" s="381"/>
      <c r="Y453" s="381"/>
    </row>
    <row r="454">
      <c r="A454" s="359"/>
      <c r="B454" s="381"/>
      <c r="C454" s="18"/>
      <c r="D454" s="359"/>
      <c r="E454" s="607"/>
      <c r="F454" s="359"/>
      <c r="G454" s="381"/>
      <c r="H454" s="381"/>
      <c r="I454" s="381"/>
      <c r="J454" s="381"/>
      <c r="K454" s="381"/>
      <c r="L454" s="381"/>
      <c r="M454" s="381"/>
      <c r="N454" s="381"/>
      <c r="O454" s="381"/>
      <c r="P454" s="381"/>
      <c r="Q454" s="381"/>
      <c r="R454" s="381"/>
      <c r="S454" s="381"/>
      <c r="T454" s="381"/>
      <c r="U454" s="381"/>
      <c r="V454" s="381"/>
      <c r="W454" s="381"/>
      <c r="X454" s="381"/>
      <c r="Y454" s="381"/>
    </row>
    <row r="455">
      <c r="A455" s="359"/>
      <c r="B455" s="381"/>
      <c r="C455" s="18"/>
      <c r="D455" s="359"/>
      <c r="E455" s="607"/>
      <c r="F455" s="359"/>
      <c r="G455" s="381"/>
      <c r="H455" s="381"/>
      <c r="I455" s="381"/>
      <c r="J455" s="381"/>
      <c r="K455" s="381"/>
      <c r="L455" s="381"/>
      <c r="M455" s="381"/>
      <c r="N455" s="381"/>
      <c r="O455" s="381"/>
      <c r="P455" s="381"/>
      <c r="Q455" s="381"/>
      <c r="R455" s="381"/>
      <c r="S455" s="381"/>
      <c r="T455" s="381"/>
      <c r="U455" s="381"/>
      <c r="V455" s="381"/>
      <c r="W455" s="381"/>
      <c r="X455" s="381"/>
      <c r="Y455" s="381"/>
    </row>
    <row r="456">
      <c r="A456" s="359"/>
      <c r="B456" s="381"/>
      <c r="C456" s="18"/>
      <c r="D456" s="359"/>
      <c r="E456" s="607"/>
      <c r="F456" s="359"/>
      <c r="G456" s="381"/>
      <c r="H456" s="381"/>
      <c r="I456" s="381"/>
      <c r="J456" s="381"/>
      <c r="K456" s="381"/>
      <c r="L456" s="381"/>
      <c r="M456" s="381"/>
      <c r="N456" s="381"/>
      <c r="O456" s="381"/>
      <c r="P456" s="381"/>
      <c r="Q456" s="381"/>
      <c r="R456" s="381"/>
      <c r="S456" s="381"/>
      <c r="T456" s="381"/>
      <c r="U456" s="381"/>
      <c r="V456" s="381"/>
      <c r="W456" s="381"/>
      <c r="X456" s="381"/>
      <c r="Y456" s="381"/>
    </row>
    <row r="457">
      <c r="A457" s="359"/>
      <c r="B457" s="381"/>
      <c r="C457" s="18"/>
      <c r="D457" s="359"/>
      <c r="E457" s="607"/>
      <c r="F457" s="359"/>
      <c r="G457" s="381"/>
      <c r="H457" s="381"/>
      <c r="I457" s="381"/>
      <c r="J457" s="381"/>
      <c r="K457" s="381"/>
      <c r="L457" s="381"/>
      <c r="M457" s="381"/>
      <c r="N457" s="381"/>
      <c r="O457" s="381"/>
      <c r="P457" s="381"/>
      <c r="Q457" s="381"/>
      <c r="R457" s="381"/>
      <c r="S457" s="381"/>
      <c r="T457" s="381"/>
      <c r="U457" s="381"/>
      <c r="V457" s="381"/>
      <c r="W457" s="381"/>
      <c r="X457" s="381"/>
      <c r="Y457" s="381"/>
    </row>
    <row r="458">
      <c r="A458" s="359"/>
      <c r="B458" s="381"/>
      <c r="C458" s="18"/>
      <c r="D458" s="359"/>
      <c r="E458" s="607"/>
      <c r="F458" s="359"/>
      <c r="G458" s="381"/>
      <c r="H458" s="381"/>
      <c r="I458" s="381"/>
      <c r="J458" s="381"/>
      <c r="K458" s="381"/>
      <c r="L458" s="381"/>
      <c r="M458" s="381"/>
      <c r="N458" s="381"/>
      <c r="O458" s="381"/>
      <c r="P458" s="381"/>
      <c r="Q458" s="381"/>
      <c r="R458" s="381"/>
      <c r="S458" s="381"/>
      <c r="T458" s="381"/>
      <c r="U458" s="381"/>
      <c r="V458" s="381"/>
      <c r="W458" s="381"/>
      <c r="X458" s="381"/>
      <c r="Y458" s="381"/>
    </row>
    <row r="459">
      <c r="A459" s="359"/>
      <c r="B459" s="381"/>
      <c r="C459" s="18"/>
      <c r="D459" s="359"/>
      <c r="E459" s="607"/>
      <c r="F459" s="359"/>
      <c r="G459" s="381"/>
      <c r="H459" s="381"/>
      <c r="I459" s="381"/>
      <c r="J459" s="381"/>
      <c r="K459" s="381"/>
      <c r="L459" s="381"/>
      <c r="M459" s="381"/>
      <c r="N459" s="381"/>
      <c r="O459" s="381"/>
      <c r="P459" s="381"/>
      <c r="Q459" s="381"/>
      <c r="R459" s="381"/>
      <c r="S459" s="381"/>
      <c r="T459" s="381"/>
      <c r="U459" s="381"/>
      <c r="V459" s="381"/>
      <c r="W459" s="381"/>
      <c r="X459" s="381"/>
      <c r="Y459" s="381"/>
    </row>
    <row r="460">
      <c r="A460" s="359"/>
      <c r="B460" s="381"/>
      <c r="C460" s="18"/>
      <c r="D460" s="359"/>
      <c r="E460" s="607"/>
      <c r="F460" s="359"/>
      <c r="G460" s="381"/>
      <c r="H460" s="381"/>
      <c r="I460" s="381"/>
      <c r="J460" s="381"/>
      <c r="K460" s="381"/>
      <c r="L460" s="381"/>
      <c r="M460" s="381"/>
      <c r="N460" s="381"/>
      <c r="O460" s="381"/>
      <c r="P460" s="381"/>
      <c r="Q460" s="381"/>
      <c r="R460" s="381"/>
      <c r="S460" s="381"/>
      <c r="T460" s="381"/>
      <c r="U460" s="381"/>
      <c r="V460" s="381"/>
      <c r="W460" s="381"/>
      <c r="X460" s="381"/>
      <c r="Y460" s="381"/>
    </row>
    <row r="461">
      <c r="A461" s="359"/>
      <c r="B461" s="381"/>
      <c r="C461" s="18"/>
      <c r="D461" s="359"/>
      <c r="E461" s="607"/>
      <c r="F461" s="359"/>
      <c r="G461" s="381"/>
      <c r="H461" s="381"/>
      <c r="I461" s="381"/>
      <c r="J461" s="381"/>
      <c r="K461" s="381"/>
      <c r="L461" s="381"/>
      <c r="M461" s="381"/>
      <c r="N461" s="381"/>
      <c r="O461" s="381"/>
      <c r="P461" s="381"/>
      <c r="Q461" s="381"/>
      <c r="R461" s="381"/>
      <c r="S461" s="381"/>
      <c r="T461" s="381"/>
      <c r="U461" s="381"/>
      <c r="V461" s="381"/>
      <c r="W461" s="381"/>
      <c r="X461" s="381"/>
      <c r="Y461" s="381"/>
    </row>
    <row r="462">
      <c r="A462" s="359"/>
      <c r="B462" s="381"/>
      <c r="C462" s="18"/>
      <c r="D462" s="359"/>
      <c r="E462" s="607"/>
      <c r="F462" s="359"/>
      <c r="G462" s="381"/>
      <c r="H462" s="381"/>
      <c r="I462" s="381"/>
      <c r="J462" s="381"/>
      <c r="K462" s="381"/>
      <c r="L462" s="381"/>
      <c r="M462" s="381"/>
      <c r="N462" s="381"/>
      <c r="O462" s="381"/>
      <c r="P462" s="381"/>
      <c r="Q462" s="381"/>
      <c r="R462" s="381"/>
      <c r="S462" s="381"/>
      <c r="T462" s="381"/>
      <c r="U462" s="381"/>
      <c r="V462" s="381"/>
      <c r="W462" s="381"/>
      <c r="X462" s="381"/>
      <c r="Y462" s="381"/>
    </row>
    <row r="463">
      <c r="A463" s="359"/>
      <c r="B463" s="381"/>
      <c r="C463" s="18"/>
      <c r="D463" s="359"/>
      <c r="E463" s="607"/>
      <c r="F463" s="359"/>
      <c r="G463" s="381"/>
      <c r="H463" s="381"/>
      <c r="I463" s="381"/>
      <c r="J463" s="381"/>
      <c r="K463" s="381"/>
      <c r="L463" s="381"/>
      <c r="M463" s="381"/>
      <c r="N463" s="381"/>
      <c r="O463" s="381"/>
      <c r="P463" s="381"/>
      <c r="Q463" s="381"/>
      <c r="R463" s="381"/>
      <c r="S463" s="381"/>
      <c r="T463" s="381"/>
      <c r="U463" s="381"/>
      <c r="V463" s="381"/>
      <c r="W463" s="381"/>
      <c r="X463" s="381"/>
      <c r="Y463" s="381"/>
    </row>
    <row r="464">
      <c r="A464" s="359"/>
      <c r="B464" s="381"/>
      <c r="C464" s="18"/>
      <c r="D464" s="359"/>
      <c r="E464" s="607"/>
      <c r="F464" s="359"/>
      <c r="G464" s="381"/>
      <c r="H464" s="381"/>
      <c r="I464" s="381"/>
      <c r="J464" s="381"/>
      <c r="K464" s="381"/>
      <c r="L464" s="381"/>
      <c r="M464" s="381"/>
      <c r="N464" s="381"/>
      <c r="O464" s="381"/>
      <c r="P464" s="381"/>
      <c r="Q464" s="381"/>
      <c r="R464" s="381"/>
      <c r="S464" s="381"/>
      <c r="T464" s="381"/>
      <c r="U464" s="381"/>
      <c r="V464" s="381"/>
      <c r="W464" s="381"/>
      <c r="X464" s="381"/>
      <c r="Y464" s="381"/>
    </row>
    <row r="465">
      <c r="A465" s="359"/>
      <c r="B465" s="381"/>
      <c r="C465" s="18"/>
      <c r="D465" s="359"/>
      <c r="E465" s="607"/>
      <c r="F465" s="359"/>
      <c r="G465" s="381"/>
      <c r="H465" s="381"/>
      <c r="I465" s="381"/>
      <c r="J465" s="381"/>
      <c r="K465" s="381"/>
      <c r="L465" s="381"/>
      <c r="M465" s="381"/>
      <c r="N465" s="381"/>
      <c r="O465" s="381"/>
      <c r="P465" s="381"/>
      <c r="Q465" s="381"/>
      <c r="R465" s="381"/>
      <c r="S465" s="381"/>
      <c r="T465" s="381"/>
      <c r="U465" s="381"/>
      <c r="V465" s="381"/>
      <c r="W465" s="381"/>
      <c r="X465" s="381"/>
      <c r="Y465" s="381"/>
    </row>
    <row r="466">
      <c r="A466" s="359"/>
      <c r="B466" s="381"/>
      <c r="C466" s="18"/>
      <c r="D466" s="359"/>
      <c r="E466" s="607"/>
      <c r="F466" s="359"/>
      <c r="G466" s="381"/>
      <c r="H466" s="381"/>
      <c r="I466" s="381"/>
      <c r="J466" s="381"/>
      <c r="K466" s="381"/>
      <c r="L466" s="381"/>
      <c r="M466" s="381"/>
      <c r="N466" s="381"/>
      <c r="O466" s="381"/>
      <c r="P466" s="381"/>
      <c r="Q466" s="381"/>
      <c r="R466" s="381"/>
      <c r="S466" s="381"/>
      <c r="T466" s="381"/>
      <c r="U466" s="381"/>
      <c r="V466" s="381"/>
      <c r="W466" s="381"/>
      <c r="X466" s="381"/>
      <c r="Y466" s="381"/>
    </row>
    <row r="467">
      <c r="A467" s="359"/>
      <c r="B467" s="381"/>
      <c r="C467" s="18"/>
      <c r="D467" s="359"/>
      <c r="E467" s="607"/>
      <c r="F467" s="359"/>
      <c r="G467" s="381"/>
      <c r="H467" s="381"/>
      <c r="I467" s="381"/>
      <c r="J467" s="381"/>
      <c r="K467" s="381"/>
      <c r="L467" s="381"/>
      <c r="M467" s="381"/>
      <c r="N467" s="381"/>
      <c r="O467" s="381"/>
      <c r="P467" s="381"/>
      <c r="Q467" s="381"/>
      <c r="R467" s="381"/>
      <c r="S467" s="381"/>
      <c r="T467" s="381"/>
      <c r="U467" s="381"/>
      <c r="V467" s="381"/>
      <c r="W467" s="381"/>
      <c r="X467" s="381"/>
      <c r="Y467" s="381"/>
    </row>
    <row r="468">
      <c r="A468" s="359"/>
      <c r="B468" s="381"/>
      <c r="C468" s="18"/>
      <c r="D468" s="359"/>
      <c r="E468" s="607"/>
      <c r="F468" s="359"/>
      <c r="G468" s="381"/>
      <c r="H468" s="381"/>
      <c r="I468" s="381"/>
      <c r="J468" s="381"/>
      <c r="K468" s="381"/>
      <c r="L468" s="381"/>
      <c r="M468" s="381"/>
      <c r="N468" s="381"/>
      <c r="O468" s="381"/>
      <c r="P468" s="381"/>
      <c r="Q468" s="381"/>
      <c r="R468" s="381"/>
      <c r="S468" s="381"/>
      <c r="T468" s="381"/>
      <c r="U468" s="381"/>
      <c r="V468" s="381"/>
      <c r="W468" s="381"/>
      <c r="X468" s="381"/>
      <c r="Y468" s="381"/>
    </row>
    <row r="469">
      <c r="A469" s="359"/>
      <c r="B469" s="381"/>
      <c r="C469" s="18"/>
      <c r="D469" s="359"/>
      <c r="E469" s="607"/>
      <c r="F469" s="359"/>
      <c r="G469" s="381"/>
      <c r="H469" s="381"/>
      <c r="I469" s="381"/>
      <c r="J469" s="381"/>
      <c r="K469" s="381"/>
      <c r="L469" s="381"/>
      <c r="M469" s="381"/>
      <c r="N469" s="381"/>
      <c r="O469" s="381"/>
      <c r="P469" s="381"/>
      <c r="Q469" s="381"/>
      <c r="R469" s="381"/>
      <c r="S469" s="381"/>
      <c r="T469" s="381"/>
      <c r="U469" s="381"/>
      <c r="V469" s="381"/>
      <c r="W469" s="381"/>
      <c r="X469" s="381"/>
      <c r="Y469" s="381"/>
    </row>
    <row r="470">
      <c r="A470" s="359"/>
      <c r="B470" s="381"/>
      <c r="C470" s="18"/>
      <c r="D470" s="359"/>
      <c r="E470" s="607"/>
      <c r="F470" s="359"/>
      <c r="G470" s="381"/>
      <c r="H470" s="381"/>
      <c r="I470" s="381"/>
      <c r="J470" s="381"/>
      <c r="K470" s="381"/>
      <c r="L470" s="381"/>
      <c r="M470" s="381"/>
      <c r="N470" s="381"/>
      <c r="O470" s="381"/>
      <c r="P470" s="381"/>
      <c r="Q470" s="381"/>
      <c r="R470" s="381"/>
      <c r="S470" s="381"/>
      <c r="T470" s="381"/>
      <c r="U470" s="381"/>
      <c r="V470" s="381"/>
      <c r="W470" s="381"/>
      <c r="X470" s="381"/>
      <c r="Y470" s="381"/>
    </row>
    <row r="471">
      <c r="A471" s="359"/>
      <c r="B471" s="381"/>
      <c r="C471" s="18"/>
      <c r="D471" s="359"/>
      <c r="E471" s="607"/>
      <c r="F471" s="359"/>
      <c r="G471" s="381"/>
      <c r="H471" s="381"/>
      <c r="I471" s="381"/>
      <c r="J471" s="381"/>
      <c r="K471" s="381"/>
      <c r="L471" s="381"/>
      <c r="M471" s="381"/>
      <c r="N471" s="381"/>
      <c r="O471" s="381"/>
      <c r="P471" s="381"/>
      <c r="Q471" s="381"/>
      <c r="R471" s="381"/>
      <c r="S471" s="381"/>
      <c r="T471" s="381"/>
      <c r="U471" s="381"/>
      <c r="V471" s="381"/>
      <c r="W471" s="381"/>
      <c r="X471" s="381"/>
      <c r="Y471" s="381"/>
    </row>
    <row r="472">
      <c r="A472" s="359"/>
      <c r="B472" s="381"/>
      <c r="C472" s="18"/>
      <c r="D472" s="359"/>
      <c r="E472" s="607"/>
      <c r="F472" s="359"/>
      <c r="G472" s="381"/>
      <c r="H472" s="381"/>
      <c r="I472" s="381"/>
      <c r="J472" s="381"/>
      <c r="K472" s="381"/>
      <c r="L472" s="381"/>
      <c r="M472" s="381"/>
      <c r="N472" s="381"/>
      <c r="O472" s="381"/>
      <c r="P472" s="381"/>
      <c r="Q472" s="381"/>
      <c r="R472" s="381"/>
      <c r="S472" s="381"/>
      <c r="T472" s="381"/>
      <c r="U472" s="381"/>
      <c r="V472" s="381"/>
      <c r="W472" s="381"/>
      <c r="X472" s="381"/>
      <c r="Y472" s="381"/>
    </row>
    <row r="473">
      <c r="A473" s="359"/>
      <c r="B473" s="381"/>
      <c r="C473" s="18"/>
      <c r="D473" s="359"/>
      <c r="E473" s="607"/>
      <c r="F473" s="359"/>
      <c r="G473" s="381"/>
      <c r="H473" s="381"/>
      <c r="I473" s="381"/>
      <c r="J473" s="381"/>
      <c r="K473" s="381"/>
      <c r="L473" s="381"/>
      <c r="M473" s="381"/>
      <c r="N473" s="381"/>
      <c r="O473" s="381"/>
      <c r="P473" s="381"/>
      <c r="Q473" s="381"/>
      <c r="R473" s="381"/>
      <c r="S473" s="381"/>
      <c r="T473" s="381"/>
      <c r="U473" s="381"/>
      <c r="V473" s="381"/>
      <c r="W473" s="381"/>
      <c r="X473" s="381"/>
      <c r="Y473" s="381"/>
    </row>
    <row r="474">
      <c r="A474" s="359"/>
      <c r="B474" s="381"/>
      <c r="C474" s="18"/>
      <c r="D474" s="359"/>
      <c r="E474" s="607"/>
      <c r="F474" s="359"/>
      <c r="G474" s="381"/>
      <c r="H474" s="381"/>
      <c r="I474" s="381"/>
      <c r="J474" s="381"/>
      <c r="K474" s="381"/>
      <c r="L474" s="381"/>
      <c r="M474" s="381"/>
      <c r="N474" s="381"/>
      <c r="O474" s="381"/>
      <c r="P474" s="381"/>
      <c r="Q474" s="381"/>
      <c r="R474" s="381"/>
      <c r="S474" s="381"/>
      <c r="T474" s="381"/>
      <c r="U474" s="381"/>
      <c r="V474" s="381"/>
      <c r="W474" s="381"/>
      <c r="X474" s="381"/>
      <c r="Y474" s="381"/>
    </row>
    <row r="475">
      <c r="A475" s="359"/>
      <c r="B475" s="381"/>
      <c r="C475" s="18"/>
      <c r="D475" s="359"/>
      <c r="E475" s="607"/>
      <c r="F475" s="359"/>
      <c r="G475" s="381"/>
      <c r="H475" s="381"/>
      <c r="I475" s="381"/>
      <c r="J475" s="381"/>
      <c r="K475" s="381"/>
      <c r="L475" s="381"/>
      <c r="M475" s="381"/>
      <c r="N475" s="381"/>
      <c r="O475" s="381"/>
      <c r="P475" s="381"/>
      <c r="Q475" s="381"/>
      <c r="R475" s="381"/>
      <c r="S475" s="381"/>
      <c r="T475" s="381"/>
      <c r="U475" s="381"/>
      <c r="V475" s="381"/>
      <c r="W475" s="381"/>
      <c r="X475" s="381"/>
      <c r="Y475" s="381"/>
    </row>
    <row r="476">
      <c r="A476" s="359"/>
      <c r="B476" s="381"/>
      <c r="C476" s="18"/>
      <c r="D476" s="359"/>
      <c r="E476" s="607"/>
      <c r="F476" s="359"/>
      <c r="G476" s="381"/>
      <c r="H476" s="381"/>
      <c r="I476" s="381"/>
      <c r="J476" s="381"/>
      <c r="K476" s="381"/>
      <c r="L476" s="381"/>
      <c r="M476" s="381"/>
      <c r="N476" s="381"/>
      <c r="O476" s="381"/>
      <c r="P476" s="381"/>
      <c r="Q476" s="381"/>
      <c r="R476" s="381"/>
      <c r="S476" s="381"/>
      <c r="T476" s="381"/>
      <c r="U476" s="381"/>
      <c r="V476" s="381"/>
      <c r="W476" s="381"/>
      <c r="X476" s="381"/>
      <c r="Y476" s="381"/>
    </row>
    <row r="477">
      <c r="A477" s="359"/>
      <c r="B477" s="381"/>
      <c r="C477" s="18"/>
      <c r="D477" s="359"/>
      <c r="E477" s="607"/>
      <c r="F477" s="359"/>
      <c r="G477" s="381"/>
      <c r="H477" s="381"/>
      <c r="I477" s="381"/>
      <c r="J477" s="381"/>
      <c r="K477" s="381"/>
      <c r="L477" s="381"/>
      <c r="M477" s="381"/>
      <c r="N477" s="381"/>
      <c r="O477" s="381"/>
      <c r="P477" s="381"/>
      <c r="Q477" s="381"/>
      <c r="R477" s="381"/>
      <c r="S477" s="381"/>
      <c r="T477" s="381"/>
      <c r="U477" s="381"/>
      <c r="V477" s="381"/>
      <c r="W477" s="381"/>
      <c r="X477" s="381"/>
      <c r="Y477" s="381"/>
    </row>
    <row r="478">
      <c r="A478" s="359"/>
      <c r="B478" s="381"/>
      <c r="C478" s="18"/>
      <c r="D478" s="359"/>
      <c r="E478" s="607"/>
      <c r="F478" s="359"/>
      <c r="G478" s="381"/>
      <c r="H478" s="381"/>
      <c r="I478" s="381"/>
      <c r="J478" s="381"/>
      <c r="K478" s="381"/>
      <c r="L478" s="381"/>
      <c r="M478" s="381"/>
      <c r="N478" s="381"/>
      <c r="O478" s="381"/>
      <c r="P478" s="381"/>
      <c r="Q478" s="381"/>
      <c r="R478" s="381"/>
      <c r="S478" s="381"/>
      <c r="T478" s="381"/>
      <c r="U478" s="381"/>
      <c r="V478" s="381"/>
      <c r="W478" s="381"/>
      <c r="X478" s="381"/>
      <c r="Y478" s="381"/>
    </row>
    <row r="479">
      <c r="A479" s="359"/>
      <c r="B479" s="381"/>
      <c r="C479" s="18"/>
      <c r="D479" s="359"/>
      <c r="E479" s="607"/>
      <c r="F479" s="359"/>
      <c r="G479" s="381"/>
      <c r="H479" s="381"/>
      <c r="I479" s="381"/>
      <c r="J479" s="381"/>
      <c r="K479" s="381"/>
      <c r="L479" s="381"/>
      <c r="M479" s="381"/>
      <c r="N479" s="381"/>
      <c r="O479" s="381"/>
      <c r="P479" s="381"/>
      <c r="Q479" s="381"/>
      <c r="R479" s="381"/>
      <c r="S479" s="381"/>
      <c r="T479" s="381"/>
      <c r="U479" s="381"/>
      <c r="V479" s="381"/>
      <c r="W479" s="381"/>
      <c r="X479" s="381"/>
      <c r="Y479" s="381"/>
    </row>
    <row r="480">
      <c r="A480" s="359"/>
      <c r="B480" s="381"/>
      <c r="C480" s="18"/>
      <c r="D480" s="359"/>
      <c r="E480" s="607"/>
      <c r="F480" s="359"/>
      <c r="G480" s="381"/>
      <c r="H480" s="381"/>
      <c r="I480" s="381"/>
      <c r="J480" s="381"/>
      <c r="K480" s="381"/>
      <c r="L480" s="381"/>
      <c r="M480" s="381"/>
      <c r="N480" s="381"/>
      <c r="O480" s="381"/>
      <c r="P480" s="381"/>
      <c r="Q480" s="381"/>
      <c r="R480" s="381"/>
      <c r="S480" s="381"/>
      <c r="T480" s="381"/>
      <c r="U480" s="381"/>
      <c r="V480" s="381"/>
      <c r="W480" s="381"/>
      <c r="X480" s="381"/>
      <c r="Y480" s="381"/>
    </row>
    <row r="481">
      <c r="A481" s="359"/>
      <c r="B481" s="381"/>
      <c r="C481" s="18"/>
      <c r="D481" s="359"/>
      <c r="E481" s="607"/>
      <c r="F481" s="359"/>
      <c r="G481" s="381"/>
      <c r="H481" s="381"/>
      <c r="I481" s="381"/>
      <c r="J481" s="381"/>
      <c r="K481" s="381"/>
      <c r="L481" s="381"/>
      <c r="M481" s="381"/>
      <c r="N481" s="381"/>
      <c r="O481" s="381"/>
      <c r="P481" s="381"/>
      <c r="Q481" s="381"/>
      <c r="R481" s="381"/>
      <c r="S481" s="381"/>
      <c r="T481" s="381"/>
      <c r="U481" s="381"/>
      <c r="V481" s="381"/>
      <c r="W481" s="381"/>
      <c r="X481" s="381"/>
      <c r="Y481" s="381"/>
    </row>
    <row r="482">
      <c r="A482" s="359"/>
      <c r="B482" s="381"/>
      <c r="C482" s="18"/>
      <c r="D482" s="359"/>
      <c r="E482" s="607"/>
      <c r="F482" s="359"/>
      <c r="G482" s="381"/>
      <c r="H482" s="381"/>
      <c r="I482" s="381"/>
      <c r="J482" s="381"/>
      <c r="K482" s="381"/>
      <c r="L482" s="381"/>
      <c r="M482" s="381"/>
      <c r="N482" s="381"/>
      <c r="O482" s="381"/>
      <c r="P482" s="381"/>
      <c r="Q482" s="381"/>
      <c r="R482" s="381"/>
      <c r="S482" s="381"/>
      <c r="T482" s="381"/>
      <c r="U482" s="381"/>
      <c r="V482" s="381"/>
      <c r="W482" s="381"/>
      <c r="X482" s="381"/>
      <c r="Y482" s="381"/>
    </row>
    <row r="483">
      <c r="A483" s="359"/>
      <c r="B483" s="381"/>
      <c r="C483" s="18"/>
      <c r="D483" s="359"/>
      <c r="E483" s="607"/>
      <c r="F483" s="359"/>
      <c r="G483" s="381"/>
      <c r="H483" s="381"/>
      <c r="I483" s="381"/>
      <c r="J483" s="381"/>
      <c r="K483" s="381"/>
      <c r="L483" s="381"/>
      <c r="M483" s="381"/>
      <c r="N483" s="381"/>
      <c r="O483" s="381"/>
      <c r="P483" s="381"/>
      <c r="Q483" s="381"/>
      <c r="R483" s="381"/>
      <c r="S483" s="381"/>
      <c r="T483" s="381"/>
      <c r="U483" s="381"/>
      <c r="V483" s="381"/>
      <c r="W483" s="381"/>
      <c r="X483" s="381"/>
      <c r="Y483" s="381"/>
    </row>
    <row r="484">
      <c r="A484" s="359"/>
      <c r="B484" s="381"/>
      <c r="C484" s="18"/>
      <c r="D484" s="359"/>
      <c r="E484" s="607"/>
      <c r="F484" s="359"/>
      <c r="G484" s="381"/>
      <c r="H484" s="381"/>
      <c r="I484" s="381"/>
      <c r="J484" s="381"/>
      <c r="K484" s="381"/>
      <c r="L484" s="381"/>
      <c r="M484" s="381"/>
      <c r="N484" s="381"/>
      <c r="O484" s="381"/>
      <c r="P484" s="381"/>
      <c r="Q484" s="381"/>
      <c r="R484" s="381"/>
      <c r="S484" s="381"/>
      <c r="T484" s="381"/>
      <c r="U484" s="381"/>
      <c r="V484" s="381"/>
      <c r="W484" s="381"/>
      <c r="X484" s="381"/>
      <c r="Y484" s="381"/>
    </row>
    <row r="485">
      <c r="A485" s="359"/>
      <c r="B485" s="381"/>
      <c r="C485" s="18"/>
      <c r="D485" s="359"/>
      <c r="E485" s="607"/>
      <c r="F485" s="359"/>
      <c r="G485" s="381"/>
      <c r="H485" s="381"/>
      <c r="I485" s="381"/>
      <c r="J485" s="381"/>
      <c r="K485" s="381"/>
      <c r="L485" s="381"/>
      <c r="M485" s="381"/>
      <c r="N485" s="381"/>
      <c r="O485" s="381"/>
      <c r="P485" s="381"/>
      <c r="Q485" s="381"/>
      <c r="R485" s="381"/>
      <c r="S485" s="381"/>
      <c r="T485" s="381"/>
      <c r="U485" s="381"/>
      <c r="V485" s="381"/>
      <c r="W485" s="381"/>
      <c r="X485" s="381"/>
      <c r="Y485" s="381"/>
    </row>
    <row r="486">
      <c r="A486" s="359"/>
      <c r="B486" s="381"/>
      <c r="C486" s="18"/>
      <c r="D486" s="359"/>
      <c r="E486" s="607"/>
      <c r="F486" s="359"/>
      <c r="G486" s="381"/>
      <c r="H486" s="381"/>
      <c r="I486" s="381"/>
      <c r="J486" s="381"/>
      <c r="K486" s="381"/>
      <c r="L486" s="381"/>
      <c r="M486" s="381"/>
      <c r="N486" s="381"/>
      <c r="O486" s="381"/>
      <c r="P486" s="381"/>
      <c r="Q486" s="381"/>
      <c r="R486" s="381"/>
      <c r="S486" s="381"/>
      <c r="T486" s="381"/>
      <c r="U486" s="381"/>
      <c r="V486" s="381"/>
      <c r="W486" s="381"/>
      <c r="X486" s="381"/>
      <c r="Y486" s="381"/>
    </row>
    <row r="487">
      <c r="A487" s="359"/>
      <c r="B487" s="381"/>
      <c r="C487" s="18"/>
      <c r="D487" s="359"/>
      <c r="E487" s="607"/>
      <c r="F487" s="359"/>
      <c r="G487" s="381"/>
      <c r="H487" s="381"/>
      <c r="I487" s="381"/>
      <c r="J487" s="381"/>
      <c r="K487" s="381"/>
      <c r="L487" s="381"/>
      <c r="M487" s="381"/>
      <c r="N487" s="381"/>
      <c r="O487" s="381"/>
      <c r="P487" s="381"/>
      <c r="Q487" s="381"/>
      <c r="R487" s="381"/>
      <c r="S487" s="381"/>
      <c r="T487" s="381"/>
      <c r="U487" s="381"/>
      <c r="V487" s="381"/>
      <c r="W487" s="381"/>
      <c r="X487" s="381"/>
      <c r="Y487" s="381"/>
    </row>
    <row r="488">
      <c r="A488" s="359"/>
      <c r="B488" s="381"/>
      <c r="C488" s="18"/>
      <c r="D488" s="359"/>
      <c r="E488" s="607"/>
      <c r="F488" s="359"/>
      <c r="G488" s="381"/>
      <c r="H488" s="381"/>
      <c r="I488" s="381"/>
      <c r="J488" s="381"/>
      <c r="K488" s="381"/>
      <c r="L488" s="381"/>
      <c r="M488" s="381"/>
      <c r="N488" s="381"/>
      <c r="O488" s="381"/>
      <c r="P488" s="381"/>
      <c r="Q488" s="381"/>
      <c r="R488" s="381"/>
      <c r="S488" s="381"/>
      <c r="T488" s="381"/>
      <c r="U488" s="381"/>
      <c r="V488" s="381"/>
      <c r="W488" s="381"/>
      <c r="X488" s="381"/>
      <c r="Y488" s="381"/>
    </row>
    <row r="489">
      <c r="A489" s="359"/>
      <c r="B489" s="381"/>
      <c r="C489" s="18"/>
      <c r="D489" s="359"/>
      <c r="E489" s="607"/>
      <c r="F489" s="359"/>
      <c r="G489" s="381"/>
      <c r="H489" s="381"/>
      <c r="I489" s="381"/>
      <c r="J489" s="381"/>
      <c r="K489" s="381"/>
      <c r="L489" s="381"/>
      <c r="M489" s="381"/>
      <c r="N489" s="381"/>
      <c r="O489" s="381"/>
      <c r="P489" s="381"/>
      <c r="Q489" s="381"/>
      <c r="R489" s="381"/>
      <c r="S489" s="381"/>
      <c r="T489" s="381"/>
      <c r="U489" s="381"/>
      <c r="V489" s="381"/>
      <c r="W489" s="381"/>
      <c r="X489" s="381"/>
      <c r="Y489" s="381"/>
    </row>
    <row r="490">
      <c r="A490" s="359"/>
      <c r="B490" s="381"/>
      <c r="C490" s="18"/>
      <c r="D490" s="359"/>
      <c r="E490" s="607"/>
      <c r="F490" s="359"/>
      <c r="G490" s="381"/>
      <c r="H490" s="381"/>
      <c r="I490" s="381"/>
      <c r="J490" s="381"/>
      <c r="K490" s="381"/>
      <c r="L490" s="381"/>
      <c r="M490" s="381"/>
      <c r="N490" s="381"/>
      <c r="O490" s="381"/>
      <c r="P490" s="381"/>
      <c r="Q490" s="381"/>
      <c r="R490" s="381"/>
      <c r="S490" s="381"/>
      <c r="T490" s="381"/>
      <c r="U490" s="381"/>
      <c r="V490" s="381"/>
      <c r="W490" s="381"/>
      <c r="X490" s="381"/>
      <c r="Y490" s="381"/>
    </row>
    <row r="491">
      <c r="A491" s="359"/>
      <c r="B491" s="381"/>
      <c r="C491" s="18"/>
      <c r="D491" s="359"/>
      <c r="E491" s="607"/>
      <c r="F491" s="359"/>
      <c r="G491" s="381"/>
      <c r="H491" s="381"/>
      <c r="I491" s="381"/>
      <c r="J491" s="381"/>
      <c r="K491" s="381"/>
      <c r="L491" s="381"/>
      <c r="M491" s="381"/>
      <c r="N491" s="381"/>
      <c r="O491" s="381"/>
      <c r="P491" s="381"/>
      <c r="Q491" s="381"/>
      <c r="R491" s="381"/>
      <c r="S491" s="381"/>
      <c r="T491" s="381"/>
      <c r="U491" s="381"/>
      <c r="V491" s="381"/>
      <c r="W491" s="381"/>
      <c r="X491" s="381"/>
      <c r="Y491" s="381"/>
    </row>
    <row r="492">
      <c r="A492" s="359"/>
      <c r="B492" s="381"/>
      <c r="C492" s="18"/>
      <c r="D492" s="359"/>
      <c r="E492" s="607"/>
      <c r="F492" s="359"/>
      <c r="G492" s="381"/>
      <c r="H492" s="381"/>
      <c r="I492" s="381"/>
      <c r="J492" s="381"/>
      <c r="K492" s="381"/>
      <c r="L492" s="381"/>
      <c r="M492" s="381"/>
      <c r="N492" s="381"/>
      <c r="O492" s="381"/>
      <c r="P492" s="381"/>
      <c r="Q492" s="381"/>
      <c r="R492" s="381"/>
      <c r="S492" s="381"/>
      <c r="T492" s="381"/>
      <c r="U492" s="381"/>
      <c r="V492" s="381"/>
      <c r="W492" s="381"/>
      <c r="X492" s="381"/>
      <c r="Y492" s="381"/>
    </row>
    <row r="493">
      <c r="A493" s="359"/>
      <c r="B493" s="381"/>
      <c r="C493" s="18"/>
      <c r="D493" s="359"/>
      <c r="E493" s="607"/>
      <c r="F493" s="359"/>
      <c r="G493" s="381"/>
      <c r="H493" s="381"/>
      <c r="I493" s="381"/>
      <c r="J493" s="381"/>
      <c r="K493" s="381"/>
      <c r="L493" s="381"/>
      <c r="M493" s="381"/>
      <c r="N493" s="381"/>
      <c r="O493" s="381"/>
      <c r="P493" s="381"/>
      <c r="Q493" s="381"/>
      <c r="R493" s="381"/>
      <c r="S493" s="381"/>
      <c r="T493" s="381"/>
      <c r="U493" s="381"/>
      <c r="V493" s="381"/>
      <c r="W493" s="381"/>
      <c r="X493" s="381"/>
      <c r="Y493" s="381"/>
    </row>
    <row r="494">
      <c r="A494" s="359"/>
      <c r="B494" s="381"/>
      <c r="C494" s="18"/>
      <c r="D494" s="359"/>
      <c r="E494" s="607"/>
      <c r="F494" s="359"/>
      <c r="G494" s="381"/>
      <c r="H494" s="381"/>
      <c r="I494" s="381"/>
      <c r="J494" s="381"/>
      <c r="K494" s="381"/>
      <c r="L494" s="381"/>
      <c r="M494" s="381"/>
      <c r="N494" s="381"/>
      <c r="O494" s="381"/>
      <c r="P494" s="381"/>
      <c r="Q494" s="381"/>
      <c r="R494" s="381"/>
      <c r="S494" s="381"/>
      <c r="T494" s="381"/>
      <c r="U494" s="381"/>
      <c r="V494" s="381"/>
      <c r="W494" s="381"/>
      <c r="X494" s="381"/>
      <c r="Y494" s="381"/>
    </row>
    <row r="495">
      <c r="A495" s="359"/>
      <c r="B495" s="381"/>
      <c r="C495" s="18"/>
      <c r="D495" s="359"/>
      <c r="E495" s="607"/>
      <c r="F495" s="359"/>
      <c r="G495" s="381"/>
      <c r="H495" s="381"/>
      <c r="I495" s="381"/>
      <c r="J495" s="381"/>
      <c r="K495" s="381"/>
      <c r="L495" s="381"/>
      <c r="M495" s="381"/>
      <c r="N495" s="381"/>
      <c r="O495" s="381"/>
      <c r="P495" s="381"/>
      <c r="Q495" s="381"/>
      <c r="R495" s="381"/>
      <c r="S495" s="381"/>
      <c r="T495" s="381"/>
      <c r="U495" s="381"/>
      <c r="V495" s="381"/>
      <c r="W495" s="381"/>
      <c r="X495" s="381"/>
      <c r="Y495" s="381"/>
    </row>
    <row r="496">
      <c r="A496" s="359"/>
      <c r="B496" s="381"/>
      <c r="C496" s="18"/>
      <c r="D496" s="359"/>
      <c r="E496" s="607"/>
      <c r="F496" s="359"/>
      <c r="G496" s="381"/>
      <c r="H496" s="381"/>
      <c r="I496" s="381"/>
      <c r="J496" s="381"/>
      <c r="K496" s="381"/>
      <c r="L496" s="381"/>
      <c r="M496" s="381"/>
      <c r="N496" s="381"/>
      <c r="O496" s="381"/>
      <c r="P496" s="381"/>
      <c r="Q496" s="381"/>
      <c r="R496" s="381"/>
      <c r="S496" s="381"/>
      <c r="T496" s="381"/>
      <c r="U496" s="381"/>
      <c r="V496" s="381"/>
      <c r="W496" s="381"/>
      <c r="X496" s="381"/>
      <c r="Y496" s="381"/>
    </row>
    <row r="497">
      <c r="A497" s="359"/>
      <c r="B497" s="381"/>
      <c r="C497" s="18"/>
      <c r="D497" s="359"/>
      <c r="E497" s="607"/>
      <c r="F497" s="359"/>
      <c r="G497" s="381"/>
      <c r="H497" s="381"/>
      <c r="I497" s="381"/>
      <c r="J497" s="381"/>
      <c r="K497" s="381"/>
      <c r="L497" s="381"/>
      <c r="M497" s="381"/>
      <c r="N497" s="381"/>
      <c r="O497" s="381"/>
      <c r="P497" s="381"/>
      <c r="Q497" s="381"/>
      <c r="R497" s="381"/>
      <c r="S497" s="381"/>
      <c r="T497" s="381"/>
      <c r="U497" s="381"/>
      <c r="V497" s="381"/>
      <c r="W497" s="381"/>
      <c r="X497" s="381"/>
      <c r="Y497" s="381"/>
    </row>
    <row r="498">
      <c r="A498" s="359"/>
      <c r="B498" s="381"/>
      <c r="C498" s="18"/>
      <c r="D498" s="359"/>
      <c r="E498" s="607"/>
      <c r="F498" s="359"/>
      <c r="G498" s="381"/>
      <c r="H498" s="381"/>
      <c r="I498" s="381"/>
      <c r="J498" s="381"/>
      <c r="K498" s="381"/>
      <c r="L498" s="381"/>
      <c r="M498" s="381"/>
      <c r="N498" s="381"/>
      <c r="O498" s="381"/>
      <c r="P498" s="381"/>
      <c r="Q498" s="381"/>
      <c r="R498" s="381"/>
      <c r="S498" s="381"/>
      <c r="T498" s="381"/>
      <c r="U498" s="381"/>
      <c r="V498" s="381"/>
      <c r="W498" s="381"/>
      <c r="X498" s="381"/>
      <c r="Y498" s="381"/>
    </row>
    <row r="499">
      <c r="A499" s="359"/>
      <c r="B499" s="381"/>
      <c r="C499" s="18"/>
      <c r="D499" s="359"/>
      <c r="E499" s="607"/>
      <c r="F499" s="359"/>
      <c r="G499" s="381"/>
      <c r="H499" s="381"/>
      <c r="I499" s="381"/>
      <c r="J499" s="381"/>
      <c r="K499" s="381"/>
      <c r="L499" s="381"/>
      <c r="M499" s="381"/>
      <c r="N499" s="381"/>
      <c r="O499" s="381"/>
      <c r="P499" s="381"/>
      <c r="Q499" s="381"/>
      <c r="R499" s="381"/>
      <c r="S499" s="381"/>
      <c r="T499" s="381"/>
      <c r="U499" s="381"/>
      <c r="V499" s="381"/>
      <c r="W499" s="381"/>
      <c r="X499" s="381"/>
      <c r="Y499" s="381"/>
    </row>
    <row r="500">
      <c r="A500" s="359"/>
      <c r="B500" s="381"/>
      <c r="C500" s="18"/>
      <c r="D500" s="359"/>
      <c r="E500" s="607"/>
      <c r="F500" s="359"/>
      <c r="G500" s="381"/>
      <c r="H500" s="381"/>
      <c r="I500" s="381"/>
      <c r="J500" s="381"/>
      <c r="K500" s="381"/>
      <c r="L500" s="381"/>
      <c r="M500" s="381"/>
      <c r="N500" s="381"/>
      <c r="O500" s="381"/>
      <c r="P500" s="381"/>
      <c r="Q500" s="381"/>
      <c r="R500" s="381"/>
      <c r="S500" s="381"/>
      <c r="T500" s="381"/>
      <c r="U500" s="381"/>
      <c r="V500" s="381"/>
      <c r="W500" s="381"/>
      <c r="X500" s="381"/>
      <c r="Y500" s="381"/>
    </row>
    <row r="501">
      <c r="A501" s="359"/>
      <c r="B501" s="381"/>
      <c r="C501" s="18"/>
      <c r="D501" s="359"/>
      <c r="E501" s="607"/>
      <c r="F501" s="359"/>
      <c r="G501" s="381"/>
      <c r="H501" s="381"/>
      <c r="I501" s="381"/>
      <c r="J501" s="381"/>
      <c r="K501" s="381"/>
      <c r="L501" s="381"/>
      <c r="M501" s="381"/>
      <c r="N501" s="381"/>
      <c r="O501" s="381"/>
      <c r="P501" s="381"/>
      <c r="Q501" s="381"/>
      <c r="R501" s="381"/>
      <c r="S501" s="381"/>
      <c r="T501" s="381"/>
      <c r="U501" s="381"/>
      <c r="V501" s="381"/>
      <c r="W501" s="381"/>
      <c r="X501" s="381"/>
      <c r="Y501" s="381"/>
    </row>
    <row r="502">
      <c r="A502" s="359"/>
      <c r="B502" s="381"/>
      <c r="C502" s="18"/>
      <c r="D502" s="359"/>
      <c r="E502" s="607"/>
      <c r="F502" s="359"/>
      <c r="G502" s="381"/>
      <c r="H502" s="381"/>
      <c r="I502" s="381"/>
      <c r="J502" s="381"/>
      <c r="K502" s="381"/>
      <c r="L502" s="381"/>
      <c r="M502" s="381"/>
      <c r="N502" s="381"/>
      <c r="O502" s="381"/>
      <c r="P502" s="381"/>
      <c r="Q502" s="381"/>
      <c r="R502" s="381"/>
      <c r="S502" s="381"/>
      <c r="T502" s="381"/>
      <c r="U502" s="381"/>
      <c r="V502" s="381"/>
      <c r="W502" s="381"/>
      <c r="X502" s="381"/>
      <c r="Y502" s="381"/>
    </row>
    <row r="503">
      <c r="A503" s="359"/>
      <c r="B503" s="381"/>
      <c r="C503" s="18"/>
      <c r="D503" s="359"/>
      <c r="E503" s="607"/>
      <c r="F503" s="359"/>
      <c r="G503" s="381"/>
      <c r="H503" s="381"/>
      <c r="I503" s="381"/>
      <c r="J503" s="381"/>
      <c r="K503" s="381"/>
      <c r="L503" s="381"/>
      <c r="M503" s="381"/>
      <c r="N503" s="381"/>
      <c r="O503" s="381"/>
      <c r="P503" s="381"/>
      <c r="Q503" s="381"/>
      <c r="R503" s="381"/>
      <c r="S503" s="381"/>
      <c r="T503" s="381"/>
      <c r="U503" s="381"/>
      <c r="V503" s="381"/>
      <c r="W503" s="381"/>
      <c r="X503" s="381"/>
      <c r="Y503" s="381"/>
    </row>
    <row r="504">
      <c r="A504" s="359"/>
      <c r="B504" s="381"/>
      <c r="C504" s="18"/>
      <c r="D504" s="359"/>
      <c r="E504" s="607"/>
      <c r="F504" s="359"/>
      <c r="G504" s="381"/>
      <c r="H504" s="381"/>
      <c r="I504" s="381"/>
      <c r="J504" s="381"/>
      <c r="K504" s="381"/>
      <c r="L504" s="381"/>
      <c r="M504" s="381"/>
      <c r="N504" s="381"/>
      <c r="O504" s="381"/>
      <c r="P504" s="381"/>
      <c r="Q504" s="381"/>
      <c r="R504" s="381"/>
      <c r="S504" s="381"/>
      <c r="T504" s="381"/>
      <c r="U504" s="381"/>
      <c r="V504" s="381"/>
      <c r="W504" s="381"/>
      <c r="X504" s="381"/>
      <c r="Y504" s="381"/>
    </row>
    <row r="505">
      <c r="A505" s="359"/>
      <c r="B505" s="381"/>
      <c r="C505" s="18"/>
      <c r="D505" s="359"/>
      <c r="E505" s="607"/>
      <c r="F505" s="359"/>
      <c r="G505" s="381"/>
      <c r="H505" s="381"/>
      <c r="I505" s="381"/>
      <c r="J505" s="381"/>
      <c r="K505" s="381"/>
      <c r="L505" s="381"/>
      <c r="M505" s="381"/>
      <c r="N505" s="381"/>
      <c r="O505" s="381"/>
      <c r="P505" s="381"/>
      <c r="Q505" s="381"/>
      <c r="R505" s="381"/>
      <c r="S505" s="381"/>
      <c r="T505" s="381"/>
      <c r="U505" s="381"/>
      <c r="V505" s="381"/>
      <c r="W505" s="381"/>
      <c r="X505" s="381"/>
      <c r="Y505" s="381"/>
    </row>
    <row r="506">
      <c r="A506" s="359"/>
      <c r="B506" s="381"/>
      <c r="C506" s="18"/>
      <c r="D506" s="359"/>
      <c r="E506" s="607"/>
      <c r="F506" s="359"/>
      <c r="G506" s="381"/>
      <c r="H506" s="381"/>
      <c r="I506" s="381"/>
      <c r="J506" s="381"/>
      <c r="K506" s="381"/>
      <c r="L506" s="381"/>
      <c r="M506" s="381"/>
      <c r="N506" s="381"/>
      <c r="O506" s="381"/>
      <c r="P506" s="381"/>
      <c r="Q506" s="381"/>
      <c r="R506" s="381"/>
      <c r="S506" s="381"/>
      <c r="T506" s="381"/>
      <c r="U506" s="381"/>
      <c r="V506" s="381"/>
      <c r="W506" s="381"/>
      <c r="X506" s="381"/>
      <c r="Y506" s="381"/>
    </row>
    <row r="507">
      <c r="A507" s="359"/>
      <c r="B507" s="381"/>
      <c r="C507" s="18"/>
      <c r="D507" s="359"/>
      <c r="E507" s="607"/>
      <c r="F507" s="359"/>
      <c r="G507" s="381"/>
      <c r="H507" s="381"/>
      <c r="I507" s="381"/>
      <c r="J507" s="381"/>
      <c r="K507" s="381"/>
      <c r="L507" s="381"/>
      <c r="M507" s="381"/>
      <c r="N507" s="381"/>
      <c r="O507" s="381"/>
      <c r="P507" s="381"/>
      <c r="Q507" s="381"/>
      <c r="R507" s="381"/>
      <c r="S507" s="381"/>
      <c r="T507" s="381"/>
      <c r="U507" s="381"/>
      <c r="V507" s="381"/>
      <c r="W507" s="381"/>
      <c r="X507" s="381"/>
      <c r="Y507" s="381"/>
    </row>
    <row r="508">
      <c r="A508" s="359"/>
      <c r="B508" s="381"/>
      <c r="C508" s="18"/>
      <c r="D508" s="359"/>
      <c r="E508" s="607"/>
      <c r="F508" s="359"/>
      <c r="G508" s="381"/>
      <c r="H508" s="381"/>
      <c r="I508" s="381"/>
      <c r="J508" s="381"/>
      <c r="K508" s="381"/>
      <c r="L508" s="381"/>
      <c r="M508" s="381"/>
      <c r="N508" s="381"/>
      <c r="O508" s="381"/>
      <c r="P508" s="381"/>
      <c r="Q508" s="381"/>
      <c r="R508" s="381"/>
      <c r="S508" s="381"/>
      <c r="T508" s="381"/>
      <c r="U508" s="381"/>
      <c r="V508" s="381"/>
      <c r="W508" s="381"/>
      <c r="X508" s="381"/>
      <c r="Y508" s="381"/>
    </row>
    <row r="509">
      <c r="A509" s="359"/>
      <c r="B509" s="381"/>
      <c r="C509" s="18"/>
      <c r="D509" s="359"/>
      <c r="E509" s="607"/>
      <c r="F509" s="359"/>
      <c r="G509" s="381"/>
      <c r="H509" s="381"/>
      <c r="I509" s="381"/>
      <c r="J509" s="381"/>
      <c r="K509" s="381"/>
      <c r="L509" s="381"/>
      <c r="M509" s="381"/>
      <c r="N509" s="381"/>
      <c r="O509" s="381"/>
      <c r="P509" s="381"/>
      <c r="Q509" s="381"/>
      <c r="R509" s="381"/>
      <c r="S509" s="381"/>
      <c r="T509" s="381"/>
      <c r="U509" s="381"/>
      <c r="V509" s="381"/>
      <c r="W509" s="381"/>
      <c r="X509" s="381"/>
      <c r="Y509" s="381"/>
    </row>
    <row r="510">
      <c r="A510" s="359"/>
      <c r="B510" s="381"/>
      <c r="C510" s="18"/>
      <c r="D510" s="359"/>
      <c r="E510" s="607"/>
      <c r="F510" s="359"/>
      <c r="G510" s="381"/>
      <c r="H510" s="381"/>
      <c r="I510" s="381"/>
      <c r="J510" s="381"/>
      <c r="K510" s="381"/>
      <c r="L510" s="381"/>
      <c r="M510" s="381"/>
      <c r="N510" s="381"/>
      <c r="O510" s="381"/>
      <c r="P510" s="381"/>
      <c r="Q510" s="381"/>
      <c r="R510" s="381"/>
      <c r="S510" s="381"/>
      <c r="T510" s="381"/>
      <c r="U510" s="381"/>
      <c r="V510" s="381"/>
      <c r="W510" s="381"/>
      <c r="X510" s="381"/>
      <c r="Y510" s="381"/>
    </row>
    <row r="511">
      <c r="A511" s="359"/>
      <c r="B511" s="381"/>
      <c r="C511" s="18"/>
      <c r="D511" s="359"/>
      <c r="E511" s="607"/>
      <c r="F511" s="359"/>
      <c r="G511" s="381"/>
      <c r="H511" s="381"/>
      <c r="I511" s="381"/>
      <c r="J511" s="381"/>
      <c r="K511" s="381"/>
      <c r="L511" s="381"/>
      <c r="M511" s="381"/>
      <c r="N511" s="381"/>
      <c r="O511" s="381"/>
      <c r="P511" s="381"/>
      <c r="Q511" s="381"/>
      <c r="R511" s="381"/>
      <c r="S511" s="381"/>
      <c r="T511" s="381"/>
      <c r="U511" s="381"/>
      <c r="V511" s="381"/>
      <c r="W511" s="381"/>
      <c r="X511" s="381"/>
      <c r="Y511" s="381"/>
    </row>
    <row r="512">
      <c r="A512" s="359"/>
      <c r="B512" s="381"/>
      <c r="C512" s="18"/>
      <c r="D512" s="359"/>
      <c r="E512" s="607"/>
      <c r="F512" s="359"/>
      <c r="G512" s="381"/>
      <c r="H512" s="381"/>
      <c r="I512" s="381"/>
      <c r="J512" s="381"/>
      <c r="K512" s="381"/>
      <c r="L512" s="381"/>
      <c r="M512" s="381"/>
      <c r="N512" s="381"/>
      <c r="O512" s="381"/>
      <c r="P512" s="381"/>
      <c r="Q512" s="381"/>
      <c r="R512" s="381"/>
      <c r="S512" s="381"/>
      <c r="T512" s="381"/>
      <c r="U512" s="381"/>
      <c r="V512" s="381"/>
      <c r="W512" s="381"/>
      <c r="X512" s="381"/>
      <c r="Y512" s="381"/>
    </row>
    <row r="513">
      <c r="A513" s="359"/>
      <c r="B513" s="381"/>
      <c r="C513" s="18"/>
      <c r="D513" s="359"/>
      <c r="E513" s="607"/>
      <c r="F513" s="359"/>
      <c r="G513" s="381"/>
      <c r="H513" s="381"/>
      <c r="I513" s="381"/>
      <c r="J513" s="381"/>
      <c r="K513" s="381"/>
      <c r="L513" s="381"/>
      <c r="M513" s="381"/>
      <c r="N513" s="381"/>
      <c r="O513" s="381"/>
      <c r="P513" s="381"/>
      <c r="Q513" s="381"/>
      <c r="R513" s="381"/>
      <c r="S513" s="381"/>
      <c r="T513" s="381"/>
      <c r="U513" s="381"/>
      <c r="V513" s="381"/>
      <c r="W513" s="381"/>
      <c r="X513" s="381"/>
      <c r="Y513" s="381"/>
    </row>
    <row r="514">
      <c r="A514" s="359"/>
      <c r="B514" s="381"/>
      <c r="C514" s="18"/>
      <c r="D514" s="359"/>
      <c r="E514" s="607"/>
      <c r="F514" s="359"/>
      <c r="G514" s="381"/>
      <c r="H514" s="381"/>
      <c r="I514" s="381"/>
      <c r="J514" s="381"/>
      <c r="K514" s="381"/>
      <c r="L514" s="381"/>
      <c r="M514" s="381"/>
      <c r="N514" s="381"/>
      <c r="O514" s="381"/>
      <c r="P514" s="381"/>
      <c r="Q514" s="381"/>
      <c r="R514" s="381"/>
      <c r="S514" s="381"/>
      <c r="T514" s="381"/>
      <c r="U514" s="381"/>
      <c r="V514" s="381"/>
      <c r="W514" s="381"/>
      <c r="X514" s="381"/>
      <c r="Y514" s="381"/>
    </row>
    <row r="515">
      <c r="A515" s="359"/>
      <c r="B515" s="381"/>
      <c r="C515" s="18"/>
      <c r="D515" s="359"/>
      <c r="E515" s="607"/>
      <c r="F515" s="359"/>
      <c r="G515" s="381"/>
      <c r="H515" s="381"/>
      <c r="I515" s="381"/>
      <c r="J515" s="381"/>
      <c r="K515" s="381"/>
      <c r="L515" s="381"/>
      <c r="M515" s="381"/>
      <c r="N515" s="381"/>
      <c r="O515" s="381"/>
      <c r="P515" s="381"/>
      <c r="Q515" s="381"/>
      <c r="R515" s="381"/>
      <c r="S515" s="381"/>
      <c r="T515" s="381"/>
      <c r="U515" s="381"/>
      <c r="V515" s="381"/>
      <c r="W515" s="381"/>
      <c r="X515" s="381"/>
      <c r="Y515" s="381"/>
    </row>
    <row r="516">
      <c r="A516" s="359"/>
      <c r="B516" s="381"/>
      <c r="C516" s="18"/>
      <c r="D516" s="359"/>
      <c r="E516" s="607"/>
      <c r="F516" s="359"/>
      <c r="G516" s="381"/>
      <c r="H516" s="381"/>
      <c r="I516" s="381"/>
      <c r="J516" s="381"/>
      <c r="K516" s="381"/>
      <c r="L516" s="381"/>
      <c r="M516" s="381"/>
      <c r="N516" s="381"/>
      <c r="O516" s="381"/>
      <c r="P516" s="381"/>
      <c r="Q516" s="381"/>
      <c r="R516" s="381"/>
      <c r="S516" s="381"/>
      <c r="T516" s="381"/>
      <c r="U516" s="381"/>
      <c r="V516" s="381"/>
      <c r="W516" s="381"/>
      <c r="X516" s="381"/>
      <c r="Y516" s="381"/>
    </row>
    <row r="517">
      <c r="A517" s="359"/>
      <c r="B517" s="381"/>
      <c r="C517" s="18"/>
      <c r="D517" s="359"/>
      <c r="E517" s="607"/>
      <c r="F517" s="359"/>
      <c r="G517" s="381"/>
      <c r="H517" s="381"/>
      <c r="I517" s="381"/>
      <c r="J517" s="381"/>
      <c r="K517" s="381"/>
      <c r="L517" s="381"/>
      <c r="M517" s="381"/>
      <c r="N517" s="381"/>
      <c r="O517" s="381"/>
      <c r="P517" s="381"/>
      <c r="Q517" s="381"/>
      <c r="R517" s="381"/>
      <c r="S517" s="381"/>
      <c r="T517" s="381"/>
      <c r="U517" s="381"/>
      <c r="V517" s="381"/>
      <c r="W517" s="381"/>
      <c r="X517" s="381"/>
      <c r="Y517" s="381"/>
    </row>
    <row r="518">
      <c r="A518" s="359"/>
      <c r="B518" s="381"/>
      <c r="C518" s="18"/>
      <c r="D518" s="359"/>
      <c r="E518" s="607"/>
      <c r="F518" s="359"/>
      <c r="G518" s="381"/>
      <c r="H518" s="381"/>
      <c r="I518" s="381"/>
      <c r="J518" s="381"/>
      <c r="K518" s="381"/>
      <c r="L518" s="381"/>
      <c r="M518" s="381"/>
      <c r="N518" s="381"/>
      <c r="O518" s="381"/>
      <c r="P518" s="381"/>
      <c r="Q518" s="381"/>
      <c r="R518" s="381"/>
      <c r="S518" s="381"/>
      <c r="T518" s="381"/>
      <c r="U518" s="381"/>
      <c r="V518" s="381"/>
      <c r="W518" s="381"/>
      <c r="X518" s="381"/>
      <c r="Y518" s="381"/>
    </row>
    <row r="519">
      <c r="A519" s="359"/>
      <c r="B519" s="381"/>
      <c r="C519" s="18"/>
      <c r="D519" s="359"/>
      <c r="E519" s="607"/>
      <c r="F519" s="359"/>
      <c r="G519" s="381"/>
      <c r="H519" s="381"/>
      <c r="I519" s="381"/>
      <c r="J519" s="381"/>
      <c r="K519" s="381"/>
      <c r="L519" s="381"/>
      <c r="M519" s="381"/>
      <c r="N519" s="381"/>
      <c r="O519" s="381"/>
      <c r="P519" s="381"/>
      <c r="Q519" s="381"/>
      <c r="R519" s="381"/>
      <c r="S519" s="381"/>
      <c r="T519" s="381"/>
      <c r="U519" s="381"/>
      <c r="V519" s="381"/>
      <c r="W519" s="381"/>
      <c r="X519" s="381"/>
      <c r="Y519" s="381"/>
    </row>
    <row r="520">
      <c r="A520" s="359"/>
      <c r="B520" s="381"/>
      <c r="C520" s="18"/>
      <c r="D520" s="359"/>
      <c r="E520" s="607"/>
      <c r="F520" s="359"/>
      <c r="G520" s="381"/>
      <c r="H520" s="381"/>
      <c r="I520" s="381"/>
      <c r="J520" s="381"/>
      <c r="K520" s="381"/>
      <c r="L520" s="381"/>
      <c r="M520" s="381"/>
      <c r="N520" s="381"/>
      <c r="O520" s="381"/>
      <c r="P520" s="381"/>
      <c r="Q520" s="381"/>
      <c r="R520" s="381"/>
      <c r="S520" s="381"/>
      <c r="T520" s="381"/>
      <c r="U520" s="381"/>
      <c r="V520" s="381"/>
      <c r="W520" s="381"/>
      <c r="X520" s="381"/>
      <c r="Y520" s="381"/>
    </row>
    <row r="521">
      <c r="A521" s="359"/>
      <c r="B521" s="381"/>
      <c r="C521" s="18"/>
      <c r="D521" s="359"/>
      <c r="E521" s="607"/>
      <c r="F521" s="359"/>
      <c r="G521" s="381"/>
      <c r="H521" s="381"/>
      <c r="I521" s="381"/>
      <c r="J521" s="381"/>
      <c r="K521" s="381"/>
      <c r="L521" s="381"/>
      <c r="M521" s="381"/>
      <c r="N521" s="381"/>
      <c r="O521" s="381"/>
      <c r="P521" s="381"/>
      <c r="Q521" s="381"/>
      <c r="R521" s="381"/>
      <c r="S521" s="381"/>
      <c r="T521" s="381"/>
      <c r="U521" s="381"/>
      <c r="V521" s="381"/>
      <c r="W521" s="381"/>
      <c r="X521" s="381"/>
      <c r="Y521" s="381"/>
    </row>
    <row r="522">
      <c r="A522" s="359"/>
      <c r="B522" s="381"/>
      <c r="C522" s="18"/>
      <c r="D522" s="359"/>
      <c r="E522" s="607"/>
      <c r="F522" s="359"/>
      <c r="G522" s="381"/>
      <c r="H522" s="381"/>
      <c r="I522" s="381"/>
      <c r="J522" s="381"/>
      <c r="K522" s="381"/>
      <c r="L522" s="381"/>
      <c r="M522" s="381"/>
      <c r="N522" s="381"/>
      <c r="O522" s="381"/>
      <c r="P522" s="381"/>
      <c r="Q522" s="381"/>
      <c r="R522" s="381"/>
      <c r="S522" s="381"/>
      <c r="T522" s="381"/>
      <c r="U522" s="381"/>
      <c r="V522" s="381"/>
      <c r="W522" s="381"/>
      <c r="X522" s="381"/>
      <c r="Y522" s="381"/>
    </row>
    <row r="523">
      <c r="A523" s="359"/>
      <c r="B523" s="381"/>
      <c r="C523" s="18"/>
      <c r="D523" s="359"/>
      <c r="E523" s="607"/>
      <c r="F523" s="359"/>
      <c r="G523" s="381"/>
      <c r="H523" s="381"/>
      <c r="I523" s="381"/>
      <c r="J523" s="381"/>
      <c r="K523" s="381"/>
      <c r="L523" s="381"/>
      <c r="M523" s="381"/>
      <c r="N523" s="381"/>
      <c r="O523" s="381"/>
      <c r="P523" s="381"/>
      <c r="Q523" s="381"/>
      <c r="R523" s="381"/>
      <c r="S523" s="381"/>
      <c r="T523" s="381"/>
      <c r="U523" s="381"/>
      <c r="V523" s="381"/>
      <c r="W523" s="381"/>
      <c r="X523" s="381"/>
      <c r="Y523" s="381"/>
    </row>
    <row r="524">
      <c r="A524" s="359"/>
      <c r="B524" s="381"/>
      <c r="C524" s="18"/>
      <c r="D524" s="359"/>
      <c r="E524" s="607"/>
      <c r="F524" s="359"/>
      <c r="G524" s="381"/>
      <c r="H524" s="381"/>
      <c r="I524" s="381"/>
      <c r="J524" s="381"/>
      <c r="K524" s="381"/>
      <c r="L524" s="381"/>
      <c r="M524" s="381"/>
      <c r="N524" s="381"/>
      <c r="O524" s="381"/>
      <c r="P524" s="381"/>
      <c r="Q524" s="381"/>
      <c r="R524" s="381"/>
      <c r="S524" s="381"/>
      <c r="T524" s="381"/>
      <c r="U524" s="381"/>
      <c r="V524" s="381"/>
      <c r="W524" s="381"/>
      <c r="X524" s="381"/>
      <c r="Y524" s="381"/>
    </row>
    <row r="525">
      <c r="A525" s="359"/>
      <c r="B525" s="381"/>
      <c r="C525" s="18"/>
      <c r="D525" s="359"/>
      <c r="E525" s="607"/>
      <c r="F525" s="359"/>
      <c r="G525" s="381"/>
      <c r="H525" s="381"/>
      <c r="I525" s="381"/>
      <c r="J525" s="381"/>
      <c r="K525" s="381"/>
      <c r="L525" s="381"/>
      <c r="M525" s="381"/>
      <c r="N525" s="381"/>
      <c r="O525" s="381"/>
      <c r="P525" s="381"/>
      <c r="Q525" s="381"/>
      <c r="R525" s="381"/>
      <c r="S525" s="381"/>
      <c r="T525" s="381"/>
      <c r="U525" s="381"/>
      <c r="V525" s="381"/>
      <c r="W525" s="381"/>
      <c r="X525" s="381"/>
      <c r="Y525" s="381"/>
    </row>
    <row r="526">
      <c r="A526" s="359"/>
      <c r="B526" s="381"/>
      <c r="C526" s="18"/>
      <c r="D526" s="359"/>
      <c r="E526" s="607"/>
      <c r="F526" s="359"/>
      <c r="G526" s="381"/>
      <c r="H526" s="381"/>
      <c r="I526" s="381"/>
      <c r="J526" s="381"/>
      <c r="K526" s="381"/>
      <c r="L526" s="381"/>
      <c r="M526" s="381"/>
      <c r="N526" s="381"/>
      <c r="O526" s="381"/>
      <c r="P526" s="381"/>
      <c r="Q526" s="381"/>
      <c r="R526" s="381"/>
      <c r="S526" s="381"/>
      <c r="T526" s="381"/>
      <c r="U526" s="381"/>
      <c r="V526" s="381"/>
      <c r="W526" s="381"/>
      <c r="X526" s="381"/>
      <c r="Y526" s="381"/>
    </row>
    <row r="527">
      <c r="A527" s="359"/>
      <c r="B527" s="381"/>
      <c r="C527" s="18"/>
      <c r="D527" s="359"/>
      <c r="E527" s="607"/>
      <c r="F527" s="359"/>
      <c r="G527" s="381"/>
      <c r="H527" s="381"/>
      <c r="I527" s="381"/>
      <c r="J527" s="381"/>
      <c r="K527" s="381"/>
      <c r="L527" s="381"/>
      <c r="M527" s="381"/>
      <c r="N527" s="381"/>
      <c r="O527" s="381"/>
      <c r="P527" s="381"/>
      <c r="Q527" s="381"/>
      <c r="R527" s="381"/>
      <c r="S527" s="381"/>
      <c r="T527" s="381"/>
      <c r="U527" s="381"/>
      <c r="V527" s="381"/>
      <c r="W527" s="381"/>
      <c r="X527" s="381"/>
      <c r="Y527" s="381"/>
    </row>
    <row r="528">
      <c r="A528" s="359"/>
      <c r="B528" s="381"/>
      <c r="C528" s="18"/>
      <c r="D528" s="359"/>
      <c r="E528" s="607"/>
      <c r="F528" s="359"/>
      <c r="G528" s="381"/>
      <c r="H528" s="381"/>
      <c r="I528" s="381"/>
      <c r="J528" s="381"/>
      <c r="K528" s="381"/>
      <c r="L528" s="381"/>
      <c r="M528" s="381"/>
      <c r="N528" s="381"/>
      <c r="O528" s="381"/>
      <c r="P528" s="381"/>
      <c r="Q528" s="381"/>
      <c r="R528" s="381"/>
      <c r="S528" s="381"/>
      <c r="T528" s="381"/>
      <c r="U528" s="381"/>
      <c r="V528" s="381"/>
      <c r="W528" s="381"/>
      <c r="X528" s="381"/>
      <c r="Y528" s="381"/>
    </row>
    <row r="529">
      <c r="A529" s="359"/>
      <c r="B529" s="381"/>
      <c r="C529" s="18"/>
      <c r="D529" s="359"/>
      <c r="E529" s="607"/>
      <c r="F529" s="359"/>
      <c r="G529" s="381"/>
      <c r="H529" s="381"/>
      <c r="I529" s="381"/>
      <c r="J529" s="381"/>
      <c r="K529" s="381"/>
      <c r="L529" s="381"/>
      <c r="M529" s="381"/>
      <c r="N529" s="381"/>
      <c r="O529" s="381"/>
      <c r="P529" s="381"/>
      <c r="Q529" s="381"/>
      <c r="R529" s="381"/>
      <c r="S529" s="381"/>
      <c r="T529" s="381"/>
      <c r="U529" s="381"/>
      <c r="V529" s="381"/>
      <c r="W529" s="381"/>
      <c r="X529" s="381"/>
      <c r="Y529" s="381"/>
    </row>
    <row r="530">
      <c r="A530" s="359"/>
      <c r="B530" s="381"/>
      <c r="C530" s="18"/>
      <c r="D530" s="359"/>
      <c r="E530" s="607"/>
      <c r="F530" s="359"/>
      <c r="G530" s="381"/>
      <c r="H530" s="381"/>
      <c r="I530" s="381"/>
      <c r="J530" s="381"/>
      <c r="K530" s="381"/>
      <c r="L530" s="381"/>
      <c r="M530" s="381"/>
      <c r="N530" s="381"/>
      <c r="O530" s="381"/>
      <c r="P530" s="381"/>
      <c r="Q530" s="381"/>
      <c r="R530" s="381"/>
      <c r="S530" s="381"/>
      <c r="T530" s="381"/>
      <c r="U530" s="381"/>
      <c r="V530" s="381"/>
      <c r="W530" s="381"/>
      <c r="X530" s="381"/>
      <c r="Y530" s="381"/>
    </row>
    <row r="531">
      <c r="A531" s="359"/>
      <c r="B531" s="381"/>
      <c r="C531" s="18"/>
      <c r="D531" s="359"/>
      <c r="E531" s="607"/>
      <c r="F531" s="359"/>
      <c r="G531" s="381"/>
      <c r="H531" s="381"/>
      <c r="I531" s="381"/>
      <c r="J531" s="381"/>
      <c r="K531" s="381"/>
      <c r="L531" s="381"/>
      <c r="M531" s="381"/>
      <c r="N531" s="381"/>
      <c r="O531" s="381"/>
      <c r="P531" s="381"/>
      <c r="Q531" s="381"/>
      <c r="R531" s="381"/>
      <c r="S531" s="381"/>
      <c r="T531" s="381"/>
      <c r="U531" s="381"/>
      <c r="V531" s="381"/>
      <c r="W531" s="381"/>
      <c r="X531" s="381"/>
      <c r="Y531" s="381"/>
    </row>
    <row r="532">
      <c r="A532" s="359"/>
      <c r="B532" s="381"/>
      <c r="C532" s="18"/>
      <c r="D532" s="359"/>
      <c r="E532" s="607"/>
      <c r="F532" s="359"/>
      <c r="G532" s="381"/>
      <c r="H532" s="381"/>
      <c r="I532" s="381"/>
      <c r="J532" s="381"/>
      <c r="K532" s="381"/>
      <c r="L532" s="381"/>
      <c r="M532" s="381"/>
      <c r="N532" s="381"/>
      <c r="O532" s="381"/>
      <c r="P532" s="381"/>
      <c r="Q532" s="381"/>
      <c r="R532" s="381"/>
      <c r="S532" s="381"/>
      <c r="T532" s="381"/>
      <c r="U532" s="381"/>
      <c r="V532" s="381"/>
      <c r="W532" s="381"/>
      <c r="X532" s="381"/>
      <c r="Y532" s="381"/>
    </row>
    <row r="533">
      <c r="A533" s="359"/>
      <c r="B533" s="381"/>
      <c r="C533" s="18"/>
      <c r="D533" s="359"/>
      <c r="E533" s="607"/>
      <c r="F533" s="359"/>
      <c r="G533" s="381"/>
      <c r="H533" s="381"/>
      <c r="I533" s="381"/>
      <c r="J533" s="381"/>
      <c r="K533" s="381"/>
      <c r="L533" s="381"/>
      <c r="M533" s="381"/>
      <c r="N533" s="381"/>
      <c r="O533" s="381"/>
      <c r="P533" s="381"/>
      <c r="Q533" s="381"/>
      <c r="R533" s="381"/>
      <c r="S533" s="381"/>
      <c r="T533" s="381"/>
      <c r="U533" s="381"/>
      <c r="V533" s="381"/>
      <c r="W533" s="381"/>
      <c r="X533" s="381"/>
      <c r="Y533" s="381"/>
    </row>
    <row r="534">
      <c r="A534" s="359"/>
      <c r="B534" s="381"/>
      <c r="C534" s="18"/>
      <c r="D534" s="359"/>
      <c r="E534" s="607"/>
      <c r="F534" s="359"/>
      <c r="G534" s="381"/>
      <c r="H534" s="381"/>
      <c r="I534" s="381"/>
      <c r="J534" s="381"/>
      <c r="K534" s="381"/>
      <c r="L534" s="381"/>
      <c r="M534" s="381"/>
      <c r="N534" s="381"/>
      <c r="O534" s="381"/>
      <c r="P534" s="381"/>
      <c r="Q534" s="381"/>
      <c r="R534" s="381"/>
      <c r="S534" s="381"/>
      <c r="T534" s="381"/>
      <c r="U534" s="381"/>
      <c r="V534" s="381"/>
      <c r="W534" s="381"/>
      <c r="X534" s="381"/>
      <c r="Y534" s="381"/>
    </row>
    <row r="535">
      <c r="A535" s="359"/>
      <c r="B535" s="381"/>
      <c r="C535" s="18"/>
      <c r="D535" s="359"/>
      <c r="E535" s="607"/>
      <c r="F535" s="359"/>
      <c r="G535" s="381"/>
      <c r="H535" s="381"/>
      <c r="I535" s="381"/>
      <c r="J535" s="381"/>
      <c r="K535" s="381"/>
      <c r="L535" s="381"/>
      <c r="M535" s="381"/>
      <c r="N535" s="381"/>
      <c r="O535" s="381"/>
      <c r="P535" s="381"/>
      <c r="Q535" s="381"/>
      <c r="R535" s="381"/>
      <c r="S535" s="381"/>
      <c r="T535" s="381"/>
      <c r="U535" s="381"/>
      <c r="V535" s="381"/>
      <c r="W535" s="381"/>
      <c r="X535" s="381"/>
      <c r="Y535" s="381"/>
    </row>
    <row r="536">
      <c r="A536" s="359"/>
      <c r="B536" s="381"/>
      <c r="C536" s="18"/>
      <c r="D536" s="359"/>
      <c r="E536" s="607"/>
      <c r="F536" s="359"/>
      <c r="G536" s="381"/>
      <c r="H536" s="381"/>
      <c r="I536" s="381"/>
      <c r="J536" s="381"/>
      <c r="K536" s="381"/>
      <c r="L536" s="381"/>
      <c r="M536" s="381"/>
      <c r="N536" s="381"/>
      <c r="O536" s="381"/>
      <c r="P536" s="381"/>
      <c r="Q536" s="381"/>
      <c r="R536" s="381"/>
      <c r="S536" s="381"/>
      <c r="T536" s="381"/>
      <c r="U536" s="381"/>
      <c r="V536" s="381"/>
      <c r="W536" s="381"/>
      <c r="X536" s="381"/>
      <c r="Y536" s="381"/>
    </row>
    <row r="537">
      <c r="A537" s="359"/>
      <c r="B537" s="381"/>
      <c r="C537" s="18"/>
      <c r="D537" s="359"/>
      <c r="E537" s="607"/>
      <c r="F537" s="359"/>
      <c r="G537" s="381"/>
      <c r="H537" s="381"/>
      <c r="I537" s="381"/>
      <c r="J537" s="381"/>
      <c r="K537" s="381"/>
      <c r="L537" s="381"/>
      <c r="M537" s="381"/>
      <c r="N537" s="381"/>
      <c r="O537" s="381"/>
      <c r="P537" s="381"/>
      <c r="Q537" s="381"/>
      <c r="R537" s="381"/>
      <c r="S537" s="381"/>
      <c r="T537" s="381"/>
      <c r="U537" s="381"/>
      <c r="V537" s="381"/>
      <c r="W537" s="381"/>
      <c r="X537" s="381"/>
      <c r="Y537" s="381"/>
    </row>
    <row r="538">
      <c r="A538" s="359"/>
      <c r="B538" s="381"/>
      <c r="C538" s="18"/>
      <c r="D538" s="359"/>
      <c r="E538" s="607"/>
      <c r="F538" s="359"/>
      <c r="G538" s="381"/>
      <c r="H538" s="381"/>
      <c r="I538" s="381"/>
      <c r="J538" s="381"/>
      <c r="K538" s="381"/>
      <c r="L538" s="381"/>
      <c r="M538" s="381"/>
      <c r="N538" s="381"/>
      <c r="O538" s="381"/>
      <c r="P538" s="381"/>
      <c r="Q538" s="381"/>
      <c r="R538" s="381"/>
      <c r="S538" s="381"/>
      <c r="T538" s="381"/>
      <c r="U538" s="381"/>
      <c r="V538" s="381"/>
      <c r="W538" s="381"/>
      <c r="X538" s="381"/>
      <c r="Y538" s="381"/>
    </row>
    <row r="539">
      <c r="A539" s="359"/>
      <c r="B539" s="381"/>
      <c r="C539" s="18"/>
      <c r="D539" s="359"/>
      <c r="E539" s="607"/>
      <c r="F539" s="359"/>
      <c r="G539" s="381"/>
      <c r="H539" s="381"/>
      <c r="I539" s="381"/>
      <c r="J539" s="381"/>
      <c r="K539" s="381"/>
      <c r="L539" s="381"/>
      <c r="M539" s="381"/>
      <c r="N539" s="381"/>
      <c r="O539" s="381"/>
      <c r="P539" s="381"/>
      <c r="Q539" s="381"/>
      <c r="R539" s="381"/>
      <c r="S539" s="381"/>
      <c r="T539" s="381"/>
      <c r="U539" s="381"/>
      <c r="V539" s="381"/>
      <c r="W539" s="381"/>
      <c r="X539" s="381"/>
      <c r="Y539" s="381"/>
    </row>
    <row r="540">
      <c r="A540" s="359"/>
      <c r="B540" s="381"/>
      <c r="C540" s="18"/>
      <c r="D540" s="359"/>
      <c r="E540" s="607"/>
      <c r="F540" s="359"/>
      <c r="G540" s="381"/>
      <c r="H540" s="381"/>
      <c r="I540" s="381"/>
      <c r="J540" s="381"/>
      <c r="K540" s="381"/>
      <c r="L540" s="381"/>
      <c r="M540" s="381"/>
      <c r="N540" s="381"/>
      <c r="O540" s="381"/>
      <c r="P540" s="381"/>
      <c r="Q540" s="381"/>
      <c r="R540" s="381"/>
      <c r="S540" s="381"/>
      <c r="T540" s="381"/>
      <c r="U540" s="381"/>
      <c r="V540" s="381"/>
      <c r="W540" s="381"/>
      <c r="X540" s="381"/>
      <c r="Y540" s="381"/>
    </row>
    <row r="541">
      <c r="A541" s="359"/>
      <c r="B541" s="381"/>
      <c r="C541" s="18"/>
      <c r="D541" s="359"/>
      <c r="E541" s="607"/>
      <c r="F541" s="359"/>
      <c r="G541" s="381"/>
      <c r="H541" s="381"/>
      <c r="I541" s="381"/>
      <c r="J541" s="381"/>
      <c r="K541" s="381"/>
      <c r="L541" s="381"/>
      <c r="M541" s="381"/>
      <c r="N541" s="381"/>
      <c r="O541" s="381"/>
      <c r="P541" s="381"/>
      <c r="Q541" s="381"/>
      <c r="R541" s="381"/>
      <c r="S541" s="381"/>
      <c r="T541" s="381"/>
      <c r="U541" s="381"/>
      <c r="V541" s="381"/>
      <c r="W541" s="381"/>
      <c r="X541" s="381"/>
      <c r="Y541" s="381"/>
    </row>
    <row r="542">
      <c r="A542" s="359"/>
      <c r="B542" s="381"/>
      <c r="C542" s="18"/>
      <c r="D542" s="359"/>
      <c r="E542" s="607"/>
      <c r="F542" s="359"/>
      <c r="G542" s="381"/>
      <c r="H542" s="381"/>
      <c r="I542" s="381"/>
      <c r="J542" s="381"/>
      <c r="K542" s="381"/>
      <c r="L542" s="381"/>
      <c r="M542" s="381"/>
      <c r="N542" s="381"/>
      <c r="O542" s="381"/>
      <c r="P542" s="381"/>
      <c r="Q542" s="381"/>
      <c r="R542" s="381"/>
      <c r="S542" s="381"/>
      <c r="T542" s="381"/>
      <c r="U542" s="381"/>
      <c r="V542" s="381"/>
      <c r="W542" s="381"/>
      <c r="X542" s="381"/>
      <c r="Y542" s="381"/>
    </row>
    <row r="543">
      <c r="A543" s="359"/>
      <c r="B543" s="381"/>
      <c r="C543" s="18"/>
      <c r="D543" s="359"/>
      <c r="E543" s="607"/>
      <c r="F543" s="359"/>
      <c r="G543" s="381"/>
      <c r="H543" s="381"/>
      <c r="I543" s="381"/>
      <c r="J543" s="381"/>
      <c r="K543" s="381"/>
      <c r="L543" s="381"/>
      <c r="M543" s="381"/>
      <c r="N543" s="381"/>
      <c r="O543" s="381"/>
      <c r="P543" s="381"/>
      <c r="Q543" s="381"/>
      <c r="R543" s="381"/>
      <c r="S543" s="381"/>
      <c r="T543" s="381"/>
      <c r="U543" s="381"/>
      <c r="V543" s="381"/>
      <c r="W543" s="381"/>
      <c r="X543" s="381"/>
      <c r="Y543" s="381"/>
    </row>
    <row r="544">
      <c r="A544" s="359"/>
      <c r="B544" s="381"/>
      <c r="C544" s="18"/>
      <c r="D544" s="359"/>
      <c r="E544" s="607"/>
      <c r="F544" s="359"/>
      <c r="G544" s="381"/>
      <c r="H544" s="381"/>
      <c r="I544" s="381"/>
      <c r="J544" s="381"/>
      <c r="K544" s="381"/>
      <c r="L544" s="381"/>
      <c r="M544" s="381"/>
      <c r="N544" s="381"/>
      <c r="O544" s="381"/>
      <c r="P544" s="381"/>
      <c r="Q544" s="381"/>
      <c r="R544" s="381"/>
      <c r="S544" s="381"/>
      <c r="T544" s="381"/>
      <c r="U544" s="381"/>
      <c r="V544" s="381"/>
      <c r="W544" s="381"/>
      <c r="X544" s="381"/>
      <c r="Y544" s="381"/>
    </row>
    <row r="545">
      <c r="A545" s="359"/>
      <c r="B545" s="381"/>
      <c r="C545" s="18"/>
      <c r="D545" s="359"/>
      <c r="E545" s="607"/>
      <c r="F545" s="359"/>
      <c r="G545" s="381"/>
      <c r="H545" s="381"/>
      <c r="I545" s="381"/>
      <c r="J545" s="381"/>
      <c r="K545" s="381"/>
      <c r="L545" s="381"/>
      <c r="M545" s="381"/>
      <c r="N545" s="381"/>
      <c r="O545" s="381"/>
      <c r="P545" s="381"/>
      <c r="Q545" s="381"/>
      <c r="R545" s="381"/>
      <c r="S545" s="381"/>
      <c r="T545" s="381"/>
      <c r="U545" s="381"/>
      <c r="V545" s="381"/>
      <c r="W545" s="381"/>
      <c r="X545" s="381"/>
      <c r="Y545" s="381"/>
    </row>
    <row r="546">
      <c r="A546" s="359"/>
      <c r="B546" s="381"/>
      <c r="C546" s="18"/>
      <c r="D546" s="359"/>
      <c r="E546" s="607"/>
      <c r="F546" s="359"/>
      <c r="G546" s="381"/>
      <c r="H546" s="381"/>
      <c r="I546" s="381"/>
      <c r="J546" s="381"/>
      <c r="K546" s="381"/>
      <c r="L546" s="381"/>
      <c r="M546" s="381"/>
      <c r="N546" s="381"/>
      <c r="O546" s="381"/>
      <c r="P546" s="381"/>
      <c r="Q546" s="381"/>
      <c r="R546" s="381"/>
      <c r="S546" s="381"/>
      <c r="T546" s="381"/>
      <c r="U546" s="381"/>
      <c r="V546" s="381"/>
      <c r="W546" s="381"/>
      <c r="X546" s="381"/>
      <c r="Y546" s="381"/>
    </row>
    <row r="547">
      <c r="A547" s="359"/>
      <c r="B547" s="381"/>
      <c r="C547" s="18"/>
      <c r="D547" s="359"/>
      <c r="E547" s="607"/>
      <c r="F547" s="359"/>
      <c r="G547" s="381"/>
      <c r="H547" s="381"/>
      <c r="I547" s="381"/>
      <c r="J547" s="381"/>
      <c r="K547" s="381"/>
      <c r="L547" s="381"/>
      <c r="M547" s="381"/>
      <c r="N547" s="381"/>
      <c r="O547" s="381"/>
      <c r="P547" s="381"/>
      <c r="Q547" s="381"/>
      <c r="R547" s="381"/>
      <c r="S547" s="381"/>
      <c r="T547" s="381"/>
      <c r="U547" s="381"/>
      <c r="V547" s="381"/>
      <c r="W547" s="381"/>
      <c r="X547" s="381"/>
      <c r="Y547" s="381"/>
    </row>
    <row r="548">
      <c r="A548" s="359"/>
      <c r="B548" s="381"/>
      <c r="C548" s="18"/>
      <c r="D548" s="359"/>
      <c r="E548" s="607"/>
      <c r="F548" s="359"/>
      <c r="G548" s="381"/>
      <c r="H548" s="381"/>
      <c r="I548" s="381"/>
      <c r="J548" s="381"/>
      <c r="K548" s="381"/>
      <c r="L548" s="381"/>
      <c r="M548" s="381"/>
      <c r="N548" s="381"/>
      <c r="O548" s="381"/>
      <c r="P548" s="381"/>
      <c r="Q548" s="381"/>
      <c r="R548" s="381"/>
      <c r="S548" s="381"/>
      <c r="T548" s="381"/>
      <c r="U548" s="381"/>
      <c r="V548" s="381"/>
      <c r="W548" s="381"/>
      <c r="X548" s="381"/>
      <c r="Y548" s="381"/>
    </row>
    <row r="549">
      <c r="A549" s="359"/>
      <c r="B549" s="381"/>
      <c r="C549" s="18"/>
      <c r="D549" s="359"/>
      <c r="E549" s="607"/>
      <c r="F549" s="359"/>
      <c r="G549" s="381"/>
      <c r="H549" s="381"/>
      <c r="I549" s="381"/>
      <c r="J549" s="381"/>
      <c r="K549" s="381"/>
      <c r="L549" s="381"/>
      <c r="M549" s="381"/>
      <c r="N549" s="381"/>
      <c r="O549" s="381"/>
      <c r="P549" s="381"/>
      <c r="Q549" s="381"/>
      <c r="R549" s="381"/>
      <c r="S549" s="381"/>
      <c r="T549" s="381"/>
      <c r="U549" s="381"/>
      <c r="V549" s="381"/>
      <c r="W549" s="381"/>
      <c r="X549" s="381"/>
      <c r="Y549" s="381"/>
    </row>
    <row r="550">
      <c r="A550" s="359"/>
      <c r="B550" s="381"/>
      <c r="C550" s="18"/>
      <c r="D550" s="359"/>
      <c r="E550" s="607"/>
      <c r="F550" s="359"/>
      <c r="G550" s="381"/>
      <c r="H550" s="381"/>
      <c r="I550" s="381"/>
      <c r="J550" s="381"/>
      <c r="K550" s="381"/>
      <c r="L550" s="381"/>
      <c r="M550" s="381"/>
      <c r="N550" s="381"/>
      <c r="O550" s="381"/>
      <c r="P550" s="381"/>
      <c r="Q550" s="381"/>
      <c r="R550" s="381"/>
      <c r="S550" s="381"/>
      <c r="T550" s="381"/>
      <c r="U550" s="381"/>
      <c r="V550" s="381"/>
      <c r="W550" s="381"/>
      <c r="X550" s="381"/>
      <c r="Y550" s="381"/>
    </row>
    <row r="551">
      <c r="A551" s="359"/>
      <c r="B551" s="381"/>
      <c r="C551" s="18"/>
      <c r="D551" s="359"/>
      <c r="E551" s="607"/>
      <c r="F551" s="359"/>
      <c r="G551" s="381"/>
      <c r="H551" s="381"/>
      <c r="I551" s="381"/>
      <c r="J551" s="381"/>
      <c r="K551" s="381"/>
      <c r="L551" s="381"/>
      <c r="M551" s="381"/>
      <c r="N551" s="381"/>
      <c r="O551" s="381"/>
      <c r="P551" s="381"/>
      <c r="Q551" s="381"/>
      <c r="R551" s="381"/>
      <c r="S551" s="381"/>
      <c r="T551" s="381"/>
      <c r="U551" s="381"/>
      <c r="V551" s="381"/>
      <c r="W551" s="381"/>
      <c r="X551" s="381"/>
      <c r="Y551" s="381"/>
    </row>
    <row r="552">
      <c r="A552" s="359"/>
      <c r="B552" s="381"/>
      <c r="C552" s="18"/>
      <c r="D552" s="359"/>
      <c r="E552" s="607"/>
      <c r="F552" s="359"/>
      <c r="G552" s="381"/>
      <c r="H552" s="381"/>
      <c r="I552" s="381"/>
      <c r="J552" s="381"/>
      <c r="K552" s="381"/>
      <c r="L552" s="381"/>
      <c r="M552" s="381"/>
      <c r="N552" s="381"/>
      <c r="O552" s="381"/>
      <c r="P552" s="381"/>
      <c r="Q552" s="381"/>
      <c r="R552" s="381"/>
      <c r="S552" s="381"/>
      <c r="T552" s="381"/>
      <c r="U552" s="381"/>
      <c r="V552" s="381"/>
      <c r="W552" s="381"/>
      <c r="X552" s="381"/>
      <c r="Y552" s="381"/>
    </row>
    <row r="553">
      <c r="A553" s="359"/>
      <c r="B553" s="381"/>
      <c r="C553" s="18"/>
      <c r="D553" s="359"/>
      <c r="E553" s="607"/>
      <c r="F553" s="359"/>
      <c r="G553" s="381"/>
      <c r="H553" s="381"/>
      <c r="I553" s="381"/>
      <c r="J553" s="381"/>
      <c r="K553" s="381"/>
      <c r="L553" s="381"/>
      <c r="M553" s="381"/>
      <c r="N553" s="381"/>
      <c r="O553" s="381"/>
      <c r="P553" s="381"/>
      <c r="Q553" s="381"/>
      <c r="R553" s="381"/>
      <c r="S553" s="381"/>
      <c r="T553" s="381"/>
      <c r="U553" s="381"/>
      <c r="V553" s="381"/>
      <c r="W553" s="381"/>
      <c r="X553" s="381"/>
      <c r="Y553" s="381"/>
    </row>
    <row r="554">
      <c r="A554" s="359"/>
      <c r="B554" s="381"/>
      <c r="C554" s="18"/>
      <c r="D554" s="359"/>
      <c r="E554" s="607"/>
      <c r="F554" s="359"/>
      <c r="G554" s="381"/>
      <c r="H554" s="381"/>
      <c r="I554" s="381"/>
      <c r="J554" s="381"/>
      <c r="K554" s="381"/>
      <c r="L554" s="381"/>
      <c r="M554" s="381"/>
      <c r="N554" s="381"/>
      <c r="O554" s="381"/>
      <c r="P554" s="381"/>
      <c r="Q554" s="381"/>
      <c r="R554" s="381"/>
      <c r="S554" s="381"/>
      <c r="T554" s="381"/>
      <c r="U554" s="381"/>
      <c r="V554" s="381"/>
      <c r="W554" s="381"/>
      <c r="X554" s="381"/>
      <c r="Y554" s="381"/>
    </row>
    <row r="555">
      <c r="A555" s="359"/>
      <c r="B555" s="381"/>
      <c r="C555" s="18"/>
      <c r="D555" s="359"/>
      <c r="E555" s="607"/>
      <c r="F555" s="359"/>
      <c r="G555" s="381"/>
      <c r="H555" s="381"/>
      <c r="I555" s="381"/>
      <c r="J555" s="381"/>
      <c r="K555" s="381"/>
      <c r="L555" s="381"/>
      <c r="M555" s="381"/>
      <c r="N555" s="381"/>
      <c r="O555" s="381"/>
      <c r="P555" s="381"/>
      <c r="Q555" s="381"/>
      <c r="R555" s="381"/>
      <c r="S555" s="381"/>
      <c r="T555" s="381"/>
      <c r="U555" s="381"/>
      <c r="V555" s="381"/>
      <c r="W555" s="381"/>
      <c r="X555" s="381"/>
      <c r="Y555" s="381"/>
    </row>
    <row r="556">
      <c r="A556" s="359"/>
      <c r="B556" s="381"/>
      <c r="C556" s="18"/>
      <c r="D556" s="359"/>
      <c r="E556" s="607"/>
      <c r="F556" s="359"/>
      <c r="G556" s="381"/>
      <c r="H556" s="381"/>
      <c r="I556" s="381"/>
      <c r="J556" s="381"/>
      <c r="K556" s="381"/>
      <c r="L556" s="381"/>
      <c r="M556" s="381"/>
      <c r="N556" s="381"/>
      <c r="O556" s="381"/>
      <c r="P556" s="381"/>
      <c r="Q556" s="381"/>
      <c r="R556" s="381"/>
      <c r="S556" s="381"/>
      <c r="T556" s="381"/>
      <c r="U556" s="381"/>
      <c r="V556" s="381"/>
      <c r="W556" s="381"/>
      <c r="X556" s="381"/>
      <c r="Y556" s="381"/>
    </row>
    <row r="557">
      <c r="A557" s="359"/>
      <c r="B557" s="381"/>
      <c r="C557" s="18"/>
      <c r="D557" s="359"/>
      <c r="E557" s="607"/>
      <c r="F557" s="359"/>
      <c r="G557" s="381"/>
      <c r="H557" s="381"/>
      <c r="I557" s="381"/>
      <c r="J557" s="381"/>
      <c r="K557" s="381"/>
      <c r="L557" s="381"/>
      <c r="M557" s="381"/>
      <c r="N557" s="381"/>
      <c r="O557" s="381"/>
      <c r="P557" s="381"/>
      <c r="Q557" s="381"/>
      <c r="R557" s="381"/>
      <c r="S557" s="381"/>
      <c r="T557" s="381"/>
      <c r="U557" s="381"/>
      <c r="V557" s="381"/>
      <c r="W557" s="381"/>
      <c r="X557" s="381"/>
      <c r="Y557" s="381"/>
    </row>
    <row r="558">
      <c r="A558" s="359"/>
      <c r="B558" s="381"/>
      <c r="C558" s="18"/>
      <c r="D558" s="359"/>
      <c r="E558" s="607"/>
      <c r="F558" s="359"/>
      <c r="G558" s="381"/>
      <c r="H558" s="381"/>
      <c r="I558" s="381"/>
      <c r="J558" s="381"/>
      <c r="K558" s="381"/>
      <c r="L558" s="381"/>
      <c r="M558" s="381"/>
      <c r="N558" s="381"/>
      <c r="O558" s="381"/>
      <c r="P558" s="381"/>
      <c r="Q558" s="381"/>
      <c r="R558" s="381"/>
      <c r="S558" s="381"/>
      <c r="T558" s="381"/>
      <c r="U558" s="381"/>
      <c r="V558" s="381"/>
      <c r="W558" s="381"/>
      <c r="X558" s="381"/>
      <c r="Y558" s="381"/>
    </row>
    <row r="559">
      <c r="A559" s="359"/>
      <c r="B559" s="381"/>
      <c r="C559" s="18"/>
      <c r="D559" s="359"/>
      <c r="E559" s="607"/>
      <c r="F559" s="359"/>
      <c r="G559" s="381"/>
      <c r="H559" s="381"/>
      <c r="I559" s="381"/>
      <c r="J559" s="381"/>
      <c r="K559" s="381"/>
      <c r="L559" s="381"/>
      <c r="M559" s="381"/>
      <c r="N559" s="381"/>
      <c r="O559" s="381"/>
      <c r="P559" s="381"/>
      <c r="Q559" s="381"/>
      <c r="R559" s="381"/>
      <c r="S559" s="381"/>
      <c r="T559" s="381"/>
      <c r="U559" s="381"/>
      <c r="V559" s="381"/>
      <c r="W559" s="381"/>
      <c r="X559" s="381"/>
      <c r="Y559" s="381"/>
    </row>
    <row r="560">
      <c r="A560" s="359"/>
      <c r="B560" s="381"/>
      <c r="C560" s="18"/>
      <c r="D560" s="359"/>
      <c r="E560" s="607"/>
      <c r="F560" s="359"/>
      <c r="G560" s="381"/>
      <c r="H560" s="381"/>
      <c r="I560" s="381"/>
      <c r="J560" s="381"/>
      <c r="K560" s="381"/>
      <c r="L560" s="381"/>
      <c r="M560" s="381"/>
      <c r="N560" s="381"/>
      <c r="O560" s="381"/>
      <c r="P560" s="381"/>
      <c r="Q560" s="381"/>
      <c r="R560" s="381"/>
      <c r="S560" s="381"/>
      <c r="T560" s="381"/>
      <c r="U560" s="381"/>
      <c r="V560" s="381"/>
      <c r="W560" s="381"/>
      <c r="X560" s="381"/>
      <c r="Y560" s="381"/>
    </row>
    <row r="561">
      <c r="A561" s="359"/>
      <c r="B561" s="381"/>
      <c r="C561" s="18"/>
      <c r="D561" s="359"/>
      <c r="E561" s="607"/>
      <c r="F561" s="359"/>
      <c r="G561" s="381"/>
      <c r="H561" s="381"/>
      <c r="I561" s="381"/>
      <c r="J561" s="381"/>
      <c r="K561" s="381"/>
      <c r="L561" s="381"/>
      <c r="M561" s="381"/>
      <c r="N561" s="381"/>
      <c r="O561" s="381"/>
      <c r="P561" s="381"/>
      <c r="Q561" s="381"/>
      <c r="R561" s="381"/>
      <c r="S561" s="381"/>
      <c r="T561" s="381"/>
      <c r="U561" s="381"/>
      <c r="V561" s="381"/>
      <c r="W561" s="381"/>
      <c r="X561" s="381"/>
      <c r="Y561" s="381"/>
    </row>
    <row r="562">
      <c r="A562" s="359"/>
      <c r="B562" s="381"/>
      <c r="C562" s="18"/>
      <c r="D562" s="359"/>
      <c r="E562" s="607"/>
      <c r="F562" s="359"/>
      <c r="G562" s="381"/>
      <c r="H562" s="381"/>
      <c r="I562" s="381"/>
      <c r="J562" s="381"/>
      <c r="K562" s="381"/>
      <c r="L562" s="381"/>
      <c r="M562" s="381"/>
      <c r="N562" s="381"/>
      <c r="O562" s="381"/>
      <c r="P562" s="381"/>
      <c r="Q562" s="381"/>
      <c r="R562" s="381"/>
      <c r="S562" s="381"/>
      <c r="T562" s="381"/>
      <c r="U562" s="381"/>
      <c r="V562" s="381"/>
      <c r="W562" s="381"/>
      <c r="X562" s="381"/>
      <c r="Y562" s="381"/>
    </row>
    <row r="563">
      <c r="A563" s="359"/>
      <c r="B563" s="381"/>
      <c r="C563" s="18"/>
      <c r="D563" s="359"/>
      <c r="E563" s="607"/>
      <c r="F563" s="359"/>
      <c r="G563" s="381"/>
      <c r="H563" s="381"/>
      <c r="I563" s="381"/>
      <c r="J563" s="381"/>
      <c r="K563" s="381"/>
      <c r="L563" s="381"/>
      <c r="M563" s="381"/>
      <c r="N563" s="381"/>
      <c r="O563" s="381"/>
      <c r="P563" s="381"/>
      <c r="Q563" s="381"/>
      <c r="R563" s="381"/>
      <c r="S563" s="381"/>
      <c r="T563" s="381"/>
      <c r="U563" s="381"/>
      <c r="V563" s="381"/>
      <c r="W563" s="381"/>
      <c r="X563" s="381"/>
      <c r="Y563" s="381"/>
    </row>
    <row r="564">
      <c r="A564" s="359"/>
      <c r="B564" s="381"/>
      <c r="C564" s="18"/>
      <c r="D564" s="359"/>
      <c r="E564" s="607"/>
      <c r="F564" s="359"/>
      <c r="G564" s="381"/>
      <c r="H564" s="381"/>
      <c r="I564" s="381"/>
      <c r="J564" s="381"/>
      <c r="K564" s="381"/>
      <c r="L564" s="381"/>
      <c r="M564" s="381"/>
      <c r="N564" s="381"/>
      <c r="O564" s="381"/>
      <c r="P564" s="381"/>
      <c r="Q564" s="381"/>
      <c r="R564" s="381"/>
      <c r="S564" s="381"/>
      <c r="T564" s="381"/>
      <c r="U564" s="381"/>
      <c r="V564" s="381"/>
      <c r="W564" s="381"/>
      <c r="X564" s="381"/>
      <c r="Y564" s="381"/>
    </row>
    <row r="565">
      <c r="A565" s="359"/>
      <c r="B565" s="381"/>
      <c r="C565" s="18"/>
      <c r="D565" s="359"/>
      <c r="E565" s="607"/>
      <c r="F565" s="359"/>
      <c r="G565" s="381"/>
      <c r="H565" s="381"/>
      <c r="I565" s="381"/>
      <c r="J565" s="381"/>
      <c r="K565" s="381"/>
      <c r="L565" s="381"/>
      <c r="M565" s="381"/>
      <c r="N565" s="381"/>
      <c r="O565" s="381"/>
      <c r="P565" s="381"/>
      <c r="Q565" s="381"/>
      <c r="R565" s="381"/>
      <c r="S565" s="381"/>
      <c r="T565" s="381"/>
      <c r="U565" s="381"/>
      <c r="V565" s="381"/>
      <c r="W565" s="381"/>
      <c r="X565" s="381"/>
      <c r="Y565" s="381"/>
    </row>
    <row r="566">
      <c r="A566" s="359"/>
      <c r="B566" s="381"/>
      <c r="C566" s="18"/>
      <c r="D566" s="359"/>
      <c r="E566" s="607"/>
      <c r="F566" s="359"/>
      <c r="G566" s="381"/>
      <c r="H566" s="381"/>
      <c r="I566" s="381"/>
      <c r="J566" s="381"/>
      <c r="K566" s="381"/>
      <c r="L566" s="381"/>
      <c r="M566" s="381"/>
      <c r="N566" s="381"/>
      <c r="O566" s="381"/>
      <c r="P566" s="381"/>
      <c r="Q566" s="381"/>
      <c r="R566" s="381"/>
      <c r="S566" s="381"/>
      <c r="T566" s="381"/>
      <c r="U566" s="381"/>
      <c r="V566" s="381"/>
      <c r="W566" s="381"/>
      <c r="X566" s="381"/>
      <c r="Y566" s="381"/>
    </row>
    <row r="567">
      <c r="A567" s="359"/>
      <c r="B567" s="381"/>
      <c r="C567" s="18"/>
      <c r="D567" s="359"/>
      <c r="E567" s="607"/>
      <c r="F567" s="359"/>
      <c r="G567" s="381"/>
      <c r="H567" s="381"/>
      <c r="I567" s="381"/>
      <c r="J567" s="381"/>
      <c r="K567" s="381"/>
      <c r="L567" s="381"/>
      <c r="M567" s="381"/>
      <c r="N567" s="381"/>
      <c r="O567" s="381"/>
      <c r="P567" s="381"/>
      <c r="Q567" s="381"/>
      <c r="R567" s="381"/>
      <c r="S567" s="381"/>
      <c r="T567" s="381"/>
      <c r="U567" s="381"/>
      <c r="V567" s="381"/>
      <c r="W567" s="381"/>
      <c r="X567" s="381"/>
      <c r="Y567" s="381"/>
    </row>
    <row r="568">
      <c r="A568" s="359"/>
      <c r="B568" s="381"/>
      <c r="C568" s="18"/>
      <c r="D568" s="359"/>
      <c r="E568" s="607"/>
      <c r="F568" s="359"/>
      <c r="G568" s="381"/>
      <c r="H568" s="381"/>
      <c r="I568" s="381"/>
      <c r="J568" s="381"/>
      <c r="K568" s="381"/>
      <c r="L568" s="381"/>
      <c r="M568" s="381"/>
      <c r="N568" s="381"/>
      <c r="O568" s="381"/>
      <c r="P568" s="381"/>
      <c r="Q568" s="381"/>
      <c r="R568" s="381"/>
      <c r="S568" s="381"/>
      <c r="T568" s="381"/>
      <c r="U568" s="381"/>
      <c r="V568" s="381"/>
      <c r="W568" s="381"/>
      <c r="X568" s="381"/>
      <c r="Y568" s="381"/>
    </row>
    <row r="569">
      <c r="A569" s="359"/>
      <c r="B569" s="381"/>
      <c r="C569" s="18"/>
      <c r="D569" s="359"/>
      <c r="E569" s="607"/>
      <c r="F569" s="359"/>
      <c r="G569" s="381"/>
      <c r="H569" s="381"/>
      <c r="I569" s="381"/>
      <c r="J569" s="381"/>
      <c r="K569" s="381"/>
      <c r="L569" s="381"/>
      <c r="M569" s="381"/>
      <c r="N569" s="381"/>
      <c r="O569" s="381"/>
      <c r="P569" s="381"/>
      <c r="Q569" s="381"/>
      <c r="R569" s="381"/>
      <c r="S569" s="381"/>
      <c r="T569" s="381"/>
      <c r="U569" s="381"/>
      <c r="V569" s="381"/>
      <c r="W569" s="381"/>
      <c r="X569" s="381"/>
      <c r="Y569" s="381"/>
    </row>
    <row r="570">
      <c r="A570" s="359"/>
      <c r="B570" s="381"/>
      <c r="C570" s="18"/>
      <c r="D570" s="359"/>
      <c r="E570" s="607"/>
      <c r="F570" s="359"/>
      <c r="G570" s="381"/>
      <c r="H570" s="381"/>
      <c r="I570" s="381"/>
      <c r="J570" s="381"/>
      <c r="K570" s="381"/>
      <c r="L570" s="381"/>
      <c r="M570" s="381"/>
      <c r="N570" s="381"/>
      <c r="O570" s="381"/>
      <c r="P570" s="381"/>
      <c r="Q570" s="381"/>
      <c r="R570" s="381"/>
      <c r="S570" s="381"/>
      <c r="T570" s="381"/>
      <c r="U570" s="381"/>
      <c r="V570" s="381"/>
      <c r="W570" s="381"/>
      <c r="X570" s="381"/>
      <c r="Y570" s="381"/>
    </row>
    <row r="571">
      <c r="A571" s="359"/>
      <c r="B571" s="381"/>
      <c r="C571" s="18"/>
      <c r="D571" s="359"/>
      <c r="E571" s="607"/>
      <c r="F571" s="359"/>
      <c r="G571" s="381"/>
      <c r="H571" s="381"/>
      <c r="I571" s="381"/>
      <c r="J571" s="381"/>
      <c r="K571" s="381"/>
      <c r="L571" s="381"/>
      <c r="M571" s="381"/>
      <c r="N571" s="381"/>
      <c r="O571" s="381"/>
      <c r="P571" s="381"/>
      <c r="Q571" s="381"/>
      <c r="R571" s="381"/>
      <c r="S571" s="381"/>
      <c r="T571" s="381"/>
      <c r="U571" s="381"/>
      <c r="V571" s="381"/>
      <c r="W571" s="381"/>
      <c r="X571" s="381"/>
      <c r="Y571" s="381"/>
    </row>
    <row r="572">
      <c r="A572" s="359"/>
      <c r="B572" s="381"/>
      <c r="C572" s="18"/>
      <c r="D572" s="359"/>
      <c r="E572" s="607"/>
      <c r="F572" s="359"/>
      <c r="G572" s="381"/>
      <c r="H572" s="381"/>
      <c r="I572" s="381"/>
      <c r="J572" s="381"/>
      <c r="K572" s="381"/>
      <c r="L572" s="381"/>
      <c r="M572" s="381"/>
      <c r="N572" s="381"/>
      <c r="O572" s="381"/>
      <c r="P572" s="381"/>
      <c r="Q572" s="381"/>
      <c r="R572" s="381"/>
      <c r="S572" s="381"/>
      <c r="T572" s="381"/>
      <c r="U572" s="381"/>
      <c r="V572" s="381"/>
      <c r="W572" s="381"/>
      <c r="X572" s="381"/>
      <c r="Y572" s="381"/>
    </row>
    <row r="573">
      <c r="A573" s="359"/>
      <c r="B573" s="381"/>
      <c r="C573" s="18"/>
      <c r="D573" s="359"/>
      <c r="E573" s="607"/>
      <c r="F573" s="359"/>
      <c r="G573" s="381"/>
      <c r="H573" s="381"/>
      <c r="I573" s="381"/>
      <c r="J573" s="381"/>
      <c r="K573" s="381"/>
      <c r="L573" s="381"/>
      <c r="M573" s="381"/>
      <c r="N573" s="381"/>
      <c r="O573" s="381"/>
      <c r="P573" s="381"/>
      <c r="Q573" s="381"/>
      <c r="R573" s="381"/>
      <c r="S573" s="381"/>
      <c r="T573" s="381"/>
      <c r="U573" s="381"/>
      <c r="V573" s="381"/>
      <c r="W573" s="381"/>
      <c r="X573" s="381"/>
      <c r="Y573" s="381"/>
    </row>
    <row r="574">
      <c r="A574" s="359"/>
      <c r="B574" s="381"/>
      <c r="C574" s="18"/>
      <c r="D574" s="359"/>
      <c r="E574" s="607"/>
      <c r="F574" s="359"/>
      <c r="G574" s="381"/>
      <c r="H574" s="381"/>
      <c r="I574" s="381"/>
      <c r="J574" s="381"/>
      <c r="K574" s="381"/>
      <c r="L574" s="381"/>
      <c r="M574" s="381"/>
      <c r="N574" s="381"/>
      <c r="O574" s="381"/>
      <c r="P574" s="381"/>
      <c r="Q574" s="381"/>
      <c r="R574" s="381"/>
      <c r="S574" s="381"/>
      <c r="T574" s="381"/>
      <c r="U574" s="381"/>
      <c r="V574" s="381"/>
      <c r="W574" s="381"/>
      <c r="X574" s="381"/>
      <c r="Y574" s="381"/>
    </row>
    <row r="575">
      <c r="A575" s="359"/>
      <c r="B575" s="381"/>
      <c r="C575" s="18"/>
      <c r="D575" s="359"/>
      <c r="E575" s="607"/>
      <c r="F575" s="359"/>
      <c r="G575" s="381"/>
      <c r="H575" s="381"/>
      <c r="I575" s="381"/>
      <c r="J575" s="381"/>
      <c r="K575" s="381"/>
      <c r="L575" s="381"/>
      <c r="M575" s="381"/>
      <c r="N575" s="381"/>
      <c r="O575" s="381"/>
      <c r="P575" s="381"/>
      <c r="Q575" s="381"/>
      <c r="R575" s="381"/>
      <c r="S575" s="381"/>
      <c r="T575" s="381"/>
      <c r="U575" s="381"/>
      <c r="V575" s="381"/>
      <c r="W575" s="381"/>
      <c r="X575" s="381"/>
      <c r="Y575" s="381"/>
    </row>
    <row r="576">
      <c r="A576" s="359"/>
      <c r="B576" s="381"/>
      <c r="C576" s="18"/>
      <c r="D576" s="359"/>
      <c r="E576" s="607"/>
      <c r="F576" s="359"/>
      <c r="G576" s="381"/>
      <c r="H576" s="381"/>
      <c r="I576" s="381"/>
      <c r="J576" s="381"/>
      <c r="K576" s="381"/>
      <c r="L576" s="381"/>
      <c r="M576" s="381"/>
      <c r="N576" s="381"/>
      <c r="O576" s="381"/>
      <c r="P576" s="381"/>
      <c r="Q576" s="381"/>
      <c r="R576" s="381"/>
      <c r="S576" s="381"/>
      <c r="T576" s="381"/>
      <c r="U576" s="381"/>
      <c r="V576" s="381"/>
      <c r="W576" s="381"/>
      <c r="X576" s="381"/>
      <c r="Y576" s="381"/>
    </row>
    <row r="577">
      <c r="A577" s="359"/>
      <c r="B577" s="381"/>
      <c r="C577" s="18"/>
      <c r="D577" s="359"/>
      <c r="E577" s="607"/>
      <c r="F577" s="359"/>
      <c r="G577" s="381"/>
      <c r="H577" s="381"/>
      <c r="I577" s="381"/>
      <c r="J577" s="381"/>
      <c r="K577" s="381"/>
      <c r="L577" s="381"/>
      <c r="M577" s="381"/>
      <c r="N577" s="381"/>
      <c r="O577" s="381"/>
      <c r="P577" s="381"/>
      <c r="Q577" s="381"/>
      <c r="R577" s="381"/>
      <c r="S577" s="381"/>
      <c r="T577" s="381"/>
      <c r="U577" s="381"/>
      <c r="V577" s="381"/>
      <c r="W577" s="381"/>
      <c r="X577" s="381"/>
      <c r="Y577" s="381"/>
    </row>
    <row r="578">
      <c r="A578" s="359"/>
      <c r="B578" s="381"/>
      <c r="C578" s="18"/>
      <c r="D578" s="359"/>
      <c r="E578" s="607"/>
      <c r="F578" s="359"/>
      <c r="G578" s="381"/>
      <c r="H578" s="381"/>
      <c r="I578" s="381"/>
      <c r="J578" s="381"/>
      <c r="K578" s="381"/>
      <c r="L578" s="381"/>
      <c r="M578" s="381"/>
      <c r="N578" s="381"/>
      <c r="O578" s="381"/>
      <c r="P578" s="381"/>
      <c r="Q578" s="381"/>
      <c r="R578" s="381"/>
      <c r="S578" s="381"/>
      <c r="T578" s="381"/>
      <c r="U578" s="381"/>
      <c r="V578" s="381"/>
      <c r="W578" s="381"/>
      <c r="X578" s="381"/>
      <c r="Y578" s="381"/>
    </row>
    <row r="579">
      <c r="A579" s="359"/>
      <c r="B579" s="381"/>
      <c r="C579" s="18"/>
      <c r="D579" s="359"/>
      <c r="E579" s="607"/>
      <c r="F579" s="359"/>
      <c r="G579" s="381"/>
      <c r="H579" s="381"/>
      <c r="I579" s="381"/>
      <c r="J579" s="381"/>
      <c r="K579" s="381"/>
      <c r="L579" s="381"/>
      <c r="M579" s="381"/>
      <c r="N579" s="381"/>
      <c r="O579" s="381"/>
      <c r="P579" s="381"/>
      <c r="Q579" s="381"/>
      <c r="R579" s="381"/>
      <c r="S579" s="381"/>
      <c r="T579" s="381"/>
      <c r="U579" s="381"/>
      <c r="V579" s="381"/>
      <c r="W579" s="381"/>
      <c r="X579" s="381"/>
      <c r="Y579" s="381"/>
    </row>
    <row r="580">
      <c r="A580" s="359"/>
      <c r="B580" s="381"/>
      <c r="C580" s="18"/>
      <c r="D580" s="359"/>
      <c r="E580" s="607"/>
      <c r="F580" s="359"/>
      <c r="G580" s="381"/>
      <c r="H580" s="381"/>
      <c r="I580" s="381"/>
      <c r="J580" s="381"/>
      <c r="K580" s="381"/>
      <c r="L580" s="381"/>
      <c r="M580" s="381"/>
      <c r="N580" s="381"/>
      <c r="O580" s="381"/>
      <c r="P580" s="381"/>
      <c r="Q580" s="381"/>
      <c r="R580" s="381"/>
      <c r="S580" s="381"/>
      <c r="T580" s="381"/>
      <c r="U580" s="381"/>
      <c r="V580" s="381"/>
      <c r="W580" s="381"/>
      <c r="X580" s="381"/>
      <c r="Y580" s="381"/>
    </row>
    <row r="581">
      <c r="A581" s="359"/>
      <c r="B581" s="381"/>
      <c r="C581" s="18"/>
      <c r="D581" s="359"/>
      <c r="E581" s="607"/>
      <c r="F581" s="359"/>
      <c r="G581" s="381"/>
      <c r="H581" s="381"/>
      <c r="I581" s="381"/>
      <c r="J581" s="381"/>
      <c r="K581" s="381"/>
      <c r="L581" s="381"/>
      <c r="M581" s="381"/>
      <c r="N581" s="381"/>
      <c r="O581" s="381"/>
      <c r="P581" s="381"/>
      <c r="Q581" s="381"/>
      <c r="R581" s="381"/>
      <c r="S581" s="381"/>
      <c r="T581" s="381"/>
      <c r="U581" s="381"/>
      <c r="V581" s="381"/>
      <c r="W581" s="381"/>
      <c r="X581" s="381"/>
      <c r="Y581" s="381"/>
    </row>
    <row r="582">
      <c r="A582" s="359"/>
      <c r="B582" s="381"/>
      <c r="C582" s="18"/>
      <c r="D582" s="359"/>
      <c r="E582" s="607"/>
      <c r="F582" s="359"/>
      <c r="G582" s="381"/>
      <c r="H582" s="381"/>
      <c r="I582" s="381"/>
      <c r="J582" s="381"/>
      <c r="K582" s="381"/>
      <c r="L582" s="381"/>
      <c r="M582" s="381"/>
      <c r="N582" s="381"/>
      <c r="O582" s="381"/>
      <c r="P582" s="381"/>
      <c r="Q582" s="381"/>
      <c r="R582" s="381"/>
      <c r="S582" s="381"/>
      <c r="T582" s="381"/>
      <c r="U582" s="381"/>
      <c r="V582" s="381"/>
      <c r="W582" s="381"/>
      <c r="X582" s="381"/>
      <c r="Y582" s="381"/>
    </row>
    <row r="583">
      <c r="A583" s="359"/>
      <c r="B583" s="381"/>
      <c r="C583" s="18"/>
      <c r="D583" s="359"/>
      <c r="E583" s="607"/>
      <c r="F583" s="359"/>
      <c r="G583" s="381"/>
      <c r="H583" s="381"/>
      <c r="I583" s="381"/>
      <c r="J583" s="381"/>
      <c r="K583" s="381"/>
      <c r="L583" s="381"/>
      <c r="M583" s="381"/>
      <c r="N583" s="381"/>
      <c r="O583" s="381"/>
      <c r="P583" s="381"/>
      <c r="Q583" s="381"/>
      <c r="R583" s="381"/>
      <c r="S583" s="381"/>
      <c r="T583" s="381"/>
      <c r="U583" s="381"/>
      <c r="V583" s="381"/>
      <c r="W583" s="381"/>
      <c r="X583" s="381"/>
      <c r="Y583" s="381"/>
    </row>
    <row r="584">
      <c r="A584" s="359"/>
      <c r="B584" s="381"/>
      <c r="C584" s="18"/>
      <c r="D584" s="359"/>
      <c r="E584" s="607"/>
      <c r="F584" s="359"/>
      <c r="G584" s="381"/>
      <c r="H584" s="381"/>
      <c r="I584" s="381"/>
      <c r="J584" s="381"/>
      <c r="K584" s="381"/>
      <c r="L584" s="381"/>
      <c r="M584" s="381"/>
      <c r="N584" s="381"/>
      <c r="O584" s="381"/>
      <c r="P584" s="381"/>
      <c r="Q584" s="381"/>
      <c r="R584" s="381"/>
      <c r="S584" s="381"/>
      <c r="T584" s="381"/>
      <c r="U584" s="381"/>
      <c r="V584" s="381"/>
      <c r="W584" s="381"/>
      <c r="X584" s="381"/>
      <c r="Y584" s="381"/>
    </row>
    <row r="585">
      <c r="A585" s="359"/>
      <c r="B585" s="381"/>
      <c r="C585" s="18"/>
      <c r="D585" s="359"/>
      <c r="E585" s="607"/>
      <c r="F585" s="359"/>
      <c r="G585" s="381"/>
      <c r="H585" s="381"/>
      <c r="I585" s="381"/>
      <c r="J585" s="381"/>
      <c r="K585" s="381"/>
      <c r="L585" s="381"/>
      <c r="M585" s="381"/>
      <c r="N585" s="381"/>
      <c r="O585" s="381"/>
      <c r="P585" s="381"/>
      <c r="Q585" s="381"/>
      <c r="R585" s="381"/>
      <c r="S585" s="381"/>
      <c r="T585" s="381"/>
      <c r="U585" s="381"/>
      <c r="V585" s="381"/>
      <c r="W585" s="381"/>
      <c r="X585" s="381"/>
      <c r="Y585" s="381"/>
    </row>
    <row r="586">
      <c r="A586" s="359"/>
      <c r="B586" s="381"/>
      <c r="C586" s="18"/>
      <c r="D586" s="359"/>
      <c r="E586" s="607"/>
      <c r="F586" s="359"/>
      <c r="G586" s="381"/>
      <c r="H586" s="381"/>
      <c r="I586" s="381"/>
      <c r="J586" s="381"/>
      <c r="K586" s="381"/>
      <c r="L586" s="381"/>
      <c r="M586" s="381"/>
      <c r="N586" s="381"/>
      <c r="O586" s="381"/>
      <c r="P586" s="381"/>
      <c r="Q586" s="381"/>
      <c r="R586" s="381"/>
      <c r="S586" s="381"/>
      <c r="T586" s="381"/>
      <c r="U586" s="381"/>
      <c r="V586" s="381"/>
      <c r="W586" s="381"/>
      <c r="X586" s="381"/>
      <c r="Y586" s="381"/>
    </row>
    <row r="587">
      <c r="A587" s="359"/>
      <c r="B587" s="381"/>
      <c r="C587" s="18"/>
      <c r="D587" s="359"/>
      <c r="E587" s="607"/>
      <c r="F587" s="359"/>
      <c r="G587" s="381"/>
      <c r="H587" s="381"/>
      <c r="I587" s="381"/>
      <c r="J587" s="381"/>
      <c r="K587" s="381"/>
      <c r="L587" s="381"/>
      <c r="M587" s="381"/>
      <c r="N587" s="381"/>
      <c r="O587" s="381"/>
      <c r="P587" s="381"/>
      <c r="Q587" s="381"/>
      <c r="R587" s="381"/>
      <c r="S587" s="381"/>
      <c r="T587" s="381"/>
      <c r="U587" s="381"/>
      <c r="V587" s="381"/>
      <c r="W587" s="381"/>
      <c r="X587" s="381"/>
      <c r="Y587" s="381"/>
    </row>
    <row r="588">
      <c r="A588" s="359"/>
      <c r="B588" s="381"/>
      <c r="C588" s="18"/>
      <c r="D588" s="359"/>
      <c r="E588" s="607"/>
      <c r="F588" s="359"/>
      <c r="G588" s="381"/>
      <c r="H588" s="381"/>
      <c r="I588" s="381"/>
      <c r="J588" s="381"/>
      <c r="K588" s="381"/>
      <c r="L588" s="381"/>
      <c r="M588" s="381"/>
      <c r="N588" s="381"/>
      <c r="O588" s="381"/>
      <c r="P588" s="381"/>
      <c r="Q588" s="381"/>
      <c r="R588" s="381"/>
      <c r="S588" s="381"/>
      <c r="T588" s="381"/>
      <c r="U588" s="381"/>
      <c r="V588" s="381"/>
      <c r="W588" s="381"/>
      <c r="X588" s="381"/>
      <c r="Y588" s="381"/>
    </row>
    <row r="589">
      <c r="A589" s="359"/>
      <c r="B589" s="381"/>
      <c r="C589" s="18"/>
      <c r="D589" s="359"/>
      <c r="E589" s="607"/>
      <c r="F589" s="359"/>
      <c r="G589" s="381"/>
      <c r="H589" s="381"/>
      <c r="I589" s="381"/>
      <c r="J589" s="381"/>
      <c r="K589" s="381"/>
      <c r="L589" s="381"/>
      <c r="M589" s="381"/>
      <c r="N589" s="381"/>
      <c r="O589" s="381"/>
      <c r="P589" s="381"/>
      <c r="Q589" s="381"/>
      <c r="R589" s="381"/>
      <c r="S589" s="381"/>
      <c r="T589" s="381"/>
      <c r="U589" s="381"/>
      <c r="V589" s="381"/>
      <c r="W589" s="381"/>
      <c r="X589" s="381"/>
      <c r="Y589" s="381"/>
    </row>
    <row r="590">
      <c r="A590" s="359"/>
      <c r="B590" s="381"/>
      <c r="C590" s="18"/>
      <c r="D590" s="359"/>
      <c r="E590" s="607"/>
      <c r="F590" s="359"/>
      <c r="G590" s="381"/>
      <c r="H590" s="381"/>
      <c r="I590" s="381"/>
      <c r="J590" s="381"/>
      <c r="K590" s="381"/>
      <c r="L590" s="381"/>
      <c r="M590" s="381"/>
      <c r="N590" s="381"/>
      <c r="O590" s="381"/>
      <c r="P590" s="381"/>
      <c r="Q590" s="381"/>
      <c r="R590" s="381"/>
      <c r="S590" s="381"/>
      <c r="T590" s="381"/>
      <c r="U590" s="381"/>
      <c r="V590" s="381"/>
      <c r="W590" s="381"/>
      <c r="X590" s="381"/>
      <c r="Y590" s="381"/>
    </row>
    <row r="591">
      <c r="A591" s="359"/>
      <c r="B591" s="381"/>
      <c r="C591" s="18"/>
      <c r="D591" s="359"/>
      <c r="E591" s="607"/>
      <c r="F591" s="359"/>
      <c r="G591" s="381"/>
      <c r="H591" s="381"/>
      <c r="I591" s="381"/>
      <c r="J591" s="381"/>
      <c r="K591" s="381"/>
      <c r="L591" s="381"/>
      <c r="M591" s="381"/>
      <c r="N591" s="381"/>
      <c r="O591" s="381"/>
      <c r="P591" s="381"/>
      <c r="Q591" s="381"/>
      <c r="R591" s="381"/>
      <c r="S591" s="381"/>
      <c r="T591" s="381"/>
      <c r="U591" s="381"/>
      <c r="V591" s="381"/>
      <c r="W591" s="381"/>
      <c r="X591" s="381"/>
      <c r="Y591" s="381"/>
    </row>
    <row r="592">
      <c r="A592" s="359"/>
      <c r="B592" s="381"/>
      <c r="C592" s="18"/>
      <c r="D592" s="359"/>
      <c r="E592" s="607"/>
      <c r="F592" s="359"/>
      <c r="G592" s="381"/>
      <c r="H592" s="381"/>
      <c r="I592" s="381"/>
      <c r="J592" s="381"/>
      <c r="K592" s="381"/>
      <c r="L592" s="381"/>
      <c r="M592" s="381"/>
      <c r="N592" s="381"/>
      <c r="O592" s="381"/>
      <c r="P592" s="381"/>
      <c r="Q592" s="381"/>
      <c r="R592" s="381"/>
      <c r="S592" s="381"/>
      <c r="T592" s="381"/>
      <c r="U592" s="381"/>
      <c r="V592" s="381"/>
      <c r="W592" s="381"/>
      <c r="X592" s="381"/>
      <c r="Y592" s="381"/>
    </row>
    <row r="593">
      <c r="A593" s="359"/>
      <c r="B593" s="381"/>
      <c r="C593" s="18"/>
      <c r="D593" s="359"/>
      <c r="E593" s="607"/>
      <c r="F593" s="359"/>
      <c r="G593" s="381"/>
      <c r="H593" s="381"/>
      <c r="I593" s="381"/>
      <c r="J593" s="381"/>
      <c r="K593" s="381"/>
      <c r="L593" s="381"/>
      <c r="M593" s="381"/>
      <c r="N593" s="381"/>
      <c r="O593" s="381"/>
      <c r="P593" s="381"/>
      <c r="Q593" s="381"/>
      <c r="R593" s="381"/>
      <c r="S593" s="381"/>
      <c r="T593" s="381"/>
      <c r="U593" s="381"/>
      <c r="V593" s="381"/>
      <c r="W593" s="381"/>
      <c r="X593" s="381"/>
      <c r="Y593" s="381"/>
    </row>
    <row r="594">
      <c r="A594" s="359"/>
      <c r="B594" s="381"/>
      <c r="C594" s="18"/>
      <c r="D594" s="359"/>
      <c r="E594" s="607"/>
      <c r="F594" s="359"/>
      <c r="G594" s="381"/>
      <c r="H594" s="381"/>
      <c r="I594" s="381"/>
      <c r="J594" s="381"/>
      <c r="K594" s="381"/>
      <c r="L594" s="381"/>
      <c r="M594" s="381"/>
      <c r="N594" s="381"/>
      <c r="O594" s="381"/>
      <c r="P594" s="381"/>
      <c r="Q594" s="381"/>
      <c r="R594" s="381"/>
      <c r="S594" s="381"/>
      <c r="T594" s="381"/>
      <c r="U594" s="381"/>
      <c r="V594" s="381"/>
      <c r="W594" s="381"/>
      <c r="X594" s="381"/>
      <c r="Y594" s="381"/>
    </row>
    <row r="595">
      <c r="A595" s="359"/>
      <c r="B595" s="381"/>
      <c r="C595" s="18"/>
      <c r="D595" s="359"/>
      <c r="E595" s="607"/>
      <c r="F595" s="359"/>
      <c r="G595" s="381"/>
      <c r="H595" s="381"/>
      <c r="I595" s="381"/>
      <c r="J595" s="381"/>
      <c r="K595" s="381"/>
      <c r="L595" s="381"/>
      <c r="M595" s="381"/>
      <c r="N595" s="381"/>
      <c r="O595" s="381"/>
      <c r="P595" s="381"/>
      <c r="Q595" s="381"/>
      <c r="R595" s="381"/>
      <c r="S595" s="381"/>
      <c r="T595" s="381"/>
      <c r="U595" s="381"/>
      <c r="V595" s="381"/>
      <c r="W595" s="381"/>
      <c r="X595" s="381"/>
      <c r="Y595" s="381"/>
    </row>
    <row r="596">
      <c r="A596" s="359"/>
      <c r="B596" s="381"/>
      <c r="C596" s="18"/>
      <c r="D596" s="359"/>
      <c r="E596" s="607"/>
      <c r="F596" s="359"/>
      <c r="G596" s="381"/>
      <c r="H596" s="381"/>
      <c r="I596" s="381"/>
      <c r="J596" s="381"/>
      <c r="K596" s="381"/>
      <c r="L596" s="381"/>
      <c r="M596" s="381"/>
      <c r="N596" s="381"/>
      <c r="O596" s="381"/>
      <c r="P596" s="381"/>
      <c r="Q596" s="381"/>
      <c r="R596" s="381"/>
      <c r="S596" s="381"/>
      <c r="T596" s="381"/>
      <c r="U596" s="381"/>
      <c r="V596" s="381"/>
      <c r="W596" s="381"/>
      <c r="X596" s="381"/>
      <c r="Y596" s="381"/>
    </row>
    <row r="597">
      <c r="A597" s="359"/>
      <c r="B597" s="381"/>
      <c r="C597" s="18"/>
      <c r="D597" s="359"/>
      <c r="E597" s="607"/>
      <c r="F597" s="359"/>
      <c r="G597" s="381"/>
      <c r="H597" s="381"/>
      <c r="I597" s="381"/>
      <c r="J597" s="381"/>
      <c r="K597" s="381"/>
      <c r="L597" s="381"/>
      <c r="M597" s="381"/>
      <c r="N597" s="381"/>
      <c r="O597" s="381"/>
      <c r="P597" s="381"/>
      <c r="Q597" s="381"/>
      <c r="R597" s="381"/>
      <c r="S597" s="381"/>
      <c r="T597" s="381"/>
      <c r="U597" s="381"/>
      <c r="V597" s="381"/>
      <c r="W597" s="381"/>
      <c r="X597" s="381"/>
      <c r="Y597" s="381"/>
    </row>
    <row r="598">
      <c r="A598" s="359"/>
      <c r="B598" s="381"/>
      <c r="C598" s="18"/>
      <c r="D598" s="359"/>
      <c r="E598" s="607"/>
      <c r="F598" s="359"/>
      <c r="G598" s="381"/>
      <c r="H598" s="381"/>
      <c r="I598" s="381"/>
      <c r="J598" s="381"/>
      <c r="K598" s="381"/>
      <c r="L598" s="381"/>
      <c r="M598" s="381"/>
      <c r="N598" s="381"/>
      <c r="O598" s="381"/>
      <c r="P598" s="381"/>
      <c r="Q598" s="381"/>
      <c r="R598" s="381"/>
      <c r="S598" s="381"/>
      <c r="T598" s="381"/>
      <c r="U598" s="381"/>
      <c r="V598" s="381"/>
      <c r="W598" s="381"/>
      <c r="X598" s="381"/>
      <c r="Y598" s="381"/>
    </row>
    <row r="599">
      <c r="A599" s="359"/>
      <c r="B599" s="381"/>
      <c r="C599" s="18"/>
      <c r="D599" s="359"/>
      <c r="E599" s="607"/>
      <c r="F599" s="359"/>
      <c r="G599" s="381"/>
      <c r="H599" s="381"/>
      <c r="I599" s="381"/>
      <c r="J599" s="381"/>
      <c r="K599" s="381"/>
      <c r="L599" s="381"/>
      <c r="M599" s="381"/>
      <c r="N599" s="381"/>
      <c r="O599" s="381"/>
      <c r="P599" s="381"/>
      <c r="Q599" s="381"/>
      <c r="R599" s="381"/>
      <c r="S599" s="381"/>
      <c r="T599" s="381"/>
      <c r="U599" s="381"/>
      <c r="V599" s="381"/>
      <c r="W599" s="381"/>
      <c r="X599" s="381"/>
      <c r="Y599" s="381"/>
    </row>
    <row r="600">
      <c r="A600" s="359"/>
      <c r="B600" s="381"/>
      <c r="C600" s="18"/>
      <c r="D600" s="359"/>
      <c r="E600" s="607"/>
      <c r="F600" s="359"/>
      <c r="G600" s="381"/>
      <c r="H600" s="381"/>
      <c r="I600" s="381"/>
      <c r="J600" s="381"/>
      <c r="K600" s="381"/>
      <c r="L600" s="381"/>
      <c r="M600" s="381"/>
      <c r="N600" s="381"/>
      <c r="O600" s="381"/>
      <c r="P600" s="381"/>
      <c r="Q600" s="381"/>
      <c r="R600" s="381"/>
      <c r="S600" s="381"/>
      <c r="T600" s="381"/>
      <c r="U600" s="381"/>
      <c r="V600" s="381"/>
      <c r="W600" s="381"/>
      <c r="X600" s="381"/>
      <c r="Y600" s="381"/>
    </row>
    <row r="601">
      <c r="A601" s="359"/>
      <c r="B601" s="381"/>
      <c r="C601" s="18"/>
      <c r="D601" s="359"/>
      <c r="E601" s="607"/>
      <c r="F601" s="359"/>
      <c r="G601" s="381"/>
      <c r="H601" s="381"/>
      <c r="I601" s="381"/>
      <c r="J601" s="381"/>
      <c r="K601" s="381"/>
      <c r="L601" s="381"/>
      <c r="M601" s="381"/>
      <c r="N601" s="381"/>
      <c r="O601" s="381"/>
      <c r="P601" s="381"/>
      <c r="Q601" s="381"/>
      <c r="R601" s="381"/>
      <c r="S601" s="381"/>
      <c r="T601" s="381"/>
      <c r="U601" s="381"/>
      <c r="V601" s="381"/>
      <c r="W601" s="381"/>
      <c r="X601" s="381"/>
      <c r="Y601" s="381"/>
    </row>
    <row r="602">
      <c r="A602" s="359"/>
      <c r="B602" s="381"/>
      <c r="C602" s="18"/>
      <c r="D602" s="359"/>
      <c r="E602" s="607"/>
      <c r="F602" s="359"/>
      <c r="G602" s="381"/>
      <c r="H602" s="381"/>
      <c r="I602" s="381"/>
      <c r="J602" s="381"/>
      <c r="K602" s="381"/>
      <c r="L602" s="381"/>
      <c r="M602" s="381"/>
      <c r="N602" s="381"/>
      <c r="O602" s="381"/>
      <c r="P602" s="381"/>
      <c r="Q602" s="381"/>
      <c r="R602" s="381"/>
      <c r="S602" s="381"/>
      <c r="T602" s="381"/>
      <c r="U602" s="381"/>
      <c r="V602" s="381"/>
      <c r="W602" s="381"/>
      <c r="X602" s="381"/>
      <c r="Y602" s="381"/>
    </row>
    <row r="603">
      <c r="A603" s="359"/>
      <c r="B603" s="381"/>
      <c r="C603" s="18"/>
      <c r="D603" s="359"/>
      <c r="E603" s="607"/>
      <c r="F603" s="359"/>
      <c r="G603" s="381"/>
      <c r="H603" s="381"/>
      <c r="I603" s="381"/>
      <c r="J603" s="381"/>
      <c r="K603" s="381"/>
      <c r="L603" s="381"/>
      <c r="M603" s="381"/>
      <c r="N603" s="381"/>
      <c r="O603" s="381"/>
      <c r="P603" s="381"/>
      <c r="Q603" s="381"/>
      <c r="R603" s="381"/>
      <c r="S603" s="381"/>
      <c r="T603" s="381"/>
      <c r="U603" s="381"/>
      <c r="V603" s="381"/>
      <c r="W603" s="381"/>
      <c r="X603" s="381"/>
      <c r="Y603" s="381"/>
    </row>
    <row r="604">
      <c r="A604" s="359"/>
      <c r="B604" s="381"/>
      <c r="C604" s="18"/>
      <c r="D604" s="359"/>
      <c r="E604" s="607"/>
      <c r="F604" s="359"/>
      <c r="G604" s="381"/>
      <c r="H604" s="381"/>
      <c r="I604" s="381"/>
      <c r="J604" s="381"/>
      <c r="K604" s="381"/>
      <c r="L604" s="381"/>
      <c r="M604" s="381"/>
      <c r="N604" s="381"/>
      <c r="O604" s="381"/>
      <c r="P604" s="381"/>
      <c r="Q604" s="381"/>
      <c r="R604" s="381"/>
      <c r="S604" s="381"/>
      <c r="T604" s="381"/>
      <c r="U604" s="381"/>
      <c r="V604" s="381"/>
      <c r="W604" s="381"/>
      <c r="X604" s="381"/>
      <c r="Y604" s="381"/>
    </row>
    <row r="605">
      <c r="A605" s="359"/>
      <c r="B605" s="381"/>
      <c r="C605" s="18"/>
      <c r="D605" s="359"/>
      <c r="E605" s="607"/>
      <c r="F605" s="359"/>
      <c r="G605" s="381"/>
      <c r="H605" s="381"/>
      <c r="I605" s="381"/>
      <c r="J605" s="381"/>
      <c r="K605" s="381"/>
      <c r="L605" s="381"/>
      <c r="M605" s="381"/>
      <c r="N605" s="381"/>
      <c r="O605" s="381"/>
      <c r="P605" s="381"/>
      <c r="Q605" s="381"/>
      <c r="R605" s="381"/>
      <c r="S605" s="381"/>
      <c r="T605" s="381"/>
      <c r="U605" s="381"/>
      <c r="V605" s="381"/>
      <c r="W605" s="381"/>
      <c r="X605" s="381"/>
      <c r="Y605" s="381"/>
    </row>
    <row r="606">
      <c r="A606" s="359"/>
      <c r="B606" s="381"/>
      <c r="C606" s="18"/>
      <c r="D606" s="359"/>
      <c r="E606" s="607"/>
      <c r="F606" s="359"/>
      <c r="G606" s="381"/>
      <c r="H606" s="381"/>
      <c r="I606" s="381"/>
      <c r="J606" s="381"/>
      <c r="K606" s="381"/>
      <c r="L606" s="381"/>
      <c r="M606" s="381"/>
      <c r="N606" s="381"/>
      <c r="O606" s="381"/>
      <c r="P606" s="381"/>
      <c r="Q606" s="381"/>
      <c r="R606" s="381"/>
      <c r="S606" s="381"/>
      <c r="T606" s="381"/>
      <c r="U606" s="381"/>
      <c r="V606" s="381"/>
      <c r="W606" s="381"/>
      <c r="X606" s="381"/>
      <c r="Y606" s="381"/>
    </row>
    <row r="607">
      <c r="A607" s="359"/>
      <c r="B607" s="381"/>
      <c r="C607" s="18"/>
      <c r="D607" s="359"/>
      <c r="E607" s="607"/>
      <c r="F607" s="359"/>
      <c r="G607" s="381"/>
      <c r="H607" s="381"/>
      <c r="I607" s="381"/>
      <c r="J607" s="381"/>
      <c r="K607" s="381"/>
      <c r="L607" s="381"/>
      <c r="M607" s="381"/>
      <c r="N607" s="381"/>
      <c r="O607" s="381"/>
      <c r="P607" s="381"/>
      <c r="Q607" s="381"/>
      <c r="R607" s="381"/>
      <c r="S607" s="381"/>
      <c r="T607" s="381"/>
      <c r="U607" s="381"/>
      <c r="V607" s="381"/>
      <c r="W607" s="381"/>
      <c r="X607" s="381"/>
      <c r="Y607" s="381"/>
    </row>
    <row r="608">
      <c r="A608" s="359"/>
      <c r="B608" s="381"/>
      <c r="C608" s="18"/>
      <c r="D608" s="359"/>
      <c r="E608" s="607"/>
      <c r="F608" s="359"/>
      <c r="G608" s="381"/>
      <c r="H608" s="381"/>
      <c r="I608" s="381"/>
      <c r="J608" s="381"/>
      <c r="K608" s="381"/>
      <c r="L608" s="381"/>
      <c r="M608" s="381"/>
      <c r="N608" s="381"/>
      <c r="O608" s="381"/>
      <c r="P608" s="381"/>
      <c r="Q608" s="381"/>
      <c r="R608" s="381"/>
      <c r="S608" s="381"/>
      <c r="T608" s="381"/>
      <c r="U608" s="381"/>
      <c r="V608" s="381"/>
      <c r="W608" s="381"/>
      <c r="X608" s="381"/>
      <c r="Y608" s="381"/>
    </row>
    <row r="609">
      <c r="A609" s="359"/>
      <c r="B609" s="381"/>
      <c r="C609" s="18"/>
      <c r="D609" s="359"/>
      <c r="E609" s="607"/>
      <c r="F609" s="359"/>
      <c r="G609" s="381"/>
      <c r="H609" s="381"/>
      <c r="I609" s="381"/>
      <c r="J609" s="381"/>
      <c r="K609" s="381"/>
      <c r="L609" s="381"/>
      <c r="M609" s="381"/>
      <c r="N609" s="381"/>
      <c r="O609" s="381"/>
      <c r="P609" s="381"/>
      <c r="Q609" s="381"/>
      <c r="R609" s="381"/>
      <c r="S609" s="381"/>
      <c r="T609" s="381"/>
      <c r="U609" s="381"/>
      <c r="V609" s="381"/>
      <c r="W609" s="381"/>
      <c r="X609" s="381"/>
      <c r="Y609" s="381"/>
    </row>
    <row r="610">
      <c r="A610" s="359"/>
      <c r="B610" s="381"/>
      <c r="C610" s="18"/>
      <c r="D610" s="359"/>
      <c r="E610" s="607"/>
      <c r="F610" s="359"/>
      <c r="G610" s="381"/>
      <c r="H610" s="381"/>
      <c r="I610" s="381"/>
      <c r="J610" s="381"/>
      <c r="K610" s="381"/>
      <c r="L610" s="381"/>
      <c r="M610" s="381"/>
      <c r="N610" s="381"/>
      <c r="O610" s="381"/>
      <c r="P610" s="381"/>
      <c r="Q610" s="381"/>
      <c r="R610" s="381"/>
      <c r="S610" s="381"/>
      <c r="T610" s="381"/>
      <c r="U610" s="381"/>
      <c r="V610" s="381"/>
      <c r="W610" s="381"/>
      <c r="X610" s="381"/>
      <c r="Y610" s="381"/>
    </row>
    <row r="611">
      <c r="A611" s="359"/>
      <c r="B611" s="381"/>
      <c r="C611" s="18"/>
      <c r="D611" s="359"/>
      <c r="E611" s="607"/>
      <c r="F611" s="359"/>
      <c r="G611" s="381"/>
      <c r="H611" s="381"/>
      <c r="I611" s="381"/>
      <c r="J611" s="381"/>
      <c r="K611" s="381"/>
      <c r="L611" s="381"/>
      <c r="M611" s="381"/>
      <c r="N611" s="381"/>
      <c r="O611" s="381"/>
      <c r="P611" s="381"/>
      <c r="Q611" s="381"/>
      <c r="R611" s="381"/>
      <c r="S611" s="381"/>
      <c r="T611" s="381"/>
      <c r="U611" s="381"/>
      <c r="V611" s="381"/>
      <c r="W611" s="381"/>
      <c r="X611" s="381"/>
      <c r="Y611" s="381"/>
    </row>
    <row r="612">
      <c r="A612" s="359"/>
      <c r="B612" s="381"/>
      <c r="C612" s="18"/>
      <c r="D612" s="359"/>
      <c r="E612" s="607"/>
      <c r="F612" s="359"/>
      <c r="G612" s="381"/>
      <c r="H612" s="381"/>
      <c r="I612" s="381"/>
      <c r="J612" s="381"/>
      <c r="K612" s="381"/>
      <c r="L612" s="381"/>
      <c r="M612" s="381"/>
      <c r="N612" s="381"/>
      <c r="O612" s="381"/>
      <c r="P612" s="381"/>
      <c r="Q612" s="381"/>
      <c r="R612" s="381"/>
      <c r="S612" s="381"/>
      <c r="T612" s="381"/>
      <c r="U612" s="381"/>
      <c r="V612" s="381"/>
      <c r="W612" s="381"/>
      <c r="X612" s="381"/>
      <c r="Y612" s="381"/>
    </row>
    <row r="613">
      <c r="A613" s="359"/>
      <c r="B613" s="381"/>
      <c r="C613" s="18"/>
      <c r="D613" s="359"/>
      <c r="E613" s="607"/>
      <c r="F613" s="359"/>
      <c r="G613" s="381"/>
      <c r="H613" s="381"/>
      <c r="I613" s="381"/>
      <c r="J613" s="381"/>
      <c r="K613" s="381"/>
      <c r="L613" s="381"/>
      <c r="M613" s="381"/>
      <c r="N613" s="381"/>
      <c r="O613" s="381"/>
      <c r="P613" s="381"/>
      <c r="Q613" s="381"/>
      <c r="R613" s="381"/>
      <c r="S613" s="381"/>
      <c r="T613" s="381"/>
      <c r="U613" s="381"/>
      <c r="V613" s="381"/>
      <c r="W613" s="381"/>
      <c r="X613" s="381"/>
      <c r="Y613" s="381"/>
    </row>
    <row r="614">
      <c r="A614" s="359"/>
      <c r="B614" s="381"/>
      <c r="C614" s="18"/>
      <c r="D614" s="359"/>
      <c r="E614" s="607"/>
      <c r="F614" s="359"/>
      <c r="G614" s="381"/>
      <c r="H614" s="381"/>
      <c r="I614" s="381"/>
      <c r="J614" s="381"/>
      <c r="K614" s="381"/>
      <c r="L614" s="381"/>
      <c r="M614" s="381"/>
      <c r="N614" s="381"/>
      <c r="O614" s="381"/>
      <c r="P614" s="381"/>
      <c r="Q614" s="381"/>
      <c r="R614" s="381"/>
      <c r="S614" s="381"/>
      <c r="T614" s="381"/>
      <c r="U614" s="381"/>
      <c r="V614" s="381"/>
      <c r="W614" s="381"/>
      <c r="X614" s="381"/>
      <c r="Y614" s="381"/>
    </row>
    <row r="615">
      <c r="A615" s="359"/>
      <c r="B615" s="381"/>
      <c r="C615" s="18"/>
      <c r="D615" s="359"/>
      <c r="E615" s="607"/>
      <c r="F615" s="359"/>
      <c r="G615" s="381"/>
      <c r="H615" s="381"/>
      <c r="I615" s="381"/>
      <c r="J615" s="381"/>
      <c r="K615" s="381"/>
      <c r="L615" s="381"/>
      <c r="M615" s="381"/>
      <c r="N615" s="381"/>
      <c r="O615" s="381"/>
      <c r="P615" s="381"/>
      <c r="Q615" s="381"/>
      <c r="R615" s="381"/>
      <c r="S615" s="381"/>
      <c r="T615" s="381"/>
      <c r="U615" s="381"/>
      <c r="V615" s="381"/>
      <c r="W615" s="381"/>
      <c r="X615" s="381"/>
      <c r="Y615" s="381"/>
    </row>
    <row r="616">
      <c r="A616" s="359"/>
      <c r="B616" s="381"/>
      <c r="C616" s="18"/>
      <c r="D616" s="359"/>
      <c r="E616" s="607"/>
      <c r="F616" s="359"/>
      <c r="G616" s="381"/>
      <c r="H616" s="381"/>
      <c r="I616" s="381"/>
      <c r="J616" s="381"/>
      <c r="K616" s="381"/>
      <c r="L616" s="381"/>
      <c r="M616" s="381"/>
      <c r="N616" s="381"/>
      <c r="O616" s="381"/>
      <c r="P616" s="381"/>
      <c r="Q616" s="381"/>
      <c r="R616" s="381"/>
      <c r="S616" s="381"/>
      <c r="T616" s="381"/>
      <c r="U616" s="381"/>
      <c r="V616" s="381"/>
      <c r="W616" s="381"/>
      <c r="X616" s="381"/>
      <c r="Y616" s="381"/>
    </row>
    <row r="617">
      <c r="A617" s="359"/>
      <c r="B617" s="381"/>
      <c r="C617" s="18"/>
      <c r="D617" s="359"/>
      <c r="E617" s="607"/>
      <c r="F617" s="359"/>
      <c r="G617" s="381"/>
      <c r="H617" s="381"/>
      <c r="I617" s="381"/>
      <c r="J617" s="381"/>
      <c r="K617" s="381"/>
      <c r="L617" s="381"/>
      <c r="M617" s="381"/>
      <c r="N617" s="381"/>
      <c r="O617" s="381"/>
      <c r="P617" s="381"/>
      <c r="Q617" s="381"/>
      <c r="R617" s="381"/>
      <c r="S617" s="381"/>
      <c r="T617" s="381"/>
      <c r="U617" s="381"/>
      <c r="V617" s="381"/>
      <c r="W617" s="381"/>
      <c r="X617" s="381"/>
      <c r="Y617" s="381"/>
    </row>
    <row r="618">
      <c r="A618" s="359"/>
      <c r="B618" s="381"/>
      <c r="C618" s="18"/>
      <c r="D618" s="359"/>
      <c r="E618" s="607"/>
      <c r="F618" s="359"/>
      <c r="G618" s="381"/>
      <c r="H618" s="381"/>
      <c r="I618" s="381"/>
      <c r="J618" s="381"/>
      <c r="K618" s="381"/>
      <c r="L618" s="381"/>
      <c r="M618" s="381"/>
      <c r="N618" s="381"/>
      <c r="O618" s="381"/>
      <c r="P618" s="381"/>
      <c r="Q618" s="381"/>
      <c r="R618" s="381"/>
      <c r="S618" s="381"/>
      <c r="T618" s="381"/>
      <c r="U618" s="381"/>
      <c r="V618" s="381"/>
      <c r="W618" s="381"/>
      <c r="X618" s="381"/>
      <c r="Y618" s="381"/>
    </row>
    <row r="619">
      <c r="A619" s="359"/>
      <c r="B619" s="381"/>
      <c r="C619" s="18"/>
      <c r="D619" s="359"/>
      <c r="E619" s="607"/>
      <c r="F619" s="359"/>
      <c r="G619" s="381"/>
      <c r="H619" s="381"/>
      <c r="I619" s="381"/>
      <c r="J619" s="381"/>
      <c r="K619" s="381"/>
      <c r="L619" s="381"/>
      <c r="M619" s="381"/>
      <c r="N619" s="381"/>
      <c r="O619" s="381"/>
      <c r="P619" s="381"/>
      <c r="Q619" s="381"/>
      <c r="R619" s="381"/>
      <c r="S619" s="381"/>
      <c r="T619" s="381"/>
      <c r="U619" s="381"/>
      <c r="V619" s="381"/>
      <c r="W619" s="381"/>
      <c r="X619" s="381"/>
      <c r="Y619" s="381"/>
    </row>
    <row r="620">
      <c r="A620" s="359"/>
      <c r="B620" s="381"/>
      <c r="C620" s="18"/>
      <c r="D620" s="359"/>
      <c r="E620" s="607"/>
      <c r="F620" s="359"/>
      <c r="G620" s="381"/>
      <c r="H620" s="381"/>
      <c r="I620" s="381"/>
      <c r="J620" s="381"/>
      <c r="K620" s="381"/>
      <c r="L620" s="381"/>
      <c r="M620" s="381"/>
      <c r="N620" s="381"/>
      <c r="O620" s="381"/>
      <c r="P620" s="381"/>
      <c r="Q620" s="381"/>
      <c r="R620" s="381"/>
      <c r="S620" s="381"/>
      <c r="T620" s="381"/>
      <c r="U620" s="381"/>
      <c r="V620" s="381"/>
      <c r="W620" s="381"/>
      <c r="X620" s="381"/>
      <c r="Y620" s="381"/>
    </row>
    <row r="621">
      <c r="A621" s="359"/>
      <c r="B621" s="381"/>
      <c r="C621" s="18"/>
      <c r="D621" s="359"/>
      <c r="E621" s="607"/>
      <c r="F621" s="359"/>
      <c r="G621" s="381"/>
      <c r="H621" s="381"/>
      <c r="I621" s="381"/>
      <c r="J621" s="381"/>
      <c r="K621" s="381"/>
      <c r="L621" s="381"/>
      <c r="M621" s="381"/>
      <c r="N621" s="381"/>
      <c r="O621" s="381"/>
      <c r="P621" s="381"/>
      <c r="Q621" s="381"/>
      <c r="R621" s="381"/>
      <c r="S621" s="381"/>
      <c r="T621" s="381"/>
      <c r="U621" s="381"/>
      <c r="V621" s="381"/>
      <c r="W621" s="381"/>
      <c r="X621" s="381"/>
      <c r="Y621" s="381"/>
    </row>
    <row r="622">
      <c r="A622" s="359"/>
      <c r="B622" s="381"/>
      <c r="C622" s="18"/>
      <c r="D622" s="359"/>
      <c r="E622" s="607"/>
      <c r="F622" s="359"/>
      <c r="G622" s="381"/>
      <c r="H622" s="381"/>
      <c r="I622" s="381"/>
      <c r="J622" s="381"/>
      <c r="K622" s="381"/>
      <c r="L622" s="381"/>
      <c r="M622" s="381"/>
      <c r="N622" s="381"/>
      <c r="O622" s="381"/>
      <c r="P622" s="381"/>
      <c r="Q622" s="381"/>
      <c r="R622" s="381"/>
      <c r="S622" s="381"/>
      <c r="T622" s="381"/>
      <c r="U622" s="381"/>
      <c r="V622" s="381"/>
      <c r="W622" s="381"/>
      <c r="X622" s="381"/>
      <c r="Y622" s="381"/>
    </row>
    <row r="623">
      <c r="A623" s="359"/>
      <c r="B623" s="381"/>
      <c r="C623" s="18"/>
      <c r="D623" s="359"/>
      <c r="E623" s="607"/>
      <c r="F623" s="359"/>
      <c r="G623" s="381"/>
      <c r="H623" s="381"/>
      <c r="I623" s="381"/>
      <c r="J623" s="381"/>
      <c r="K623" s="381"/>
      <c r="L623" s="381"/>
      <c r="M623" s="381"/>
      <c r="N623" s="381"/>
      <c r="O623" s="381"/>
      <c r="P623" s="381"/>
      <c r="Q623" s="381"/>
      <c r="R623" s="381"/>
      <c r="S623" s="381"/>
      <c r="T623" s="381"/>
      <c r="U623" s="381"/>
      <c r="V623" s="381"/>
      <c r="W623" s="381"/>
      <c r="X623" s="381"/>
      <c r="Y623" s="381"/>
    </row>
    <row r="624">
      <c r="A624" s="359"/>
      <c r="B624" s="381"/>
      <c r="C624" s="18"/>
      <c r="D624" s="359"/>
      <c r="E624" s="607"/>
      <c r="F624" s="359"/>
      <c r="G624" s="381"/>
      <c r="H624" s="381"/>
      <c r="I624" s="381"/>
      <c r="J624" s="381"/>
      <c r="K624" s="381"/>
      <c r="L624" s="381"/>
      <c r="M624" s="381"/>
      <c r="N624" s="381"/>
      <c r="O624" s="381"/>
      <c r="P624" s="381"/>
      <c r="Q624" s="381"/>
      <c r="R624" s="381"/>
      <c r="S624" s="381"/>
      <c r="T624" s="381"/>
      <c r="U624" s="381"/>
      <c r="V624" s="381"/>
      <c r="W624" s="381"/>
      <c r="X624" s="381"/>
      <c r="Y624" s="381"/>
    </row>
    <row r="625">
      <c r="A625" s="359"/>
      <c r="B625" s="381"/>
      <c r="C625" s="18"/>
      <c r="D625" s="359"/>
      <c r="E625" s="607"/>
      <c r="F625" s="359"/>
      <c r="G625" s="381"/>
      <c r="H625" s="381"/>
      <c r="I625" s="381"/>
      <c r="J625" s="381"/>
      <c r="K625" s="381"/>
      <c r="L625" s="381"/>
      <c r="M625" s="381"/>
      <c r="N625" s="381"/>
      <c r="O625" s="381"/>
      <c r="P625" s="381"/>
      <c r="Q625" s="381"/>
      <c r="R625" s="381"/>
      <c r="S625" s="381"/>
      <c r="T625" s="381"/>
      <c r="U625" s="381"/>
      <c r="V625" s="381"/>
      <c r="W625" s="381"/>
      <c r="X625" s="381"/>
      <c r="Y625" s="381"/>
    </row>
    <row r="626">
      <c r="A626" s="359"/>
      <c r="B626" s="381"/>
      <c r="C626" s="18"/>
      <c r="D626" s="359"/>
      <c r="E626" s="607"/>
      <c r="F626" s="359"/>
      <c r="G626" s="381"/>
      <c r="H626" s="381"/>
      <c r="I626" s="381"/>
      <c r="J626" s="381"/>
      <c r="K626" s="381"/>
      <c r="L626" s="381"/>
      <c r="M626" s="381"/>
      <c r="N626" s="381"/>
      <c r="O626" s="381"/>
      <c r="P626" s="381"/>
      <c r="Q626" s="381"/>
      <c r="R626" s="381"/>
      <c r="S626" s="381"/>
      <c r="T626" s="381"/>
      <c r="U626" s="381"/>
      <c r="V626" s="381"/>
      <c r="W626" s="381"/>
      <c r="X626" s="381"/>
      <c r="Y626" s="381"/>
    </row>
    <row r="627">
      <c r="A627" s="359"/>
      <c r="B627" s="381"/>
      <c r="C627" s="18"/>
      <c r="D627" s="359"/>
      <c r="E627" s="607"/>
      <c r="F627" s="359"/>
      <c r="G627" s="381"/>
      <c r="H627" s="381"/>
      <c r="I627" s="381"/>
      <c r="J627" s="381"/>
      <c r="K627" s="381"/>
      <c r="L627" s="381"/>
      <c r="M627" s="381"/>
      <c r="N627" s="381"/>
      <c r="O627" s="381"/>
      <c r="P627" s="381"/>
      <c r="Q627" s="381"/>
      <c r="R627" s="381"/>
      <c r="S627" s="381"/>
      <c r="T627" s="381"/>
      <c r="U627" s="381"/>
      <c r="V627" s="381"/>
      <c r="W627" s="381"/>
      <c r="X627" s="381"/>
      <c r="Y627" s="381"/>
    </row>
    <row r="628">
      <c r="A628" s="359"/>
      <c r="B628" s="381"/>
      <c r="C628" s="18"/>
      <c r="D628" s="359"/>
      <c r="E628" s="607"/>
      <c r="F628" s="359"/>
      <c r="G628" s="381"/>
      <c r="H628" s="381"/>
      <c r="I628" s="381"/>
      <c r="J628" s="381"/>
      <c r="K628" s="381"/>
      <c r="L628" s="381"/>
      <c r="M628" s="381"/>
      <c r="N628" s="381"/>
      <c r="O628" s="381"/>
      <c r="P628" s="381"/>
      <c r="Q628" s="381"/>
      <c r="R628" s="381"/>
      <c r="S628" s="381"/>
      <c r="T628" s="381"/>
      <c r="U628" s="381"/>
      <c r="V628" s="381"/>
      <c r="W628" s="381"/>
      <c r="X628" s="381"/>
      <c r="Y628" s="381"/>
    </row>
    <row r="629">
      <c r="A629" s="359"/>
      <c r="B629" s="381"/>
      <c r="C629" s="18"/>
      <c r="D629" s="359"/>
      <c r="E629" s="607"/>
      <c r="F629" s="359"/>
      <c r="G629" s="381"/>
      <c r="H629" s="381"/>
      <c r="I629" s="381"/>
      <c r="J629" s="381"/>
      <c r="K629" s="381"/>
      <c r="L629" s="381"/>
      <c r="M629" s="381"/>
      <c r="N629" s="381"/>
      <c r="O629" s="381"/>
      <c r="P629" s="381"/>
      <c r="Q629" s="381"/>
      <c r="R629" s="381"/>
      <c r="S629" s="381"/>
      <c r="T629" s="381"/>
      <c r="U629" s="381"/>
      <c r="V629" s="381"/>
      <c r="W629" s="381"/>
      <c r="X629" s="381"/>
      <c r="Y629" s="381"/>
    </row>
    <row r="630">
      <c r="A630" s="359"/>
      <c r="B630" s="381"/>
      <c r="C630" s="18"/>
      <c r="D630" s="359"/>
      <c r="E630" s="607"/>
      <c r="F630" s="359"/>
      <c r="G630" s="381"/>
      <c r="H630" s="381"/>
      <c r="I630" s="381"/>
      <c r="J630" s="381"/>
      <c r="K630" s="381"/>
      <c r="L630" s="381"/>
      <c r="M630" s="381"/>
      <c r="N630" s="381"/>
      <c r="O630" s="381"/>
      <c r="P630" s="381"/>
      <c r="Q630" s="381"/>
      <c r="R630" s="381"/>
      <c r="S630" s="381"/>
      <c r="T630" s="381"/>
      <c r="U630" s="381"/>
      <c r="V630" s="381"/>
      <c r="W630" s="381"/>
      <c r="X630" s="381"/>
      <c r="Y630" s="381"/>
    </row>
    <row r="631">
      <c r="A631" s="359"/>
      <c r="B631" s="381"/>
      <c r="C631" s="18"/>
      <c r="D631" s="359"/>
      <c r="E631" s="607"/>
      <c r="F631" s="359"/>
      <c r="G631" s="381"/>
      <c r="H631" s="381"/>
      <c r="I631" s="381"/>
      <c r="J631" s="381"/>
      <c r="K631" s="381"/>
      <c r="L631" s="381"/>
      <c r="M631" s="381"/>
      <c r="N631" s="381"/>
      <c r="O631" s="381"/>
      <c r="P631" s="381"/>
      <c r="Q631" s="381"/>
      <c r="R631" s="381"/>
      <c r="S631" s="381"/>
      <c r="T631" s="381"/>
      <c r="U631" s="381"/>
      <c r="V631" s="381"/>
      <c r="W631" s="381"/>
      <c r="X631" s="381"/>
      <c r="Y631" s="381"/>
    </row>
    <row r="632">
      <c r="A632" s="359"/>
      <c r="B632" s="381"/>
      <c r="C632" s="18"/>
      <c r="D632" s="359"/>
      <c r="E632" s="607"/>
      <c r="F632" s="359"/>
      <c r="G632" s="381"/>
      <c r="H632" s="381"/>
      <c r="I632" s="381"/>
      <c r="J632" s="381"/>
      <c r="K632" s="381"/>
      <c r="L632" s="381"/>
      <c r="M632" s="381"/>
      <c r="N632" s="381"/>
      <c r="O632" s="381"/>
      <c r="P632" s="381"/>
      <c r="Q632" s="381"/>
      <c r="R632" s="381"/>
      <c r="S632" s="381"/>
      <c r="T632" s="381"/>
      <c r="U632" s="381"/>
      <c r="V632" s="381"/>
      <c r="W632" s="381"/>
      <c r="X632" s="381"/>
      <c r="Y632" s="381"/>
    </row>
    <row r="633">
      <c r="A633" s="359"/>
      <c r="B633" s="381"/>
      <c r="C633" s="18"/>
      <c r="D633" s="359"/>
      <c r="E633" s="607"/>
      <c r="F633" s="359"/>
      <c r="G633" s="381"/>
      <c r="H633" s="381"/>
      <c r="I633" s="381"/>
      <c r="J633" s="381"/>
      <c r="K633" s="381"/>
      <c r="L633" s="381"/>
      <c r="M633" s="381"/>
      <c r="N633" s="381"/>
      <c r="O633" s="381"/>
      <c r="P633" s="381"/>
      <c r="Q633" s="381"/>
      <c r="R633" s="381"/>
      <c r="S633" s="381"/>
      <c r="T633" s="381"/>
      <c r="U633" s="381"/>
      <c r="V633" s="381"/>
      <c r="W633" s="381"/>
      <c r="X633" s="381"/>
      <c r="Y633" s="381"/>
    </row>
    <row r="634">
      <c r="A634" s="359"/>
      <c r="B634" s="381"/>
      <c r="C634" s="18"/>
      <c r="D634" s="359"/>
      <c r="E634" s="607"/>
      <c r="F634" s="359"/>
      <c r="G634" s="381"/>
      <c r="H634" s="381"/>
      <c r="I634" s="381"/>
      <c r="J634" s="381"/>
      <c r="K634" s="381"/>
      <c r="L634" s="381"/>
      <c r="M634" s="381"/>
      <c r="N634" s="381"/>
      <c r="O634" s="381"/>
      <c r="P634" s="381"/>
      <c r="Q634" s="381"/>
      <c r="R634" s="381"/>
      <c r="S634" s="381"/>
      <c r="T634" s="381"/>
      <c r="U634" s="381"/>
      <c r="V634" s="381"/>
      <c r="W634" s="381"/>
      <c r="X634" s="381"/>
      <c r="Y634" s="381"/>
    </row>
    <row r="635">
      <c r="A635" s="359"/>
      <c r="B635" s="381"/>
      <c r="C635" s="18"/>
      <c r="D635" s="359"/>
      <c r="E635" s="607"/>
      <c r="F635" s="359"/>
      <c r="G635" s="381"/>
      <c r="H635" s="381"/>
      <c r="I635" s="381"/>
      <c r="J635" s="381"/>
      <c r="K635" s="381"/>
      <c r="L635" s="381"/>
      <c r="M635" s="381"/>
      <c r="N635" s="381"/>
      <c r="O635" s="381"/>
      <c r="P635" s="381"/>
      <c r="Q635" s="381"/>
      <c r="R635" s="381"/>
      <c r="S635" s="381"/>
      <c r="T635" s="381"/>
      <c r="U635" s="381"/>
      <c r="V635" s="381"/>
      <c r="W635" s="381"/>
      <c r="X635" s="381"/>
      <c r="Y635" s="381"/>
    </row>
    <row r="636">
      <c r="A636" s="359"/>
      <c r="B636" s="381"/>
      <c r="C636" s="18"/>
      <c r="D636" s="359"/>
      <c r="E636" s="607"/>
      <c r="F636" s="359"/>
      <c r="G636" s="381"/>
      <c r="H636" s="381"/>
      <c r="I636" s="381"/>
      <c r="J636" s="381"/>
      <c r="K636" s="381"/>
      <c r="L636" s="381"/>
      <c r="M636" s="381"/>
      <c r="N636" s="381"/>
      <c r="O636" s="381"/>
      <c r="P636" s="381"/>
      <c r="Q636" s="381"/>
      <c r="R636" s="381"/>
      <c r="S636" s="381"/>
      <c r="T636" s="381"/>
      <c r="U636" s="381"/>
      <c r="V636" s="381"/>
      <c r="W636" s="381"/>
      <c r="X636" s="381"/>
      <c r="Y636" s="381"/>
    </row>
    <row r="637">
      <c r="A637" s="359"/>
      <c r="B637" s="381"/>
      <c r="C637" s="18"/>
      <c r="D637" s="359"/>
      <c r="E637" s="607"/>
      <c r="F637" s="359"/>
      <c r="G637" s="381"/>
      <c r="H637" s="381"/>
      <c r="I637" s="381"/>
      <c r="J637" s="381"/>
      <c r="K637" s="381"/>
      <c r="L637" s="381"/>
      <c r="M637" s="381"/>
      <c r="N637" s="381"/>
      <c r="O637" s="381"/>
      <c r="P637" s="381"/>
      <c r="Q637" s="381"/>
      <c r="R637" s="381"/>
      <c r="S637" s="381"/>
      <c r="T637" s="381"/>
      <c r="U637" s="381"/>
      <c r="V637" s="381"/>
      <c r="W637" s="381"/>
      <c r="X637" s="381"/>
      <c r="Y637" s="381"/>
    </row>
    <row r="638">
      <c r="A638" s="359"/>
      <c r="B638" s="381"/>
      <c r="C638" s="18"/>
      <c r="D638" s="359"/>
      <c r="E638" s="607"/>
      <c r="F638" s="359"/>
      <c r="G638" s="381"/>
      <c r="H638" s="381"/>
      <c r="I638" s="381"/>
      <c r="J638" s="381"/>
      <c r="K638" s="381"/>
      <c r="L638" s="381"/>
      <c r="M638" s="381"/>
      <c r="N638" s="381"/>
      <c r="O638" s="381"/>
      <c r="P638" s="381"/>
      <c r="Q638" s="381"/>
      <c r="R638" s="381"/>
      <c r="S638" s="381"/>
      <c r="T638" s="381"/>
      <c r="U638" s="381"/>
      <c r="V638" s="381"/>
      <c r="W638" s="381"/>
      <c r="X638" s="381"/>
      <c r="Y638" s="381"/>
    </row>
    <row r="639">
      <c r="A639" s="359"/>
      <c r="B639" s="381"/>
      <c r="C639" s="18"/>
      <c r="D639" s="359"/>
      <c r="E639" s="607"/>
      <c r="F639" s="359"/>
      <c r="G639" s="381"/>
      <c r="H639" s="381"/>
      <c r="I639" s="381"/>
      <c r="J639" s="381"/>
      <c r="K639" s="381"/>
      <c r="L639" s="381"/>
      <c r="M639" s="381"/>
      <c r="N639" s="381"/>
      <c r="O639" s="381"/>
      <c r="P639" s="381"/>
      <c r="Q639" s="381"/>
      <c r="R639" s="381"/>
      <c r="S639" s="381"/>
      <c r="T639" s="381"/>
      <c r="U639" s="381"/>
      <c r="V639" s="381"/>
      <c r="W639" s="381"/>
      <c r="X639" s="381"/>
      <c r="Y639" s="381"/>
    </row>
    <row r="640">
      <c r="A640" s="359"/>
      <c r="B640" s="381"/>
      <c r="C640" s="18"/>
      <c r="D640" s="359"/>
      <c r="E640" s="607"/>
      <c r="F640" s="359"/>
      <c r="G640" s="381"/>
      <c r="H640" s="381"/>
      <c r="I640" s="381"/>
      <c r="J640" s="381"/>
      <c r="K640" s="381"/>
      <c r="L640" s="381"/>
      <c r="M640" s="381"/>
      <c r="N640" s="381"/>
      <c r="O640" s="381"/>
      <c r="P640" s="381"/>
      <c r="Q640" s="381"/>
      <c r="R640" s="381"/>
      <c r="S640" s="381"/>
      <c r="T640" s="381"/>
      <c r="U640" s="381"/>
      <c r="V640" s="381"/>
      <c r="W640" s="381"/>
      <c r="X640" s="381"/>
      <c r="Y640" s="381"/>
    </row>
    <row r="641">
      <c r="A641" s="359"/>
      <c r="B641" s="381"/>
      <c r="C641" s="18"/>
      <c r="D641" s="359"/>
      <c r="E641" s="607"/>
      <c r="F641" s="359"/>
      <c r="G641" s="381"/>
      <c r="H641" s="381"/>
      <c r="I641" s="381"/>
      <c r="J641" s="381"/>
      <c r="K641" s="381"/>
      <c r="L641" s="381"/>
      <c r="M641" s="381"/>
      <c r="N641" s="381"/>
      <c r="O641" s="381"/>
      <c r="P641" s="381"/>
      <c r="Q641" s="381"/>
      <c r="R641" s="381"/>
      <c r="S641" s="381"/>
      <c r="T641" s="381"/>
      <c r="U641" s="381"/>
      <c r="V641" s="381"/>
      <c r="W641" s="381"/>
      <c r="X641" s="381"/>
      <c r="Y641" s="381"/>
    </row>
    <row r="642">
      <c r="A642" s="359"/>
      <c r="B642" s="381"/>
      <c r="C642" s="18"/>
      <c r="D642" s="359"/>
      <c r="E642" s="607"/>
      <c r="F642" s="359"/>
      <c r="G642" s="381"/>
      <c r="H642" s="381"/>
      <c r="I642" s="381"/>
      <c r="J642" s="381"/>
      <c r="K642" s="381"/>
      <c r="L642" s="381"/>
      <c r="M642" s="381"/>
      <c r="N642" s="381"/>
      <c r="O642" s="381"/>
      <c r="P642" s="381"/>
      <c r="Q642" s="381"/>
      <c r="R642" s="381"/>
      <c r="S642" s="381"/>
      <c r="T642" s="381"/>
      <c r="U642" s="381"/>
      <c r="V642" s="381"/>
      <c r="W642" s="381"/>
      <c r="X642" s="381"/>
      <c r="Y642" s="381"/>
    </row>
    <row r="643">
      <c r="A643" s="359"/>
      <c r="B643" s="381"/>
      <c r="C643" s="18"/>
      <c r="D643" s="359"/>
      <c r="E643" s="607"/>
      <c r="F643" s="359"/>
      <c r="G643" s="381"/>
      <c r="H643" s="381"/>
      <c r="I643" s="381"/>
      <c r="J643" s="381"/>
      <c r="K643" s="381"/>
      <c r="L643" s="381"/>
      <c r="M643" s="381"/>
      <c r="N643" s="381"/>
      <c r="O643" s="381"/>
      <c r="P643" s="381"/>
      <c r="Q643" s="381"/>
      <c r="R643" s="381"/>
      <c r="S643" s="381"/>
      <c r="T643" s="381"/>
      <c r="U643" s="381"/>
      <c r="V643" s="381"/>
      <c r="W643" s="381"/>
      <c r="X643" s="381"/>
      <c r="Y643" s="381"/>
    </row>
    <row r="644">
      <c r="A644" s="359"/>
      <c r="B644" s="381"/>
      <c r="C644" s="18"/>
      <c r="D644" s="359"/>
      <c r="E644" s="607"/>
      <c r="F644" s="359"/>
      <c r="G644" s="381"/>
      <c r="H644" s="381"/>
      <c r="I644" s="381"/>
      <c r="J644" s="381"/>
      <c r="K644" s="381"/>
      <c r="L644" s="381"/>
      <c r="M644" s="381"/>
      <c r="N644" s="381"/>
      <c r="O644" s="381"/>
      <c r="P644" s="381"/>
      <c r="Q644" s="381"/>
      <c r="R644" s="381"/>
      <c r="S644" s="381"/>
      <c r="T644" s="381"/>
      <c r="U644" s="381"/>
      <c r="V644" s="381"/>
      <c r="W644" s="381"/>
      <c r="X644" s="381"/>
      <c r="Y644" s="381"/>
    </row>
    <row r="645">
      <c r="A645" s="359"/>
      <c r="B645" s="381"/>
      <c r="C645" s="18"/>
      <c r="D645" s="359"/>
      <c r="E645" s="607"/>
      <c r="F645" s="359"/>
      <c r="G645" s="381"/>
      <c r="H645" s="381"/>
      <c r="I645" s="381"/>
      <c r="J645" s="381"/>
      <c r="K645" s="381"/>
      <c r="L645" s="381"/>
      <c r="M645" s="381"/>
      <c r="N645" s="381"/>
      <c r="O645" s="381"/>
      <c r="P645" s="381"/>
      <c r="Q645" s="381"/>
      <c r="R645" s="381"/>
      <c r="S645" s="381"/>
      <c r="T645" s="381"/>
      <c r="U645" s="381"/>
      <c r="V645" s="381"/>
      <c r="W645" s="381"/>
      <c r="X645" s="381"/>
      <c r="Y645" s="381"/>
    </row>
    <row r="646">
      <c r="A646" s="359"/>
      <c r="B646" s="381"/>
      <c r="C646" s="18"/>
      <c r="D646" s="359"/>
      <c r="E646" s="607"/>
      <c r="F646" s="359"/>
      <c r="G646" s="381"/>
      <c r="H646" s="381"/>
      <c r="I646" s="381"/>
      <c r="J646" s="381"/>
      <c r="K646" s="381"/>
      <c r="L646" s="381"/>
      <c r="M646" s="381"/>
      <c r="N646" s="381"/>
      <c r="O646" s="381"/>
      <c r="P646" s="381"/>
      <c r="Q646" s="381"/>
      <c r="R646" s="381"/>
      <c r="S646" s="381"/>
      <c r="T646" s="381"/>
      <c r="U646" s="381"/>
      <c r="V646" s="381"/>
      <c r="W646" s="381"/>
      <c r="X646" s="381"/>
      <c r="Y646" s="381"/>
    </row>
    <row r="647">
      <c r="A647" s="359"/>
      <c r="B647" s="381"/>
      <c r="C647" s="18"/>
      <c r="D647" s="359"/>
      <c r="E647" s="607"/>
      <c r="F647" s="359"/>
      <c r="G647" s="381"/>
      <c r="H647" s="381"/>
      <c r="I647" s="381"/>
      <c r="J647" s="381"/>
      <c r="K647" s="381"/>
      <c r="L647" s="381"/>
      <c r="M647" s="381"/>
      <c r="N647" s="381"/>
      <c r="O647" s="381"/>
      <c r="P647" s="381"/>
      <c r="Q647" s="381"/>
      <c r="R647" s="381"/>
      <c r="S647" s="381"/>
      <c r="T647" s="381"/>
      <c r="U647" s="381"/>
      <c r="V647" s="381"/>
      <c r="W647" s="381"/>
      <c r="X647" s="381"/>
      <c r="Y647" s="381"/>
    </row>
    <row r="648">
      <c r="A648" s="359"/>
      <c r="B648" s="381"/>
      <c r="C648" s="18"/>
      <c r="D648" s="359"/>
      <c r="E648" s="607"/>
      <c r="F648" s="359"/>
      <c r="G648" s="381"/>
      <c r="H648" s="381"/>
      <c r="I648" s="381"/>
      <c r="J648" s="381"/>
      <c r="K648" s="381"/>
      <c r="L648" s="381"/>
      <c r="M648" s="381"/>
      <c r="N648" s="381"/>
      <c r="O648" s="381"/>
      <c r="P648" s="381"/>
      <c r="Q648" s="381"/>
      <c r="R648" s="381"/>
      <c r="S648" s="381"/>
      <c r="T648" s="381"/>
      <c r="U648" s="381"/>
      <c r="V648" s="381"/>
      <c r="W648" s="381"/>
      <c r="X648" s="381"/>
      <c r="Y648" s="381"/>
    </row>
    <row r="649">
      <c r="A649" s="359"/>
      <c r="B649" s="381"/>
      <c r="C649" s="18"/>
      <c r="D649" s="359"/>
      <c r="E649" s="607"/>
      <c r="F649" s="359"/>
      <c r="G649" s="381"/>
      <c r="H649" s="381"/>
      <c r="I649" s="381"/>
      <c r="J649" s="381"/>
      <c r="K649" s="381"/>
      <c r="L649" s="381"/>
      <c r="M649" s="381"/>
      <c r="N649" s="381"/>
      <c r="O649" s="381"/>
      <c r="P649" s="381"/>
      <c r="Q649" s="381"/>
      <c r="R649" s="381"/>
      <c r="S649" s="381"/>
      <c r="T649" s="381"/>
      <c r="U649" s="381"/>
      <c r="V649" s="381"/>
      <c r="W649" s="381"/>
      <c r="X649" s="381"/>
      <c r="Y649" s="381"/>
    </row>
    <row r="650">
      <c r="A650" s="359"/>
      <c r="B650" s="381"/>
      <c r="C650" s="18"/>
      <c r="D650" s="359"/>
      <c r="E650" s="607"/>
      <c r="F650" s="359"/>
      <c r="G650" s="381"/>
      <c r="H650" s="381"/>
      <c r="I650" s="381"/>
      <c r="J650" s="381"/>
      <c r="K650" s="381"/>
      <c r="L650" s="381"/>
      <c r="M650" s="381"/>
      <c r="N650" s="381"/>
      <c r="O650" s="381"/>
      <c r="P650" s="381"/>
      <c r="Q650" s="381"/>
      <c r="R650" s="381"/>
      <c r="S650" s="381"/>
      <c r="T650" s="381"/>
      <c r="U650" s="381"/>
      <c r="V650" s="381"/>
      <c r="W650" s="381"/>
      <c r="X650" s="381"/>
      <c r="Y650" s="381"/>
    </row>
    <row r="651">
      <c r="A651" s="359"/>
      <c r="B651" s="381"/>
      <c r="C651" s="18"/>
      <c r="D651" s="359"/>
      <c r="E651" s="607"/>
      <c r="F651" s="359"/>
      <c r="G651" s="381"/>
      <c r="H651" s="381"/>
      <c r="I651" s="381"/>
      <c r="J651" s="381"/>
      <c r="K651" s="381"/>
      <c r="L651" s="381"/>
      <c r="M651" s="381"/>
      <c r="N651" s="381"/>
      <c r="O651" s="381"/>
      <c r="P651" s="381"/>
      <c r="Q651" s="381"/>
      <c r="R651" s="381"/>
      <c r="S651" s="381"/>
      <c r="T651" s="381"/>
      <c r="U651" s="381"/>
      <c r="V651" s="381"/>
      <c r="W651" s="381"/>
      <c r="X651" s="381"/>
      <c r="Y651" s="381"/>
    </row>
    <row r="652">
      <c r="A652" s="359"/>
      <c r="B652" s="381"/>
      <c r="C652" s="18"/>
      <c r="D652" s="359"/>
      <c r="E652" s="607"/>
      <c r="F652" s="359"/>
      <c r="G652" s="381"/>
      <c r="H652" s="381"/>
      <c r="I652" s="381"/>
      <c r="J652" s="381"/>
      <c r="K652" s="381"/>
      <c r="L652" s="381"/>
      <c r="M652" s="381"/>
      <c r="N652" s="381"/>
      <c r="O652" s="381"/>
      <c r="P652" s="381"/>
      <c r="Q652" s="381"/>
      <c r="R652" s="381"/>
      <c r="S652" s="381"/>
      <c r="T652" s="381"/>
      <c r="U652" s="381"/>
      <c r="V652" s="381"/>
      <c r="W652" s="381"/>
      <c r="X652" s="381"/>
      <c r="Y652" s="381"/>
    </row>
    <row r="653">
      <c r="A653" s="359"/>
      <c r="B653" s="381"/>
      <c r="C653" s="18"/>
      <c r="D653" s="359"/>
      <c r="E653" s="607"/>
      <c r="F653" s="359"/>
      <c r="G653" s="381"/>
      <c r="H653" s="381"/>
      <c r="I653" s="381"/>
      <c r="J653" s="381"/>
      <c r="K653" s="381"/>
      <c r="L653" s="381"/>
      <c r="M653" s="381"/>
      <c r="N653" s="381"/>
      <c r="O653" s="381"/>
      <c r="P653" s="381"/>
      <c r="Q653" s="381"/>
      <c r="R653" s="381"/>
      <c r="S653" s="381"/>
      <c r="T653" s="381"/>
      <c r="U653" s="381"/>
      <c r="V653" s="381"/>
      <c r="W653" s="381"/>
      <c r="X653" s="381"/>
      <c r="Y653" s="381"/>
    </row>
    <row r="654">
      <c r="A654" s="359"/>
      <c r="B654" s="381"/>
      <c r="C654" s="18"/>
      <c r="D654" s="359"/>
      <c r="E654" s="607"/>
      <c r="F654" s="359"/>
      <c r="G654" s="381"/>
      <c r="H654" s="381"/>
      <c r="I654" s="381"/>
      <c r="J654" s="381"/>
      <c r="K654" s="381"/>
      <c r="L654" s="381"/>
      <c r="M654" s="381"/>
      <c r="N654" s="381"/>
      <c r="O654" s="381"/>
      <c r="P654" s="381"/>
      <c r="Q654" s="381"/>
      <c r="R654" s="381"/>
      <c r="S654" s="381"/>
      <c r="T654" s="381"/>
      <c r="U654" s="381"/>
      <c r="V654" s="381"/>
      <c r="W654" s="381"/>
      <c r="X654" s="381"/>
      <c r="Y654" s="381"/>
    </row>
    <row r="655">
      <c r="A655" s="359"/>
      <c r="B655" s="381"/>
      <c r="C655" s="18"/>
      <c r="D655" s="359"/>
      <c r="E655" s="607"/>
      <c r="F655" s="359"/>
      <c r="G655" s="381"/>
      <c r="H655" s="381"/>
      <c r="I655" s="381"/>
      <c r="J655" s="381"/>
      <c r="K655" s="381"/>
      <c r="L655" s="381"/>
      <c r="M655" s="381"/>
      <c r="N655" s="381"/>
      <c r="O655" s="381"/>
      <c r="P655" s="381"/>
      <c r="Q655" s="381"/>
      <c r="R655" s="381"/>
      <c r="S655" s="381"/>
      <c r="T655" s="381"/>
      <c r="U655" s="381"/>
      <c r="V655" s="381"/>
      <c r="W655" s="381"/>
      <c r="X655" s="381"/>
      <c r="Y655" s="381"/>
    </row>
    <row r="656">
      <c r="A656" s="359"/>
      <c r="B656" s="381"/>
      <c r="C656" s="18"/>
      <c r="D656" s="359"/>
      <c r="E656" s="607"/>
      <c r="F656" s="359"/>
      <c r="G656" s="381"/>
      <c r="H656" s="381"/>
      <c r="I656" s="381"/>
      <c r="J656" s="381"/>
      <c r="K656" s="381"/>
      <c r="L656" s="381"/>
      <c r="M656" s="381"/>
      <c r="N656" s="381"/>
      <c r="O656" s="381"/>
      <c r="P656" s="381"/>
      <c r="Q656" s="381"/>
      <c r="R656" s="381"/>
      <c r="S656" s="381"/>
      <c r="T656" s="381"/>
      <c r="U656" s="381"/>
      <c r="V656" s="381"/>
      <c r="W656" s="381"/>
      <c r="X656" s="381"/>
      <c r="Y656" s="381"/>
    </row>
    <row r="657">
      <c r="A657" s="359"/>
      <c r="B657" s="381"/>
      <c r="C657" s="18"/>
      <c r="D657" s="359"/>
      <c r="E657" s="607"/>
      <c r="F657" s="359"/>
      <c r="G657" s="381"/>
      <c r="H657" s="381"/>
      <c r="I657" s="381"/>
      <c r="J657" s="381"/>
      <c r="K657" s="381"/>
      <c r="L657" s="381"/>
      <c r="M657" s="381"/>
      <c r="N657" s="381"/>
      <c r="O657" s="381"/>
      <c r="P657" s="381"/>
      <c r="Q657" s="381"/>
      <c r="R657" s="381"/>
      <c r="S657" s="381"/>
      <c r="T657" s="381"/>
      <c r="U657" s="381"/>
      <c r="V657" s="381"/>
      <c r="W657" s="381"/>
      <c r="X657" s="381"/>
      <c r="Y657" s="381"/>
    </row>
    <row r="658">
      <c r="A658" s="359"/>
      <c r="B658" s="381"/>
      <c r="C658" s="18"/>
      <c r="D658" s="359"/>
      <c r="E658" s="607"/>
      <c r="F658" s="359"/>
      <c r="G658" s="381"/>
      <c r="H658" s="381"/>
      <c r="I658" s="381"/>
      <c r="J658" s="381"/>
      <c r="K658" s="381"/>
      <c r="L658" s="381"/>
      <c r="M658" s="381"/>
      <c r="N658" s="381"/>
      <c r="O658" s="381"/>
      <c r="P658" s="381"/>
      <c r="Q658" s="381"/>
      <c r="R658" s="381"/>
      <c r="S658" s="381"/>
      <c r="T658" s="381"/>
      <c r="U658" s="381"/>
      <c r="V658" s="381"/>
      <c r="W658" s="381"/>
      <c r="X658" s="381"/>
      <c r="Y658" s="381"/>
    </row>
    <row r="659">
      <c r="A659" s="359"/>
      <c r="B659" s="381"/>
      <c r="C659" s="18"/>
      <c r="D659" s="359"/>
      <c r="E659" s="607"/>
      <c r="F659" s="359"/>
      <c r="G659" s="381"/>
      <c r="H659" s="381"/>
      <c r="I659" s="381"/>
      <c r="J659" s="381"/>
      <c r="K659" s="381"/>
      <c r="L659" s="381"/>
      <c r="M659" s="381"/>
      <c r="N659" s="381"/>
      <c r="O659" s="381"/>
      <c r="P659" s="381"/>
      <c r="Q659" s="381"/>
      <c r="R659" s="381"/>
      <c r="S659" s="381"/>
      <c r="T659" s="381"/>
      <c r="U659" s="381"/>
      <c r="V659" s="381"/>
      <c r="W659" s="381"/>
      <c r="X659" s="381"/>
      <c r="Y659" s="381"/>
    </row>
    <row r="660">
      <c r="A660" s="359"/>
      <c r="B660" s="381"/>
      <c r="C660" s="18"/>
      <c r="D660" s="359"/>
      <c r="E660" s="607"/>
      <c r="F660" s="359"/>
      <c r="G660" s="381"/>
      <c r="H660" s="381"/>
      <c r="I660" s="381"/>
      <c r="J660" s="381"/>
      <c r="K660" s="381"/>
      <c r="L660" s="381"/>
      <c r="M660" s="381"/>
      <c r="N660" s="381"/>
      <c r="O660" s="381"/>
      <c r="P660" s="381"/>
      <c r="Q660" s="381"/>
      <c r="R660" s="381"/>
      <c r="S660" s="381"/>
      <c r="T660" s="381"/>
      <c r="U660" s="381"/>
      <c r="V660" s="381"/>
      <c r="W660" s="381"/>
      <c r="X660" s="381"/>
      <c r="Y660" s="381"/>
    </row>
    <row r="661">
      <c r="A661" s="359"/>
      <c r="B661" s="381"/>
      <c r="C661" s="18"/>
      <c r="D661" s="359"/>
      <c r="E661" s="607"/>
      <c r="F661" s="359"/>
      <c r="G661" s="381"/>
      <c r="H661" s="381"/>
      <c r="I661" s="381"/>
      <c r="J661" s="381"/>
      <c r="K661" s="381"/>
      <c r="L661" s="381"/>
      <c r="M661" s="381"/>
      <c r="N661" s="381"/>
      <c r="O661" s="381"/>
      <c r="P661" s="381"/>
      <c r="Q661" s="381"/>
      <c r="R661" s="381"/>
      <c r="S661" s="381"/>
      <c r="T661" s="381"/>
      <c r="U661" s="381"/>
      <c r="V661" s="381"/>
      <c r="W661" s="381"/>
      <c r="X661" s="381"/>
      <c r="Y661" s="381"/>
    </row>
    <row r="662">
      <c r="A662" s="359"/>
      <c r="B662" s="381"/>
      <c r="C662" s="18"/>
      <c r="D662" s="359"/>
      <c r="E662" s="607"/>
      <c r="F662" s="359"/>
      <c r="G662" s="381"/>
      <c r="H662" s="381"/>
      <c r="I662" s="381"/>
      <c r="J662" s="381"/>
      <c r="K662" s="381"/>
      <c r="L662" s="381"/>
      <c r="M662" s="381"/>
      <c r="N662" s="381"/>
      <c r="O662" s="381"/>
      <c r="P662" s="381"/>
      <c r="Q662" s="381"/>
      <c r="R662" s="381"/>
      <c r="S662" s="381"/>
      <c r="T662" s="381"/>
      <c r="U662" s="381"/>
      <c r="V662" s="381"/>
      <c r="W662" s="381"/>
      <c r="X662" s="381"/>
      <c r="Y662" s="381"/>
    </row>
    <row r="663">
      <c r="A663" s="359"/>
      <c r="B663" s="381"/>
      <c r="C663" s="18"/>
      <c r="D663" s="359"/>
      <c r="E663" s="607"/>
      <c r="F663" s="359"/>
      <c r="G663" s="381"/>
      <c r="H663" s="381"/>
      <c r="I663" s="381"/>
      <c r="J663" s="381"/>
      <c r="K663" s="381"/>
      <c r="L663" s="381"/>
      <c r="M663" s="381"/>
      <c r="N663" s="381"/>
      <c r="O663" s="381"/>
      <c r="P663" s="381"/>
      <c r="Q663" s="381"/>
      <c r="R663" s="381"/>
      <c r="S663" s="381"/>
      <c r="T663" s="381"/>
      <c r="U663" s="381"/>
      <c r="V663" s="381"/>
      <c r="W663" s="381"/>
      <c r="X663" s="381"/>
      <c r="Y663" s="381"/>
    </row>
    <row r="664">
      <c r="A664" s="359"/>
      <c r="B664" s="381"/>
      <c r="C664" s="18"/>
      <c r="D664" s="359"/>
      <c r="E664" s="607"/>
      <c r="F664" s="359"/>
      <c r="G664" s="381"/>
      <c r="H664" s="381"/>
      <c r="I664" s="381"/>
      <c r="J664" s="381"/>
      <c r="K664" s="381"/>
      <c r="L664" s="381"/>
      <c r="M664" s="381"/>
      <c r="N664" s="381"/>
      <c r="O664" s="381"/>
      <c r="P664" s="381"/>
      <c r="Q664" s="381"/>
      <c r="R664" s="381"/>
      <c r="S664" s="381"/>
      <c r="T664" s="381"/>
      <c r="U664" s="381"/>
      <c r="V664" s="381"/>
      <c r="W664" s="381"/>
      <c r="X664" s="381"/>
      <c r="Y664" s="381"/>
    </row>
    <row r="665">
      <c r="A665" s="359"/>
      <c r="B665" s="381"/>
      <c r="C665" s="18"/>
      <c r="D665" s="359"/>
      <c r="E665" s="607"/>
      <c r="F665" s="359"/>
      <c r="G665" s="381"/>
      <c r="H665" s="381"/>
      <c r="I665" s="381"/>
      <c r="J665" s="381"/>
      <c r="K665" s="381"/>
      <c r="L665" s="381"/>
      <c r="M665" s="381"/>
      <c r="N665" s="381"/>
      <c r="O665" s="381"/>
      <c r="P665" s="381"/>
      <c r="Q665" s="381"/>
      <c r="R665" s="381"/>
      <c r="S665" s="381"/>
      <c r="T665" s="381"/>
      <c r="U665" s="381"/>
      <c r="V665" s="381"/>
      <c r="W665" s="381"/>
      <c r="X665" s="381"/>
      <c r="Y665" s="381"/>
    </row>
    <row r="666">
      <c r="A666" s="359"/>
      <c r="B666" s="381"/>
      <c r="C666" s="18"/>
      <c r="D666" s="359"/>
      <c r="E666" s="607"/>
      <c r="F666" s="359"/>
      <c r="G666" s="381"/>
      <c r="H666" s="381"/>
      <c r="I666" s="381"/>
      <c r="J666" s="381"/>
      <c r="K666" s="381"/>
      <c r="L666" s="381"/>
      <c r="M666" s="381"/>
      <c r="N666" s="381"/>
      <c r="O666" s="381"/>
      <c r="P666" s="381"/>
      <c r="Q666" s="381"/>
      <c r="R666" s="381"/>
      <c r="S666" s="381"/>
      <c r="T666" s="381"/>
      <c r="U666" s="381"/>
      <c r="V666" s="381"/>
      <c r="W666" s="381"/>
      <c r="X666" s="381"/>
      <c r="Y666" s="381"/>
    </row>
    <row r="667">
      <c r="A667" s="359"/>
      <c r="B667" s="381"/>
      <c r="C667" s="18"/>
      <c r="D667" s="359"/>
      <c r="E667" s="607"/>
      <c r="F667" s="359"/>
      <c r="G667" s="381"/>
      <c r="H667" s="381"/>
      <c r="I667" s="381"/>
      <c r="J667" s="381"/>
      <c r="K667" s="381"/>
      <c r="L667" s="381"/>
      <c r="M667" s="381"/>
      <c r="N667" s="381"/>
      <c r="O667" s="381"/>
      <c r="P667" s="381"/>
      <c r="Q667" s="381"/>
      <c r="R667" s="381"/>
      <c r="S667" s="381"/>
      <c r="T667" s="381"/>
      <c r="U667" s="381"/>
      <c r="V667" s="381"/>
      <c r="W667" s="381"/>
      <c r="X667" s="381"/>
      <c r="Y667" s="381"/>
    </row>
    <row r="668">
      <c r="A668" s="359"/>
      <c r="B668" s="381"/>
      <c r="C668" s="18"/>
      <c r="D668" s="359"/>
      <c r="E668" s="607"/>
      <c r="F668" s="359"/>
      <c r="G668" s="381"/>
      <c r="H668" s="381"/>
      <c r="I668" s="381"/>
      <c r="J668" s="381"/>
      <c r="K668" s="381"/>
      <c r="L668" s="381"/>
      <c r="M668" s="381"/>
      <c r="N668" s="381"/>
      <c r="O668" s="381"/>
      <c r="P668" s="381"/>
      <c r="Q668" s="381"/>
      <c r="R668" s="381"/>
      <c r="S668" s="381"/>
      <c r="T668" s="381"/>
      <c r="U668" s="381"/>
      <c r="V668" s="381"/>
      <c r="W668" s="381"/>
      <c r="X668" s="381"/>
      <c r="Y668" s="381"/>
    </row>
    <row r="669">
      <c r="A669" s="359"/>
      <c r="B669" s="381"/>
      <c r="C669" s="18"/>
      <c r="D669" s="359"/>
      <c r="E669" s="607"/>
      <c r="F669" s="359"/>
      <c r="G669" s="381"/>
      <c r="H669" s="381"/>
      <c r="I669" s="381"/>
      <c r="J669" s="381"/>
      <c r="K669" s="381"/>
      <c r="L669" s="381"/>
      <c r="M669" s="381"/>
      <c r="N669" s="381"/>
      <c r="O669" s="381"/>
      <c r="P669" s="381"/>
      <c r="Q669" s="381"/>
      <c r="R669" s="381"/>
      <c r="S669" s="381"/>
      <c r="T669" s="381"/>
      <c r="U669" s="381"/>
      <c r="V669" s="381"/>
      <c r="W669" s="381"/>
      <c r="X669" s="381"/>
      <c r="Y669" s="381"/>
    </row>
    <row r="670">
      <c r="A670" s="359"/>
      <c r="B670" s="381"/>
      <c r="C670" s="18"/>
      <c r="D670" s="359"/>
      <c r="E670" s="607"/>
      <c r="F670" s="359"/>
      <c r="G670" s="381"/>
      <c r="H670" s="381"/>
      <c r="I670" s="381"/>
      <c r="J670" s="381"/>
      <c r="K670" s="381"/>
      <c r="L670" s="381"/>
      <c r="M670" s="381"/>
      <c r="N670" s="381"/>
      <c r="O670" s="381"/>
      <c r="P670" s="381"/>
      <c r="Q670" s="381"/>
      <c r="R670" s="381"/>
      <c r="S670" s="381"/>
      <c r="T670" s="381"/>
      <c r="U670" s="381"/>
      <c r="V670" s="381"/>
      <c r="W670" s="381"/>
      <c r="X670" s="381"/>
      <c r="Y670" s="381"/>
    </row>
    <row r="671">
      <c r="A671" s="359"/>
      <c r="B671" s="381"/>
      <c r="C671" s="18"/>
      <c r="D671" s="359"/>
      <c r="E671" s="607"/>
      <c r="F671" s="359"/>
      <c r="G671" s="381"/>
      <c r="H671" s="381"/>
      <c r="I671" s="381"/>
      <c r="J671" s="381"/>
      <c r="K671" s="381"/>
      <c r="L671" s="381"/>
      <c r="M671" s="381"/>
      <c r="N671" s="381"/>
      <c r="O671" s="381"/>
      <c r="P671" s="381"/>
      <c r="Q671" s="381"/>
      <c r="R671" s="381"/>
      <c r="S671" s="381"/>
      <c r="T671" s="381"/>
      <c r="U671" s="381"/>
      <c r="V671" s="381"/>
      <c r="W671" s="381"/>
      <c r="X671" s="381"/>
      <c r="Y671" s="381"/>
    </row>
    <row r="672">
      <c r="A672" s="359"/>
      <c r="B672" s="381"/>
      <c r="C672" s="18"/>
      <c r="D672" s="359"/>
      <c r="E672" s="607"/>
      <c r="F672" s="359"/>
      <c r="G672" s="381"/>
      <c r="H672" s="381"/>
      <c r="I672" s="381"/>
      <c r="J672" s="381"/>
      <c r="K672" s="381"/>
      <c r="L672" s="381"/>
      <c r="M672" s="381"/>
      <c r="N672" s="381"/>
      <c r="O672" s="381"/>
      <c r="P672" s="381"/>
      <c r="Q672" s="381"/>
      <c r="R672" s="381"/>
      <c r="S672" s="381"/>
      <c r="T672" s="381"/>
      <c r="U672" s="381"/>
      <c r="V672" s="381"/>
      <c r="W672" s="381"/>
      <c r="X672" s="381"/>
      <c r="Y672" s="381"/>
    </row>
    <row r="673">
      <c r="A673" s="359"/>
      <c r="B673" s="381"/>
      <c r="C673" s="18"/>
      <c r="D673" s="359"/>
      <c r="E673" s="607"/>
      <c r="F673" s="359"/>
      <c r="G673" s="381"/>
      <c r="H673" s="381"/>
      <c r="I673" s="381"/>
      <c r="J673" s="381"/>
      <c r="K673" s="381"/>
      <c r="L673" s="381"/>
      <c r="M673" s="381"/>
      <c r="N673" s="381"/>
      <c r="O673" s="381"/>
      <c r="P673" s="381"/>
      <c r="Q673" s="381"/>
      <c r="R673" s="381"/>
      <c r="S673" s="381"/>
      <c r="T673" s="381"/>
      <c r="U673" s="381"/>
      <c r="V673" s="381"/>
      <c r="W673" s="381"/>
      <c r="X673" s="381"/>
      <c r="Y673" s="381"/>
    </row>
    <row r="674">
      <c r="A674" s="359"/>
      <c r="B674" s="381"/>
      <c r="C674" s="18"/>
      <c r="D674" s="359"/>
      <c r="E674" s="607"/>
      <c r="F674" s="359"/>
      <c r="G674" s="381"/>
      <c r="H674" s="381"/>
      <c r="I674" s="381"/>
      <c r="J674" s="381"/>
      <c r="K674" s="381"/>
      <c r="L674" s="381"/>
      <c r="M674" s="381"/>
      <c r="N674" s="381"/>
      <c r="O674" s="381"/>
      <c r="P674" s="381"/>
      <c r="Q674" s="381"/>
      <c r="R674" s="381"/>
      <c r="S674" s="381"/>
      <c r="T674" s="381"/>
      <c r="U674" s="381"/>
      <c r="V674" s="381"/>
      <c r="W674" s="381"/>
      <c r="X674" s="381"/>
      <c r="Y674" s="381"/>
    </row>
    <row r="675">
      <c r="A675" s="359"/>
      <c r="B675" s="381"/>
      <c r="C675" s="18"/>
      <c r="D675" s="359"/>
      <c r="E675" s="607"/>
      <c r="F675" s="359"/>
      <c r="G675" s="381"/>
      <c r="H675" s="381"/>
      <c r="I675" s="381"/>
      <c r="J675" s="381"/>
      <c r="K675" s="381"/>
      <c r="L675" s="381"/>
      <c r="M675" s="381"/>
      <c r="N675" s="381"/>
      <c r="O675" s="381"/>
      <c r="P675" s="381"/>
      <c r="Q675" s="381"/>
      <c r="R675" s="381"/>
      <c r="S675" s="381"/>
      <c r="T675" s="381"/>
      <c r="U675" s="381"/>
      <c r="V675" s="381"/>
      <c r="W675" s="381"/>
      <c r="X675" s="381"/>
      <c r="Y675" s="381"/>
    </row>
    <row r="676">
      <c r="A676" s="359"/>
      <c r="B676" s="381"/>
      <c r="C676" s="18"/>
      <c r="D676" s="359"/>
      <c r="E676" s="607"/>
      <c r="F676" s="359"/>
      <c r="G676" s="381"/>
      <c r="H676" s="381"/>
      <c r="I676" s="381"/>
      <c r="J676" s="381"/>
      <c r="K676" s="381"/>
      <c r="L676" s="381"/>
      <c r="M676" s="381"/>
      <c r="N676" s="381"/>
      <c r="O676" s="381"/>
      <c r="P676" s="381"/>
      <c r="Q676" s="381"/>
      <c r="R676" s="381"/>
      <c r="S676" s="381"/>
      <c r="T676" s="381"/>
      <c r="U676" s="381"/>
      <c r="V676" s="381"/>
      <c r="W676" s="381"/>
      <c r="X676" s="381"/>
      <c r="Y676" s="381"/>
    </row>
    <row r="677">
      <c r="A677" s="359"/>
      <c r="B677" s="381"/>
      <c r="C677" s="18"/>
      <c r="D677" s="359"/>
      <c r="E677" s="607"/>
      <c r="F677" s="359"/>
      <c r="G677" s="381"/>
      <c r="H677" s="381"/>
      <c r="I677" s="381"/>
      <c r="J677" s="381"/>
      <c r="K677" s="381"/>
      <c r="L677" s="381"/>
      <c r="M677" s="381"/>
      <c r="N677" s="381"/>
      <c r="O677" s="381"/>
      <c r="P677" s="381"/>
      <c r="Q677" s="381"/>
      <c r="R677" s="381"/>
      <c r="S677" s="381"/>
      <c r="T677" s="381"/>
      <c r="U677" s="381"/>
      <c r="V677" s="381"/>
      <c r="W677" s="381"/>
      <c r="X677" s="381"/>
      <c r="Y677" s="381"/>
    </row>
    <row r="678">
      <c r="A678" s="359"/>
      <c r="B678" s="381"/>
      <c r="C678" s="18"/>
      <c r="D678" s="359"/>
      <c r="E678" s="607"/>
      <c r="F678" s="359"/>
      <c r="G678" s="381"/>
      <c r="H678" s="381"/>
      <c r="I678" s="381"/>
      <c r="J678" s="381"/>
      <c r="K678" s="381"/>
      <c r="L678" s="381"/>
      <c r="M678" s="381"/>
      <c r="N678" s="381"/>
      <c r="O678" s="381"/>
      <c r="P678" s="381"/>
      <c r="Q678" s="381"/>
      <c r="R678" s="381"/>
      <c r="S678" s="381"/>
      <c r="T678" s="381"/>
      <c r="U678" s="381"/>
      <c r="V678" s="381"/>
      <c r="W678" s="381"/>
      <c r="X678" s="381"/>
      <c r="Y678" s="381"/>
    </row>
    <row r="679">
      <c r="A679" s="359"/>
      <c r="B679" s="381"/>
      <c r="C679" s="18"/>
      <c r="D679" s="359"/>
      <c r="E679" s="607"/>
      <c r="F679" s="359"/>
      <c r="G679" s="381"/>
      <c r="H679" s="381"/>
      <c r="I679" s="381"/>
      <c r="J679" s="381"/>
      <c r="K679" s="381"/>
      <c r="L679" s="381"/>
      <c r="M679" s="381"/>
      <c r="N679" s="381"/>
      <c r="O679" s="381"/>
      <c r="P679" s="381"/>
      <c r="Q679" s="381"/>
      <c r="R679" s="381"/>
      <c r="S679" s="381"/>
      <c r="T679" s="381"/>
      <c r="U679" s="381"/>
      <c r="V679" s="381"/>
      <c r="W679" s="381"/>
      <c r="X679" s="381"/>
      <c r="Y679" s="381"/>
    </row>
    <row r="680">
      <c r="A680" s="359"/>
      <c r="B680" s="381"/>
      <c r="C680" s="18"/>
      <c r="D680" s="359"/>
      <c r="E680" s="607"/>
      <c r="F680" s="359"/>
      <c r="G680" s="381"/>
      <c r="H680" s="381"/>
      <c r="I680" s="381"/>
      <c r="J680" s="381"/>
      <c r="K680" s="381"/>
      <c r="L680" s="381"/>
      <c r="M680" s="381"/>
      <c r="N680" s="381"/>
      <c r="O680" s="381"/>
      <c r="P680" s="381"/>
      <c r="Q680" s="381"/>
      <c r="R680" s="381"/>
      <c r="S680" s="381"/>
      <c r="T680" s="381"/>
      <c r="U680" s="381"/>
      <c r="V680" s="381"/>
      <c r="W680" s="381"/>
      <c r="X680" s="381"/>
      <c r="Y680" s="381"/>
    </row>
    <row r="681">
      <c r="A681" s="359"/>
      <c r="B681" s="381"/>
      <c r="C681" s="18"/>
      <c r="D681" s="359"/>
      <c r="E681" s="607"/>
      <c r="F681" s="359"/>
      <c r="G681" s="381"/>
      <c r="H681" s="381"/>
      <c r="I681" s="381"/>
      <c r="J681" s="381"/>
      <c r="K681" s="381"/>
      <c r="L681" s="381"/>
      <c r="M681" s="381"/>
      <c r="N681" s="381"/>
      <c r="O681" s="381"/>
      <c r="P681" s="381"/>
      <c r="Q681" s="381"/>
      <c r="R681" s="381"/>
      <c r="S681" s="381"/>
      <c r="T681" s="381"/>
      <c r="U681" s="381"/>
      <c r="V681" s="381"/>
      <c r="W681" s="381"/>
      <c r="X681" s="381"/>
      <c r="Y681" s="381"/>
    </row>
    <row r="682">
      <c r="A682" s="359"/>
      <c r="B682" s="381"/>
      <c r="C682" s="18"/>
      <c r="D682" s="359"/>
      <c r="E682" s="607"/>
      <c r="F682" s="359"/>
      <c r="G682" s="381"/>
      <c r="H682" s="381"/>
      <c r="I682" s="381"/>
      <c r="J682" s="381"/>
      <c r="K682" s="381"/>
      <c r="L682" s="381"/>
      <c r="M682" s="381"/>
      <c r="N682" s="381"/>
      <c r="O682" s="381"/>
      <c r="P682" s="381"/>
      <c r="Q682" s="381"/>
      <c r="R682" s="381"/>
      <c r="S682" s="381"/>
      <c r="T682" s="381"/>
      <c r="U682" s="381"/>
      <c r="V682" s="381"/>
      <c r="W682" s="381"/>
      <c r="X682" s="381"/>
      <c r="Y682" s="381"/>
    </row>
    <row r="683">
      <c r="A683" s="359"/>
      <c r="B683" s="381"/>
      <c r="C683" s="18"/>
      <c r="D683" s="359"/>
      <c r="E683" s="607"/>
      <c r="F683" s="359"/>
      <c r="G683" s="381"/>
      <c r="H683" s="381"/>
      <c r="I683" s="381"/>
      <c r="J683" s="381"/>
      <c r="K683" s="381"/>
      <c r="L683" s="381"/>
      <c r="M683" s="381"/>
      <c r="N683" s="381"/>
      <c r="O683" s="381"/>
      <c r="P683" s="381"/>
      <c r="Q683" s="381"/>
      <c r="R683" s="381"/>
      <c r="S683" s="381"/>
      <c r="T683" s="381"/>
      <c r="U683" s="381"/>
      <c r="V683" s="381"/>
      <c r="W683" s="381"/>
      <c r="X683" s="381"/>
      <c r="Y683" s="381"/>
    </row>
    <row r="684">
      <c r="A684" s="359"/>
      <c r="B684" s="381"/>
      <c r="C684" s="18"/>
      <c r="D684" s="359"/>
      <c r="E684" s="607"/>
      <c r="F684" s="359"/>
      <c r="G684" s="381"/>
      <c r="H684" s="381"/>
      <c r="I684" s="381"/>
      <c r="J684" s="381"/>
      <c r="K684" s="381"/>
      <c r="L684" s="381"/>
      <c r="M684" s="381"/>
      <c r="N684" s="381"/>
      <c r="O684" s="381"/>
      <c r="P684" s="381"/>
      <c r="Q684" s="381"/>
      <c r="R684" s="381"/>
      <c r="S684" s="381"/>
      <c r="T684" s="381"/>
      <c r="U684" s="381"/>
      <c r="V684" s="381"/>
      <c r="W684" s="381"/>
      <c r="X684" s="381"/>
      <c r="Y684" s="381"/>
    </row>
    <row r="685">
      <c r="A685" s="359"/>
      <c r="B685" s="381"/>
      <c r="C685" s="18"/>
      <c r="D685" s="359"/>
      <c r="E685" s="607"/>
      <c r="F685" s="359"/>
      <c r="G685" s="381"/>
      <c r="H685" s="381"/>
      <c r="I685" s="381"/>
      <c r="J685" s="381"/>
      <c r="K685" s="381"/>
      <c r="L685" s="381"/>
      <c r="M685" s="381"/>
      <c r="N685" s="381"/>
      <c r="O685" s="381"/>
      <c r="P685" s="381"/>
      <c r="Q685" s="381"/>
      <c r="R685" s="381"/>
      <c r="S685" s="381"/>
      <c r="T685" s="381"/>
      <c r="U685" s="381"/>
      <c r="V685" s="381"/>
      <c r="W685" s="381"/>
      <c r="X685" s="381"/>
      <c r="Y685" s="381"/>
    </row>
    <row r="686">
      <c r="A686" s="359"/>
      <c r="B686" s="381"/>
      <c r="C686" s="18"/>
      <c r="D686" s="359"/>
      <c r="E686" s="607"/>
      <c r="F686" s="359"/>
      <c r="G686" s="381"/>
      <c r="H686" s="381"/>
      <c r="I686" s="381"/>
      <c r="J686" s="381"/>
      <c r="K686" s="381"/>
      <c r="L686" s="381"/>
      <c r="M686" s="381"/>
      <c r="N686" s="381"/>
      <c r="O686" s="381"/>
      <c r="P686" s="381"/>
      <c r="Q686" s="381"/>
      <c r="R686" s="381"/>
      <c r="S686" s="381"/>
      <c r="T686" s="381"/>
      <c r="U686" s="381"/>
      <c r="V686" s="381"/>
      <c r="W686" s="381"/>
      <c r="X686" s="381"/>
      <c r="Y686" s="381"/>
    </row>
    <row r="687">
      <c r="A687" s="359"/>
      <c r="B687" s="381"/>
      <c r="C687" s="18"/>
      <c r="D687" s="359"/>
      <c r="E687" s="607"/>
      <c r="F687" s="359"/>
      <c r="G687" s="381"/>
      <c r="H687" s="381"/>
      <c r="I687" s="381"/>
      <c r="J687" s="381"/>
      <c r="K687" s="381"/>
      <c r="L687" s="381"/>
      <c r="M687" s="381"/>
      <c r="N687" s="381"/>
      <c r="O687" s="381"/>
      <c r="P687" s="381"/>
      <c r="Q687" s="381"/>
      <c r="R687" s="381"/>
      <c r="S687" s="381"/>
      <c r="T687" s="381"/>
      <c r="U687" s="381"/>
      <c r="V687" s="381"/>
      <c r="W687" s="381"/>
      <c r="X687" s="381"/>
      <c r="Y687" s="381"/>
    </row>
    <row r="688">
      <c r="A688" s="359"/>
      <c r="B688" s="381"/>
      <c r="C688" s="18"/>
      <c r="D688" s="359"/>
      <c r="E688" s="607"/>
      <c r="F688" s="359"/>
      <c r="G688" s="381"/>
      <c r="H688" s="381"/>
      <c r="I688" s="381"/>
      <c r="J688" s="381"/>
      <c r="K688" s="381"/>
      <c r="L688" s="381"/>
      <c r="M688" s="381"/>
      <c r="N688" s="381"/>
      <c r="O688" s="381"/>
      <c r="P688" s="381"/>
      <c r="Q688" s="381"/>
      <c r="R688" s="381"/>
      <c r="S688" s="381"/>
      <c r="T688" s="381"/>
      <c r="U688" s="381"/>
      <c r="V688" s="381"/>
      <c r="W688" s="381"/>
      <c r="X688" s="381"/>
      <c r="Y688" s="381"/>
    </row>
    <row r="689">
      <c r="A689" s="359"/>
      <c r="B689" s="381"/>
      <c r="C689" s="18"/>
      <c r="D689" s="359"/>
      <c r="E689" s="607"/>
      <c r="F689" s="359"/>
      <c r="G689" s="381"/>
      <c r="H689" s="381"/>
      <c r="I689" s="381"/>
      <c r="J689" s="381"/>
      <c r="K689" s="381"/>
      <c r="L689" s="381"/>
      <c r="M689" s="381"/>
      <c r="N689" s="381"/>
      <c r="O689" s="381"/>
      <c r="P689" s="381"/>
      <c r="Q689" s="381"/>
      <c r="R689" s="381"/>
      <c r="S689" s="381"/>
      <c r="T689" s="381"/>
      <c r="U689" s="381"/>
      <c r="V689" s="381"/>
      <c r="W689" s="381"/>
      <c r="X689" s="381"/>
      <c r="Y689" s="381"/>
    </row>
    <row r="690">
      <c r="A690" s="359"/>
      <c r="B690" s="381"/>
      <c r="C690" s="18"/>
      <c r="D690" s="359"/>
      <c r="E690" s="607"/>
      <c r="F690" s="359"/>
      <c r="G690" s="381"/>
      <c r="H690" s="381"/>
      <c r="I690" s="381"/>
      <c r="J690" s="381"/>
      <c r="K690" s="381"/>
      <c r="L690" s="381"/>
      <c r="M690" s="381"/>
      <c r="N690" s="381"/>
      <c r="O690" s="381"/>
      <c r="P690" s="381"/>
      <c r="Q690" s="381"/>
      <c r="R690" s="381"/>
      <c r="S690" s="381"/>
      <c r="T690" s="381"/>
      <c r="U690" s="381"/>
      <c r="V690" s="381"/>
      <c r="W690" s="381"/>
      <c r="X690" s="381"/>
      <c r="Y690" s="381"/>
    </row>
    <row r="691">
      <c r="A691" s="359"/>
      <c r="B691" s="381"/>
      <c r="C691" s="18"/>
      <c r="D691" s="359"/>
      <c r="E691" s="607"/>
      <c r="F691" s="359"/>
      <c r="G691" s="381"/>
      <c r="H691" s="381"/>
      <c r="I691" s="381"/>
      <c r="J691" s="381"/>
      <c r="K691" s="381"/>
      <c r="L691" s="381"/>
      <c r="M691" s="381"/>
      <c r="N691" s="381"/>
      <c r="O691" s="381"/>
      <c r="P691" s="381"/>
      <c r="Q691" s="381"/>
      <c r="R691" s="381"/>
      <c r="S691" s="381"/>
      <c r="T691" s="381"/>
      <c r="U691" s="381"/>
      <c r="V691" s="381"/>
      <c r="W691" s="381"/>
      <c r="X691" s="381"/>
      <c r="Y691" s="381"/>
    </row>
    <row r="692">
      <c r="A692" s="359"/>
      <c r="B692" s="381"/>
      <c r="C692" s="18"/>
      <c r="D692" s="359"/>
      <c r="E692" s="607"/>
      <c r="F692" s="359"/>
      <c r="G692" s="381"/>
      <c r="H692" s="381"/>
      <c r="I692" s="381"/>
      <c r="J692" s="381"/>
      <c r="K692" s="381"/>
      <c r="L692" s="381"/>
      <c r="M692" s="381"/>
      <c r="N692" s="381"/>
      <c r="O692" s="381"/>
      <c r="P692" s="381"/>
      <c r="Q692" s="381"/>
      <c r="R692" s="381"/>
      <c r="S692" s="381"/>
      <c r="T692" s="381"/>
      <c r="U692" s="381"/>
      <c r="V692" s="381"/>
      <c r="W692" s="381"/>
      <c r="X692" s="381"/>
      <c r="Y692" s="381"/>
    </row>
    <row r="693">
      <c r="A693" s="359"/>
      <c r="B693" s="381"/>
      <c r="C693" s="18"/>
      <c r="D693" s="359"/>
      <c r="E693" s="607"/>
      <c r="F693" s="359"/>
      <c r="G693" s="381"/>
      <c r="H693" s="381"/>
      <c r="I693" s="381"/>
      <c r="J693" s="381"/>
      <c r="K693" s="381"/>
      <c r="L693" s="381"/>
      <c r="M693" s="381"/>
      <c r="N693" s="381"/>
      <c r="O693" s="381"/>
      <c r="P693" s="381"/>
      <c r="Q693" s="381"/>
      <c r="R693" s="381"/>
      <c r="S693" s="381"/>
      <c r="T693" s="381"/>
      <c r="U693" s="381"/>
      <c r="V693" s="381"/>
      <c r="W693" s="381"/>
      <c r="X693" s="381"/>
      <c r="Y693" s="381"/>
    </row>
    <row r="694">
      <c r="A694" s="359"/>
      <c r="B694" s="381"/>
      <c r="C694" s="18"/>
      <c r="D694" s="359"/>
      <c r="E694" s="607"/>
      <c r="F694" s="359"/>
      <c r="G694" s="381"/>
      <c r="H694" s="381"/>
      <c r="I694" s="381"/>
      <c r="J694" s="381"/>
      <c r="K694" s="381"/>
      <c r="L694" s="381"/>
      <c r="M694" s="381"/>
      <c r="N694" s="381"/>
      <c r="O694" s="381"/>
      <c r="P694" s="381"/>
      <c r="Q694" s="381"/>
      <c r="R694" s="381"/>
      <c r="S694" s="381"/>
      <c r="T694" s="381"/>
      <c r="U694" s="381"/>
      <c r="V694" s="381"/>
      <c r="W694" s="381"/>
      <c r="X694" s="381"/>
      <c r="Y694" s="381"/>
    </row>
    <row r="695">
      <c r="A695" s="359"/>
      <c r="B695" s="381"/>
      <c r="C695" s="18"/>
      <c r="D695" s="359"/>
      <c r="E695" s="607"/>
      <c r="F695" s="359"/>
      <c r="G695" s="381"/>
      <c r="H695" s="381"/>
      <c r="I695" s="381"/>
      <c r="J695" s="381"/>
      <c r="K695" s="381"/>
      <c r="L695" s="381"/>
      <c r="M695" s="381"/>
      <c r="N695" s="381"/>
      <c r="O695" s="381"/>
      <c r="P695" s="381"/>
      <c r="Q695" s="381"/>
      <c r="R695" s="381"/>
      <c r="S695" s="381"/>
      <c r="T695" s="381"/>
      <c r="U695" s="381"/>
      <c r="V695" s="381"/>
      <c r="W695" s="381"/>
      <c r="X695" s="381"/>
      <c r="Y695" s="381"/>
    </row>
    <row r="696">
      <c r="A696" s="359"/>
      <c r="B696" s="381"/>
      <c r="C696" s="18"/>
      <c r="D696" s="359"/>
      <c r="E696" s="607"/>
      <c r="F696" s="359"/>
      <c r="G696" s="381"/>
      <c r="H696" s="381"/>
      <c r="I696" s="381"/>
      <c r="J696" s="381"/>
      <c r="K696" s="381"/>
      <c r="L696" s="381"/>
      <c r="M696" s="381"/>
      <c r="N696" s="381"/>
      <c r="O696" s="381"/>
      <c r="P696" s="381"/>
      <c r="Q696" s="381"/>
      <c r="R696" s="381"/>
      <c r="S696" s="381"/>
      <c r="T696" s="381"/>
      <c r="U696" s="381"/>
      <c r="V696" s="381"/>
      <c r="W696" s="381"/>
      <c r="X696" s="381"/>
      <c r="Y696" s="381"/>
    </row>
    <row r="697">
      <c r="A697" s="359"/>
      <c r="B697" s="381"/>
      <c r="C697" s="18"/>
      <c r="D697" s="359"/>
      <c r="E697" s="607"/>
      <c r="F697" s="359"/>
      <c r="G697" s="381"/>
      <c r="H697" s="381"/>
      <c r="I697" s="381"/>
      <c r="J697" s="381"/>
      <c r="K697" s="381"/>
      <c r="L697" s="381"/>
      <c r="M697" s="381"/>
      <c r="N697" s="381"/>
      <c r="O697" s="381"/>
      <c r="P697" s="381"/>
      <c r="Q697" s="381"/>
      <c r="R697" s="381"/>
      <c r="S697" s="381"/>
      <c r="T697" s="381"/>
      <c r="U697" s="381"/>
      <c r="V697" s="381"/>
      <c r="W697" s="381"/>
      <c r="X697" s="381"/>
      <c r="Y697" s="381"/>
    </row>
    <row r="698">
      <c r="A698" s="359"/>
      <c r="B698" s="381"/>
      <c r="C698" s="18"/>
      <c r="D698" s="359"/>
      <c r="E698" s="607"/>
      <c r="F698" s="359"/>
      <c r="G698" s="381"/>
      <c r="H698" s="381"/>
      <c r="I698" s="381"/>
      <c r="J698" s="381"/>
      <c r="K698" s="381"/>
      <c r="L698" s="381"/>
      <c r="M698" s="381"/>
      <c r="N698" s="381"/>
      <c r="O698" s="381"/>
      <c r="P698" s="381"/>
      <c r="Q698" s="381"/>
      <c r="R698" s="381"/>
      <c r="S698" s="381"/>
      <c r="T698" s="381"/>
      <c r="U698" s="381"/>
      <c r="V698" s="381"/>
      <c r="W698" s="381"/>
      <c r="X698" s="381"/>
      <c r="Y698" s="381"/>
    </row>
    <row r="699">
      <c r="A699" s="359"/>
      <c r="B699" s="381"/>
      <c r="C699" s="18"/>
      <c r="D699" s="359"/>
      <c r="E699" s="607"/>
      <c r="F699" s="359"/>
      <c r="G699" s="381"/>
      <c r="H699" s="381"/>
      <c r="I699" s="381"/>
      <c r="J699" s="381"/>
      <c r="K699" s="381"/>
      <c r="L699" s="381"/>
      <c r="M699" s="381"/>
      <c r="N699" s="381"/>
      <c r="O699" s="381"/>
      <c r="P699" s="381"/>
      <c r="Q699" s="381"/>
      <c r="R699" s="381"/>
      <c r="S699" s="381"/>
      <c r="T699" s="381"/>
      <c r="U699" s="381"/>
      <c r="V699" s="381"/>
      <c r="W699" s="381"/>
      <c r="X699" s="381"/>
      <c r="Y699" s="381"/>
    </row>
    <row r="700">
      <c r="A700" s="359"/>
      <c r="B700" s="381"/>
      <c r="C700" s="18"/>
      <c r="D700" s="359"/>
      <c r="E700" s="607"/>
      <c r="F700" s="359"/>
      <c r="G700" s="381"/>
      <c r="H700" s="381"/>
      <c r="I700" s="381"/>
      <c r="J700" s="381"/>
      <c r="K700" s="381"/>
      <c r="L700" s="381"/>
      <c r="M700" s="381"/>
      <c r="N700" s="381"/>
      <c r="O700" s="381"/>
      <c r="P700" s="381"/>
      <c r="Q700" s="381"/>
      <c r="R700" s="381"/>
      <c r="S700" s="381"/>
      <c r="T700" s="381"/>
      <c r="U700" s="381"/>
      <c r="V700" s="381"/>
      <c r="W700" s="381"/>
      <c r="X700" s="381"/>
      <c r="Y700" s="381"/>
    </row>
    <row r="701">
      <c r="A701" s="359"/>
      <c r="B701" s="381"/>
      <c r="C701" s="18"/>
      <c r="D701" s="359"/>
      <c r="E701" s="607"/>
      <c r="F701" s="359"/>
      <c r="G701" s="381"/>
      <c r="H701" s="381"/>
      <c r="I701" s="381"/>
      <c r="J701" s="381"/>
      <c r="K701" s="381"/>
      <c r="L701" s="381"/>
      <c r="M701" s="381"/>
      <c r="N701" s="381"/>
      <c r="O701" s="381"/>
      <c r="P701" s="381"/>
      <c r="Q701" s="381"/>
      <c r="R701" s="381"/>
      <c r="S701" s="381"/>
      <c r="T701" s="381"/>
      <c r="U701" s="381"/>
      <c r="V701" s="381"/>
      <c r="W701" s="381"/>
      <c r="X701" s="381"/>
      <c r="Y701" s="381"/>
    </row>
    <row r="702">
      <c r="A702" s="359"/>
      <c r="B702" s="381"/>
      <c r="C702" s="18"/>
      <c r="D702" s="359"/>
      <c r="E702" s="607"/>
      <c r="F702" s="359"/>
      <c r="G702" s="381"/>
      <c r="H702" s="381"/>
      <c r="I702" s="381"/>
      <c r="J702" s="381"/>
      <c r="K702" s="381"/>
      <c r="L702" s="381"/>
      <c r="M702" s="381"/>
      <c r="N702" s="381"/>
      <c r="O702" s="381"/>
      <c r="P702" s="381"/>
      <c r="Q702" s="381"/>
      <c r="R702" s="381"/>
      <c r="S702" s="381"/>
      <c r="T702" s="381"/>
      <c r="U702" s="381"/>
      <c r="V702" s="381"/>
      <c r="W702" s="381"/>
      <c r="X702" s="381"/>
      <c r="Y702" s="381"/>
    </row>
    <row r="703">
      <c r="A703" s="359"/>
      <c r="B703" s="381"/>
      <c r="C703" s="18"/>
      <c r="D703" s="359"/>
      <c r="E703" s="607"/>
      <c r="F703" s="359"/>
      <c r="G703" s="381"/>
      <c r="H703" s="381"/>
      <c r="I703" s="381"/>
      <c r="J703" s="381"/>
      <c r="K703" s="381"/>
      <c r="L703" s="381"/>
      <c r="M703" s="381"/>
      <c r="N703" s="381"/>
      <c r="O703" s="381"/>
      <c r="P703" s="381"/>
      <c r="Q703" s="381"/>
      <c r="R703" s="381"/>
      <c r="S703" s="381"/>
      <c r="T703" s="381"/>
      <c r="U703" s="381"/>
      <c r="V703" s="381"/>
      <c r="W703" s="381"/>
      <c r="X703" s="381"/>
      <c r="Y703" s="381"/>
    </row>
    <row r="704">
      <c r="A704" s="359"/>
      <c r="B704" s="381"/>
      <c r="C704" s="18"/>
      <c r="D704" s="359"/>
      <c r="E704" s="607"/>
      <c r="F704" s="359"/>
      <c r="G704" s="381"/>
      <c r="H704" s="381"/>
      <c r="I704" s="381"/>
      <c r="J704" s="381"/>
      <c r="K704" s="381"/>
      <c r="L704" s="381"/>
      <c r="M704" s="381"/>
      <c r="N704" s="381"/>
      <c r="O704" s="381"/>
      <c r="P704" s="381"/>
      <c r="Q704" s="381"/>
      <c r="R704" s="381"/>
      <c r="S704" s="381"/>
      <c r="T704" s="381"/>
      <c r="U704" s="381"/>
      <c r="V704" s="381"/>
      <c r="W704" s="381"/>
      <c r="X704" s="381"/>
      <c r="Y704" s="381"/>
    </row>
    <row r="705">
      <c r="A705" s="359"/>
      <c r="B705" s="381"/>
      <c r="C705" s="18"/>
      <c r="D705" s="359"/>
      <c r="E705" s="607"/>
      <c r="F705" s="359"/>
      <c r="G705" s="381"/>
      <c r="H705" s="381"/>
      <c r="I705" s="381"/>
      <c r="J705" s="381"/>
      <c r="K705" s="381"/>
      <c r="L705" s="381"/>
      <c r="M705" s="381"/>
      <c r="N705" s="381"/>
      <c r="O705" s="381"/>
      <c r="P705" s="381"/>
      <c r="Q705" s="381"/>
      <c r="R705" s="381"/>
      <c r="S705" s="381"/>
      <c r="T705" s="381"/>
      <c r="U705" s="381"/>
      <c r="V705" s="381"/>
      <c r="W705" s="381"/>
      <c r="X705" s="381"/>
      <c r="Y705" s="381"/>
    </row>
    <row r="706">
      <c r="A706" s="359"/>
      <c r="B706" s="381"/>
      <c r="C706" s="18"/>
      <c r="D706" s="359"/>
      <c r="E706" s="607"/>
      <c r="F706" s="359"/>
      <c r="G706" s="381"/>
      <c r="H706" s="381"/>
      <c r="I706" s="381"/>
      <c r="J706" s="381"/>
      <c r="K706" s="381"/>
      <c r="L706" s="381"/>
      <c r="M706" s="381"/>
      <c r="N706" s="381"/>
      <c r="O706" s="381"/>
      <c r="P706" s="381"/>
      <c r="Q706" s="381"/>
      <c r="R706" s="381"/>
      <c r="S706" s="381"/>
      <c r="T706" s="381"/>
      <c r="U706" s="381"/>
      <c r="V706" s="381"/>
      <c r="W706" s="381"/>
      <c r="X706" s="381"/>
      <c r="Y706" s="381"/>
    </row>
    <row r="707">
      <c r="A707" s="359"/>
      <c r="B707" s="381"/>
      <c r="C707" s="18"/>
      <c r="D707" s="359"/>
      <c r="E707" s="607"/>
      <c r="F707" s="359"/>
      <c r="G707" s="381"/>
      <c r="H707" s="381"/>
      <c r="I707" s="381"/>
      <c r="J707" s="381"/>
      <c r="K707" s="381"/>
      <c r="L707" s="381"/>
      <c r="M707" s="381"/>
      <c r="N707" s="381"/>
      <c r="O707" s="381"/>
      <c r="P707" s="381"/>
      <c r="Q707" s="381"/>
      <c r="R707" s="381"/>
      <c r="S707" s="381"/>
      <c r="T707" s="381"/>
      <c r="U707" s="381"/>
      <c r="V707" s="381"/>
      <c r="W707" s="381"/>
      <c r="X707" s="381"/>
      <c r="Y707" s="381"/>
    </row>
    <row r="708">
      <c r="A708" s="359"/>
      <c r="B708" s="381"/>
      <c r="C708" s="18"/>
      <c r="D708" s="359"/>
      <c r="E708" s="607"/>
      <c r="F708" s="359"/>
      <c r="G708" s="381"/>
      <c r="H708" s="381"/>
      <c r="I708" s="381"/>
      <c r="J708" s="381"/>
      <c r="K708" s="381"/>
      <c r="L708" s="381"/>
      <c r="M708" s="381"/>
      <c r="N708" s="381"/>
      <c r="O708" s="381"/>
      <c r="P708" s="381"/>
      <c r="Q708" s="381"/>
      <c r="R708" s="381"/>
      <c r="S708" s="381"/>
      <c r="T708" s="381"/>
      <c r="U708" s="381"/>
      <c r="V708" s="381"/>
      <c r="W708" s="381"/>
      <c r="X708" s="381"/>
      <c r="Y708" s="381"/>
    </row>
    <row r="709">
      <c r="A709" s="359"/>
      <c r="B709" s="381"/>
      <c r="C709" s="18"/>
      <c r="D709" s="359"/>
      <c r="E709" s="607"/>
      <c r="F709" s="359"/>
      <c r="G709" s="381"/>
      <c r="H709" s="381"/>
      <c r="I709" s="381"/>
      <c r="J709" s="381"/>
      <c r="K709" s="381"/>
      <c r="L709" s="381"/>
      <c r="M709" s="381"/>
      <c r="N709" s="381"/>
      <c r="O709" s="381"/>
      <c r="P709" s="381"/>
      <c r="Q709" s="381"/>
      <c r="R709" s="381"/>
      <c r="S709" s="381"/>
      <c r="T709" s="381"/>
      <c r="U709" s="381"/>
      <c r="V709" s="381"/>
      <c r="W709" s="381"/>
      <c r="X709" s="381"/>
      <c r="Y709" s="381"/>
    </row>
    <row r="710">
      <c r="A710" s="359"/>
      <c r="B710" s="381"/>
      <c r="C710" s="18"/>
      <c r="D710" s="359"/>
      <c r="E710" s="607"/>
      <c r="F710" s="359"/>
      <c r="G710" s="381"/>
      <c r="H710" s="381"/>
      <c r="I710" s="381"/>
      <c r="J710" s="381"/>
      <c r="K710" s="381"/>
      <c r="L710" s="381"/>
      <c r="M710" s="381"/>
      <c r="N710" s="381"/>
      <c r="O710" s="381"/>
      <c r="P710" s="381"/>
      <c r="Q710" s="381"/>
      <c r="R710" s="381"/>
      <c r="S710" s="381"/>
      <c r="T710" s="381"/>
      <c r="U710" s="381"/>
      <c r="V710" s="381"/>
      <c r="W710" s="381"/>
      <c r="X710" s="381"/>
      <c r="Y710" s="381"/>
    </row>
    <row r="711">
      <c r="A711" s="359"/>
      <c r="B711" s="381"/>
      <c r="C711" s="18"/>
      <c r="D711" s="359"/>
      <c r="E711" s="607"/>
      <c r="F711" s="359"/>
      <c r="G711" s="381"/>
      <c r="H711" s="381"/>
      <c r="I711" s="381"/>
      <c r="J711" s="381"/>
      <c r="K711" s="381"/>
      <c r="L711" s="381"/>
      <c r="M711" s="381"/>
      <c r="N711" s="381"/>
      <c r="O711" s="381"/>
      <c r="P711" s="381"/>
      <c r="Q711" s="381"/>
      <c r="R711" s="381"/>
      <c r="S711" s="381"/>
      <c r="T711" s="381"/>
      <c r="U711" s="381"/>
      <c r="V711" s="381"/>
      <c r="W711" s="381"/>
      <c r="X711" s="381"/>
      <c r="Y711" s="381"/>
    </row>
    <row r="712">
      <c r="A712" s="359"/>
      <c r="B712" s="381"/>
      <c r="C712" s="18"/>
      <c r="D712" s="359"/>
      <c r="E712" s="607"/>
      <c r="F712" s="359"/>
      <c r="G712" s="381"/>
      <c r="H712" s="381"/>
      <c r="I712" s="381"/>
      <c r="J712" s="381"/>
      <c r="K712" s="381"/>
      <c r="L712" s="381"/>
      <c r="M712" s="381"/>
      <c r="N712" s="381"/>
      <c r="O712" s="381"/>
      <c r="P712" s="381"/>
      <c r="Q712" s="381"/>
      <c r="R712" s="381"/>
      <c r="S712" s="381"/>
      <c r="T712" s="381"/>
      <c r="U712" s="381"/>
      <c r="V712" s="381"/>
      <c r="W712" s="381"/>
      <c r="X712" s="381"/>
      <c r="Y712" s="381"/>
    </row>
    <row r="713">
      <c r="A713" s="359"/>
      <c r="B713" s="381"/>
      <c r="C713" s="18"/>
      <c r="D713" s="359"/>
      <c r="E713" s="607"/>
      <c r="F713" s="359"/>
      <c r="G713" s="381"/>
      <c r="H713" s="381"/>
      <c r="I713" s="381"/>
      <c r="J713" s="381"/>
      <c r="K713" s="381"/>
      <c r="L713" s="381"/>
      <c r="M713" s="381"/>
      <c r="N713" s="381"/>
      <c r="O713" s="381"/>
      <c r="P713" s="381"/>
      <c r="Q713" s="381"/>
      <c r="R713" s="381"/>
      <c r="S713" s="381"/>
      <c r="T713" s="381"/>
      <c r="U713" s="381"/>
      <c r="V713" s="381"/>
      <c r="W713" s="381"/>
      <c r="X713" s="381"/>
      <c r="Y713" s="381"/>
    </row>
    <row r="714">
      <c r="A714" s="359"/>
      <c r="B714" s="381"/>
      <c r="C714" s="18"/>
      <c r="D714" s="359"/>
      <c r="E714" s="607"/>
      <c r="F714" s="359"/>
      <c r="G714" s="381"/>
      <c r="H714" s="381"/>
      <c r="I714" s="381"/>
      <c r="J714" s="381"/>
      <c r="K714" s="381"/>
      <c r="L714" s="381"/>
      <c r="M714" s="381"/>
      <c r="N714" s="381"/>
      <c r="O714" s="381"/>
      <c r="P714" s="381"/>
      <c r="Q714" s="381"/>
      <c r="R714" s="381"/>
      <c r="S714" s="381"/>
      <c r="T714" s="381"/>
      <c r="U714" s="381"/>
      <c r="V714" s="381"/>
      <c r="W714" s="381"/>
      <c r="X714" s="381"/>
      <c r="Y714" s="381"/>
    </row>
    <row r="715">
      <c r="A715" s="359"/>
      <c r="B715" s="381"/>
      <c r="C715" s="18"/>
      <c r="D715" s="359"/>
      <c r="E715" s="607"/>
      <c r="F715" s="359"/>
      <c r="G715" s="381"/>
      <c r="H715" s="381"/>
      <c r="I715" s="381"/>
      <c r="J715" s="381"/>
      <c r="K715" s="381"/>
      <c r="L715" s="381"/>
      <c r="M715" s="381"/>
      <c r="N715" s="381"/>
      <c r="O715" s="381"/>
      <c r="P715" s="381"/>
      <c r="Q715" s="381"/>
      <c r="R715" s="381"/>
      <c r="S715" s="381"/>
      <c r="T715" s="381"/>
      <c r="U715" s="381"/>
      <c r="V715" s="381"/>
      <c r="W715" s="381"/>
      <c r="X715" s="381"/>
      <c r="Y715" s="381"/>
    </row>
    <row r="716">
      <c r="A716" s="359"/>
      <c r="B716" s="381"/>
      <c r="C716" s="18"/>
      <c r="D716" s="359"/>
      <c r="E716" s="607"/>
      <c r="F716" s="359"/>
      <c r="G716" s="381"/>
      <c r="H716" s="381"/>
      <c r="I716" s="381"/>
      <c r="J716" s="381"/>
      <c r="K716" s="381"/>
      <c r="L716" s="381"/>
      <c r="M716" s="381"/>
      <c r="N716" s="381"/>
      <c r="O716" s="381"/>
      <c r="P716" s="381"/>
      <c r="Q716" s="381"/>
      <c r="R716" s="381"/>
      <c r="S716" s="381"/>
      <c r="T716" s="381"/>
      <c r="U716" s="381"/>
      <c r="V716" s="381"/>
      <c r="W716" s="381"/>
      <c r="X716" s="381"/>
      <c r="Y716" s="381"/>
    </row>
    <row r="717">
      <c r="A717" s="359"/>
      <c r="B717" s="381"/>
      <c r="C717" s="18"/>
      <c r="D717" s="359"/>
      <c r="E717" s="607"/>
      <c r="F717" s="359"/>
      <c r="G717" s="381"/>
      <c r="H717" s="381"/>
      <c r="I717" s="381"/>
      <c r="J717" s="381"/>
      <c r="K717" s="381"/>
      <c r="L717" s="381"/>
      <c r="M717" s="381"/>
      <c r="N717" s="381"/>
      <c r="O717" s="381"/>
      <c r="P717" s="381"/>
      <c r="Q717" s="381"/>
      <c r="R717" s="381"/>
      <c r="S717" s="381"/>
      <c r="T717" s="381"/>
      <c r="U717" s="381"/>
      <c r="V717" s="381"/>
      <c r="W717" s="381"/>
      <c r="X717" s="381"/>
      <c r="Y717" s="381"/>
    </row>
    <row r="718">
      <c r="A718" s="359"/>
      <c r="B718" s="381"/>
      <c r="C718" s="18"/>
      <c r="D718" s="359"/>
      <c r="E718" s="607"/>
      <c r="F718" s="359"/>
      <c r="G718" s="381"/>
      <c r="H718" s="381"/>
      <c r="I718" s="381"/>
      <c r="J718" s="381"/>
      <c r="K718" s="381"/>
      <c r="L718" s="381"/>
      <c r="M718" s="381"/>
      <c r="N718" s="381"/>
      <c r="O718" s="381"/>
      <c r="P718" s="381"/>
      <c r="Q718" s="381"/>
      <c r="R718" s="381"/>
      <c r="S718" s="381"/>
      <c r="T718" s="381"/>
      <c r="U718" s="381"/>
      <c r="V718" s="381"/>
      <c r="W718" s="381"/>
      <c r="X718" s="381"/>
      <c r="Y718" s="381"/>
    </row>
    <row r="719">
      <c r="A719" s="359"/>
      <c r="B719" s="381"/>
      <c r="C719" s="18"/>
      <c r="D719" s="359"/>
      <c r="E719" s="607"/>
      <c r="F719" s="359"/>
      <c r="G719" s="381"/>
      <c r="H719" s="381"/>
      <c r="I719" s="381"/>
      <c r="J719" s="381"/>
      <c r="K719" s="381"/>
      <c r="L719" s="381"/>
      <c r="M719" s="381"/>
      <c r="N719" s="381"/>
      <c r="O719" s="381"/>
      <c r="P719" s="381"/>
      <c r="Q719" s="381"/>
      <c r="R719" s="381"/>
      <c r="S719" s="381"/>
      <c r="T719" s="381"/>
      <c r="U719" s="381"/>
      <c r="V719" s="381"/>
      <c r="W719" s="381"/>
      <c r="X719" s="381"/>
      <c r="Y719" s="381"/>
    </row>
    <row r="720">
      <c r="A720" s="359"/>
      <c r="B720" s="381"/>
      <c r="C720" s="18"/>
      <c r="D720" s="359"/>
      <c r="E720" s="607"/>
      <c r="F720" s="359"/>
      <c r="G720" s="381"/>
      <c r="H720" s="381"/>
      <c r="I720" s="381"/>
      <c r="J720" s="381"/>
      <c r="K720" s="381"/>
      <c r="L720" s="381"/>
      <c r="M720" s="381"/>
      <c r="N720" s="381"/>
      <c r="O720" s="381"/>
      <c r="P720" s="381"/>
      <c r="Q720" s="381"/>
      <c r="R720" s="381"/>
      <c r="S720" s="381"/>
      <c r="T720" s="381"/>
      <c r="U720" s="381"/>
      <c r="V720" s="381"/>
      <c r="W720" s="381"/>
      <c r="X720" s="381"/>
      <c r="Y720" s="381"/>
    </row>
    <row r="721">
      <c r="A721" s="359"/>
      <c r="B721" s="381"/>
      <c r="C721" s="18"/>
      <c r="D721" s="359"/>
      <c r="E721" s="607"/>
      <c r="F721" s="359"/>
      <c r="G721" s="381"/>
      <c r="H721" s="381"/>
      <c r="I721" s="381"/>
      <c r="J721" s="381"/>
      <c r="K721" s="381"/>
      <c r="L721" s="381"/>
      <c r="M721" s="381"/>
      <c r="N721" s="381"/>
      <c r="O721" s="381"/>
      <c r="P721" s="381"/>
      <c r="Q721" s="381"/>
      <c r="R721" s="381"/>
      <c r="S721" s="381"/>
      <c r="T721" s="381"/>
      <c r="U721" s="381"/>
      <c r="V721" s="381"/>
      <c r="W721" s="381"/>
      <c r="X721" s="381"/>
      <c r="Y721" s="381"/>
    </row>
    <row r="722">
      <c r="A722" s="359"/>
      <c r="B722" s="381"/>
      <c r="C722" s="18"/>
      <c r="D722" s="359"/>
      <c r="E722" s="607"/>
      <c r="F722" s="359"/>
      <c r="G722" s="381"/>
      <c r="H722" s="381"/>
      <c r="I722" s="381"/>
      <c r="J722" s="381"/>
      <c r="K722" s="381"/>
      <c r="L722" s="381"/>
      <c r="M722" s="381"/>
      <c r="N722" s="381"/>
      <c r="O722" s="381"/>
      <c r="P722" s="381"/>
      <c r="Q722" s="381"/>
      <c r="R722" s="381"/>
      <c r="S722" s="381"/>
      <c r="T722" s="381"/>
      <c r="U722" s="381"/>
      <c r="V722" s="381"/>
      <c r="W722" s="381"/>
      <c r="X722" s="381"/>
      <c r="Y722" s="381"/>
    </row>
    <row r="723">
      <c r="A723" s="359"/>
      <c r="B723" s="381"/>
      <c r="C723" s="18"/>
      <c r="D723" s="359"/>
      <c r="E723" s="607"/>
      <c r="F723" s="359"/>
      <c r="G723" s="381"/>
      <c r="H723" s="381"/>
      <c r="I723" s="381"/>
      <c r="J723" s="381"/>
      <c r="K723" s="381"/>
      <c r="L723" s="381"/>
      <c r="M723" s="381"/>
      <c r="N723" s="381"/>
      <c r="O723" s="381"/>
      <c r="P723" s="381"/>
      <c r="Q723" s="381"/>
      <c r="R723" s="381"/>
      <c r="S723" s="381"/>
      <c r="T723" s="381"/>
      <c r="U723" s="381"/>
      <c r="V723" s="381"/>
      <c r="W723" s="381"/>
      <c r="X723" s="381"/>
      <c r="Y723" s="381"/>
    </row>
    <row r="724">
      <c r="A724" s="359"/>
      <c r="B724" s="381"/>
      <c r="C724" s="18"/>
      <c r="D724" s="359"/>
      <c r="E724" s="607"/>
      <c r="F724" s="359"/>
      <c r="G724" s="381"/>
      <c r="H724" s="381"/>
      <c r="I724" s="381"/>
      <c r="J724" s="381"/>
      <c r="K724" s="381"/>
      <c r="L724" s="381"/>
      <c r="M724" s="381"/>
      <c r="N724" s="381"/>
      <c r="O724" s="381"/>
      <c r="P724" s="381"/>
      <c r="Q724" s="381"/>
      <c r="R724" s="381"/>
      <c r="S724" s="381"/>
      <c r="T724" s="381"/>
      <c r="U724" s="381"/>
      <c r="V724" s="381"/>
      <c r="W724" s="381"/>
      <c r="X724" s="381"/>
      <c r="Y724" s="381"/>
    </row>
    <row r="725">
      <c r="A725" s="359"/>
      <c r="B725" s="381"/>
      <c r="C725" s="18"/>
      <c r="D725" s="359"/>
      <c r="E725" s="607"/>
      <c r="F725" s="359"/>
      <c r="G725" s="381"/>
      <c r="H725" s="381"/>
      <c r="I725" s="381"/>
      <c r="J725" s="381"/>
      <c r="K725" s="381"/>
      <c r="L725" s="381"/>
      <c r="M725" s="381"/>
      <c r="N725" s="381"/>
      <c r="O725" s="381"/>
      <c r="P725" s="381"/>
      <c r="Q725" s="381"/>
      <c r="R725" s="381"/>
      <c r="S725" s="381"/>
      <c r="T725" s="381"/>
      <c r="U725" s="381"/>
      <c r="V725" s="381"/>
      <c r="W725" s="381"/>
      <c r="X725" s="381"/>
      <c r="Y725" s="381"/>
    </row>
    <row r="726">
      <c r="A726" s="359"/>
      <c r="B726" s="381"/>
      <c r="C726" s="18"/>
      <c r="D726" s="359"/>
      <c r="E726" s="607"/>
      <c r="F726" s="359"/>
      <c r="G726" s="381"/>
      <c r="H726" s="381"/>
      <c r="I726" s="381"/>
      <c r="J726" s="381"/>
      <c r="K726" s="381"/>
      <c r="L726" s="381"/>
      <c r="M726" s="381"/>
      <c r="N726" s="381"/>
      <c r="O726" s="381"/>
      <c r="P726" s="381"/>
      <c r="Q726" s="381"/>
      <c r="R726" s="381"/>
      <c r="S726" s="381"/>
      <c r="T726" s="381"/>
      <c r="U726" s="381"/>
      <c r="V726" s="381"/>
      <c r="W726" s="381"/>
      <c r="X726" s="381"/>
      <c r="Y726" s="381"/>
    </row>
    <row r="727">
      <c r="A727" s="359"/>
      <c r="B727" s="381"/>
      <c r="C727" s="18"/>
      <c r="D727" s="359"/>
      <c r="E727" s="607"/>
      <c r="F727" s="359"/>
      <c r="G727" s="381"/>
      <c r="H727" s="381"/>
      <c r="I727" s="381"/>
      <c r="J727" s="381"/>
      <c r="K727" s="381"/>
      <c r="L727" s="381"/>
      <c r="M727" s="381"/>
      <c r="N727" s="381"/>
      <c r="O727" s="381"/>
      <c r="P727" s="381"/>
      <c r="Q727" s="381"/>
      <c r="R727" s="381"/>
      <c r="S727" s="381"/>
      <c r="T727" s="381"/>
      <c r="U727" s="381"/>
      <c r="V727" s="381"/>
      <c r="W727" s="381"/>
      <c r="X727" s="381"/>
      <c r="Y727" s="381"/>
    </row>
    <row r="728">
      <c r="A728" s="359"/>
      <c r="B728" s="381"/>
      <c r="C728" s="18"/>
      <c r="D728" s="359"/>
      <c r="E728" s="607"/>
      <c r="F728" s="359"/>
      <c r="G728" s="381"/>
      <c r="H728" s="381"/>
      <c r="I728" s="381"/>
      <c r="J728" s="381"/>
      <c r="K728" s="381"/>
      <c r="L728" s="381"/>
      <c r="M728" s="381"/>
      <c r="N728" s="381"/>
      <c r="O728" s="381"/>
      <c r="P728" s="381"/>
      <c r="Q728" s="381"/>
      <c r="R728" s="381"/>
      <c r="S728" s="381"/>
      <c r="T728" s="381"/>
      <c r="U728" s="381"/>
      <c r="V728" s="381"/>
      <c r="W728" s="381"/>
      <c r="X728" s="381"/>
      <c r="Y728" s="381"/>
    </row>
    <row r="729">
      <c r="A729" s="359"/>
      <c r="B729" s="381"/>
      <c r="C729" s="18"/>
      <c r="D729" s="359"/>
      <c r="E729" s="607"/>
      <c r="F729" s="359"/>
      <c r="G729" s="381"/>
      <c r="H729" s="381"/>
      <c r="I729" s="381"/>
      <c r="J729" s="381"/>
      <c r="K729" s="381"/>
      <c r="L729" s="381"/>
      <c r="M729" s="381"/>
      <c r="N729" s="381"/>
      <c r="O729" s="381"/>
      <c r="P729" s="381"/>
      <c r="Q729" s="381"/>
      <c r="R729" s="381"/>
      <c r="S729" s="381"/>
      <c r="T729" s="381"/>
      <c r="U729" s="381"/>
      <c r="V729" s="381"/>
      <c r="W729" s="381"/>
      <c r="X729" s="381"/>
      <c r="Y729" s="381"/>
    </row>
    <row r="730">
      <c r="A730" s="359"/>
      <c r="B730" s="381"/>
      <c r="C730" s="18"/>
      <c r="D730" s="359"/>
      <c r="E730" s="607"/>
      <c r="F730" s="359"/>
      <c r="G730" s="381"/>
      <c r="H730" s="381"/>
      <c r="I730" s="381"/>
      <c r="J730" s="381"/>
      <c r="K730" s="381"/>
      <c r="L730" s="381"/>
      <c r="M730" s="381"/>
      <c r="N730" s="381"/>
      <c r="O730" s="381"/>
      <c r="P730" s="381"/>
      <c r="Q730" s="381"/>
      <c r="R730" s="381"/>
      <c r="S730" s="381"/>
      <c r="T730" s="381"/>
      <c r="U730" s="381"/>
      <c r="V730" s="381"/>
      <c r="W730" s="381"/>
      <c r="X730" s="381"/>
      <c r="Y730" s="381"/>
    </row>
    <row r="731">
      <c r="A731" s="359"/>
      <c r="B731" s="381"/>
      <c r="C731" s="18"/>
      <c r="D731" s="359"/>
      <c r="E731" s="607"/>
      <c r="F731" s="359"/>
      <c r="G731" s="381"/>
      <c r="H731" s="381"/>
      <c r="I731" s="381"/>
      <c r="J731" s="381"/>
      <c r="K731" s="381"/>
      <c r="L731" s="381"/>
      <c r="M731" s="381"/>
      <c r="N731" s="381"/>
      <c r="O731" s="381"/>
      <c r="P731" s="381"/>
      <c r="Q731" s="381"/>
      <c r="R731" s="381"/>
      <c r="S731" s="381"/>
      <c r="T731" s="381"/>
      <c r="U731" s="381"/>
      <c r="V731" s="381"/>
      <c r="W731" s="381"/>
      <c r="X731" s="381"/>
      <c r="Y731" s="381"/>
    </row>
    <row r="732">
      <c r="A732" s="359"/>
      <c r="B732" s="381"/>
      <c r="C732" s="18"/>
      <c r="D732" s="359"/>
      <c r="E732" s="607"/>
      <c r="F732" s="359"/>
      <c r="G732" s="381"/>
      <c r="H732" s="381"/>
      <c r="I732" s="381"/>
      <c r="J732" s="381"/>
      <c r="K732" s="381"/>
      <c r="L732" s="381"/>
      <c r="M732" s="381"/>
      <c r="N732" s="381"/>
      <c r="O732" s="381"/>
      <c r="P732" s="381"/>
      <c r="Q732" s="381"/>
      <c r="R732" s="381"/>
      <c r="S732" s="381"/>
      <c r="T732" s="381"/>
      <c r="U732" s="381"/>
      <c r="V732" s="381"/>
      <c r="W732" s="381"/>
      <c r="X732" s="381"/>
      <c r="Y732" s="381"/>
    </row>
    <row r="733">
      <c r="A733" s="359"/>
      <c r="B733" s="381"/>
      <c r="C733" s="18"/>
      <c r="D733" s="359"/>
      <c r="E733" s="607"/>
      <c r="F733" s="359"/>
      <c r="G733" s="381"/>
      <c r="H733" s="381"/>
      <c r="I733" s="381"/>
      <c r="J733" s="381"/>
      <c r="K733" s="381"/>
      <c r="L733" s="381"/>
      <c r="M733" s="381"/>
      <c r="N733" s="381"/>
      <c r="O733" s="381"/>
      <c r="P733" s="381"/>
      <c r="Q733" s="381"/>
      <c r="R733" s="381"/>
      <c r="S733" s="381"/>
      <c r="T733" s="381"/>
      <c r="U733" s="381"/>
      <c r="V733" s="381"/>
      <c r="W733" s="381"/>
      <c r="X733" s="381"/>
      <c r="Y733" s="381"/>
    </row>
    <row r="734">
      <c r="A734" s="359"/>
      <c r="B734" s="381"/>
      <c r="C734" s="18"/>
      <c r="D734" s="359"/>
      <c r="E734" s="607"/>
      <c r="F734" s="359"/>
      <c r="G734" s="381"/>
      <c r="H734" s="381"/>
      <c r="I734" s="381"/>
      <c r="J734" s="381"/>
      <c r="K734" s="381"/>
      <c r="L734" s="381"/>
      <c r="M734" s="381"/>
      <c r="N734" s="381"/>
      <c r="O734" s="381"/>
      <c r="P734" s="381"/>
      <c r="Q734" s="381"/>
      <c r="R734" s="381"/>
      <c r="S734" s="381"/>
      <c r="T734" s="381"/>
      <c r="U734" s="381"/>
      <c r="V734" s="381"/>
      <c r="W734" s="381"/>
      <c r="X734" s="381"/>
      <c r="Y734" s="381"/>
    </row>
    <row r="735">
      <c r="A735" s="359"/>
      <c r="B735" s="381"/>
      <c r="C735" s="18"/>
      <c r="D735" s="359"/>
      <c r="E735" s="607"/>
      <c r="F735" s="359"/>
      <c r="G735" s="381"/>
      <c r="H735" s="381"/>
      <c r="I735" s="381"/>
      <c r="J735" s="381"/>
      <c r="K735" s="381"/>
      <c r="L735" s="381"/>
      <c r="M735" s="381"/>
      <c r="N735" s="381"/>
      <c r="O735" s="381"/>
      <c r="P735" s="381"/>
      <c r="Q735" s="381"/>
      <c r="R735" s="381"/>
      <c r="S735" s="381"/>
      <c r="T735" s="381"/>
      <c r="U735" s="381"/>
      <c r="V735" s="381"/>
      <c r="W735" s="381"/>
      <c r="X735" s="381"/>
      <c r="Y735" s="381"/>
    </row>
    <row r="736">
      <c r="A736" s="359"/>
      <c r="B736" s="381"/>
      <c r="C736" s="18"/>
      <c r="D736" s="359"/>
      <c r="E736" s="607"/>
      <c r="F736" s="359"/>
      <c r="G736" s="381"/>
      <c r="H736" s="381"/>
      <c r="I736" s="381"/>
      <c r="J736" s="381"/>
      <c r="K736" s="381"/>
      <c r="L736" s="381"/>
      <c r="M736" s="381"/>
      <c r="N736" s="381"/>
      <c r="O736" s="381"/>
      <c r="P736" s="381"/>
      <c r="Q736" s="381"/>
      <c r="R736" s="381"/>
      <c r="S736" s="381"/>
      <c r="T736" s="381"/>
      <c r="U736" s="381"/>
      <c r="V736" s="381"/>
      <c r="W736" s="381"/>
      <c r="X736" s="381"/>
      <c r="Y736" s="381"/>
    </row>
    <row r="737">
      <c r="A737" s="359"/>
      <c r="B737" s="381"/>
      <c r="C737" s="18"/>
      <c r="D737" s="359"/>
      <c r="E737" s="607"/>
      <c r="F737" s="359"/>
      <c r="G737" s="381"/>
      <c r="H737" s="381"/>
      <c r="I737" s="381"/>
      <c r="J737" s="381"/>
      <c r="K737" s="381"/>
      <c r="L737" s="381"/>
      <c r="M737" s="381"/>
      <c r="N737" s="381"/>
      <c r="O737" s="381"/>
      <c r="P737" s="381"/>
      <c r="Q737" s="381"/>
      <c r="R737" s="381"/>
      <c r="S737" s="381"/>
      <c r="T737" s="381"/>
      <c r="U737" s="381"/>
      <c r="V737" s="381"/>
      <c r="W737" s="381"/>
      <c r="X737" s="381"/>
      <c r="Y737" s="381"/>
    </row>
    <row r="738">
      <c r="A738" s="359"/>
      <c r="B738" s="381"/>
      <c r="C738" s="18"/>
      <c r="D738" s="359"/>
      <c r="E738" s="607"/>
      <c r="F738" s="359"/>
      <c r="G738" s="381"/>
      <c r="H738" s="381"/>
      <c r="I738" s="381"/>
      <c r="J738" s="381"/>
      <c r="K738" s="381"/>
      <c r="L738" s="381"/>
      <c r="M738" s="381"/>
      <c r="N738" s="381"/>
      <c r="O738" s="381"/>
      <c r="P738" s="381"/>
      <c r="Q738" s="381"/>
      <c r="R738" s="381"/>
      <c r="S738" s="381"/>
      <c r="T738" s="381"/>
      <c r="U738" s="381"/>
      <c r="V738" s="381"/>
      <c r="W738" s="381"/>
      <c r="X738" s="381"/>
      <c r="Y738" s="381"/>
    </row>
    <row r="739">
      <c r="A739" s="359"/>
      <c r="B739" s="381"/>
      <c r="C739" s="18"/>
      <c r="D739" s="359"/>
      <c r="E739" s="607"/>
      <c r="F739" s="359"/>
      <c r="G739" s="381"/>
      <c r="H739" s="381"/>
      <c r="I739" s="381"/>
      <c r="J739" s="381"/>
      <c r="K739" s="381"/>
      <c r="L739" s="381"/>
      <c r="M739" s="381"/>
      <c r="N739" s="381"/>
      <c r="O739" s="381"/>
      <c r="P739" s="381"/>
      <c r="Q739" s="381"/>
      <c r="R739" s="381"/>
      <c r="S739" s="381"/>
      <c r="T739" s="381"/>
      <c r="U739" s="381"/>
      <c r="V739" s="381"/>
      <c r="W739" s="381"/>
      <c r="X739" s="381"/>
      <c r="Y739" s="381"/>
    </row>
    <row r="740">
      <c r="A740" s="359"/>
      <c r="B740" s="381"/>
      <c r="C740" s="18"/>
      <c r="D740" s="359"/>
      <c r="E740" s="607"/>
      <c r="F740" s="359"/>
      <c r="G740" s="381"/>
      <c r="H740" s="381"/>
      <c r="I740" s="381"/>
      <c r="J740" s="381"/>
      <c r="K740" s="381"/>
      <c r="L740" s="381"/>
      <c r="M740" s="381"/>
      <c r="N740" s="381"/>
      <c r="O740" s="381"/>
      <c r="P740" s="381"/>
      <c r="Q740" s="381"/>
      <c r="R740" s="381"/>
      <c r="S740" s="381"/>
      <c r="T740" s="381"/>
      <c r="U740" s="381"/>
      <c r="V740" s="381"/>
      <c r="W740" s="381"/>
      <c r="X740" s="381"/>
      <c r="Y740" s="381"/>
    </row>
    <row r="741">
      <c r="A741" s="359"/>
      <c r="B741" s="381"/>
      <c r="C741" s="18"/>
      <c r="D741" s="359"/>
      <c r="E741" s="607"/>
      <c r="F741" s="359"/>
      <c r="G741" s="381"/>
      <c r="H741" s="381"/>
      <c r="I741" s="381"/>
      <c r="J741" s="381"/>
      <c r="K741" s="381"/>
      <c r="L741" s="381"/>
      <c r="M741" s="381"/>
      <c r="N741" s="381"/>
      <c r="O741" s="381"/>
      <c r="P741" s="381"/>
      <c r="Q741" s="381"/>
      <c r="R741" s="381"/>
      <c r="S741" s="381"/>
      <c r="T741" s="381"/>
      <c r="U741" s="381"/>
      <c r="V741" s="381"/>
      <c r="W741" s="381"/>
      <c r="X741" s="381"/>
      <c r="Y741" s="381"/>
    </row>
    <row r="742">
      <c r="A742" s="359"/>
      <c r="B742" s="381"/>
      <c r="C742" s="18"/>
      <c r="D742" s="359"/>
      <c r="E742" s="607"/>
      <c r="F742" s="359"/>
      <c r="G742" s="381"/>
      <c r="H742" s="381"/>
      <c r="I742" s="381"/>
      <c r="J742" s="381"/>
      <c r="K742" s="381"/>
      <c r="L742" s="381"/>
      <c r="M742" s="381"/>
      <c r="N742" s="381"/>
      <c r="O742" s="381"/>
      <c r="P742" s="381"/>
      <c r="Q742" s="381"/>
      <c r="R742" s="381"/>
      <c r="S742" s="381"/>
      <c r="T742" s="381"/>
      <c r="U742" s="381"/>
      <c r="V742" s="381"/>
      <c r="W742" s="381"/>
      <c r="X742" s="381"/>
      <c r="Y742" s="381"/>
    </row>
    <row r="743">
      <c r="A743" s="359"/>
      <c r="B743" s="381"/>
      <c r="C743" s="18"/>
      <c r="D743" s="359"/>
      <c r="E743" s="607"/>
      <c r="F743" s="359"/>
      <c r="G743" s="381"/>
      <c r="H743" s="381"/>
      <c r="I743" s="381"/>
      <c r="J743" s="381"/>
      <c r="K743" s="381"/>
      <c r="L743" s="381"/>
      <c r="M743" s="381"/>
      <c r="N743" s="381"/>
      <c r="O743" s="381"/>
      <c r="P743" s="381"/>
      <c r="Q743" s="381"/>
      <c r="R743" s="381"/>
      <c r="S743" s="381"/>
      <c r="T743" s="381"/>
      <c r="U743" s="381"/>
      <c r="V743" s="381"/>
      <c r="W743" s="381"/>
      <c r="X743" s="381"/>
      <c r="Y743" s="381"/>
    </row>
    <row r="744">
      <c r="A744" s="359"/>
      <c r="B744" s="381"/>
      <c r="C744" s="18"/>
      <c r="D744" s="359"/>
      <c r="E744" s="607"/>
      <c r="F744" s="359"/>
      <c r="G744" s="381"/>
      <c r="H744" s="381"/>
      <c r="I744" s="381"/>
      <c r="J744" s="381"/>
      <c r="K744" s="381"/>
      <c r="L744" s="381"/>
      <c r="M744" s="381"/>
      <c r="N744" s="381"/>
      <c r="O744" s="381"/>
      <c r="P744" s="381"/>
      <c r="Q744" s="381"/>
      <c r="R744" s="381"/>
      <c r="S744" s="381"/>
      <c r="T744" s="381"/>
      <c r="U744" s="381"/>
      <c r="V744" s="381"/>
      <c r="W744" s="381"/>
      <c r="X744" s="381"/>
      <c r="Y744" s="381"/>
    </row>
    <row r="745">
      <c r="A745" s="359"/>
      <c r="B745" s="381"/>
      <c r="C745" s="18"/>
      <c r="D745" s="359"/>
      <c r="E745" s="607"/>
      <c r="F745" s="359"/>
      <c r="G745" s="381"/>
      <c r="H745" s="381"/>
      <c r="I745" s="381"/>
      <c r="J745" s="381"/>
      <c r="K745" s="381"/>
      <c r="L745" s="381"/>
      <c r="M745" s="381"/>
      <c r="N745" s="381"/>
      <c r="O745" s="381"/>
      <c r="P745" s="381"/>
      <c r="Q745" s="381"/>
      <c r="R745" s="381"/>
      <c r="S745" s="381"/>
      <c r="T745" s="381"/>
      <c r="U745" s="381"/>
      <c r="V745" s="381"/>
      <c r="W745" s="381"/>
      <c r="X745" s="381"/>
      <c r="Y745" s="381"/>
    </row>
    <row r="746">
      <c r="A746" s="359"/>
      <c r="B746" s="381"/>
      <c r="C746" s="18"/>
      <c r="D746" s="359"/>
      <c r="E746" s="607"/>
      <c r="F746" s="359"/>
      <c r="G746" s="381"/>
      <c r="H746" s="381"/>
      <c r="I746" s="381"/>
      <c r="J746" s="381"/>
      <c r="K746" s="381"/>
      <c r="L746" s="381"/>
      <c r="M746" s="381"/>
      <c r="N746" s="381"/>
      <c r="O746" s="381"/>
      <c r="P746" s="381"/>
      <c r="Q746" s="381"/>
      <c r="R746" s="381"/>
      <c r="S746" s="381"/>
      <c r="T746" s="381"/>
      <c r="U746" s="381"/>
      <c r="V746" s="381"/>
      <c r="W746" s="381"/>
      <c r="X746" s="381"/>
      <c r="Y746" s="381"/>
    </row>
    <row r="747">
      <c r="A747" s="359"/>
      <c r="B747" s="381"/>
      <c r="C747" s="18"/>
      <c r="D747" s="359"/>
      <c r="E747" s="607"/>
      <c r="F747" s="359"/>
      <c r="G747" s="381"/>
      <c r="H747" s="381"/>
      <c r="I747" s="381"/>
      <c r="J747" s="381"/>
      <c r="K747" s="381"/>
      <c r="L747" s="381"/>
      <c r="M747" s="381"/>
      <c r="N747" s="381"/>
      <c r="O747" s="381"/>
      <c r="P747" s="381"/>
      <c r="Q747" s="381"/>
      <c r="R747" s="381"/>
      <c r="S747" s="381"/>
      <c r="T747" s="381"/>
      <c r="U747" s="381"/>
      <c r="V747" s="381"/>
      <c r="W747" s="381"/>
      <c r="X747" s="381"/>
      <c r="Y747" s="381"/>
    </row>
    <row r="748">
      <c r="A748" s="359"/>
      <c r="B748" s="381"/>
      <c r="C748" s="18"/>
      <c r="D748" s="359"/>
      <c r="E748" s="607"/>
      <c r="F748" s="359"/>
      <c r="G748" s="381"/>
      <c r="H748" s="381"/>
      <c r="I748" s="381"/>
      <c r="J748" s="381"/>
      <c r="K748" s="381"/>
      <c r="L748" s="381"/>
      <c r="M748" s="381"/>
      <c r="N748" s="381"/>
      <c r="O748" s="381"/>
      <c r="P748" s="381"/>
      <c r="Q748" s="381"/>
      <c r="R748" s="381"/>
      <c r="S748" s="381"/>
      <c r="T748" s="381"/>
      <c r="U748" s="381"/>
      <c r="V748" s="381"/>
      <c r="W748" s="381"/>
      <c r="X748" s="381"/>
      <c r="Y748" s="381"/>
    </row>
    <row r="749">
      <c r="A749" s="359"/>
      <c r="B749" s="381"/>
      <c r="C749" s="18"/>
      <c r="D749" s="359"/>
      <c r="E749" s="607"/>
      <c r="F749" s="359"/>
      <c r="G749" s="381"/>
      <c r="H749" s="381"/>
      <c r="I749" s="381"/>
      <c r="J749" s="381"/>
      <c r="K749" s="381"/>
      <c r="L749" s="381"/>
      <c r="M749" s="381"/>
      <c r="N749" s="381"/>
      <c r="O749" s="381"/>
      <c r="P749" s="381"/>
      <c r="Q749" s="381"/>
      <c r="R749" s="381"/>
      <c r="S749" s="381"/>
      <c r="T749" s="381"/>
      <c r="U749" s="381"/>
      <c r="V749" s="381"/>
      <c r="W749" s="381"/>
      <c r="X749" s="381"/>
      <c r="Y749" s="381"/>
    </row>
    <row r="750">
      <c r="A750" s="359"/>
      <c r="B750" s="381"/>
      <c r="C750" s="18"/>
      <c r="D750" s="359"/>
      <c r="E750" s="607"/>
      <c r="F750" s="359"/>
      <c r="G750" s="381"/>
      <c r="H750" s="381"/>
      <c r="I750" s="381"/>
      <c r="J750" s="381"/>
      <c r="K750" s="381"/>
      <c r="L750" s="381"/>
      <c r="M750" s="381"/>
      <c r="N750" s="381"/>
      <c r="O750" s="381"/>
      <c r="P750" s="381"/>
      <c r="Q750" s="381"/>
      <c r="R750" s="381"/>
      <c r="S750" s="381"/>
      <c r="T750" s="381"/>
      <c r="U750" s="381"/>
      <c r="V750" s="381"/>
      <c r="W750" s="381"/>
      <c r="X750" s="381"/>
      <c r="Y750" s="381"/>
    </row>
    <row r="751">
      <c r="A751" s="359"/>
      <c r="B751" s="381"/>
      <c r="C751" s="18"/>
      <c r="D751" s="359"/>
      <c r="E751" s="607"/>
      <c r="F751" s="359"/>
      <c r="G751" s="381"/>
      <c r="H751" s="381"/>
      <c r="I751" s="381"/>
      <c r="J751" s="381"/>
      <c r="K751" s="381"/>
      <c r="L751" s="381"/>
      <c r="M751" s="381"/>
      <c r="N751" s="381"/>
      <c r="O751" s="381"/>
      <c r="P751" s="381"/>
      <c r="Q751" s="381"/>
      <c r="R751" s="381"/>
      <c r="S751" s="381"/>
      <c r="T751" s="381"/>
      <c r="U751" s="381"/>
      <c r="V751" s="381"/>
      <c r="W751" s="381"/>
      <c r="X751" s="381"/>
      <c r="Y751" s="381"/>
    </row>
    <row r="752">
      <c r="A752" s="359"/>
      <c r="B752" s="381"/>
      <c r="C752" s="18"/>
      <c r="D752" s="359"/>
      <c r="E752" s="607"/>
      <c r="F752" s="359"/>
      <c r="G752" s="381"/>
      <c r="H752" s="381"/>
      <c r="I752" s="381"/>
      <c r="J752" s="381"/>
      <c r="K752" s="381"/>
      <c r="L752" s="381"/>
      <c r="M752" s="381"/>
      <c r="N752" s="381"/>
      <c r="O752" s="381"/>
      <c r="P752" s="381"/>
      <c r="Q752" s="381"/>
      <c r="R752" s="381"/>
      <c r="S752" s="381"/>
      <c r="T752" s="381"/>
      <c r="U752" s="381"/>
      <c r="V752" s="381"/>
      <c r="W752" s="381"/>
      <c r="X752" s="381"/>
      <c r="Y752" s="381"/>
    </row>
    <row r="753">
      <c r="A753" s="359"/>
      <c r="B753" s="381"/>
      <c r="C753" s="18"/>
      <c r="D753" s="359"/>
      <c r="E753" s="607"/>
      <c r="F753" s="359"/>
      <c r="G753" s="381"/>
      <c r="H753" s="381"/>
      <c r="I753" s="381"/>
      <c r="J753" s="381"/>
      <c r="K753" s="381"/>
      <c r="L753" s="381"/>
      <c r="M753" s="381"/>
      <c r="N753" s="381"/>
      <c r="O753" s="381"/>
      <c r="P753" s="381"/>
      <c r="Q753" s="381"/>
      <c r="R753" s="381"/>
      <c r="S753" s="381"/>
      <c r="T753" s="381"/>
      <c r="U753" s="381"/>
      <c r="V753" s="381"/>
      <c r="W753" s="381"/>
      <c r="X753" s="381"/>
      <c r="Y753" s="381"/>
    </row>
    <row r="754">
      <c r="A754" s="359"/>
      <c r="B754" s="381"/>
      <c r="C754" s="18"/>
      <c r="D754" s="359"/>
      <c r="E754" s="607"/>
      <c r="F754" s="359"/>
      <c r="G754" s="381"/>
      <c r="H754" s="381"/>
      <c r="I754" s="381"/>
      <c r="J754" s="381"/>
      <c r="K754" s="381"/>
      <c r="L754" s="381"/>
      <c r="M754" s="381"/>
      <c r="N754" s="381"/>
      <c r="O754" s="381"/>
      <c r="P754" s="381"/>
      <c r="Q754" s="381"/>
      <c r="R754" s="381"/>
      <c r="S754" s="381"/>
      <c r="T754" s="381"/>
      <c r="U754" s="381"/>
      <c r="V754" s="381"/>
      <c r="W754" s="381"/>
      <c r="X754" s="381"/>
      <c r="Y754" s="381"/>
    </row>
    <row r="755">
      <c r="A755" s="359"/>
      <c r="B755" s="381"/>
      <c r="C755" s="18"/>
      <c r="D755" s="359"/>
      <c r="E755" s="607"/>
      <c r="F755" s="359"/>
      <c r="G755" s="381"/>
      <c r="H755" s="381"/>
      <c r="I755" s="381"/>
      <c r="J755" s="381"/>
      <c r="K755" s="381"/>
      <c r="L755" s="381"/>
      <c r="M755" s="381"/>
      <c r="N755" s="381"/>
      <c r="O755" s="381"/>
      <c r="P755" s="381"/>
      <c r="Q755" s="381"/>
      <c r="R755" s="381"/>
      <c r="S755" s="381"/>
      <c r="T755" s="381"/>
      <c r="U755" s="381"/>
      <c r="V755" s="381"/>
      <c r="W755" s="381"/>
      <c r="X755" s="381"/>
      <c r="Y755" s="381"/>
    </row>
    <row r="756">
      <c r="A756" s="359"/>
      <c r="B756" s="381"/>
      <c r="C756" s="18"/>
      <c r="D756" s="359"/>
      <c r="E756" s="607"/>
      <c r="F756" s="359"/>
      <c r="G756" s="381"/>
      <c r="H756" s="381"/>
      <c r="I756" s="381"/>
      <c r="J756" s="381"/>
      <c r="K756" s="381"/>
      <c r="L756" s="381"/>
      <c r="M756" s="381"/>
      <c r="N756" s="381"/>
      <c r="O756" s="381"/>
      <c r="P756" s="381"/>
      <c r="Q756" s="381"/>
      <c r="R756" s="381"/>
      <c r="S756" s="381"/>
      <c r="T756" s="381"/>
      <c r="U756" s="381"/>
      <c r="V756" s="381"/>
      <c r="W756" s="381"/>
      <c r="X756" s="381"/>
      <c r="Y756" s="381"/>
    </row>
    <row r="757">
      <c r="A757" s="359"/>
      <c r="B757" s="381"/>
      <c r="C757" s="18"/>
      <c r="D757" s="359"/>
      <c r="E757" s="607"/>
      <c r="F757" s="359"/>
      <c r="G757" s="381"/>
      <c r="H757" s="381"/>
      <c r="I757" s="381"/>
      <c r="J757" s="381"/>
      <c r="K757" s="381"/>
      <c r="L757" s="381"/>
      <c r="M757" s="381"/>
      <c r="N757" s="381"/>
      <c r="O757" s="381"/>
      <c r="P757" s="381"/>
      <c r="Q757" s="381"/>
      <c r="R757" s="381"/>
      <c r="S757" s="381"/>
      <c r="T757" s="381"/>
      <c r="U757" s="381"/>
      <c r="V757" s="381"/>
      <c r="W757" s="381"/>
      <c r="X757" s="381"/>
      <c r="Y757" s="381"/>
    </row>
    <row r="758">
      <c r="A758" s="359"/>
      <c r="B758" s="381"/>
      <c r="C758" s="18"/>
      <c r="D758" s="359"/>
      <c r="E758" s="607"/>
      <c r="F758" s="359"/>
      <c r="G758" s="381"/>
      <c r="H758" s="381"/>
      <c r="I758" s="381"/>
      <c r="J758" s="381"/>
      <c r="K758" s="381"/>
      <c r="L758" s="381"/>
      <c r="M758" s="381"/>
      <c r="N758" s="381"/>
      <c r="O758" s="381"/>
      <c r="P758" s="381"/>
      <c r="Q758" s="381"/>
      <c r="R758" s="381"/>
      <c r="S758" s="381"/>
      <c r="T758" s="381"/>
      <c r="U758" s="381"/>
      <c r="V758" s="381"/>
      <c r="W758" s="381"/>
      <c r="X758" s="381"/>
      <c r="Y758" s="381"/>
    </row>
    <row r="759">
      <c r="A759" s="359"/>
      <c r="B759" s="381"/>
      <c r="C759" s="18"/>
      <c r="D759" s="359"/>
      <c r="E759" s="607"/>
      <c r="F759" s="359"/>
      <c r="G759" s="381"/>
      <c r="H759" s="381"/>
      <c r="I759" s="381"/>
      <c r="J759" s="381"/>
      <c r="K759" s="381"/>
      <c r="L759" s="381"/>
      <c r="M759" s="381"/>
      <c r="N759" s="381"/>
      <c r="O759" s="381"/>
      <c r="P759" s="381"/>
      <c r="Q759" s="381"/>
      <c r="R759" s="381"/>
      <c r="S759" s="381"/>
      <c r="T759" s="381"/>
      <c r="U759" s="381"/>
      <c r="V759" s="381"/>
      <c r="W759" s="381"/>
      <c r="X759" s="381"/>
      <c r="Y759" s="381"/>
    </row>
    <row r="760">
      <c r="A760" s="359"/>
      <c r="B760" s="381"/>
      <c r="C760" s="18"/>
      <c r="D760" s="359"/>
      <c r="E760" s="607"/>
      <c r="F760" s="359"/>
      <c r="G760" s="381"/>
      <c r="H760" s="381"/>
      <c r="I760" s="381"/>
      <c r="J760" s="381"/>
      <c r="K760" s="381"/>
      <c r="L760" s="381"/>
      <c r="M760" s="381"/>
      <c r="N760" s="381"/>
      <c r="O760" s="381"/>
      <c r="P760" s="381"/>
      <c r="Q760" s="381"/>
      <c r="R760" s="381"/>
      <c r="S760" s="381"/>
      <c r="T760" s="381"/>
      <c r="U760" s="381"/>
      <c r="V760" s="381"/>
      <c r="W760" s="381"/>
      <c r="X760" s="381"/>
      <c r="Y760" s="381"/>
    </row>
    <row r="761">
      <c r="A761" s="359"/>
      <c r="B761" s="381"/>
      <c r="C761" s="18"/>
      <c r="D761" s="359"/>
      <c r="E761" s="607"/>
      <c r="F761" s="359"/>
      <c r="G761" s="381"/>
      <c r="H761" s="381"/>
      <c r="I761" s="381"/>
      <c r="J761" s="381"/>
      <c r="K761" s="381"/>
      <c r="L761" s="381"/>
      <c r="M761" s="381"/>
      <c r="N761" s="381"/>
      <c r="O761" s="381"/>
      <c r="P761" s="381"/>
      <c r="Q761" s="381"/>
      <c r="R761" s="381"/>
      <c r="S761" s="381"/>
      <c r="T761" s="381"/>
      <c r="U761" s="381"/>
      <c r="V761" s="381"/>
      <c r="W761" s="381"/>
      <c r="X761" s="381"/>
      <c r="Y761" s="381"/>
    </row>
    <row r="762">
      <c r="A762" s="359"/>
      <c r="B762" s="381"/>
      <c r="C762" s="18"/>
      <c r="D762" s="359"/>
      <c r="E762" s="607"/>
      <c r="F762" s="359"/>
      <c r="G762" s="381"/>
      <c r="H762" s="381"/>
      <c r="I762" s="381"/>
      <c r="J762" s="381"/>
      <c r="K762" s="381"/>
      <c r="L762" s="381"/>
      <c r="M762" s="381"/>
      <c r="N762" s="381"/>
      <c r="O762" s="381"/>
      <c r="P762" s="381"/>
      <c r="Q762" s="381"/>
      <c r="R762" s="381"/>
      <c r="S762" s="381"/>
      <c r="T762" s="381"/>
      <c r="U762" s="381"/>
      <c r="V762" s="381"/>
      <c r="W762" s="381"/>
      <c r="X762" s="381"/>
      <c r="Y762" s="381"/>
    </row>
    <row r="763">
      <c r="A763" s="359"/>
      <c r="B763" s="381"/>
      <c r="C763" s="18"/>
      <c r="D763" s="359"/>
      <c r="E763" s="607"/>
      <c r="F763" s="359"/>
      <c r="G763" s="381"/>
      <c r="H763" s="381"/>
      <c r="I763" s="381"/>
      <c r="J763" s="381"/>
      <c r="K763" s="381"/>
      <c r="L763" s="381"/>
      <c r="M763" s="381"/>
      <c r="N763" s="381"/>
      <c r="O763" s="381"/>
      <c r="P763" s="381"/>
      <c r="Q763" s="381"/>
      <c r="R763" s="381"/>
      <c r="S763" s="381"/>
      <c r="T763" s="381"/>
      <c r="U763" s="381"/>
      <c r="V763" s="381"/>
      <c r="W763" s="381"/>
      <c r="X763" s="381"/>
      <c r="Y763" s="381"/>
    </row>
    <row r="764">
      <c r="A764" s="359"/>
      <c r="B764" s="381"/>
      <c r="C764" s="18"/>
      <c r="D764" s="359"/>
      <c r="E764" s="607"/>
      <c r="F764" s="359"/>
      <c r="G764" s="381"/>
      <c r="H764" s="381"/>
      <c r="I764" s="381"/>
      <c r="J764" s="381"/>
      <c r="K764" s="381"/>
      <c r="L764" s="381"/>
      <c r="M764" s="381"/>
      <c r="N764" s="381"/>
      <c r="O764" s="381"/>
      <c r="P764" s="381"/>
      <c r="Q764" s="381"/>
      <c r="R764" s="381"/>
      <c r="S764" s="381"/>
      <c r="T764" s="381"/>
      <c r="U764" s="381"/>
      <c r="V764" s="381"/>
      <c r="W764" s="381"/>
      <c r="X764" s="381"/>
      <c r="Y764" s="381"/>
    </row>
    <row r="765">
      <c r="A765" s="359"/>
      <c r="B765" s="381"/>
      <c r="C765" s="18"/>
      <c r="D765" s="359"/>
      <c r="E765" s="607"/>
      <c r="F765" s="359"/>
      <c r="G765" s="381"/>
      <c r="H765" s="381"/>
      <c r="I765" s="381"/>
      <c r="J765" s="381"/>
      <c r="K765" s="381"/>
      <c r="L765" s="381"/>
      <c r="M765" s="381"/>
      <c r="N765" s="381"/>
      <c r="O765" s="381"/>
      <c r="P765" s="381"/>
      <c r="Q765" s="381"/>
      <c r="R765" s="381"/>
      <c r="S765" s="381"/>
      <c r="T765" s="381"/>
      <c r="U765" s="381"/>
      <c r="V765" s="381"/>
      <c r="W765" s="381"/>
      <c r="X765" s="381"/>
      <c r="Y765" s="381"/>
    </row>
    <row r="766">
      <c r="A766" s="359"/>
      <c r="B766" s="381"/>
      <c r="C766" s="18"/>
      <c r="D766" s="359"/>
      <c r="E766" s="607"/>
      <c r="F766" s="359"/>
      <c r="G766" s="381"/>
      <c r="H766" s="381"/>
      <c r="I766" s="381"/>
      <c r="J766" s="381"/>
      <c r="K766" s="381"/>
      <c r="L766" s="381"/>
      <c r="M766" s="381"/>
      <c r="N766" s="381"/>
      <c r="O766" s="381"/>
      <c r="P766" s="381"/>
      <c r="Q766" s="381"/>
      <c r="R766" s="381"/>
      <c r="S766" s="381"/>
      <c r="T766" s="381"/>
      <c r="U766" s="381"/>
      <c r="V766" s="381"/>
      <c r="W766" s="381"/>
      <c r="X766" s="381"/>
      <c r="Y766" s="381"/>
    </row>
    <row r="767">
      <c r="A767" s="359"/>
      <c r="B767" s="381"/>
      <c r="C767" s="18"/>
      <c r="D767" s="359"/>
      <c r="E767" s="607"/>
      <c r="F767" s="359"/>
      <c r="G767" s="381"/>
      <c r="H767" s="381"/>
      <c r="I767" s="381"/>
      <c r="J767" s="381"/>
      <c r="K767" s="381"/>
      <c r="L767" s="381"/>
      <c r="M767" s="381"/>
      <c r="N767" s="381"/>
      <c r="O767" s="381"/>
      <c r="P767" s="381"/>
      <c r="Q767" s="381"/>
      <c r="R767" s="381"/>
      <c r="S767" s="381"/>
      <c r="T767" s="381"/>
      <c r="U767" s="381"/>
      <c r="V767" s="381"/>
      <c r="W767" s="381"/>
      <c r="X767" s="381"/>
      <c r="Y767" s="381"/>
    </row>
    <row r="768">
      <c r="A768" s="359"/>
      <c r="B768" s="381"/>
      <c r="C768" s="18"/>
      <c r="D768" s="359"/>
      <c r="E768" s="607"/>
      <c r="F768" s="359"/>
      <c r="G768" s="381"/>
      <c r="H768" s="381"/>
      <c r="I768" s="381"/>
      <c r="J768" s="381"/>
      <c r="K768" s="381"/>
      <c r="L768" s="381"/>
      <c r="M768" s="381"/>
      <c r="N768" s="381"/>
      <c r="O768" s="381"/>
      <c r="P768" s="381"/>
      <c r="Q768" s="381"/>
      <c r="R768" s="381"/>
      <c r="S768" s="381"/>
      <c r="T768" s="381"/>
      <c r="U768" s="381"/>
      <c r="V768" s="381"/>
      <c r="W768" s="381"/>
      <c r="X768" s="381"/>
      <c r="Y768" s="381"/>
    </row>
    <row r="769">
      <c r="A769" s="359"/>
      <c r="B769" s="381"/>
      <c r="C769" s="18"/>
      <c r="D769" s="359"/>
      <c r="E769" s="607"/>
      <c r="F769" s="359"/>
      <c r="G769" s="381"/>
      <c r="H769" s="381"/>
      <c r="I769" s="381"/>
      <c r="J769" s="381"/>
      <c r="K769" s="381"/>
      <c r="L769" s="381"/>
      <c r="M769" s="381"/>
      <c r="N769" s="381"/>
      <c r="O769" s="381"/>
      <c r="P769" s="381"/>
      <c r="Q769" s="381"/>
      <c r="R769" s="381"/>
      <c r="S769" s="381"/>
      <c r="T769" s="381"/>
      <c r="U769" s="381"/>
      <c r="V769" s="381"/>
      <c r="W769" s="381"/>
      <c r="X769" s="381"/>
      <c r="Y769" s="381"/>
    </row>
    <row r="770">
      <c r="A770" s="359"/>
      <c r="B770" s="381"/>
      <c r="C770" s="18"/>
      <c r="D770" s="359"/>
      <c r="E770" s="607"/>
      <c r="F770" s="359"/>
      <c r="G770" s="381"/>
      <c r="H770" s="381"/>
      <c r="I770" s="381"/>
      <c r="J770" s="381"/>
      <c r="K770" s="381"/>
      <c r="L770" s="381"/>
      <c r="M770" s="381"/>
      <c r="N770" s="381"/>
      <c r="O770" s="381"/>
      <c r="P770" s="381"/>
      <c r="Q770" s="381"/>
      <c r="R770" s="381"/>
      <c r="S770" s="381"/>
      <c r="T770" s="381"/>
      <c r="U770" s="381"/>
      <c r="V770" s="381"/>
      <c r="W770" s="381"/>
      <c r="X770" s="381"/>
      <c r="Y770" s="381"/>
    </row>
    <row r="771">
      <c r="A771" s="359"/>
      <c r="B771" s="381"/>
      <c r="C771" s="18"/>
      <c r="D771" s="359"/>
      <c r="E771" s="607"/>
      <c r="F771" s="359"/>
      <c r="G771" s="381"/>
      <c r="H771" s="381"/>
      <c r="I771" s="381"/>
      <c r="J771" s="381"/>
      <c r="K771" s="381"/>
      <c r="L771" s="381"/>
      <c r="M771" s="381"/>
      <c r="N771" s="381"/>
      <c r="O771" s="381"/>
      <c r="P771" s="381"/>
      <c r="Q771" s="381"/>
      <c r="R771" s="381"/>
      <c r="S771" s="381"/>
      <c r="T771" s="381"/>
      <c r="U771" s="381"/>
      <c r="V771" s="381"/>
      <c r="W771" s="381"/>
      <c r="X771" s="381"/>
      <c r="Y771" s="381"/>
    </row>
    <row r="772">
      <c r="A772" s="359"/>
      <c r="B772" s="381"/>
      <c r="C772" s="18"/>
      <c r="D772" s="359"/>
      <c r="E772" s="607"/>
      <c r="F772" s="359"/>
      <c r="G772" s="381"/>
      <c r="H772" s="381"/>
      <c r="I772" s="381"/>
      <c r="J772" s="381"/>
      <c r="K772" s="381"/>
      <c r="L772" s="381"/>
      <c r="M772" s="381"/>
      <c r="N772" s="381"/>
      <c r="O772" s="381"/>
      <c r="P772" s="381"/>
      <c r="Q772" s="381"/>
      <c r="R772" s="381"/>
      <c r="S772" s="381"/>
      <c r="T772" s="381"/>
      <c r="U772" s="381"/>
      <c r="V772" s="381"/>
      <c r="W772" s="381"/>
      <c r="X772" s="381"/>
      <c r="Y772" s="381"/>
    </row>
    <row r="773">
      <c r="A773" s="359"/>
      <c r="B773" s="381"/>
      <c r="C773" s="18"/>
      <c r="D773" s="359"/>
      <c r="E773" s="607"/>
      <c r="F773" s="359"/>
      <c r="G773" s="381"/>
      <c r="H773" s="381"/>
      <c r="I773" s="381"/>
      <c r="J773" s="381"/>
      <c r="K773" s="381"/>
      <c r="L773" s="381"/>
      <c r="M773" s="381"/>
      <c r="N773" s="381"/>
      <c r="O773" s="381"/>
      <c r="P773" s="381"/>
      <c r="Q773" s="381"/>
      <c r="R773" s="381"/>
      <c r="S773" s="381"/>
      <c r="T773" s="381"/>
      <c r="U773" s="381"/>
      <c r="V773" s="381"/>
      <c r="W773" s="381"/>
      <c r="X773" s="381"/>
      <c r="Y773" s="381"/>
    </row>
    <row r="774">
      <c r="A774" s="359"/>
      <c r="B774" s="381"/>
      <c r="C774" s="18"/>
      <c r="D774" s="359"/>
      <c r="E774" s="607"/>
      <c r="F774" s="359"/>
      <c r="G774" s="381"/>
      <c r="H774" s="381"/>
      <c r="I774" s="381"/>
      <c r="J774" s="381"/>
      <c r="K774" s="381"/>
      <c r="L774" s="381"/>
      <c r="M774" s="381"/>
      <c r="N774" s="381"/>
      <c r="O774" s="381"/>
      <c r="P774" s="381"/>
      <c r="Q774" s="381"/>
      <c r="R774" s="381"/>
      <c r="S774" s="381"/>
      <c r="T774" s="381"/>
      <c r="U774" s="381"/>
      <c r="V774" s="381"/>
      <c r="W774" s="381"/>
      <c r="X774" s="381"/>
      <c r="Y774" s="381"/>
    </row>
    <row r="775">
      <c r="A775" s="359"/>
      <c r="B775" s="381"/>
      <c r="C775" s="18"/>
      <c r="D775" s="359"/>
      <c r="E775" s="607"/>
      <c r="F775" s="359"/>
      <c r="G775" s="381"/>
      <c r="H775" s="381"/>
      <c r="I775" s="381"/>
      <c r="J775" s="381"/>
      <c r="K775" s="381"/>
      <c r="L775" s="381"/>
      <c r="M775" s="381"/>
      <c r="N775" s="381"/>
      <c r="O775" s="381"/>
      <c r="P775" s="381"/>
      <c r="Q775" s="381"/>
      <c r="R775" s="381"/>
      <c r="S775" s="381"/>
      <c r="T775" s="381"/>
      <c r="U775" s="381"/>
      <c r="V775" s="381"/>
      <c r="W775" s="381"/>
      <c r="X775" s="381"/>
      <c r="Y775" s="381"/>
    </row>
    <row r="776">
      <c r="A776" s="359"/>
      <c r="B776" s="381"/>
      <c r="C776" s="18"/>
      <c r="D776" s="359"/>
      <c r="E776" s="607"/>
      <c r="F776" s="359"/>
      <c r="G776" s="381"/>
      <c r="H776" s="381"/>
      <c r="I776" s="381"/>
      <c r="J776" s="381"/>
      <c r="K776" s="381"/>
      <c r="L776" s="381"/>
      <c r="M776" s="381"/>
      <c r="N776" s="381"/>
      <c r="O776" s="381"/>
      <c r="P776" s="381"/>
      <c r="Q776" s="381"/>
      <c r="R776" s="381"/>
      <c r="S776" s="381"/>
      <c r="T776" s="381"/>
      <c r="U776" s="381"/>
      <c r="V776" s="381"/>
      <c r="W776" s="381"/>
      <c r="X776" s="381"/>
      <c r="Y776" s="381"/>
    </row>
    <row r="777">
      <c r="A777" s="359"/>
      <c r="B777" s="381"/>
      <c r="C777" s="18"/>
      <c r="D777" s="359"/>
      <c r="E777" s="607"/>
      <c r="F777" s="359"/>
      <c r="G777" s="381"/>
      <c r="H777" s="381"/>
      <c r="I777" s="381"/>
      <c r="J777" s="381"/>
      <c r="K777" s="381"/>
      <c r="L777" s="381"/>
      <c r="M777" s="381"/>
      <c r="N777" s="381"/>
      <c r="O777" s="381"/>
      <c r="P777" s="381"/>
      <c r="Q777" s="381"/>
      <c r="R777" s="381"/>
      <c r="S777" s="381"/>
      <c r="T777" s="381"/>
      <c r="U777" s="381"/>
      <c r="V777" s="381"/>
      <c r="W777" s="381"/>
      <c r="X777" s="381"/>
      <c r="Y777" s="381"/>
    </row>
    <row r="778">
      <c r="A778" s="359"/>
      <c r="B778" s="381"/>
      <c r="C778" s="18"/>
      <c r="D778" s="359"/>
      <c r="E778" s="607"/>
      <c r="F778" s="359"/>
      <c r="G778" s="381"/>
      <c r="H778" s="381"/>
      <c r="I778" s="381"/>
      <c r="J778" s="381"/>
      <c r="K778" s="381"/>
      <c r="L778" s="381"/>
      <c r="M778" s="381"/>
      <c r="N778" s="381"/>
      <c r="O778" s="381"/>
      <c r="P778" s="381"/>
      <c r="Q778" s="381"/>
      <c r="R778" s="381"/>
      <c r="S778" s="381"/>
      <c r="T778" s="381"/>
      <c r="U778" s="381"/>
      <c r="V778" s="381"/>
      <c r="W778" s="381"/>
      <c r="X778" s="381"/>
      <c r="Y778" s="381"/>
    </row>
    <row r="779">
      <c r="A779" s="359"/>
      <c r="B779" s="381"/>
      <c r="C779" s="18"/>
      <c r="D779" s="359"/>
      <c r="E779" s="607"/>
      <c r="F779" s="359"/>
      <c r="G779" s="381"/>
      <c r="H779" s="381"/>
      <c r="I779" s="381"/>
      <c r="J779" s="381"/>
      <c r="K779" s="381"/>
      <c r="L779" s="381"/>
      <c r="M779" s="381"/>
      <c r="N779" s="381"/>
      <c r="O779" s="381"/>
      <c r="P779" s="381"/>
      <c r="Q779" s="381"/>
      <c r="R779" s="381"/>
      <c r="S779" s="381"/>
      <c r="T779" s="381"/>
      <c r="U779" s="381"/>
      <c r="V779" s="381"/>
      <c r="W779" s="381"/>
      <c r="X779" s="381"/>
      <c r="Y779" s="381"/>
    </row>
    <row r="780">
      <c r="A780" s="359"/>
      <c r="B780" s="381"/>
      <c r="C780" s="18"/>
      <c r="D780" s="359"/>
      <c r="E780" s="607"/>
      <c r="F780" s="359"/>
      <c r="G780" s="381"/>
      <c r="H780" s="381"/>
      <c r="I780" s="381"/>
      <c r="J780" s="381"/>
      <c r="K780" s="381"/>
      <c r="L780" s="381"/>
      <c r="M780" s="381"/>
      <c r="N780" s="381"/>
      <c r="O780" s="381"/>
      <c r="P780" s="381"/>
      <c r="Q780" s="381"/>
      <c r="R780" s="381"/>
      <c r="S780" s="381"/>
      <c r="T780" s="381"/>
      <c r="U780" s="381"/>
      <c r="V780" s="381"/>
      <c r="W780" s="381"/>
      <c r="X780" s="381"/>
      <c r="Y780" s="381"/>
    </row>
    <row r="781">
      <c r="A781" s="359"/>
      <c r="B781" s="381"/>
      <c r="C781" s="18"/>
      <c r="D781" s="359"/>
      <c r="E781" s="607"/>
      <c r="F781" s="359"/>
      <c r="G781" s="381"/>
      <c r="H781" s="381"/>
      <c r="I781" s="381"/>
      <c r="J781" s="381"/>
      <c r="K781" s="381"/>
      <c r="L781" s="381"/>
      <c r="M781" s="381"/>
      <c r="N781" s="381"/>
      <c r="O781" s="381"/>
      <c r="P781" s="381"/>
      <c r="Q781" s="381"/>
      <c r="R781" s="381"/>
      <c r="S781" s="381"/>
      <c r="T781" s="381"/>
      <c r="U781" s="381"/>
      <c r="V781" s="381"/>
      <c r="W781" s="381"/>
      <c r="X781" s="381"/>
      <c r="Y781" s="381"/>
    </row>
    <row r="782">
      <c r="A782" s="359"/>
      <c r="B782" s="381"/>
      <c r="C782" s="18"/>
      <c r="D782" s="359"/>
      <c r="E782" s="607"/>
      <c r="F782" s="359"/>
      <c r="G782" s="381"/>
      <c r="H782" s="381"/>
      <c r="I782" s="381"/>
      <c r="J782" s="381"/>
      <c r="K782" s="381"/>
      <c r="L782" s="381"/>
      <c r="M782" s="381"/>
      <c r="N782" s="381"/>
      <c r="O782" s="381"/>
      <c r="P782" s="381"/>
      <c r="Q782" s="381"/>
      <c r="R782" s="381"/>
      <c r="S782" s="381"/>
      <c r="T782" s="381"/>
      <c r="U782" s="381"/>
      <c r="V782" s="381"/>
      <c r="W782" s="381"/>
      <c r="X782" s="381"/>
      <c r="Y782" s="381"/>
    </row>
    <row r="783">
      <c r="A783" s="359"/>
      <c r="B783" s="381"/>
      <c r="C783" s="18"/>
      <c r="D783" s="359"/>
      <c r="E783" s="607"/>
      <c r="F783" s="359"/>
      <c r="G783" s="381"/>
      <c r="H783" s="381"/>
      <c r="I783" s="381"/>
      <c r="J783" s="381"/>
      <c r="K783" s="381"/>
      <c r="L783" s="381"/>
      <c r="M783" s="381"/>
      <c r="N783" s="381"/>
      <c r="O783" s="381"/>
      <c r="P783" s="381"/>
      <c r="Q783" s="381"/>
      <c r="R783" s="381"/>
      <c r="S783" s="381"/>
      <c r="T783" s="381"/>
      <c r="U783" s="381"/>
      <c r="V783" s="381"/>
      <c r="W783" s="381"/>
      <c r="X783" s="381"/>
      <c r="Y783" s="381"/>
    </row>
    <row r="784">
      <c r="A784" s="359"/>
      <c r="B784" s="381"/>
      <c r="C784" s="18"/>
      <c r="D784" s="359"/>
      <c r="E784" s="607"/>
      <c r="F784" s="359"/>
      <c r="G784" s="381"/>
      <c r="H784" s="381"/>
      <c r="I784" s="381"/>
      <c r="J784" s="381"/>
      <c r="K784" s="381"/>
      <c r="L784" s="381"/>
      <c r="M784" s="381"/>
      <c r="N784" s="381"/>
      <c r="O784" s="381"/>
      <c r="P784" s="381"/>
      <c r="Q784" s="381"/>
      <c r="R784" s="381"/>
      <c r="S784" s="381"/>
      <c r="T784" s="381"/>
      <c r="U784" s="381"/>
      <c r="V784" s="381"/>
      <c r="W784" s="381"/>
      <c r="X784" s="381"/>
      <c r="Y784" s="381"/>
    </row>
    <row r="785">
      <c r="A785" s="359"/>
      <c r="B785" s="381"/>
      <c r="C785" s="18"/>
      <c r="D785" s="359"/>
      <c r="E785" s="607"/>
      <c r="F785" s="359"/>
      <c r="G785" s="381"/>
      <c r="H785" s="381"/>
      <c r="I785" s="381"/>
      <c r="J785" s="381"/>
      <c r="K785" s="381"/>
      <c r="L785" s="381"/>
      <c r="M785" s="381"/>
      <c r="N785" s="381"/>
      <c r="O785" s="381"/>
      <c r="P785" s="381"/>
      <c r="Q785" s="381"/>
      <c r="R785" s="381"/>
      <c r="S785" s="381"/>
      <c r="T785" s="381"/>
      <c r="U785" s="381"/>
      <c r="V785" s="381"/>
      <c r="W785" s="381"/>
      <c r="X785" s="381"/>
      <c r="Y785" s="381"/>
    </row>
    <row r="786">
      <c r="A786" s="359"/>
      <c r="B786" s="381"/>
      <c r="C786" s="18"/>
      <c r="D786" s="359"/>
      <c r="E786" s="607"/>
      <c r="F786" s="359"/>
      <c r="G786" s="381"/>
      <c r="H786" s="381"/>
      <c r="I786" s="381"/>
      <c r="J786" s="381"/>
      <c r="K786" s="381"/>
      <c r="L786" s="381"/>
      <c r="M786" s="381"/>
      <c r="N786" s="381"/>
      <c r="O786" s="381"/>
      <c r="P786" s="381"/>
      <c r="Q786" s="381"/>
      <c r="R786" s="381"/>
      <c r="S786" s="381"/>
      <c r="T786" s="381"/>
      <c r="U786" s="381"/>
      <c r="V786" s="381"/>
      <c r="W786" s="381"/>
      <c r="X786" s="381"/>
      <c r="Y786" s="381"/>
    </row>
    <row r="787">
      <c r="A787" s="359"/>
      <c r="B787" s="381"/>
      <c r="C787" s="18"/>
      <c r="D787" s="359"/>
      <c r="E787" s="607"/>
      <c r="F787" s="359"/>
      <c r="G787" s="381"/>
      <c r="H787" s="381"/>
      <c r="I787" s="381"/>
      <c r="J787" s="381"/>
      <c r="K787" s="381"/>
      <c r="L787" s="381"/>
      <c r="M787" s="381"/>
      <c r="N787" s="381"/>
      <c r="O787" s="381"/>
      <c r="P787" s="381"/>
      <c r="Q787" s="381"/>
      <c r="R787" s="381"/>
      <c r="S787" s="381"/>
      <c r="T787" s="381"/>
      <c r="U787" s="381"/>
      <c r="V787" s="381"/>
      <c r="W787" s="381"/>
      <c r="X787" s="381"/>
      <c r="Y787" s="381"/>
    </row>
    <row r="788">
      <c r="A788" s="359"/>
      <c r="B788" s="381"/>
      <c r="C788" s="18"/>
      <c r="D788" s="359"/>
      <c r="E788" s="607"/>
      <c r="F788" s="359"/>
      <c r="G788" s="381"/>
      <c r="H788" s="381"/>
      <c r="I788" s="381"/>
      <c r="J788" s="381"/>
      <c r="K788" s="381"/>
      <c r="L788" s="381"/>
      <c r="M788" s="381"/>
      <c r="N788" s="381"/>
      <c r="O788" s="381"/>
      <c r="P788" s="381"/>
      <c r="Q788" s="381"/>
      <c r="R788" s="381"/>
      <c r="S788" s="381"/>
      <c r="T788" s="381"/>
      <c r="U788" s="381"/>
      <c r="V788" s="381"/>
      <c r="W788" s="381"/>
      <c r="X788" s="381"/>
      <c r="Y788" s="381"/>
    </row>
    <row r="789">
      <c r="A789" s="359"/>
      <c r="B789" s="381"/>
      <c r="C789" s="18"/>
      <c r="D789" s="359"/>
      <c r="E789" s="607"/>
      <c r="F789" s="359"/>
      <c r="G789" s="381"/>
      <c r="H789" s="381"/>
      <c r="I789" s="381"/>
      <c r="J789" s="381"/>
      <c r="K789" s="381"/>
      <c r="L789" s="381"/>
      <c r="M789" s="381"/>
      <c r="N789" s="381"/>
      <c r="O789" s="381"/>
      <c r="P789" s="381"/>
      <c r="Q789" s="381"/>
      <c r="R789" s="381"/>
      <c r="S789" s="381"/>
      <c r="T789" s="381"/>
      <c r="U789" s="381"/>
      <c r="V789" s="381"/>
      <c r="W789" s="381"/>
      <c r="X789" s="381"/>
      <c r="Y789" s="381"/>
    </row>
    <row r="790">
      <c r="A790" s="359"/>
      <c r="B790" s="381"/>
      <c r="C790" s="18"/>
      <c r="D790" s="359"/>
      <c r="E790" s="607"/>
      <c r="F790" s="359"/>
      <c r="G790" s="381"/>
      <c r="H790" s="381"/>
      <c r="I790" s="381"/>
      <c r="J790" s="381"/>
      <c r="K790" s="381"/>
      <c r="L790" s="381"/>
      <c r="M790" s="381"/>
      <c r="N790" s="381"/>
      <c r="O790" s="381"/>
      <c r="P790" s="381"/>
      <c r="Q790" s="381"/>
      <c r="R790" s="381"/>
      <c r="S790" s="381"/>
      <c r="T790" s="381"/>
      <c r="U790" s="381"/>
      <c r="V790" s="381"/>
      <c r="W790" s="381"/>
      <c r="X790" s="381"/>
      <c r="Y790" s="381"/>
    </row>
    <row r="791">
      <c r="A791" s="359"/>
      <c r="B791" s="381"/>
      <c r="C791" s="18"/>
      <c r="D791" s="359"/>
      <c r="E791" s="607"/>
      <c r="F791" s="359"/>
      <c r="G791" s="381"/>
      <c r="H791" s="381"/>
      <c r="I791" s="381"/>
      <c r="J791" s="381"/>
      <c r="K791" s="381"/>
      <c r="L791" s="381"/>
      <c r="M791" s="381"/>
      <c r="N791" s="381"/>
      <c r="O791" s="381"/>
      <c r="P791" s="381"/>
      <c r="Q791" s="381"/>
      <c r="R791" s="381"/>
      <c r="S791" s="381"/>
      <c r="T791" s="381"/>
      <c r="U791" s="381"/>
      <c r="V791" s="381"/>
      <c r="W791" s="381"/>
      <c r="X791" s="381"/>
      <c r="Y791" s="381"/>
    </row>
    <row r="792">
      <c r="A792" s="359"/>
      <c r="B792" s="381"/>
      <c r="C792" s="18"/>
      <c r="D792" s="359"/>
      <c r="E792" s="607"/>
      <c r="F792" s="359"/>
      <c r="G792" s="381"/>
      <c r="H792" s="381"/>
      <c r="I792" s="381"/>
      <c r="J792" s="381"/>
      <c r="K792" s="381"/>
      <c r="L792" s="381"/>
      <c r="M792" s="381"/>
      <c r="N792" s="381"/>
      <c r="O792" s="381"/>
      <c r="P792" s="381"/>
      <c r="Q792" s="381"/>
      <c r="R792" s="381"/>
      <c r="S792" s="381"/>
      <c r="T792" s="381"/>
      <c r="U792" s="381"/>
      <c r="V792" s="381"/>
      <c r="W792" s="381"/>
      <c r="X792" s="381"/>
      <c r="Y792" s="381"/>
    </row>
    <row r="793">
      <c r="A793" s="359"/>
      <c r="B793" s="381"/>
      <c r="C793" s="18"/>
      <c r="D793" s="359"/>
      <c r="E793" s="607"/>
      <c r="F793" s="359"/>
      <c r="G793" s="381"/>
      <c r="H793" s="381"/>
      <c r="I793" s="381"/>
      <c r="J793" s="381"/>
      <c r="K793" s="381"/>
      <c r="L793" s="381"/>
      <c r="M793" s="381"/>
      <c r="N793" s="381"/>
      <c r="O793" s="381"/>
      <c r="P793" s="381"/>
      <c r="Q793" s="381"/>
      <c r="R793" s="381"/>
      <c r="S793" s="381"/>
      <c r="T793" s="381"/>
      <c r="U793" s="381"/>
      <c r="V793" s="381"/>
      <c r="W793" s="381"/>
      <c r="X793" s="381"/>
      <c r="Y793" s="381"/>
    </row>
    <row r="794">
      <c r="A794" s="359"/>
      <c r="B794" s="381"/>
      <c r="C794" s="18"/>
      <c r="D794" s="359"/>
      <c r="E794" s="607"/>
      <c r="F794" s="359"/>
      <c r="G794" s="381"/>
      <c r="H794" s="381"/>
      <c r="I794" s="381"/>
      <c r="J794" s="381"/>
      <c r="K794" s="381"/>
      <c r="L794" s="381"/>
      <c r="M794" s="381"/>
      <c r="N794" s="381"/>
      <c r="O794" s="381"/>
      <c r="P794" s="381"/>
      <c r="Q794" s="381"/>
      <c r="R794" s="381"/>
      <c r="S794" s="381"/>
      <c r="T794" s="381"/>
      <c r="U794" s="381"/>
      <c r="V794" s="381"/>
      <c r="W794" s="381"/>
      <c r="X794" s="381"/>
      <c r="Y794" s="381"/>
    </row>
    <row r="795">
      <c r="A795" s="359"/>
      <c r="B795" s="381"/>
      <c r="C795" s="18"/>
      <c r="D795" s="359"/>
      <c r="E795" s="607"/>
      <c r="F795" s="359"/>
      <c r="G795" s="381"/>
      <c r="H795" s="381"/>
      <c r="I795" s="381"/>
      <c r="J795" s="381"/>
      <c r="K795" s="381"/>
      <c r="L795" s="381"/>
      <c r="M795" s="381"/>
      <c r="N795" s="381"/>
      <c r="O795" s="381"/>
      <c r="P795" s="381"/>
      <c r="Q795" s="381"/>
      <c r="R795" s="381"/>
      <c r="S795" s="381"/>
      <c r="T795" s="381"/>
      <c r="U795" s="381"/>
      <c r="V795" s="381"/>
      <c r="W795" s="381"/>
      <c r="X795" s="381"/>
      <c r="Y795" s="381"/>
    </row>
    <row r="796">
      <c r="A796" s="359"/>
      <c r="B796" s="381"/>
      <c r="C796" s="18"/>
      <c r="D796" s="359"/>
      <c r="E796" s="607"/>
      <c r="F796" s="359"/>
      <c r="G796" s="381"/>
      <c r="H796" s="381"/>
      <c r="I796" s="381"/>
      <c r="J796" s="381"/>
      <c r="K796" s="381"/>
      <c r="L796" s="381"/>
      <c r="M796" s="381"/>
      <c r="N796" s="381"/>
      <c r="O796" s="381"/>
      <c r="P796" s="381"/>
      <c r="Q796" s="381"/>
      <c r="R796" s="381"/>
      <c r="S796" s="381"/>
      <c r="T796" s="381"/>
      <c r="U796" s="381"/>
      <c r="V796" s="381"/>
      <c r="W796" s="381"/>
      <c r="X796" s="381"/>
      <c r="Y796" s="381"/>
    </row>
    <row r="797">
      <c r="A797" s="359"/>
      <c r="B797" s="381"/>
      <c r="C797" s="18"/>
      <c r="D797" s="359"/>
      <c r="E797" s="607"/>
      <c r="F797" s="359"/>
      <c r="G797" s="381"/>
      <c r="H797" s="381"/>
      <c r="I797" s="381"/>
      <c r="J797" s="381"/>
      <c r="K797" s="381"/>
      <c r="L797" s="381"/>
      <c r="M797" s="381"/>
      <c r="N797" s="381"/>
      <c r="O797" s="381"/>
      <c r="P797" s="381"/>
      <c r="Q797" s="381"/>
      <c r="R797" s="381"/>
      <c r="S797" s="381"/>
      <c r="T797" s="381"/>
      <c r="U797" s="381"/>
      <c r="V797" s="381"/>
      <c r="W797" s="381"/>
      <c r="X797" s="381"/>
      <c r="Y797" s="381"/>
    </row>
    <row r="798">
      <c r="A798" s="359"/>
      <c r="B798" s="381"/>
      <c r="C798" s="18"/>
      <c r="D798" s="359"/>
      <c r="E798" s="607"/>
      <c r="F798" s="359"/>
      <c r="G798" s="381"/>
      <c r="H798" s="381"/>
      <c r="I798" s="381"/>
      <c r="J798" s="381"/>
      <c r="K798" s="381"/>
      <c r="L798" s="381"/>
      <c r="M798" s="381"/>
      <c r="N798" s="381"/>
      <c r="O798" s="381"/>
      <c r="P798" s="381"/>
      <c r="Q798" s="381"/>
      <c r="R798" s="381"/>
      <c r="S798" s="381"/>
      <c r="T798" s="381"/>
      <c r="U798" s="381"/>
      <c r="V798" s="381"/>
      <c r="W798" s="381"/>
      <c r="X798" s="381"/>
      <c r="Y798" s="381"/>
    </row>
    <row r="799">
      <c r="A799" s="359"/>
      <c r="B799" s="381"/>
      <c r="C799" s="18"/>
      <c r="D799" s="359"/>
      <c r="E799" s="607"/>
      <c r="F799" s="359"/>
      <c r="G799" s="381"/>
      <c r="H799" s="381"/>
      <c r="I799" s="381"/>
      <c r="J799" s="381"/>
      <c r="K799" s="381"/>
      <c r="L799" s="381"/>
      <c r="M799" s="381"/>
      <c r="N799" s="381"/>
      <c r="O799" s="381"/>
      <c r="P799" s="381"/>
      <c r="Q799" s="381"/>
      <c r="R799" s="381"/>
      <c r="S799" s="381"/>
      <c r="T799" s="381"/>
      <c r="U799" s="381"/>
      <c r="V799" s="381"/>
      <c r="W799" s="381"/>
      <c r="X799" s="381"/>
      <c r="Y799" s="381"/>
    </row>
    <row r="800">
      <c r="A800" s="359"/>
      <c r="B800" s="381"/>
      <c r="C800" s="18"/>
      <c r="D800" s="359"/>
      <c r="E800" s="607"/>
      <c r="F800" s="359"/>
      <c r="G800" s="381"/>
      <c r="H800" s="381"/>
      <c r="I800" s="381"/>
      <c r="J800" s="381"/>
      <c r="K800" s="381"/>
      <c r="L800" s="381"/>
      <c r="M800" s="381"/>
      <c r="N800" s="381"/>
      <c r="O800" s="381"/>
      <c r="P800" s="381"/>
      <c r="Q800" s="381"/>
      <c r="R800" s="381"/>
      <c r="S800" s="381"/>
      <c r="T800" s="381"/>
      <c r="U800" s="381"/>
      <c r="V800" s="381"/>
      <c r="W800" s="381"/>
      <c r="X800" s="381"/>
      <c r="Y800" s="381"/>
    </row>
    <row r="801">
      <c r="A801" s="359"/>
      <c r="B801" s="381"/>
      <c r="C801" s="18"/>
      <c r="D801" s="359"/>
      <c r="E801" s="607"/>
      <c r="F801" s="359"/>
      <c r="G801" s="381"/>
      <c r="H801" s="381"/>
      <c r="I801" s="381"/>
      <c r="J801" s="381"/>
      <c r="K801" s="381"/>
      <c r="L801" s="381"/>
      <c r="M801" s="381"/>
      <c r="N801" s="381"/>
      <c r="O801" s="381"/>
      <c r="P801" s="381"/>
      <c r="Q801" s="381"/>
      <c r="R801" s="381"/>
      <c r="S801" s="381"/>
      <c r="T801" s="381"/>
      <c r="U801" s="381"/>
      <c r="V801" s="381"/>
      <c r="W801" s="381"/>
      <c r="X801" s="381"/>
      <c r="Y801" s="381"/>
    </row>
    <row r="802">
      <c r="A802" s="359"/>
      <c r="B802" s="381"/>
      <c r="C802" s="18"/>
      <c r="D802" s="359"/>
      <c r="E802" s="607"/>
      <c r="F802" s="359"/>
      <c r="G802" s="381"/>
      <c r="H802" s="381"/>
      <c r="I802" s="381"/>
      <c r="J802" s="381"/>
      <c r="K802" s="381"/>
      <c r="L802" s="381"/>
      <c r="M802" s="381"/>
      <c r="N802" s="381"/>
      <c r="O802" s="381"/>
      <c r="P802" s="381"/>
      <c r="Q802" s="381"/>
      <c r="R802" s="381"/>
      <c r="S802" s="381"/>
      <c r="T802" s="381"/>
      <c r="U802" s="381"/>
      <c r="V802" s="381"/>
      <c r="W802" s="381"/>
      <c r="X802" s="381"/>
      <c r="Y802" s="381"/>
    </row>
    <row r="803">
      <c r="A803" s="359"/>
      <c r="B803" s="381"/>
      <c r="C803" s="18"/>
      <c r="D803" s="359"/>
      <c r="E803" s="607"/>
      <c r="F803" s="359"/>
      <c r="G803" s="381"/>
      <c r="H803" s="381"/>
      <c r="I803" s="381"/>
      <c r="J803" s="381"/>
      <c r="K803" s="381"/>
      <c r="L803" s="381"/>
      <c r="M803" s="381"/>
      <c r="N803" s="381"/>
      <c r="O803" s="381"/>
      <c r="P803" s="381"/>
      <c r="Q803" s="381"/>
      <c r="R803" s="381"/>
      <c r="S803" s="381"/>
      <c r="T803" s="381"/>
      <c r="U803" s="381"/>
      <c r="V803" s="381"/>
      <c r="W803" s="381"/>
      <c r="X803" s="381"/>
      <c r="Y803" s="381"/>
    </row>
    <row r="804">
      <c r="A804" s="359"/>
      <c r="B804" s="381"/>
      <c r="C804" s="18"/>
      <c r="D804" s="359"/>
      <c r="E804" s="607"/>
      <c r="F804" s="359"/>
      <c r="G804" s="381"/>
      <c r="H804" s="381"/>
      <c r="I804" s="381"/>
      <c r="J804" s="381"/>
      <c r="K804" s="381"/>
      <c r="L804" s="381"/>
      <c r="M804" s="381"/>
      <c r="N804" s="381"/>
      <c r="O804" s="381"/>
      <c r="P804" s="381"/>
      <c r="Q804" s="381"/>
      <c r="R804" s="381"/>
      <c r="S804" s="381"/>
      <c r="T804" s="381"/>
      <c r="U804" s="381"/>
      <c r="V804" s="381"/>
      <c r="W804" s="381"/>
      <c r="X804" s="381"/>
      <c r="Y804" s="381"/>
    </row>
    <row r="805">
      <c r="A805" s="359"/>
      <c r="B805" s="381"/>
      <c r="C805" s="18"/>
      <c r="D805" s="359"/>
      <c r="E805" s="607"/>
      <c r="F805" s="359"/>
      <c r="G805" s="381"/>
      <c r="H805" s="381"/>
      <c r="I805" s="381"/>
      <c r="J805" s="381"/>
      <c r="K805" s="381"/>
      <c r="L805" s="381"/>
      <c r="M805" s="381"/>
      <c r="N805" s="381"/>
      <c r="O805" s="381"/>
      <c r="P805" s="381"/>
      <c r="Q805" s="381"/>
      <c r="R805" s="381"/>
      <c r="S805" s="381"/>
      <c r="T805" s="381"/>
      <c r="U805" s="381"/>
      <c r="V805" s="381"/>
      <c r="W805" s="381"/>
      <c r="X805" s="381"/>
      <c r="Y805" s="381"/>
    </row>
    <row r="806">
      <c r="A806" s="359"/>
      <c r="B806" s="381"/>
      <c r="C806" s="18"/>
      <c r="D806" s="359"/>
      <c r="E806" s="607"/>
      <c r="F806" s="359"/>
      <c r="G806" s="381"/>
      <c r="H806" s="381"/>
      <c r="I806" s="381"/>
      <c r="J806" s="381"/>
      <c r="K806" s="381"/>
      <c r="L806" s="381"/>
      <c r="M806" s="381"/>
      <c r="N806" s="381"/>
      <c r="O806" s="381"/>
      <c r="P806" s="381"/>
      <c r="Q806" s="381"/>
      <c r="R806" s="381"/>
      <c r="S806" s="381"/>
      <c r="T806" s="381"/>
      <c r="U806" s="381"/>
      <c r="V806" s="381"/>
      <c r="W806" s="381"/>
      <c r="X806" s="381"/>
      <c r="Y806" s="381"/>
    </row>
    <row r="807">
      <c r="A807" s="359"/>
      <c r="B807" s="381"/>
      <c r="C807" s="18"/>
      <c r="D807" s="359"/>
      <c r="E807" s="607"/>
      <c r="F807" s="359"/>
      <c r="G807" s="381"/>
      <c r="H807" s="381"/>
      <c r="I807" s="381"/>
      <c r="J807" s="381"/>
      <c r="K807" s="381"/>
      <c r="L807" s="381"/>
      <c r="M807" s="381"/>
      <c r="N807" s="381"/>
      <c r="O807" s="381"/>
      <c r="P807" s="381"/>
      <c r="Q807" s="381"/>
      <c r="R807" s="381"/>
      <c r="S807" s="381"/>
      <c r="T807" s="381"/>
      <c r="U807" s="381"/>
      <c r="V807" s="381"/>
      <c r="W807" s="381"/>
      <c r="X807" s="381"/>
      <c r="Y807" s="381"/>
    </row>
    <row r="808">
      <c r="A808" s="359"/>
      <c r="B808" s="381"/>
      <c r="C808" s="18"/>
      <c r="D808" s="359"/>
      <c r="E808" s="607"/>
      <c r="F808" s="359"/>
      <c r="G808" s="381"/>
      <c r="H808" s="381"/>
      <c r="I808" s="381"/>
      <c r="J808" s="381"/>
      <c r="K808" s="381"/>
      <c r="L808" s="381"/>
      <c r="M808" s="381"/>
      <c r="N808" s="381"/>
      <c r="O808" s="381"/>
      <c r="P808" s="381"/>
      <c r="Q808" s="381"/>
      <c r="R808" s="381"/>
      <c r="S808" s="381"/>
      <c r="T808" s="381"/>
      <c r="U808" s="381"/>
      <c r="V808" s="381"/>
      <c r="W808" s="381"/>
      <c r="X808" s="381"/>
      <c r="Y808" s="381"/>
    </row>
    <row r="809">
      <c r="A809" s="359"/>
      <c r="B809" s="381"/>
      <c r="C809" s="18"/>
      <c r="D809" s="359"/>
      <c r="E809" s="607"/>
      <c r="F809" s="359"/>
      <c r="G809" s="381"/>
      <c r="H809" s="381"/>
      <c r="I809" s="381"/>
      <c r="J809" s="381"/>
      <c r="K809" s="381"/>
      <c r="L809" s="381"/>
      <c r="M809" s="381"/>
      <c r="N809" s="381"/>
      <c r="O809" s="381"/>
      <c r="P809" s="381"/>
      <c r="Q809" s="381"/>
      <c r="R809" s="381"/>
      <c r="S809" s="381"/>
      <c r="T809" s="381"/>
      <c r="U809" s="381"/>
      <c r="V809" s="381"/>
      <c r="W809" s="381"/>
      <c r="X809" s="381"/>
      <c r="Y809" s="381"/>
    </row>
    <row r="810">
      <c r="A810" s="359"/>
      <c r="B810" s="381"/>
      <c r="C810" s="18"/>
      <c r="D810" s="359"/>
      <c r="E810" s="607"/>
      <c r="F810" s="359"/>
      <c r="G810" s="381"/>
      <c r="H810" s="381"/>
      <c r="I810" s="381"/>
      <c r="J810" s="381"/>
      <c r="K810" s="381"/>
      <c r="L810" s="381"/>
      <c r="M810" s="381"/>
      <c r="N810" s="381"/>
      <c r="O810" s="381"/>
      <c r="P810" s="381"/>
      <c r="Q810" s="381"/>
      <c r="R810" s="381"/>
      <c r="S810" s="381"/>
      <c r="T810" s="381"/>
      <c r="U810" s="381"/>
      <c r="V810" s="381"/>
      <c r="W810" s="381"/>
      <c r="X810" s="381"/>
      <c r="Y810" s="381"/>
    </row>
    <row r="811">
      <c r="A811" s="359"/>
      <c r="B811" s="381"/>
      <c r="C811" s="18"/>
      <c r="D811" s="359"/>
      <c r="E811" s="607"/>
      <c r="F811" s="359"/>
      <c r="G811" s="381"/>
      <c r="H811" s="381"/>
      <c r="I811" s="381"/>
      <c r="J811" s="381"/>
      <c r="K811" s="381"/>
      <c r="L811" s="381"/>
      <c r="M811" s="381"/>
      <c r="N811" s="381"/>
      <c r="O811" s="381"/>
      <c r="P811" s="381"/>
      <c r="Q811" s="381"/>
      <c r="R811" s="381"/>
      <c r="S811" s="381"/>
      <c r="T811" s="381"/>
      <c r="U811" s="381"/>
      <c r="V811" s="381"/>
      <c r="W811" s="381"/>
      <c r="X811" s="381"/>
      <c r="Y811" s="381"/>
    </row>
    <row r="812">
      <c r="A812" s="359"/>
      <c r="B812" s="381"/>
      <c r="C812" s="18"/>
      <c r="D812" s="359"/>
      <c r="E812" s="607"/>
      <c r="F812" s="359"/>
      <c r="G812" s="381"/>
      <c r="H812" s="381"/>
      <c r="I812" s="381"/>
      <c r="J812" s="381"/>
      <c r="K812" s="381"/>
      <c r="L812" s="381"/>
      <c r="M812" s="381"/>
      <c r="N812" s="381"/>
      <c r="O812" s="381"/>
      <c r="P812" s="381"/>
      <c r="Q812" s="381"/>
      <c r="R812" s="381"/>
      <c r="S812" s="381"/>
      <c r="T812" s="381"/>
      <c r="U812" s="381"/>
      <c r="V812" s="381"/>
      <c r="W812" s="381"/>
      <c r="X812" s="381"/>
      <c r="Y812" s="381"/>
    </row>
    <row r="813">
      <c r="A813" s="359"/>
      <c r="B813" s="381"/>
      <c r="C813" s="18"/>
      <c r="D813" s="359"/>
      <c r="E813" s="607"/>
      <c r="F813" s="359"/>
      <c r="G813" s="381"/>
      <c r="H813" s="381"/>
      <c r="I813" s="381"/>
      <c r="J813" s="381"/>
      <c r="K813" s="381"/>
      <c r="L813" s="381"/>
      <c r="M813" s="381"/>
      <c r="N813" s="381"/>
      <c r="O813" s="381"/>
      <c r="P813" s="381"/>
      <c r="Q813" s="381"/>
      <c r="R813" s="381"/>
      <c r="S813" s="381"/>
      <c r="T813" s="381"/>
      <c r="U813" s="381"/>
      <c r="V813" s="381"/>
      <c r="W813" s="381"/>
      <c r="X813" s="381"/>
      <c r="Y813" s="381"/>
    </row>
    <row r="814">
      <c r="A814" s="359"/>
      <c r="B814" s="381"/>
      <c r="C814" s="18"/>
      <c r="D814" s="359"/>
      <c r="E814" s="607"/>
      <c r="F814" s="359"/>
      <c r="G814" s="381"/>
      <c r="H814" s="381"/>
      <c r="I814" s="381"/>
      <c r="J814" s="381"/>
      <c r="K814" s="381"/>
      <c r="L814" s="381"/>
      <c r="M814" s="381"/>
      <c r="N814" s="381"/>
      <c r="O814" s="381"/>
      <c r="P814" s="381"/>
      <c r="Q814" s="381"/>
      <c r="R814" s="381"/>
      <c r="S814" s="381"/>
      <c r="T814" s="381"/>
      <c r="U814" s="381"/>
      <c r="V814" s="381"/>
      <c r="W814" s="381"/>
      <c r="X814" s="381"/>
      <c r="Y814" s="381"/>
    </row>
    <row r="815">
      <c r="A815" s="359"/>
      <c r="B815" s="381"/>
      <c r="C815" s="18"/>
      <c r="D815" s="359"/>
      <c r="E815" s="607"/>
      <c r="F815" s="359"/>
      <c r="G815" s="381"/>
      <c r="H815" s="381"/>
      <c r="I815" s="381"/>
      <c r="J815" s="381"/>
      <c r="K815" s="381"/>
      <c r="L815" s="381"/>
      <c r="M815" s="381"/>
      <c r="N815" s="381"/>
      <c r="O815" s="381"/>
      <c r="P815" s="381"/>
      <c r="Q815" s="381"/>
      <c r="R815" s="381"/>
      <c r="S815" s="381"/>
      <c r="T815" s="381"/>
      <c r="U815" s="381"/>
      <c r="V815" s="381"/>
      <c r="W815" s="381"/>
      <c r="X815" s="381"/>
      <c r="Y815" s="381"/>
    </row>
    <row r="816">
      <c r="A816" s="359"/>
      <c r="B816" s="381"/>
      <c r="C816" s="18"/>
      <c r="D816" s="359"/>
      <c r="E816" s="607"/>
      <c r="F816" s="359"/>
      <c r="G816" s="381"/>
      <c r="H816" s="381"/>
      <c r="I816" s="381"/>
      <c r="J816" s="381"/>
      <c r="K816" s="381"/>
      <c r="L816" s="381"/>
      <c r="M816" s="381"/>
      <c r="N816" s="381"/>
      <c r="O816" s="381"/>
      <c r="P816" s="381"/>
      <c r="Q816" s="381"/>
      <c r="R816" s="381"/>
      <c r="S816" s="381"/>
      <c r="T816" s="381"/>
      <c r="U816" s="381"/>
      <c r="V816" s="381"/>
      <c r="W816" s="381"/>
      <c r="X816" s="381"/>
      <c r="Y816" s="381"/>
    </row>
    <row r="817">
      <c r="A817" s="359"/>
      <c r="B817" s="381"/>
      <c r="C817" s="18"/>
      <c r="D817" s="359"/>
      <c r="E817" s="607"/>
      <c r="F817" s="359"/>
      <c r="G817" s="381"/>
      <c r="H817" s="381"/>
      <c r="I817" s="381"/>
      <c r="J817" s="381"/>
      <c r="K817" s="381"/>
      <c r="L817" s="381"/>
      <c r="M817" s="381"/>
      <c r="N817" s="381"/>
      <c r="O817" s="381"/>
      <c r="P817" s="381"/>
      <c r="Q817" s="381"/>
      <c r="R817" s="381"/>
      <c r="S817" s="381"/>
      <c r="T817" s="381"/>
      <c r="U817" s="381"/>
      <c r="V817" s="381"/>
      <c r="W817" s="381"/>
      <c r="X817" s="381"/>
      <c r="Y817" s="381"/>
    </row>
    <row r="818">
      <c r="A818" s="359"/>
      <c r="B818" s="381"/>
      <c r="C818" s="18"/>
      <c r="D818" s="359"/>
      <c r="E818" s="607"/>
      <c r="F818" s="359"/>
      <c r="G818" s="381"/>
      <c r="H818" s="381"/>
      <c r="I818" s="381"/>
      <c r="J818" s="381"/>
      <c r="K818" s="381"/>
      <c r="L818" s="381"/>
      <c r="M818" s="381"/>
      <c r="N818" s="381"/>
      <c r="O818" s="381"/>
      <c r="P818" s="381"/>
      <c r="Q818" s="381"/>
      <c r="R818" s="381"/>
      <c r="S818" s="381"/>
      <c r="T818" s="381"/>
      <c r="U818" s="381"/>
      <c r="V818" s="381"/>
      <c r="W818" s="381"/>
      <c r="X818" s="381"/>
      <c r="Y818" s="381"/>
    </row>
    <row r="819">
      <c r="A819" s="359"/>
      <c r="B819" s="381"/>
      <c r="C819" s="18"/>
      <c r="D819" s="359"/>
      <c r="E819" s="607"/>
      <c r="F819" s="359"/>
      <c r="G819" s="381"/>
      <c r="H819" s="381"/>
      <c r="I819" s="381"/>
      <c r="J819" s="381"/>
      <c r="K819" s="381"/>
      <c r="L819" s="381"/>
      <c r="M819" s="381"/>
      <c r="N819" s="381"/>
      <c r="O819" s="381"/>
      <c r="P819" s="381"/>
      <c r="Q819" s="381"/>
      <c r="R819" s="381"/>
      <c r="S819" s="381"/>
      <c r="T819" s="381"/>
      <c r="U819" s="381"/>
      <c r="V819" s="381"/>
      <c r="W819" s="381"/>
      <c r="X819" s="381"/>
      <c r="Y819" s="381"/>
    </row>
    <row r="820">
      <c r="A820" s="359"/>
      <c r="B820" s="381"/>
      <c r="C820" s="18"/>
      <c r="D820" s="359"/>
      <c r="E820" s="607"/>
      <c r="F820" s="359"/>
      <c r="G820" s="381"/>
      <c r="H820" s="381"/>
      <c r="I820" s="381"/>
      <c r="J820" s="381"/>
      <c r="K820" s="381"/>
      <c r="L820" s="381"/>
      <c r="M820" s="381"/>
      <c r="N820" s="381"/>
      <c r="O820" s="381"/>
      <c r="P820" s="381"/>
      <c r="Q820" s="381"/>
      <c r="R820" s="381"/>
      <c r="S820" s="381"/>
      <c r="T820" s="381"/>
      <c r="U820" s="381"/>
      <c r="V820" s="381"/>
      <c r="W820" s="381"/>
      <c r="X820" s="381"/>
      <c r="Y820" s="381"/>
    </row>
    <row r="821">
      <c r="A821" s="359"/>
      <c r="B821" s="381"/>
      <c r="C821" s="18"/>
      <c r="D821" s="359"/>
      <c r="E821" s="607"/>
      <c r="F821" s="359"/>
      <c r="G821" s="381"/>
      <c r="H821" s="381"/>
      <c r="I821" s="381"/>
      <c r="J821" s="381"/>
      <c r="K821" s="381"/>
      <c r="L821" s="381"/>
      <c r="M821" s="381"/>
      <c r="N821" s="381"/>
      <c r="O821" s="381"/>
      <c r="P821" s="381"/>
      <c r="Q821" s="381"/>
      <c r="R821" s="381"/>
      <c r="S821" s="381"/>
      <c r="T821" s="381"/>
      <c r="U821" s="381"/>
      <c r="V821" s="381"/>
      <c r="W821" s="381"/>
      <c r="X821" s="381"/>
      <c r="Y821" s="381"/>
    </row>
    <row r="822">
      <c r="A822" s="359"/>
      <c r="B822" s="381"/>
      <c r="C822" s="18"/>
      <c r="D822" s="359"/>
      <c r="E822" s="607"/>
      <c r="F822" s="359"/>
      <c r="G822" s="381"/>
      <c r="H822" s="381"/>
      <c r="I822" s="381"/>
      <c r="J822" s="381"/>
      <c r="K822" s="381"/>
      <c r="L822" s="381"/>
      <c r="M822" s="381"/>
      <c r="N822" s="381"/>
      <c r="O822" s="381"/>
      <c r="P822" s="381"/>
      <c r="Q822" s="381"/>
      <c r="R822" s="381"/>
      <c r="S822" s="381"/>
      <c r="T822" s="381"/>
      <c r="U822" s="381"/>
      <c r="V822" s="381"/>
      <c r="W822" s="381"/>
      <c r="X822" s="381"/>
      <c r="Y822" s="381"/>
    </row>
    <row r="823">
      <c r="A823" s="359"/>
      <c r="B823" s="381"/>
      <c r="C823" s="18"/>
      <c r="D823" s="359"/>
      <c r="E823" s="607"/>
      <c r="F823" s="359"/>
      <c r="G823" s="381"/>
      <c r="H823" s="381"/>
      <c r="I823" s="381"/>
      <c r="J823" s="381"/>
      <c r="K823" s="381"/>
      <c r="L823" s="381"/>
      <c r="M823" s="381"/>
      <c r="N823" s="381"/>
      <c r="O823" s="381"/>
      <c r="P823" s="381"/>
      <c r="Q823" s="381"/>
      <c r="R823" s="381"/>
      <c r="S823" s="381"/>
      <c r="T823" s="381"/>
      <c r="U823" s="381"/>
      <c r="V823" s="381"/>
      <c r="W823" s="381"/>
      <c r="X823" s="381"/>
      <c r="Y823" s="381"/>
    </row>
    <row r="824">
      <c r="A824" s="359"/>
      <c r="B824" s="381"/>
      <c r="C824" s="18"/>
      <c r="D824" s="359"/>
      <c r="E824" s="607"/>
      <c r="F824" s="359"/>
      <c r="G824" s="381"/>
      <c r="H824" s="381"/>
      <c r="I824" s="381"/>
      <c r="J824" s="381"/>
      <c r="K824" s="381"/>
      <c r="L824" s="381"/>
      <c r="M824" s="381"/>
      <c r="N824" s="381"/>
      <c r="O824" s="381"/>
      <c r="P824" s="381"/>
      <c r="Q824" s="381"/>
      <c r="R824" s="381"/>
      <c r="S824" s="381"/>
      <c r="T824" s="381"/>
      <c r="U824" s="381"/>
      <c r="V824" s="381"/>
      <c r="W824" s="381"/>
      <c r="X824" s="381"/>
      <c r="Y824" s="381"/>
    </row>
    <row r="825">
      <c r="A825" s="359"/>
      <c r="B825" s="381"/>
      <c r="C825" s="18"/>
      <c r="D825" s="359"/>
      <c r="E825" s="607"/>
      <c r="F825" s="359"/>
      <c r="G825" s="381"/>
      <c r="H825" s="381"/>
      <c r="I825" s="381"/>
      <c r="J825" s="381"/>
      <c r="K825" s="381"/>
      <c r="L825" s="381"/>
      <c r="M825" s="381"/>
      <c r="N825" s="381"/>
      <c r="O825" s="381"/>
      <c r="P825" s="381"/>
      <c r="Q825" s="381"/>
      <c r="R825" s="381"/>
      <c r="S825" s="381"/>
      <c r="T825" s="381"/>
      <c r="U825" s="381"/>
      <c r="V825" s="381"/>
      <c r="W825" s="381"/>
      <c r="X825" s="381"/>
      <c r="Y825" s="381"/>
    </row>
    <row r="826">
      <c r="A826" s="359"/>
      <c r="B826" s="381"/>
      <c r="C826" s="18"/>
      <c r="D826" s="359"/>
      <c r="E826" s="607"/>
      <c r="F826" s="359"/>
      <c r="G826" s="381"/>
      <c r="H826" s="381"/>
      <c r="I826" s="381"/>
      <c r="J826" s="381"/>
      <c r="K826" s="381"/>
      <c r="L826" s="381"/>
      <c r="M826" s="381"/>
      <c r="N826" s="381"/>
      <c r="O826" s="381"/>
      <c r="P826" s="381"/>
      <c r="Q826" s="381"/>
      <c r="R826" s="381"/>
      <c r="S826" s="381"/>
      <c r="T826" s="381"/>
      <c r="U826" s="381"/>
      <c r="V826" s="381"/>
      <c r="W826" s="381"/>
      <c r="X826" s="381"/>
      <c r="Y826" s="381"/>
    </row>
    <row r="827">
      <c r="A827" s="359"/>
      <c r="B827" s="381"/>
      <c r="C827" s="18"/>
      <c r="D827" s="359"/>
      <c r="E827" s="607"/>
      <c r="F827" s="359"/>
      <c r="G827" s="381"/>
      <c r="H827" s="381"/>
      <c r="I827" s="381"/>
      <c r="J827" s="381"/>
      <c r="K827" s="381"/>
      <c r="L827" s="381"/>
      <c r="M827" s="381"/>
      <c r="N827" s="381"/>
      <c r="O827" s="381"/>
      <c r="P827" s="381"/>
      <c r="Q827" s="381"/>
      <c r="R827" s="381"/>
      <c r="S827" s="381"/>
      <c r="T827" s="381"/>
      <c r="U827" s="381"/>
      <c r="V827" s="381"/>
      <c r="W827" s="381"/>
      <c r="X827" s="381"/>
      <c r="Y827" s="381"/>
    </row>
    <row r="828">
      <c r="A828" s="359"/>
      <c r="B828" s="381"/>
      <c r="C828" s="18"/>
      <c r="D828" s="359"/>
      <c r="E828" s="607"/>
      <c r="F828" s="359"/>
      <c r="G828" s="381"/>
      <c r="H828" s="381"/>
      <c r="I828" s="381"/>
      <c r="J828" s="381"/>
      <c r="K828" s="381"/>
      <c r="L828" s="381"/>
      <c r="M828" s="381"/>
      <c r="N828" s="381"/>
      <c r="O828" s="381"/>
      <c r="P828" s="381"/>
      <c r="Q828" s="381"/>
      <c r="R828" s="381"/>
      <c r="S828" s="381"/>
      <c r="T828" s="381"/>
      <c r="U828" s="381"/>
      <c r="V828" s="381"/>
      <c r="W828" s="381"/>
      <c r="X828" s="381"/>
      <c r="Y828" s="381"/>
    </row>
    <row r="829">
      <c r="A829" s="359"/>
      <c r="B829" s="381"/>
      <c r="C829" s="18"/>
      <c r="D829" s="359"/>
      <c r="E829" s="607"/>
      <c r="F829" s="359"/>
      <c r="G829" s="381"/>
      <c r="H829" s="381"/>
      <c r="I829" s="381"/>
      <c r="J829" s="381"/>
      <c r="K829" s="381"/>
      <c r="L829" s="381"/>
      <c r="M829" s="381"/>
      <c r="N829" s="381"/>
      <c r="O829" s="381"/>
      <c r="P829" s="381"/>
      <c r="Q829" s="381"/>
      <c r="R829" s="381"/>
      <c r="S829" s="381"/>
      <c r="T829" s="381"/>
      <c r="U829" s="381"/>
      <c r="V829" s="381"/>
      <c r="W829" s="381"/>
      <c r="X829" s="381"/>
      <c r="Y829" s="381"/>
    </row>
    <row r="830">
      <c r="A830" s="359"/>
      <c r="B830" s="381"/>
      <c r="C830" s="18"/>
      <c r="D830" s="359"/>
      <c r="E830" s="607"/>
      <c r="F830" s="359"/>
      <c r="G830" s="381"/>
      <c r="H830" s="381"/>
      <c r="I830" s="381"/>
      <c r="J830" s="381"/>
      <c r="K830" s="381"/>
      <c r="L830" s="381"/>
      <c r="M830" s="381"/>
      <c r="N830" s="381"/>
      <c r="O830" s="381"/>
      <c r="P830" s="381"/>
      <c r="Q830" s="381"/>
      <c r="R830" s="381"/>
      <c r="S830" s="381"/>
      <c r="T830" s="381"/>
      <c r="U830" s="381"/>
      <c r="V830" s="381"/>
      <c r="W830" s="381"/>
      <c r="X830" s="381"/>
      <c r="Y830" s="381"/>
    </row>
    <row r="831">
      <c r="A831" s="359"/>
      <c r="B831" s="381"/>
      <c r="C831" s="18"/>
      <c r="D831" s="359"/>
      <c r="E831" s="607"/>
      <c r="F831" s="359"/>
      <c r="G831" s="381"/>
      <c r="H831" s="381"/>
      <c r="I831" s="381"/>
      <c r="J831" s="381"/>
      <c r="K831" s="381"/>
      <c r="L831" s="381"/>
      <c r="M831" s="381"/>
      <c r="N831" s="381"/>
      <c r="O831" s="381"/>
      <c r="P831" s="381"/>
      <c r="Q831" s="381"/>
      <c r="R831" s="381"/>
      <c r="S831" s="381"/>
      <c r="T831" s="381"/>
      <c r="U831" s="381"/>
      <c r="V831" s="381"/>
      <c r="W831" s="381"/>
      <c r="X831" s="381"/>
      <c r="Y831" s="381"/>
    </row>
    <row r="832">
      <c r="A832" s="359"/>
      <c r="B832" s="381"/>
      <c r="C832" s="18"/>
      <c r="D832" s="359"/>
      <c r="E832" s="607"/>
      <c r="F832" s="359"/>
      <c r="G832" s="381"/>
      <c r="H832" s="381"/>
      <c r="I832" s="381"/>
      <c r="J832" s="381"/>
      <c r="K832" s="381"/>
      <c r="L832" s="381"/>
      <c r="M832" s="381"/>
      <c r="N832" s="381"/>
      <c r="O832" s="381"/>
      <c r="P832" s="381"/>
      <c r="Q832" s="381"/>
      <c r="R832" s="381"/>
      <c r="S832" s="381"/>
      <c r="T832" s="381"/>
      <c r="U832" s="381"/>
      <c r="V832" s="381"/>
      <c r="W832" s="381"/>
      <c r="X832" s="381"/>
      <c r="Y832" s="381"/>
    </row>
    <row r="833">
      <c r="A833" s="359"/>
      <c r="B833" s="381"/>
      <c r="C833" s="18"/>
      <c r="D833" s="359"/>
      <c r="E833" s="607"/>
      <c r="F833" s="359"/>
      <c r="G833" s="381"/>
      <c r="H833" s="381"/>
      <c r="I833" s="381"/>
      <c r="J833" s="381"/>
      <c r="K833" s="381"/>
      <c r="L833" s="381"/>
      <c r="M833" s="381"/>
      <c r="N833" s="381"/>
      <c r="O833" s="381"/>
      <c r="P833" s="381"/>
      <c r="Q833" s="381"/>
      <c r="R833" s="381"/>
      <c r="S833" s="381"/>
      <c r="T833" s="381"/>
      <c r="U833" s="381"/>
      <c r="V833" s="381"/>
      <c r="W833" s="381"/>
      <c r="X833" s="381"/>
      <c r="Y833" s="381"/>
    </row>
    <row r="834">
      <c r="A834" s="359"/>
      <c r="B834" s="381"/>
      <c r="C834" s="18"/>
      <c r="D834" s="359"/>
      <c r="E834" s="607"/>
      <c r="F834" s="359"/>
      <c r="G834" s="381"/>
      <c r="H834" s="381"/>
      <c r="I834" s="381"/>
      <c r="J834" s="381"/>
      <c r="K834" s="381"/>
      <c r="L834" s="381"/>
      <c r="M834" s="381"/>
      <c r="N834" s="381"/>
      <c r="O834" s="381"/>
      <c r="P834" s="381"/>
      <c r="Q834" s="381"/>
      <c r="R834" s="381"/>
      <c r="S834" s="381"/>
      <c r="T834" s="381"/>
      <c r="U834" s="381"/>
      <c r="V834" s="381"/>
      <c r="W834" s="381"/>
      <c r="X834" s="381"/>
      <c r="Y834" s="381"/>
    </row>
    <row r="835">
      <c r="A835" s="359"/>
      <c r="B835" s="381"/>
      <c r="C835" s="18"/>
      <c r="D835" s="359"/>
      <c r="E835" s="607"/>
      <c r="F835" s="359"/>
      <c r="G835" s="381"/>
      <c r="H835" s="381"/>
      <c r="I835" s="381"/>
      <c r="J835" s="381"/>
      <c r="K835" s="381"/>
      <c r="L835" s="381"/>
      <c r="M835" s="381"/>
      <c r="N835" s="381"/>
      <c r="O835" s="381"/>
      <c r="P835" s="381"/>
      <c r="Q835" s="381"/>
      <c r="R835" s="381"/>
      <c r="S835" s="381"/>
      <c r="T835" s="381"/>
      <c r="U835" s="381"/>
      <c r="V835" s="381"/>
      <c r="W835" s="381"/>
      <c r="X835" s="381"/>
      <c r="Y835" s="381"/>
    </row>
    <row r="836">
      <c r="A836" s="359"/>
      <c r="B836" s="381"/>
      <c r="C836" s="18"/>
      <c r="D836" s="359"/>
      <c r="E836" s="607"/>
      <c r="F836" s="359"/>
      <c r="G836" s="381"/>
      <c r="H836" s="381"/>
      <c r="I836" s="381"/>
      <c r="J836" s="381"/>
      <c r="K836" s="381"/>
      <c r="L836" s="381"/>
      <c r="M836" s="381"/>
      <c r="N836" s="381"/>
      <c r="O836" s="381"/>
      <c r="P836" s="381"/>
      <c r="Q836" s="381"/>
      <c r="R836" s="381"/>
      <c r="S836" s="381"/>
      <c r="T836" s="381"/>
      <c r="U836" s="381"/>
      <c r="V836" s="381"/>
      <c r="W836" s="381"/>
      <c r="X836" s="381"/>
      <c r="Y836" s="381"/>
    </row>
    <row r="837">
      <c r="A837" s="359"/>
      <c r="B837" s="381"/>
      <c r="C837" s="18"/>
      <c r="D837" s="359"/>
      <c r="E837" s="607"/>
      <c r="F837" s="359"/>
      <c r="G837" s="381"/>
      <c r="H837" s="381"/>
      <c r="I837" s="381"/>
      <c r="J837" s="381"/>
      <c r="K837" s="381"/>
      <c r="L837" s="381"/>
      <c r="M837" s="381"/>
      <c r="N837" s="381"/>
      <c r="O837" s="381"/>
      <c r="P837" s="381"/>
      <c r="Q837" s="381"/>
      <c r="R837" s="381"/>
      <c r="S837" s="381"/>
      <c r="T837" s="381"/>
      <c r="U837" s="381"/>
      <c r="V837" s="381"/>
      <c r="W837" s="381"/>
      <c r="X837" s="381"/>
      <c r="Y837" s="381"/>
    </row>
    <row r="838">
      <c r="A838" s="359"/>
      <c r="B838" s="381"/>
      <c r="C838" s="18"/>
      <c r="D838" s="359"/>
      <c r="E838" s="607"/>
      <c r="F838" s="359"/>
      <c r="G838" s="381"/>
      <c r="H838" s="381"/>
      <c r="I838" s="381"/>
      <c r="J838" s="381"/>
      <c r="K838" s="381"/>
      <c r="L838" s="381"/>
      <c r="M838" s="381"/>
      <c r="N838" s="381"/>
      <c r="O838" s="381"/>
      <c r="P838" s="381"/>
      <c r="Q838" s="381"/>
      <c r="R838" s="381"/>
      <c r="S838" s="381"/>
      <c r="T838" s="381"/>
      <c r="U838" s="381"/>
      <c r="V838" s="381"/>
      <c r="W838" s="381"/>
      <c r="X838" s="381"/>
      <c r="Y838" s="381"/>
    </row>
    <row r="839">
      <c r="A839" s="359"/>
      <c r="B839" s="381"/>
      <c r="C839" s="18"/>
      <c r="D839" s="359"/>
      <c r="E839" s="607"/>
      <c r="F839" s="359"/>
      <c r="G839" s="381"/>
      <c r="H839" s="381"/>
      <c r="I839" s="381"/>
      <c r="J839" s="381"/>
      <c r="K839" s="381"/>
      <c r="L839" s="381"/>
      <c r="M839" s="381"/>
      <c r="N839" s="381"/>
      <c r="O839" s="381"/>
      <c r="P839" s="381"/>
      <c r="Q839" s="381"/>
      <c r="R839" s="381"/>
      <c r="S839" s="381"/>
      <c r="T839" s="381"/>
      <c r="U839" s="381"/>
      <c r="V839" s="381"/>
      <c r="W839" s="381"/>
      <c r="X839" s="381"/>
      <c r="Y839" s="381"/>
    </row>
    <row r="840">
      <c r="A840" s="359"/>
      <c r="B840" s="381"/>
      <c r="C840" s="18"/>
      <c r="D840" s="359"/>
      <c r="E840" s="607"/>
      <c r="F840" s="359"/>
      <c r="G840" s="381"/>
      <c r="H840" s="381"/>
      <c r="I840" s="381"/>
      <c r="J840" s="381"/>
      <c r="K840" s="381"/>
      <c r="L840" s="381"/>
      <c r="M840" s="381"/>
      <c r="N840" s="381"/>
      <c r="O840" s="381"/>
      <c r="P840" s="381"/>
      <c r="Q840" s="381"/>
      <c r="R840" s="381"/>
      <c r="S840" s="381"/>
      <c r="T840" s="381"/>
      <c r="U840" s="381"/>
      <c r="V840" s="381"/>
      <c r="W840" s="381"/>
      <c r="X840" s="381"/>
      <c r="Y840" s="381"/>
    </row>
    <row r="841">
      <c r="A841" s="359"/>
      <c r="B841" s="381"/>
      <c r="C841" s="18"/>
      <c r="D841" s="359"/>
      <c r="E841" s="607"/>
      <c r="F841" s="359"/>
      <c r="G841" s="381"/>
      <c r="H841" s="381"/>
      <c r="I841" s="381"/>
      <c r="J841" s="381"/>
      <c r="K841" s="381"/>
      <c r="L841" s="381"/>
      <c r="M841" s="381"/>
      <c r="N841" s="381"/>
      <c r="O841" s="381"/>
      <c r="P841" s="381"/>
      <c r="Q841" s="381"/>
      <c r="R841" s="381"/>
      <c r="S841" s="381"/>
      <c r="T841" s="381"/>
      <c r="U841" s="381"/>
      <c r="V841" s="381"/>
      <c r="W841" s="381"/>
      <c r="X841" s="381"/>
      <c r="Y841" s="381"/>
    </row>
    <row r="842">
      <c r="A842" s="359"/>
      <c r="B842" s="381"/>
      <c r="C842" s="18"/>
      <c r="D842" s="359"/>
      <c r="E842" s="607"/>
      <c r="F842" s="359"/>
      <c r="G842" s="381"/>
      <c r="H842" s="381"/>
      <c r="I842" s="381"/>
      <c r="J842" s="381"/>
      <c r="K842" s="381"/>
      <c r="L842" s="381"/>
      <c r="M842" s="381"/>
      <c r="N842" s="381"/>
      <c r="O842" s="381"/>
      <c r="P842" s="381"/>
      <c r="Q842" s="381"/>
      <c r="R842" s="381"/>
      <c r="S842" s="381"/>
      <c r="T842" s="381"/>
      <c r="U842" s="381"/>
      <c r="V842" s="381"/>
      <c r="W842" s="381"/>
      <c r="X842" s="381"/>
      <c r="Y842" s="381"/>
    </row>
    <row r="843">
      <c r="A843" s="359"/>
      <c r="B843" s="381"/>
      <c r="C843" s="18"/>
      <c r="D843" s="359"/>
      <c r="E843" s="607"/>
      <c r="F843" s="359"/>
      <c r="G843" s="381"/>
      <c r="H843" s="381"/>
      <c r="I843" s="381"/>
      <c r="J843" s="381"/>
      <c r="K843" s="381"/>
      <c r="L843" s="381"/>
      <c r="M843" s="381"/>
      <c r="N843" s="381"/>
      <c r="O843" s="381"/>
      <c r="P843" s="381"/>
      <c r="Q843" s="381"/>
      <c r="R843" s="381"/>
      <c r="S843" s="381"/>
      <c r="T843" s="381"/>
      <c r="U843" s="381"/>
      <c r="V843" s="381"/>
      <c r="W843" s="381"/>
      <c r="X843" s="381"/>
      <c r="Y843" s="381"/>
    </row>
    <row r="844">
      <c r="A844" s="359"/>
      <c r="B844" s="381"/>
      <c r="C844" s="18"/>
      <c r="D844" s="359"/>
      <c r="E844" s="607"/>
      <c r="F844" s="359"/>
      <c r="G844" s="381"/>
      <c r="H844" s="381"/>
      <c r="I844" s="381"/>
      <c r="J844" s="381"/>
      <c r="K844" s="381"/>
      <c r="L844" s="381"/>
      <c r="M844" s="381"/>
      <c r="N844" s="381"/>
      <c r="O844" s="381"/>
      <c r="P844" s="381"/>
      <c r="Q844" s="381"/>
      <c r="R844" s="381"/>
      <c r="S844" s="381"/>
      <c r="T844" s="381"/>
      <c r="U844" s="381"/>
      <c r="V844" s="381"/>
      <c r="W844" s="381"/>
      <c r="X844" s="381"/>
      <c r="Y844" s="381"/>
    </row>
    <row r="845">
      <c r="A845" s="359"/>
      <c r="B845" s="381"/>
      <c r="C845" s="18"/>
      <c r="D845" s="359"/>
      <c r="E845" s="607"/>
      <c r="F845" s="359"/>
      <c r="G845" s="381"/>
      <c r="H845" s="381"/>
      <c r="I845" s="381"/>
      <c r="J845" s="381"/>
      <c r="K845" s="381"/>
      <c r="L845" s="381"/>
      <c r="M845" s="381"/>
      <c r="N845" s="381"/>
      <c r="O845" s="381"/>
      <c r="P845" s="381"/>
      <c r="Q845" s="381"/>
      <c r="R845" s="381"/>
      <c r="S845" s="381"/>
      <c r="T845" s="381"/>
      <c r="U845" s="381"/>
      <c r="V845" s="381"/>
      <c r="W845" s="381"/>
      <c r="X845" s="381"/>
      <c r="Y845" s="381"/>
    </row>
    <row r="846">
      <c r="A846" s="359"/>
      <c r="B846" s="381"/>
      <c r="C846" s="18"/>
      <c r="D846" s="359"/>
      <c r="E846" s="607"/>
      <c r="F846" s="359"/>
      <c r="G846" s="381"/>
      <c r="H846" s="381"/>
      <c r="I846" s="381"/>
      <c r="J846" s="381"/>
      <c r="K846" s="381"/>
      <c r="L846" s="381"/>
      <c r="M846" s="381"/>
      <c r="N846" s="381"/>
      <c r="O846" s="381"/>
      <c r="P846" s="381"/>
      <c r="Q846" s="381"/>
      <c r="R846" s="381"/>
      <c r="S846" s="381"/>
      <c r="T846" s="381"/>
      <c r="U846" s="381"/>
      <c r="V846" s="381"/>
      <c r="W846" s="381"/>
      <c r="X846" s="381"/>
      <c r="Y846" s="381"/>
    </row>
    <row r="847">
      <c r="A847" s="359"/>
      <c r="B847" s="381"/>
      <c r="C847" s="18"/>
      <c r="D847" s="359"/>
      <c r="E847" s="607"/>
      <c r="F847" s="359"/>
      <c r="G847" s="381"/>
      <c r="H847" s="381"/>
      <c r="I847" s="381"/>
      <c r="J847" s="381"/>
      <c r="K847" s="381"/>
      <c r="L847" s="381"/>
      <c r="M847" s="381"/>
      <c r="N847" s="381"/>
      <c r="O847" s="381"/>
      <c r="P847" s="381"/>
      <c r="Q847" s="381"/>
      <c r="R847" s="381"/>
      <c r="S847" s="381"/>
      <c r="T847" s="381"/>
      <c r="U847" s="381"/>
      <c r="V847" s="381"/>
      <c r="W847" s="381"/>
      <c r="X847" s="381"/>
      <c r="Y847" s="381"/>
    </row>
    <row r="848">
      <c r="A848" s="359"/>
      <c r="B848" s="381"/>
      <c r="C848" s="18"/>
      <c r="D848" s="359"/>
      <c r="E848" s="607"/>
      <c r="F848" s="359"/>
      <c r="G848" s="381"/>
      <c r="H848" s="381"/>
      <c r="I848" s="381"/>
      <c r="J848" s="381"/>
      <c r="K848" s="381"/>
      <c r="L848" s="381"/>
      <c r="M848" s="381"/>
      <c r="N848" s="381"/>
      <c r="O848" s="381"/>
      <c r="P848" s="381"/>
      <c r="Q848" s="381"/>
      <c r="R848" s="381"/>
      <c r="S848" s="381"/>
      <c r="T848" s="381"/>
      <c r="U848" s="381"/>
      <c r="V848" s="381"/>
      <c r="W848" s="381"/>
      <c r="X848" s="381"/>
      <c r="Y848" s="381"/>
    </row>
    <row r="849">
      <c r="A849" s="359"/>
      <c r="B849" s="381"/>
      <c r="C849" s="18"/>
      <c r="D849" s="359"/>
      <c r="E849" s="607"/>
      <c r="F849" s="359"/>
      <c r="G849" s="381"/>
      <c r="H849" s="381"/>
      <c r="I849" s="381"/>
      <c r="J849" s="381"/>
      <c r="K849" s="381"/>
      <c r="L849" s="381"/>
      <c r="M849" s="381"/>
      <c r="N849" s="381"/>
      <c r="O849" s="381"/>
      <c r="P849" s="381"/>
      <c r="Q849" s="381"/>
      <c r="R849" s="381"/>
      <c r="S849" s="381"/>
      <c r="T849" s="381"/>
      <c r="U849" s="381"/>
      <c r="V849" s="381"/>
      <c r="W849" s="381"/>
      <c r="X849" s="381"/>
      <c r="Y849" s="381"/>
    </row>
    <row r="850">
      <c r="A850" s="359"/>
      <c r="B850" s="381"/>
      <c r="C850" s="18"/>
      <c r="D850" s="359"/>
      <c r="E850" s="607"/>
      <c r="F850" s="359"/>
      <c r="G850" s="381"/>
      <c r="H850" s="381"/>
      <c r="I850" s="381"/>
      <c r="J850" s="381"/>
      <c r="K850" s="381"/>
      <c r="L850" s="381"/>
      <c r="M850" s="381"/>
      <c r="N850" s="381"/>
      <c r="O850" s="381"/>
      <c r="P850" s="381"/>
      <c r="Q850" s="381"/>
      <c r="R850" s="381"/>
      <c r="S850" s="381"/>
      <c r="T850" s="381"/>
      <c r="U850" s="381"/>
      <c r="V850" s="381"/>
      <c r="W850" s="381"/>
      <c r="X850" s="381"/>
      <c r="Y850" s="381"/>
    </row>
    <row r="851">
      <c r="A851" s="359"/>
      <c r="B851" s="381"/>
      <c r="C851" s="18"/>
      <c r="D851" s="359"/>
      <c r="E851" s="607"/>
      <c r="F851" s="359"/>
      <c r="G851" s="381"/>
      <c r="H851" s="381"/>
      <c r="I851" s="381"/>
      <c r="J851" s="381"/>
      <c r="K851" s="381"/>
      <c r="L851" s="381"/>
      <c r="M851" s="381"/>
      <c r="N851" s="381"/>
      <c r="O851" s="381"/>
      <c r="P851" s="381"/>
      <c r="Q851" s="381"/>
      <c r="R851" s="381"/>
      <c r="S851" s="381"/>
      <c r="T851" s="381"/>
      <c r="U851" s="381"/>
      <c r="V851" s="381"/>
      <c r="W851" s="381"/>
      <c r="X851" s="381"/>
      <c r="Y851" s="381"/>
    </row>
    <row r="852">
      <c r="A852" s="359"/>
      <c r="B852" s="381"/>
      <c r="C852" s="18"/>
      <c r="D852" s="359"/>
      <c r="E852" s="607"/>
      <c r="F852" s="359"/>
      <c r="G852" s="381"/>
      <c r="H852" s="381"/>
      <c r="I852" s="381"/>
      <c r="J852" s="381"/>
      <c r="K852" s="381"/>
      <c r="L852" s="381"/>
      <c r="M852" s="381"/>
      <c r="N852" s="381"/>
      <c r="O852" s="381"/>
      <c r="P852" s="381"/>
      <c r="Q852" s="381"/>
      <c r="R852" s="381"/>
      <c r="S852" s="381"/>
      <c r="T852" s="381"/>
      <c r="U852" s="381"/>
      <c r="V852" s="381"/>
      <c r="W852" s="381"/>
      <c r="X852" s="381"/>
      <c r="Y852" s="381"/>
    </row>
    <row r="853">
      <c r="A853" s="359"/>
      <c r="B853" s="381"/>
      <c r="C853" s="18"/>
      <c r="D853" s="359"/>
      <c r="E853" s="607"/>
      <c r="F853" s="359"/>
      <c r="G853" s="381"/>
      <c r="H853" s="381"/>
      <c r="I853" s="381"/>
      <c r="J853" s="381"/>
      <c r="K853" s="381"/>
      <c r="L853" s="381"/>
      <c r="M853" s="381"/>
      <c r="N853" s="381"/>
      <c r="O853" s="381"/>
      <c r="P853" s="381"/>
      <c r="Q853" s="381"/>
      <c r="R853" s="381"/>
      <c r="S853" s="381"/>
      <c r="T853" s="381"/>
      <c r="U853" s="381"/>
      <c r="V853" s="381"/>
      <c r="W853" s="381"/>
      <c r="X853" s="381"/>
      <c r="Y853" s="381"/>
    </row>
    <row r="854">
      <c r="A854" s="359"/>
      <c r="B854" s="381"/>
      <c r="C854" s="18"/>
      <c r="D854" s="359"/>
      <c r="E854" s="607"/>
      <c r="F854" s="359"/>
      <c r="G854" s="381"/>
      <c r="H854" s="381"/>
      <c r="I854" s="381"/>
      <c r="J854" s="381"/>
      <c r="K854" s="381"/>
      <c r="L854" s="381"/>
      <c r="M854" s="381"/>
      <c r="N854" s="381"/>
      <c r="O854" s="381"/>
      <c r="P854" s="381"/>
      <c r="Q854" s="381"/>
      <c r="R854" s="381"/>
      <c r="S854" s="381"/>
      <c r="T854" s="381"/>
      <c r="U854" s="381"/>
      <c r="V854" s="381"/>
      <c r="W854" s="381"/>
      <c r="X854" s="381"/>
      <c r="Y854" s="381"/>
    </row>
    <row r="855">
      <c r="A855" s="359"/>
      <c r="B855" s="381"/>
      <c r="C855" s="18"/>
      <c r="D855" s="359"/>
      <c r="E855" s="607"/>
      <c r="F855" s="359"/>
      <c r="G855" s="381"/>
      <c r="H855" s="381"/>
      <c r="I855" s="381"/>
      <c r="J855" s="381"/>
      <c r="K855" s="381"/>
      <c r="L855" s="381"/>
      <c r="M855" s="381"/>
      <c r="N855" s="381"/>
      <c r="O855" s="381"/>
      <c r="P855" s="381"/>
      <c r="Q855" s="381"/>
      <c r="R855" s="381"/>
      <c r="S855" s="381"/>
      <c r="T855" s="381"/>
      <c r="U855" s="381"/>
      <c r="V855" s="381"/>
      <c r="W855" s="381"/>
      <c r="X855" s="381"/>
      <c r="Y855" s="381"/>
    </row>
    <row r="856">
      <c r="A856" s="359"/>
      <c r="B856" s="381"/>
      <c r="C856" s="18"/>
      <c r="D856" s="359"/>
      <c r="E856" s="607"/>
      <c r="F856" s="359"/>
      <c r="G856" s="381"/>
      <c r="H856" s="381"/>
      <c r="I856" s="381"/>
      <c r="J856" s="381"/>
      <c r="K856" s="381"/>
      <c r="L856" s="381"/>
      <c r="M856" s="381"/>
      <c r="N856" s="381"/>
      <c r="O856" s="381"/>
      <c r="P856" s="381"/>
      <c r="Q856" s="381"/>
      <c r="R856" s="381"/>
      <c r="S856" s="381"/>
      <c r="T856" s="381"/>
      <c r="U856" s="381"/>
      <c r="V856" s="381"/>
      <c r="W856" s="381"/>
      <c r="X856" s="381"/>
      <c r="Y856" s="381"/>
    </row>
    <row r="857">
      <c r="A857" s="359"/>
      <c r="B857" s="381"/>
      <c r="C857" s="18"/>
      <c r="D857" s="359"/>
      <c r="E857" s="607"/>
      <c r="F857" s="359"/>
      <c r="G857" s="381"/>
      <c r="H857" s="381"/>
      <c r="I857" s="381"/>
      <c r="J857" s="381"/>
      <c r="K857" s="381"/>
      <c r="L857" s="381"/>
      <c r="M857" s="381"/>
      <c r="N857" s="381"/>
      <c r="O857" s="381"/>
      <c r="P857" s="381"/>
      <c r="Q857" s="381"/>
      <c r="R857" s="381"/>
      <c r="S857" s="381"/>
      <c r="T857" s="381"/>
      <c r="U857" s="381"/>
      <c r="V857" s="381"/>
      <c r="W857" s="381"/>
      <c r="X857" s="381"/>
      <c r="Y857" s="381"/>
    </row>
    <row r="858">
      <c r="A858" s="359"/>
      <c r="B858" s="381"/>
      <c r="C858" s="18"/>
      <c r="D858" s="359"/>
      <c r="E858" s="607"/>
      <c r="F858" s="359"/>
      <c r="G858" s="381"/>
      <c r="H858" s="381"/>
      <c r="I858" s="381"/>
      <c r="J858" s="381"/>
      <c r="K858" s="381"/>
      <c r="L858" s="381"/>
      <c r="M858" s="381"/>
      <c r="N858" s="381"/>
      <c r="O858" s="381"/>
      <c r="P858" s="381"/>
      <c r="Q858" s="381"/>
      <c r="R858" s="381"/>
      <c r="S858" s="381"/>
      <c r="T858" s="381"/>
      <c r="U858" s="381"/>
      <c r="V858" s="381"/>
      <c r="W858" s="381"/>
      <c r="X858" s="381"/>
      <c r="Y858" s="381"/>
    </row>
    <row r="859">
      <c r="A859" s="359"/>
      <c r="B859" s="381"/>
      <c r="C859" s="18"/>
      <c r="D859" s="359"/>
      <c r="E859" s="607"/>
      <c r="F859" s="359"/>
      <c r="G859" s="381"/>
      <c r="H859" s="381"/>
      <c r="I859" s="381"/>
      <c r="J859" s="381"/>
      <c r="K859" s="381"/>
      <c r="L859" s="381"/>
      <c r="M859" s="381"/>
      <c r="N859" s="381"/>
      <c r="O859" s="381"/>
      <c r="P859" s="381"/>
      <c r="Q859" s="381"/>
      <c r="R859" s="381"/>
      <c r="S859" s="381"/>
      <c r="T859" s="381"/>
      <c r="U859" s="381"/>
      <c r="V859" s="381"/>
      <c r="W859" s="381"/>
      <c r="X859" s="381"/>
      <c r="Y859" s="381"/>
    </row>
    <row r="860">
      <c r="A860" s="359"/>
      <c r="B860" s="381"/>
      <c r="C860" s="18"/>
      <c r="D860" s="359"/>
      <c r="E860" s="607"/>
      <c r="F860" s="359"/>
      <c r="G860" s="381"/>
      <c r="H860" s="381"/>
      <c r="I860" s="381"/>
      <c r="J860" s="381"/>
      <c r="K860" s="381"/>
      <c r="L860" s="381"/>
      <c r="M860" s="381"/>
      <c r="N860" s="381"/>
      <c r="O860" s="381"/>
      <c r="P860" s="381"/>
      <c r="Q860" s="381"/>
      <c r="R860" s="381"/>
      <c r="S860" s="381"/>
      <c r="T860" s="381"/>
      <c r="U860" s="381"/>
      <c r="V860" s="381"/>
      <c r="W860" s="381"/>
      <c r="X860" s="381"/>
      <c r="Y860" s="381"/>
    </row>
    <row r="861">
      <c r="A861" s="359"/>
      <c r="B861" s="381"/>
      <c r="C861" s="18"/>
      <c r="D861" s="359"/>
      <c r="E861" s="607"/>
      <c r="F861" s="359"/>
      <c r="G861" s="381"/>
      <c r="H861" s="381"/>
      <c r="I861" s="381"/>
      <c r="J861" s="381"/>
      <c r="K861" s="381"/>
      <c r="L861" s="381"/>
      <c r="M861" s="381"/>
      <c r="N861" s="381"/>
      <c r="O861" s="381"/>
      <c r="P861" s="381"/>
      <c r="Q861" s="381"/>
      <c r="R861" s="381"/>
      <c r="S861" s="381"/>
      <c r="T861" s="381"/>
      <c r="U861" s="381"/>
      <c r="V861" s="381"/>
      <c r="W861" s="381"/>
      <c r="X861" s="381"/>
      <c r="Y861" s="381"/>
    </row>
    <row r="862">
      <c r="A862" s="359"/>
      <c r="B862" s="381"/>
      <c r="C862" s="18"/>
      <c r="D862" s="359"/>
      <c r="E862" s="607"/>
      <c r="F862" s="359"/>
      <c r="G862" s="381"/>
      <c r="H862" s="381"/>
      <c r="I862" s="381"/>
      <c r="J862" s="381"/>
      <c r="K862" s="381"/>
      <c r="L862" s="381"/>
      <c r="M862" s="381"/>
      <c r="N862" s="381"/>
      <c r="O862" s="381"/>
      <c r="P862" s="381"/>
      <c r="Q862" s="381"/>
      <c r="R862" s="381"/>
      <c r="S862" s="381"/>
      <c r="T862" s="381"/>
      <c r="U862" s="381"/>
      <c r="V862" s="381"/>
      <c r="W862" s="381"/>
      <c r="X862" s="381"/>
      <c r="Y862" s="381"/>
    </row>
    <row r="863">
      <c r="A863" s="359"/>
      <c r="B863" s="381"/>
      <c r="C863" s="18"/>
      <c r="D863" s="359"/>
      <c r="E863" s="607"/>
      <c r="F863" s="359"/>
      <c r="G863" s="381"/>
      <c r="H863" s="381"/>
      <c r="I863" s="381"/>
      <c r="J863" s="381"/>
      <c r="K863" s="381"/>
      <c r="L863" s="381"/>
      <c r="M863" s="381"/>
      <c r="N863" s="381"/>
      <c r="O863" s="381"/>
      <c r="P863" s="381"/>
      <c r="Q863" s="381"/>
      <c r="R863" s="381"/>
      <c r="S863" s="381"/>
      <c r="T863" s="381"/>
      <c r="U863" s="381"/>
      <c r="V863" s="381"/>
      <c r="W863" s="381"/>
      <c r="X863" s="381"/>
      <c r="Y863" s="381"/>
    </row>
    <row r="864">
      <c r="A864" s="359"/>
      <c r="B864" s="381"/>
      <c r="C864" s="18"/>
      <c r="D864" s="359"/>
      <c r="E864" s="607"/>
      <c r="F864" s="359"/>
      <c r="G864" s="381"/>
      <c r="H864" s="381"/>
      <c r="I864" s="381"/>
      <c r="J864" s="381"/>
      <c r="K864" s="381"/>
      <c r="L864" s="381"/>
      <c r="M864" s="381"/>
      <c r="N864" s="381"/>
      <c r="O864" s="381"/>
      <c r="P864" s="381"/>
      <c r="Q864" s="381"/>
      <c r="R864" s="381"/>
      <c r="S864" s="381"/>
      <c r="T864" s="381"/>
      <c r="U864" s="381"/>
      <c r="V864" s="381"/>
      <c r="W864" s="381"/>
      <c r="X864" s="381"/>
      <c r="Y864" s="381"/>
    </row>
    <row r="865">
      <c r="A865" s="359"/>
      <c r="B865" s="381"/>
      <c r="C865" s="18"/>
      <c r="D865" s="359"/>
      <c r="E865" s="607"/>
      <c r="F865" s="359"/>
      <c r="G865" s="381"/>
      <c r="H865" s="381"/>
      <c r="I865" s="381"/>
      <c r="J865" s="381"/>
      <c r="K865" s="381"/>
      <c r="L865" s="381"/>
      <c r="M865" s="381"/>
      <c r="N865" s="381"/>
      <c r="O865" s="381"/>
      <c r="P865" s="381"/>
      <c r="Q865" s="381"/>
      <c r="R865" s="381"/>
      <c r="S865" s="381"/>
      <c r="T865" s="381"/>
      <c r="U865" s="381"/>
      <c r="V865" s="381"/>
      <c r="W865" s="381"/>
      <c r="X865" s="381"/>
      <c r="Y865" s="381"/>
    </row>
    <row r="866">
      <c r="A866" s="359"/>
      <c r="B866" s="381"/>
      <c r="C866" s="18"/>
      <c r="D866" s="359"/>
      <c r="E866" s="607"/>
      <c r="F866" s="359"/>
      <c r="G866" s="381"/>
      <c r="H866" s="381"/>
      <c r="I866" s="381"/>
      <c r="J866" s="381"/>
      <c r="K866" s="381"/>
      <c r="L866" s="381"/>
      <c r="M866" s="381"/>
      <c r="N866" s="381"/>
      <c r="O866" s="381"/>
      <c r="P866" s="381"/>
      <c r="Q866" s="381"/>
      <c r="R866" s="381"/>
      <c r="S866" s="381"/>
      <c r="T866" s="381"/>
      <c r="U866" s="381"/>
      <c r="V866" s="381"/>
      <c r="W866" s="381"/>
      <c r="X866" s="381"/>
      <c r="Y866" s="381"/>
    </row>
    <row r="867">
      <c r="A867" s="359"/>
      <c r="B867" s="381"/>
      <c r="C867" s="18"/>
      <c r="D867" s="359"/>
      <c r="E867" s="607"/>
      <c r="F867" s="359"/>
      <c r="G867" s="381"/>
      <c r="H867" s="381"/>
      <c r="I867" s="381"/>
      <c r="J867" s="381"/>
      <c r="K867" s="381"/>
      <c r="L867" s="381"/>
      <c r="M867" s="381"/>
      <c r="N867" s="381"/>
      <c r="O867" s="381"/>
      <c r="P867" s="381"/>
      <c r="Q867" s="381"/>
      <c r="R867" s="381"/>
      <c r="S867" s="381"/>
      <c r="T867" s="381"/>
      <c r="U867" s="381"/>
      <c r="V867" s="381"/>
      <c r="W867" s="381"/>
      <c r="X867" s="381"/>
      <c r="Y867" s="381"/>
    </row>
    <row r="868">
      <c r="A868" s="359"/>
      <c r="B868" s="381"/>
      <c r="C868" s="18"/>
      <c r="D868" s="359"/>
      <c r="E868" s="607"/>
      <c r="F868" s="359"/>
      <c r="G868" s="381"/>
      <c r="H868" s="381"/>
      <c r="I868" s="381"/>
      <c r="J868" s="381"/>
      <c r="K868" s="381"/>
      <c r="L868" s="381"/>
      <c r="M868" s="381"/>
      <c r="N868" s="381"/>
      <c r="O868" s="381"/>
      <c r="P868" s="381"/>
      <c r="Q868" s="381"/>
      <c r="R868" s="381"/>
      <c r="S868" s="381"/>
      <c r="T868" s="381"/>
      <c r="U868" s="381"/>
      <c r="V868" s="381"/>
      <c r="W868" s="381"/>
      <c r="X868" s="381"/>
      <c r="Y868" s="381"/>
    </row>
    <row r="869">
      <c r="A869" s="359"/>
      <c r="B869" s="381"/>
      <c r="C869" s="18"/>
      <c r="D869" s="359"/>
      <c r="E869" s="607"/>
      <c r="F869" s="359"/>
      <c r="G869" s="381"/>
      <c r="H869" s="381"/>
      <c r="I869" s="381"/>
      <c r="J869" s="381"/>
      <c r="K869" s="381"/>
      <c r="L869" s="381"/>
      <c r="M869" s="381"/>
      <c r="N869" s="381"/>
      <c r="O869" s="381"/>
      <c r="P869" s="381"/>
      <c r="Q869" s="381"/>
      <c r="R869" s="381"/>
      <c r="S869" s="381"/>
      <c r="T869" s="381"/>
      <c r="U869" s="381"/>
      <c r="V869" s="381"/>
      <c r="W869" s="381"/>
      <c r="X869" s="381"/>
      <c r="Y869" s="381"/>
    </row>
    <row r="870">
      <c r="A870" s="359"/>
      <c r="B870" s="381"/>
      <c r="C870" s="18"/>
      <c r="D870" s="359"/>
      <c r="E870" s="607"/>
      <c r="F870" s="359"/>
      <c r="G870" s="381"/>
      <c r="H870" s="381"/>
      <c r="I870" s="381"/>
      <c r="J870" s="381"/>
      <c r="K870" s="381"/>
      <c r="L870" s="381"/>
      <c r="M870" s="381"/>
      <c r="N870" s="381"/>
      <c r="O870" s="381"/>
      <c r="P870" s="381"/>
      <c r="Q870" s="381"/>
      <c r="R870" s="381"/>
      <c r="S870" s="381"/>
      <c r="T870" s="381"/>
      <c r="U870" s="381"/>
      <c r="V870" s="381"/>
      <c r="W870" s="381"/>
      <c r="X870" s="381"/>
      <c r="Y870" s="381"/>
    </row>
    <row r="871">
      <c r="A871" s="359"/>
      <c r="B871" s="381"/>
      <c r="C871" s="18"/>
      <c r="D871" s="359"/>
      <c r="E871" s="607"/>
      <c r="F871" s="359"/>
      <c r="G871" s="381"/>
      <c r="H871" s="381"/>
      <c r="I871" s="381"/>
      <c r="J871" s="381"/>
      <c r="K871" s="381"/>
      <c r="L871" s="381"/>
      <c r="M871" s="381"/>
      <c r="N871" s="381"/>
      <c r="O871" s="381"/>
      <c r="P871" s="381"/>
      <c r="Q871" s="381"/>
      <c r="R871" s="381"/>
      <c r="S871" s="381"/>
      <c r="T871" s="381"/>
      <c r="U871" s="381"/>
      <c r="V871" s="381"/>
      <c r="W871" s="381"/>
      <c r="X871" s="381"/>
      <c r="Y871" s="381"/>
    </row>
    <row r="872">
      <c r="A872" s="359"/>
      <c r="B872" s="381"/>
      <c r="C872" s="18"/>
      <c r="D872" s="359"/>
      <c r="E872" s="607"/>
      <c r="F872" s="359"/>
      <c r="G872" s="381"/>
      <c r="H872" s="381"/>
      <c r="I872" s="381"/>
      <c r="J872" s="381"/>
      <c r="K872" s="381"/>
      <c r="L872" s="381"/>
      <c r="M872" s="381"/>
      <c r="N872" s="381"/>
      <c r="O872" s="381"/>
      <c r="P872" s="381"/>
      <c r="Q872" s="381"/>
      <c r="R872" s="381"/>
      <c r="S872" s="381"/>
      <c r="T872" s="381"/>
      <c r="U872" s="381"/>
      <c r="V872" s="381"/>
      <c r="W872" s="381"/>
      <c r="X872" s="381"/>
      <c r="Y872" s="381"/>
    </row>
    <row r="873">
      <c r="A873" s="359"/>
      <c r="B873" s="381"/>
      <c r="C873" s="18"/>
      <c r="D873" s="359"/>
      <c r="E873" s="607"/>
      <c r="F873" s="359"/>
      <c r="G873" s="381"/>
      <c r="H873" s="381"/>
      <c r="I873" s="381"/>
      <c r="J873" s="381"/>
      <c r="K873" s="381"/>
      <c r="L873" s="381"/>
      <c r="M873" s="381"/>
      <c r="N873" s="381"/>
      <c r="O873" s="381"/>
      <c r="P873" s="381"/>
      <c r="Q873" s="381"/>
      <c r="R873" s="381"/>
      <c r="S873" s="381"/>
      <c r="T873" s="381"/>
      <c r="U873" s="381"/>
      <c r="V873" s="381"/>
      <c r="W873" s="381"/>
      <c r="X873" s="381"/>
      <c r="Y873" s="381"/>
    </row>
    <row r="874">
      <c r="A874" s="359"/>
      <c r="B874" s="381"/>
      <c r="C874" s="18"/>
      <c r="D874" s="359"/>
      <c r="E874" s="607"/>
      <c r="F874" s="359"/>
      <c r="G874" s="381"/>
      <c r="H874" s="381"/>
      <c r="I874" s="381"/>
      <c r="J874" s="381"/>
      <c r="K874" s="381"/>
      <c r="L874" s="381"/>
      <c r="M874" s="381"/>
      <c r="N874" s="381"/>
      <c r="O874" s="381"/>
      <c r="P874" s="381"/>
      <c r="Q874" s="381"/>
      <c r="R874" s="381"/>
      <c r="S874" s="381"/>
      <c r="T874" s="381"/>
      <c r="U874" s="381"/>
      <c r="V874" s="381"/>
      <c r="W874" s="381"/>
      <c r="X874" s="381"/>
      <c r="Y874" s="381"/>
    </row>
    <row r="875">
      <c r="A875" s="359"/>
      <c r="B875" s="381"/>
      <c r="C875" s="18"/>
      <c r="D875" s="359"/>
      <c r="E875" s="607"/>
      <c r="F875" s="359"/>
      <c r="G875" s="381"/>
      <c r="H875" s="381"/>
      <c r="I875" s="381"/>
      <c r="J875" s="381"/>
      <c r="K875" s="381"/>
      <c r="L875" s="381"/>
      <c r="M875" s="381"/>
      <c r="N875" s="381"/>
      <c r="O875" s="381"/>
      <c r="P875" s="381"/>
      <c r="Q875" s="381"/>
      <c r="R875" s="381"/>
      <c r="S875" s="381"/>
      <c r="T875" s="381"/>
      <c r="U875" s="381"/>
      <c r="V875" s="381"/>
      <c r="W875" s="381"/>
      <c r="X875" s="381"/>
      <c r="Y875" s="381"/>
    </row>
    <row r="876">
      <c r="A876" s="359"/>
      <c r="B876" s="381"/>
      <c r="C876" s="18"/>
      <c r="D876" s="359"/>
      <c r="E876" s="607"/>
      <c r="F876" s="359"/>
      <c r="G876" s="381"/>
      <c r="H876" s="381"/>
      <c r="I876" s="381"/>
      <c r="J876" s="381"/>
      <c r="K876" s="381"/>
      <c r="L876" s="381"/>
      <c r="M876" s="381"/>
      <c r="N876" s="381"/>
      <c r="O876" s="381"/>
      <c r="P876" s="381"/>
      <c r="Q876" s="381"/>
      <c r="R876" s="381"/>
      <c r="S876" s="381"/>
      <c r="T876" s="381"/>
      <c r="U876" s="381"/>
      <c r="V876" s="381"/>
      <c r="W876" s="381"/>
      <c r="X876" s="381"/>
      <c r="Y876" s="381"/>
    </row>
    <row r="877">
      <c r="A877" s="359"/>
      <c r="B877" s="381"/>
      <c r="C877" s="18"/>
      <c r="D877" s="359"/>
      <c r="E877" s="607"/>
      <c r="F877" s="359"/>
      <c r="G877" s="381"/>
      <c r="H877" s="381"/>
      <c r="I877" s="381"/>
      <c r="J877" s="381"/>
      <c r="K877" s="381"/>
      <c r="L877" s="381"/>
      <c r="M877" s="381"/>
      <c r="N877" s="381"/>
      <c r="O877" s="381"/>
      <c r="P877" s="381"/>
      <c r="Q877" s="381"/>
      <c r="R877" s="381"/>
      <c r="S877" s="381"/>
      <c r="T877" s="381"/>
      <c r="U877" s="381"/>
      <c r="V877" s="381"/>
      <c r="W877" s="381"/>
      <c r="X877" s="381"/>
      <c r="Y877" s="381"/>
    </row>
    <row r="878">
      <c r="A878" s="359"/>
      <c r="B878" s="381"/>
      <c r="C878" s="18"/>
      <c r="D878" s="359"/>
      <c r="E878" s="607"/>
      <c r="F878" s="359"/>
      <c r="G878" s="381"/>
      <c r="H878" s="381"/>
      <c r="I878" s="381"/>
      <c r="J878" s="381"/>
      <c r="K878" s="381"/>
      <c r="L878" s="381"/>
      <c r="M878" s="381"/>
      <c r="N878" s="381"/>
      <c r="O878" s="381"/>
      <c r="P878" s="381"/>
      <c r="Q878" s="381"/>
      <c r="R878" s="381"/>
      <c r="S878" s="381"/>
      <c r="T878" s="381"/>
      <c r="U878" s="381"/>
      <c r="V878" s="381"/>
      <c r="W878" s="381"/>
      <c r="X878" s="381"/>
      <c r="Y878" s="381"/>
    </row>
    <row r="879">
      <c r="A879" s="359"/>
      <c r="B879" s="381"/>
      <c r="C879" s="18"/>
      <c r="D879" s="359"/>
      <c r="E879" s="607"/>
      <c r="F879" s="359"/>
      <c r="G879" s="381"/>
      <c r="H879" s="381"/>
      <c r="I879" s="381"/>
      <c r="J879" s="381"/>
      <c r="K879" s="381"/>
      <c r="L879" s="381"/>
      <c r="M879" s="381"/>
      <c r="N879" s="381"/>
      <c r="O879" s="381"/>
      <c r="P879" s="381"/>
      <c r="Q879" s="381"/>
      <c r="R879" s="381"/>
      <c r="S879" s="381"/>
      <c r="T879" s="381"/>
      <c r="U879" s="381"/>
      <c r="V879" s="381"/>
      <c r="W879" s="381"/>
      <c r="X879" s="381"/>
      <c r="Y879" s="381"/>
    </row>
    <row r="880">
      <c r="A880" s="359"/>
      <c r="B880" s="381"/>
      <c r="C880" s="18"/>
      <c r="D880" s="359"/>
      <c r="E880" s="607"/>
      <c r="F880" s="359"/>
      <c r="G880" s="381"/>
      <c r="H880" s="381"/>
      <c r="I880" s="381"/>
      <c r="J880" s="381"/>
      <c r="K880" s="381"/>
      <c r="L880" s="381"/>
      <c r="M880" s="381"/>
      <c r="N880" s="381"/>
      <c r="O880" s="381"/>
      <c r="P880" s="381"/>
      <c r="Q880" s="381"/>
      <c r="R880" s="381"/>
      <c r="S880" s="381"/>
      <c r="T880" s="381"/>
      <c r="U880" s="381"/>
      <c r="V880" s="381"/>
      <c r="W880" s="381"/>
      <c r="X880" s="381"/>
      <c r="Y880" s="381"/>
    </row>
    <row r="881">
      <c r="A881" s="359"/>
      <c r="B881" s="381"/>
      <c r="C881" s="18"/>
      <c r="D881" s="359"/>
      <c r="E881" s="607"/>
      <c r="F881" s="359"/>
      <c r="G881" s="381"/>
      <c r="H881" s="381"/>
      <c r="I881" s="381"/>
      <c r="J881" s="381"/>
      <c r="K881" s="381"/>
      <c r="L881" s="381"/>
      <c r="M881" s="381"/>
      <c r="N881" s="381"/>
      <c r="O881" s="381"/>
      <c r="P881" s="381"/>
      <c r="Q881" s="381"/>
      <c r="R881" s="381"/>
      <c r="S881" s="381"/>
      <c r="T881" s="381"/>
      <c r="U881" s="381"/>
      <c r="V881" s="381"/>
      <c r="W881" s="381"/>
      <c r="X881" s="381"/>
      <c r="Y881" s="381"/>
    </row>
    <row r="882">
      <c r="A882" s="359"/>
      <c r="B882" s="381"/>
      <c r="C882" s="18"/>
      <c r="D882" s="359"/>
      <c r="E882" s="607"/>
      <c r="F882" s="359"/>
      <c r="G882" s="381"/>
      <c r="H882" s="381"/>
      <c r="I882" s="381"/>
      <c r="J882" s="381"/>
      <c r="K882" s="381"/>
      <c r="L882" s="381"/>
      <c r="M882" s="381"/>
      <c r="N882" s="381"/>
      <c r="O882" s="381"/>
      <c r="P882" s="381"/>
      <c r="Q882" s="381"/>
      <c r="R882" s="381"/>
      <c r="S882" s="381"/>
      <c r="T882" s="381"/>
      <c r="U882" s="381"/>
      <c r="V882" s="381"/>
      <c r="W882" s="381"/>
      <c r="X882" s="381"/>
      <c r="Y882" s="381"/>
    </row>
    <row r="883">
      <c r="A883" s="359"/>
      <c r="B883" s="381"/>
      <c r="C883" s="18"/>
      <c r="D883" s="359"/>
      <c r="E883" s="607"/>
      <c r="F883" s="359"/>
      <c r="G883" s="381"/>
      <c r="H883" s="381"/>
      <c r="I883" s="381"/>
      <c r="J883" s="381"/>
      <c r="K883" s="381"/>
      <c r="L883" s="381"/>
      <c r="M883" s="381"/>
      <c r="N883" s="381"/>
      <c r="O883" s="381"/>
      <c r="P883" s="381"/>
      <c r="Q883" s="381"/>
      <c r="R883" s="381"/>
      <c r="S883" s="381"/>
      <c r="T883" s="381"/>
      <c r="U883" s="381"/>
      <c r="V883" s="381"/>
      <c r="W883" s="381"/>
      <c r="X883" s="381"/>
      <c r="Y883" s="381"/>
    </row>
    <row r="884">
      <c r="A884" s="359"/>
      <c r="B884" s="381"/>
      <c r="C884" s="18"/>
      <c r="D884" s="359"/>
      <c r="E884" s="607"/>
      <c r="F884" s="359"/>
      <c r="G884" s="381"/>
      <c r="H884" s="381"/>
      <c r="I884" s="381"/>
      <c r="J884" s="381"/>
      <c r="K884" s="381"/>
      <c r="L884" s="381"/>
      <c r="M884" s="381"/>
      <c r="N884" s="381"/>
      <c r="O884" s="381"/>
      <c r="P884" s="381"/>
      <c r="Q884" s="381"/>
      <c r="R884" s="381"/>
      <c r="S884" s="381"/>
      <c r="T884" s="381"/>
      <c r="U884" s="381"/>
      <c r="V884" s="381"/>
      <c r="W884" s="381"/>
      <c r="X884" s="381"/>
      <c r="Y884" s="381"/>
    </row>
    <row r="885">
      <c r="A885" s="359"/>
      <c r="B885" s="381"/>
      <c r="C885" s="18"/>
      <c r="D885" s="359"/>
      <c r="E885" s="607"/>
      <c r="F885" s="359"/>
      <c r="G885" s="381"/>
      <c r="H885" s="381"/>
      <c r="I885" s="381"/>
      <c r="J885" s="381"/>
      <c r="K885" s="381"/>
      <c r="L885" s="381"/>
      <c r="M885" s="381"/>
      <c r="N885" s="381"/>
      <c r="O885" s="381"/>
      <c r="P885" s="381"/>
      <c r="Q885" s="381"/>
      <c r="R885" s="381"/>
      <c r="S885" s="381"/>
      <c r="T885" s="381"/>
      <c r="U885" s="381"/>
      <c r="V885" s="381"/>
      <c r="W885" s="381"/>
      <c r="X885" s="381"/>
      <c r="Y885" s="381"/>
    </row>
    <row r="886">
      <c r="A886" s="359"/>
      <c r="B886" s="381"/>
      <c r="C886" s="18"/>
      <c r="D886" s="359"/>
      <c r="E886" s="607"/>
      <c r="F886" s="359"/>
      <c r="G886" s="381"/>
      <c r="H886" s="381"/>
      <c r="I886" s="381"/>
      <c r="J886" s="381"/>
      <c r="K886" s="381"/>
      <c r="L886" s="381"/>
      <c r="M886" s="381"/>
      <c r="N886" s="381"/>
      <c r="O886" s="381"/>
      <c r="P886" s="381"/>
      <c r="Q886" s="381"/>
      <c r="R886" s="381"/>
      <c r="S886" s="381"/>
      <c r="T886" s="381"/>
      <c r="U886" s="381"/>
      <c r="V886" s="381"/>
      <c r="W886" s="381"/>
      <c r="X886" s="381"/>
      <c r="Y886" s="381"/>
    </row>
    <row r="887">
      <c r="A887" s="359"/>
      <c r="B887" s="381"/>
      <c r="C887" s="18"/>
      <c r="D887" s="359"/>
      <c r="E887" s="607"/>
      <c r="F887" s="359"/>
      <c r="G887" s="381"/>
      <c r="H887" s="381"/>
      <c r="I887" s="381"/>
      <c r="J887" s="381"/>
      <c r="K887" s="381"/>
      <c r="L887" s="381"/>
      <c r="M887" s="381"/>
      <c r="N887" s="381"/>
      <c r="O887" s="381"/>
      <c r="P887" s="381"/>
      <c r="Q887" s="381"/>
      <c r="R887" s="381"/>
      <c r="S887" s="381"/>
      <c r="T887" s="381"/>
      <c r="U887" s="381"/>
      <c r="V887" s="381"/>
      <c r="W887" s="381"/>
      <c r="X887" s="381"/>
      <c r="Y887" s="381"/>
    </row>
    <row r="888">
      <c r="A888" s="359"/>
      <c r="B888" s="381"/>
      <c r="C888" s="18"/>
      <c r="D888" s="359"/>
      <c r="E888" s="607"/>
      <c r="F888" s="359"/>
      <c r="G888" s="381"/>
      <c r="H888" s="381"/>
      <c r="I888" s="381"/>
      <c r="J888" s="381"/>
      <c r="K888" s="381"/>
      <c r="L888" s="381"/>
      <c r="M888" s="381"/>
      <c r="N888" s="381"/>
      <c r="O888" s="381"/>
      <c r="P888" s="381"/>
      <c r="Q888" s="381"/>
      <c r="R888" s="381"/>
      <c r="S888" s="381"/>
      <c r="T888" s="381"/>
      <c r="U888" s="381"/>
      <c r="V888" s="381"/>
      <c r="W888" s="381"/>
      <c r="X888" s="381"/>
      <c r="Y888" s="381"/>
    </row>
    <row r="889">
      <c r="A889" s="359"/>
      <c r="B889" s="381"/>
      <c r="C889" s="18"/>
      <c r="D889" s="359"/>
      <c r="E889" s="607"/>
      <c r="F889" s="359"/>
      <c r="G889" s="381"/>
      <c r="H889" s="381"/>
      <c r="I889" s="381"/>
      <c r="J889" s="381"/>
      <c r="K889" s="381"/>
      <c r="L889" s="381"/>
      <c r="M889" s="381"/>
      <c r="N889" s="381"/>
      <c r="O889" s="381"/>
      <c r="P889" s="381"/>
      <c r="Q889" s="381"/>
      <c r="R889" s="381"/>
      <c r="S889" s="381"/>
      <c r="T889" s="381"/>
      <c r="U889" s="381"/>
      <c r="V889" s="381"/>
      <c r="W889" s="381"/>
      <c r="X889" s="381"/>
      <c r="Y889" s="381"/>
    </row>
    <row r="890">
      <c r="A890" s="359"/>
      <c r="B890" s="381"/>
      <c r="C890" s="18"/>
      <c r="D890" s="359"/>
      <c r="E890" s="607"/>
      <c r="F890" s="359"/>
      <c r="G890" s="381"/>
      <c r="H890" s="381"/>
      <c r="I890" s="381"/>
      <c r="J890" s="381"/>
      <c r="K890" s="381"/>
      <c r="L890" s="381"/>
      <c r="M890" s="381"/>
      <c r="N890" s="381"/>
      <c r="O890" s="381"/>
      <c r="P890" s="381"/>
      <c r="Q890" s="381"/>
      <c r="R890" s="381"/>
      <c r="S890" s="381"/>
      <c r="T890" s="381"/>
      <c r="U890" s="381"/>
      <c r="V890" s="381"/>
      <c r="W890" s="381"/>
      <c r="X890" s="381"/>
      <c r="Y890" s="381"/>
    </row>
    <row r="891">
      <c r="A891" s="359"/>
      <c r="B891" s="381"/>
      <c r="C891" s="18"/>
      <c r="D891" s="359"/>
      <c r="E891" s="607"/>
      <c r="F891" s="359"/>
      <c r="G891" s="381"/>
      <c r="H891" s="381"/>
      <c r="I891" s="381"/>
      <c r="J891" s="381"/>
      <c r="K891" s="381"/>
      <c r="L891" s="381"/>
      <c r="M891" s="381"/>
      <c r="N891" s="381"/>
      <c r="O891" s="381"/>
      <c r="P891" s="381"/>
      <c r="Q891" s="381"/>
      <c r="R891" s="381"/>
      <c r="S891" s="381"/>
      <c r="T891" s="381"/>
      <c r="U891" s="381"/>
      <c r="V891" s="381"/>
      <c r="W891" s="381"/>
      <c r="X891" s="381"/>
      <c r="Y891" s="381"/>
    </row>
    <row r="892">
      <c r="A892" s="359"/>
      <c r="B892" s="381"/>
      <c r="C892" s="18"/>
      <c r="D892" s="359"/>
      <c r="E892" s="607"/>
      <c r="F892" s="359"/>
      <c r="G892" s="381"/>
      <c r="H892" s="381"/>
      <c r="I892" s="381"/>
      <c r="J892" s="381"/>
      <c r="K892" s="381"/>
      <c r="L892" s="381"/>
      <c r="M892" s="381"/>
      <c r="N892" s="381"/>
      <c r="O892" s="381"/>
      <c r="P892" s="381"/>
      <c r="Q892" s="381"/>
      <c r="R892" s="381"/>
      <c r="S892" s="381"/>
      <c r="T892" s="381"/>
      <c r="U892" s="381"/>
      <c r="V892" s="381"/>
      <c r="W892" s="381"/>
      <c r="X892" s="381"/>
      <c r="Y892" s="381"/>
    </row>
    <row r="893">
      <c r="A893" s="359"/>
      <c r="B893" s="381"/>
      <c r="C893" s="18"/>
      <c r="D893" s="359"/>
      <c r="E893" s="607"/>
      <c r="F893" s="359"/>
      <c r="G893" s="381"/>
      <c r="H893" s="381"/>
      <c r="I893" s="381"/>
      <c r="J893" s="381"/>
      <c r="K893" s="381"/>
      <c r="L893" s="381"/>
      <c r="M893" s="381"/>
      <c r="N893" s="381"/>
      <c r="O893" s="381"/>
      <c r="P893" s="381"/>
      <c r="Q893" s="381"/>
      <c r="R893" s="381"/>
      <c r="S893" s="381"/>
      <c r="T893" s="381"/>
      <c r="U893" s="381"/>
      <c r="V893" s="381"/>
      <c r="W893" s="381"/>
      <c r="X893" s="381"/>
      <c r="Y893" s="381"/>
    </row>
    <row r="894">
      <c r="A894" s="359"/>
      <c r="B894" s="381"/>
      <c r="C894" s="18"/>
      <c r="D894" s="359"/>
      <c r="E894" s="607"/>
      <c r="F894" s="359"/>
      <c r="G894" s="381"/>
      <c r="H894" s="381"/>
      <c r="I894" s="381"/>
      <c r="J894" s="381"/>
      <c r="K894" s="381"/>
      <c r="L894" s="381"/>
      <c r="M894" s="381"/>
      <c r="N894" s="381"/>
      <c r="O894" s="381"/>
      <c r="P894" s="381"/>
      <c r="Q894" s="381"/>
      <c r="R894" s="381"/>
      <c r="S894" s="381"/>
      <c r="T894" s="381"/>
      <c r="U894" s="381"/>
      <c r="V894" s="381"/>
      <c r="W894" s="381"/>
      <c r="X894" s="381"/>
      <c r="Y894" s="381"/>
    </row>
    <row r="895">
      <c r="A895" s="359"/>
      <c r="B895" s="381"/>
      <c r="C895" s="18"/>
      <c r="D895" s="359"/>
      <c r="E895" s="607"/>
      <c r="F895" s="359"/>
      <c r="G895" s="381"/>
      <c r="H895" s="381"/>
      <c r="I895" s="381"/>
      <c r="J895" s="381"/>
      <c r="K895" s="381"/>
      <c r="L895" s="381"/>
      <c r="M895" s="381"/>
      <c r="N895" s="381"/>
      <c r="O895" s="381"/>
      <c r="P895" s="381"/>
      <c r="Q895" s="381"/>
      <c r="R895" s="381"/>
      <c r="S895" s="381"/>
      <c r="T895" s="381"/>
      <c r="U895" s="381"/>
      <c r="V895" s="381"/>
      <c r="W895" s="381"/>
      <c r="X895" s="381"/>
      <c r="Y895" s="381"/>
    </row>
    <row r="896">
      <c r="A896" s="359"/>
      <c r="B896" s="381"/>
      <c r="C896" s="18"/>
      <c r="D896" s="359"/>
      <c r="E896" s="607"/>
      <c r="F896" s="359"/>
      <c r="G896" s="381"/>
      <c r="H896" s="381"/>
      <c r="I896" s="381"/>
      <c r="J896" s="381"/>
      <c r="K896" s="381"/>
      <c r="L896" s="381"/>
      <c r="M896" s="381"/>
      <c r="N896" s="381"/>
      <c r="O896" s="381"/>
      <c r="P896" s="381"/>
      <c r="Q896" s="381"/>
      <c r="R896" s="381"/>
      <c r="S896" s="381"/>
      <c r="T896" s="381"/>
      <c r="U896" s="381"/>
      <c r="V896" s="381"/>
      <c r="W896" s="381"/>
      <c r="X896" s="381"/>
      <c r="Y896" s="381"/>
    </row>
    <row r="897">
      <c r="A897" s="359"/>
      <c r="B897" s="381"/>
      <c r="C897" s="18"/>
      <c r="D897" s="359"/>
      <c r="E897" s="607"/>
      <c r="F897" s="359"/>
      <c r="G897" s="381"/>
      <c r="H897" s="381"/>
      <c r="I897" s="381"/>
      <c r="J897" s="381"/>
      <c r="K897" s="381"/>
      <c r="L897" s="381"/>
      <c r="M897" s="381"/>
      <c r="N897" s="381"/>
      <c r="O897" s="381"/>
      <c r="P897" s="381"/>
      <c r="Q897" s="381"/>
      <c r="R897" s="381"/>
      <c r="S897" s="381"/>
      <c r="T897" s="381"/>
      <c r="U897" s="381"/>
      <c r="V897" s="381"/>
      <c r="W897" s="381"/>
      <c r="X897" s="381"/>
      <c r="Y897" s="381"/>
    </row>
    <row r="898">
      <c r="A898" s="359"/>
      <c r="B898" s="381"/>
      <c r="C898" s="18"/>
      <c r="D898" s="359"/>
      <c r="E898" s="607"/>
      <c r="F898" s="359"/>
      <c r="G898" s="381"/>
      <c r="H898" s="381"/>
      <c r="I898" s="381"/>
      <c r="J898" s="381"/>
      <c r="K898" s="381"/>
      <c r="L898" s="381"/>
      <c r="M898" s="381"/>
      <c r="N898" s="381"/>
      <c r="O898" s="381"/>
      <c r="P898" s="381"/>
      <c r="Q898" s="381"/>
      <c r="R898" s="381"/>
      <c r="S898" s="381"/>
      <c r="T898" s="381"/>
      <c r="U898" s="381"/>
      <c r="V898" s="381"/>
      <c r="W898" s="381"/>
      <c r="X898" s="381"/>
      <c r="Y898" s="381"/>
    </row>
    <row r="899">
      <c r="A899" s="359"/>
      <c r="B899" s="381"/>
      <c r="C899" s="18"/>
      <c r="D899" s="359"/>
      <c r="E899" s="607"/>
      <c r="F899" s="359"/>
      <c r="G899" s="381"/>
      <c r="H899" s="381"/>
      <c r="I899" s="381"/>
      <c r="J899" s="381"/>
      <c r="K899" s="381"/>
      <c r="L899" s="381"/>
      <c r="M899" s="381"/>
      <c r="N899" s="381"/>
      <c r="O899" s="381"/>
      <c r="P899" s="381"/>
      <c r="Q899" s="381"/>
      <c r="R899" s="381"/>
      <c r="S899" s="381"/>
      <c r="T899" s="381"/>
      <c r="U899" s="381"/>
      <c r="V899" s="381"/>
      <c r="W899" s="381"/>
      <c r="X899" s="381"/>
      <c r="Y899" s="381"/>
    </row>
    <row r="900">
      <c r="A900" s="359"/>
      <c r="B900" s="381"/>
      <c r="C900" s="18"/>
      <c r="D900" s="359"/>
      <c r="E900" s="607"/>
      <c r="F900" s="359"/>
      <c r="G900" s="381"/>
      <c r="H900" s="381"/>
      <c r="I900" s="381"/>
      <c r="J900" s="381"/>
      <c r="K900" s="381"/>
      <c r="L900" s="381"/>
      <c r="M900" s="381"/>
      <c r="N900" s="381"/>
      <c r="O900" s="381"/>
      <c r="P900" s="381"/>
      <c r="Q900" s="381"/>
      <c r="R900" s="381"/>
      <c r="S900" s="381"/>
      <c r="T900" s="381"/>
      <c r="U900" s="381"/>
      <c r="V900" s="381"/>
      <c r="W900" s="381"/>
      <c r="X900" s="381"/>
      <c r="Y900" s="381"/>
    </row>
    <row r="901">
      <c r="A901" s="359"/>
      <c r="B901" s="381"/>
      <c r="C901" s="18"/>
      <c r="D901" s="359"/>
      <c r="E901" s="607"/>
      <c r="F901" s="359"/>
      <c r="G901" s="381"/>
      <c r="H901" s="381"/>
      <c r="I901" s="381"/>
      <c r="J901" s="381"/>
      <c r="K901" s="381"/>
      <c r="L901" s="381"/>
      <c r="M901" s="381"/>
      <c r="N901" s="381"/>
      <c r="O901" s="381"/>
      <c r="P901" s="381"/>
      <c r="Q901" s="381"/>
      <c r="R901" s="381"/>
      <c r="S901" s="381"/>
      <c r="T901" s="381"/>
      <c r="U901" s="381"/>
      <c r="V901" s="381"/>
      <c r="W901" s="381"/>
      <c r="X901" s="381"/>
      <c r="Y901" s="381"/>
    </row>
    <row r="902">
      <c r="A902" s="359"/>
      <c r="B902" s="381"/>
      <c r="C902" s="18"/>
      <c r="D902" s="359"/>
      <c r="E902" s="607"/>
      <c r="F902" s="359"/>
      <c r="G902" s="381"/>
      <c r="H902" s="381"/>
      <c r="I902" s="381"/>
      <c r="J902" s="381"/>
      <c r="K902" s="381"/>
      <c r="L902" s="381"/>
      <c r="M902" s="381"/>
      <c r="N902" s="381"/>
      <c r="O902" s="381"/>
      <c r="P902" s="381"/>
      <c r="Q902" s="381"/>
      <c r="R902" s="381"/>
      <c r="S902" s="381"/>
      <c r="T902" s="381"/>
      <c r="U902" s="381"/>
      <c r="V902" s="381"/>
      <c r="W902" s="381"/>
      <c r="X902" s="381"/>
      <c r="Y902" s="381"/>
    </row>
    <row r="903">
      <c r="A903" s="359"/>
      <c r="B903" s="381"/>
      <c r="C903" s="18"/>
      <c r="D903" s="359"/>
      <c r="E903" s="607"/>
      <c r="F903" s="359"/>
      <c r="G903" s="381"/>
      <c r="H903" s="381"/>
      <c r="I903" s="381"/>
      <c r="J903" s="381"/>
      <c r="K903" s="381"/>
      <c r="L903" s="381"/>
      <c r="M903" s="381"/>
      <c r="N903" s="381"/>
      <c r="O903" s="381"/>
      <c r="P903" s="381"/>
      <c r="Q903" s="381"/>
      <c r="R903" s="381"/>
      <c r="S903" s="381"/>
      <c r="T903" s="381"/>
      <c r="U903" s="381"/>
      <c r="V903" s="381"/>
      <c r="W903" s="381"/>
      <c r="X903" s="381"/>
      <c r="Y903" s="381"/>
    </row>
    <row r="904">
      <c r="A904" s="359"/>
      <c r="B904" s="381"/>
      <c r="C904" s="18"/>
      <c r="D904" s="359"/>
      <c r="E904" s="607"/>
      <c r="F904" s="359"/>
      <c r="G904" s="381"/>
      <c r="H904" s="381"/>
      <c r="I904" s="381"/>
      <c r="J904" s="381"/>
      <c r="K904" s="381"/>
      <c r="L904" s="381"/>
      <c r="M904" s="381"/>
      <c r="N904" s="381"/>
      <c r="O904" s="381"/>
      <c r="P904" s="381"/>
      <c r="Q904" s="381"/>
      <c r="R904" s="381"/>
      <c r="S904" s="381"/>
      <c r="T904" s="381"/>
      <c r="U904" s="381"/>
      <c r="V904" s="381"/>
      <c r="W904" s="381"/>
      <c r="X904" s="381"/>
      <c r="Y904" s="381"/>
    </row>
    <row r="905">
      <c r="A905" s="359"/>
      <c r="B905" s="381"/>
      <c r="C905" s="18"/>
      <c r="D905" s="359"/>
      <c r="E905" s="607"/>
      <c r="F905" s="359"/>
      <c r="G905" s="381"/>
      <c r="H905" s="381"/>
      <c r="I905" s="381"/>
      <c r="J905" s="381"/>
      <c r="K905" s="381"/>
      <c r="L905" s="381"/>
      <c r="M905" s="381"/>
      <c r="N905" s="381"/>
      <c r="O905" s="381"/>
      <c r="P905" s="381"/>
      <c r="Q905" s="381"/>
      <c r="R905" s="381"/>
      <c r="S905" s="381"/>
      <c r="T905" s="381"/>
      <c r="U905" s="381"/>
      <c r="V905" s="381"/>
      <c r="W905" s="381"/>
      <c r="X905" s="381"/>
      <c r="Y905" s="381"/>
    </row>
    <row r="906">
      <c r="A906" s="359"/>
      <c r="B906" s="381"/>
      <c r="C906" s="18"/>
      <c r="D906" s="359"/>
      <c r="E906" s="607"/>
      <c r="F906" s="359"/>
      <c r="G906" s="381"/>
      <c r="H906" s="381"/>
      <c r="I906" s="381"/>
      <c r="J906" s="381"/>
      <c r="K906" s="381"/>
      <c r="L906" s="381"/>
      <c r="M906" s="381"/>
      <c r="N906" s="381"/>
      <c r="O906" s="381"/>
      <c r="P906" s="381"/>
      <c r="Q906" s="381"/>
      <c r="R906" s="381"/>
      <c r="S906" s="381"/>
      <c r="T906" s="381"/>
      <c r="U906" s="381"/>
      <c r="V906" s="381"/>
      <c r="W906" s="381"/>
      <c r="X906" s="381"/>
      <c r="Y906" s="381"/>
    </row>
    <row r="907">
      <c r="A907" s="359"/>
      <c r="B907" s="381"/>
      <c r="C907" s="18"/>
      <c r="D907" s="359"/>
      <c r="E907" s="607"/>
      <c r="F907" s="359"/>
      <c r="G907" s="381"/>
      <c r="H907" s="381"/>
      <c r="I907" s="381"/>
      <c r="J907" s="381"/>
      <c r="K907" s="381"/>
      <c r="L907" s="381"/>
      <c r="M907" s="381"/>
      <c r="N907" s="381"/>
      <c r="O907" s="381"/>
      <c r="P907" s="381"/>
      <c r="Q907" s="381"/>
      <c r="R907" s="381"/>
      <c r="S907" s="381"/>
      <c r="T907" s="381"/>
      <c r="U907" s="381"/>
      <c r="V907" s="381"/>
      <c r="W907" s="381"/>
      <c r="X907" s="381"/>
      <c r="Y907" s="381"/>
    </row>
    <row r="908">
      <c r="A908" s="359"/>
      <c r="B908" s="381"/>
      <c r="C908" s="18"/>
      <c r="D908" s="359"/>
      <c r="E908" s="607"/>
      <c r="F908" s="359"/>
      <c r="G908" s="381"/>
      <c r="H908" s="381"/>
      <c r="I908" s="381"/>
      <c r="J908" s="381"/>
      <c r="K908" s="381"/>
      <c r="L908" s="381"/>
      <c r="M908" s="381"/>
      <c r="N908" s="381"/>
      <c r="O908" s="381"/>
      <c r="P908" s="381"/>
      <c r="Q908" s="381"/>
      <c r="R908" s="381"/>
      <c r="S908" s="381"/>
      <c r="T908" s="381"/>
      <c r="U908" s="381"/>
      <c r="V908" s="381"/>
      <c r="W908" s="381"/>
      <c r="X908" s="381"/>
      <c r="Y908" s="381"/>
    </row>
    <row r="909">
      <c r="A909" s="359"/>
      <c r="B909" s="381"/>
      <c r="C909" s="18"/>
      <c r="D909" s="359"/>
      <c r="E909" s="607"/>
      <c r="F909" s="359"/>
      <c r="G909" s="381"/>
      <c r="H909" s="381"/>
      <c r="I909" s="381"/>
      <c r="J909" s="381"/>
      <c r="K909" s="381"/>
      <c r="L909" s="381"/>
      <c r="M909" s="381"/>
      <c r="N909" s="381"/>
      <c r="O909" s="381"/>
      <c r="P909" s="381"/>
      <c r="Q909" s="381"/>
      <c r="R909" s="381"/>
      <c r="S909" s="381"/>
      <c r="T909" s="381"/>
      <c r="U909" s="381"/>
      <c r="V909" s="381"/>
      <c r="W909" s="381"/>
      <c r="X909" s="381"/>
      <c r="Y909" s="381"/>
    </row>
    <row r="910">
      <c r="A910" s="359"/>
      <c r="B910" s="381"/>
      <c r="C910" s="18"/>
      <c r="D910" s="359"/>
      <c r="E910" s="607"/>
      <c r="F910" s="359"/>
      <c r="G910" s="381"/>
      <c r="H910" s="381"/>
      <c r="I910" s="381"/>
      <c r="J910" s="381"/>
      <c r="K910" s="381"/>
      <c r="L910" s="381"/>
      <c r="M910" s="381"/>
      <c r="N910" s="381"/>
      <c r="O910" s="381"/>
      <c r="P910" s="381"/>
      <c r="Q910" s="381"/>
      <c r="R910" s="381"/>
      <c r="S910" s="381"/>
      <c r="T910" s="381"/>
      <c r="U910" s="381"/>
      <c r="V910" s="381"/>
      <c r="W910" s="381"/>
      <c r="X910" s="381"/>
      <c r="Y910" s="381"/>
    </row>
    <row r="911">
      <c r="A911" s="359"/>
      <c r="B911" s="381"/>
      <c r="C911" s="18"/>
      <c r="D911" s="359"/>
      <c r="E911" s="607"/>
      <c r="F911" s="359"/>
      <c r="G911" s="381"/>
      <c r="H911" s="381"/>
      <c r="I911" s="381"/>
      <c r="J911" s="381"/>
      <c r="K911" s="381"/>
      <c r="L911" s="381"/>
      <c r="M911" s="381"/>
      <c r="N911" s="381"/>
      <c r="O911" s="381"/>
      <c r="P911" s="381"/>
      <c r="Q911" s="381"/>
      <c r="R911" s="381"/>
      <c r="S911" s="381"/>
      <c r="T911" s="381"/>
      <c r="U911" s="381"/>
      <c r="V911" s="381"/>
      <c r="W911" s="381"/>
      <c r="X911" s="381"/>
      <c r="Y911" s="381"/>
    </row>
    <row r="912">
      <c r="A912" s="359"/>
      <c r="B912" s="381"/>
      <c r="C912" s="18"/>
      <c r="D912" s="359"/>
      <c r="E912" s="607"/>
      <c r="F912" s="359"/>
      <c r="G912" s="381"/>
      <c r="H912" s="381"/>
      <c r="I912" s="381"/>
      <c r="J912" s="381"/>
      <c r="K912" s="381"/>
      <c r="L912" s="381"/>
      <c r="M912" s="381"/>
      <c r="N912" s="381"/>
      <c r="O912" s="381"/>
      <c r="P912" s="381"/>
      <c r="Q912" s="381"/>
      <c r="R912" s="381"/>
      <c r="S912" s="381"/>
      <c r="T912" s="381"/>
      <c r="U912" s="381"/>
      <c r="V912" s="381"/>
      <c r="W912" s="381"/>
      <c r="X912" s="381"/>
      <c r="Y912" s="381"/>
    </row>
    <row r="913">
      <c r="A913" s="359"/>
      <c r="B913" s="381"/>
      <c r="C913" s="18"/>
      <c r="D913" s="359"/>
      <c r="E913" s="607"/>
      <c r="F913" s="359"/>
      <c r="G913" s="381"/>
      <c r="H913" s="381"/>
      <c r="I913" s="381"/>
      <c r="J913" s="381"/>
      <c r="K913" s="381"/>
      <c r="L913" s="381"/>
      <c r="M913" s="381"/>
      <c r="N913" s="381"/>
      <c r="O913" s="381"/>
      <c r="P913" s="381"/>
      <c r="Q913" s="381"/>
      <c r="R913" s="381"/>
      <c r="S913" s="381"/>
      <c r="T913" s="381"/>
      <c r="U913" s="381"/>
      <c r="V913" s="381"/>
      <c r="W913" s="381"/>
      <c r="X913" s="381"/>
      <c r="Y913" s="381"/>
    </row>
    <row r="914">
      <c r="A914" s="359"/>
      <c r="B914" s="381"/>
      <c r="C914" s="18"/>
      <c r="D914" s="359"/>
      <c r="E914" s="607"/>
      <c r="F914" s="359"/>
      <c r="G914" s="381"/>
      <c r="H914" s="381"/>
      <c r="I914" s="381"/>
      <c r="J914" s="381"/>
      <c r="K914" s="381"/>
      <c r="L914" s="381"/>
      <c r="M914" s="381"/>
      <c r="N914" s="381"/>
      <c r="O914" s="381"/>
      <c r="P914" s="381"/>
      <c r="Q914" s="381"/>
      <c r="R914" s="381"/>
      <c r="S914" s="381"/>
      <c r="T914" s="381"/>
      <c r="U914" s="381"/>
      <c r="V914" s="381"/>
      <c r="W914" s="381"/>
      <c r="X914" s="381"/>
      <c r="Y914" s="381"/>
    </row>
    <row r="915">
      <c r="A915" s="359"/>
      <c r="B915" s="381"/>
      <c r="C915" s="18"/>
      <c r="D915" s="359"/>
      <c r="E915" s="607"/>
      <c r="F915" s="359"/>
      <c r="G915" s="381"/>
      <c r="H915" s="381"/>
      <c r="I915" s="381"/>
      <c r="J915" s="381"/>
      <c r="K915" s="381"/>
      <c r="L915" s="381"/>
      <c r="M915" s="381"/>
      <c r="N915" s="381"/>
      <c r="O915" s="381"/>
      <c r="P915" s="381"/>
      <c r="Q915" s="381"/>
      <c r="R915" s="381"/>
      <c r="S915" s="381"/>
      <c r="T915" s="381"/>
      <c r="U915" s="381"/>
      <c r="V915" s="381"/>
      <c r="W915" s="381"/>
      <c r="X915" s="381"/>
      <c r="Y915" s="381"/>
    </row>
    <row r="916">
      <c r="A916" s="359"/>
      <c r="B916" s="381"/>
      <c r="C916" s="18"/>
      <c r="D916" s="359"/>
      <c r="E916" s="607"/>
      <c r="F916" s="359"/>
      <c r="G916" s="381"/>
      <c r="H916" s="381"/>
      <c r="I916" s="381"/>
      <c r="J916" s="381"/>
      <c r="K916" s="381"/>
      <c r="L916" s="381"/>
      <c r="M916" s="381"/>
      <c r="N916" s="381"/>
      <c r="O916" s="381"/>
      <c r="P916" s="381"/>
      <c r="Q916" s="381"/>
      <c r="R916" s="381"/>
      <c r="S916" s="381"/>
      <c r="T916" s="381"/>
      <c r="U916" s="381"/>
      <c r="V916" s="381"/>
      <c r="W916" s="381"/>
      <c r="X916" s="381"/>
      <c r="Y916" s="381"/>
    </row>
    <row r="917">
      <c r="A917" s="359"/>
      <c r="B917" s="381"/>
      <c r="C917" s="18"/>
      <c r="D917" s="359"/>
      <c r="E917" s="607"/>
      <c r="F917" s="359"/>
      <c r="G917" s="381"/>
      <c r="H917" s="381"/>
      <c r="I917" s="381"/>
      <c r="J917" s="381"/>
      <c r="K917" s="381"/>
      <c r="L917" s="381"/>
      <c r="M917" s="381"/>
      <c r="N917" s="381"/>
      <c r="O917" s="381"/>
      <c r="P917" s="381"/>
      <c r="Q917" s="381"/>
      <c r="R917" s="381"/>
      <c r="S917" s="381"/>
      <c r="T917" s="381"/>
      <c r="U917" s="381"/>
      <c r="V917" s="381"/>
      <c r="W917" s="381"/>
      <c r="X917" s="381"/>
      <c r="Y917" s="381"/>
    </row>
    <row r="918">
      <c r="A918" s="359"/>
      <c r="B918" s="381"/>
      <c r="C918" s="18"/>
      <c r="D918" s="359"/>
      <c r="E918" s="607"/>
      <c r="F918" s="359"/>
      <c r="G918" s="381"/>
      <c r="H918" s="381"/>
      <c r="I918" s="381"/>
      <c r="J918" s="381"/>
      <c r="K918" s="381"/>
      <c r="L918" s="381"/>
      <c r="M918" s="381"/>
      <c r="N918" s="381"/>
      <c r="O918" s="381"/>
      <c r="P918" s="381"/>
      <c r="Q918" s="381"/>
      <c r="R918" s="381"/>
      <c r="S918" s="381"/>
      <c r="T918" s="381"/>
      <c r="U918" s="381"/>
      <c r="V918" s="381"/>
      <c r="W918" s="381"/>
      <c r="X918" s="381"/>
      <c r="Y918" s="381"/>
    </row>
    <row r="919">
      <c r="A919" s="359"/>
      <c r="B919" s="381"/>
      <c r="C919" s="18"/>
      <c r="D919" s="359"/>
      <c r="E919" s="607"/>
      <c r="F919" s="359"/>
      <c r="G919" s="381"/>
      <c r="H919" s="381"/>
      <c r="I919" s="381"/>
      <c r="J919" s="381"/>
      <c r="K919" s="381"/>
      <c r="L919" s="381"/>
      <c r="M919" s="381"/>
      <c r="N919" s="381"/>
      <c r="O919" s="381"/>
      <c r="P919" s="381"/>
      <c r="Q919" s="381"/>
      <c r="R919" s="381"/>
      <c r="S919" s="381"/>
      <c r="T919" s="381"/>
      <c r="U919" s="381"/>
      <c r="V919" s="381"/>
      <c r="W919" s="381"/>
      <c r="X919" s="381"/>
      <c r="Y919" s="381"/>
    </row>
    <row r="920">
      <c r="A920" s="359"/>
      <c r="B920" s="381"/>
      <c r="C920" s="18"/>
      <c r="D920" s="359"/>
      <c r="E920" s="607"/>
      <c r="F920" s="359"/>
      <c r="G920" s="381"/>
      <c r="H920" s="381"/>
      <c r="I920" s="381"/>
      <c r="J920" s="381"/>
      <c r="K920" s="381"/>
      <c r="L920" s="381"/>
      <c r="M920" s="381"/>
      <c r="N920" s="381"/>
      <c r="O920" s="381"/>
      <c r="P920" s="381"/>
      <c r="Q920" s="381"/>
      <c r="R920" s="381"/>
      <c r="S920" s="381"/>
      <c r="T920" s="381"/>
      <c r="U920" s="381"/>
      <c r="V920" s="381"/>
      <c r="W920" s="381"/>
      <c r="X920" s="381"/>
      <c r="Y920" s="381"/>
    </row>
    <row r="921">
      <c r="A921" s="359"/>
      <c r="B921" s="381"/>
      <c r="C921" s="18"/>
      <c r="D921" s="359"/>
      <c r="E921" s="607"/>
      <c r="F921" s="359"/>
      <c r="G921" s="381"/>
      <c r="H921" s="381"/>
      <c r="I921" s="381"/>
      <c r="J921" s="381"/>
      <c r="K921" s="381"/>
      <c r="L921" s="381"/>
      <c r="M921" s="381"/>
      <c r="N921" s="381"/>
      <c r="O921" s="381"/>
      <c r="P921" s="381"/>
      <c r="Q921" s="381"/>
      <c r="R921" s="381"/>
      <c r="S921" s="381"/>
      <c r="T921" s="381"/>
      <c r="U921" s="381"/>
      <c r="V921" s="381"/>
      <c r="W921" s="381"/>
      <c r="X921" s="381"/>
      <c r="Y921" s="381"/>
    </row>
    <row r="922">
      <c r="A922" s="359"/>
      <c r="B922" s="381"/>
      <c r="C922" s="18"/>
      <c r="D922" s="359"/>
      <c r="E922" s="607"/>
      <c r="F922" s="359"/>
      <c r="G922" s="381"/>
      <c r="H922" s="381"/>
      <c r="I922" s="381"/>
      <c r="J922" s="381"/>
      <c r="K922" s="381"/>
      <c r="L922" s="381"/>
      <c r="M922" s="381"/>
      <c r="N922" s="381"/>
      <c r="O922" s="381"/>
      <c r="P922" s="381"/>
      <c r="Q922" s="381"/>
      <c r="R922" s="381"/>
      <c r="S922" s="381"/>
      <c r="T922" s="381"/>
      <c r="U922" s="381"/>
      <c r="V922" s="381"/>
      <c r="W922" s="381"/>
      <c r="X922" s="381"/>
      <c r="Y922" s="381"/>
    </row>
    <row r="923">
      <c r="A923" s="359"/>
      <c r="B923" s="381"/>
      <c r="C923" s="18"/>
      <c r="D923" s="359"/>
      <c r="E923" s="607"/>
      <c r="F923" s="359"/>
      <c r="G923" s="381"/>
      <c r="H923" s="381"/>
      <c r="I923" s="381"/>
      <c r="J923" s="381"/>
      <c r="K923" s="381"/>
      <c r="L923" s="381"/>
      <c r="M923" s="381"/>
      <c r="N923" s="381"/>
      <c r="O923" s="381"/>
      <c r="P923" s="381"/>
      <c r="Q923" s="381"/>
      <c r="R923" s="381"/>
      <c r="S923" s="381"/>
      <c r="T923" s="381"/>
      <c r="U923" s="381"/>
      <c r="V923" s="381"/>
      <c r="W923" s="381"/>
      <c r="X923" s="381"/>
      <c r="Y923" s="381"/>
    </row>
    <row r="924">
      <c r="A924" s="359"/>
      <c r="B924" s="381"/>
      <c r="C924" s="18"/>
      <c r="D924" s="359"/>
      <c r="E924" s="607"/>
      <c r="F924" s="359"/>
      <c r="G924" s="381"/>
      <c r="H924" s="381"/>
      <c r="I924" s="381"/>
      <c r="J924" s="381"/>
      <c r="K924" s="381"/>
      <c r="L924" s="381"/>
      <c r="M924" s="381"/>
      <c r="N924" s="381"/>
      <c r="O924" s="381"/>
      <c r="P924" s="381"/>
      <c r="Q924" s="381"/>
      <c r="R924" s="381"/>
      <c r="S924" s="381"/>
      <c r="T924" s="381"/>
      <c r="U924" s="381"/>
      <c r="V924" s="381"/>
      <c r="W924" s="381"/>
      <c r="X924" s="381"/>
      <c r="Y924" s="381"/>
    </row>
    <row r="925">
      <c r="A925" s="359"/>
      <c r="B925" s="381"/>
      <c r="C925" s="18"/>
      <c r="D925" s="359"/>
      <c r="E925" s="607"/>
      <c r="F925" s="359"/>
      <c r="G925" s="381"/>
      <c r="H925" s="381"/>
      <c r="I925" s="381"/>
      <c r="J925" s="381"/>
      <c r="K925" s="381"/>
      <c r="L925" s="381"/>
      <c r="M925" s="381"/>
      <c r="N925" s="381"/>
      <c r="O925" s="381"/>
      <c r="P925" s="381"/>
      <c r="Q925" s="381"/>
      <c r="R925" s="381"/>
      <c r="S925" s="381"/>
      <c r="T925" s="381"/>
      <c r="U925" s="381"/>
      <c r="V925" s="381"/>
      <c r="W925" s="381"/>
      <c r="X925" s="381"/>
      <c r="Y925" s="381"/>
    </row>
    <row r="926">
      <c r="A926" s="359"/>
      <c r="B926" s="381"/>
      <c r="C926" s="18"/>
      <c r="D926" s="359"/>
      <c r="E926" s="607"/>
      <c r="F926" s="359"/>
      <c r="G926" s="381"/>
      <c r="H926" s="381"/>
      <c r="I926" s="381"/>
      <c r="J926" s="381"/>
      <c r="K926" s="381"/>
      <c r="L926" s="381"/>
      <c r="M926" s="381"/>
      <c r="N926" s="381"/>
      <c r="O926" s="381"/>
      <c r="P926" s="381"/>
      <c r="Q926" s="381"/>
      <c r="R926" s="381"/>
      <c r="S926" s="381"/>
      <c r="T926" s="381"/>
      <c r="U926" s="381"/>
      <c r="V926" s="381"/>
      <c r="W926" s="381"/>
      <c r="X926" s="381"/>
      <c r="Y926" s="381"/>
    </row>
    <row r="927">
      <c r="A927" s="359"/>
      <c r="B927" s="381"/>
      <c r="C927" s="18"/>
      <c r="D927" s="359"/>
      <c r="E927" s="607"/>
      <c r="F927" s="359"/>
      <c r="G927" s="381"/>
      <c r="H927" s="381"/>
      <c r="I927" s="381"/>
      <c r="J927" s="381"/>
      <c r="K927" s="381"/>
      <c r="L927" s="381"/>
      <c r="M927" s="381"/>
      <c r="N927" s="381"/>
      <c r="O927" s="381"/>
      <c r="P927" s="381"/>
      <c r="Q927" s="381"/>
      <c r="R927" s="381"/>
      <c r="S927" s="381"/>
      <c r="T927" s="381"/>
      <c r="U927" s="381"/>
      <c r="V927" s="381"/>
      <c r="W927" s="381"/>
      <c r="X927" s="381"/>
      <c r="Y927" s="381"/>
    </row>
    <row r="928">
      <c r="A928" s="359"/>
      <c r="B928" s="381"/>
      <c r="C928" s="18"/>
      <c r="D928" s="359"/>
      <c r="E928" s="607"/>
      <c r="F928" s="359"/>
      <c r="G928" s="381"/>
      <c r="H928" s="381"/>
      <c r="I928" s="381"/>
      <c r="J928" s="381"/>
      <c r="K928" s="381"/>
      <c r="L928" s="381"/>
      <c r="M928" s="381"/>
      <c r="N928" s="381"/>
      <c r="O928" s="381"/>
      <c r="P928" s="381"/>
      <c r="Q928" s="381"/>
      <c r="R928" s="381"/>
      <c r="S928" s="381"/>
      <c r="T928" s="381"/>
      <c r="U928" s="381"/>
      <c r="V928" s="381"/>
      <c r="W928" s="381"/>
      <c r="X928" s="381"/>
      <c r="Y928" s="381"/>
    </row>
    <row r="929">
      <c r="A929" s="359"/>
      <c r="B929" s="381"/>
      <c r="C929" s="18"/>
      <c r="D929" s="359"/>
      <c r="E929" s="607"/>
      <c r="F929" s="359"/>
      <c r="G929" s="381"/>
      <c r="H929" s="381"/>
      <c r="I929" s="381"/>
      <c r="J929" s="381"/>
      <c r="K929" s="381"/>
      <c r="L929" s="381"/>
      <c r="M929" s="381"/>
      <c r="N929" s="381"/>
      <c r="O929" s="381"/>
      <c r="P929" s="381"/>
      <c r="Q929" s="381"/>
      <c r="R929" s="381"/>
      <c r="S929" s="381"/>
      <c r="T929" s="381"/>
      <c r="U929" s="381"/>
      <c r="V929" s="381"/>
      <c r="W929" s="381"/>
      <c r="X929" s="381"/>
      <c r="Y929" s="381"/>
    </row>
    <row r="930">
      <c r="A930" s="359"/>
      <c r="B930" s="381"/>
      <c r="C930" s="18"/>
      <c r="D930" s="359"/>
      <c r="E930" s="607"/>
      <c r="F930" s="359"/>
      <c r="G930" s="381"/>
      <c r="H930" s="381"/>
      <c r="I930" s="381"/>
      <c r="J930" s="381"/>
      <c r="K930" s="381"/>
      <c r="L930" s="381"/>
      <c r="M930" s="381"/>
      <c r="N930" s="381"/>
      <c r="O930" s="381"/>
      <c r="P930" s="381"/>
      <c r="Q930" s="381"/>
      <c r="R930" s="381"/>
      <c r="S930" s="381"/>
      <c r="T930" s="381"/>
      <c r="U930" s="381"/>
      <c r="V930" s="381"/>
      <c r="W930" s="381"/>
      <c r="X930" s="381"/>
      <c r="Y930" s="381"/>
    </row>
    <row r="931">
      <c r="A931" s="359"/>
      <c r="B931" s="381"/>
      <c r="C931" s="18"/>
      <c r="D931" s="359"/>
      <c r="E931" s="607"/>
      <c r="F931" s="359"/>
      <c r="G931" s="381"/>
      <c r="H931" s="381"/>
      <c r="I931" s="381"/>
      <c r="J931" s="381"/>
      <c r="K931" s="381"/>
      <c r="L931" s="381"/>
      <c r="M931" s="381"/>
      <c r="N931" s="381"/>
      <c r="O931" s="381"/>
      <c r="P931" s="381"/>
      <c r="Q931" s="381"/>
      <c r="R931" s="381"/>
      <c r="S931" s="381"/>
      <c r="T931" s="381"/>
      <c r="U931" s="381"/>
      <c r="V931" s="381"/>
      <c r="W931" s="381"/>
      <c r="X931" s="381"/>
      <c r="Y931" s="381"/>
    </row>
    <row r="932">
      <c r="A932" s="359"/>
      <c r="B932" s="381"/>
      <c r="C932" s="18"/>
      <c r="D932" s="359"/>
      <c r="E932" s="607"/>
      <c r="F932" s="359"/>
      <c r="G932" s="381"/>
      <c r="H932" s="381"/>
      <c r="I932" s="381"/>
      <c r="J932" s="381"/>
      <c r="K932" s="381"/>
      <c r="L932" s="381"/>
      <c r="M932" s="381"/>
      <c r="N932" s="381"/>
      <c r="O932" s="381"/>
      <c r="P932" s="381"/>
      <c r="Q932" s="381"/>
      <c r="R932" s="381"/>
      <c r="S932" s="381"/>
      <c r="T932" s="381"/>
      <c r="U932" s="381"/>
      <c r="V932" s="381"/>
      <c r="W932" s="381"/>
      <c r="X932" s="381"/>
      <c r="Y932" s="381"/>
    </row>
    <row r="933">
      <c r="A933" s="359"/>
      <c r="B933" s="381"/>
      <c r="C933" s="18"/>
      <c r="D933" s="359"/>
      <c r="E933" s="607"/>
      <c r="F933" s="359"/>
      <c r="G933" s="381"/>
      <c r="H933" s="381"/>
      <c r="I933" s="381"/>
      <c r="J933" s="381"/>
      <c r="K933" s="381"/>
      <c r="L933" s="381"/>
      <c r="M933" s="381"/>
      <c r="N933" s="381"/>
      <c r="O933" s="381"/>
      <c r="P933" s="381"/>
      <c r="Q933" s="381"/>
      <c r="R933" s="381"/>
      <c r="S933" s="381"/>
      <c r="T933" s="381"/>
      <c r="U933" s="381"/>
      <c r="V933" s="381"/>
      <c r="W933" s="381"/>
      <c r="X933" s="381"/>
      <c r="Y933" s="381"/>
    </row>
    <row r="934">
      <c r="A934" s="359"/>
      <c r="B934" s="381"/>
      <c r="C934" s="18"/>
      <c r="D934" s="359"/>
      <c r="E934" s="607"/>
      <c r="F934" s="359"/>
      <c r="G934" s="381"/>
      <c r="H934" s="381"/>
      <c r="I934" s="381"/>
      <c r="J934" s="381"/>
      <c r="K934" s="381"/>
      <c r="L934" s="381"/>
      <c r="M934" s="381"/>
      <c r="N934" s="381"/>
      <c r="O934" s="381"/>
      <c r="P934" s="381"/>
      <c r="Q934" s="381"/>
      <c r="R934" s="381"/>
      <c r="S934" s="381"/>
      <c r="T934" s="381"/>
      <c r="U934" s="381"/>
      <c r="V934" s="381"/>
      <c r="W934" s="381"/>
      <c r="X934" s="381"/>
      <c r="Y934" s="381"/>
    </row>
    <row r="935">
      <c r="A935" s="359"/>
      <c r="B935" s="381"/>
      <c r="C935" s="18"/>
      <c r="D935" s="359"/>
      <c r="E935" s="607"/>
      <c r="F935" s="359"/>
      <c r="G935" s="381"/>
      <c r="H935" s="381"/>
      <c r="I935" s="381"/>
      <c r="J935" s="381"/>
      <c r="K935" s="381"/>
      <c r="L935" s="381"/>
      <c r="M935" s="381"/>
      <c r="N935" s="381"/>
      <c r="O935" s="381"/>
      <c r="P935" s="381"/>
      <c r="Q935" s="381"/>
      <c r="R935" s="381"/>
      <c r="S935" s="381"/>
      <c r="T935" s="381"/>
      <c r="U935" s="381"/>
      <c r="V935" s="381"/>
      <c r="W935" s="381"/>
      <c r="X935" s="381"/>
      <c r="Y935" s="381"/>
    </row>
    <row r="936">
      <c r="A936" s="359"/>
      <c r="B936" s="381"/>
      <c r="C936" s="18"/>
      <c r="D936" s="359"/>
      <c r="E936" s="607"/>
      <c r="F936" s="359"/>
      <c r="G936" s="381"/>
      <c r="H936" s="381"/>
      <c r="I936" s="381"/>
      <c r="J936" s="381"/>
      <c r="K936" s="381"/>
      <c r="L936" s="381"/>
      <c r="M936" s="381"/>
      <c r="N936" s="381"/>
      <c r="O936" s="381"/>
      <c r="P936" s="381"/>
      <c r="Q936" s="381"/>
      <c r="R936" s="381"/>
      <c r="S936" s="381"/>
      <c r="T936" s="381"/>
      <c r="U936" s="381"/>
      <c r="V936" s="381"/>
      <c r="W936" s="381"/>
      <c r="X936" s="381"/>
      <c r="Y936" s="381"/>
    </row>
    <row r="937">
      <c r="A937" s="359"/>
      <c r="B937" s="381"/>
      <c r="C937" s="18"/>
      <c r="D937" s="359"/>
      <c r="E937" s="607"/>
      <c r="F937" s="359"/>
      <c r="G937" s="381"/>
      <c r="H937" s="381"/>
      <c r="I937" s="381"/>
      <c r="J937" s="381"/>
      <c r="K937" s="381"/>
      <c r="L937" s="381"/>
      <c r="M937" s="381"/>
      <c r="N937" s="381"/>
      <c r="O937" s="381"/>
      <c r="P937" s="381"/>
      <c r="Q937" s="381"/>
      <c r="R937" s="381"/>
      <c r="S937" s="381"/>
      <c r="T937" s="381"/>
      <c r="U937" s="381"/>
      <c r="V937" s="381"/>
      <c r="W937" s="381"/>
      <c r="X937" s="381"/>
      <c r="Y937" s="381"/>
    </row>
    <row r="938">
      <c r="A938" s="359"/>
      <c r="B938" s="381"/>
      <c r="C938" s="18"/>
      <c r="D938" s="359"/>
      <c r="E938" s="607"/>
      <c r="F938" s="359"/>
      <c r="G938" s="381"/>
      <c r="H938" s="381"/>
      <c r="I938" s="381"/>
      <c r="J938" s="381"/>
      <c r="K938" s="381"/>
      <c r="L938" s="381"/>
      <c r="M938" s="381"/>
      <c r="N938" s="381"/>
      <c r="O938" s="381"/>
      <c r="P938" s="381"/>
      <c r="Q938" s="381"/>
      <c r="R938" s="381"/>
      <c r="S938" s="381"/>
      <c r="T938" s="381"/>
      <c r="U938" s="381"/>
      <c r="V938" s="381"/>
      <c r="W938" s="381"/>
      <c r="X938" s="381"/>
      <c r="Y938" s="381"/>
    </row>
    <row r="939">
      <c r="A939" s="359"/>
      <c r="B939" s="381"/>
      <c r="C939" s="18"/>
      <c r="D939" s="359"/>
      <c r="E939" s="607"/>
      <c r="F939" s="359"/>
      <c r="G939" s="381"/>
      <c r="H939" s="381"/>
      <c r="I939" s="381"/>
      <c r="J939" s="381"/>
      <c r="K939" s="381"/>
      <c r="L939" s="381"/>
      <c r="M939" s="381"/>
      <c r="N939" s="381"/>
      <c r="O939" s="381"/>
      <c r="P939" s="381"/>
      <c r="Q939" s="381"/>
      <c r="R939" s="381"/>
      <c r="S939" s="381"/>
      <c r="T939" s="381"/>
      <c r="U939" s="381"/>
      <c r="V939" s="381"/>
      <c r="W939" s="381"/>
      <c r="X939" s="381"/>
      <c r="Y939" s="381"/>
    </row>
    <row r="940">
      <c r="A940" s="359"/>
      <c r="B940" s="381"/>
      <c r="C940" s="18"/>
      <c r="D940" s="359"/>
      <c r="E940" s="607"/>
      <c r="F940" s="359"/>
      <c r="G940" s="381"/>
      <c r="H940" s="381"/>
      <c r="I940" s="381"/>
      <c r="J940" s="381"/>
      <c r="K940" s="381"/>
      <c r="L940" s="381"/>
      <c r="M940" s="381"/>
      <c r="N940" s="381"/>
      <c r="O940" s="381"/>
      <c r="P940" s="381"/>
      <c r="Q940" s="381"/>
      <c r="R940" s="381"/>
      <c r="S940" s="381"/>
      <c r="T940" s="381"/>
      <c r="U940" s="381"/>
      <c r="V940" s="381"/>
      <c r="W940" s="381"/>
      <c r="X940" s="381"/>
      <c r="Y940" s="381"/>
    </row>
    <row r="941">
      <c r="A941" s="359"/>
      <c r="B941" s="381"/>
      <c r="C941" s="18"/>
      <c r="D941" s="359"/>
      <c r="E941" s="607"/>
      <c r="F941" s="359"/>
      <c r="G941" s="381"/>
      <c r="H941" s="381"/>
      <c r="I941" s="381"/>
      <c r="J941" s="381"/>
      <c r="K941" s="381"/>
      <c r="L941" s="381"/>
      <c r="M941" s="381"/>
      <c r="N941" s="381"/>
      <c r="O941" s="381"/>
      <c r="P941" s="381"/>
      <c r="Q941" s="381"/>
      <c r="R941" s="381"/>
      <c r="S941" s="381"/>
      <c r="T941" s="381"/>
      <c r="U941" s="381"/>
      <c r="V941" s="381"/>
      <c r="W941" s="381"/>
      <c r="X941" s="381"/>
      <c r="Y941" s="381"/>
    </row>
    <row r="942">
      <c r="A942" s="359"/>
      <c r="B942" s="381"/>
      <c r="C942" s="18"/>
      <c r="D942" s="359"/>
      <c r="E942" s="607"/>
      <c r="F942" s="359"/>
      <c r="G942" s="381"/>
      <c r="H942" s="381"/>
      <c r="I942" s="381"/>
      <c r="J942" s="381"/>
      <c r="K942" s="381"/>
      <c r="L942" s="381"/>
      <c r="M942" s="381"/>
      <c r="N942" s="381"/>
      <c r="O942" s="381"/>
      <c r="P942" s="381"/>
      <c r="Q942" s="381"/>
      <c r="R942" s="381"/>
      <c r="S942" s="381"/>
      <c r="T942" s="381"/>
      <c r="U942" s="381"/>
      <c r="V942" s="381"/>
      <c r="W942" s="381"/>
      <c r="X942" s="381"/>
      <c r="Y942" s="381"/>
    </row>
    <row r="943">
      <c r="A943" s="359"/>
      <c r="B943" s="381"/>
      <c r="C943" s="18"/>
      <c r="D943" s="359"/>
      <c r="E943" s="607"/>
      <c r="F943" s="359"/>
      <c r="G943" s="381"/>
      <c r="H943" s="381"/>
      <c r="I943" s="381"/>
      <c r="J943" s="381"/>
      <c r="K943" s="381"/>
      <c r="L943" s="381"/>
      <c r="M943" s="381"/>
      <c r="N943" s="381"/>
      <c r="O943" s="381"/>
      <c r="P943" s="381"/>
      <c r="Q943" s="381"/>
      <c r="R943" s="381"/>
      <c r="S943" s="381"/>
      <c r="T943" s="381"/>
      <c r="U943" s="381"/>
      <c r="V943" s="381"/>
      <c r="W943" s="381"/>
      <c r="X943" s="381"/>
      <c r="Y943" s="381"/>
    </row>
    <row r="944">
      <c r="A944" s="359"/>
      <c r="B944" s="381"/>
      <c r="C944" s="18"/>
      <c r="D944" s="359"/>
      <c r="E944" s="607"/>
      <c r="F944" s="359"/>
      <c r="G944" s="381"/>
      <c r="H944" s="381"/>
      <c r="I944" s="381"/>
      <c r="J944" s="381"/>
      <c r="K944" s="381"/>
      <c r="L944" s="381"/>
      <c r="M944" s="381"/>
      <c r="N944" s="381"/>
      <c r="O944" s="381"/>
      <c r="P944" s="381"/>
      <c r="Q944" s="381"/>
      <c r="R944" s="381"/>
      <c r="S944" s="381"/>
      <c r="T944" s="381"/>
      <c r="U944" s="381"/>
      <c r="V944" s="381"/>
      <c r="W944" s="381"/>
      <c r="X944" s="381"/>
      <c r="Y944" s="381"/>
    </row>
    <row r="945">
      <c r="A945" s="359"/>
      <c r="B945" s="381"/>
      <c r="C945" s="18"/>
      <c r="D945" s="359"/>
      <c r="E945" s="607"/>
      <c r="F945" s="359"/>
      <c r="G945" s="381"/>
      <c r="H945" s="381"/>
      <c r="I945" s="381"/>
      <c r="J945" s="381"/>
      <c r="K945" s="381"/>
      <c r="L945" s="381"/>
      <c r="M945" s="381"/>
      <c r="N945" s="381"/>
      <c r="O945" s="381"/>
      <c r="P945" s="381"/>
      <c r="Q945" s="381"/>
      <c r="R945" s="381"/>
      <c r="S945" s="381"/>
      <c r="T945" s="381"/>
      <c r="U945" s="381"/>
      <c r="V945" s="381"/>
      <c r="W945" s="381"/>
      <c r="X945" s="381"/>
      <c r="Y945" s="381"/>
    </row>
    <row r="946">
      <c r="A946" s="359"/>
      <c r="B946" s="381"/>
      <c r="C946" s="18"/>
      <c r="D946" s="359"/>
      <c r="E946" s="607"/>
      <c r="F946" s="359"/>
      <c r="G946" s="381"/>
      <c r="H946" s="381"/>
      <c r="I946" s="381"/>
      <c r="J946" s="381"/>
      <c r="K946" s="381"/>
      <c r="L946" s="381"/>
      <c r="M946" s="381"/>
      <c r="N946" s="381"/>
      <c r="O946" s="381"/>
      <c r="P946" s="381"/>
      <c r="Q946" s="381"/>
      <c r="R946" s="381"/>
      <c r="S946" s="381"/>
      <c r="T946" s="381"/>
      <c r="U946" s="381"/>
      <c r="V946" s="381"/>
      <c r="W946" s="381"/>
      <c r="X946" s="381"/>
      <c r="Y946" s="381"/>
    </row>
    <row r="947">
      <c r="A947" s="359"/>
      <c r="B947" s="381"/>
      <c r="C947" s="18"/>
      <c r="D947" s="359"/>
      <c r="E947" s="607"/>
      <c r="F947" s="359"/>
      <c r="G947" s="381"/>
      <c r="H947" s="381"/>
      <c r="I947" s="381"/>
      <c r="J947" s="381"/>
      <c r="K947" s="381"/>
      <c r="L947" s="381"/>
      <c r="M947" s="381"/>
      <c r="N947" s="381"/>
      <c r="O947" s="381"/>
      <c r="P947" s="381"/>
      <c r="Q947" s="381"/>
      <c r="R947" s="381"/>
      <c r="S947" s="381"/>
      <c r="T947" s="381"/>
      <c r="U947" s="381"/>
      <c r="V947" s="381"/>
      <c r="W947" s="381"/>
      <c r="X947" s="381"/>
      <c r="Y947" s="381"/>
    </row>
    <row r="948">
      <c r="A948" s="359"/>
      <c r="B948" s="381"/>
      <c r="C948" s="18"/>
      <c r="D948" s="359"/>
      <c r="E948" s="607"/>
      <c r="F948" s="359"/>
      <c r="G948" s="381"/>
      <c r="H948" s="381"/>
      <c r="I948" s="381"/>
      <c r="J948" s="381"/>
      <c r="K948" s="381"/>
      <c r="L948" s="381"/>
      <c r="M948" s="381"/>
      <c r="N948" s="381"/>
      <c r="O948" s="381"/>
      <c r="P948" s="381"/>
      <c r="Q948" s="381"/>
      <c r="R948" s="381"/>
      <c r="S948" s="381"/>
      <c r="T948" s="381"/>
      <c r="U948" s="381"/>
      <c r="V948" s="381"/>
      <c r="W948" s="381"/>
      <c r="X948" s="381"/>
      <c r="Y948" s="381"/>
    </row>
    <row r="949">
      <c r="A949" s="359"/>
      <c r="B949" s="381"/>
      <c r="C949" s="18"/>
      <c r="D949" s="359"/>
      <c r="E949" s="607"/>
      <c r="F949" s="359"/>
      <c r="G949" s="381"/>
      <c r="H949" s="381"/>
      <c r="I949" s="381"/>
      <c r="J949" s="381"/>
      <c r="K949" s="381"/>
      <c r="L949" s="381"/>
      <c r="M949" s="381"/>
      <c r="N949" s="381"/>
      <c r="O949" s="381"/>
      <c r="P949" s="381"/>
      <c r="Q949" s="381"/>
      <c r="R949" s="381"/>
      <c r="S949" s="381"/>
      <c r="T949" s="381"/>
      <c r="U949" s="381"/>
      <c r="V949" s="381"/>
      <c r="W949" s="381"/>
      <c r="X949" s="381"/>
      <c r="Y949" s="381"/>
    </row>
    <row r="950">
      <c r="A950" s="359"/>
      <c r="B950" s="381"/>
      <c r="C950" s="18"/>
      <c r="D950" s="359"/>
      <c r="E950" s="607"/>
      <c r="F950" s="359"/>
      <c r="G950" s="381"/>
      <c r="H950" s="381"/>
      <c r="I950" s="381"/>
      <c r="J950" s="381"/>
      <c r="K950" s="381"/>
      <c r="L950" s="381"/>
      <c r="M950" s="381"/>
      <c r="N950" s="381"/>
      <c r="O950" s="381"/>
      <c r="P950" s="381"/>
      <c r="Q950" s="381"/>
      <c r="R950" s="381"/>
      <c r="S950" s="381"/>
      <c r="T950" s="381"/>
      <c r="U950" s="381"/>
      <c r="V950" s="381"/>
      <c r="W950" s="381"/>
      <c r="X950" s="381"/>
      <c r="Y950" s="381"/>
    </row>
    <row r="951">
      <c r="A951" s="359"/>
      <c r="B951" s="381"/>
      <c r="C951" s="18"/>
      <c r="D951" s="359"/>
      <c r="E951" s="607"/>
      <c r="F951" s="359"/>
      <c r="G951" s="381"/>
      <c r="H951" s="381"/>
      <c r="I951" s="381"/>
      <c r="J951" s="381"/>
      <c r="K951" s="381"/>
      <c r="L951" s="381"/>
      <c r="M951" s="381"/>
      <c r="N951" s="381"/>
      <c r="O951" s="381"/>
      <c r="P951" s="381"/>
      <c r="Q951" s="381"/>
      <c r="R951" s="381"/>
      <c r="S951" s="381"/>
      <c r="T951" s="381"/>
      <c r="U951" s="381"/>
      <c r="V951" s="381"/>
      <c r="W951" s="381"/>
      <c r="X951" s="381"/>
      <c r="Y951" s="381"/>
    </row>
    <row r="952">
      <c r="A952" s="359"/>
      <c r="B952" s="381"/>
      <c r="C952" s="18"/>
      <c r="D952" s="359"/>
      <c r="E952" s="607"/>
      <c r="F952" s="359"/>
      <c r="G952" s="381"/>
      <c r="H952" s="381"/>
      <c r="I952" s="381"/>
      <c r="J952" s="381"/>
      <c r="K952" s="381"/>
      <c r="L952" s="381"/>
      <c r="M952" s="381"/>
      <c r="N952" s="381"/>
      <c r="O952" s="381"/>
      <c r="P952" s="381"/>
      <c r="Q952" s="381"/>
      <c r="R952" s="381"/>
      <c r="S952" s="381"/>
      <c r="T952" s="381"/>
      <c r="U952" s="381"/>
      <c r="V952" s="381"/>
      <c r="W952" s="381"/>
      <c r="X952" s="381"/>
      <c r="Y952" s="381"/>
    </row>
    <row r="953">
      <c r="A953" s="359"/>
      <c r="B953" s="381"/>
      <c r="C953" s="18"/>
      <c r="D953" s="359"/>
      <c r="E953" s="607"/>
      <c r="F953" s="359"/>
      <c r="G953" s="381"/>
      <c r="H953" s="381"/>
      <c r="I953" s="381"/>
      <c r="J953" s="381"/>
      <c r="K953" s="381"/>
      <c r="L953" s="381"/>
      <c r="M953" s="381"/>
      <c r="N953" s="381"/>
      <c r="O953" s="381"/>
      <c r="P953" s="381"/>
      <c r="Q953" s="381"/>
      <c r="R953" s="381"/>
      <c r="S953" s="381"/>
      <c r="T953" s="381"/>
      <c r="U953" s="381"/>
      <c r="V953" s="381"/>
      <c r="W953" s="381"/>
      <c r="X953" s="381"/>
      <c r="Y953" s="381"/>
    </row>
    <row r="954">
      <c r="A954" s="359"/>
      <c r="B954" s="381"/>
      <c r="C954" s="18"/>
      <c r="D954" s="359"/>
      <c r="E954" s="607"/>
      <c r="F954" s="359"/>
      <c r="G954" s="381"/>
      <c r="H954" s="381"/>
      <c r="I954" s="381"/>
      <c r="J954" s="381"/>
      <c r="K954" s="381"/>
      <c r="L954" s="381"/>
      <c r="M954" s="381"/>
      <c r="N954" s="381"/>
      <c r="O954" s="381"/>
      <c r="P954" s="381"/>
      <c r="Q954" s="381"/>
      <c r="R954" s="381"/>
      <c r="S954" s="381"/>
      <c r="T954" s="381"/>
      <c r="U954" s="381"/>
      <c r="V954" s="381"/>
      <c r="W954" s="381"/>
      <c r="X954" s="381"/>
      <c r="Y954" s="381"/>
    </row>
    <row r="955">
      <c r="A955" s="359"/>
      <c r="B955" s="381"/>
      <c r="C955" s="18"/>
      <c r="D955" s="359"/>
      <c r="E955" s="607"/>
      <c r="F955" s="359"/>
      <c r="G955" s="381"/>
      <c r="H955" s="381"/>
      <c r="I955" s="381"/>
      <c r="J955" s="381"/>
      <c r="K955" s="381"/>
      <c r="L955" s="381"/>
      <c r="M955" s="381"/>
      <c r="N955" s="381"/>
      <c r="O955" s="381"/>
      <c r="P955" s="381"/>
      <c r="Q955" s="381"/>
      <c r="R955" s="381"/>
      <c r="S955" s="381"/>
      <c r="T955" s="381"/>
      <c r="U955" s="381"/>
      <c r="V955" s="381"/>
      <c r="W955" s="381"/>
      <c r="X955" s="381"/>
      <c r="Y955" s="381"/>
    </row>
    <row r="956">
      <c r="A956" s="359"/>
      <c r="B956" s="381"/>
      <c r="C956" s="18"/>
      <c r="D956" s="359"/>
      <c r="E956" s="607"/>
      <c r="F956" s="359"/>
      <c r="G956" s="381"/>
      <c r="H956" s="381"/>
      <c r="I956" s="381"/>
      <c r="J956" s="381"/>
      <c r="K956" s="381"/>
      <c r="L956" s="381"/>
      <c r="M956" s="381"/>
      <c r="N956" s="381"/>
      <c r="O956" s="381"/>
      <c r="P956" s="381"/>
      <c r="Q956" s="381"/>
      <c r="R956" s="381"/>
      <c r="S956" s="381"/>
      <c r="T956" s="381"/>
      <c r="U956" s="381"/>
      <c r="V956" s="381"/>
      <c r="W956" s="381"/>
      <c r="X956" s="381"/>
      <c r="Y956" s="381"/>
    </row>
    <row r="957">
      <c r="A957" s="359"/>
      <c r="B957" s="381"/>
      <c r="C957" s="18"/>
      <c r="D957" s="359"/>
      <c r="E957" s="607"/>
      <c r="F957" s="359"/>
      <c r="G957" s="381"/>
      <c r="H957" s="381"/>
      <c r="I957" s="381"/>
      <c r="J957" s="381"/>
      <c r="K957" s="381"/>
      <c r="L957" s="381"/>
      <c r="M957" s="381"/>
      <c r="N957" s="381"/>
      <c r="O957" s="381"/>
      <c r="P957" s="381"/>
      <c r="Q957" s="381"/>
      <c r="R957" s="381"/>
      <c r="S957" s="381"/>
      <c r="T957" s="381"/>
      <c r="U957" s="381"/>
      <c r="V957" s="381"/>
      <c r="W957" s="381"/>
      <c r="X957" s="381"/>
      <c r="Y957" s="381"/>
    </row>
    <row r="958">
      <c r="A958" s="359"/>
      <c r="B958" s="381"/>
      <c r="C958" s="18"/>
      <c r="D958" s="359"/>
      <c r="E958" s="607"/>
      <c r="F958" s="359"/>
      <c r="G958" s="381"/>
      <c r="H958" s="381"/>
      <c r="I958" s="381"/>
      <c r="J958" s="381"/>
      <c r="K958" s="381"/>
      <c r="L958" s="381"/>
      <c r="M958" s="381"/>
      <c r="N958" s="381"/>
      <c r="O958" s="381"/>
      <c r="P958" s="381"/>
      <c r="Q958" s="381"/>
      <c r="R958" s="381"/>
      <c r="S958" s="381"/>
      <c r="T958" s="381"/>
      <c r="U958" s="381"/>
      <c r="V958" s="381"/>
      <c r="W958" s="381"/>
      <c r="X958" s="381"/>
      <c r="Y958" s="381"/>
    </row>
    <row r="959">
      <c r="A959" s="359"/>
      <c r="B959" s="381"/>
      <c r="C959" s="18"/>
      <c r="D959" s="359"/>
      <c r="E959" s="607"/>
      <c r="F959" s="359"/>
      <c r="G959" s="381"/>
      <c r="H959" s="381"/>
      <c r="I959" s="381"/>
      <c r="J959" s="381"/>
      <c r="K959" s="381"/>
      <c r="L959" s="381"/>
      <c r="M959" s="381"/>
      <c r="N959" s="381"/>
      <c r="O959" s="381"/>
      <c r="P959" s="381"/>
      <c r="Q959" s="381"/>
      <c r="R959" s="381"/>
      <c r="S959" s="381"/>
      <c r="T959" s="381"/>
      <c r="U959" s="381"/>
      <c r="V959" s="381"/>
      <c r="W959" s="381"/>
      <c r="X959" s="381"/>
      <c r="Y959" s="381"/>
    </row>
    <row r="960">
      <c r="A960" s="359"/>
      <c r="B960" s="381"/>
      <c r="C960" s="18"/>
      <c r="D960" s="359"/>
      <c r="E960" s="607"/>
      <c r="F960" s="359"/>
      <c r="G960" s="381"/>
      <c r="H960" s="381"/>
      <c r="I960" s="381"/>
      <c r="J960" s="381"/>
      <c r="K960" s="381"/>
      <c r="L960" s="381"/>
      <c r="M960" s="381"/>
      <c r="N960" s="381"/>
      <c r="O960" s="381"/>
      <c r="P960" s="381"/>
      <c r="Q960" s="381"/>
      <c r="R960" s="381"/>
      <c r="S960" s="381"/>
      <c r="T960" s="381"/>
      <c r="U960" s="381"/>
      <c r="V960" s="381"/>
      <c r="W960" s="381"/>
      <c r="X960" s="381"/>
      <c r="Y960" s="381"/>
    </row>
    <row r="961">
      <c r="A961" s="359"/>
      <c r="B961" s="381"/>
      <c r="C961" s="18"/>
      <c r="D961" s="359"/>
      <c r="E961" s="607"/>
      <c r="F961" s="359"/>
      <c r="G961" s="381"/>
      <c r="H961" s="381"/>
      <c r="I961" s="381"/>
      <c r="J961" s="381"/>
      <c r="K961" s="381"/>
      <c r="L961" s="381"/>
      <c r="M961" s="381"/>
      <c r="N961" s="381"/>
      <c r="O961" s="381"/>
      <c r="P961" s="381"/>
      <c r="Q961" s="381"/>
      <c r="R961" s="381"/>
      <c r="S961" s="381"/>
      <c r="T961" s="381"/>
      <c r="U961" s="381"/>
      <c r="V961" s="381"/>
      <c r="W961" s="381"/>
      <c r="X961" s="381"/>
      <c r="Y961" s="381"/>
    </row>
    <row r="962">
      <c r="A962" s="359"/>
      <c r="B962" s="381"/>
      <c r="C962" s="18"/>
      <c r="D962" s="359"/>
      <c r="E962" s="607"/>
      <c r="F962" s="359"/>
      <c r="G962" s="381"/>
      <c r="H962" s="381"/>
      <c r="I962" s="381"/>
      <c r="J962" s="381"/>
      <c r="K962" s="381"/>
      <c r="L962" s="381"/>
      <c r="M962" s="381"/>
      <c r="N962" s="381"/>
      <c r="O962" s="381"/>
      <c r="P962" s="381"/>
      <c r="Q962" s="381"/>
      <c r="R962" s="381"/>
      <c r="S962" s="381"/>
      <c r="T962" s="381"/>
      <c r="U962" s="381"/>
      <c r="V962" s="381"/>
      <c r="W962" s="381"/>
      <c r="X962" s="381"/>
      <c r="Y962" s="381"/>
    </row>
    <row r="963">
      <c r="A963" s="359"/>
      <c r="B963" s="381"/>
      <c r="C963" s="18"/>
      <c r="D963" s="359"/>
      <c r="E963" s="607"/>
      <c r="F963" s="359"/>
      <c r="G963" s="381"/>
      <c r="H963" s="381"/>
      <c r="I963" s="381"/>
      <c r="J963" s="381"/>
      <c r="K963" s="381"/>
      <c r="L963" s="381"/>
      <c r="M963" s="381"/>
      <c r="N963" s="381"/>
      <c r="O963" s="381"/>
      <c r="P963" s="381"/>
      <c r="Q963" s="381"/>
      <c r="R963" s="381"/>
      <c r="S963" s="381"/>
      <c r="T963" s="381"/>
      <c r="U963" s="381"/>
      <c r="V963" s="381"/>
      <c r="W963" s="381"/>
      <c r="X963" s="381"/>
      <c r="Y963" s="381"/>
    </row>
    <row r="964">
      <c r="A964" s="359"/>
      <c r="B964" s="381"/>
      <c r="C964" s="18"/>
      <c r="D964" s="359"/>
      <c r="E964" s="607"/>
      <c r="F964" s="359"/>
      <c r="G964" s="381"/>
      <c r="H964" s="381"/>
      <c r="I964" s="381"/>
      <c r="J964" s="381"/>
      <c r="K964" s="381"/>
      <c r="L964" s="381"/>
      <c r="M964" s="381"/>
      <c r="N964" s="381"/>
      <c r="O964" s="381"/>
      <c r="P964" s="381"/>
      <c r="Q964" s="381"/>
      <c r="R964" s="381"/>
      <c r="S964" s="381"/>
      <c r="T964" s="381"/>
      <c r="U964" s="381"/>
      <c r="V964" s="381"/>
      <c r="W964" s="381"/>
      <c r="X964" s="381"/>
      <c r="Y964" s="381"/>
    </row>
    <row r="965">
      <c r="A965" s="359"/>
      <c r="B965" s="381"/>
      <c r="C965" s="18"/>
      <c r="D965" s="359"/>
      <c r="E965" s="607"/>
      <c r="F965" s="359"/>
      <c r="G965" s="381"/>
      <c r="H965" s="381"/>
      <c r="I965" s="381"/>
      <c r="J965" s="381"/>
      <c r="K965" s="381"/>
      <c r="L965" s="381"/>
      <c r="M965" s="381"/>
      <c r="N965" s="381"/>
      <c r="O965" s="381"/>
      <c r="P965" s="381"/>
      <c r="Q965" s="381"/>
      <c r="R965" s="381"/>
      <c r="S965" s="381"/>
      <c r="T965" s="381"/>
      <c r="U965" s="381"/>
      <c r="V965" s="381"/>
      <c r="W965" s="381"/>
      <c r="X965" s="381"/>
      <c r="Y965" s="381"/>
    </row>
    <row r="966">
      <c r="A966" s="359"/>
      <c r="B966" s="381"/>
      <c r="C966" s="18"/>
      <c r="D966" s="359"/>
      <c r="E966" s="607"/>
      <c r="F966" s="359"/>
      <c r="G966" s="381"/>
      <c r="H966" s="381"/>
      <c r="I966" s="381"/>
      <c r="J966" s="381"/>
      <c r="K966" s="381"/>
      <c r="L966" s="381"/>
      <c r="M966" s="381"/>
      <c r="N966" s="381"/>
      <c r="O966" s="381"/>
      <c r="P966" s="381"/>
      <c r="Q966" s="381"/>
      <c r="R966" s="381"/>
      <c r="S966" s="381"/>
      <c r="T966" s="381"/>
      <c r="U966" s="381"/>
      <c r="V966" s="381"/>
      <c r="W966" s="381"/>
      <c r="X966" s="381"/>
      <c r="Y966" s="381"/>
    </row>
    <row r="967">
      <c r="A967" s="359"/>
      <c r="B967" s="381"/>
      <c r="C967" s="18"/>
      <c r="D967" s="359"/>
      <c r="E967" s="607"/>
      <c r="F967" s="359"/>
      <c r="G967" s="381"/>
      <c r="H967" s="381"/>
      <c r="I967" s="381"/>
      <c r="J967" s="381"/>
      <c r="K967" s="381"/>
      <c r="L967" s="381"/>
      <c r="M967" s="381"/>
      <c r="N967" s="381"/>
      <c r="O967" s="381"/>
      <c r="P967" s="381"/>
      <c r="Q967" s="381"/>
      <c r="R967" s="381"/>
      <c r="S967" s="381"/>
      <c r="T967" s="381"/>
      <c r="U967" s="381"/>
      <c r="V967" s="381"/>
      <c r="W967" s="381"/>
      <c r="X967" s="381"/>
      <c r="Y967" s="381"/>
    </row>
    <row r="968">
      <c r="A968" s="359"/>
      <c r="B968" s="381"/>
      <c r="C968" s="18"/>
      <c r="D968" s="359"/>
      <c r="E968" s="607"/>
      <c r="F968" s="359"/>
      <c r="G968" s="381"/>
      <c r="H968" s="381"/>
      <c r="I968" s="381"/>
      <c r="J968" s="381"/>
      <c r="K968" s="381"/>
      <c r="L968" s="381"/>
      <c r="M968" s="381"/>
      <c r="N968" s="381"/>
      <c r="O968" s="381"/>
      <c r="P968" s="381"/>
      <c r="Q968" s="381"/>
      <c r="R968" s="381"/>
      <c r="S968" s="381"/>
      <c r="T968" s="381"/>
      <c r="U968" s="381"/>
      <c r="V968" s="381"/>
      <c r="W968" s="381"/>
      <c r="X968" s="381"/>
      <c r="Y968" s="381"/>
    </row>
    <row r="969">
      <c r="A969" s="359"/>
      <c r="B969" s="381"/>
      <c r="C969" s="18"/>
      <c r="D969" s="359"/>
      <c r="E969" s="607"/>
      <c r="F969" s="359"/>
      <c r="G969" s="381"/>
      <c r="H969" s="381"/>
      <c r="I969" s="381"/>
      <c r="J969" s="381"/>
      <c r="K969" s="381"/>
      <c r="L969" s="381"/>
      <c r="M969" s="381"/>
      <c r="N969" s="381"/>
      <c r="O969" s="381"/>
      <c r="P969" s="381"/>
      <c r="Q969" s="381"/>
      <c r="R969" s="381"/>
      <c r="S969" s="381"/>
      <c r="T969" s="381"/>
      <c r="U969" s="381"/>
      <c r="V969" s="381"/>
      <c r="W969" s="381"/>
      <c r="X969" s="381"/>
      <c r="Y969" s="381"/>
    </row>
    <row r="970">
      <c r="A970" s="359"/>
      <c r="B970" s="381"/>
      <c r="C970" s="18"/>
      <c r="D970" s="359"/>
      <c r="E970" s="607"/>
      <c r="F970" s="359"/>
      <c r="G970" s="381"/>
      <c r="H970" s="381"/>
      <c r="I970" s="381"/>
      <c r="J970" s="381"/>
      <c r="K970" s="381"/>
      <c r="L970" s="381"/>
      <c r="M970" s="381"/>
      <c r="N970" s="381"/>
      <c r="O970" s="381"/>
      <c r="P970" s="381"/>
      <c r="Q970" s="381"/>
      <c r="R970" s="381"/>
      <c r="S970" s="381"/>
      <c r="T970" s="381"/>
      <c r="U970" s="381"/>
      <c r="V970" s="381"/>
      <c r="W970" s="381"/>
      <c r="X970" s="381"/>
      <c r="Y970" s="381"/>
    </row>
    <row r="971">
      <c r="A971" s="359"/>
      <c r="B971" s="381"/>
      <c r="C971" s="18"/>
      <c r="D971" s="359"/>
      <c r="E971" s="607"/>
      <c r="F971" s="359"/>
      <c r="G971" s="381"/>
      <c r="H971" s="381"/>
      <c r="I971" s="381"/>
      <c r="J971" s="381"/>
      <c r="K971" s="381"/>
      <c r="L971" s="381"/>
      <c r="M971" s="381"/>
      <c r="N971" s="381"/>
      <c r="O971" s="381"/>
      <c r="P971" s="381"/>
      <c r="Q971" s="381"/>
      <c r="R971" s="381"/>
      <c r="S971" s="381"/>
      <c r="T971" s="381"/>
      <c r="U971" s="381"/>
      <c r="V971" s="381"/>
      <c r="W971" s="381"/>
      <c r="X971" s="381"/>
      <c r="Y971" s="381"/>
    </row>
    <row r="972">
      <c r="A972" s="359"/>
      <c r="B972" s="381"/>
      <c r="C972" s="18"/>
      <c r="D972" s="359"/>
      <c r="E972" s="607"/>
      <c r="F972" s="359"/>
      <c r="G972" s="381"/>
      <c r="H972" s="381"/>
      <c r="I972" s="381"/>
      <c r="J972" s="381"/>
      <c r="K972" s="381"/>
      <c r="L972" s="381"/>
      <c r="M972" s="381"/>
      <c r="N972" s="381"/>
      <c r="O972" s="381"/>
      <c r="P972" s="381"/>
      <c r="Q972" s="381"/>
      <c r="R972" s="381"/>
      <c r="S972" s="381"/>
      <c r="T972" s="381"/>
      <c r="U972" s="381"/>
      <c r="V972" s="381"/>
      <c r="W972" s="381"/>
      <c r="X972" s="381"/>
      <c r="Y972" s="381"/>
    </row>
    <row r="973">
      <c r="A973" s="359"/>
      <c r="B973" s="381"/>
      <c r="C973" s="18"/>
      <c r="D973" s="359"/>
      <c r="E973" s="607"/>
      <c r="F973" s="359"/>
      <c r="G973" s="381"/>
      <c r="H973" s="381"/>
      <c r="I973" s="381"/>
      <c r="J973" s="381"/>
      <c r="K973" s="381"/>
      <c r="L973" s="381"/>
      <c r="M973" s="381"/>
      <c r="N973" s="381"/>
      <c r="O973" s="381"/>
      <c r="P973" s="381"/>
      <c r="Q973" s="381"/>
      <c r="R973" s="381"/>
      <c r="S973" s="381"/>
      <c r="T973" s="381"/>
      <c r="U973" s="381"/>
      <c r="V973" s="381"/>
      <c r="W973" s="381"/>
      <c r="X973" s="381"/>
      <c r="Y973" s="381"/>
    </row>
    <row r="974">
      <c r="A974" s="359"/>
      <c r="B974" s="381"/>
      <c r="C974" s="18"/>
      <c r="D974" s="359"/>
      <c r="E974" s="607"/>
      <c r="F974" s="359"/>
      <c r="G974" s="381"/>
      <c r="H974" s="381"/>
      <c r="I974" s="381"/>
      <c r="J974" s="381"/>
      <c r="K974" s="381"/>
      <c r="L974" s="381"/>
      <c r="M974" s="381"/>
      <c r="N974" s="381"/>
      <c r="O974" s="381"/>
      <c r="P974" s="381"/>
      <c r="Q974" s="381"/>
      <c r="R974" s="381"/>
      <c r="S974" s="381"/>
      <c r="T974" s="381"/>
      <c r="U974" s="381"/>
      <c r="V974" s="381"/>
      <c r="W974" s="381"/>
      <c r="X974" s="381"/>
      <c r="Y974" s="381"/>
    </row>
    <row r="975">
      <c r="A975" s="359"/>
      <c r="B975" s="381"/>
      <c r="C975" s="18"/>
      <c r="D975" s="359"/>
      <c r="E975" s="607"/>
      <c r="F975" s="359"/>
      <c r="G975" s="381"/>
      <c r="H975" s="381"/>
      <c r="I975" s="381"/>
      <c r="J975" s="381"/>
      <c r="K975" s="381"/>
      <c r="L975" s="381"/>
      <c r="M975" s="381"/>
      <c r="N975" s="381"/>
      <c r="O975" s="381"/>
      <c r="P975" s="381"/>
      <c r="Q975" s="381"/>
      <c r="R975" s="381"/>
      <c r="S975" s="381"/>
      <c r="T975" s="381"/>
      <c r="U975" s="381"/>
      <c r="V975" s="381"/>
      <c r="W975" s="381"/>
      <c r="X975" s="381"/>
      <c r="Y975" s="381"/>
    </row>
    <row r="976">
      <c r="A976" s="359"/>
      <c r="B976" s="381"/>
      <c r="C976" s="18"/>
      <c r="D976" s="359"/>
      <c r="E976" s="607"/>
      <c r="F976" s="359"/>
      <c r="G976" s="381"/>
      <c r="H976" s="381"/>
      <c r="I976" s="381"/>
      <c r="J976" s="381"/>
      <c r="K976" s="381"/>
      <c r="L976" s="381"/>
      <c r="M976" s="381"/>
      <c r="N976" s="381"/>
      <c r="O976" s="381"/>
      <c r="P976" s="381"/>
      <c r="Q976" s="381"/>
      <c r="R976" s="381"/>
      <c r="S976" s="381"/>
      <c r="T976" s="381"/>
      <c r="U976" s="381"/>
      <c r="V976" s="381"/>
      <c r="W976" s="381"/>
      <c r="X976" s="381"/>
      <c r="Y976" s="381"/>
    </row>
    <row r="977">
      <c r="A977" s="359"/>
      <c r="B977" s="381"/>
      <c r="C977" s="18"/>
      <c r="D977" s="359"/>
      <c r="E977" s="607"/>
      <c r="F977" s="359"/>
      <c r="G977" s="381"/>
      <c r="H977" s="381"/>
      <c r="I977" s="381"/>
      <c r="J977" s="381"/>
      <c r="K977" s="381"/>
      <c r="L977" s="381"/>
      <c r="M977" s="381"/>
      <c r="N977" s="381"/>
      <c r="O977" s="381"/>
      <c r="P977" s="381"/>
      <c r="Q977" s="381"/>
      <c r="R977" s="381"/>
      <c r="S977" s="381"/>
      <c r="T977" s="381"/>
      <c r="U977" s="381"/>
      <c r="V977" s="381"/>
      <c r="W977" s="381"/>
      <c r="X977" s="381"/>
      <c r="Y977" s="381"/>
    </row>
    <row r="978">
      <c r="A978" s="359"/>
      <c r="B978" s="381"/>
      <c r="C978" s="18"/>
      <c r="D978" s="359"/>
      <c r="E978" s="607"/>
      <c r="F978" s="359"/>
      <c r="G978" s="381"/>
      <c r="H978" s="381"/>
      <c r="I978" s="381"/>
      <c r="J978" s="381"/>
      <c r="K978" s="381"/>
      <c r="L978" s="381"/>
      <c r="M978" s="381"/>
      <c r="N978" s="381"/>
      <c r="O978" s="381"/>
      <c r="P978" s="381"/>
      <c r="Q978" s="381"/>
      <c r="R978" s="381"/>
      <c r="S978" s="381"/>
      <c r="T978" s="381"/>
      <c r="U978" s="381"/>
      <c r="V978" s="381"/>
      <c r="W978" s="381"/>
      <c r="X978" s="381"/>
      <c r="Y978" s="381"/>
    </row>
    <row r="979">
      <c r="A979" s="359"/>
      <c r="B979" s="381"/>
      <c r="C979" s="18"/>
      <c r="D979" s="359"/>
      <c r="E979" s="607"/>
      <c r="F979" s="359"/>
      <c r="G979" s="381"/>
      <c r="H979" s="381"/>
      <c r="I979" s="381"/>
      <c r="J979" s="381"/>
      <c r="K979" s="381"/>
      <c r="L979" s="381"/>
      <c r="M979" s="381"/>
      <c r="N979" s="381"/>
      <c r="O979" s="381"/>
      <c r="P979" s="381"/>
      <c r="Q979" s="381"/>
      <c r="R979" s="381"/>
      <c r="S979" s="381"/>
      <c r="T979" s="381"/>
      <c r="U979" s="381"/>
      <c r="V979" s="381"/>
      <c r="W979" s="381"/>
      <c r="X979" s="381"/>
      <c r="Y979" s="381"/>
    </row>
    <row r="980">
      <c r="A980" s="359"/>
      <c r="B980" s="381"/>
      <c r="C980" s="18"/>
      <c r="D980" s="359"/>
      <c r="E980" s="607"/>
      <c r="F980" s="359"/>
      <c r="G980" s="381"/>
      <c r="H980" s="381"/>
      <c r="I980" s="381"/>
      <c r="J980" s="381"/>
      <c r="K980" s="381"/>
      <c r="L980" s="381"/>
      <c r="M980" s="381"/>
      <c r="N980" s="381"/>
      <c r="O980" s="381"/>
      <c r="P980" s="381"/>
      <c r="Q980" s="381"/>
      <c r="R980" s="381"/>
      <c r="S980" s="381"/>
      <c r="T980" s="381"/>
      <c r="U980" s="381"/>
      <c r="V980" s="381"/>
      <c r="W980" s="381"/>
      <c r="X980" s="381"/>
      <c r="Y980" s="381"/>
    </row>
    <row r="981">
      <c r="A981" s="359"/>
      <c r="B981" s="381"/>
      <c r="C981" s="18"/>
      <c r="D981" s="359"/>
      <c r="E981" s="607"/>
      <c r="F981" s="359"/>
      <c r="G981" s="381"/>
      <c r="H981" s="381"/>
      <c r="I981" s="381"/>
      <c r="J981" s="381"/>
      <c r="K981" s="381"/>
      <c r="L981" s="381"/>
      <c r="M981" s="381"/>
      <c r="N981" s="381"/>
      <c r="O981" s="381"/>
      <c r="P981" s="381"/>
      <c r="Q981" s="381"/>
      <c r="R981" s="381"/>
      <c r="S981" s="381"/>
      <c r="T981" s="381"/>
      <c r="U981" s="381"/>
      <c r="V981" s="381"/>
      <c r="W981" s="381"/>
      <c r="X981" s="381"/>
      <c r="Y981" s="381"/>
    </row>
    <row r="982">
      <c r="A982" s="359"/>
      <c r="B982" s="381"/>
      <c r="C982" s="18"/>
      <c r="D982" s="359"/>
      <c r="E982" s="607"/>
      <c r="F982" s="359"/>
      <c r="G982" s="381"/>
      <c r="H982" s="381"/>
      <c r="I982" s="381"/>
      <c r="J982" s="381"/>
      <c r="K982" s="381"/>
      <c r="L982" s="381"/>
      <c r="M982" s="381"/>
      <c r="N982" s="381"/>
      <c r="O982" s="381"/>
      <c r="P982" s="381"/>
      <c r="Q982" s="381"/>
      <c r="R982" s="381"/>
      <c r="S982" s="381"/>
      <c r="T982" s="381"/>
      <c r="U982" s="381"/>
      <c r="V982" s="381"/>
      <c r="W982" s="381"/>
      <c r="X982" s="381"/>
      <c r="Y982" s="381"/>
    </row>
    <row r="983">
      <c r="A983" s="359"/>
      <c r="B983" s="381"/>
      <c r="C983" s="18"/>
      <c r="D983" s="359"/>
      <c r="E983" s="607"/>
      <c r="F983" s="359"/>
      <c r="G983" s="381"/>
      <c r="H983" s="381"/>
      <c r="I983" s="381"/>
      <c r="J983" s="381"/>
      <c r="K983" s="381"/>
      <c r="L983" s="381"/>
      <c r="M983" s="381"/>
      <c r="N983" s="381"/>
      <c r="O983" s="381"/>
      <c r="P983" s="381"/>
      <c r="Q983" s="381"/>
      <c r="R983" s="381"/>
      <c r="S983" s="381"/>
      <c r="T983" s="381"/>
      <c r="U983" s="381"/>
      <c r="V983" s="381"/>
      <c r="W983" s="381"/>
      <c r="X983" s="381"/>
      <c r="Y983" s="381"/>
    </row>
    <row r="984">
      <c r="A984" s="359"/>
      <c r="B984" s="381"/>
      <c r="C984" s="18"/>
      <c r="D984" s="359"/>
      <c r="E984" s="607"/>
      <c r="F984" s="359"/>
      <c r="G984" s="381"/>
      <c r="H984" s="381"/>
      <c r="I984" s="381"/>
      <c r="J984" s="381"/>
      <c r="K984" s="381"/>
      <c r="L984" s="381"/>
      <c r="M984" s="381"/>
      <c r="N984" s="381"/>
      <c r="O984" s="381"/>
      <c r="P984" s="381"/>
      <c r="Q984" s="381"/>
      <c r="R984" s="381"/>
      <c r="S984" s="381"/>
      <c r="T984" s="381"/>
      <c r="U984" s="381"/>
      <c r="V984" s="381"/>
      <c r="W984" s="381"/>
      <c r="X984" s="381"/>
      <c r="Y984" s="381"/>
    </row>
    <row r="985">
      <c r="A985" s="359"/>
      <c r="B985" s="381"/>
      <c r="C985" s="18"/>
      <c r="D985" s="359"/>
      <c r="E985" s="607"/>
      <c r="F985" s="359"/>
      <c r="G985" s="381"/>
      <c r="H985" s="381"/>
      <c r="I985" s="381"/>
      <c r="J985" s="381"/>
      <c r="K985" s="381"/>
      <c r="L985" s="381"/>
      <c r="M985" s="381"/>
      <c r="N985" s="381"/>
      <c r="O985" s="381"/>
      <c r="P985" s="381"/>
      <c r="Q985" s="381"/>
      <c r="R985" s="381"/>
      <c r="S985" s="381"/>
      <c r="T985" s="381"/>
      <c r="U985" s="381"/>
      <c r="V985" s="381"/>
      <c r="W985" s="381"/>
      <c r="X985" s="381"/>
      <c r="Y985" s="381"/>
    </row>
    <row r="986">
      <c r="A986" s="359"/>
      <c r="B986" s="381"/>
      <c r="C986" s="18"/>
      <c r="D986" s="359"/>
      <c r="E986" s="607"/>
      <c r="F986" s="359"/>
      <c r="G986" s="381"/>
      <c r="H986" s="381"/>
      <c r="I986" s="381"/>
      <c r="J986" s="381"/>
      <c r="K986" s="381"/>
      <c r="L986" s="381"/>
      <c r="M986" s="381"/>
      <c r="N986" s="381"/>
      <c r="O986" s="381"/>
      <c r="P986" s="381"/>
      <c r="Q986" s="381"/>
      <c r="R986" s="381"/>
      <c r="S986" s="381"/>
      <c r="T986" s="381"/>
      <c r="U986" s="381"/>
      <c r="V986" s="381"/>
      <c r="W986" s="381"/>
      <c r="X986" s="381"/>
      <c r="Y986" s="381"/>
    </row>
    <row r="987">
      <c r="A987" s="359"/>
      <c r="B987" s="381"/>
      <c r="C987" s="18"/>
      <c r="D987" s="359"/>
      <c r="E987" s="607"/>
      <c r="F987" s="359"/>
      <c r="G987" s="381"/>
      <c r="H987" s="381"/>
      <c r="I987" s="381"/>
      <c r="J987" s="381"/>
      <c r="K987" s="381"/>
      <c r="L987" s="381"/>
      <c r="M987" s="381"/>
      <c r="N987" s="381"/>
      <c r="O987" s="381"/>
      <c r="P987" s="381"/>
      <c r="Q987" s="381"/>
      <c r="R987" s="381"/>
      <c r="S987" s="381"/>
      <c r="T987" s="381"/>
      <c r="U987" s="381"/>
      <c r="V987" s="381"/>
      <c r="W987" s="381"/>
      <c r="X987" s="381"/>
      <c r="Y987" s="381"/>
    </row>
    <row r="988">
      <c r="A988" s="359"/>
      <c r="B988" s="381"/>
      <c r="C988" s="18"/>
      <c r="D988" s="359"/>
      <c r="E988" s="607"/>
      <c r="F988" s="359"/>
      <c r="G988" s="381"/>
      <c r="H988" s="381"/>
      <c r="I988" s="381"/>
      <c r="J988" s="381"/>
      <c r="K988" s="381"/>
      <c r="L988" s="381"/>
      <c r="M988" s="381"/>
      <c r="N988" s="381"/>
      <c r="O988" s="381"/>
      <c r="P988" s="381"/>
      <c r="Q988" s="381"/>
      <c r="R988" s="381"/>
      <c r="S988" s="381"/>
      <c r="T988" s="381"/>
      <c r="U988" s="381"/>
      <c r="V988" s="381"/>
      <c r="W988" s="381"/>
      <c r="X988" s="381"/>
      <c r="Y988" s="381"/>
    </row>
    <row r="989">
      <c r="A989" s="359"/>
      <c r="B989" s="381"/>
      <c r="C989" s="18"/>
      <c r="D989" s="359"/>
      <c r="E989" s="607"/>
      <c r="F989" s="359"/>
      <c r="G989" s="381"/>
      <c r="H989" s="381"/>
      <c r="I989" s="381"/>
      <c r="J989" s="381"/>
      <c r="K989" s="381"/>
      <c r="L989" s="381"/>
      <c r="M989" s="381"/>
      <c r="N989" s="381"/>
      <c r="O989" s="381"/>
      <c r="P989" s="381"/>
      <c r="Q989" s="381"/>
      <c r="R989" s="381"/>
      <c r="S989" s="381"/>
      <c r="T989" s="381"/>
      <c r="U989" s="381"/>
      <c r="V989" s="381"/>
      <c r="W989" s="381"/>
      <c r="X989" s="381"/>
      <c r="Y989" s="381"/>
    </row>
    <row r="990">
      <c r="A990" s="359"/>
      <c r="B990" s="381"/>
      <c r="C990" s="18"/>
      <c r="D990" s="359"/>
      <c r="E990" s="607"/>
      <c r="F990" s="359"/>
      <c r="G990" s="381"/>
      <c r="H990" s="381"/>
      <c r="I990" s="381"/>
      <c r="J990" s="381"/>
      <c r="K990" s="381"/>
      <c r="L990" s="381"/>
      <c r="M990" s="381"/>
      <c r="N990" s="381"/>
      <c r="O990" s="381"/>
      <c r="P990" s="381"/>
      <c r="Q990" s="381"/>
      <c r="R990" s="381"/>
      <c r="S990" s="381"/>
      <c r="T990" s="381"/>
      <c r="U990" s="381"/>
      <c r="V990" s="381"/>
      <c r="W990" s="381"/>
      <c r="X990" s="381"/>
      <c r="Y990" s="381"/>
    </row>
    <row r="991">
      <c r="A991" s="359"/>
      <c r="B991" s="381"/>
      <c r="C991" s="18"/>
      <c r="D991" s="359"/>
      <c r="E991" s="607"/>
      <c r="F991" s="359"/>
      <c r="G991" s="381"/>
      <c r="H991" s="381"/>
      <c r="I991" s="381"/>
      <c r="J991" s="381"/>
      <c r="K991" s="381"/>
      <c r="L991" s="381"/>
      <c r="M991" s="381"/>
      <c r="N991" s="381"/>
      <c r="O991" s="381"/>
      <c r="P991" s="381"/>
      <c r="Q991" s="381"/>
      <c r="R991" s="381"/>
      <c r="S991" s="381"/>
      <c r="T991" s="381"/>
      <c r="U991" s="381"/>
      <c r="V991" s="381"/>
      <c r="W991" s="381"/>
      <c r="X991" s="381"/>
      <c r="Y991" s="381"/>
    </row>
    <row r="992">
      <c r="A992" s="359"/>
      <c r="B992" s="381"/>
      <c r="C992" s="18"/>
      <c r="D992" s="359"/>
      <c r="E992" s="607"/>
      <c r="F992" s="359"/>
      <c r="G992" s="381"/>
      <c r="H992" s="381"/>
      <c r="I992" s="381"/>
      <c r="J992" s="381"/>
      <c r="K992" s="381"/>
      <c r="L992" s="381"/>
      <c r="M992" s="381"/>
      <c r="N992" s="381"/>
      <c r="O992" s="381"/>
      <c r="P992" s="381"/>
      <c r="Q992" s="381"/>
      <c r="R992" s="381"/>
      <c r="S992" s="381"/>
      <c r="T992" s="381"/>
      <c r="U992" s="381"/>
      <c r="V992" s="381"/>
      <c r="W992" s="381"/>
      <c r="X992" s="381"/>
      <c r="Y992" s="381"/>
    </row>
    <row r="993">
      <c r="A993" s="359"/>
      <c r="B993" s="381"/>
      <c r="C993" s="18"/>
      <c r="D993" s="359"/>
      <c r="E993" s="607"/>
      <c r="F993" s="359"/>
      <c r="G993" s="381"/>
      <c r="H993" s="381"/>
      <c r="I993" s="381"/>
      <c r="J993" s="381"/>
      <c r="K993" s="381"/>
      <c r="L993" s="381"/>
      <c r="M993" s="381"/>
      <c r="N993" s="381"/>
      <c r="O993" s="381"/>
      <c r="P993" s="381"/>
      <c r="Q993" s="381"/>
      <c r="R993" s="381"/>
      <c r="S993" s="381"/>
      <c r="T993" s="381"/>
      <c r="U993" s="381"/>
      <c r="V993" s="381"/>
      <c r="W993" s="381"/>
      <c r="X993" s="381"/>
      <c r="Y993" s="381"/>
    </row>
    <row r="994">
      <c r="A994" s="359"/>
      <c r="B994" s="381"/>
      <c r="C994" s="18"/>
      <c r="D994" s="359"/>
      <c r="E994" s="607"/>
      <c r="F994" s="359"/>
      <c r="G994" s="381"/>
      <c r="H994" s="381"/>
      <c r="I994" s="381"/>
      <c r="J994" s="381"/>
      <c r="K994" s="381"/>
      <c r="L994" s="381"/>
      <c r="M994" s="381"/>
      <c r="N994" s="381"/>
      <c r="O994" s="381"/>
      <c r="P994" s="381"/>
      <c r="Q994" s="381"/>
      <c r="R994" s="381"/>
      <c r="S994" s="381"/>
      <c r="T994" s="381"/>
      <c r="U994" s="381"/>
      <c r="V994" s="381"/>
      <c r="W994" s="381"/>
      <c r="X994" s="381"/>
      <c r="Y994" s="381"/>
    </row>
    <row r="995">
      <c r="A995" s="359"/>
      <c r="B995" s="381"/>
      <c r="C995" s="18"/>
      <c r="D995" s="359"/>
      <c r="E995" s="607"/>
      <c r="F995" s="359"/>
      <c r="G995" s="381"/>
      <c r="H995" s="381"/>
      <c r="I995" s="381"/>
      <c r="J995" s="381"/>
      <c r="K995" s="381"/>
      <c r="L995" s="381"/>
      <c r="M995" s="381"/>
      <c r="N995" s="381"/>
      <c r="O995" s="381"/>
      <c r="P995" s="381"/>
      <c r="Q995" s="381"/>
      <c r="R995" s="381"/>
      <c r="S995" s="381"/>
      <c r="T995" s="381"/>
      <c r="U995" s="381"/>
      <c r="V995" s="381"/>
      <c r="W995" s="381"/>
      <c r="X995" s="381"/>
      <c r="Y995" s="381"/>
    </row>
    <row r="996">
      <c r="A996" s="359"/>
      <c r="B996" s="381"/>
      <c r="C996" s="18"/>
      <c r="D996" s="359"/>
      <c r="E996" s="607"/>
      <c r="F996" s="359"/>
      <c r="G996" s="381"/>
      <c r="H996" s="381"/>
      <c r="I996" s="381"/>
      <c r="J996" s="381"/>
      <c r="K996" s="381"/>
      <c r="L996" s="381"/>
      <c r="M996" s="381"/>
      <c r="N996" s="381"/>
      <c r="O996" s="381"/>
      <c r="P996" s="381"/>
      <c r="Q996" s="381"/>
      <c r="R996" s="381"/>
      <c r="S996" s="381"/>
      <c r="T996" s="381"/>
      <c r="U996" s="381"/>
      <c r="V996" s="381"/>
      <c r="W996" s="381"/>
      <c r="X996" s="381"/>
      <c r="Y996" s="381"/>
    </row>
    <row r="997">
      <c r="A997" s="359"/>
      <c r="B997" s="381"/>
      <c r="C997" s="18"/>
      <c r="D997" s="359"/>
      <c r="E997" s="607"/>
      <c r="F997" s="359"/>
      <c r="G997" s="381"/>
      <c r="H997" s="381"/>
      <c r="I997" s="381"/>
      <c r="J997" s="381"/>
      <c r="K997" s="381"/>
      <c r="L997" s="381"/>
      <c r="M997" s="381"/>
      <c r="N997" s="381"/>
      <c r="O997" s="381"/>
      <c r="P997" s="381"/>
      <c r="Q997" s="381"/>
      <c r="R997" s="381"/>
      <c r="S997" s="381"/>
      <c r="T997" s="381"/>
      <c r="U997" s="381"/>
      <c r="V997" s="381"/>
      <c r="W997" s="381"/>
      <c r="X997" s="381"/>
      <c r="Y997" s="381"/>
    </row>
    <row r="998">
      <c r="A998" s="359"/>
      <c r="B998" s="381"/>
      <c r="C998" s="18"/>
      <c r="D998" s="359"/>
      <c r="E998" s="607"/>
      <c r="F998" s="359"/>
      <c r="G998" s="381"/>
      <c r="H998" s="381"/>
      <c r="I998" s="381"/>
      <c r="J998" s="381"/>
      <c r="K998" s="381"/>
      <c r="L998" s="381"/>
      <c r="M998" s="381"/>
      <c r="N998" s="381"/>
      <c r="O998" s="381"/>
      <c r="P998" s="381"/>
      <c r="Q998" s="381"/>
      <c r="R998" s="381"/>
      <c r="S998" s="381"/>
      <c r="T998" s="381"/>
      <c r="U998" s="381"/>
      <c r="V998" s="381"/>
      <c r="W998" s="381"/>
      <c r="X998" s="381"/>
      <c r="Y998" s="381"/>
    </row>
    <row r="999">
      <c r="A999" s="359"/>
      <c r="B999" s="381"/>
      <c r="C999" s="18"/>
      <c r="D999" s="359"/>
      <c r="E999" s="607"/>
      <c r="F999" s="359"/>
      <c r="G999" s="381"/>
      <c r="H999" s="381"/>
      <c r="I999" s="381"/>
      <c r="J999" s="381"/>
      <c r="K999" s="381"/>
      <c r="L999" s="381"/>
      <c r="M999" s="381"/>
      <c r="N999" s="381"/>
      <c r="O999" s="381"/>
      <c r="P999" s="381"/>
      <c r="Q999" s="381"/>
      <c r="R999" s="381"/>
      <c r="S999" s="381"/>
      <c r="T999" s="381"/>
      <c r="U999" s="381"/>
      <c r="V999" s="381"/>
      <c r="W999" s="381"/>
      <c r="X999" s="381"/>
      <c r="Y999" s="381"/>
    </row>
    <row r="1000">
      <c r="A1000" s="359"/>
      <c r="B1000" s="381"/>
      <c r="C1000" s="18"/>
      <c r="D1000" s="359"/>
      <c r="E1000" s="607"/>
      <c r="F1000" s="359"/>
      <c r="G1000" s="381"/>
      <c r="H1000" s="381"/>
      <c r="I1000" s="381"/>
      <c r="J1000" s="381"/>
      <c r="K1000" s="381"/>
      <c r="L1000" s="381"/>
      <c r="M1000" s="381"/>
      <c r="N1000" s="381"/>
      <c r="O1000" s="381"/>
      <c r="P1000" s="381"/>
      <c r="Q1000" s="381"/>
      <c r="R1000" s="381"/>
      <c r="S1000" s="381"/>
      <c r="T1000" s="381"/>
      <c r="U1000" s="381"/>
      <c r="V1000" s="381"/>
      <c r="W1000" s="381"/>
      <c r="X1000" s="381"/>
      <c r="Y1000" s="381"/>
    </row>
    <row r="1001">
      <c r="A1001" s="359"/>
      <c r="B1001" s="381"/>
      <c r="C1001" s="18"/>
      <c r="D1001" s="359"/>
      <c r="E1001" s="607"/>
      <c r="F1001" s="359"/>
      <c r="G1001" s="381"/>
      <c r="H1001" s="381"/>
      <c r="I1001" s="381"/>
      <c r="J1001" s="381"/>
      <c r="K1001" s="381"/>
      <c r="L1001" s="381"/>
      <c r="M1001" s="381"/>
      <c r="N1001" s="381"/>
      <c r="O1001" s="381"/>
      <c r="P1001" s="381"/>
      <c r="Q1001" s="381"/>
      <c r="R1001" s="381"/>
      <c r="S1001" s="381"/>
      <c r="T1001" s="381"/>
      <c r="U1001" s="381"/>
      <c r="V1001" s="381"/>
      <c r="W1001" s="381"/>
      <c r="X1001" s="381"/>
      <c r="Y1001" s="381"/>
    </row>
    <row r="1002">
      <c r="A1002" s="359"/>
      <c r="B1002" s="381"/>
      <c r="C1002" s="18"/>
      <c r="D1002" s="359"/>
      <c r="E1002" s="607"/>
      <c r="F1002" s="359"/>
      <c r="G1002" s="381"/>
      <c r="H1002" s="381"/>
      <c r="I1002" s="381"/>
      <c r="J1002" s="381"/>
      <c r="K1002" s="381"/>
      <c r="L1002" s="381"/>
      <c r="M1002" s="381"/>
      <c r="N1002" s="381"/>
      <c r="O1002" s="381"/>
      <c r="P1002" s="381"/>
      <c r="Q1002" s="381"/>
      <c r="R1002" s="381"/>
      <c r="S1002" s="381"/>
      <c r="T1002" s="381"/>
      <c r="U1002" s="381"/>
      <c r="V1002" s="381"/>
      <c r="W1002" s="381"/>
      <c r="X1002" s="381"/>
      <c r="Y1002" s="381"/>
    </row>
    <row r="1003">
      <c r="A1003" s="359"/>
      <c r="B1003" s="381"/>
      <c r="C1003" s="18"/>
      <c r="D1003" s="359"/>
      <c r="E1003" s="607"/>
      <c r="F1003" s="359"/>
      <c r="G1003" s="381"/>
      <c r="H1003" s="381"/>
      <c r="I1003" s="381"/>
      <c r="J1003" s="381"/>
      <c r="K1003" s="381"/>
      <c r="L1003" s="381"/>
      <c r="M1003" s="381"/>
      <c r="N1003" s="381"/>
      <c r="O1003" s="381"/>
      <c r="P1003" s="381"/>
      <c r="Q1003" s="381"/>
      <c r="R1003" s="381"/>
      <c r="S1003" s="381"/>
      <c r="T1003" s="381"/>
      <c r="U1003" s="381"/>
      <c r="V1003" s="381"/>
      <c r="W1003" s="381"/>
      <c r="X1003" s="381"/>
      <c r="Y1003" s="381"/>
    </row>
  </sheetData>
  <mergeCells count="3">
    <mergeCell ref="A8:F8"/>
    <mergeCell ref="A11:F11"/>
    <mergeCell ref="A18:F18"/>
  </mergeCells>
  <hyperlinks>
    <hyperlink r:id="rId1" ref="B2"/>
    <hyperlink r:id="rId2" ref="B3"/>
    <hyperlink r:id="rId3" ref="B4"/>
    <hyperlink r:id="rId4" ref="B5"/>
    <hyperlink r:id="rId5" ref="B6"/>
    <hyperlink r:id="rId6" ref="C6"/>
    <hyperlink r:id="rId7" ref="B7"/>
    <hyperlink r:id="rId8" ref="B9"/>
    <hyperlink r:id="rId9" ref="B10"/>
    <hyperlink r:id="rId10" ref="B12"/>
    <hyperlink r:id="rId11" ref="B13"/>
    <hyperlink r:id="rId12" ref="B14"/>
    <hyperlink r:id="rId13" ref="B15"/>
    <hyperlink r:id="rId14" ref="B16"/>
    <hyperlink r:id="rId15" ref="C16"/>
    <hyperlink r:id="rId16" ref="B17"/>
    <hyperlink r:id="rId17" ref="B19"/>
    <hyperlink r:id="rId18" ref="B20"/>
  </hyperlinks>
  <drawing r:id="rId19"/>
</worksheet>
</file>